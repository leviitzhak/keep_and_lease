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calcPr calcId="191029" fullCalcOnLoad="1" forceFullCalc="1" calcMode="auto"/>
  <sheets>
    <sheet name="Overview" sheetId="1" r:id="rId1"/>
    <sheet name="Parameters" sheetId="2" r:id="rId2"/>
    <sheet name="Daily Holdings" sheetId="3" r:id="rId3"/>
    <sheet name="Checks" sheetId="4" r:id="rId4"/>
  </sheets>
</workbook>
</file>

<file path=xl/styles.xml><?xml version="1.0" encoding="utf-8"?>
<styleSheet xmlns="http://schemas.openxmlformats.org/spreadsheetml/2006/main">
  <numFmts count="3">
    <numFmt numFmtId="164" formatCode="0.000000;[Red](0.000000);-"/>
    <numFmt numFmtId="165" formatCode="0.0000%;[Red](0.0000%);-"/>
    <numFmt numFmtId="166" formatCode="yyyy-mm-dd"/>
  </numFmts>
  <fonts count="5">
    <font>
      <sz val="10"/>
      <name val="Aptos"/>
    </font>
    <font>
      <b/>
      <color rgb="FFFFFFFF"/>
      <sz val="11"/>
      <name val="Aptos Display"/>
    </font>
    <font>
      <b/>
      <color rgb="FF172033"/>
      <sz val="10"/>
      <name val="Aptos"/>
    </font>
    <font>
      <color rgb="FF008000"/>
      <sz val="10"/>
      <name val="Aptos"/>
    </font>
    <font>
      <b/>
      <color rgb="FF166534"/>
      <sz val="10"/>
      <name val="Aptos"/>
    </font>
  </fonts>
  <fills count="6">
    <fill>
      <patternFill patternType="none"/>
    </fill>
    <fill>
      <patternFill patternType="gray125"/>
    </fill>
    <fill>
      <patternFill patternType="solid">
        <fgColor rgb="FF172033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CFCE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9CA3A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164" fontId="3" fillId="0" borderId="0" xfId="0" applyNumberFormat="1" applyFont="1"/>
    <xf numFmtId="164" fontId="0" fillId="0" borderId="0" xfId="0" applyNumberFormat="1"/>
    <xf numFmtId="165" fontId="3" fillId="0" borderId="0" xfId="0" applyNumberFormat="1" applyFont="1"/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2" fillId="4" borderId="1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19"/>
  <sheetViews>
    <sheetView workbookViewId="0"/>
  </sheetViews>
  <sheetFormatPr defaultRowHeight="15"/>
  <cols>
    <col min="1" max="1" width="42" customWidth="1"/>
    <col min="2" max="2" width="105" customWidth="1"/>
    <col min="3" max="3" width="2" customWidth="1"/>
    <col min="4" max="4" width="18" customWidth="1"/>
    <col min="5" max="5" width="18" customWidth="1"/>
    <col min="6" max="6" width="18" customWidth="1"/>
  </cols>
  <sheetData>
    <row r="1" ht="28" customHeight="1">
      <c r="A1" s="1" t="inlineStr">
        <is>
          <t xml:space="preserve">Silver — detailed completed-backtest workbook</t>
        </is>
      </c>
      <c r="B1"/>
      <c r="C1"/>
      <c r="D1"/>
      <c r="E1"/>
      <c r="F1"/>
    </row>
    <row r="2"/>
    <row r="3">
      <c r="A3" s="11" t="inlineStr">
        <is>
          <t xml:space="preserve">Purpose</t>
        </is>
      </c>
      <c r="B3" s="10" t="inlineStr">
        <is>
          <t xml:space="preserve">Reconstruct the selected strategy path from the completed backtest holding ledger, with visible holding P&amp;L, book valuation, underlying-return decomposition, NAV reconciliation, and model checks.</t>
        </is>
      </c>
    </row>
    <row r="4">
      <c r="A4" s="11" t="inlineStr">
        <is>
          <t xml:space="preserve">Holding interval</t>
        </is>
      </c>
      <c r="B4" s="10" t="inlineStr">
        <is>
          <t xml:space="preserve">Each row applies the start-date close holdings through the end-date close. Exchange holidays naturally create multi-calendar-day intervals.</t>
        </is>
      </c>
    </row>
    <row r="5">
      <c r="A5" s="11" t="inlineStr">
        <is>
          <t xml:space="preserve">Template version</t>
        </is>
      </c>
      <c r="B5">
        <v>1</v>
      </c>
    </row>
    <row r="6">
      <c r="A6" s="11" t="inlineStr">
        <is>
          <t xml:space="preserve">Commodity scope</t>
        </is>
      </c>
      <c r="B6" t="inlineStr">
        <is>
          <t xml:space="preserve">Silver; this template version requires exactly one commodity sleeve.</t>
        </is>
      </c>
    </row>
    <row r="7">
      <c r="A7" s="11" t="inlineStr">
        <is>
          <t xml:space="preserve">Mode</t>
        </is>
      </c>
      <c r="B7" s="10" t="inlineStr">
        <is>
          <t xml:space="preserve">positive = long futures only; neutral = no futures; negative = short futures only; long_and_short = both.</t>
        </is>
      </c>
    </row>
    <row r="8">
      <c r="A8" s="11" t="inlineStr">
        <is>
          <t xml:space="preserve">Futures value</t>
        </is>
      </c>
      <c r="B8" s="10" t="inlineStr">
        <is>
          <t xml:space="preserve">Exchange-traded futures are carried at zero after daily settlement. Notional is exposure; economic P&amp;L settles into the attributed cash/margin holding.</t>
        </is>
      </c>
    </row>
    <row r="9">
      <c r="A9" s="11" t="inlineStr">
        <is>
          <t xml:space="preserve">Book valuation</t>
        </is>
      </c>
      <c r="B9" s="10" t="inlineStr">
        <is>
          <t xml:space="preserve">Lease and keep values are independently reconstructed from attributed holdings and from opening value + accumulated P&amp;L + external/rebalancing transfers.</t>
        </is>
      </c>
    </row>
    <row r="10">
      <c r="A10" s="11" t="inlineStr">
        <is>
          <t xml:space="preserve">Returns</t>
        </is>
      </c>
      <c r="B10" s="10" t="inlineStr">
        <is>
          <t xml:space="preserve">Standalone book return uses that book's start value. Contribution uses total lease + keep start value. Total return is reconstructed as underlying price change compounded with the combined book return quoted in the underlying.</t>
        </is>
      </c>
    </row>
    <row r="11">
      <c r="A11" s="11" t="inlineStr">
        <is>
          <t xml:space="preserve">Prices</t>
        </is>
      </c>
      <c r="B11" s="10" t="inlineStr">
        <is>
          <t xml:space="preserve">A future's spot fields contain the actual commodity spot quote. Futures notional and quantity do not rescale that spot price. The normalized underlying index is shown separately.</t>
        </is>
      </c>
    </row>
    <row r="12"/>
    <row r="13">
      <c r="A13" s="2" t="inlineStr">
        <is>
          <t xml:space="preserve">Selected result summary</t>
        </is>
      </c>
    </row>
    <row r="14">
      <c r="A14" s="11" t="inlineStr">
        <is>
          <t xml:space="preserve">First holding date</t>
        </is>
      </c>
      <c r="B14" s="8">
        <v>25205</v>
      </c>
    </row>
    <row r="15">
      <c r="A15" s="11" t="inlineStr">
        <is>
          <t xml:space="preserve">Final interval end</t>
        </is>
      </c>
      <c r="B15" s="8">
        <v>25568</v>
      </c>
    </row>
    <row r="16">
      <c r="A16" s="11" t="inlineStr">
        <is>
          <t xml:space="preserve">Holding intervals</t>
        </is>
      </c>
      <c r="B16">
        <v>242</v>
      </c>
    </row>
    <row r="17">
      <c r="A17" s="11" t="inlineStr">
        <is>
          <t xml:space="preserve">Maximum simultaneous ledger holdings</t>
        </is>
      </c>
      <c r="B17">
        <v>10</v>
      </c>
    </row>
    <row r="18">
      <c r="A18" s="11" t="inlineStr">
        <is>
          <t xml:space="preserve">Ending NAV</t>
        </is>
      </c>
      <c r="B18" s="4">
        <v>2.0433694798508797</v>
      </c>
    </row>
    <row r="19">
      <c r="A19" s="11" t="inlineStr">
        <is>
          <t xml:space="preserve">Portfolio rebalancing</t>
        </is>
      </c>
      <c r="B19" t="inlineStr">
        <is>
          <t xml:space="preserve">daily</t>
        </is>
      </c>
    </row>
  </sheetData>
  <mergeCells count="9">
    <mergeCell ref="A1:F1"/>
    <mergeCell ref="B3:F3"/>
    <mergeCell ref="B4:F4"/>
    <mergeCell ref="B7:F7"/>
    <mergeCell ref="B8:F8"/>
    <mergeCell ref="B9:F9"/>
    <mergeCell ref="B10:F10"/>
    <mergeCell ref="B11:F11"/>
    <mergeCell ref="A13:F13"/>
  </mergeCells>
  <pageMargins left="0.25" right="0.25" top="0.5" bottom="0.5" header="0.2" footer="0.2"/>
</worksheet>
</file>

<file path=xl/worksheets/sheet2.xml><?xml version="1.0" encoding="utf-8"?>
<worksheet xmlns="http://schemas.openxmlformats.org/spreadsheetml/2006/main">
  <dimension ref="A1:D167"/>
  <sheetViews>
    <sheetView workbookViewId="0">
      <pane xSplit="0" ySplit="3" topLeftCell="A4" activePane="bottomRight" state="frozen"/>
    </sheetView>
  </sheetViews>
  <sheetFormatPr defaultRowHeight="15"/>
  <cols>
    <col min="1" max="1" width="62" customWidth="1"/>
    <col min="2" max="2" width="32" customWidth="1"/>
    <col min="3" max="3" width="25" customWidth="1"/>
    <col min="4" max="4" width="58" customWidth="1"/>
  </cols>
  <sheetData>
    <row r="1" ht="28" customHeight="1">
      <c r="A1" s="1" t="inlineStr">
        <is>
          <t xml:space="preserve">Silver — completed-backtest parameters</t>
        </is>
      </c>
      <c r="B1"/>
      <c r="C1"/>
      <c r="D1"/>
    </row>
    <row r="2"/>
    <row r="3">
      <c r="A3" s="3" t="inlineStr">
        <is>
          <t xml:space="preserve">Parameter path</t>
        </is>
      </c>
      <c r="B3" s="3" t="inlineStr">
        <is>
          <t xml:space="preserve">Saved value</t>
        </is>
      </c>
      <c r="C3" s="3" t="inlineStr">
        <is>
          <t xml:space="preserve">Use</t>
        </is>
      </c>
      <c r="D3" s="3" t="inlineStr">
        <is>
          <t xml:space="preserve">Notes</t>
        </is>
      </c>
    </row>
    <row r="4">
      <c r="A4" t="inlineStr">
        <is>
          <t xml:space="preserve">weight_silver</t>
        </is>
      </c>
      <c r="B4" s="4" t="inlineStr">
        <is>
          <t xml:space="preserve">100</t>
        </is>
      </c>
      <c r="C4" t="inlineStr">
        <is>
          <t xml:space="preserve">Exact completed-run input</t>
        </is>
      </c>
      <c r="D4" t="inlineStr">
        <is>
          <t xml:space="preserve">Nested commodity parameters are expanded for auditability.</t>
        </is>
      </c>
    </row>
    <row r="5">
      <c r="A5" t="inlineStr">
        <is>
          <t xml:space="preserve">weight_gold</t>
        </is>
      </c>
      <c r="B5" s="4" t="inlineStr">
        <is>
          <t xml:space="preserve">0</t>
        </is>
      </c>
      <c r="C5" t="inlineStr">
        <is>
          <t xml:space="preserve">Exact completed-run input</t>
        </is>
      </c>
      <c r="D5" t="inlineStr">
        <is>
          <t xml:space="preserve">Nested commodity parameters are expanded for auditability.</t>
        </is>
      </c>
    </row>
    <row r="6">
      <c r="A6" t="inlineStr">
        <is>
          <t xml:space="preserve">weight_sp500</t>
        </is>
      </c>
      <c r="B6" s="4" t="inlineStr">
        <is>
          <t xml:space="preserve">0</t>
        </is>
      </c>
      <c r="C6" t="inlineStr">
        <is>
          <t xml:space="preserve">Exact completed-run input</t>
        </is>
      </c>
      <c r="D6" t="inlineStr">
        <is>
          <t xml:space="preserve">Nested commodity parameters are expanded for auditability.</t>
        </is>
      </c>
    </row>
    <row r="7">
      <c r="A7" t="inlineStr">
        <is>
          <t xml:space="preserve">weight_btc</t>
        </is>
      </c>
      <c r="B7" s="4" t="inlineStr">
        <is>
          <t xml:space="preserve">0</t>
        </is>
      </c>
      <c r="C7" t="inlineStr">
        <is>
          <t xml:space="preserve">Exact completed-run input</t>
        </is>
      </c>
      <c r="D7" t="inlineStr">
        <is>
          <t xml:space="preserve">Nested commodity parameters are expanded for auditability.</t>
        </is>
      </c>
    </row>
    <row r="8">
      <c r="A8" t="inlineStr">
        <is>
          <t xml:space="preserve">weight_treasury</t>
        </is>
      </c>
      <c r="B8" s="4" t="inlineStr">
        <is>
          <t xml:space="preserve">0</t>
        </is>
      </c>
      <c r="C8" t="inlineStr">
        <is>
          <t xml:space="preserve">Exact completed-run input</t>
        </is>
      </c>
      <c r="D8" t="inlineStr">
        <is>
          <t xml:space="preserve">Nested commodity parameters are expanded for auditability.</t>
        </is>
      </c>
    </row>
    <row r="9">
      <c r="A9" t="inlineStr">
        <is>
          <t xml:space="preserve">portfolio_rebalancing</t>
        </is>
      </c>
      <c r="B9" s="4" t="inlineStr">
        <is>
          <t xml:space="preserve">daily</t>
        </is>
      </c>
      <c r="C9" t="inlineStr">
        <is>
          <t xml:space="preserve">Exact completed-run input</t>
        </is>
      </c>
      <c r="D9" t="inlineStr">
        <is>
          <t xml:space="preserve">Nested commodity parameters are expanded for auditability.</t>
        </is>
      </c>
    </row>
    <row r="10">
      <c r="A10" t="inlineStr">
        <is>
          <t xml:space="preserve">reactivity</t>
        </is>
      </c>
      <c r="B10" s="4" t="inlineStr">
        <is>
          <t xml:space="preserve">same_day</t>
        </is>
      </c>
      <c r="C10" t="inlineStr">
        <is>
          <t xml:space="preserve">Exact completed-run input</t>
        </is>
      </c>
      <c r="D10" t="inlineStr">
        <is>
          <t xml:space="preserve">Nested commodity parameters are expanded for auditability.</t>
        </is>
      </c>
    </row>
    <row r="11">
      <c r="A11" t="inlineStr">
        <is>
          <t xml:space="preserve">min_days</t>
        </is>
      </c>
      <c r="B11" s="4" t="inlineStr">
        <is>
          <t xml:space="preserve">10</t>
        </is>
      </c>
      <c r="C11" t="inlineStr">
        <is>
          <t xml:space="preserve">Exact completed-run input</t>
        </is>
      </c>
      <c r="D11" t="inlineStr">
        <is>
          <t xml:space="preserve">Nested commodity parameters are expanded for auditability.</t>
        </is>
      </c>
    </row>
    <row r="12">
      <c r="A12" t="inlineStr">
        <is>
          <t xml:space="preserve">roll_only_if_better</t>
        </is>
      </c>
      <c r="B12" s="4" t="inlineStr">
        <is>
          <t xml:space="preserve">true</t>
        </is>
      </c>
      <c r="C12" t="inlineStr">
        <is>
          <t xml:space="preserve">Exact completed-run input</t>
        </is>
      </c>
      <c r="D12" t="inlineStr">
        <is>
          <t xml:space="preserve">Nested commodity parameters are expanded for auditability.</t>
        </is>
      </c>
    </row>
    <row r="13">
      <c r="A13" t="inlineStr">
        <is>
          <t xml:space="preserve">force_roll_at_min_days</t>
        </is>
      </c>
      <c r="B13" s="4" t="inlineStr">
        <is>
          <t xml:space="preserve">true</t>
        </is>
      </c>
      <c r="C13" t="inlineStr">
        <is>
          <t xml:space="preserve">Exact completed-run input</t>
        </is>
      </c>
      <c r="D13" t="inlineStr">
        <is>
          <t xml:space="preserve">Nested commodity parameters are expanded for auditability.</t>
        </is>
      </c>
    </row>
    <row r="14">
      <c r="A14" t="inlineStr">
        <is>
          <t xml:space="preserve">long_allocation_half_life_days</t>
        </is>
      </c>
      <c r="B14" s="4" t="inlineStr">
        <is>
          <t xml:space="preserve">0</t>
        </is>
      </c>
      <c r="C14" t="inlineStr">
        <is>
          <t xml:space="preserve">Exact completed-run input</t>
        </is>
      </c>
      <c r="D14" t="inlineStr">
        <is>
          <t xml:space="preserve">Nested commodity parameters are expanded for auditability.</t>
        </is>
      </c>
    </row>
    <row r="15">
      <c r="A15" t="inlineStr">
        <is>
          <t xml:space="preserve">short_allocation_half_life_days</t>
        </is>
      </c>
      <c r="B15" s="4" t="inlineStr">
        <is>
          <t xml:space="preserve">0</t>
        </is>
      </c>
      <c r="C15" t="inlineStr">
        <is>
          <t xml:space="preserve">Exact completed-run input</t>
        </is>
      </c>
      <c r="D15" t="inlineStr">
        <is>
          <t xml:space="preserve">Nested commodity parameters are expanded for auditability.</t>
        </is>
      </c>
    </row>
    <row r="16">
      <c r="A16" t="inlineStr">
        <is>
          <t xml:space="preserve">slv_expense</t>
        </is>
      </c>
      <c r="B16" s="4" t="inlineStr">
        <is>
          <t xml:space="preserve">0.25</t>
        </is>
      </c>
      <c r="C16" t="inlineStr">
        <is>
          <t xml:space="preserve">Exact completed-run input</t>
        </is>
      </c>
      <c r="D16" t="inlineStr">
        <is>
          <t xml:space="preserve">Nested commodity parameters are expanded for auditability.</t>
        </is>
      </c>
    </row>
    <row r="17">
      <c r="A17" t="inlineStr">
        <is>
          <t xml:space="preserve">futures_contract_type</t>
        </is>
      </c>
      <c r="B17" s="4" t="inlineStr">
        <is>
          <t xml:space="preserve">regular</t>
        </is>
      </c>
      <c r="C17" t="inlineStr">
        <is>
          <t xml:space="preserve">Exact completed-run input</t>
        </is>
      </c>
      <c r="D17" t="inlineStr">
        <is>
          <t xml:space="preserve">Nested commodity parameters are expanded for auditability.</t>
        </is>
      </c>
    </row>
    <row r="18">
      <c r="A18" t="inlineStr">
        <is>
          <t xml:space="preserve">inverse_payoff_conversion_fee</t>
        </is>
      </c>
      <c r="B18" s="4" t="inlineStr">
        <is>
          <t xml:space="preserve">0</t>
        </is>
      </c>
      <c r="C18" t="inlineStr">
        <is>
          <t xml:space="preserve">Exact completed-run input</t>
        </is>
      </c>
      <c r="D18" t="inlineStr">
        <is>
          <t xml:space="preserve">Nested commodity parameters are expanded for auditability.</t>
        </is>
      </c>
    </row>
    <row r="19">
      <c r="A19" t="inlineStr">
        <is>
          <t xml:space="preserve">inverse_min_conversion_btc</t>
        </is>
      </c>
      <c r="B19" s="4" t="inlineStr">
        <is>
          <t xml:space="preserve">0</t>
        </is>
      </c>
      <c r="C19" t="inlineStr">
        <is>
          <t xml:space="preserve">Exact completed-run input</t>
        </is>
      </c>
      <c r="D19" t="inlineStr">
        <is>
          <t xml:space="preserve">Nested commodity parameters are expanded for auditability.</t>
        </is>
      </c>
    </row>
    <row r="20">
      <c r="A20" t="inlineStr">
        <is>
          <t xml:space="preserve">enable_cash_long_futures_leg</t>
        </is>
      </c>
      <c r="B20" s="4" t="inlineStr">
        <is>
          <t xml:space="preserve">true</t>
        </is>
      </c>
      <c r="C20" t="inlineStr">
        <is>
          <t xml:space="preserve">Exact completed-run input</t>
        </is>
      </c>
      <c r="D20" t="inlineStr">
        <is>
          <t xml:space="preserve">Nested commodity parameters are expanded for auditability.</t>
        </is>
      </c>
    </row>
    <row r="21">
      <c r="A21" t="inlineStr">
        <is>
          <t xml:space="preserve">long_futures_entry_mode</t>
        </is>
      </c>
      <c r="B21" s="4" t="inlineStr">
        <is>
          <t xml:space="preserve">gradual</t>
        </is>
      </c>
      <c r="C21" t="inlineStr">
        <is>
          <t xml:space="preserve">Exact completed-run input</t>
        </is>
      </c>
      <c r="D21" t="inlineStr">
        <is>
          <t xml:space="preserve">Nested commodity parameters are expanded for auditability.</t>
        </is>
      </c>
    </row>
    <row r="22">
      <c r="A22" t="inlineStr">
        <is>
          <t xml:space="preserve">long_contract_selection</t>
        </is>
      </c>
      <c r="B22" s="4" t="inlineStr">
        <is>
          <t xml:space="preserve">weighted_lease_rate</t>
        </is>
      </c>
      <c r="C22" t="inlineStr">
        <is>
          <t xml:space="preserve">Exact completed-run input</t>
        </is>
      </c>
      <c r="D22" t="inlineStr">
        <is>
          <t xml:space="preserve">Nested commodity parameters are expanded for auditability.</t>
        </is>
      </c>
    </row>
    <row r="23">
      <c r="A23" t="inlineStr">
        <is>
          <t xml:space="preserve">long_line_maturity_1</t>
        </is>
      </c>
      <c r="B23" s="4" t="inlineStr">
        <is>
          <t xml:space="preserve">30</t>
        </is>
      </c>
      <c r="C23" t="inlineStr">
        <is>
          <t xml:space="preserve">Exact completed-run input</t>
        </is>
      </c>
      <c r="D23" t="inlineStr">
        <is>
          <t xml:space="preserve">Nested commodity parameters are expanded for auditability.</t>
        </is>
      </c>
    </row>
    <row r="24">
      <c r="A24" t="inlineStr">
        <is>
          <t xml:space="preserve">long_line_rate_1</t>
        </is>
      </c>
      <c r="B24" s="4" t="inlineStr">
        <is>
          <t xml:space="preserve">1</t>
        </is>
      </c>
      <c r="C24" t="inlineStr">
        <is>
          <t xml:space="preserve">Exact completed-run input</t>
        </is>
      </c>
      <c r="D24" t="inlineStr">
        <is>
          <t xml:space="preserve">Nested commodity parameters are expanded for auditability.</t>
        </is>
      </c>
    </row>
    <row r="25">
      <c r="A25" t="inlineStr">
        <is>
          <t xml:space="preserve">long_line_maturity_2</t>
        </is>
      </c>
      <c r="B25" s="4" t="inlineStr">
        <is>
          <t xml:space="preserve">365</t>
        </is>
      </c>
      <c r="C25" t="inlineStr">
        <is>
          <t xml:space="preserve">Exact completed-run input</t>
        </is>
      </c>
      <c r="D25" t="inlineStr">
        <is>
          <t xml:space="preserve">Nested commodity parameters are expanded for auditability.</t>
        </is>
      </c>
    </row>
    <row r="26">
      <c r="A26" t="inlineStr">
        <is>
          <t xml:space="preserve">long_line_rate_2</t>
        </is>
      </c>
      <c r="B26" s="4" t="inlineStr">
        <is>
          <t xml:space="preserve">2</t>
        </is>
      </c>
      <c r="C26" t="inlineStr">
        <is>
          <t xml:space="preserve">Exact completed-run input</t>
        </is>
      </c>
      <c r="D26" t="inlineStr">
        <is>
          <t xml:space="preserve">Nested commodity parameters are expanded for auditability.</t>
        </is>
      </c>
    </row>
    <row r="27">
      <c r="A27" t="inlineStr">
        <is>
          <t xml:space="preserve">long_relative_strength</t>
        </is>
      </c>
      <c r="B27" s="4" t="inlineStr">
        <is>
          <t xml:space="preserve">1</t>
        </is>
      </c>
      <c r="C27" t="inlineStr">
        <is>
          <t xml:space="preserve">Exact completed-run input</t>
        </is>
      </c>
      <c r="D27" t="inlineStr">
        <is>
          <t xml:space="preserve">Nested commodity parameters are expanded for auditability.</t>
        </is>
      </c>
    </row>
    <row r="28">
      <c r="A28" t="inlineStr">
        <is>
          <t xml:space="preserve">long_pure_maturity_strength</t>
        </is>
      </c>
      <c r="B28" s="4" t="inlineStr">
        <is>
          <t xml:space="preserve">0</t>
        </is>
      </c>
      <c r="C28" t="inlineStr">
        <is>
          <t xml:space="preserve">Exact completed-run input</t>
        </is>
      </c>
      <c r="D28" t="inlineStr">
        <is>
          <t xml:space="preserve">Nested commodity parameters are expanded for auditability.</t>
        </is>
      </c>
    </row>
    <row r="29">
      <c r="A29" t="inlineStr">
        <is>
          <t xml:space="preserve">long_pure_maturity_scale_days</t>
        </is>
      </c>
      <c r="B29" s="4" t="inlineStr">
        <is>
          <t xml:space="preserve">365</t>
        </is>
      </c>
      <c r="C29" t="inlineStr">
        <is>
          <t xml:space="preserve">Exact completed-run input</t>
        </is>
      </c>
      <c r="D29" t="inlineStr">
        <is>
          <t xml:space="preserve">Nested commodity parameters are expanded for auditability.</t>
        </is>
      </c>
    </row>
    <row r="30">
      <c r="A30" t="inlineStr">
        <is>
          <t xml:space="preserve">long_pure_maturity_clip</t>
        </is>
      </c>
      <c r="B30" s="4" t="inlineStr">
        <is>
          <t xml:space="preserve">3</t>
        </is>
      </c>
      <c r="C30" t="inlineStr">
        <is>
          <t xml:space="preserve">Exact completed-run input</t>
        </is>
      </c>
      <c r="D30" t="inlineStr">
        <is>
          <t xml:space="preserve">Nested commodity parameters are expanded for auditability.</t>
        </is>
      </c>
    </row>
    <row r="31">
      <c r="A31" t="inlineStr">
        <is>
          <t xml:space="preserve">long_score_rate_scale</t>
        </is>
      </c>
      <c r="B31" s="4" t="inlineStr">
        <is>
          <t xml:space="preserve">1</t>
        </is>
      </c>
      <c r="C31" t="inlineStr">
        <is>
          <t xml:space="preserve">Exact completed-run input</t>
        </is>
      </c>
      <c r="D31" t="inlineStr">
        <is>
          <t xml:space="preserve">Nested commodity parameters are expanded for auditability.</t>
        </is>
      </c>
    </row>
    <row r="32">
      <c r="A32" t="inlineStr">
        <is>
          <t xml:space="preserve">long_score_adjustment_clip</t>
        </is>
      </c>
      <c r="B32" s="4" t="inlineStr">
        <is>
          <t xml:space="preserve">3</t>
        </is>
      </c>
      <c r="C32" t="inlineStr">
        <is>
          <t xml:space="preserve">Exact completed-run input</t>
        </is>
      </c>
      <c r="D32" t="inlineStr">
        <is>
          <t xml:space="preserve">Nested commodity parameters are expanded for auditability.</t>
        </is>
      </c>
    </row>
    <row r="33">
      <c r="A33" t="inlineStr">
        <is>
          <t xml:space="preserve">positive_entry_rate</t>
        </is>
      </c>
      <c r="B33" s="4" t="inlineStr">
        <is>
          <t xml:space="preserve">0</t>
        </is>
      </c>
      <c r="C33" t="inlineStr">
        <is>
          <t xml:space="preserve">Exact completed-run input</t>
        </is>
      </c>
      <c r="D33" t="inlineStr">
        <is>
          <t xml:space="preserve">Nested commodity parameters are expanded for auditability.</t>
        </is>
      </c>
    </row>
    <row r="34">
      <c r="A34" t="inlineStr">
        <is>
          <t xml:space="preserve">positive_full_rate</t>
        </is>
      </c>
      <c r="B34" s="4" t="inlineStr">
        <is>
          <t xml:space="preserve">15</t>
        </is>
      </c>
      <c r="C34" t="inlineStr">
        <is>
          <t xml:space="preserve">Exact completed-run input</t>
        </is>
      </c>
      <c r="D34" t="inlineStr">
        <is>
          <t xml:space="preserve">Nested commodity parameters are expanded for auditability.</t>
        </is>
      </c>
    </row>
    <row r="35">
      <c r="A35" t="inlineStr">
        <is>
          <t xml:space="preserve">max_futures_treasury_fraction</t>
        </is>
      </c>
      <c r="B35" s="4" t="inlineStr">
        <is>
          <t xml:space="preserve">100</t>
        </is>
      </c>
      <c r="C35" t="inlineStr">
        <is>
          <t xml:space="preserve">Exact completed-run input</t>
        </is>
      </c>
      <c r="D35" t="inlineStr">
        <is>
          <t xml:space="preserve">Nested commodity parameters are expanded for auditability.</t>
        </is>
      </c>
    </row>
    <row r="36">
      <c r="A36" t="inlineStr">
        <is>
          <t xml:space="preserve">enable_short_book</t>
        </is>
      </c>
      <c r="B36" s="4" t="inlineStr">
        <is>
          <t xml:space="preserve">false</t>
        </is>
      </c>
      <c r="C36" t="inlineStr">
        <is>
          <t xml:space="preserve">Exact completed-run input</t>
        </is>
      </c>
      <c r="D36" t="inlineStr">
        <is>
          <t xml:space="preserve">Nested commodity parameters are expanded for auditability.</t>
        </is>
      </c>
    </row>
    <row r="37">
      <c r="A37" t="inlineStr">
        <is>
          <t xml:space="preserve">short_futures_entry_mode</t>
        </is>
      </c>
      <c r="B37" s="4" t="inlineStr">
        <is>
          <t xml:space="preserve">fixed</t>
        </is>
      </c>
      <c r="C37" t="inlineStr">
        <is>
          <t xml:space="preserve">Exact completed-run input</t>
        </is>
      </c>
      <c r="D37" t="inlineStr">
        <is>
          <t xml:space="preserve">Nested commodity parameters are expanded for auditability.</t>
        </is>
      </c>
    </row>
    <row r="38">
      <c r="A38" t="inlineStr">
        <is>
          <t xml:space="preserve">short_contract_selection</t>
        </is>
      </c>
      <c r="B38" s="4" t="inlineStr">
        <is>
          <t xml:space="preserve">weighted_lease_rate</t>
        </is>
      </c>
      <c r="C38" t="inlineStr">
        <is>
          <t xml:space="preserve">Exact completed-run input</t>
        </is>
      </c>
      <c r="D38" t="inlineStr">
        <is>
          <t xml:space="preserve">Nested commodity parameters are expanded for auditability.</t>
        </is>
      </c>
    </row>
    <row r="39">
      <c r="A39" t="inlineStr">
        <is>
          <t xml:space="preserve">short_line_maturity_1</t>
        </is>
      </c>
      <c r="B39" s="4" t="inlineStr">
        <is>
          <t xml:space="preserve">30</t>
        </is>
      </c>
      <c r="C39" t="inlineStr">
        <is>
          <t xml:space="preserve">Exact completed-run input</t>
        </is>
      </c>
      <c r="D39" t="inlineStr">
        <is>
          <t xml:space="preserve">Nested commodity parameters are expanded for auditability.</t>
        </is>
      </c>
    </row>
    <row r="40">
      <c r="A40" t="inlineStr">
        <is>
          <t xml:space="preserve">short_line_rate_1</t>
        </is>
      </c>
      <c r="B40" s="4" t="inlineStr">
        <is>
          <t xml:space="preserve">0.033</t>
        </is>
      </c>
      <c r="C40" t="inlineStr">
        <is>
          <t xml:space="preserve">Exact completed-run input</t>
        </is>
      </c>
      <c r="D40" t="inlineStr">
        <is>
          <t xml:space="preserve">Nested commodity parameters are expanded for auditability.</t>
        </is>
      </c>
    </row>
    <row r="41">
      <c r="A41" t="inlineStr">
        <is>
          <t xml:space="preserve">short_line_maturity_2</t>
        </is>
      </c>
      <c r="B41" s="4" t="inlineStr">
        <is>
          <t xml:space="preserve">365</t>
        </is>
      </c>
      <c r="C41" t="inlineStr">
        <is>
          <t xml:space="preserve">Exact completed-run input</t>
        </is>
      </c>
      <c r="D41" t="inlineStr">
        <is>
          <t xml:space="preserve">Nested commodity parameters are expanded for auditability.</t>
        </is>
      </c>
    </row>
    <row r="42">
      <c r="A42" t="inlineStr">
        <is>
          <t xml:space="preserve">short_line_rate_2</t>
        </is>
      </c>
      <c r="B42" s="4" t="inlineStr">
        <is>
          <t xml:space="preserve">0.4</t>
        </is>
      </c>
      <c r="C42" t="inlineStr">
        <is>
          <t xml:space="preserve">Exact completed-run input</t>
        </is>
      </c>
      <c r="D42" t="inlineStr">
        <is>
          <t xml:space="preserve">Nested commodity parameters are expanded for auditability.</t>
        </is>
      </c>
    </row>
    <row r="43">
      <c r="A43" t="inlineStr">
        <is>
          <t xml:space="preserve">short_relative_strength</t>
        </is>
      </c>
      <c r="B43" s="4" t="inlineStr">
        <is>
          <t xml:space="preserve">1</t>
        </is>
      </c>
      <c r="C43" t="inlineStr">
        <is>
          <t xml:space="preserve">Exact completed-run input</t>
        </is>
      </c>
      <c r="D43" t="inlineStr">
        <is>
          <t xml:space="preserve">Nested commodity parameters are expanded for auditability.</t>
        </is>
      </c>
    </row>
    <row r="44">
      <c r="A44" t="inlineStr">
        <is>
          <t xml:space="preserve">short_pure_maturity_strength</t>
        </is>
      </c>
      <c r="B44" s="4" t="inlineStr">
        <is>
          <t xml:space="preserve">0</t>
        </is>
      </c>
      <c r="C44" t="inlineStr">
        <is>
          <t xml:space="preserve">Exact completed-run input</t>
        </is>
      </c>
      <c r="D44" t="inlineStr">
        <is>
          <t xml:space="preserve">Nested commodity parameters are expanded for auditability.</t>
        </is>
      </c>
    </row>
    <row r="45">
      <c r="A45" t="inlineStr">
        <is>
          <t xml:space="preserve">short_pure_maturity_scale_days</t>
        </is>
      </c>
      <c r="B45" s="4" t="inlineStr">
        <is>
          <t xml:space="preserve">365</t>
        </is>
      </c>
      <c r="C45" t="inlineStr">
        <is>
          <t xml:space="preserve">Exact completed-run input</t>
        </is>
      </c>
      <c r="D45" t="inlineStr">
        <is>
          <t xml:space="preserve">Nested commodity parameters are expanded for auditability.</t>
        </is>
      </c>
    </row>
    <row r="46">
      <c r="A46" t="inlineStr">
        <is>
          <t xml:space="preserve">short_pure_maturity_clip</t>
        </is>
      </c>
      <c r="B46" s="4" t="inlineStr">
        <is>
          <t xml:space="preserve">3</t>
        </is>
      </c>
      <c r="C46" t="inlineStr">
        <is>
          <t xml:space="preserve">Exact completed-run input</t>
        </is>
      </c>
      <c r="D46" t="inlineStr">
        <is>
          <t xml:space="preserve">Nested commodity parameters are expanded for auditability.</t>
        </is>
      </c>
    </row>
    <row r="47">
      <c r="A47" t="inlineStr">
        <is>
          <t xml:space="preserve">short_score_rate_scale</t>
        </is>
      </c>
      <c r="B47" s="4" t="inlineStr">
        <is>
          <t xml:space="preserve">1</t>
        </is>
      </c>
      <c r="C47" t="inlineStr">
        <is>
          <t xml:space="preserve">Exact completed-run input</t>
        </is>
      </c>
      <c r="D47" t="inlineStr">
        <is>
          <t xml:space="preserve">Nested commodity parameters are expanded for auditability.</t>
        </is>
      </c>
    </row>
    <row r="48">
      <c r="A48" t="inlineStr">
        <is>
          <t xml:space="preserve">short_score_adjustment_clip</t>
        </is>
      </c>
      <c r="B48" s="4" t="inlineStr">
        <is>
          <t xml:space="preserve">3</t>
        </is>
      </c>
      <c r="C48" t="inlineStr">
        <is>
          <t xml:space="preserve">Exact completed-run input</t>
        </is>
      </c>
      <c r="D48" t="inlineStr">
        <is>
          <t xml:space="preserve">Nested commodity parameters are expanded for auditability.</t>
        </is>
      </c>
    </row>
    <row r="49">
      <c r="A49" t="inlineStr">
        <is>
          <t xml:space="preserve">negative_short_start_rate</t>
        </is>
      </c>
      <c r="B49" s="4" t="inlineStr">
        <is>
          <t xml:space="preserve">-0.5</t>
        </is>
      </c>
      <c r="C49" t="inlineStr">
        <is>
          <t xml:space="preserve">Exact completed-run input</t>
        </is>
      </c>
      <c r="D49" t="inlineStr">
        <is>
          <t xml:space="preserve">Nested commodity parameters are expanded for auditability.</t>
        </is>
      </c>
    </row>
    <row r="50">
      <c r="A50" t="inlineStr">
        <is>
          <t xml:space="preserve">negative_short_full_rate</t>
        </is>
      </c>
      <c r="B50" s="4" t="inlineStr">
        <is>
          <t xml:space="preserve">-15</t>
        </is>
      </c>
      <c r="C50" t="inlineStr">
        <is>
          <t xml:space="preserve">Exact completed-run input</t>
        </is>
      </c>
      <c r="D50" t="inlineStr">
        <is>
          <t xml:space="preserve">Nested commodity parameters are expanded for auditability.</t>
        </is>
      </c>
    </row>
    <row r="51">
      <c r="A51" t="inlineStr">
        <is>
          <t xml:space="preserve">max_short_fraction_of_long_leg</t>
        </is>
      </c>
      <c r="B51" s="4" t="inlineStr">
        <is>
          <t xml:space="preserve">50</t>
        </is>
      </c>
      <c r="C51" t="inlineStr">
        <is>
          <t xml:space="preserve">Exact completed-run input</t>
        </is>
      </c>
      <c r="D51" t="inlineStr">
        <is>
          <t xml:space="preserve">Nested commodity parameters are expanded for auditability.</t>
        </is>
      </c>
    </row>
    <row r="52">
      <c r="A52" t="inlineStr">
        <is>
          <t xml:space="preserve">treasury_asset</t>
        </is>
      </c>
      <c r="B52" s="4" t="inlineStr">
        <is>
          <t xml:space="preserve">matched_maturity</t>
        </is>
      </c>
      <c r="C52" t="inlineStr">
        <is>
          <t xml:space="preserve">Exact completed-run input</t>
        </is>
      </c>
      <c r="D52" t="inlineStr">
        <is>
          <t xml:space="preserve">Nested commodity parameters are expanded for auditability.</t>
        </is>
      </c>
    </row>
    <row r="53">
      <c r="A53" t="inlineStr">
        <is>
          <t xml:space="preserve">treasury_allocation_mode</t>
        </is>
      </c>
      <c r="B53" s="4" t="inlineStr">
        <is>
          <t xml:space="preserve">shortest_rolling</t>
        </is>
      </c>
      <c r="C53" t="inlineStr">
        <is>
          <t xml:space="preserve">Exact completed-run input</t>
        </is>
      </c>
      <c r="D53" t="inlineStr">
        <is>
          <t xml:space="preserve">Nested commodity parameters are expanded for auditability.</t>
        </is>
      </c>
    </row>
    <row r="54">
      <c r="A54" t="inlineStr">
        <is>
          <t xml:space="preserve">bond_mode</t>
        </is>
      </c>
      <c r="B54" s="4" t="inlineStr">
        <is>
          <t xml:space="preserve">accrual</t>
        </is>
      </c>
      <c r="C54" t="inlineStr">
        <is>
          <t xml:space="preserve">Exact completed-run input</t>
        </is>
      </c>
      <c r="D54" t="inlineStr">
        <is>
          <t xml:space="preserve">Nested commodity parameters are expanded for auditability.</t>
        </is>
      </c>
    </row>
    <row r="55">
      <c r="A55" t="inlineStr">
        <is>
          <t xml:space="preserve">commodity_parameters.silver.min_days</t>
        </is>
      </c>
      <c r="B55" s="4" t="inlineStr">
        <is>
          <t xml:space="preserve">10</t>
        </is>
      </c>
      <c r="C55" t="inlineStr">
        <is>
          <t xml:space="preserve">Exact completed-run input</t>
        </is>
      </c>
      <c r="D55" t="inlineStr">
        <is>
          <t xml:space="preserve">Nested commodity parameters are expanded for auditability.</t>
        </is>
      </c>
    </row>
    <row r="56">
      <c r="A56" t="inlineStr">
        <is>
          <t xml:space="preserve">commodity_parameters.silver.roll_only_if_better</t>
        </is>
      </c>
      <c r="B56" s="4" t="inlineStr">
        <is>
          <t xml:space="preserve">true</t>
        </is>
      </c>
      <c r="C56" t="inlineStr">
        <is>
          <t xml:space="preserve">Exact completed-run input</t>
        </is>
      </c>
      <c r="D56" t="inlineStr">
        <is>
          <t xml:space="preserve">Nested commodity parameters are expanded for auditability.</t>
        </is>
      </c>
    </row>
    <row r="57">
      <c r="A57" t="inlineStr">
        <is>
          <t xml:space="preserve">commodity_parameters.silver.force_roll_at_min_days</t>
        </is>
      </c>
      <c r="B57" s="4" t="inlineStr">
        <is>
          <t xml:space="preserve">true</t>
        </is>
      </c>
      <c r="C57" t="inlineStr">
        <is>
          <t xml:space="preserve">Exact completed-run input</t>
        </is>
      </c>
      <c r="D57" t="inlineStr">
        <is>
          <t xml:space="preserve">Nested commodity parameters are expanded for auditability.</t>
        </is>
      </c>
    </row>
    <row r="58">
      <c r="A58" t="inlineStr">
        <is>
          <t xml:space="preserve">commodity_parameters.silver.long_allocation_half_life_days</t>
        </is>
      </c>
      <c r="B58" s="4" t="inlineStr">
        <is>
          <t xml:space="preserve">0</t>
        </is>
      </c>
      <c r="C58" t="inlineStr">
        <is>
          <t xml:space="preserve">Exact completed-run input</t>
        </is>
      </c>
      <c r="D58" t="inlineStr">
        <is>
          <t xml:space="preserve">Nested commodity parameters are expanded for auditability.</t>
        </is>
      </c>
    </row>
    <row r="59">
      <c r="A59" t="inlineStr">
        <is>
          <t xml:space="preserve">commodity_parameters.silver.short_allocation_half_life_days</t>
        </is>
      </c>
      <c r="B59" s="4" t="inlineStr">
        <is>
          <t xml:space="preserve">0</t>
        </is>
      </c>
      <c r="C59" t="inlineStr">
        <is>
          <t xml:space="preserve">Exact completed-run input</t>
        </is>
      </c>
      <c r="D59" t="inlineStr">
        <is>
          <t xml:space="preserve">Nested commodity parameters are expanded for auditability.</t>
        </is>
      </c>
    </row>
    <row r="60">
      <c r="A60" t="inlineStr">
        <is>
          <t xml:space="preserve">commodity_parameters.silver.slv_expense</t>
        </is>
      </c>
      <c r="B60" s="4" t="inlineStr">
        <is>
          <t xml:space="preserve">0.25</t>
        </is>
      </c>
      <c r="C60" t="inlineStr">
        <is>
          <t xml:space="preserve">Exact completed-run input</t>
        </is>
      </c>
      <c r="D60" t="inlineStr">
        <is>
          <t xml:space="preserve">Nested commodity parameters are expanded for auditability.</t>
        </is>
      </c>
    </row>
    <row r="61">
      <c r="A61" t="inlineStr">
        <is>
          <t xml:space="preserve">commodity_parameters.silver.futures_contract_type</t>
        </is>
      </c>
      <c r="B61" s="4" t="inlineStr">
        <is>
          <t xml:space="preserve">regular</t>
        </is>
      </c>
      <c r="C61" t="inlineStr">
        <is>
          <t xml:space="preserve">Exact completed-run input</t>
        </is>
      </c>
      <c r="D61" t="inlineStr">
        <is>
          <t xml:space="preserve">Nested commodity parameters are expanded for auditability.</t>
        </is>
      </c>
    </row>
    <row r="62">
      <c r="A62" t="inlineStr">
        <is>
          <t xml:space="preserve">commodity_parameters.silver.inverse_payoff_conversion_fee</t>
        </is>
      </c>
      <c r="B62" s="4" t="inlineStr">
        <is>
          <t xml:space="preserve">0</t>
        </is>
      </c>
      <c r="C62" t="inlineStr">
        <is>
          <t xml:space="preserve">Exact completed-run input</t>
        </is>
      </c>
      <c r="D62" t="inlineStr">
        <is>
          <t xml:space="preserve">Nested commodity parameters are expanded for auditability.</t>
        </is>
      </c>
    </row>
    <row r="63">
      <c r="A63" t="inlineStr">
        <is>
          <t xml:space="preserve">commodity_parameters.silver.inverse_min_conversion_btc</t>
        </is>
      </c>
      <c r="B63" s="4" t="inlineStr">
        <is>
          <t xml:space="preserve">0</t>
        </is>
      </c>
      <c r="C63" t="inlineStr">
        <is>
          <t xml:space="preserve">Exact completed-run input</t>
        </is>
      </c>
      <c r="D63" t="inlineStr">
        <is>
          <t xml:space="preserve">Nested commodity parameters are expanded for auditability.</t>
        </is>
      </c>
    </row>
    <row r="64">
      <c r="A64" t="inlineStr">
        <is>
          <t xml:space="preserve">commodity_parameters.silver.enable_cash_long_futures_leg</t>
        </is>
      </c>
      <c r="B64" s="4" t="inlineStr">
        <is>
          <t xml:space="preserve">true</t>
        </is>
      </c>
      <c r="C64" t="inlineStr">
        <is>
          <t xml:space="preserve">Exact completed-run input</t>
        </is>
      </c>
      <c r="D64" t="inlineStr">
        <is>
          <t xml:space="preserve">Nested commodity parameters are expanded for auditability.</t>
        </is>
      </c>
    </row>
    <row r="65">
      <c r="A65" t="inlineStr">
        <is>
          <t xml:space="preserve">commodity_parameters.silver.long_futures_entry_mode</t>
        </is>
      </c>
      <c r="B65" s="4" t="inlineStr">
        <is>
          <t xml:space="preserve">gradual</t>
        </is>
      </c>
      <c r="C65" t="inlineStr">
        <is>
          <t xml:space="preserve">Exact completed-run input</t>
        </is>
      </c>
      <c r="D65" t="inlineStr">
        <is>
          <t xml:space="preserve">Nested commodity parameters are expanded for auditability.</t>
        </is>
      </c>
    </row>
    <row r="66">
      <c r="A66" t="inlineStr">
        <is>
          <t xml:space="preserve">commodity_parameters.silver.long_contract_selection</t>
        </is>
      </c>
      <c r="B66" s="4" t="inlineStr">
        <is>
          <t xml:space="preserve">weighted_lease_rate</t>
        </is>
      </c>
      <c r="C66" t="inlineStr">
        <is>
          <t xml:space="preserve">Exact completed-run input</t>
        </is>
      </c>
      <c r="D66" t="inlineStr">
        <is>
          <t xml:space="preserve">Nested commodity parameters are expanded for auditability.</t>
        </is>
      </c>
    </row>
    <row r="67">
      <c r="A67" t="inlineStr">
        <is>
          <t xml:space="preserve">commodity_parameters.silver.long_line_maturity_1</t>
        </is>
      </c>
      <c r="B67" s="4" t="inlineStr">
        <is>
          <t xml:space="preserve">30</t>
        </is>
      </c>
      <c r="C67" t="inlineStr">
        <is>
          <t xml:space="preserve">Exact completed-run input</t>
        </is>
      </c>
      <c r="D67" t="inlineStr">
        <is>
          <t xml:space="preserve">Nested commodity parameters are expanded for auditability.</t>
        </is>
      </c>
    </row>
    <row r="68">
      <c r="A68" t="inlineStr">
        <is>
          <t xml:space="preserve">commodity_parameters.silver.long_line_rate_1</t>
        </is>
      </c>
      <c r="B68" s="4" t="inlineStr">
        <is>
          <t xml:space="preserve">1</t>
        </is>
      </c>
      <c r="C68" t="inlineStr">
        <is>
          <t xml:space="preserve">Exact completed-run input</t>
        </is>
      </c>
      <c r="D68" t="inlineStr">
        <is>
          <t xml:space="preserve">Nested commodity parameters are expanded for auditability.</t>
        </is>
      </c>
    </row>
    <row r="69">
      <c r="A69" t="inlineStr">
        <is>
          <t xml:space="preserve">commodity_parameters.silver.long_line_maturity_2</t>
        </is>
      </c>
      <c r="B69" s="4" t="inlineStr">
        <is>
          <t xml:space="preserve">365</t>
        </is>
      </c>
      <c r="C69" t="inlineStr">
        <is>
          <t xml:space="preserve">Exact completed-run input</t>
        </is>
      </c>
      <c r="D69" t="inlineStr">
        <is>
          <t xml:space="preserve">Nested commodity parameters are expanded for auditability.</t>
        </is>
      </c>
    </row>
    <row r="70">
      <c r="A70" t="inlineStr">
        <is>
          <t xml:space="preserve">commodity_parameters.silver.long_line_rate_2</t>
        </is>
      </c>
      <c r="B70" s="4" t="inlineStr">
        <is>
          <t xml:space="preserve">2</t>
        </is>
      </c>
      <c r="C70" t="inlineStr">
        <is>
          <t xml:space="preserve">Exact completed-run input</t>
        </is>
      </c>
      <c r="D70" t="inlineStr">
        <is>
          <t xml:space="preserve">Nested commodity parameters are expanded for auditability.</t>
        </is>
      </c>
    </row>
    <row r="71">
      <c r="A71" t="inlineStr">
        <is>
          <t xml:space="preserve">commodity_parameters.silver.long_relative_strength</t>
        </is>
      </c>
      <c r="B71" s="4" t="inlineStr">
        <is>
          <t xml:space="preserve">1</t>
        </is>
      </c>
      <c r="C71" t="inlineStr">
        <is>
          <t xml:space="preserve">Exact completed-run input</t>
        </is>
      </c>
      <c r="D71" t="inlineStr">
        <is>
          <t xml:space="preserve">Nested commodity parameters are expanded for auditability.</t>
        </is>
      </c>
    </row>
    <row r="72">
      <c r="A72" t="inlineStr">
        <is>
          <t xml:space="preserve">commodity_parameters.silver.long_pure_maturity_strength</t>
        </is>
      </c>
      <c r="B72" s="4" t="inlineStr">
        <is>
          <t xml:space="preserve">0</t>
        </is>
      </c>
      <c r="C72" t="inlineStr">
        <is>
          <t xml:space="preserve">Exact completed-run input</t>
        </is>
      </c>
      <c r="D72" t="inlineStr">
        <is>
          <t xml:space="preserve">Nested commodity parameters are expanded for auditability.</t>
        </is>
      </c>
    </row>
    <row r="73">
      <c r="A73" t="inlineStr">
        <is>
          <t xml:space="preserve">commodity_parameters.silver.long_pure_maturity_scale_days</t>
        </is>
      </c>
      <c r="B73" s="4" t="inlineStr">
        <is>
          <t xml:space="preserve">365</t>
        </is>
      </c>
      <c r="C73" t="inlineStr">
        <is>
          <t xml:space="preserve">Exact completed-run input</t>
        </is>
      </c>
      <c r="D73" t="inlineStr">
        <is>
          <t xml:space="preserve">Nested commodity parameters are expanded for auditability.</t>
        </is>
      </c>
    </row>
    <row r="74">
      <c r="A74" t="inlineStr">
        <is>
          <t xml:space="preserve">commodity_parameters.silver.long_pure_maturity_clip</t>
        </is>
      </c>
      <c r="B74" s="4" t="inlineStr">
        <is>
          <t xml:space="preserve">3</t>
        </is>
      </c>
      <c r="C74" t="inlineStr">
        <is>
          <t xml:space="preserve">Exact completed-run input</t>
        </is>
      </c>
      <c r="D74" t="inlineStr">
        <is>
          <t xml:space="preserve">Nested commodity parameters are expanded for auditability.</t>
        </is>
      </c>
    </row>
    <row r="75">
      <c r="A75" t="inlineStr">
        <is>
          <t xml:space="preserve">commodity_parameters.silver.long_score_rate_scale</t>
        </is>
      </c>
      <c r="B75" s="4" t="inlineStr">
        <is>
          <t xml:space="preserve">1</t>
        </is>
      </c>
      <c r="C75" t="inlineStr">
        <is>
          <t xml:space="preserve">Exact completed-run input</t>
        </is>
      </c>
      <c r="D75" t="inlineStr">
        <is>
          <t xml:space="preserve">Nested commodity parameters are expanded for auditability.</t>
        </is>
      </c>
    </row>
    <row r="76">
      <c r="A76" t="inlineStr">
        <is>
          <t xml:space="preserve">commodity_parameters.silver.long_score_adjustment_clip</t>
        </is>
      </c>
      <c r="B76" s="4" t="inlineStr">
        <is>
          <t xml:space="preserve">3</t>
        </is>
      </c>
      <c r="C76" t="inlineStr">
        <is>
          <t xml:space="preserve">Exact completed-run input</t>
        </is>
      </c>
      <c r="D76" t="inlineStr">
        <is>
          <t xml:space="preserve">Nested commodity parameters are expanded for auditability.</t>
        </is>
      </c>
    </row>
    <row r="77">
      <c r="A77" t="inlineStr">
        <is>
          <t xml:space="preserve">commodity_parameters.silver.positive_entry_rate</t>
        </is>
      </c>
      <c r="B77" s="4" t="inlineStr">
        <is>
          <t xml:space="preserve">0</t>
        </is>
      </c>
      <c r="C77" t="inlineStr">
        <is>
          <t xml:space="preserve">Exact completed-run input</t>
        </is>
      </c>
      <c r="D77" t="inlineStr">
        <is>
          <t xml:space="preserve">Nested commodity parameters are expanded for auditability.</t>
        </is>
      </c>
    </row>
    <row r="78">
      <c r="A78" t="inlineStr">
        <is>
          <t xml:space="preserve">commodity_parameters.silver.positive_full_rate</t>
        </is>
      </c>
      <c r="B78" s="4" t="inlineStr">
        <is>
          <t xml:space="preserve">15</t>
        </is>
      </c>
      <c r="C78" t="inlineStr">
        <is>
          <t xml:space="preserve">Exact completed-run input</t>
        </is>
      </c>
      <c r="D78" t="inlineStr">
        <is>
          <t xml:space="preserve">Nested commodity parameters are expanded for auditability.</t>
        </is>
      </c>
    </row>
    <row r="79">
      <c r="A79" t="inlineStr">
        <is>
          <t xml:space="preserve">commodity_parameters.silver.max_futures_treasury_fraction</t>
        </is>
      </c>
      <c r="B79" s="4" t="inlineStr">
        <is>
          <t xml:space="preserve">100</t>
        </is>
      </c>
      <c r="C79" t="inlineStr">
        <is>
          <t xml:space="preserve">Exact completed-run input</t>
        </is>
      </c>
      <c r="D79" t="inlineStr">
        <is>
          <t xml:space="preserve">Nested commodity parameters are expanded for auditability.</t>
        </is>
      </c>
    </row>
    <row r="80">
      <c r="A80" t="inlineStr">
        <is>
          <t xml:space="preserve">commodity_parameters.silver.enable_short_book</t>
        </is>
      </c>
      <c r="B80" s="4" t="inlineStr">
        <is>
          <t xml:space="preserve">false</t>
        </is>
      </c>
      <c r="C80" t="inlineStr">
        <is>
          <t xml:space="preserve">Exact completed-run input</t>
        </is>
      </c>
      <c r="D80" t="inlineStr">
        <is>
          <t xml:space="preserve">Nested commodity parameters are expanded for auditability.</t>
        </is>
      </c>
    </row>
    <row r="81">
      <c r="A81" t="inlineStr">
        <is>
          <t xml:space="preserve">commodity_parameters.silver.short_futures_entry_mode</t>
        </is>
      </c>
      <c r="B81" s="4" t="inlineStr">
        <is>
          <t xml:space="preserve">fixed</t>
        </is>
      </c>
      <c r="C81" t="inlineStr">
        <is>
          <t xml:space="preserve">Exact completed-run input</t>
        </is>
      </c>
      <c r="D81" t="inlineStr">
        <is>
          <t xml:space="preserve">Nested commodity parameters are expanded for auditability.</t>
        </is>
      </c>
    </row>
    <row r="82">
      <c r="A82" t="inlineStr">
        <is>
          <t xml:space="preserve">commodity_parameters.silver.short_contract_selection</t>
        </is>
      </c>
      <c r="B82" s="4" t="inlineStr">
        <is>
          <t xml:space="preserve">weighted_lease_rate</t>
        </is>
      </c>
      <c r="C82" t="inlineStr">
        <is>
          <t xml:space="preserve">Exact completed-run input</t>
        </is>
      </c>
      <c r="D82" t="inlineStr">
        <is>
          <t xml:space="preserve">Nested commodity parameters are expanded for auditability.</t>
        </is>
      </c>
    </row>
    <row r="83">
      <c r="A83" t="inlineStr">
        <is>
          <t xml:space="preserve">commodity_parameters.silver.short_line_maturity_1</t>
        </is>
      </c>
      <c r="B83" s="4" t="inlineStr">
        <is>
          <t xml:space="preserve">30</t>
        </is>
      </c>
      <c r="C83" t="inlineStr">
        <is>
          <t xml:space="preserve">Exact completed-run input</t>
        </is>
      </c>
      <c r="D83" t="inlineStr">
        <is>
          <t xml:space="preserve">Nested commodity parameters are expanded for auditability.</t>
        </is>
      </c>
    </row>
    <row r="84">
      <c r="A84" t="inlineStr">
        <is>
          <t xml:space="preserve">commodity_parameters.silver.short_line_rate_1</t>
        </is>
      </c>
      <c r="B84" s="4" t="inlineStr">
        <is>
          <t xml:space="preserve">0.033</t>
        </is>
      </c>
      <c r="C84" t="inlineStr">
        <is>
          <t xml:space="preserve">Exact completed-run input</t>
        </is>
      </c>
      <c r="D84" t="inlineStr">
        <is>
          <t xml:space="preserve">Nested commodity parameters are expanded for auditability.</t>
        </is>
      </c>
    </row>
    <row r="85">
      <c r="A85" t="inlineStr">
        <is>
          <t xml:space="preserve">commodity_parameters.silver.short_line_maturity_2</t>
        </is>
      </c>
      <c r="B85" s="4" t="inlineStr">
        <is>
          <t xml:space="preserve">365</t>
        </is>
      </c>
      <c r="C85" t="inlineStr">
        <is>
          <t xml:space="preserve">Exact completed-run input</t>
        </is>
      </c>
      <c r="D85" t="inlineStr">
        <is>
          <t xml:space="preserve">Nested commodity parameters are expanded for auditability.</t>
        </is>
      </c>
    </row>
    <row r="86">
      <c r="A86" t="inlineStr">
        <is>
          <t xml:space="preserve">commodity_parameters.silver.short_line_rate_2</t>
        </is>
      </c>
      <c r="B86" s="4" t="inlineStr">
        <is>
          <t xml:space="preserve">0.4</t>
        </is>
      </c>
      <c r="C86" t="inlineStr">
        <is>
          <t xml:space="preserve">Exact completed-run input</t>
        </is>
      </c>
      <c r="D86" t="inlineStr">
        <is>
          <t xml:space="preserve">Nested commodity parameters are expanded for auditability.</t>
        </is>
      </c>
    </row>
    <row r="87">
      <c r="A87" t="inlineStr">
        <is>
          <t xml:space="preserve">commodity_parameters.silver.short_relative_strength</t>
        </is>
      </c>
      <c r="B87" s="4" t="inlineStr">
        <is>
          <t xml:space="preserve">1</t>
        </is>
      </c>
      <c r="C87" t="inlineStr">
        <is>
          <t xml:space="preserve">Exact completed-run input</t>
        </is>
      </c>
      <c r="D87" t="inlineStr">
        <is>
          <t xml:space="preserve">Nested commodity parameters are expanded for auditability.</t>
        </is>
      </c>
    </row>
    <row r="88">
      <c r="A88" t="inlineStr">
        <is>
          <t xml:space="preserve">commodity_parameters.silver.short_pure_maturity_strength</t>
        </is>
      </c>
      <c r="B88" s="4" t="inlineStr">
        <is>
          <t xml:space="preserve">0</t>
        </is>
      </c>
      <c r="C88" t="inlineStr">
        <is>
          <t xml:space="preserve">Exact completed-run input</t>
        </is>
      </c>
      <c r="D88" t="inlineStr">
        <is>
          <t xml:space="preserve">Nested commodity parameters are expanded for auditability.</t>
        </is>
      </c>
    </row>
    <row r="89">
      <c r="A89" t="inlineStr">
        <is>
          <t xml:space="preserve">commodity_parameters.silver.short_pure_maturity_scale_days</t>
        </is>
      </c>
      <c r="B89" s="4" t="inlineStr">
        <is>
          <t xml:space="preserve">365</t>
        </is>
      </c>
      <c r="C89" t="inlineStr">
        <is>
          <t xml:space="preserve">Exact completed-run input</t>
        </is>
      </c>
      <c r="D89" t="inlineStr">
        <is>
          <t xml:space="preserve">Nested commodity parameters are expanded for auditability.</t>
        </is>
      </c>
    </row>
    <row r="90">
      <c r="A90" t="inlineStr">
        <is>
          <t xml:space="preserve">commodity_parameters.silver.short_pure_maturity_clip</t>
        </is>
      </c>
      <c r="B90" s="4" t="inlineStr">
        <is>
          <t xml:space="preserve">3</t>
        </is>
      </c>
      <c r="C90" t="inlineStr">
        <is>
          <t xml:space="preserve">Exact completed-run input</t>
        </is>
      </c>
      <c r="D90" t="inlineStr">
        <is>
          <t xml:space="preserve">Nested commodity parameters are expanded for auditability.</t>
        </is>
      </c>
    </row>
    <row r="91">
      <c r="A91" t="inlineStr">
        <is>
          <t xml:space="preserve">commodity_parameters.silver.short_score_rate_scale</t>
        </is>
      </c>
      <c r="B91" s="4" t="inlineStr">
        <is>
          <t xml:space="preserve">1</t>
        </is>
      </c>
      <c r="C91" t="inlineStr">
        <is>
          <t xml:space="preserve">Exact completed-run input</t>
        </is>
      </c>
      <c r="D91" t="inlineStr">
        <is>
          <t xml:space="preserve">Nested commodity parameters are expanded for auditability.</t>
        </is>
      </c>
    </row>
    <row r="92">
      <c r="A92" t="inlineStr">
        <is>
          <t xml:space="preserve">commodity_parameters.silver.short_score_adjustment_clip</t>
        </is>
      </c>
      <c r="B92" s="4" t="inlineStr">
        <is>
          <t xml:space="preserve">3</t>
        </is>
      </c>
      <c r="C92" t="inlineStr">
        <is>
          <t xml:space="preserve">Exact completed-run input</t>
        </is>
      </c>
      <c r="D92" t="inlineStr">
        <is>
          <t xml:space="preserve">Nested commodity parameters are expanded for auditability.</t>
        </is>
      </c>
    </row>
    <row r="93">
      <c r="A93" t="inlineStr">
        <is>
          <t xml:space="preserve">commodity_parameters.silver.negative_short_start_rate</t>
        </is>
      </c>
      <c r="B93" s="4" t="inlineStr">
        <is>
          <t xml:space="preserve">-0.5</t>
        </is>
      </c>
      <c r="C93" t="inlineStr">
        <is>
          <t xml:space="preserve">Exact completed-run input</t>
        </is>
      </c>
      <c r="D93" t="inlineStr">
        <is>
          <t xml:space="preserve">Nested commodity parameters are expanded for auditability.</t>
        </is>
      </c>
    </row>
    <row r="94">
      <c r="A94" t="inlineStr">
        <is>
          <t xml:space="preserve">commodity_parameters.silver.negative_short_full_rate</t>
        </is>
      </c>
      <c r="B94" s="4" t="inlineStr">
        <is>
          <t xml:space="preserve">-15</t>
        </is>
      </c>
      <c r="C94" t="inlineStr">
        <is>
          <t xml:space="preserve">Exact completed-run input</t>
        </is>
      </c>
      <c r="D94" t="inlineStr">
        <is>
          <t xml:space="preserve">Nested commodity parameters are expanded for auditability.</t>
        </is>
      </c>
    </row>
    <row r="95">
      <c r="A95" t="inlineStr">
        <is>
          <t xml:space="preserve">commodity_parameters.silver.max_short_fraction_of_long_leg</t>
        </is>
      </c>
      <c r="B95" s="4" t="inlineStr">
        <is>
          <t xml:space="preserve">50</t>
        </is>
      </c>
      <c r="C95" t="inlineStr">
        <is>
          <t xml:space="preserve">Exact completed-run input</t>
        </is>
      </c>
      <c r="D95" t="inlineStr">
        <is>
          <t xml:space="preserve">Nested commodity parameters are expanded for auditability.</t>
        </is>
      </c>
    </row>
    <row r="96">
      <c r="A96" t="inlineStr">
        <is>
          <t xml:space="preserve">commodity_parameters.gold.min_days</t>
        </is>
      </c>
      <c r="B96" s="4" t="inlineStr">
        <is>
          <t xml:space="preserve">60</t>
        </is>
      </c>
      <c r="C96" t="inlineStr">
        <is>
          <t xml:space="preserve">Exact completed-run input</t>
        </is>
      </c>
      <c r="D96" t="inlineStr">
        <is>
          <t xml:space="preserve">Nested commodity parameters are expanded for auditability.</t>
        </is>
      </c>
    </row>
    <row r="97">
      <c r="A97" t="inlineStr">
        <is>
          <t xml:space="preserve">commodity_parameters.gold.roll_only_if_better</t>
        </is>
      </c>
      <c r="B97" s="4" t="inlineStr">
        <is>
          <t xml:space="preserve">true</t>
        </is>
      </c>
      <c r="C97" t="inlineStr">
        <is>
          <t xml:space="preserve">Exact completed-run input</t>
        </is>
      </c>
      <c r="D97" t="inlineStr">
        <is>
          <t xml:space="preserve">Nested commodity parameters are expanded for auditability.</t>
        </is>
      </c>
    </row>
    <row r="98">
      <c r="A98" t="inlineStr">
        <is>
          <t xml:space="preserve">commodity_parameters.gold.force_roll_at_min_days</t>
        </is>
      </c>
      <c r="B98" s="4" t="inlineStr">
        <is>
          <t xml:space="preserve">true</t>
        </is>
      </c>
      <c r="C98" t="inlineStr">
        <is>
          <t xml:space="preserve">Exact completed-run input</t>
        </is>
      </c>
      <c r="D98" t="inlineStr">
        <is>
          <t xml:space="preserve">Nested commodity parameters are expanded for auditability.</t>
        </is>
      </c>
    </row>
    <row r="99">
      <c r="A99" t="inlineStr">
        <is>
          <t xml:space="preserve">commodity_parameters.gold.long_allocation_half_life_days</t>
        </is>
      </c>
      <c r="B99" s="4" t="inlineStr">
        <is>
          <t xml:space="preserve">2</t>
        </is>
      </c>
      <c r="C99" t="inlineStr">
        <is>
          <t xml:space="preserve">Exact completed-run input</t>
        </is>
      </c>
      <c r="D99" t="inlineStr">
        <is>
          <t xml:space="preserve">Nested commodity parameters are expanded for auditability.</t>
        </is>
      </c>
    </row>
    <row r="100">
      <c r="A100" t="inlineStr">
        <is>
          <t xml:space="preserve">commodity_parameters.gold.short_allocation_half_life_days</t>
        </is>
      </c>
      <c r="B100" s="4" t="inlineStr">
        <is>
          <t xml:space="preserve">0</t>
        </is>
      </c>
      <c r="C100" t="inlineStr">
        <is>
          <t xml:space="preserve">Exact completed-run input</t>
        </is>
      </c>
      <c r="D100" t="inlineStr">
        <is>
          <t xml:space="preserve">Nested commodity parameters are expanded for auditability.</t>
        </is>
      </c>
    </row>
    <row r="101">
      <c r="A101" t="inlineStr">
        <is>
          <t xml:space="preserve">commodity_parameters.gold.enable_slv_leg</t>
        </is>
      </c>
      <c r="B101" s="4" t="inlineStr">
        <is>
          <t xml:space="preserve">true</t>
        </is>
      </c>
      <c r="C101" t="inlineStr">
        <is>
          <t xml:space="preserve">Exact completed-run input</t>
        </is>
      </c>
      <c r="D101" t="inlineStr">
        <is>
          <t xml:space="preserve">Nested commodity parameters are expanded for auditability.</t>
        </is>
      </c>
    </row>
    <row r="102">
      <c r="A102" t="inlineStr">
        <is>
          <t xml:space="preserve">commodity_parameters.gold.slv_expense</t>
        </is>
      </c>
      <c r="B102" s="4" t="inlineStr">
        <is>
          <t xml:space="preserve">0.2</t>
        </is>
      </c>
      <c r="C102" t="inlineStr">
        <is>
          <t xml:space="preserve">Exact completed-run input</t>
        </is>
      </c>
      <c r="D102" t="inlineStr">
        <is>
          <t xml:space="preserve">Nested commodity parameters are expanded for auditability.</t>
        </is>
      </c>
    </row>
    <row r="103">
      <c r="A103" t="inlineStr">
        <is>
          <t xml:space="preserve">commodity_parameters.gold.enable_cash_long_futures_leg</t>
        </is>
      </c>
      <c r="B103" s="4" t="inlineStr">
        <is>
          <t xml:space="preserve">true</t>
        </is>
      </c>
      <c r="C103" t="inlineStr">
        <is>
          <t xml:space="preserve">Exact completed-run input</t>
        </is>
      </c>
      <c r="D103" t="inlineStr">
        <is>
          <t xml:space="preserve">Nested commodity parameters are expanded for auditability.</t>
        </is>
      </c>
    </row>
    <row r="104">
      <c r="A104" t="inlineStr">
        <is>
          <t xml:space="preserve">commodity_parameters.gold.long_futures_entry_mode</t>
        </is>
      </c>
      <c r="B104" s="4" t="inlineStr">
        <is>
          <t xml:space="preserve">gradual</t>
        </is>
      </c>
      <c r="C104" t="inlineStr">
        <is>
          <t xml:space="preserve">Exact completed-run input</t>
        </is>
      </c>
      <c r="D104" t="inlineStr">
        <is>
          <t xml:space="preserve">Nested commodity parameters are expanded for auditability.</t>
        </is>
      </c>
    </row>
    <row r="105">
      <c r="A105" t="inlineStr">
        <is>
          <t xml:space="preserve">commodity_parameters.gold.long_contract_selection</t>
        </is>
      </c>
      <c r="B105" s="4" t="inlineStr">
        <is>
          <t xml:space="preserve">weighted_lease_rate</t>
        </is>
      </c>
      <c r="C105" t="inlineStr">
        <is>
          <t xml:space="preserve">Exact completed-run input</t>
        </is>
      </c>
      <c r="D105" t="inlineStr">
        <is>
          <t xml:space="preserve">Nested commodity parameters are expanded for auditability.</t>
        </is>
      </c>
    </row>
    <row r="106">
      <c r="A106" t="inlineStr">
        <is>
          <t xml:space="preserve">commodity_parameters.gold.long_line_maturity_1</t>
        </is>
      </c>
      <c r="B106" s="4" t="inlineStr">
        <is>
          <t xml:space="preserve">30</t>
        </is>
      </c>
      <c r="C106" t="inlineStr">
        <is>
          <t xml:space="preserve">Exact completed-run input</t>
        </is>
      </c>
      <c r="D106" t="inlineStr">
        <is>
          <t xml:space="preserve">Nested commodity parameters are expanded for auditability.</t>
        </is>
      </c>
    </row>
    <row r="107">
      <c r="A107" t="inlineStr">
        <is>
          <t xml:space="preserve">commodity_parameters.gold.long_line_rate_1</t>
        </is>
      </c>
      <c r="B107" s="4" t="inlineStr">
        <is>
          <t xml:space="preserve">0</t>
        </is>
      </c>
      <c r="C107" t="inlineStr">
        <is>
          <t xml:space="preserve">Exact completed-run input</t>
        </is>
      </c>
      <c r="D107" t="inlineStr">
        <is>
          <t xml:space="preserve">Nested commodity parameters are expanded for auditability.</t>
        </is>
      </c>
    </row>
    <row r="108">
      <c r="A108" t="inlineStr">
        <is>
          <t xml:space="preserve">commodity_parameters.gold.long_line_maturity_2</t>
        </is>
      </c>
      <c r="B108" s="4" t="inlineStr">
        <is>
          <t xml:space="preserve">350</t>
        </is>
      </c>
      <c r="C108" t="inlineStr">
        <is>
          <t xml:space="preserve">Exact completed-run input</t>
        </is>
      </c>
      <c r="D108" t="inlineStr">
        <is>
          <t xml:space="preserve">Nested commodity parameters are expanded for auditability.</t>
        </is>
      </c>
    </row>
    <row r="109">
      <c r="A109" t="inlineStr">
        <is>
          <t xml:space="preserve">commodity_parameters.gold.long_line_rate_2</t>
        </is>
      </c>
      <c r="B109" s="4" t="inlineStr">
        <is>
          <t xml:space="preserve">2</t>
        </is>
      </c>
      <c r="C109" t="inlineStr">
        <is>
          <t xml:space="preserve">Exact completed-run input</t>
        </is>
      </c>
      <c r="D109" t="inlineStr">
        <is>
          <t xml:space="preserve">Nested commodity parameters are expanded for auditability.</t>
        </is>
      </c>
    </row>
    <row r="110">
      <c r="A110" t="inlineStr">
        <is>
          <t xml:space="preserve">commodity_parameters.gold.long_relative_strength</t>
        </is>
      </c>
      <c r="B110" s="4" t="inlineStr">
        <is>
          <t xml:space="preserve">1</t>
        </is>
      </c>
      <c r="C110" t="inlineStr">
        <is>
          <t xml:space="preserve">Exact completed-run input</t>
        </is>
      </c>
      <c r="D110" t="inlineStr">
        <is>
          <t xml:space="preserve">Nested commodity parameters are expanded for auditability.</t>
        </is>
      </c>
    </row>
    <row r="111">
      <c r="A111" t="inlineStr">
        <is>
          <t xml:space="preserve">commodity_parameters.gold.long_pure_maturity_strength</t>
        </is>
      </c>
      <c r="B111" s="4" t="inlineStr">
        <is>
          <t xml:space="preserve">0.5</t>
        </is>
      </c>
      <c r="C111" t="inlineStr">
        <is>
          <t xml:space="preserve">Exact completed-run input</t>
        </is>
      </c>
      <c r="D111" t="inlineStr">
        <is>
          <t xml:space="preserve">Nested commodity parameters are expanded for auditability.</t>
        </is>
      </c>
    </row>
    <row r="112">
      <c r="A112" t="inlineStr">
        <is>
          <t xml:space="preserve">commodity_parameters.gold.pure_maturity_scale_days</t>
        </is>
      </c>
      <c r="B112" s="4" t="inlineStr">
        <is>
          <t xml:space="preserve">365</t>
        </is>
      </c>
      <c r="C112" t="inlineStr">
        <is>
          <t xml:space="preserve">Exact completed-run input</t>
        </is>
      </c>
      <c r="D112" t="inlineStr">
        <is>
          <t xml:space="preserve">Nested commodity parameters are expanded for auditability.</t>
        </is>
      </c>
    </row>
    <row r="113">
      <c r="A113" t="inlineStr">
        <is>
          <t xml:space="preserve">commodity_parameters.gold.pure_maturity_clip</t>
        </is>
      </c>
      <c r="B113" s="4" t="inlineStr">
        <is>
          <t xml:space="preserve">3</t>
        </is>
      </c>
      <c r="C113" t="inlineStr">
        <is>
          <t xml:space="preserve">Exact completed-run input</t>
        </is>
      </c>
      <c r="D113" t="inlineStr">
        <is>
          <t xml:space="preserve">Nested commodity parameters are expanded for auditability.</t>
        </is>
      </c>
    </row>
    <row r="114">
      <c r="A114" t="inlineStr">
        <is>
          <t xml:space="preserve">commodity_parameters.gold.long_score_rate_scale</t>
        </is>
      </c>
      <c r="B114" s="4" t="inlineStr">
        <is>
          <t xml:space="preserve">1</t>
        </is>
      </c>
      <c r="C114" t="inlineStr">
        <is>
          <t xml:space="preserve">Exact completed-run input</t>
        </is>
      </c>
      <c r="D114" t="inlineStr">
        <is>
          <t xml:space="preserve">Nested commodity parameters are expanded for auditability.</t>
        </is>
      </c>
    </row>
    <row r="115">
      <c r="A115" t="inlineStr">
        <is>
          <t xml:space="preserve">commodity_parameters.gold.long_score_adjustment_clip</t>
        </is>
      </c>
      <c r="B115" s="4" t="inlineStr">
        <is>
          <t xml:space="preserve">3</t>
        </is>
      </c>
      <c r="C115" t="inlineStr">
        <is>
          <t xml:space="preserve">Exact completed-run input</t>
        </is>
      </c>
      <c r="D115" t="inlineStr">
        <is>
          <t xml:space="preserve">Nested commodity parameters are expanded for auditability.</t>
        </is>
      </c>
    </row>
    <row r="116">
      <c r="A116" t="inlineStr">
        <is>
          <t xml:space="preserve">commodity_parameters.gold.positive_entry_rate</t>
        </is>
      </c>
      <c r="B116" s="4" t="inlineStr">
        <is>
          <t xml:space="preserve">1</t>
        </is>
      </c>
      <c r="C116" t="inlineStr">
        <is>
          <t xml:space="preserve">Exact completed-run input</t>
        </is>
      </c>
      <c r="D116" t="inlineStr">
        <is>
          <t xml:space="preserve">Nested commodity parameters are expanded for auditability.</t>
        </is>
      </c>
    </row>
    <row r="117">
      <c r="A117" t="inlineStr">
        <is>
          <t xml:space="preserve">commodity_parameters.gold.positive_full_rate</t>
        </is>
      </c>
      <c r="B117" s="4" t="inlineStr">
        <is>
          <t xml:space="preserve">5</t>
        </is>
      </c>
      <c r="C117" t="inlineStr">
        <is>
          <t xml:space="preserve">Exact completed-run input</t>
        </is>
      </c>
      <c r="D117" t="inlineStr">
        <is>
          <t xml:space="preserve">Nested commodity parameters are expanded for auditability.</t>
        </is>
      </c>
    </row>
    <row r="118">
      <c r="A118" t="inlineStr">
        <is>
          <t xml:space="preserve">commodity_parameters.gold.max_futures_treasury_fraction</t>
        </is>
      </c>
      <c r="B118" s="4" t="inlineStr">
        <is>
          <t xml:space="preserve">70</t>
        </is>
      </c>
      <c r="C118" t="inlineStr">
        <is>
          <t xml:space="preserve">Exact completed-run input</t>
        </is>
      </c>
      <c r="D118" t="inlineStr">
        <is>
          <t xml:space="preserve">Nested commodity parameters are expanded for auditability.</t>
        </is>
      </c>
    </row>
    <row r="119">
      <c r="A119" t="inlineStr">
        <is>
          <t xml:space="preserve">commodity_parameters.gold.enable_short_book</t>
        </is>
      </c>
      <c r="B119" s="4" t="inlineStr">
        <is>
          <t xml:space="preserve">true</t>
        </is>
      </c>
      <c r="C119" t="inlineStr">
        <is>
          <t xml:space="preserve">Exact completed-run input</t>
        </is>
      </c>
      <c r="D119" t="inlineStr">
        <is>
          <t xml:space="preserve">Nested commodity parameters are expanded for auditability.</t>
        </is>
      </c>
    </row>
    <row r="120">
      <c r="A120" t="inlineStr">
        <is>
          <t xml:space="preserve">commodity_parameters.gold.short_futures_entry_mode</t>
        </is>
      </c>
      <c r="B120" s="4" t="inlineStr">
        <is>
          <t xml:space="preserve">gradual</t>
        </is>
      </c>
      <c r="C120" t="inlineStr">
        <is>
          <t xml:space="preserve">Exact completed-run input</t>
        </is>
      </c>
      <c r="D120" t="inlineStr">
        <is>
          <t xml:space="preserve">Nested commodity parameters are expanded for auditability.</t>
        </is>
      </c>
    </row>
    <row r="121">
      <c r="A121" t="inlineStr">
        <is>
          <t xml:space="preserve">commodity_parameters.gold.short_contract_selection</t>
        </is>
      </c>
      <c r="B121" s="4" t="inlineStr">
        <is>
          <t xml:space="preserve">weighted_lease_rate</t>
        </is>
      </c>
      <c r="C121" t="inlineStr">
        <is>
          <t xml:space="preserve">Exact completed-run input</t>
        </is>
      </c>
      <c r="D121" t="inlineStr">
        <is>
          <t xml:space="preserve">Nested commodity parameters are expanded for auditability.</t>
        </is>
      </c>
    </row>
    <row r="122">
      <c r="A122" t="inlineStr">
        <is>
          <t xml:space="preserve">commodity_parameters.gold.short_line_maturity_1</t>
        </is>
      </c>
      <c r="B122" s="4" t="inlineStr">
        <is>
          <t xml:space="preserve">30</t>
        </is>
      </c>
      <c r="C122" t="inlineStr">
        <is>
          <t xml:space="preserve">Exact completed-run input</t>
        </is>
      </c>
      <c r="D122" t="inlineStr">
        <is>
          <t xml:space="preserve">Nested commodity parameters are expanded for auditability.</t>
        </is>
      </c>
    </row>
    <row r="123">
      <c r="A123" t="inlineStr">
        <is>
          <t xml:space="preserve">commodity_parameters.gold.short_line_rate_1</t>
        </is>
      </c>
      <c r="B123" s="4" t="inlineStr">
        <is>
          <t xml:space="preserve">0.075</t>
        </is>
      </c>
      <c r="C123" t="inlineStr">
        <is>
          <t xml:space="preserve">Exact completed-run input</t>
        </is>
      </c>
      <c r="D123" t="inlineStr">
        <is>
          <t xml:space="preserve">Nested commodity parameters are expanded for auditability.</t>
        </is>
      </c>
    </row>
    <row r="124">
      <c r="A124" t="inlineStr">
        <is>
          <t xml:space="preserve">commodity_parameters.gold.short_line_maturity_2</t>
        </is>
      </c>
      <c r="B124" s="4" t="inlineStr">
        <is>
          <t xml:space="preserve">365</t>
        </is>
      </c>
      <c r="C124" t="inlineStr">
        <is>
          <t xml:space="preserve">Exact completed-run input</t>
        </is>
      </c>
      <c r="D124" t="inlineStr">
        <is>
          <t xml:space="preserve">Nested commodity parameters are expanded for auditability.</t>
        </is>
      </c>
    </row>
    <row r="125">
      <c r="A125" t="inlineStr">
        <is>
          <t xml:space="preserve">commodity_parameters.gold.short_line_rate_2</t>
        </is>
      </c>
      <c r="B125" s="4" t="inlineStr">
        <is>
          <t xml:space="preserve">0.4</t>
        </is>
      </c>
      <c r="C125" t="inlineStr">
        <is>
          <t xml:space="preserve">Exact completed-run input</t>
        </is>
      </c>
      <c r="D125" t="inlineStr">
        <is>
          <t xml:space="preserve">Nested commodity parameters are expanded for auditability.</t>
        </is>
      </c>
    </row>
    <row r="126">
      <c r="A126" t="inlineStr">
        <is>
          <t xml:space="preserve">commodity_parameters.gold.short_relative_strength</t>
        </is>
      </c>
      <c r="B126" s="4" t="inlineStr">
        <is>
          <t xml:space="preserve">1</t>
        </is>
      </c>
      <c r="C126" t="inlineStr">
        <is>
          <t xml:space="preserve">Exact completed-run input</t>
        </is>
      </c>
      <c r="D126" t="inlineStr">
        <is>
          <t xml:space="preserve">Nested commodity parameters are expanded for auditability.</t>
        </is>
      </c>
    </row>
    <row r="127">
      <c r="A127" t="inlineStr">
        <is>
          <t xml:space="preserve">commodity_parameters.gold.short_pure_maturity_strength</t>
        </is>
      </c>
      <c r="B127" s="4" t="inlineStr">
        <is>
          <t xml:space="preserve">1</t>
        </is>
      </c>
      <c r="C127" t="inlineStr">
        <is>
          <t xml:space="preserve">Exact completed-run input</t>
        </is>
      </c>
      <c r="D127" t="inlineStr">
        <is>
          <t xml:space="preserve">Nested commodity parameters are expanded for auditability.</t>
        </is>
      </c>
    </row>
    <row r="128">
      <c r="A128" t="inlineStr">
        <is>
          <t xml:space="preserve">commodity_parameters.gold.short_score_rate_scale</t>
        </is>
      </c>
      <c r="B128" s="4" t="inlineStr">
        <is>
          <t xml:space="preserve">1</t>
        </is>
      </c>
      <c r="C128" t="inlineStr">
        <is>
          <t xml:space="preserve">Exact completed-run input</t>
        </is>
      </c>
      <c r="D128" t="inlineStr">
        <is>
          <t xml:space="preserve">Nested commodity parameters are expanded for auditability.</t>
        </is>
      </c>
    </row>
    <row r="129">
      <c r="A129" t="inlineStr">
        <is>
          <t xml:space="preserve">commodity_parameters.gold.short_score_adjustment_clip</t>
        </is>
      </c>
      <c r="B129" s="4" t="inlineStr">
        <is>
          <t xml:space="preserve">3</t>
        </is>
      </c>
      <c r="C129" t="inlineStr">
        <is>
          <t xml:space="preserve">Exact completed-run input</t>
        </is>
      </c>
      <c r="D129" t="inlineStr">
        <is>
          <t xml:space="preserve">Nested commodity parameters are expanded for auditability.</t>
        </is>
      </c>
    </row>
    <row r="130">
      <c r="A130" t="inlineStr">
        <is>
          <t xml:space="preserve">commodity_parameters.gold.negative_short_start_rate</t>
        </is>
      </c>
      <c r="B130" s="4" t="inlineStr">
        <is>
          <t xml:space="preserve">-0.5</t>
        </is>
      </c>
      <c r="C130" t="inlineStr">
        <is>
          <t xml:space="preserve">Exact completed-run input</t>
        </is>
      </c>
      <c r="D130" t="inlineStr">
        <is>
          <t xml:space="preserve">Nested commodity parameters are expanded for auditability.</t>
        </is>
      </c>
    </row>
    <row r="131">
      <c r="A131" t="inlineStr">
        <is>
          <t xml:space="preserve">commodity_parameters.gold.negative_short_full_rate</t>
        </is>
      </c>
      <c r="B131" s="4" t="inlineStr">
        <is>
          <t xml:space="preserve">-15</t>
        </is>
      </c>
      <c r="C131" t="inlineStr">
        <is>
          <t xml:space="preserve">Exact completed-run input</t>
        </is>
      </c>
      <c r="D131" t="inlineStr">
        <is>
          <t xml:space="preserve">Nested commodity parameters are expanded for auditability.</t>
        </is>
      </c>
    </row>
    <row r="132">
      <c r="A132" t="inlineStr">
        <is>
          <t xml:space="preserve">commodity_parameters.gold.max_short_fraction_of_long_leg</t>
        </is>
      </c>
      <c r="B132" s="4" t="inlineStr">
        <is>
          <t xml:space="preserve">50</t>
        </is>
      </c>
      <c r="C132" t="inlineStr">
        <is>
          <t xml:space="preserve">Exact completed-run input</t>
        </is>
      </c>
      <c r="D132" t="inlineStr">
        <is>
          <t xml:space="preserve">Nested commodity parameters are expanded for auditability.</t>
        </is>
      </c>
    </row>
    <row r="133">
      <c r="A133" t="inlineStr">
        <is>
          <t xml:space="preserve">commodity_parameters.sp500.min_days</t>
        </is>
      </c>
      <c r="B133" s="4" t="inlineStr">
        <is>
          <t xml:space="preserve">10</t>
        </is>
      </c>
      <c r="C133" t="inlineStr">
        <is>
          <t xml:space="preserve">Exact completed-run input</t>
        </is>
      </c>
      <c r="D133" t="inlineStr">
        <is>
          <t xml:space="preserve">Nested commodity parameters are expanded for auditability.</t>
        </is>
      </c>
    </row>
    <row r="134">
      <c r="A134" t="inlineStr">
        <is>
          <t xml:space="preserve">commodity_parameters.sp500.roll_only_if_better</t>
        </is>
      </c>
      <c r="B134" s="4" t="inlineStr">
        <is>
          <t xml:space="preserve">true</t>
        </is>
      </c>
      <c r="C134" t="inlineStr">
        <is>
          <t xml:space="preserve">Exact completed-run input</t>
        </is>
      </c>
      <c r="D134" t="inlineStr">
        <is>
          <t xml:space="preserve">Nested commodity parameters are expanded for auditability.</t>
        </is>
      </c>
    </row>
    <row r="135">
      <c r="A135" t="inlineStr">
        <is>
          <t xml:space="preserve">commodity_parameters.sp500.force_roll_at_min_days</t>
        </is>
      </c>
      <c r="B135" s="4" t="inlineStr">
        <is>
          <t xml:space="preserve">true</t>
        </is>
      </c>
      <c r="C135" t="inlineStr">
        <is>
          <t xml:space="preserve">Exact completed-run input</t>
        </is>
      </c>
      <c r="D135" t="inlineStr">
        <is>
          <t xml:space="preserve">Nested commodity parameters are expanded for auditability.</t>
        </is>
      </c>
    </row>
    <row r="136">
      <c r="A136" t="inlineStr">
        <is>
          <t xml:space="preserve">commodity_parameters.sp500.enable_slv_leg</t>
        </is>
      </c>
      <c r="B136" s="4" t="inlineStr">
        <is>
          <t xml:space="preserve">false</t>
        </is>
      </c>
      <c r="C136" t="inlineStr">
        <is>
          <t xml:space="preserve">Exact completed-run input</t>
        </is>
      </c>
      <c r="D136" t="inlineStr">
        <is>
          <t xml:space="preserve">Nested commodity parameters are expanded for auditability.</t>
        </is>
      </c>
    </row>
    <row r="137">
      <c r="A137" t="inlineStr">
        <is>
          <t xml:space="preserve">commodity_parameters.sp500.slv_expense</t>
        </is>
      </c>
      <c r="B137" s="4" t="inlineStr">
        <is>
          <t xml:space="preserve">0.5</t>
        </is>
      </c>
      <c r="C137" t="inlineStr">
        <is>
          <t xml:space="preserve">Exact completed-run input</t>
        </is>
      </c>
      <c r="D137" t="inlineStr">
        <is>
          <t xml:space="preserve">Nested commodity parameters are expanded for auditability.</t>
        </is>
      </c>
    </row>
    <row r="138">
      <c r="A138" t="inlineStr">
        <is>
          <t xml:space="preserve">commodity_parameters.sp500.enable_cash_long_futures_leg</t>
        </is>
      </c>
      <c r="B138" s="4" t="inlineStr">
        <is>
          <t xml:space="preserve">true</t>
        </is>
      </c>
      <c r="C138" t="inlineStr">
        <is>
          <t xml:space="preserve">Exact completed-run input</t>
        </is>
      </c>
      <c r="D138" t="inlineStr">
        <is>
          <t xml:space="preserve">Nested commodity parameters are expanded for auditability.</t>
        </is>
      </c>
    </row>
    <row r="139">
      <c r="A139" t="inlineStr">
        <is>
          <t xml:space="preserve">commodity_parameters.sp500.long_futures_entry_mode</t>
        </is>
      </c>
      <c r="B139" s="4" t="inlineStr">
        <is>
          <t xml:space="preserve">gradual</t>
        </is>
      </c>
      <c r="C139" t="inlineStr">
        <is>
          <t xml:space="preserve">Exact completed-run input</t>
        </is>
      </c>
      <c r="D139" t="inlineStr">
        <is>
          <t xml:space="preserve">Nested commodity parameters are expanded for auditability.</t>
        </is>
      </c>
    </row>
    <row r="140">
      <c r="A140" t="inlineStr">
        <is>
          <t xml:space="preserve">commodity_parameters.sp500.long_contract_selection</t>
        </is>
      </c>
      <c r="B140" s="4" t="inlineStr">
        <is>
          <t xml:space="preserve">shortest_maturity</t>
        </is>
      </c>
      <c r="C140" t="inlineStr">
        <is>
          <t xml:space="preserve">Exact completed-run input</t>
        </is>
      </c>
      <c r="D140" t="inlineStr">
        <is>
          <t xml:space="preserve">Nested commodity parameters are expanded for auditability.</t>
        </is>
      </c>
    </row>
    <row r="141">
      <c r="A141" t="inlineStr">
        <is>
          <t xml:space="preserve">commodity_parameters.sp500.long_line_maturity_1</t>
        </is>
      </c>
      <c r="B141" s="4" t="inlineStr">
        <is>
          <t xml:space="preserve">30</t>
        </is>
      </c>
      <c r="C141" t="inlineStr">
        <is>
          <t xml:space="preserve">Exact completed-run input</t>
        </is>
      </c>
      <c r="D141" t="inlineStr">
        <is>
          <t xml:space="preserve">Nested commodity parameters are expanded for auditability.</t>
        </is>
      </c>
    </row>
    <row r="142">
      <c r="A142" t="inlineStr">
        <is>
          <t xml:space="preserve">commodity_parameters.sp500.long_line_rate_1</t>
        </is>
      </c>
      <c r="B142" s="4" t="inlineStr">
        <is>
          <t xml:space="preserve">0.033</t>
        </is>
      </c>
      <c r="C142" t="inlineStr">
        <is>
          <t xml:space="preserve">Exact completed-run input</t>
        </is>
      </c>
      <c r="D142" t="inlineStr">
        <is>
          <t xml:space="preserve">Nested commodity parameters are expanded for auditability.</t>
        </is>
      </c>
    </row>
    <row r="143">
      <c r="A143" t="inlineStr">
        <is>
          <t xml:space="preserve">commodity_parameters.sp500.long_line_maturity_2</t>
        </is>
      </c>
      <c r="B143" s="4" t="inlineStr">
        <is>
          <t xml:space="preserve">365</t>
        </is>
      </c>
      <c r="C143" t="inlineStr">
        <is>
          <t xml:space="preserve">Exact completed-run input</t>
        </is>
      </c>
      <c r="D143" t="inlineStr">
        <is>
          <t xml:space="preserve">Nested commodity parameters are expanded for auditability.</t>
        </is>
      </c>
    </row>
    <row r="144">
      <c r="A144" t="inlineStr">
        <is>
          <t xml:space="preserve">commodity_parameters.sp500.long_line_rate_2</t>
        </is>
      </c>
      <c r="B144" s="4" t="inlineStr">
        <is>
          <t xml:space="preserve">0.4</t>
        </is>
      </c>
      <c r="C144" t="inlineStr">
        <is>
          <t xml:space="preserve">Exact completed-run input</t>
        </is>
      </c>
      <c r="D144" t="inlineStr">
        <is>
          <t xml:space="preserve">Nested commodity parameters are expanded for auditability.</t>
        </is>
      </c>
    </row>
    <row r="145">
      <c r="A145" t="inlineStr">
        <is>
          <t xml:space="preserve">commodity_parameters.sp500.long_relative_strength</t>
        </is>
      </c>
      <c r="B145" s="4" t="inlineStr">
        <is>
          <t xml:space="preserve">1</t>
        </is>
      </c>
      <c r="C145" t="inlineStr">
        <is>
          <t xml:space="preserve">Exact completed-run input</t>
        </is>
      </c>
      <c r="D145" t="inlineStr">
        <is>
          <t xml:space="preserve">Nested commodity parameters are expanded for auditability.</t>
        </is>
      </c>
    </row>
    <row r="146">
      <c r="A146" t="inlineStr">
        <is>
          <t xml:space="preserve">commodity_parameters.sp500.long_pure_maturity_strength</t>
        </is>
      </c>
      <c r="B146" s="4" t="inlineStr">
        <is>
          <t xml:space="preserve">0</t>
        </is>
      </c>
      <c r="C146" t="inlineStr">
        <is>
          <t xml:space="preserve">Exact completed-run input</t>
        </is>
      </c>
      <c r="D146" t="inlineStr">
        <is>
          <t xml:space="preserve">Nested commodity parameters are expanded for auditability.</t>
        </is>
      </c>
    </row>
    <row r="147">
      <c r="A147" t="inlineStr">
        <is>
          <t xml:space="preserve">commodity_parameters.sp500.pure_maturity_scale_days</t>
        </is>
      </c>
      <c r="B147" s="4" t="inlineStr">
        <is>
          <t xml:space="preserve">365</t>
        </is>
      </c>
      <c r="C147" t="inlineStr">
        <is>
          <t xml:space="preserve">Exact completed-run input</t>
        </is>
      </c>
      <c r="D147" t="inlineStr">
        <is>
          <t xml:space="preserve">Nested commodity parameters are expanded for auditability.</t>
        </is>
      </c>
    </row>
    <row r="148">
      <c r="A148" t="inlineStr">
        <is>
          <t xml:space="preserve">commodity_parameters.sp500.pure_maturity_clip</t>
        </is>
      </c>
      <c r="B148" s="4" t="inlineStr">
        <is>
          <t xml:space="preserve">3</t>
        </is>
      </c>
      <c r="C148" t="inlineStr">
        <is>
          <t xml:space="preserve">Exact completed-run input</t>
        </is>
      </c>
      <c r="D148" t="inlineStr">
        <is>
          <t xml:space="preserve">Nested commodity parameters are expanded for auditability.</t>
        </is>
      </c>
    </row>
    <row r="149">
      <c r="A149" t="inlineStr">
        <is>
          <t xml:space="preserve">commodity_parameters.sp500.long_score_rate_scale</t>
        </is>
      </c>
      <c r="B149" s="4" t="inlineStr">
        <is>
          <t xml:space="preserve">1</t>
        </is>
      </c>
      <c r="C149" t="inlineStr">
        <is>
          <t xml:space="preserve">Exact completed-run input</t>
        </is>
      </c>
      <c r="D149" t="inlineStr">
        <is>
          <t xml:space="preserve">Nested commodity parameters are expanded for auditability.</t>
        </is>
      </c>
    </row>
    <row r="150">
      <c r="A150" t="inlineStr">
        <is>
          <t xml:space="preserve">commodity_parameters.sp500.long_score_adjustment_clip</t>
        </is>
      </c>
      <c r="B150" s="4" t="inlineStr">
        <is>
          <t xml:space="preserve">3</t>
        </is>
      </c>
      <c r="C150" t="inlineStr">
        <is>
          <t xml:space="preserve">Exact completed-run input</t>
        </is>
      </c>
      <c r="D150" t="inlineStr">
        <is>
          <t xml:space="preserve">Nested commodity parameters are expanded for auditability.</t>
        </is>
      </c>
    </row>
    <row r="151">
      <c r="A151" t="inlineStr">
        <is>
          <t xml:space="preserve">commodity_parameters.sp500.positive_entry_rate</t>
        </is>
      </c>
      <c r="B151" s="4" t="inlineStr">
        <is>
          <t xml:space="preserve">0</t>
        </is>
      </c>
      <c r="C151" t="inlineStr">
        <is>
          <t xml:space="preserve">Exact completed-run input</t>
        </is>
      </c>
      <c r="D151" t="inlineStr">
        <is>
          <t xml:space="preserve">Nested commodity parameters are expanded for auditability.</t>
        </is>
      </c>
    </row>
    <row r="152">
      <c r="A152" t="inlineStr">
        <is>
          <t xml:space="preserve">commodity_parameters.sp500.positive_full_rate</t>
        </is>
      </c>
      <c r="B152" s="4" t="inlineStr">
        <is>
          <t xml:space="preserve">15</t>
        </is>
      </c>
      <c r="C152" t="inlineStr">
        <is>
          <t xml:space="preserve">Exact completed-run input</t>
        </is>
      </c>
      <c r="D152" t="inlineStr">
        <is>
          <t xml:space="preserve">Nested commodity parameters are expanded for auditability.</t>
        </is>
      </c>
    </row>
    <row r="153">
      <c r="A153" t="inlineStr">
        <is>
          <t xml:space="preserve">commodity_parameters.sp500.max_futures_treasury_fraction</t>
        </is>
      </c>
      <c r="B153" s="4" t="inlineStr">
        <is>
          <t xml:space="preserve">50</t>
        </is>
      </c>
      <c r="C153" t="inlineStr">
        <is>
          <t xml:space="preserve">Exact completed-run input</t>
        </is>
      </c>
      <c r="D153" t="inlineStr">
        <is>
          <t xml:space="preserve">Nested commodity parameters are expanded for auditability.</t>
        </is>
      </c>
    </row>
    <row r="154">
      <c r="A154" t="inlineStr">
        <is>
          <t xml:space="preserve">commodity_parameters.sp500.enable_short_book</t>
        </is>
      </c>
      <c r="B154" s="4" t="inlineStr">
        <is>
          <t xml:space="preserve">false</t>
        </is>
      </c>
      <c r="C154" t="inlineStr">
        <is>
          <t xml:space="preserve">Exact completed-run input</t>
        </is>
      </c>
      <c r="D154" t="inlineStr">
        <is>
          <t xml:space="preserve">Nested commodity parameters are expanded for auditability.</t>
        </is>
      </c>
    </row>
    <row r="155">
      <c r="A155" t="inlineStr">
        <is>
          <t xml:space="preserve">commodity_parameters.sp500.short_futures_entry_mode</t>
        </is>
      </c>
      <c r="B155" s="4" t="inlineStr">
        <is>
          <t xml:space="preserve">gradual</t>
        </is>
      </c>
      <c r="C155" t="inlineStr">
        <is>
          <t xml:space="preserve">Exact completed-run input</t>
        </is>
      </c>
      <c r="D155" t="inlineStr">
        <is>
          <t xml:space="preserve">Nested commodity parameters are expanded for auditability.</t>
        </is>
      </c>
    </row>
    <row r="156">
      <c r="A156" t="inlineStr">
        <is>
          <t xml:space="preserve">commodity_parameters.sp500.short_contract_selection</t>
        </is>
      </c>
      <c r="B156" s="4" t="inlineStr">
        <is>
          <t xml:space="preserve">weighted_lease_rate</t>
        </is>
      </c>
      <c r="C156" t="inlineStr">
        <is>
          <t xml:space="preserve">Exact completed-run input</t>
        </is>
      </c>
      <c r="D156" t="inlineStr">
        <is>
          <t xml:space="preserve">Nested commodity parameters are expanded for auditability.</t>
        </is>
      </c>
    </row>
    <row r="157">
      <c r="A157" t="inlineStr">
        <is>
          <t xml:space="preserve">commodity_parameters.sp500.short_line_maturity_1</t>
        </is>
      </c>
      <c r="B157" s="4" t="inlineStr">
        <is>
          <t xml:space="preserve">30</t>
        </is>
      </c>
      <c r="C157" t="inlineStr">
        <is>
          <t xml:space="preserve">Exact completed-run input</t>
        </is>
      </c>
      <c r="D157" t="inlineStr">
        <is>
          <t xml:space="preserve">Nested commodity parameters are expanded for auditability.</t>
        </is>
      </c>
    </row>
    <row r="158">
      <c r="A158" t="inlineStr">
        <is>
          <t xml:space="preserve">commodity_parameters.sp500.short_line_rate_1</t>
        </is>
      </c>
      <c r="B158" s="4" t="inlineStr">
        <is>
          <t xml:space="preserve">0.033</t>
        </is>
      </c>
      <c r="C158" t="inlineStr">
        <is>
          <t xml:space="preserve">Exact completed-run input</t>
        </is>
      </c>
      <c r="D158" t="inlineStr">
        <is>
          <t xml:space="preserve">Nested commodity parameters are expanded for auditability.</t>
        </is>
      </c>
    </row>
    <row r="159">
      <c r="A159" t="inlineStr">
        <is>
          <t xml:space="preserve">commodity_parameters.sp500.short_line_maturity_2</t>
        </is>
      </c>
      <c r="B159" s="4" t="inlineStr">
        <is>
          <t xml:space="preserve">365</t>
        </is>
      </c>
      <c r="C159" t="inlineStr">
        <is>
          <t xml:space="preserve">Exact completed-run input</t>
        </is>
      </c>
      <c r="D159" t="inlineStr">
        <is>
          <t xml:space="preserve">Nested commodity parameters are expanded for auditability.</t>
        </is>
      </c>
    </row>
    <row r="160">
      <c r="A160" t="inlineStr">
        <is>
          <t xml:space="preserve">commodity_parameters.sp500.short_line_rate_2</t>
        </is>
      </c>
      <c r="B160" s="4" t="inlineStr">
        <is>
          <t xml:space="preserve">0.4</t>
        </is>
      </c>
      <c r="C160" t="inlineStr">
        <is>
          <t xml:space="preserve">Exact completed-run input</t>
        </is>
      </c>
      <c r="D160" t="inlineStr">
        <is>
          <t xml:space="preserve">Nested commodity parameters are expanded for auditability.</t>
        </is>
      </c>
    </row>
    <row r="161">
      <c r="A161" t="inlineStr">
        <is>
          <t xml:space="preserve">commodity_parameters.sp500.short_relative_strength</t>
        </is>
      </c>
      <c r="B161" s="4" t="inlineStr">
        <is>
          <t xml:space="preserve">1</t>
        </is>
      </c>
      <c r="C161" t="inlineStr">
        <is>
          <t xml:space="preserve">Exact completed-run input</t>
        </is>
      </c>
      <c r="D161" t="inlineStr">
        <is>
          <t xml:space="preserve">Nested commodity parameters are expanded for auditability.</t>
        </is>
      </c>
    </row>
    <row r="162">
      <c r="A162" t="inlineStr">
        <is>
          <t xml:space="preserve">commodity_parameters.sp500.short_pure_maturity_strength</t>
        </is>
      </c>
      <c r="B162" s="4" t="inlineStr">
        <is>
          <t xml:space="preserve">0</t>
        </is>
      </c>
      <c r="C162" t="inlineStr">
        <is>
          <t xml:space="preserve">Exact completed-run input</t>
        </is>
      </c>
      <c r="D162" t="inlineStr">
        <is>
          <t xml:space="preserve">Nested commodity parameters are expanded for auditability.</t>
        </is>
      </c>
    </row>
    <row r="163">
      <c r="A163" t="inlineStr">
        <is>
          <t xml:space="preserve">commodity_parameters.sp500.short_score_rate_scale</t>
        </is>
      </c>
      <c r="B163" s="4" t="inlineStr">
        <is>
          <t xml:space="preserve">1</t>
        </is>
      </c>
      <c r="C163" t="inlineStr">
        <is>
          <t xml:space="preserve">Exact completed-run input</t>
        </is>
      </c>
      <c r="D163" t="inlineStr">
        <is>
          <t xml:space="preserve">Nested commodity parameters are expanded for auditability.</t>
        </is>
      </c>
    </row>
    <row r="164">
      <c r="A164" t="inlineStr">
        <is>
          <t xml:space="preserve">commodity_parameters.sp500.short_score_adjustment_clip</t>
        </is>
      </c>
      <c r="B164" s="4" t="inlineStr">
        <is>
          <t xml:space="preserve">3</t>
        </is>
      </c>
      <c r="C164" t="inlineStr">
        <is>
          <t xml:space="preserve">Exact completed-run input</t>
        </is>
      </c>
      <c r="D164" t="inlineStr">
        <is>
          <t xml:space="preserve">Nested commodity parameters are expanded for auditability.</t>
        </is>
      </c>
    </row>
    <row r="165">
      <c r="A165" t="inlineStr">
        <is>
          <t xml:space="preserve">commodity_parameters.sp500.negative_short_start_rate</t>
        </is>
      </c>
      <c r="B165" s="4" t="inlineStr">
        <is>
          <t xml:space="preserve">-0.5</t>
        </is>
      </c>
      <c r="C165" t="inlineStr">
        <is>
          <t xml:space="preserve">Exact completed-run input</t>
        </is>
      </c>
      <c r="D165" t="inlineStr">
        <is>
          <t xml:space="preserve">Nested commodity parameters are expanded for auditability.</t>
        </is>
      </c>
    </row>
    <row r="166">
      <c r="A166" t="inlineStr">
        <is>
          <t xml:space="preserve">commodity_parameters.sp500.negative_short_full_rate</t>
        </is>
      </c>
      <c r="B166" s="4" t="inlineStr">
        <is>
          <t xml:space="preserve">-15</t>
        </is>
      </c>
      <c r="C166" t="inlineStr">
        <is>
          <t xml:space="preserve">Exact completed-run input</t>
        </is>
      </c>
      <c r="D166" t="inlineStr">
        <is>
          <t xml:space="preserve">Nested commodity parameters are expanded for auditability.</t>
        </is>
      </c>
    </row>
    <row r="167">
      <c r="A167" t="inlineStr">
        <is>
          <t xml:space="preserve">commodity_parameters.sp500.max_short_fraction_of_long_leg</t>
        </is>
      </c>
      <c r="B167" s="4" t="inlineStr">
        <is>
          <t xml:space="preserve">50</t>
        </is>
      </c>
      <c r="C167" t="inlineStr">
        <is>
          <t xml:space="preserve">Exact completed-run input</t>
        </is>
      </c>
      <c r="D167" t="inlineStr">
        <is>
          <t xml:space="preserve">Nested commodity parameters are expanded for auditability.</t>
        </is>
      </c>
    </row>
  </sheetData>
  <autoFilter ref="A3:D167"/>
  <mergeCells count="1">
    <mergeCell ref="A1:D1"/>
  </mergeCells>
  <pageMargins left="0.25" right="0.25" top="0.5" bottom="0.5" header="0.2" footer="0.2"/>
</worksheet>
</file>

<file path=xl/worksheets/sheet3.xml><?xml version="1.0" encoding="utf-8"?>
<worksheet xmlns="http://schemas.openxmlformats.org/spreadsheetml/2006/main">
  <dimension ref="A1:JL244"/>
  <sheetViews>
    <sheetView workbookViewId="0">
      <pane xSplit="5" ySplit="2" topLeftCell="F3" activePane="bottomRight" state="frozen"/>
    </sheetView>
  </sheetViews>
  <sheetFormatPr defaultRowHeight="15"/>
  <cols>
    <col min="1" max="1" width="13" customWidth="1"/>
    <col min="2" max="2" width="13" customWidth="1"/>
    <col min="3" max="3" width="13" customWidth="1"/>
    <col min="4" max="4" width="13" customWidth="1"/>
    <col min="5" max="5" width="16" customWidth="1"/>
    <col min="6" max="6" width="15" customWidth="1"/>
    <col min="7" max="7" width="22" customWidth="1"/>
    <col min="8" max="8" width="23" customWidth="1"/>
    <col min="9" max="9" width="23" customWidth="1"/>
    <col min="10" max="10" width="17" customWidth="1"/>
    <col min="11" max="11" width="17" customWidth="1"/>
    <col min="12" max="12" width="17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5" customWidth="1"/>
    <col min="19" max="19" width="25" customWidth="1"/>
    <col min="20" max="20" width="25" customWidth="1"/>
    <col min="21" max="21" width="25" customWidth="1"/>
    <col min="22" max="22" width="27" customWidth="1"/>
    <col min="23" max="23" width="27" customWidth="1"/>
    <col min="24" max="24" width="27" customWidth="1"/>
    <col min="25" max="25" width="27" customWidth="1"/>
    <col min="26" max="26" width="27" customWidth="1"/>
    <col min="27" max="27" width="29" customWidth="1"/>
    <col min="28" max="28" width="32" customWidth="1"/>
    <col min="29" max="29" width="29" customWidth="1"/>
    <col min="30" max="30" width="32" customWidth="1"/>
    <col min="31" max="31" width="29" customWidth="1"/>
    <col min="32" max="32" width="27" customWidth="1"/>
    <col min="33" max="33" width="28" customWidth="1"/>
    <col min="34" max="34" width="22" customWidth="1"/>
    <col min="35" max="35" width="22" customWidth="1"/>
    <col min="36" max="36" width="24" customWidth="1"/>
    <col min="37" max="37" width="24" customWidth="1"/>
    <col min="38" max="38" width="30" customWidth="1"/>
    <col min="39" max="39" width="30" customWidth="1"/>
    <col min="40" max="40" width="20" customWidth="1"/>
    <col min="41" max="41" width="23" customWidth="1"/>
    <col min="42" max="42" width="31" customWidth="1"/>
    <col min="43" max="43" width="27" customWidth="1"/>
    <col min="44" max="44" width="33" customWidth="1"/>
    <col min="45" max="45" width="20" customWidth="1"/>
    <col min="46" max="46" width="23" customWidth="1"/>
    <col min="47" max="47" width="31" customWidth="1"/>
    <col min="48" max="48" width="27" customWidth="1"/>
    <col min="49" max="49" width="33" customWidth="1"/>
    <col min="50" max="50" width="27" customWidth="1"/>
    <col min="51" max="51" width="27" customWidth="1"/>
    <col min="52" max="52" width="31" customWidth="1"/>
    <col min="53" max="53" width="27" customWidth="1"/>
    <col min="54" max="54" width="27" customWidth="1"/>
    <col min="55" max="55" width="31" customWidth="1"/>
    <col min="56" max="56" width="27" customWidth="1"/>
    <col min="57" max="57" width="22" customWidth="1"/>
    <col min="58" max="58" width="22" customWidth="1"/>
    <col min="59" max="59" width="25" customWidth="1"/>
    <col min="60" max="60" width="24" customWidth="1"/>
    <col min="61" max="61" width="24" customWidth="1"/>
    <col min="62" max="62" width="20" customWidth="1"/>
    <col min="63" max="63" width="32" customWidth="1"/>
    <col min="64" max="64" width="15" customWidth="1"/>
    <col min="65" max="65" width="12" customWidth="1"/>
    <col min="66" max="66" width="11" customWidth="1"/>
    <col min="67" max="67" width="15" customWidth="1"/>
    <col min="68" max="68" width="17" customWidth="1"/>
    <col min="69" max="69" width="17" customWidth="1"/>
    <col min="70" max="70" width="18" customWidth="1"/>
    <col min="71" max="71" width="19" customWidth="1"/>
    <col min="72" max="72" width="19" customWidth="1"/>
    <col min="73" max="73" width="18" customWidth="1"/>
    <col min="74" max="74" width="18" customWidth="1"/>
    <col min="75" max="75" width="18" customWidth="1"/>
    <col min="76" max="76" width="20" customWidth="1"/>
    <col min="77" max="77" width="20" customWidth="1"/>
    <col min="78" max="78" width="20" customWidth="1"/>
    <col min="79" max="79" width="16" customWidth="1"/>
    <col min="80" max="80" width="20" customWidth="1"/>
    <col min="81" max="81" width="17" customWidth="1"/>
    <col min="82" max="82" width="18" customWidth="1"/>
    <col min="83" max="83" width="20" customWidth="1"/>
    <col min="84" max="84" width="32" customWidth="1"/>
    <col min="85" max="85" width="15" customWidth="1"/>
    <col min="86" max="86" width="12" customWidth="1"/>
    <col min="87" max="87" width="11" customWidth="1"/>
    <col min="88" max="88" width="15" customWidth="1"/>
    <col min="89" max="89" width="17" customWidth="1"/>
    <col min="90" max="90" width="17" customWidth="1"/>
    <col min="91" max="91" width="18" customWidth="1"/>
    <col min="92" max="92" width="19" customWidth="1"/>
    <col min="93" max="93" width="19" customWidth="1"/>
    <col min="94" max="94" width="18" customWidth="1"/>
    <col min="95" max="95" width="18" customWidth="1"/>
    <col min="96" max="96" width="18" customWidth="1"/>
    <col min="97" max="97" width="20" customWidth="1"/>
    <col min="98" max="98" width="20" customWidth="1"/>
    <col min="99" max="99" width="20" customWidth="1"/>
    <col min="100" max="100" width="16" customWidth="1"/>
    <col min="101" max="101" width="20" customWidth="1"/>
    <col min="102" max="102" width="17" customWidth="1"/>
    <col min="103" max="103" width="18" customWidth="1"/>
    <col min="104" max="104" width="20" customWidth="1"/>
    <col min="105" max="105" width="32" customWidth="1"/>
    <col min="106" max="106" width="15" customWidth="1"/>
    <col min="107" max="107" width="12" customWidth="1"/>
    <col min="108" max="108" width="11" customWidth="1"/>
    <col min="109" max="109" width="15" customWidth="1"/>
    <col min="110" max="110" width="17" customWidth="1"/>
    <col min="111" max="111" width="17" customWidth="1"/>
    <col min="112" max="112" width="18" customWidth="1"/>
    <col min="113" max="113" width="19" customWidth="1"/>
    <col min="114" max="114" width="19" customWidth="1"/>
    <col min="115" max="115" width="18" customWidth="1"/>
    <col min="116" max="116" width="18" customWidth="1"/>
    <col min="117" max="117" width="18" customWidth="1"/>
    <col min="118" max="118" width="20" customWidth="1"/>
    <col min="119" max="119" width="20" customWidth="1"/>
    <col min="120" max="120" width="20" customWidth="1"/>
    <col min="121" max="121" width="16" customWidth="1"/>
    <col min="122" max="122" width="20" customWidth="1"/>
    <col min="123" max="123" width="17" customWidth="1"/>
    <col min="124" max="124" width="18" customWidth="1"/>
    <col min="125" max="125" width="20" customWidth="1"/>
    <col min="126" max="126" width="32" customWidth="1"/>
    <col min="127" max="127" width="15" customWidth="1"/>
    <col min="128" max="128" width="12" customWidth="1"/>
    <col min="129" max="129" width="11" customWidth="1"/>
    <col min="130" max="130" width="15" customWidth="1"/>
    <col min="131" max="131" width="17" customWidth="1"/>
    <col min="132" max="132" width="17" customWidth="1"/>
    <col min="133" max="133" width="18" customWidth="1"/>
    <col min="134" max="134" width="19" customWidth="1"/>
    <col min="135" max="135" width="19" customWidth="1"/>
    <col min="136" max="136" width="18" customWidth="1"/>
    <col min="137" max="137" width="18" customWidth="1"/>
    <col min="138" max="138" width="18" customWidth="1"/>
    <col min="139" max="139" width="20" customWidth="1"/>
    <col min="140" max="140" width="20" customWidth="1"/>
    <col min="141" max="141" width="20" customWidth="1"/>
    <col min="142" max="142" width="16" customWidth="1"/>
    <col min="143" max="143" width="20" customWidth="1"/>
    <col min="144" max="144" width="17" customWidth="1"/>
    <col min="145" max="145" width="18" customWidth="1"/>
    <col min="146" max="146" width="20" customWidth="1"/>
    <col min="147" max="147" width="32" customWidth="1"/>
    <col min="148" max="148" width="15" customWidth="1"/>
    <col min="149" max="149" width="12" customWidth="1"/>
    <col min="150" max="150" width="11" customWidth="1"/>
    <col min="151" max="151" width="15" customWidth="1"/>
    <col min="152" max="152" width="17" customWidth="1"/>
    <col min="153" max="153" width="17" customWidth="1"/>
    <col min="154" max="154" width="18" customWidth="1"/>
    <col min="155" max="155" width="19" customWidth="1"/>
    <col min="156" max="156" width="19" customWidth="1"/>
    <col min="157" max="157" width="18" customWidth="1"/>
    <col min="158" max="158" width="18" customWidth="1"/>
    <col min="159" max="159" width="18" customWidth="1"/>
    <col min="160" max="160" width="20" customWidth="1"/>
    <col min="161" max="161" width="20" customWidth="1"/>
    <col min="162" max="162" width="20" customWidth="1"/>
    <col min="163" max="163" width="16" customWidth="1"/>
    <col min="164" max="164" width="20" customWidth="1"/>
    <col min="165" max="165" width="17" customWidth="1"/>
    <col min="166" max="166" width="18" customWidth="1"/>
    <col min="167" max="167" width="20" customWidth="1"/>
    <col min="168" max="168" width="32" customWidth="1"/>
    <col min="169" max="169" width="15" customWidth="1"/>
    <col min="170" max="170" width="12" customWidth="1"/>
    <col min="171" max="171" width="11" customWidth="1"/>
    <col min="172" max="172" width="15" customWidth="1"/>
    <col min="173" max="173" width="17" customWidth="1"/>
    <col min="174" max="174" width="17" customWidth="1"/>
    <col min="175" max="175" width="18" customWidth="1"/>
    <col min="176" max="176" width="19" customWidth="1"/>
    <col min="177" max="177" width="19" customWidth="1"/>
    <col min="178" max="178" width="18" customWidth="1"/>
    <col min="179" max="179" width="18" customWidth="1"/>
    <col min="180" max="180" width="18" customWidth="1"/>
    <col min="181" max="181" width="20" customWidth="1"/>
    <col min="182" max="182" width="20" customWidth="1"/>
    <col min="183" max="183" width="20" customWidth="1"/>
    <col min="184" max="184" width="16" customWidth="1"/>
    <col min="185" max="185" width="20" customWidth="1"/>
    <col min="186" max="186" width="17" customWidth="1"/>
    <col min="187" max="187" width="18" customWidth="1"/>
    <col min="188" max="188" width="20" customWidth="1"/>
    <col min="189" max="189" width="32" customWidth="1"/>
    <col min="190" max="190" width="15" customWidth="1"/>
    <col min="191" max="191" width="12" customWidth="1"/>
    <col min="192" max="192" width="11" customWidth="1"/>
    <col min="193" max="193" width="15" customWidth="1"/>
    <col min="194" max="194" width="17" customWidth="1"/>
    <col min="195" max="195" width="17" customWidth="1"/>
    <col min="196" max="196" width="18" customWidth="1"/>
    <col min="197" max="197" width="19" customWidth="1"/>
    <col min="198" max="198" width="19" customWidth="1"/>
    <col min="199" max="199" width="18" customWidth="1"/>
    <col min="200" max="200" width="18" customWidth="1"/>
    <col min="201" max="201" width="18" customWidth="1"/>
    <col min="202" max="202" width="20" customWidth="1"/>
    <col min="203" max="203" width="20" customWidth="1"/>
    <col min="204" max="204" width="20" customWidth="1"/>
    <col min="205" max="205" width="16" customWidth="1"/>
    <col min="206" max="206" width="20" customWidth="1"/>
    <col min="207" max="207" width="17" customWidth="1"/>
    <col min="208" max="208" width="18" customWidth="1"/>
    <col min="209" max="209" width="20" customWidth="1"/>
    <col min="210" max="210" width="32" customWidth="1"/>
    <col min="211" max="211" width="15" customWidth="1"/>
    <col min="212" max="212" width="12" customWidth="1"/>
    <col min="213" max="213" width="11" customWidth="1"/>
    <col min="214" max="214" width="15" customWidth="1"/>
    <col min="215" max="215" width="17" customWidth="1"/>
    <col min="216" max="216" width="17" customWidth="1"/>
    <col min="217" max="217" width="18" customWidth="1"/>
    <col min="218" max="218" width="19" customWidth="1"/>
    <col min="219" max="219" width="19" customWidth="1"/>
    <col min="220" max="220" width="18" customWidth="1"/>
    <col min="221" max="221" width="18" customWidth="1"/>
    <col min="222" max="222" width="18" customWidth="1"/>
    <col min="223" max="223" width="20" customWidth="1"/>
    <col min="224" max="224" width="20" customWidth="1"/>
    <col min="225" max="225" width="20" customWidth="1"/>
    <col min="226" max="226" width="16" customWidth="1"/>
    <col min="227" max="227" width="20" customWidth="1"/>
    <col min="228" max="228" width="17" customWidth="1"/>
    <col min="229" max="229" width="18" customWidth="1"/>
    <col min="230" max="230" width="20" customWidth="1"/>
    <col min="231" max="231" width="32" customWidth="1"/>
    <col min="232" max="232" width="15" customWidth="1"/>
    <col min="233" max="233" width="12" customWidth="1"/>
    <col min="234" max="234" width="11" customWidth="1"/>
    <col min="235" max="235" width="15" customWidth="1"/>
    <col min="236" max="236" width="17" customWidth="1"/>
    <col min="237" max="237" width="17" customWidth="1"/>
    <col min="238" max="238" width="18" customWidth="1"/>
    <col min="239" max="239" width="19" customWidth="1"/>
    <col min="240" max="240" width="19" customWidth="1"/>
    <col min="241" max="241" width="18" customWidth="1"/>
    <col min="242" max="242" width="18" customWidth="1"/>
    <col min="243" max="243" width="18" customWidth="1"/>
    <col min="244" max="244" width="20" customWidth="1"/>
    <col min="245" max="245" width="20" customWidth="1"/>
    <col min="246" max="246" width="20" customWidth="1"/>
    <col min="247" max="247" width="16" customWidth="1"/>
    <col min="248" max="248" width="20" customWidth="1"/>
    <col min="249" max="249" width="17" customWidth="1"/>
    <col min="250" max="250" width="18" customWidth="1"/>
    <col min="251" max="251" width="20" customWidth="1"/>
    <col min="252" max="252" width="32" customWidth="1"/>
    <col min="253" max="253" width="15" customWidth="1"/>
    <col min="254" max="254" width="12" customWidth="1"/>
    <col min="255" max="255" width="11" customWidth="1"/>
    <col min="256" max="256" width="15" customWidth="1"/>
    <col min="257" max="257" width="17" customWidth="1"/>
    <col min="258" max="258" width="17" customWidth="1"/>
    <col min="259" max="259" width="18" customWidth="1"/>
    <col min="260" max="260" width="19" customWidth="1"/>
    <col min="261" max="261" width="19" customWidth="1"/>
    <col min="262" max="262" width="18" customWidth="1"/>
    <col min="263" max="263" width="18" customWidth="1"/>
    <col min="264" max="264" width="18" customWidth="1"/>
    <col min="265" max="265" width="20" customWidth="1"/>
    <col min="266" max="266" width="20" customWidth="1"/>
    <col min="267" max="267" width="20" customWidth="1"/>
    <col min="268" max="268" width="16" customWidth="1"/>
    <col min="269" max="269" width="20" customWidth="1"/>
    <col min="270" max="270" width="17" customWidth="1"/>
    <col min="271" max="271" width="18" customWidth="1"/>
    <col min="272" max="272" width="20" customWidth="1"/>
  </cols>
  <sheetData>
    <row r="1" ht="23" customHeight="1">
      <c r="A1" s="2" t="inlineStr">
        <is>
          <t xml:space="preserve">Interval and NAV</t>
        </is>
      </c>
      <c r="B1"/>
      <c r="C1"/>
      <c r="D1"/>
      <c r="E1"/>
      <c r="F1"/>
      <c r="G1"/>
      <c r="H1"/>
      <c r="I1"/>
      <c r="J1"/>
      <c r="K1"/>
      <c r="L1"/>
      <c r="M1" s="2" t="inlineStr">
        <is>
          <t xml:space="preserve">Underlying and return reconstruction</t>
        </is>
      </c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 s="2" t="inlineStr">
        <is>
          <t xml:space="preserve">Book valuation and roll-forward</t>
        </is>
      </c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 s="2" t="inlineStr">
        <is>
          <t xml:space="preserve">Detailed return contributions</t>
        </is>
      </c>
      <c r="BE1"/>
      <c r="BF1"/>
      <c r="BG1"/>
      <c r="BH1"/>
      <c r="BI1"/>
      <c r="BJ1"/>
      <c r="BK1" s="2" t="inlineStr">
        <is>
          <t xml:space="preserve">Holding 1</t>
        </is>
      </c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 s="2" t="inlineStr">
        <is>
          <t xml:space="preserve">Holding 2</t>
        </is>
      </c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 s="2" t="inlineStr">
        <is>
          <t xml:space="preserve">Holding 3</t>
        </is>
      </c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 s="2" t="inlineStr">
        <is>
          <t xml:space="preserve">Holding 4</t>
        </is>
      </c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 s="2" t="inlineStr">
        <is>
          <t xml:space="preserve">Holding 5</t>
        </is>
      </c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 s="2" t="inlineStr">
        <is>
          <t xml:space="preserve">Holding 6</t>
        </is>
      </c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 s="2" t="inlineStr">
        <is>
          <t xml:space="preserve">Holding 7</t>
        </is>
      </c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 s="2" t="inlineStr">
        <is>
          <t xml:space="preserve">Holding 8</t>
        </is>
      </c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 s="2" t="inlineStr">
        <is>
          <t xml:space="preserve">Holding 9</t>
        </is>
      </c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 s="2" t="inlineStr">
        <is>
          <t xml:space="preserve">Holding 10</t>
        </is>
      </c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</row>
    <row r="2" ht="54" customHeight="1">
      <c r="A2" s="3" t="inlineStr">
        <is>
          <t xml:space="preserve">Start date</t>
        </is>
      </c>
      <c r="B2" s="3" t="inlineStr">
        <is>
          <t xml:space="preserve">End date</t>
        </is>
      </c>
      <c r="C2" s="3" t="inlineStr">
        <is>
          <t xml:space="preserve">Elapsed days</t>
        </is>
      </c>
      <c r="D2" s="3" t="inlineStr">
        <is>
          <t xml:space="preserve">Signal date</t>
        </is>
      </c>
      <c r="E2" s="3" t="inlineStr">
        <is>
          <t xml:space="preserve">Mode</t>
        </is>
      </c>
      <c r="F2" s="3" t="inlineStr">
        <is>
          <t xml:space="preserve">Start NAV</t>
        </is>
      </c>
      <c r="G2" s="3" t="inlineStr">
        <is>
          <t xml:space="preserve">Source total daily return</t>
        </is>
      </c>
      <c r="H2" s="3" t="inlineStr">
        <is>
          <t xml:space="preserve">Calculated holdings return</t>
        </is>
      </c>
      <c r="I2" s="3" t="inlineStr">
        <is>
          <t xml:space="preserve">Holdings return difference</t>
        </is>
      </c>
      <c r="J2" s="3" t="inlineStr">
        <is>
          <t xml:space="preserve">Formula end NAV</t>
        </is>
      </c>
      <c r="K2" s="3" t="inlineStr">
        <is>
          <t xml:space="preserve">Engine end NAV</t>
        </is>
      </c>
      <c r="L2" s="3" t="inlineStr">
        <is>
          <t xml:space="preserve">NAV difference</t>
        </is>
      </c>
      <c r="M2" s="3" t="inlineStr">
        <is>
          <t xml:space="preserve">Underlying start spot</t>
        </is>
      </c>
      <c r="N2" s="3" t="inlineStr">
        <is>
          <t xml:space="preserve">Underlying end spot</t>
        </is>
      </c>
      <c r="O2" s="3" t="inlineStr">
        <is>
          <t xml:space="preserve">Underlying index start</t>
        </is>
      </c>
      <c r="P2" s="3" t="inlineStr">
        <is>
          <t xml:space="preserve">Underlying index end</t>
        </is>
      </c>
      <c r="Q2" s="3" t="inlineStr">
        <is>
          <t xml:space="preserve">Underlying price change</t>
        </is>
      </c>
      <c r="R2" s="3" t="inlineStr">
        <is>
          <t xml:space="preserve">Lease book start — holdings sum</t>
        </is>
      </c>
      <c r="S2" s="3" t="inlineStr">
        <is>
          <t xml:space="preserve">Lease book end — holdings sum</t>
        </is>
      </c>
      <c r="T2" s="3" t="inlineStr">
        <is>
          <t xml:space="preserve">Keep book start — holdings sum</t>
        </is>
      </c>
      <c r="U2" s="3" t="inlineStr">
        <is>
          <t xml:space="preserve">Keep book end — holdings sum</t>
        </is>
      </c>
      <c r="V2" s="3" t="inlineStr">
        <is>
          <t xml:space="preserve">Lease book start in underlying</t>
        </is>
      </c>
      <c r="W2" s="3" t="inlineStr">
        <is>
          <t xml:space="preserve">Lease book end in underlying</t>
        </is>
      </c>
      <c r="X2" s="3" t="inlineStr">
        <is>
          <t xml:space="preserve">Keep book start in underlying</t>
        </is>
      </c>
      <c r="Y2" s="3" t="inlineStr">
        <is>
          <t xml:space="preserve">Keep book end in underlying</t>
        </is>
      </c>
      <c r="Z2" s="3" t="inlineStr">
        <is>
          <t xml:space="preserve">Total books start in underlying</t>
        </is>
      </c>
      <c r="AA2" s="3" t="inlineStr">
        <is>
          <t xml:space="preserve">Lease standalone return in underlying</t>
        </is>
      </c>
      <c r="AB2" s="3" t="inlineStr">
        <is>
          <t xml:space="preserve">Lease contribution to combined book return</t>
        </is>
      </c>
      <c r="AC2" s="3" t="inlineStr">
        <is>
          <t xml:space="preserve">Keep standalone return in underlying</t>
        </is>
      </c>
      <c r="AD2" s="3" t="inlineStr">
        <is>
          <t xml:space="preserve">Keep contribution to combined book return</t>
        </is>
      </c>
      <c r="AE2" s="3" t="inlineStr">
        <is>
          <t xml:space="preserve">Combined books return in underlying</t>
        </is>
      </c>
      <c r="AF2" s="3" t="inlineStr">
        <is>
          <t xml:space="preserve">Reconstructed total daily return</t>
        </is>
      </c>
      <c r="AG2" s="3" t="inlineStr">
        <is>
          <t xml:space="preserve">Underlying/book return difference</t>
        </is>
      </c>
      <c r="AH2" s="3" t="inlineStr">
        <is>
          <t xml:space="preserve">Lease book interval P&amp;L</t>
        </is>
      </c>
      <c r="AI2" s="3" t="inlineStr">
        <is>
          <t xml:space="preserve">Keep book interval P&amp;L</t>
        </is>
      </c>
      <c r="AJ2" s="3" t="inlineStr">
        <is>
          <t xml:space="preserve">Lease internal transfer check</t>
        </is>
      </c>
      <c r="AK2" s="3" t="inlineStr">
        <is>
          <t xml:space="preserve">Keep internal transfer check</t>
        </is>
      </c>
      <c r="AL2" s="3" t="inlineStr">
        <is>
          <t xml:space="preserve">Lease external/rebalancing transfer</t>
        </is>
      </c>
      <c r="AM2" s="3" t="inlineStr">
        <is>
          <t xml:space="preserve">Keep external/rebalancing transfer</t>
        </is>
      </c>
      <c r="AN2" s="3" t="inlineStr">
        <is>
          <t xml:space="preserve">Lease opening value</t>
        </is>
      </c>
      <c r="AO2" s="3" t="inlineStr">
        <is>
          <t xml:space="preserve">Lease accumulated P&amp;L</t>
        </is>
      </c>
      <c r="AP2" s="3" t="inlineStr">
        <is>
          <t xml:space="preserve">Lease accumulated external transfers</t>
        </is>
      </c>
      <c r="AQ2" s="3" t="inlineStr">
        <is>
          <t xml:space="preserve">Lease book end — roll-forward</t>
        </is>
      </c>
      <c r="AR2" s="3" t="inlineStr">
        <is>
          <t xml:space="preserve">Lease holdings vs roll-forward difference</t>
        </is>
      </c>
      <c r="AS2" s="3" t="inlineStr">
        <is>
          <t xml:space="preserve">Keep opening value</t>
        </is>
      </c>
      <c r="AT2" s="3" t="inlineStr">
        <is>
          <t xml:space="preserve">Keep accumulated P&amp;L</t>
        </is>
      </c>
      <c r="AU2" s="3" t="inlineStr">
        <is>
          <t xml:space="preserve">Keep accumulated external transfers</t>
        </is>
      </c>
      <c r="AV2" s="3" t="inlineStr">
        <is>
          <t xml:space="preserve">Keep book end — roll-forward</t>
        </is>
      </c>
      <c r="AW2" s="3" t="inlineStr">
        <is>
          <t xml:space="preserve">Keep holdings vs roll-forward difference</t>
        </is>
      </c>
      <c r="AX2" s="3" t="inlineStr">
        <is>
          <t xml:space="preserve">Lease book start — engine audit</t>
        </is>
      </c>
      <c r="AY2" s="3" t="inlineStr">
        <is>
          <t xml:space="preserve">Lease book end — engine audit</t>
        </is>
      </c>
      <c r="AZ2" s="3" t="inlineStr">
        <is>
          <t xml:space="preserve">Lease book engine audit difference</t>
        </is>
      </c>
      <c r="BA2" s="3" t="inlineStr">
        <is>
          <t xml:space="preserve">Keep book start — engine audit</t>
        </is>
      </c>
      <c r="BB2" s="3" t="inlineStr">
        <is>
          <t xml:space="preserve">Keep book end — engine audit</t>
        </is>
      </c>
      <c r="BC2" s="3" t="inlineStr">
        <is>
          <t xml:space="preserve">Keep book engine audit difference</t>
        </is>
      </c>
      <c r="BD2" s="3" t="inlineStr">
        <is>
          <t xml:space="preserve">Direct/replicating contribution</t>
        </is>
      </c>
      <c r="BE2" s="3" t="inlineStr">
        <is>
          <t xml:space="preserve">Treasury contribution</t>
        </is>
      </c>
      <c r="BF2" s="3" t="inlineStr">
        <is>
          <t xml:space="preserve">Futures contribution</t>
        </is>
      </c>
      <c r="BG2" s="3" t="inlineStr">
        <is>
          <t xml:space="preserve">Cash/financing contribution</t>
        </is>
      </c>
      <c r="BH2" s="3" t="inlineStr">
        <is>
          <t xml:space="preserve">Detailed contribution sum</t>
        </is>
      </c>
      <c r="BI2" s="3" t="inlineStr">
        <is>
          <t xml:space="preserve">Detailed return difference</t>
        </is>
      </c>
      <c r="BJ2" s="3" t="inlineStr">
        <is>
          <t xml:space="preserve">Actual holding count</t>
        </is>
      </c>
      <c r="BK2" s="3" t="inlineStr">
        <is>
          <t xml:space="preserve">Name</t>
        </is>
      </c>
      <c r="BL2" s="3" t="inlineStr">
        <is>
          <t xml:space="preserve">Type</t>
        </is>
      </c>
      <c r="BM2" s="3" t="inlineStr">
        <is>
          <t xml:space="preserve">Book</t>
        </is>
      </c>
      <c r="BN2" s="3" t="inlineStr">
        <is>
          <t xml:space="preserve">Side</t>
        </is>
      </c>
      <c r="BO2" s="3" t="inlineStr">
        <is>
          <t xml:space="preserve">Contract type</t>
        </is>
      </c>
      <c r="BP2" s="3" t="inlineStr">
        <is>
          <t xml:space="preserve">Start price</t>
        </is>
      </c>
      <c r="BQ2" s="3" t="inlineStr">
        <is>
          <t xml:space="preserve">End price</t>
        </is>
      </c>
      <c r="BR2" s="3" t="inlineStr">
        <is>
          <t xml:space="preserve">Quantity / units</t>
        </is>
      </c>
      <c r="BS2" s="3" t="inlineStr">
        <is>
          <t xml:space="preserve">Position (% NAV)</t>
        </is>
      </c>
      <c r="BT2" s="3" t="inlineStr">
        <is>
          <t xml:space="preserve">Value / notional</t>
        </is>
      </c>
      <c r="BU2" s="3" t="inlineStr">
        <is>
          <t xml:space="preserve">Start value</t>
        </is>
      </c>
      <c r="BV2" s="3" t="inlineStr">
        <is>
          <t xml:space="preserve">End value</t>
        </is>
      </c>
      <c r="BW2" s="3" t="inlineStr">
        <is>
          <t xml:space="preserve">Economic P&amp;L</t>
        </is>
      </c>
      <c r="BX2" s="3" t="inlineStr">
        <is>
          <t xml:space="preserve">Internal transfer</t>
        </is>
      </c>
      <c r="BY2" s="3" t="inlineStr">
        <is>
          <t xml:space="preserve">Spot price — start</t>
        </is>
      </c>
      <c r="BZ2" s="3" t="inlineStr">
        <is>
          <t xml:space="preserve">Spot price — end</t>
        </is>
      </c>
      <c r="CA2" s="3" t="inlineStr">
        <is>
          <t xml:space="preserve">Premium</t>
        </is>
      </c>
      <c r="CB2" s="3" t="inlineStr">
        <is>
          <t xml:space="preserve">Matched USD rate</t>
        </is>
      </c>
      <c r="CC2" s="3" t="inlineStr">
        <is>
          <t xml:space="preserve">Lease rate</t>
        </is>
      </c>
      <c r="CD2" s="3" t="inlineStr">
        <is>
          <t xml:space="preserve">Maturity (days)</t>
        </is>
      </c>
      <c r="CE2" s="3" t="inlineStr">
        <is>
          <t xml:space="preserve">Return contribution</t>
        </is>
      </c>
      <c r="CF2" s="3" t="inlineStr">
        <is>
          <t xml:space="preserve">Name</t>
        </is>
      </c>
      <c r="CG2" s="3" t="inlineStr">
        <is>
          <t xml:space="preserve">Type</t>
        </is>
      </c>
      <c r="CH2" s="3" t="inlineStr">
        <is>
          <t xml:space="preserve">Book</t>
        </is>
      </c>
      <c r="CI2" s="3" t="inlineStr">
        <is>
          <t xml:space="preserve">Side</t>
        </is>
      </c>
      <c r="CJ2" s="3" t="inlineStr">
        <is>
          <t xml:space="preserve">Contract type</t>
        </is>
      </c>
      <c r="CK2" s="3" t="inlineStr">
        <is>
          <t xml:space="preserve">Start price</t>
        </is>
      </c>
      <c r="CL2" s="3" t="inlineStr">
        <is>
          <t xml:space="preserve">End price</t>
        </is>
      </c>
      <c r="CM2" s="3" t="inlineStr">
        <is>
          <t xml:space="preserve">Quantity / units</t>
        </is>
      </c>
      <c r="CN2" s="3" t="inlineStr">
        <is>
          <t xml:space="preserve">Position (% NAV)</t>
        </is>
      </c>
      <c r="CO2" s="3" t="inlineStr">
        <is>
          <t xml:space="preserve">Value / notional</t>
        </is>
      </c>
      <c r="CP2" s="3" t="inlineStr">
        <is>
          <t xml:space="preserve">Start value</t>
        </is>
      </c>
      <c r="CQ2" s="3" t="inlineStr">
        <is>
          <t xml:space="preserve">End value</t>
        </is>
      </c>
      <c r="CR2" s="3" t="inlineStr">
        <is>
          <t xml:space="preserve">Economic P&amp;L</t>
        </is>
      </c>
      <c r="CS2" s="3" t="inlineStr">
        <is>
          <t xml:space="preserve">Internal transfer</t>
        </is>
      </c>
      <c r="CT2" s="3" t="inlineStr">
        <is>
          <t xml:space="preserve">Spot price — start</t>
        </is>
      </c>
      <c r="CU2" s="3" t="inlineStr">
        <is>
          <t xml:space="preserve">Spot price — end</t>
        </is>
      </c>
      <c r="CV2" s="3" t="inlineStr">
        <is>
          <t xml:space="preserve">Premium</t>
        </is>
      </c>
      <c r="CW2" s="3" t="inlineStr">
        <is>
          <t xml:space="preserve">Matched USD rate</t>
        </is>
      </c>
      <c r="CX2" s="3" t="inlineStr">
        <is>
          <t xml:space="preserve">Lease rate</t>
        </is>
      </c>
      <c r="CY2" s="3" t="inlineStr">
        <is>
          <t xml:space="preserve">Maturity (days)</t>
        </is>
      </c>
      <c r="CZ2" s="3" t="inlineStr">
        <is>
          <t xml:space="preserve">Return contribution</t>
        </is>
      </c>
      <c r="DA2" s="3" t="inlineStr">
        <is>
          <t xml:space="preserve">Name</t>
        </is>
      </c>
      <c r="DB2" s="3" t="inlineStr">
        <is>
          <t xml:space="preserve">Type</t>
        </is>
      </c>
      <c r="DC2" s="3" t="inlineStr">
        <is>
          <t xml:space="preserve">Book</t>
        </is>
      </c>
      <c r="DD2" s="3" t="inlineStr">
        <is>
          <t xml:space="preserve">Side</t>
        </is>
      </c>
      <c r="DE2" s="3" t="inlineStr">
        <is>
          <t xml:space="preserve">Contract type</t>
        </is>
      </c>
      <c r="DF2" s="3" t="inlineStr">
        <is>
          <t xml:space="preserve">Start price</t>
        </is>
      </c>
      <c r="DG2" s="3" t="inlineStr">
        <is>
          <t xml:space="preserve">End price</t>
        </is>
      </c>
      <c r="DH2" s="3" t="inlineStr">
        <is>
          <t xml:space="preserve">Quantity / units</t>
        </is>
      </c>
      <c r="DI2" s="3" t="inlineStr">
        <is>
          <t xml:space="preserve">Position (% NAV)</t>
        </is>
      </c>
      <c r="DJ2" s="3" t="inlineStr">
        <is>
          <t xml:space="preserve">Value / notional</t>
        </is>
      </c>
      <c r="DK2" s="3" t="inlineStr">
        <is>
          <t xml:space="preserve">Start value</t>
        </is>
      </c>
      <c r="DL2" s="3" t="inlineStr">
        <is>
          <t xml:space="preserve">End value</t>
        </is>
      </c>
      <c r="DM2" s="3" t="inlineStr">
        <is>
          <t xml:space="preserve">Economic P&amp;L</t>
        </is>
      </c>
      <c r="DN2" s="3" t="inlineStr">
        <is>
          <t xml:space="preserve">Internal transfer</t>
        </is>
      </c>
      <c r="DO2" s="3" t="inlineStr">
        <is>
          <t xml:space="preserve">Spot price — start</t>
        </is>
      </c>
      <c r="DP2" s="3" t="inlineStr">
        <is>
          <t xml:space="preserve">Spot price — end</t>
        </is>
      </c>
      <c r="DQ2" s="3" t="inlineStr">
        <is>
          <t xml:space="preserve">Premium</t>
        </is>
      </c>
      <c r="DR2" s="3" t="inlineStr">
        <is>
          <t xml:space="preserve">Matched USD rate</t>
        </is>
      </c>
      <c r="DS2" s="3" t="inlineStr">
        <is>
          <t xml:space="preserve">Lease rate</t>
        </is>
      </c>
      <c r="DT2" s="3" t="inlineStr">
        <is>
          <t xml:space="preserve">Maturity (days)</t>
        </is>
      </c>
      <c r="DU2" s="3" t="inlineStr">
        <is>
          <t xml:space="preserve">Return contribution</t>
        </is>
      </c>
      <c r="DV2" s="3" t="inlineStr">
        <is>
          <t xml:space="preserve">Name</t>
        </is>
      </c>
      <c r="DW2" s="3" t="inlineStr">
        <is>
          <t xml:space="preserve">Type</t>
        </is>
      </c>
      <c r="DX2" s="3" t="inlineStr">
        <is>
          <t xml:space="preserve">Book</t>
        </is>
      </c>
      <c r="DY2" s="3" t="inlineStr">
        <is>
          <t xml:space="preserve">Side</t>
        </is>
      </c>
      <c r="DZ2" s="3" t="inlineStr">
        <is>
          <t xml:space="preserve">Contract type</t>
        </is>
      </c>
      <c r="EA2" s="3" t="inlineStr">
        <is>
          <t xml:space="preserve">Start price</t>
        </is>
      </c>
      <c r="EB2" s="3" t="inlineStr">
        <is>
          <t xml:space="preserve">End price</t>
        </is>
      </c>
      <c r="EC2" s="3" t="inlineStr">
        <is>
          <t xml:space="preserve">Quantity / units</t>
        </is>
      </c>
      <c r="ED2" s="3" t="inlineStr">
        <is>
          <t xml:space="preserve">Position (% NAV)</t>
        </is>
      </c>
      <c r="EE2" s="3" t="inlineStr">
        <is>
          <t xml:space="preserve">Value / notional</t>
        </is>
      </c>
      <c r="EF2" s="3" t="inlineStr">
        <is>
          <t xml:space="preserve">Start value</t>
        </is>
      </c>
      <c r="EG2" s="3" t="inlineStr">
        <is>
          <t xml:space="preserve">End value</t>
        </is>
      </c>
      <c r="EH2" s="3" t="inlineStr">
        <is>
          <t xml:space="preserve">Economic P&amp;L</t>
        </is>
      </c>
      <c r="EI2" s="3" t="inlineStr">
        <is>
          <t xml:space="preserve">Internal transfer</t>
        </is>
      </c>
      <c r="EJ2" s="3" t="inlineStr">
        <is>
          <t xml:space="preserve">Spot price — start</t>
        </is>
      </c>
      <c r="EK2" s="3" t="inlineStr">
        <is>
          <t xml:space="preserve">Spot price — end</t>
        </is>
      </c>
      <c r="EL2" s="3" t="inlineStr">
        <is>
          <t xml:space="preserve">Premium</t>
        </is>
      </c>
      <c r="EM2" s="3" t="inlineStr">
        <is>
          <t xml:space="preserve">Matched USD rate</t>
        </is>
      </c>
      <c r="EN2" s="3" t="inlineStr">
        <is>
          <t xml:space="preserve">Lease rate</t>
        </is>
      </c>
      <c r="EO2" s="3" t="inlineStr">
        <is>
          <t xml:space="preserve">Maturity (days)</t>
        </is>
      </c>
      <c r="EP2" s="3" t="inlineStr">
        <is>
          <t xml:space="preserve">Return contribution</t>
        </is>
      </c>
      <c r="EQ2" s="3" t="inlineStr">
        <is>
          <t xml:space="preserve">Name</t>
        </is>
      </c>
      <c r="ER2" s="3" t="inlineStr">
        <is>
          <t xml:space="preserve">Type</t>
        </is>
      </c>
      <c r="ES2" s="3" t="inlineStr">
        <is>
          <t xml:space="preserve">Book</t>
        </is>
      </c>
      <c r="ET2" s="3" t="inlineStr">
        <is>
          <t xml:space="preserve">Side</t>
        </is>
      </c>
      <c r="EU2" s="3" t="inlineStr">
        <is>
          <t xml:space="preserve">Contract type</t>
        </is>
      </c>
      <c r="EV2" s="3" t="inlineStr">
        <is>
          <t xml:space="preserve">Start price</t>
        </is>
      </c>
      <c r="EW2" s="3" t="inlineStr">
        <is>
          <t xml:space="preserve">End price</t>
        </is>
      </c>
      <c r="EX2" s="3" t="inlineStr">
        <is>
          <t xml:space="preserve">Quantity / units</t>
        </is>
      </c>
      <c r="EY2" s="3" t="inlineStr">
        <is>
          <t xml:space="preserve">Position (% NAV)</t>
        </is>
      </c>
      <c r="EZ2" s="3" t="inlineStr">
        <is>
          <t xml:space="preserve">Value / notional</t>
        </is>
      </c>
      <c r="FA2" s="3" t="inlineStr">
        <is>
          <t xml:space="preserve">Start value</t>
        </is>
      </c>
      <c r="FB2" s="3" t="inlineStr">
        <is>
          <t xml:space="preserve">End value</t>
        </is>
      </c>
      <c r="FC2" s="3" t="inlineStr">
        <is>
          <t xml:space="preserve">Economic P&amp;L</t>
        </is>
      </c>
      <c r="FD2" s="3" t="inlineStr">
        <is>
          <t xml:space="preserve">Internal transfer</t>
        </is>
      </c>
      <c r="FE2" s="3" t="inlineStr">
        <is>
          <t xml:space="preserve">Spot price — start</t>
        </is>
      </c>
      <c r="FF2" s="3" t="inlineStr">
        <is>
          <t xml:space="preserve">Spot price — end</t>
        </is>
      </c>
      <c r="FG2" s="3" t="inlineStr">
        <is>
          <t xml:space="preserve">Premium</t>
        </is>
      </c>
      <c r="FH2" s="3" t="inlineStr">
        <is>
          <t xml:space="preserve">Matched USD rate</t>
        </is>
      </c>
      <c r="FI2" s="3" t="inlineStr">
        <is>
          <t xml:space="preserve">Lease rate</t>
        </is>
      </c>
      <c r="FJ2" s="3" t="inlineStr">
        <is>
          <t xml:space="preserve">Maturity (days)</t>
        </is>
      </c>
      <c r="FK2" s="3" t="inlineStr">
        <is>
          <t xml:space="preserve">Return contribution</t>
        </is>
      </c>
      <c r="FL2" s="3" t="inlineStr">
        <is>
          <t xml:space="preserve">Name</t>
        </is>
      </c>
      <c r="FM2" s="3" t="inlineStr">
        <is>
          <t xml:space="preserve">Type</t>
        </is>
      </c>
      <c r="FN2" s="3" t="inlineStr">
        <is>
          <t xml:space="preserve">Book</t>
        </is>
      </c>
      <c r="FO2" s="3" t="inlineStr">
        <is>
          <t xml:space="preserve">Side</t>
        </is>
      </c>
      <c r="FP2" s="3" t="inlineStr">
        <is>
          <t xml:space="preserve">Contract type</t>
        </is>
      </c>
      <c r="FQ2" s="3" t="inlineStr">
        <is>
          <t xml:space="preserve">Start price</t>
        </is>
      </c>
      <c r="FR2" s="3" t="inlineStr">
        <is>
          <t xml:space="preserve">End price</t>
        </is>
      </c>
      <c r="FS2" s="3" t="inlineStr">
        <is>
          <t xml:space="preserve">Quantity / units</t>
        </is>
      </c>
      <c r="FT2" s="3" t="inlineStr">
        <is>
          <t xml:space="preserve">Position (% NAV)</t>
        </is>
      </c>
      <c r="FU2" s="3" t="inlineStr">
        <is>
          <t xml:space="preserve">Value / notional</t>
        </is>
      </c>
      <c r="FV2" s="3" t="inlineStr">
        <is>
          <t xml:space="preserve">Start value</t>
        </is>
      </c>
      <c r="FW2" s="3" t="inlineStr">
        <is>
          <t xml:space="preserve">End value</t>
        </is>
      </c>
      <c r="FX2" s="3" t="inlineStr">
        <is>
          <t xml:space="preserve">Economic P&amp;L</t>
        </is>
      </c>
      <c r="FY2" s="3" t="inlineStr">
        <is>
          <t xml:space="preserve">Internal transfer</t>
        </is>
      </c>
      <c r="FZ2" s="3" t="inlineStr">
        <is>
          <t xml:space="preserve">Spot price — start</t>
        </is>
      </c>
      <c r="GA2" s="3" t="inlineStr">
        <is>
          <t xml:space="preserve">Spot price — end</t>
        </is>
      </c>
      <c r="GB2" s="3" t="inlineStr">
        <is>
          <t xml:space="preserve">Premium</t>
        </is>
      </c>
      <c r="GC2" s="3" t="inlineStr">
        <is>
          <t xml:space="preserve">Matched USD rate</t>
        </is>
      </c>
      <c r="GD2" s="3" t="inlineStr">
        <is>
          <t xml:space="preserve">Lease rate</t>
        </is>
      </c>
      <c r="GE2" s="3" t="inlineStr">
        <is>
          <t xml:space="preserve">Maturity (days)</t>
        </is>
      </c>
      <c r="GF2" s="3" t="inlineStr">
        <is>
          <t xml:space="preserve">Return contribution</t>
        </is>
      </c>
      <c r="GG2" s="3" t="inlineStr">
        <is>
          <t xml:space="preserve">Name</t>
        </is>
      </c>
      <c r="GH2" s="3" t="inlineStr">
        <is>
          <t xml:space="preserve">Type</t>
        </is>
      </c>
      <c r="GI2" s="3" t="inlineStr">
        <is>
          <t xml:space="preserve">Book</t>
        </is>
      </c>
      <c r="GJ2" s="3" t="inlineStr">
        <is>
          <t xml:space="preserve">Side</t>
        </is>
      </c>
      <c r="GK2" s="3" t="inlineStr">
        <is>
          <t xml:space="preserve">Contract type</t>
        </is>
      </c>
      <c r="GL2" s="3" t="inlineStr">
        <is>
          <t xml:space="preserve">Start price</t>
        </is>
      </c>
      <c r="GM2" s="3" t="inlineStr">
        <is>
          <t xml:space="preserve">End price</t>
        </is>
      </c>
      <c r="GN2" s="3" t="inlineStr">
        <is>
          <t xml:space="preserve">Quantity / units</t>
        </is>
      </c>
      <c r="GO2" s="3" t="inlineStr">
        <is>
          <t xml:space="preserve">Position (% NAV)</t>
        </is>
      </c>
      <c r="GP2" s="3" t="inlineStr">
        <is>
          <t xml:space="preserve">Value / notional</t>
        </is>
      </c>
      <c r="GQ2" s="3" t="inlineStr">
        <is>
          <t xml:space="preserve">Start value</t>
        </is>
      </c>
      <c r="GR2" s="3" t="inlineStr">
        <is>
          <t xml:space="preserve">End value</t>
        </is>
      </c>
      <c r="GS2" s="3" t="inlineStr">
        <is>
          <t xml:space="preserve">Economic P&amp;L</t>
        </is>
      </c>
      <c r="GT2" s="3" t="inlineStr">
        <is>
          <t xml:space="preserve">Internal transfer</t>
        </is>
      </c>
      <c r="GU2" s="3" t="inlineStr">
        <is>
          <t xml:space="preserve">Spot price — start</t>
        </is>
      </c>
      <c r="GV2" s="3" t="inlineStr">
        <is>
          <t xml:space="preserve">Spot price — end</t>
        </is>
      </c>
      <c r="GW2" s="3" t="inlineStr">
        <is>
          <t xml:space="preserve">Premium</t>
        </is>
      </c>
      <c r="GX2" s="3" t="inlineStr">
        <is>
          <t xml:space="preserve">Matched USD rate</t>
        </is>
      </c>
      <c r="GY2" s="3" t="inlineStr">
        <is>
          <t xml:space="preserve">Lease rate</t>
        </is>
      </c>
      <c r="GZ2" s="3" t="inlineStr">
        <is>
          <t xml:space="preserve">Maturity (days)</t>
        </is>
      </c>
      <c r="HA2" s="3" t="inlineStr">
        <is>
          <t xml:space="preserve">Return contribution</t>
        </is>
      </c>
      <c r="HB2" s="3" t="inlineStr">
        <is>
          <t xml:space="preserve">Name</t>
        </is>
      </c>
      <c r="HC2" s="3" t="inlineStr">
        <is>
          <t xml:space="preserve">Type</t>
        </is>
      </c>
      <c r="HD2" s="3" t="inlineStr">
        <is>
          <t xml:space="preserve">Book</t>
        </is>
      </c>
      <c r="HE2" s="3" t="inlineStr">
        <is>
          <t xml:space="preserve">Side</t>
        </is>
      </c>
      <c r="HF2" s="3" t="inlineStr">
        <is>
          <t xml:space="preserve">Contract type</t>
        </is>
      </c>
      <c r="HG2" s="3" t="inlineStr">
        <is>
          <t xml:space="preserve">Start price</t>
        </is>
      </c>
      <c r="HH2" s="3" t="inlineStr">
        <is>
          <t xml:space="preserve">End price</t>
        </is>
      </c>
      <c r="HI2" s="3" t="inlineStr">
        <is>
          <t xml:space="preserve">Quantity / units</t>
        </is>
      </c>
      <c r="HJ2" s="3" t="inlineStr">
        <is>
          <t xml:space="preserve">Position (% NAV)</t>
        </is>
      </c>
      <c r="HK2" s="3" t="inlineStr">
        <is>
          <t xml:space="preserve">Value / notional</t>
        </is>
      </c>
      <c r="HL2" s="3" t="inlineStr">
        <is>
          <t xml:space="preserve">Start value</t>
        </is>
      </c>
      <c r="HM2" s="3" t="inlineStr">
        <is>
          <t xml:space="preserve">End value</t>
        </is>
      </c>
      <c r="HN2" s="3" t="inlineStr">
        <is>
          <t xml:space="preserve">Economic P&amp;L</t>
        </is>
      </c>
      <c r="HO2" s="3" t="inlineStr">
        <is>
          <t xml:space="preserve">Internal transfer</t>
        </is>
      </c>
      <c r="HP2" s="3" t="inlineStr">
        <is>
          <t xml:space="preserve">Spot price — start</t>
        </is>
      </c>
      <c r="HQ2" s="3" t="inlineStr">
        <is>
          <t xml:space="preserve">Spot price — end</t>
        </is>
      </c>
      <c r="HR2" s="3" t="inlineStr">
        <is>
          <t xml:space="preserve">Premium</t>
        </is>
      </c>
      <c r="HS2" s="3" t="inlineStr">
        <is>
          <t xml:space="preserve">Matched USD rate</t>
        </is>
      </c>
      <c r="HT2" s="3" t="inlineStr">
        <is>
          <t xml:space="preserve">Lease rate</t>
        </is>
      </c>
      <c r="HU2" s="3" t="inlineStr">
        <is>
          <t xml:space="preserve">Maturity (days)</t>
        </is>
      </c>
      <c r="HV2" s="3" t="inlineStr">
        <is>
          <t xml:space="preserve">Return contribution</t>
        </is>
      </c>
      <c r="HW2" s="3" t="inlineStr">
        <is>
          <t xml:space="preserve">Name</t>
        </is>
      </c>
      <c r="HX2" s="3" t="inlineStr">
        <is>
          <t xml:space="preserve">Type</t>
        </is>
      </c>
      <c r="HY2" s="3" t="inlineStr">
        <is>
          <t xml:space="preserve">Book</t>
        </is>
      </c>
      <c r="HZ2" s="3" t="inlineStr">
        <is>
          <t xml:space="preserve">Side</t>
        </is>
      </c>
      <c r="IA2" s="3" t="inlineStr">
        <is>
          <t xml:space="preserve">Contract type</t>
        </is>
      </c>
      <c r="IB2" s="3" t="inlineStr">
        <is>
          <t xml:space="preserve">Start price</t>
        </is>
      </c>
      <c r="IC2" s="3" t="inlineStr">
        <is>
          <t xml:space="preserve">End price</t>
        </is>
      </c>
      <c r="ID2" s="3" t="inlineStr">
        <is>
          <t xml:space="preserve">Quantity / units</t>
        </is>
      </c>
      <c r="IE2" s="3" t="inlineStr">
        <is>
          <t xml:space="preserve">Position (% NAV)</t>
        </is>
      </c>
      <c r="IF2" s="3" t="inlineStr">
        <is>
          <t xml:space="preserve">Value / notional</t>
        </is>
      </c>
      <c r="IG2" s="3" t="inlineStr">
        <is>
          <t xml:space="preserve">Start value</t>
        </is>
      </c>
      <c r="IH2" s="3" t="inlineStr">
        <is>
          <t xml:space="preserve">End value</t>
        </is>
      </c>
      <c r="II2" s="3" t="inlineStr">
        <is>
          <t xml:space="preserve">Economic P&amp;L</t>
        </is>
      </c>
      <c r="IJ2" s="3" t="inlineStr">
        <is>
          <t xml:space="preserve">Internal transfer</t>
        </is>
      </c>
      <c r="IK2" s="3" t="inlineStr">
        <is>
          <t xml:space="preserve">Spot price — start</t>
        </is>
      </c>
      <c r="IL2" s="3" t="inlineStr">
        <is>
          <t xml:space="preserve">Spot price — end</t>
        </is>
      </c>
      <c r="IM2" s="3" t="inlineStr">
        <is>
          <t xml:space="preserve">Premium</t>
        </is>
      </c>
      <c r="IN2" s="3" t="inlineStr">
        <is>
          <t xml:space="preserve">Matched USD rate</t>
        </is>
      </c>
      <c r="IO2" s="3" t="inlineStr">
        <is>
          <t xml:space="preserve">Lease rate</t>
        </is>
      </c>
      <c r="IP2" s="3" t="inlineStr">
        <is>
          <t xml:space="preserve">Maturity (days)</t>
        </is>
      </c>
      <c r="IQ2" s="3" t="inlineStr">
        <is>
          <t xml:space="preserve">Return contribution</t>
        </is>
      </c>
      <c r="IR2" s="3" t="inlineStr">
        <is>
          <t xml:space="preserve">Name</t>
        </is>
      </c>
      <c r="IS2" s="3" t="inlineStr">
        <is>
          <t xml:space="preserve">Type</t>
        </is>
      </c>
      <c r="IT2" s="3" t="inlineStr">
        <is>
          <t xml:space="preserve">Book</t>
        </is>
      </c>
      <c r="IU2" s="3" t="inlineStr">
        <is>
          <t xml:space="preserve">Side</t>
        </is>
      </c>
      <c r="IV2" s="3" t="inlineStr">
        <is>
          <t xml:space="preserve">Contract type</t>
        </is>
      </c>
      <c r="IW2" s="3" t="inlineStr">
        <is>
          <t xml:space="preserve">Start price</t>
        </is>
      </c>
      <c r="IX2" s="3" t="inlineStr">
        <is>
          <t xml:space="preserve">End price</t>
        </is>
      </c>
      <c r="IY2" s="3" t="inlineStr">
        <is>
          <t xml:space="preserve">Quantity / units</t>
        </is>
      </c>
      <c r="IZ2" s="3" t="inlineStr">
        <is>
          <t xml:space="preserve">Position (% NAV)</t>
        </is>
      </c>
      <c r="JA2" s="3" t="inlineStr">
        <is>
          <t xml:space="preserve">Value / notional</t>
        </is>
      </c>
      <c r="JB2" s="3" t="inlineStr">
        <is>
          <t xml:space="preserve">Start value</t>
        </is>
      </c>
      <c r="JC2" s="3" t="inlineStr">
        <is>
          <t xml:space="preserve">End value</t>
        </is>
      </c>
      <c r="JD2" s="3" t="inlineStr">
        <is>
          <t xml:space="preserve">Economic P&amp;L</t>
        </is>
      </c>
      <c r="JE2" s="3" t="inlineStr">
        <is>
          <t xml:space="preserve">Internal transfer</t>
        </is>
      </c>
      <c r="JF2" s="3" t="inlineStr">
        <is>
          <t xml:space="preserve">Spot price — start</t>
        </is>
      </c>
      <c r="JG2" s="3" t="inlineStr">
        <is>
          <t xml:space="preserve">Spot price — end</t>
        </is>
      </c>
      <c r="JH2" s="3" t="inlineStr">
        <is>
          <t xml:space="preserve">Premium</t>
        </is>
      </c>
      <c r="JI2" s="3" t="inlineStr">
        <is>
          <t xml:space="preserve">Matched USD rate</t>
        </is>
      </c>
      <c r="JJ2" s="3" t="inlineStr">
        <is>
          <t xml:space="preserve">Lease rate</t>
        </is>
      </c>
      <c r="JK2" s="3" t="inlineStr">
        <is>
          <t xml:space="preserve">Maturity (days)</t>
        </is>
      </c>
      <c r="JL2" s="3" t="inlineStr">
        <is>
          <t xml:space="preserve">Return contribution</t>
        </is>
      </c>
    </row>
    <row r="3">
      <c r="A3" s="8">
        <v>25205</v>
      </c>
      <c r="B3" s="8">
        <v>25206</v>
      </c>
      <c r="C3" s="9">
        <f>B3-A3</f>
        <v>1</v>
      </c>
      <c r="D3" s="8">
        <v>25205</v>
      </c>
      <c r="E3" t="inlineStr">
        <is>
          <t xml:space="preserve">positive</t>
        </is>
      </c>
      <c r="F3" s="4">
        <v>1</v>
      </c>
      <c r="G3" s="6">
        <v>0.00048216333609568326</v>
      </c>
      <c r="H3" s="7">
        <f>SUM(CE3,CZ3,DU3,EP3,FK3,GF3,HA3,HV3,IQ3,JL3)</f>
        <v>0.00048216333609568326</v>
      </c>
      <c r="I3" s="7">
        <f>G3-H3</f>
        <v>0</v>
      </c>
      <c r="J3" s="5">
        <f>F3*(1+H3)</f>
        <v>1.0004821633360956</v>
      </c>
      <c r="K3" s="4">
        <v>1.0004821633360956</v>
      </c>
      <c r="L3" s="5">
        <f>K3-J3</f>
        <v>0</v>
      </c>
      <c r="M3" s="4">
        <v>1.958</v>
      </c>
      <c r="N3" s="4">
        <v>1.967</v>
      </c>
      <c r="O3" s="5">
        <f>M3/$M$3</f>
        <v>1</v>
      </c>
      <c r="P3" s="5">
        <f>N3/$M$3</f>
        <v>1.0045965270684372</v>
      </c>
      <c r="Q3" s="7">
        <f>IFERROR(N3/M3-1,0)</f>
        <v>0.004596527068437162</v>
      </c>
      <c r="R3" s="5">
        <f>SUM(IF(BM3="lease",BU3,0),IF(CH3="lease",CP3,0),IF(DC3="lease",DK3,0),IF(DX3="lease",EF3,0),IF(ES3="lease",FA3,0),IF(FN3="lease",FV3,0),IF(GI3="lease",GQ3,0),IF(HD3="lease",HL3,0),IF(HY3="lease",IG3,0),IF(IT3="lease",JB3,0))</f>
        <v>1</v>
      </c>
      <c r="S3" s="5">
        <f>SUM(IF(BM3="lease",BV3,0),IF(CH3="lease",CQ3,0),IF(DC3="lease",DL3,0),IF(DX3="lease",EG3,0),IF(ES3="lease",FB3,0),IF(FN3="lease",FW3,0),IF(GI3="lease",GR3,0),IF(HD3="lease",HM3,0),IF(HY3="lease",IH3,0),IF(IT3="lease",JC3,0))</f>
        <v>1.0004821633360956</v>
      </c>
      <c r="T3" s="5">
        <f>SUM(IF(BM3="keep",BU3,0),IF(CH3="keep",CP3,0),IF(DC3="keep",DK3,0),IF(DX3="keep",EF3,0),IF(ES3="keep",FA3,0),IF(FN3="keep",FV3,0),IF(GI3="keep",GQ3,0),IF(HD3="keep",HL3,0),IF(HY3="keep",IG3,0),IF(IT3="keep",JB3,0))</f>
        <v>0</v>
      </c>
      <c r="U3" s="5">
        <f>SUM(IF(BM3="keep",BV3,0),IF(CH3="keep",CQ3,0),IF(DC3="keep",DL3,0),IF(DX3="keep",EG3,0),IF(ES3="keep",FB3,0),IF(FN3="keep",FW3,0),IF(GI3="keep",GR3,0),IF(HD3="keep",HM3,0),IF(HY3="keep",IH3,0),IF(IT3="keep",JC3,0))</f>
        <v>0</v>
      </c>
      <c r="V3" s="5">
        <f>R3/O3</f>
        <v>1</v>
      </c>
      <c r="W3" s="5">
        <f>S3/P3</f>
        <v>0.9959044615211364</v>
      </c>
      <c r="X3" s="5">
        <f>T3/O3</f>
        <v>0</v>
      </c>
      <c r="Y3" s="5">
        <f>U3/P3</f>
        <v>0</v>
      </c>
      <c r="Z3" s="5">
        <f>V3+X3</f>
        <v>1</v>
      </c>
      <c r="AA3" s="7">
        <f>IFERROR(W3/V3-1,0)</f>
        <v>-0.00409553847886357</v>
      </c>
      <c r="AB3" s="7">
        <f>IFERROR((W3-V3)/Z3,0)</f>
        <v>-0.00409553847886357</v>
      </c>
      <c r="AC3" s="7">
        <f>IFERROR(Y3/X3-1,0)</f>
        <v>0</v>
      </c>
      <c r="AD3" s="7">
        <f>IFERROR((Y3-X3)/Z3,0)</f>
        <v>0</v>
      </c>
      <c r="AE3" s="7">
        <f>AB3+AD3</f>
        <v>-0.00409553847886357</v>
      </c>
      <c r="AF3" s="7">
        <f>(1+Q3)*(1+AE3)-1</f>
        <v>0.0004821633360956312</v>
      </c>
      <c r="AG3" s="7">
        <f>G3-AF3</f>
        <v>5.204170427930421e-17</v>
      </c>
      <c r="AH3" s="5">
        <f>SUM(IF(BM3="lease",BW3,0),IF(CH3="lease",CR3,0),IF(DC3="lease",DM3,0),IF(DX3="lease",EH3,0),IF(ES3="lease",FC3,0),IF(FN3="lease",FX3,0),IF(GI3="lease",GS3,0),IF(HD3="lease",HN3,0),IF(HY3="lease",II3,0),IF(IT3="lease",JD3,0))</f>
        <v>0.00048216333609568326</v>
      </c>
      <c r="AI3" s="5">
        <f>SUM(IF(BM3="keep",BW3,0),IF(CH3="keep",CR3,0),IF(DC3="keep",DM3,0),IF(DX3="keep",EH3,0),IF(ES3="keep",FC3,0),IF(FN3="keep",FX3,0),IF(GI3="keep",GS3,0),IF(HD3="keep",HN3,0),IF(HY3="keep",II3,0),IF(IT3="keep",JD3,0))</f>
        <v>0</v>
      </c>
      <c r="AJ3" s="5">
        <f>SUM(IF(BM3="lease",BX3,0),IF(CH3="lease",CS3,0),IF(DC3="lease",DN3,0),IF(DX3="lease",EI3,0),IF(ES3="lease",FD3,0),IF(FN3="lease",FY3,0),IF(GI3="lease",GT3,0),IF(HD3="lease",HO3,0),IF(HY3="lease",IJ3,0),IF(IT3="lease",JE3,0))</f>
        <v>0</v>
      </c>
      <c r="AK3" s="5">
        <f>SUM(IF(BM3="keep",BX3,0),IF(CH3="keep",CS3,0),IF(DC3="keep",DN3,0),IF(DX3="keep",EI3,0),IF(ES3="keep",FD3,0),IF(FN3="keep",FY3,0),IF(GI3="keep",GT3,0),IF(HD3="keep",HO3,0),IF(HY3="keep",IJ3,0),IF(IT3="keep",JE3,0))</f>
        <v>0</v>
      </c>
      <c r="AL3" s="5">
        <f>0</f>
        <v>0</v>
      </c>
      <c r="AM3" s="5">
        <f>0</f>
        <v>0</v>
      </c>
      <c r="AN3" s="5">
        <f>R3</f>
        <v>1</v>
      </c>
      <c r="AO3" s="5">
        <f>AH3</f>
        <v>0.00048216333609568326</v>
      </c>
      <c r="AP3" s="5">
        <f>AL3</f>
        <v>0</v>
      </c>
      <c r="AQ3" s="5">
        <f>AN3+AO3+AP3</f>
        <v>1.0004821633360956</v>
      </c>
      <c r="AR3" s="5">
        <f>S3-AQ3</f>
        <v>0</v>
      </c>
      <c r="AS3" s="5">
        <f>T3</f>
        <v>0</v>
      </c>
      <c r="AT3" s="5">
        <f>AI3</f>
        <v>0</v>
      </c>
      <c r="AU3" s="5">
        <f>AM3</f>
        <v>0</v>
      </c>
      <c r="AV3" s="5">
        <f>AS3+AT3+AU3</f>
        <v>0</v>
      </c>
      <c r="AW3" s="5">
        <f>U3-AV3</f>
        <v>0</v>
      </c>
      <c r="AX3" s="4">
        <v>1</v>
      </c>
      <c r="AY3" s="4">
        <v>1.0004821633360956</v>
      </c>
      <c r="AZ3" s="5">
        <f>S3-AY3</f>
        <v>0</v>
      </c>
      <c r="BA3" s="4">
        <v>0</v>
      </c>
      <c r="BB3" s="4">
        <v>0</v>
      </c>
      <c r="BC3" s="5">
        <f>U3-BB3</f>
        <v>0</v>
      </c>
      <c r="BD3" s="7">
        <f>SUM(IF(BL3="direct",CE3,0),IF(CG3="direct",CZ3,0),IF(DB3="direct",DU3,0),IF(DW3="direct",EP3,0),IF(ER3="direct",FK3,0),IF(FM3="direct",GF3,0),IF(GH3="direct",HA3,0),IF(HC3="direct",HV3,0),IF(HX3="direct",IQ3,0),IF(IS3="direct",JL3,0))</f>
        <v>0.002499714488723654</v>
      </c>
      <c r="BE3" s="7">
        <f>SUM(IF(BL3="treasury",CE3,0),IF(CG3="treasury",CZ3,0),IF(DB3="treasury",DU3,0),IF(DW3="treasury",EP3,0),IF(ER3="treasury",FK3,0),IF(FM3="treasury",GF3,0),IF(GH3="treasury",HA3,0),IF(HC3="treasury",HV3,0),IF(HX3="treasury",IQ3,0),IF(IS3="treasury",JL3,0))</f>
        <v>0.0000766005635891358</v>
      </c>
      <c r="BF3" s="7">
        <f>SUM(IF(BL3="future",CE3,0),IF(CG3="future",CZ3,0),IF(DB3="future",DU3,0),IF(DW3="future",EP3,0),IF(ER3="future",FK3,0),IF(FM3="future",GF3,0),IF(GH3="future",HA3,0),IF(HC3="future",HV3,0),IF(HX3="future",IQ3,0),IF(IS3="future",JL3,0))</f>
        <v>-0.0020941517162171067</v>
      </c>
      <c r="BG3" s="7">
        <f>SUM(IF(BL3="cash",CE3,0),IF(CG3="cash",CZ3,0),IF(DB3="cash",DU3,0),IF(DW3="cash",EP3,0),IF(ER3="cash",FK3,0),IF(FM3="cash",GF3,0),IF(GH3="cash",HA3,0),IF(HC3="cash",HV3,0),IF(HX3="cash",IQ3,0),IF(IS3="cash",JL3,0))</f>
        <v>0</v>
      </c>
      <c r="BH3" s="7">
        <f>SUM(BD3:BG3)</f>
        <v>0.00048216333609568326</v>
      </c>
      <c r="BI3" s="7">
        <f>G3-BH3</f>
        <v>0</v>
      </c>
      <c r="BJ3" s="9">
        <f>COUNTA(BK3,CF3,DA3,DV3,EQ3,FL3,GG3,HB3,HW3,IR3)</f>
        <v>5</v>
      </c>
      <c r="BK3" t="inlineStr">
        <is>
          <t xml:space="preserve">Direct commodity holding</t>
        </is>
      </c>
      <c r="BL3" t="inlineStr">
        <is>
          <t xml:space="preserve">direct</t>
        </is>
      </c>
      <c r="BM3" t="inlineStr">
        <is>
          <t xml:space="preserve">lease</t>
        </is>
      </c>
      <c r="BN3" t="inlineStr">
        <is>
          <t xml:space="preserve">long</t>
        </is>
      </c>
      <c r="BO3"/>
      <c r="BP3" s="4">
        <v>1.958</v>
      </c>
      <c r="BQ3" s="4">
        <v>1.967</v>
      </c>
      <c r="BR3" s="4">
        <v>0.2781605431485082</v>
      </c>
      <c r="BS3" s="6">
        <v>0.544638343484779</v>
      </c>
      <c r="BT3" s="4">
        <v>0.544638343484779</v>
      </c>
      <c r="BU3" s="4">
        <v>0.544638343484779</v>
      </c>
      <c r="BV3" s="4">
        <v>0.5471417883731157</v>
      </c>
      <c r="BW3" s="4">
        <v>0.002499714488723654</v>
      </c>
      <c r="BX3" s="4">
        <v>0.0000037303996129937032</v>
      </c>
      <c r="BY3" s="4">
        <v>1.958</v>
      </c>
      <c r="BZ3" s="4">
        <v>1.967</v>
      </c>
      <c r="CA3" s="6"/>
      <c r="CB3" s="6"/>
      <c r="CC3" s="6"/>
      <c r="CD3" s="9"/>
      <c r="CE3" s="7">
        <f>IFERROR(BW3/F3,0)</f>
        <v>0.002499714488723654</v>
      </c>
      <c r="CF3" t="inlineStr">
        <is>
          <t xml:space="preserve">Treasury collateral</t>
        </is>
      </c>
      <c r="CG3" t="inlineStr">
        <is>
          <t xml:space="preserve">treasury</t>
        </is>
      </c>
      <c r="CH3" t="inlineStr">
        <is>
          <t xml:space="preserve">lease</t>
        </is>
      </c>
      <c r="CI3" t="inlineStr">
        <is>
          <t xml:space="preserve">long</t>
        </is>
      </c>
      <c r="CJ3"/>
      <c r="CK3" s="4">
        <v>100</v>
      </c>
      <c r="CL3" s="4">
        <v>100.01682191780823</v>
      </c>
      <c r="CM3" s="4">
        <v>0.0045536165651522105</v>
      </c>
      <c r="CN3" s="6">
        <v>0.45536165651522104</v>
      </c>
      <c r="CO3" s="4">
        <v>0.45536165651522104</v>
      </c>
      <c r="CP3" s="4">
        <v>0.45536165651522104</v>
      </c>
      <c r="CQ3" s="4">
        <v>0.45543825707881025</v>
      </c>
      <c r="CR3" s="4">
        <v>0.0000766005635891358</v>
      </c>
      <c r="CS3" s="4">
        <v>7.727650984390433e-17</v>
      </c>
      <c r="CT3" s="4">
        <v>1.958</v>
      </c>
      <c r="CU3" s="4">
        <v>1.967</v>
      </c>
      <c r="CV3" s="6"/>
      <c r="CW3" s="6"/>
      <c r="CX3" s="6"/>
      <c r="CY3" s="9">
        <v>27</v>
      </c>
      <c r="CZ3" s="7">
        <f>IFERROR(CR3/F3,0)</f>
        <v>0.0000766005635891358</v>
      </c>
      <c r="DA3" t="inlineStr">
        <is>
          <t xml:space="preserve">SI69F</t>
        </is>
      </c>
      <c r="DB3" t="inlineStr">
        <is>
          <t xml:space="preserve">future</t>
        </is>
      </c>
      <c r="DC3" t="inlineStr">
        <is>
          <t xml:space="preserve">lease</t>
        </is>
      </c>
      <c r="DD3" t="inlineStr">
        <is>
          <t xml:space="preserve">long</t>
        </is>
      </c>
      <c r="DE3" t="inlineStr">
        <is>
          <t xml:space="preserve">regular</t>
        </is>
      </c>
      <c r="DF3" s="4">
        <v>1.9569999999999999</v>
      </c>
      <c r="DG3" s="4">
        <v>1.9480000000000002</v>
      </c>
      <c r="DH3" s="4">
        <v>0.2326835240241293</v>
      </c>
      <c r="DI3" s="6">
        <v>0.45536165651522104</v>
      </c>
      <c r="DJ3" s="4">
        <v>0.45536165651522104</v>
      </c>
      <c r="DK3" s="4">
        <v>0</v>
      </c>
      <c r="DL3" s="4">
        <v>0</v>
      </c>
      <c r="DM3" s="4">
        <v>-0.0020941517162171067</v>
      </c>
      <c r="DN3" s="4">
        <v>0.0020941517162171067</v>
      </c>
      <c r="DO3" s="4">
        <v>1.958</v>
      </c>
      <c r="DP3" s="4">
        <v>1.967</v>
      </c>
      <c r="DQ3" s="6">
        <v>-0.0005107252298264253</v>
      </c>
      <c r="DR3" s="6">
        <v>0.0614</v>
      </c>
      <c r="DS3" s="6">
        <v>0.06830424847728316</v>
      </c>
      <c r="DT3" s="9">
        <v>27</v>
      </c>
      <c r="DU3" s="7">
        <f>IFERROR(DM3/F3,0)</f>
        <v>-0.0020941517162171067</v>
      </c>
      <c r="DV3" t="inlineStr">
        <is>
          <t xml:space="preserve">Lease cash / margin / financing</t>
        </is>
      </c>
      <c r="DW3" t="inlineStr">
        <is>
          <t xml:space="preserve">cash</t>
        </is>
      </c>
      <c r="DX3" t="inlineStr">
        <is>
          <t xml:space="preserve">lease</t>
        </is>
      </c>
      <c r="DY3" t="inlineStr">
        <is>
          <t xml:space="preserve">cash</t>
        </is>
      </c>
      <c r="DZ3"/>
      <c r="EA3" s="4">
        <v>1</v>
      </c>
      <c r="EB3" s="4">
        <v>1</v>
      </c>
      <c r="EC3" s="4">
        <v>0</v>
      </c>
      <c r="ED3" s="6"/>
      <c r="EE3" s="4">
        <v>0</v>
      </c>
      <c r="EF3" s="4">
        <v>0</v>
      </c>
      <c r="EG3" s="4">
        <v>-0.0020978821158301776</v>
      </c>
      <c r="EH3" s="4">
        <v>0</v>
      </c>
      <c r="EI3" s="4">
        <v>-0.0020978821158301776</v>
      </c>
      <c r="EJ3" s="4">
        <v>1.958</v>
      </c>
      <c r="EK3" s="4">
        <v>1.967</v>
      </c>
      <c r="EL3" s="6"/>
      <c r="EM3" s="6"/>
      <c r="EN3" s="6"/>
      <c r="EO3" s="9"/>
      <c r="EP3" s="7">
        <f>IFERROR(EH3/F3,0)</f>
        <v>0</v>
      </c>
      <c r="EQ3" t="inlineStr">
        <is>
          <t xml:space="preserve">Keep cash / margin / financing</t>
        </is>
      </c>
      <c r="ER3" t="inlineStr">
        <is>
          <t xml:space="preserve">cash</t>
        </is>
      </c>
      <c r="ES3" t="inlineStr">
        <is>
          <t xml:space="preserve">keep</t>
        </is>
      </c>
      <c r="ET3" t="inlineStr">
        <is>
          <t xml:space="preserve">cash</t>
        </is>
      </c>
      <c r="EU3"/>
      <c r="EV3" s="4">
        <v>1</v>
      </c>
      <c r="EW3" s="4">
        <v>1</v>
      </c>
      <c r="EX3" s="4">
        <v>0</v>
      </c>
      <c r="EY3" s="6"/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1.958</v>
      </c>
      <c r="FF3" s="4">
        <v>1.967</v>
      </c>
      <c r="FG3" s="6"/>
      <c r="FH3" s="6"/>
      <c r="FI3" s="6"/>
      <c r="FJ3" s="9"/>
      <c r="FK3" s="7">
        <f>IFERROR(FC3/F3,0)</f>
        <v>0</v>
      </c>
      <c r="FL3"/>
      <c r="FM3"/>
      <c r="FN3"/>
      <c r="FO3"/>
      <c r="FP3"/>
      <c r="FQ3" s="4"/>
      <c r="FR3" s="4"/>
      <c r="FS3" s="4"/>
      <c r="FT3" s="6"/>
      <c r="FU3" s="4"/>
      <c r="FV3" s="4"/>
      <c r="FW3" s="4"/>
      <c r="FX3" s="4"/>
      <c r="FY3" s="4"/>
      <c r="FZ3" s="4"/>
      <c r="GA3" s="4"/>
      <c r="GB3" s="6"/>
      <c r="GC3" s="6"/>
      <c r="GD3" s="6"/>
      <c r="GE3" s="9"/>
      <c r="GF3"/>
      <c r="GG3"/>
      <c r="GH3"/>
      <c r="GI3"/>
      <c r="GJ3"/>
      <c r="GK3"/>
      <c r="GL3" s="4"/>
      <c r="GM3" s="4"/>
      <c r="GN3" s="4"/>
      <c r="GO3" s="6"/>
      <c r="GP3" s="4"/>
      <c r="GQ3" s="4"/>
      <c r="GR3" s="4"/>
      <c r="GS3" s="4"/>
      <c r="GT3" s="4"/>
      <c r="GU3" s="4"/>
      <c r="GV3" s="4"/>
      <c r="GW3" s="6"/>
      <c r="GX3" s="6"/>
      <c r="GY3" s="6"/>
      <c r="GZ3" s="9"/>
      <c r="HA3"/>
      <c r="HB3"/>
      <c r="HC3"/>
      <c r="HD3"/>
      <c r="HE3"/>
      <c r="HF3"/>
      <c r="HG3" s="4"/>
      <c r="HH3" s="4"/>
      <c r="HI3" s="4"/>
      <c r="HJ3" s="6"/>
      <c r="HK3" s="4"/>
      <c r="HL3" s="4"/>
      <c r="HM3" s="4"/>
      <c r="HN3" s="4"/>
      <c r="HO3" s="4"/>
      <c r="HP3" s="4"/>
      <c r="HQ3" s="4"/>
      <c r="HR3" s="6"/>
      <c r="HS3" s="6"/>
      <c r="HT3" s="6"/>
      <c r="HU3" s="9"/>
      <c r="HV3"/>
      <c r="HW3"/>
      <c r="HX3"/>
      <c r="HY3"/>
      <c r="HZ3"/>
      <c r="IA3"/>
      <c r="IB3" s="4"/>
      <c r="IC3" s="4"/>
      <c r="ID3" s="4"/>
      <c r="IE3" s="6"/>
      <c r="IF3" s="4"/>
      <c r="IG3" s="4"/>
      <c r="IH3" s="4"/>
      <c r="II3" s="4"/>
      <c r="IJ3" s="4"/>
      <c r="IK3" s="4"/>
      <c r="IL3" s="4"/>
      <c r="IM3" s="6"/>
      <c r="IN3" s="6"/>
      <c r="IO3" s="6"/>
      <c r="IP3" s="9"/>
      <c r="IQ3"/>
      <c r="IR3"/>
      <c r="IS3"/>
      <c r="IT3"/>
      <c r="IU3"/>
      <c r="IV3"/>
      <c r="IW3" s="4"/>
      <c r="IX3" s="4"/>
      <c r="IY3" s="4"/>
      <c r="IZ3" s="6"/>
      <c r="JA3" s="4"/>
      <c r="JB3" s="4"/>
      <c r="JC3" s="4"/>
      <c r="JD3" s="4"/>
      <c r="JE3" s="4"/>
      <c r="JF3" s="4"/>
      <c r="JG3" s="4"/>
      <c r="JH3" s="6"/>
      <c r="JI3" s="6"/>
      <c r="JJ3" s="6"/>
      <c r="JK3" s="9"/>
      <c r="JL3"/>
    </row>
    <row r="4">
      <c r="A4" s="8">
        <v>25206</v>
      </c>
      <c r="B4" s="8">
        <v>25209</v>
      </c>
      <c r="C4" s="9">
        <f>B4-A4</f>
        <v>3</v>
      </c>
      <c r="D4" s="8">
        <v>25206</v>
      </c>
      <c r="E4" t="inlineStr">
        <is>
          <t xml:space="preserve">positive</t>
        </is>
      </c>
      <c r="F4" s="4">
        <v>1.0004821633360956</v>
      </c>
      <c r="G4" s="6">
        <v>-0.0036029405642599675</v>
      </c>
      <c r="H4" s="7">
        <f>SUM(CE4,CZ4,DU4,EP4,FK4,GF4,HA4,HV4,IQ4,JL4)</f>
        <v>-0.003602940564259968</v>
      </c>
      <c r="I4" s="7">
        <f>G4-H4</f>
        <v>4.336808689942018e-19</v>
      </c>
      <c r="J4" s="5">
        <f>F4*(1+H4)</f>
        <v>0.9968774855659935</v>
      </c>
      <c r="K4" s="4">
        <v>0.9968774855659935</v>
      </c>
      <c r="L4" s="5">
        <f>K4-J4</f>
        <v>0</v>
      </c>
      <c r="M4" s="4">
        <v>1.967</v>
      </c>
      <c r="N4" s="4">
        <v>1.972</v>
      </c>
      <c r="O4" s="5">
        <f>M4/$M$3</f>
        <v>1.0045965270684372</v>
      </c>
      <c r="P4" s="5">
        <f>N4/$M$3</f>
        <v>1.0071501532175688</v>
      </c>
      <c r="Q4" s="7">
        <f>IFERROR(N4/M4-1,0)</f>
        <v>0.002541942043721379</v>
      </c>
      <c r="R4" s="5">
        <f>SUM(IF(BM4="lease",BU4,0),IF(CH4="lease",CP4,0),IF(DC4="lease",DK4,0),IF(DX4="lease",EF4,0),IF(ES4="lease",FA4,0),IF(FN4="lease",FV4,0),IF(GI4="lease",GQ4,0),IF(HD4="lease",HL4,0),IF(HY4="lease",IG4,0),IF(IT4="lease",JB4,0))</f>
        <v>1.0004821633360956</v>
      </c>
      <c r="S4" s="5">
        <f>SUM(IF(BM4="lease",BV4,0),IF(CH4="lease",CQ4,0),IF(DC4="lease",DL4,0),IF(DX4="lease",EG4,0),IF(ES4="lease",FB4,0),IF(FN4="lease",FW4,0),IF(GI4="lease",GR4,0),IF(HD4="lease",HM4,0),IF(HY4="lease",IH4,0),IF(IT4="lease",JC4,0))</f>
        <v>0.9968774855659934</v>
      </c>
      <c r="T4" s="5">
        <f>SUM(IF(BM4="keep",BU4,0),IF(CH4="keep",CP4,0),IF(DC4="keep",DK4,0),IF(DX4="keep",EF4,0),IF(ES4="keep",FA4,0),IF(FN4="keep",FV4,0),IF(GI4="keep",GQ4,0),IF(HD4="keep",HL4,0),IF(HY4="keep",IG4,0),IF(IT4="keep",JB4,0))</f>
        <v>0</v>
      </c>
      <c r="U4" s="5">
        <f>SUM(IF(BM4="keep",BV4,0),IF(CH4="keep",CQ4,0),IF(DC4="keep",DL4,0),IF(DX4="keep",EG4,0),IF(ES4="keep",FB4,0),IF(FN4="keep",FW4,0),IF(GI4="keep",GR4,0),IF(HD4="keep",HM4,0),IF(HY4="keep",IH4,0),IF(IT4="keep",JC4,0))</f>
        <v>0</v>
      </c>
      <c r="V4" s="5">
        <f>R4/O4</f>
        <v>0.9959044615211364</v>
      </c>
      <c r="W4" s="5">
        <f>S4/P4</f>
        <v>0.9898002620376346</v>
      </c>
      <c r="X4" s="5">
        <f>T4/O4</f>
        <v>0</v>
      </c>
      <c r="Y4" s="5">
        <f>U4/P4</f>
        <v>0</v>
      </c>
      <c r="Z4" s="5">
        <f>V4+X4</f>
        <v>0.9959044615211364</v>
      </c>
      <c r="AA4" s="7">
        <f>IFERROR(W4/V4-1,0)</f>
        <v>-0.006129302276825177</v>
      </c>
      <c r="AB4" s="7">
        <f>IFERROR((W4-V4)/Z4,0)</f>
        <v>-0.00612930227682515</v>
      </c>
      <c r="AC4" s="7">
        <f>IFERROR(Y4/X4-1,0)</f>
        <v>0</v>
      </c>
      <c r="AD4" s="7">
        <f>IFERROR((Y4-X4)/Z4,0)</f>
        <v>0</v>
      </c>
      <c r="AE4" s="7">
        <f>AB4+AD4</f>
        <v>-0.00612930227682515</v>
      </c>
      <c r="AF4" s="7">
        <f>(1+Q4)*(1+AE4)-1</f>
        <v>-0.0036029405642599155</v>
      </c>
      <c r="AG4" s="7">
        <f>G4-AF4</f>
        <v>-5.204170427930421e-17</v>
      </c>
      <c r="AH4" s="5">
        <f>SUM(IF(BM4="lease",BW4,0),IF(CH4="lease",CR4,0),IF(DC4="lease",DM4,0),IF(DX4="lease",EH4,0),IF(ES4="lease",FC4,0),IF(FN4="lease",FX4,0),IF(GI4="lease",GS4,0),IF(HD4="lease",HN4,0),IF(HY4="lease",II4,0),IF(IT4="lease",JD4,0))</f>
        <v>-0.0036046777701021857</v>
      </c>
      <c r="AI4" s="5">
        <f>SUM(IF(BM4="keep",BW4,0),IF(CH4="keep",CR4,0),IF(DC4="keep",DM4,0),IF(DX4="keep",EH4,0),IF(ES4="keep",FC4,0),IF(FN4="keep",FX4,0),IF(GI4="keep",GS4,0),IF(HD4="keep",HN4,0),IF(HY4="keep",II4,0),IF(IT4="keep",JD4,0))</f>
        <v>0</v>
      </c>
      <c r="AJ4" s="5">
        <f>SUM(IF(BM4="lease",BX4,0),IF(CH4="lease",CS4,0),IF(DC4="lease",DN4,0),IF(DX4="lease",EI4,0),IF(ES4="lease",FD4,0),IF(FN4="lease",FY4,0),IF(GI4="lease",GT4,0),IF(HD4="lease",HO4,0),IF(HY4="lease",IJ4,0),IF(IT4="lease",JE4,0))</f>
        <v>0</v>
      </c>
      <c r="AK4" s="5">
        <f>SUM(IF(BM4="keep",BX4,0),IF(CH4="keep",CS4,0),IF(DC4="keep",DN4,0),IF(DX4="keep",EI4,0),IF(ES4="keep",FD4,0),IF(FN4="keep",FY4,0),IF(GI4="keep",GT4,0),IF(HD4="keep",HO4,0),IF(HY4="keep",IJ4,0),IF(IT4="keep",JE4,0))</f>
        <v>0</v>
      </c>
      <c r="AL4" s="5">
        <f>R4-S3</f>
        <v>0</v>
      </c>
      <c r="AM4" s="5">
        <f>T4-U3</f>
        <v>0</v>
      </c>
      <c r="AN4" s="5">
        <f>AN3</f>
        <v>1</v>
      </c>
      <c r="AO4" s="5">
        <f>AO3+AH4</f>
        <v>-0.0031225144340065025</v>
      </c>
      <c r="AP4" s="5">
        <f>AP3+AL4</f>
        <v>0</v>
      </c>
      <c r="AQ4" s="5">
        <f>AN4+AO4+AP4</f>
        <v>0.9968774855659935</v>
      </c>
      <c r="AR4" s="5">
        <f>S4-AQ4</f>
        <v>-1.1102230246251565e-16</v>
      </c>
      <c r="AS4" s="5">
        <f>AS3</f>
        <v>0</v>
      </c>
      <c r="AT4" s="5">
        <f>AT3+AI4</f>
        <v>0</v>
      </c>
      <c r="AU4" s="5">
        <f>AU3+AM4</f>
        <v>0</v>
      </c>
      <c r="AV4" s="5">
        <f>AS4+AT4+AU4</f>
        <v>0</v>
      </c>
      <c r="AW4" s="5">
        <f>U4-AV4</f>
        <v>0</v>
      </c>
      <c r="AX4" s="4">
        <v>1.0004821633360956</v>
      </c>
      <c r="AY4" s="4">
        <v>0.9968774855659934</v>
      </c>
      <c r="AZ4" s="5">
        <f>S4-AY4</f>
        <v>0</v>
      </c>
      <c r="BA4" s="4">
        <v>0</v>
      </c>
      <c r="BB4" s="4">
        <v>0</v>
      </c>
      <c r="BC4" s="5">
        <f>U4-BB4</f>
        <v>0</v>
      </c>
      <c r="BD4" s="7">
        <f>SUM(IF(BL4="direct",CE4,0),IF(CG4="direct",CZ4,0),IF(DB4="direct",DU4,0),IF(DW4="direct",EP4,0),IF(ER4="direct",FK4,0),IF(FM4="direct",GF4,0),IF(GH4="direct",HA4,0),IF(HC4="direct",HV4,0),IF(HX4="direct",IQ4,0),IF(IS4="direct",JL4,0))</f>
        <v>0</v>
      </c>
      <c r="BE4" s="7">
        <f>SUM(IF(BL4="treasury",CE4,0),IF(CG4="treasury",CZ4,0),IF(DB4="treasury",DU4,0),IF(DW4="treasury",EP4,0),IF(ER4="treasury",FK4,0),IF(FM4="treasury",GF4,0),IF(GH4="treasury",HA4,0),IF(HC4="treasury",HV4,0),IF(HX4="treasury",IQ4,0),IF(IS4="treasury",JL4,0))</f>
        <v>0.0005038356164383562</v>
      </c>
      <c r="BF4" s="7">
        <f>SUM(IF(BL4="future",CE4,0),IF(CG4="future",CZ4,0),IF(DB4="future",DU4,0),IF(DW4="future",EP4,0),IF(ER4="future",FK4,0),IF(FM4="future",GF4,0),IF(GH4="future",HA4,0),IF(HC4="future",HV4,0),IF(HX4="future",IQ4,0),IF(IS4="future",JL4,0))</f>
        <v>-0.004106776180698324</v>
      </c>
      <c r="BG4" s="7">
        <f>SUM(IF(BL4="cash",CE4,0),IF(CG4="cash",CZ4,0),IF(DB4="cash",DU4,0),IF(DW4="cash",EP4,0),IF(ER4="cash",FK4,0),IF(FM4="cash",GF4,0),IF(GH4="cash",HA4,0),IF(HC4="cash",HV4,0),IF(HX4="cash",IQ4,0),IF(IS4="cash",JL4,0))</f>
        <v>0</v>
      </c>
      <c r="BH4" s="7">
        <f>SUM(BD4:BG4)</f>
        <v>-0.0036029405642599675</v>
      </c>
      <c r="BI4" s="7">
        <f>G4-BH4</f>
        <v>0</v>
      </c>
      <c r="BJ4" s="9">
        <f>COUNTA(BK4,CF4,DA4,DV4,EQ4,FL4,GG4,HB4,HW4,IR4)</f>
        <v>4</v>
      </c>
      <c r="BK4" t="inlineStr">
        <is>
          <t xml:space="preserve">Treasury collateral</t>
        </is>
      </c>
      <c r="BL4" t="inlineStr">
        <is>
          <t xml:space="preserve">treasury</t>
        </is>
      </c>
      <c r="BM4" t="inlineStr">
        <is>
          <t xml:space="preserve">lease</t>
        </is>
      </c>
      <c r="BN4" t="inlineStr">
        <is>
          <t xml:space="preserve">long</t>
        </is>
      </c>
      <c r="BO4"/>
      <c r="BP4" s="4">
        <v>100.01682191780823</v>
      </c>
      <c r="BQ4" s="4">
        <v>100.06721395493341</v>
      </c>
      <c r="BR4" s="4">
        <v>0.010003138913554675</v>
      </c>
      <c r="BS4" s="6">
        <v>1</v>
      </c>
      <c r="BT4" s="4">
        <v>1.0004821633360956</v>
      </c>
      <c r="BU4" s="4">
        <v>1.0004821633360956</v>
      </c>
      <c r="BV4" s="4">
        <v>1.0009862418835958</v>
      </c>
      <c r="BW4" s="4">
        <v>0.0005040785475000219</v>
      </c>
      <c r="BX4" s="4">
        <v>9.77950359581925e-17</v>
      </c>
      <c r="BY4" s="4">
        <v>1.967</v>
      </c>
      <c r="BZ4" s="4">
        <v>1.972</v>
      </c>
      <c r="CA4" s="6"/>
      <c r="CB4" s="6"/>
      <c r="CC4" s="6"/>
      <c r="CD4" s="9">
        <v>26</v>
      </c>
      <c r="CE4" s="7">
        <f>IFERROR(BW4/F4,0)</f>
        <v>0.0005038356164383562</v>
      </c>
      <c r="CF4" t="inlineStr">
        <is>
          <t xml:space="preserve">SI69F</t>
        </is>
      </c>
      <c r="CG4" t="inlineStr">
        <is>
          <t xml:space="preserve">future</t>
        </is>
      </c>
      <c r="CH4" t="inlineStr">
        <is>
          <t xml:space="preserve">lease</t>
        </is>
      </c>
      <c r="CI4" t="inlineStr">
        <is>
          <t xml:space="preserve">long</t>
        </is>
      </c>
      <c r="CJ4" t="inlineStr">
        <is>
          <t xml:space="preserve">regular</t>
        </is>
      </c>
      <c r="CK4" s="4">
        <v>1.9480000000000002</v>
      </c>
      <c r="CL4" s="4">
        <v>1.94</v>
      </c>
      <c r="CM4" s="4">
        <v>0.5135945397002544</v>
      </c>
      <c r="CN4" s="6">
        <v>1</v>
      </c>
      <c r="CO4" s="4">
        <v>1.0004821633360956</v>
      </c>
      <c r="CP4" s="4">
        <v>0</v>
      </c>
      <c r="CQ4" s="4">
        <v>0</v>
      </c>
      <c r="CR4" s="4">
        <v>-0.004108756317602207</v>
      </c>
      <c r="CS4" s="4">
        <v>0.004108756317602207</v>
      </c>
      <c r="CT4" s="4">
        <v>1.967</v>
      </c>
      <c r="CU4" s="4">
        <v>1.972</v>
      </c>
      <c r="CV4" s="6">
        <v>-0.009659379766141285</v>
      </c>
      <c r="CW4" s="6">
        <v>0.0613</v>
      </c>
      <c r="CX4" s="6">
        <v>0.19690283133236805</v>
      </c>
      <c r="CY4" s="9">
        <v>26</v>
      </c>
      <c r="CZ4" s="7">
        <f>IFERROR(CR4/F4,0)</f>
        <v>-0.004106776180698324</v>
      </c>
      <c r="DA4" t="inlineStr">
        <is>
          <t xml:space="preserve">Lease cash / margin / financing</t>
        </is>
      </c>
      <c r="DB4" t="inlineStr">
        <is>
          <t xml:space="preserve">cash</t>
        </is>
      </c>
      <c r="DC4" t="inlineStr">
        <is>
          <t xml:space="preserve">lease</t>
        </is>
      </c>
      <c r="DD4" t="inlineStr">
        <is>
          <t xml:space="preserve">cash</t>
        </is>
      </c>
      <c r="DE4"/>
      <c r="DF4" s="4">
        <v>1</v>
      </c>
      <c r="DG4" s="4">
        <v>1</v>
      </c>
      <c r="DH4" s="4">
        <v>0</v>
      </c>
      <c r="DI4" s="6"/>
      <c r="DJ4" s="4">
        <v>0</v>
      </c>
      <c r="DK4" s="4">
        <v>0</v>
      </c>
      <c r="DL4" s="4">
        <v>-0.004108756317602305</v>
      </c>
      <c r="DM4" s="4">
        <v>0</v>
      </c>
      <c r="DN4" s="4">
        <v>-0.004108756317602305</v>
      </c>
      <c r="DO4" s="4">
        <v>1.967</v>
      </c>
      <c r="DP4" s="4">
        <v>1.972</v>
      </c>
      <c r="DQ4" s="6"/>
      <c r="DR4" s="6"/>
      <c r="DS4" s="6"/>
      <c r="DT4" s="9"/>
      <c r="DU4" s="7">
        <f>IFERROR(DM4/F4,0)</f>
        <v>0</v>
      </c>
      <c r="DV4" t="inlineStr">
        <is>
          <t xml:space="preserve">Keep cash / margin / financing</t>
        </is>
      </c>
      <c r="DW4" t="inlineStr">
        <is>
          <t xml:space="preserve">cash</t>
        </is>
      </c>
      <c r="DX4" t="inlineStr">
        <is>
          <t xml:space="preserve">keep</t>
        </is>
      </c>
      <c r="DY4" t="inlineStr">
        <is>
          <t xml:space="preserve">cash</t>
        </is>
      </c>
      <c r="DZ4"/>
      <c r="EA4" s="4">
        <v>1</v>
      </c>
      <c r="EB4" s="4">
        <v>1</v>
      </c>
      <c r="EC4" s="4">
        <v>0</v>
      </c>
      <c r="ED4" s="6"/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1.967</v>
      </c>
      <c r="EK4" s="4">
        <v>1.972</v>
      </c>
      <c r="EL4" s="6"/>
      <c r="EM4" s="6"/>
      <c r="EN4" s="6"/>
      <c r="EO4" s="9"/>
      <c r="EP4" s="7">
        <f>IFERROR(EH4/F4,0)</f>
        <v>0</v>
      </c>
      <c r="EQ4"/>
      <c r="ER4"/>
      <c r="ES4"/>
      <c r="ET4"/>
      <c r="EU4"/>
      <c r="EV4" s="4"/>
      <c r="EW4" s="4"/>
      <c r="EX4" s="4"/>
      <c r="EY4" s="6"/>
      <c r="EZ4" s="4"/>
      <c r="FA4" s="4"/>
      <c r="FB4" s="4"/>
      <c r="FC4" s="4"/>
      <c r="FD4" s="4"/>
      <c r="FE4" s="4"/>
      <c r="FF4" s="4"/>
      <c r="FG4" s="6"/>
      <c r="FH4" s="6"/>
      <c r="FI4" s="6"/>
      <c r="FJ4" s="9"/>
      <c r="FK4"/>
      <c r="FL4"/>
      <c r="FM4"/>
      <c r="FN4"/>
      <c r="FO4"/>
      <c r="FP4"/>
      <c r="FQ4" s="4"/>
      <c r="FR4" s="4"/>
      <c r="FS4" s="4"/>
      <c r="FT4" s="6"/>
      <c r="FU4" s="4"/>
      <c r="FV4" s="4"/>
      <c r="FW4" s="4"/>
      <c r="FX4" s="4"/>
      <c r="FY4" s="4"/>
      <c r="FZ4" s="4"/>
      <c r="GA4" s="4"/>
      <c r="GB4" s="6"/>
      <c r="GC4" s="6"/>
      <c r="GD4" s="6"/>
      <c r="GE4" s="9"/>
      <c r="GF4"/>
      <c r="GG4"/>
      <c r="GH4"/>
      <c r="GI4"/>
      <c r="GJ4"/>
      <c r="GK4"/>
      <c r="GL4" s="4"/>
      <c r="GM4" s="4"/>
      <c r="GN4" s="4"/>
      <c r="GO4" s="6"/>
      <c r="GP4" s="4"/>
      <c r="GQ4" s="4"/>
      <c r="GR4" s="4"/>
      <c r="GS4" s="4"/>
      <c r="GT4" s="4"/>
      <c r="GU4" s="4"/>
      <c r="GV4" s="4"/>
      <c r="GW4" s="6"/>
      <c r="GX4" s="6"/>
      <c r="GY4" s="6"/>
      <c r="GZ4" s="9"/>
      <c r="HA4"/>
      <c r="HB4"/>
      <c r="HC4"/>
      <c r="HD4"/>
      <c r="HE4"/>
      <c r="HF4"/>
      <c r="HG4" s="4"/>
      <c r="HH4" s="4"/>
      <c r="HI4" s="4"/>
      <c r="HJ4" s="6"/>
      <c r="HK4" s="4"/>
      <c r="HL4" s="4"/>
      <c r="HM4" s="4"/>
      <c r="HN4" s="4"/>
      <c r="HO4" s="4"/>
      <c r="HP4" s="4"/>
      <c r="HQ4" s="4"/>
      <c r="HR4" s="6"/>
      <c r="HS4" s="6"/>
      <c r="HT4" s="6"/>
      <c r="HU4" s="9"/>
      <c r="HV4"/>
      <c r="HW4"/>
      <c r="HX4"/>
      <c r="HY4"/>
      <c r="HZ4"/>
      <c r="IA4"/>
      <c r="IB4" s="4"/>
      <c r="IC4" s="4"/>
      <c r="ID4" s="4"/>
      <c r="IE4" s="6"/>
      <c r="IF4" s="4"/>
      <c r="IG4" s="4"/>
      <c r="IH4" s="4"/>
      <c r="II4" s="4"/>
      <c r="IJ4" s="4"/>
      <c r="IK4" s="4"/>
      <c r="IL4" s="4"/>
      <c r="IM4" s="6"/>
      <c r="IN4" s="6"/>
      <c r="IO4" s="6"/>
      <c r="IP4" s="9"/>
      <c r="IQ4"/>
      <c r="IR4"/>
      <c r="IS4"/>
      <c r="IT4"/>
      <c r="IU4"/>
      <c r="IV4"/>
      <c r="IW4" s="4"/>
      <c r="IX4" s="4"/>
      <c r="IY4" s="4"/>
      <c r="IZ4" s="6"/>
      <c r="JA4" s="4"/>
      <c r="JB4" s="4"/>
      <c r="JC4" s="4"/>
      <c r="JD4" s="4"/>
      <c r="JE4" s="4"/>
      <c r="JF4" s="4"/>
      <c r="JG4" s="4"/>
      <c r="JH4" s="6"/>
      <c r="JI4" s="6"/>
      <c r="JJ4" s="6"/>
      <c r="JK4" s="9"/>
      <c r="JL4"/>
    </row>
    <row r="5">
      <c r="A5" s="8">
        <v>25209</v>
      </c>
      <c r="B5" s="8">
        <v>25210</v>
      </c>
      <c r="C5" s="9">
        <f>B5-A5</f>
        <v>1</v>
      </c>
      <c r="D5" s="8">
        <v>25209</v>
      </c>
      <c r="E5" t="inlineStr">
        <is>
          <t xml:space="preserve">positive</t>
        </is>
      </c>
      <c r="F5" s="4">
        <v>0.9968774855659935</v>
      </c>
      <c r="G5" s="6">
        <v>0.005323954243750865</v>
      </c>
      <c r="H5" s="7">
        <f>SUM(CE5,CZ5,DU5,EP5,FK5,GF5,HA5,HV5,IQ5,JL5)</f>
        <v>0.005323954243750865</v>
      </c>
      <c r="I5" s="7">
        <f>G5-H5</f>
        <v>0</v>
      </c>
      <c r="J5" s="5">
        <f>F5*(1+H5)</f>
        <v>1.0021848156857722</v>
      </c>
      <c r="K5" s="4">
        <v>1.0021848156857722</v>
      </c>
      <c r="L5" s="5">
        <f>K5-J5</f>
        <v>0</v>
      </c>
      <c r="M5" s="4">
        <v>1.972</v>
      </c>
      <c r="N5" s="4">
        <v>1.977</v>
      </c>
      <c r="O5" s="5">
        <f>M5/$M$3</f>
        <v>1.0071501532175688</v>
      </c>
      <c r="P5" s="5">
        <f>N5/$M$3</f>
        <v>1.0097037793667007</v>
      </c>
      <c r="Q5" s="7">
        <f>IFERROR(N5/M5-1,0)</f>
        <v>0.002535496957403627</v>
      </c>
      <c r="R5" s="5">
        <f>SUM(IF(BM5="lease",BU5,0),IF(CH5="lease",CP5,0),IF(DC5="lease",DK5,0),IF(DX5="lease",EF5,0),IF(ES5="lease",FA5,0),IF(FN5="lease",FV5,0),IF(GI5="lease",GQ5,0),IF(HD5="lease",HL5,0),IF(HY5="lease",IG5,0),IF(IT5="lease",JB5,0))</f>
        <v>0.9968774855659934</v>
      </c>
      <c r="S5" s="5">
        <f>SUM(IF(BM5="lease",BV5,0),IF(CH5="lease",CQ5,0),IF(DC5="lease",DL5,0),IF(DX5="lease",EG5,0),IF(ES5="lease",FB5,0),IF(FN5="lease",FW5,0),IF(GI5="lease",GR5,0),IF(HD5="lease",HM5,0),IF(HY5="lease",IH5,0),IF(IT5="lease",JC5,0))</f>
        <v>1.0021848156857722</v>
      </c>
      <c r="T5" s="5">
        <f>SUM(IF(BM5="keep",BU5,0),IF(CH5="keep",CP5,0),IF(DC5="keep",DK5,0),IF(DX5="keep",EF5,0),IF(ES5="keep",FA5,0),IF(FN5="keep",FV5,0),IF(GI5="keep",GQ5,0),IF(HD5="keep",HL5,0),IF(HY5="keep",IG5,0),IF(IT5="keep",JB5,0))</f>
        <v>0</v>
      </c>
      <c r="U5" s="5">
        <f>SUM(IF(BM5="keep",BV5,0),IF(CH5="keep",CQ5,0),IF(DC5="keep",DL5,0),IF(DX5="keep",EG5,0),IF(ES5="keep",FB5,0),IF(FN5="keep",FW5,0),IF(GI5="keep",GR5,0),IF(HD5="keep",HM5,0),IF(HY5="keep",IH5,0),IF(IT5="keep",JC5,0))</f>
        <v>0</v>
      </c>
      <c r="V5" s="5">
        <f>R5/O5</f>
        <v>0.9898002620376346</v>
      </c>
      <c r="W5" s="5">
        <f>S5/P5</f>
        <v>0.9925532974773607</v>
      </c>
      <c r="X5" s="5">
        <f>T5/O5</f>
        <v>0</v>
      </c>
      <c r="Y5" s="5">
        <f>U5/P5</f>
        <v>0</v>
      </c>
      <c r="Z5" s="5">
        <f>V5+X5</f>
        <v>0.9898002620376346</v>
      </c>
      <c r="AA5" s="7">
        <f>IFERROR(W5/V5-1,0)</f>
        <v>0.002781405042324936</v>
      </c>
      <c r="AB5" s="7">
        <f>IFERROR((W5-V5)/Z5,0)</f>
        <v>0.0027814050423249645</v>
      </c>
      <c r="AC5" s="7">
        <f>IFERROR(Y5/X5-1,0)</f>
        <v>0</v>
      </c>
      <c r="AD5" s="7">
        <f>IFERROR((Y5-X5)/Z5,0)</f>
        <v>0</v>
      </c>
      <c r="AE5" s="7">
        <f>AB5+AD5</f>
        <v>0.0027814050423249645</v>
      </c>
      <c r="AF5" s="7">
        <f>(1+Q5)*(1+AE5)-1</f>
        <v>0.00532395424375065</v>
      </c>
      <c r="AG5" s="7">
        <f>G5-AF5</f>
        <v>2.1423834928313568e-16</v>
      </c>
      <c r="AH5" s="5">
        <f>SUM(IF(BM5="lease",BW5,0),IF(CH5="lease",CR5,0),IF(DC5="lease",DM5,0),IF(DX5="lease",EH5,0),IF(ES5="lease",FC5,0),IF(FN5="lease",FX5,0),IF(GI5="lease",GS5,0),IF(HD5="lease",HN5,0),IF(HY5="lease",II5,0),IF(IT5="lease",JD5,0))</f>
        <v>0.005307330119778762</v>
      </c>
      <c r="AI5" s="5">
        <f>SUM(IF(BM5="keep",BW5,0),IF(CH5="keep",CR5,0),IF(DC5="keep",DM5,0),IF(DX5="keep",EH5,0),IF(ES5="keep",FC5,0),IF(FN5="keep",FX5,0),IF(GI5="keep",GS5,0),IF(HD5="keep",HN5,0),IF(HY5="keep",II5,0),IF(IT5="keep",JD5,0))</f>
        <v>0</v>
      </c>
      <c r="AJ5" s="5">
        <f>SUM(IF(BM5="lease",BX5,0),IF(CH5="lease",CS5,0),IF(DC5="lease",DN5,0),IF(DX5="lease",EI5,0),IF(ES5="lease",FD5,0),IF(FN5="lease",FY5,0),IF(GI5="lease",GT5,0),IF(HD5="lease",HO5,0),IF(HY5="lease",IJ5,0),IF(IT5="lease",JE5,0))</f>
        <v>0</v>
      </c>
      <c r="AK5" s="5">
        <f>SUM(IF(BM5="keep",BX5,0),IF(CH5="keep",CS5,0),IF(DC5="keep",DN5,0),IF(DX5="keep",EI5,0),IF(ES5="keep",FD5,0),IF(FN5="keep",FY5,0),IF(GI5="keep",GT5,0),IF(HD5="keep",HO5,0),IF(HY5="keep",IJ5,0),IF(IT5="keep",JE5,0))</f>
        <v>0</v>
      </c>
      <c r="AL5" s="5">
        <f>R5-S4</f>
        <v>0</v>
      </c>
      <c r="AM5" s="5">
        <f>T5-U4</f>
        <v>0</v>
      </c>
      <c r="AN5" s="5">
        <f>AN4</f>
        <v>1</v>
      </c>
      <c r="AO5" s="5">
        <f>AO4+AH5</f>
        <v>0.00218481568577226</v>
      </c>
      <c r="AP5" s="5">
        <f>AP4+AL5</f>
        <v>0</v>
      </c>
      <c r="AQ5" s="5">
        <f>AN5+AO5+AP5</f>
        <v>1.0021848156857722</v>
      </c>
      <c r="AR5" s="5">
        <f>S5-AQ5</f>
        <v>0</v>
      </c>
      <c r="AS5" s="5">
        <f>AS4</f>
        <v>0</v>
      </c>
      <c r="AT5" s="5">
        <f>AT4+AI5</f>
        <v>0</v>
      </c>
      <c r="AU5" s="5">
        <f>AU4+AM5</f>
        <v>0</v>
      </c>
      <c r="AV5" s="5">
        <f>AS5+AT5+AU5</f>
        <v>0</v>
      </c>
      <c r="AW5" s="5">
        <f>U5-AV5</f>
        <v>0</v>
      </c>
      <c r="AX5" s="4">
        <v>0.9968774855659934</v>
      </c>
      <c r="AY5" s="4">
        <v>1.0021848156857722</v>
      </c>
      <c r="AZ5" s="5">
        <f>S5-AY5</f>
        <v>0</v>
      </c>
      <c r="BA5" s="4">
        <v>0</v>
      </c>
      <c r="BB5" s="4">
        <v>0</v>
      </c>
      <c r="BC5" s="5">
        <f>U5-BB5</f>
        <v>0</v>
      </c>
      <c r="BD5" s="7">
        <f>SUM(IF(BL5="direct",CE5,0),IF(CG5="direct",CZ5,0),IF(DB5="direct",DU5,0),IF(DW5="direct",EP5,0),IF(ER5="direct",FK5,0),IF(FM5="direct",GF5,0),IF(GH5="direct",HA5,0),IF(HC5="direct",HV5,0),IF(HX5="direct",IQ5,0),IF(IS5="direct",JL5,0))</f>
        <v>0</v>
      </c>
      <c r="BE5" s="7">
        <f>SUM(IF(BL5="treasury",CE5,0),IF(CG5="treasury",CZ5,0),IF(DB5="treasury",DU5,0),IF(DW5="treasury",EP5,0),IF(ER5="treasury",FK5,0),IF(FM5="treasury",GF5,0),IF(GH5="treasury",HA5,0),IF(HC5="treasury",HV5,0),IF(HX5="treasury",IQ5,0),IF(IS5="treasury",JL5,0))</f>
        <v>0.00016931506849315067</v>
      </c>
      <c r="BF5" s="7">
        <f>SUM(IF(BL5="future",CE5,0),IF(CG5="future",CZ5,0),IF(DB5="future",DU5,0),IF(DW5="future",EP5,0),IF(ER5="future",FK5,0),IF(FM5="future",GF5,0),IF(GH5="future",HA5,0),IF(HC5="future",HV5,0),IF(HX5="future",IQ5,0),IF(IS5="future",JL5,0))</f>
        <v>0.005154639175257714</v>
      </c>
      <c r="BG5" s="7">
        <f>SUM(IF(BL5="cash",CE5,0),IF(CG5="cash",CZ5,0),IF(DB5="cash",DU5,0),IF(DW5="cash",EP5,0),IF(ER5="cash",FK5,0),IF(FM5="cash",GF5,0),IF(GH5="cash",HA5,0),IF(HC5="cash",HV5,0),IF(HX5="cash",IQ5,0),IF(IS5="cash",JL5,0))</f>
        <v>0</v>
      </c>
      <c r="BH5" s="7">
        <f>SUM(BD5:BG5)</f>
        <v>0.005323954243750865</v>
      </c>
      <c r="BI5" s="7">
        <f>G5-BH5</f>
        <v>0</v>
      </c>
      <c r="BJ5" s="9">
        <f>COUNTA(BK5,CF5,DA5,DV5,EQ5,FL5,GG5,HB5,HW5,IR5)</f>
        <v>4</v>
      </c>
      <c r="BK5" t="inlineStr">
        <is>
          <t xml:space="preserve">Treasury collateral</t>
        </is>
      </c>
      <c r="BL5" t="inlineStr">
        <is>
          <t xml:space="preserve">treasury</t>
        </is>
      </c>
      <c r="BM5" t="inlineStr">
        <is>
          <t xml:space="preserve">lease</t>
        </is>
      </c>
      <c r="BN5" t="inlineStr">
        <is>
          <t xml:space="preserve">long</t>
        </is>
      </c>
      <c r="BO5"/>
      <c r="BP5" s="4">
        <v>100.06721395493341</v>
      </c>
      <c r="BQ5" s="4">
        <v>100.0841568421181</v>
      </c>
      <c r="BR5" s="4">
        <v>0.009962078948405124</v>
      </c>
      <c r="BS5" s="6">
        <v>1</v>
      </c>
      <c r="BT5" s="4">
        <v>0.9968774855659935</v>
      </c>
      <c r="BU5" s="4">
        <v>0.9968774855659935</v>
      </c>
      <c r="BV5" s="4">
        <v>0.9970462719457415</v>
      </c>
      <c r="BW5" s="4">
        <v>0.00016878637974788603</v>
      </c>
      <c r="BX5" s="4">
        <v>4.56178064073276e-17</v>
      </c>
      <c r="BY5" s="4">
        <v>1.972</v>
      </c>
      <c r="BZ5" s="4">
        <v>1.977</v>
      </c>
      <c r="CA5" s="6"/>
      <c r="CB5" s="6"/>
      <c r="CC5" s="6"/>
      <c r="CD5" s="9">
        <v>23</v>
      </c>
      <c r="CE5" s="7">
        <f>IFERROR(BW5/F5,0)</f>
        <v>0.00016931506849315067</v>
      </c>
      <c r="CF5" t="inlineStr">
        <is>
          <t xml:space="preserve">SI69F</t>
        </is>
      </c>
      <c r="CG5" t="inlineStr">
        <is>
          <t xml:space="preserve">future</t>
        </is>
      </c>
      <c r="CH5" t="inlineStr">
        <is>
          <t xml:space="preserve">lease</t>
        </is>
      </c>
      <c r="CI5" t="inlineStr">
        <is>
          <t xml:space="preserve">long</t>
        </is>
      </c>
      <c r="CJ5" t="inlineStr">
        <is>
          <t xml:space="preserve">regular</t>
        </is>
      </c>
      <c r="CK5" s="4">
        <v>1.94</v>
      </c>
      <c r="CL5" s="4">
        <v>1.95</v>
      </c>
      <c r="CM5" s="4">
        <v>0.5138543740030894</v>
      </c>
      <c r="CN5" s="6">
        <v>1</v>
      </c>
      <c r="CO5" s="4">
        <v>0.9968774855659935</v>
      </c>
      <c r="CP5" s="4">
        <v>0</v>
      </c>
      <c r="CQ5" s="4">
        <v>0</v>
      </c>
      <c r="CR5" s="4">
        <v>0.005138543740030877</v>
      </c>
      <c r="CS5" s="4">
        <v>-0.005138543740030877</v>
      </c>
      <c r="CT5" s="4">
        <v>1.972</v>
      </c>
      <c r="CU5" s="4">
        <v>1.977</v>
      </c>
      <c r="CV5" s="6">
        <v>-0.016227180527383367</v>
      </c>
      <c r="CW5" s="6">
        <v>0.061799999999999994</v>
      </c>
      <c r="CX5" s="6">
        <v>0.3193182996736925</v>
      </c>
      <c r="CY5" s="9">
        <v>23</v>
      </c>
      <c r="CZ5" s="7">
        <f>IFERROR(CR5/F5,0)</f>
        <v>0.005154639175257714</v>
      </c>
      <c r="DA5" t="inlineStr">
        <is>
          <t xml:space="preserve">Lease cash / margin / financing</t>
        </is>
      </c>
      <c r="DB5" t="inlineStr">
        <is>
          <t xml:space="preserve">cash</t>
        </is>
      </c>
      <c r="DC5" t="inlineStr">
        <is>
          <t xml:space="preserve">lease</t>
        </is>
      </c>
      <c r="DD5" t="inlineStr">
        <is>
          <t xml:space="preserve">cash</t>
        </is>
      </c>
      <c r="DE5"/>
      <c r="DF5" s="4">
        <v>1</v>
      </c>
      <c r="DG5" s="4">
        <v>1</v>
      </c>
      <c r="DH5" s="4">
        <v>-1.1102230246251565e-16</v>
      </c>
      <c r="DI5" s="6"/>
      <c r="DJ5" s="4">
        <v>-1.1102230246251565e-16</v>
      </c>
      <c r="DK5" s="4">
        <v>-1.1102230246251565e-16</v>
      </c>
      <c r="DL5" s="4">
        <v>0.00513854374003072</v>
      </c>
      <c r="DM5" s="4">
        <v>0</v>
      </c>
      <c r="DN5" s="4">
        <v>0.005138543740030831</v>
      </c>
      <c r="DO5" s="4">
        <v>1.972</v>
      </c>
      <c r="DP5" s="4">
        <v>1.977</v>
      </c>
      <c r="DQ5" s="6"/>
      <c r="DR5" s="6"/>
      <c r="DS5" s="6"/>
      <c r="DT5" s="9"/>
      <c r="DU5" s="7">
        <f>IFERROR(DM5/F5,0)</f>
        <v>0</v>
      </c>
      <c r="DV5" t="inlineStr">
        <is>
          <t xml:space="preserve">Keep cash / margin / financing</t>
        </is>
      </c>
      <c r="DW5" t="inlineStr">
        <is>
          <t xml:space="preserve">cash</t>
        </is>
      </c>
      <c r="DX5" t="inlineStr">
        <is>
          <t xml:space="preserve">keep</t>
        </is>
      </c>
      <c r="DY5" t="inlineStr">
        <is>
          <t xml:space="preserve">cash</t>
        </is>
      </c>
      <c r="DZ5"/>
      <c r="EA5" s="4">
        <v>1</v>
      </c>
      <c r="EB5" s="4">
        <v>1</v>
      </c>
      <c r="EC5" s="4">
        <v>0</v>
      </c>
      <c r="ED5" s="6"/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1.972</v>
      </c>
      <c r="EK5" s="4">
        <v>1.977</v>
      </c>
      <c r="EL5" s="6"/>
      <c r="EM5" s="6"/>
      <c r="EN5" s="6"/>
      <c r="EO5" s="9"/>
      <c r="EP5" s="7">
        <f>IFERROR(EH5/F5,0)</f>
        <v>0</v>
      </c>
      <c r="EQ5"/>
      <c r="ER5"/>
      <c r="ES5"/>
      <c r="ET5"/>
      <c r="EU5"/>
      <c r="EV5" s="4"/>
      <c r="EW5" s="4"/>
      <c r="EX5" s="4"/>
      <c r="EY5" s="6"/>
      <c r="EZ5" s="4"/>
      <c r="FA5" s="4"/>
      <c r="FB5" s="4"/>
      <c r="FC5" s="4"/>
      <c r="FD5" s="4"/>
      <c r="FE5" s="4"/>
      <c r="FF5" s="4"/>
      <c r="FG5" s="6"/>
      <c r="FH5" s="6"/>
      <c r="FI5" s="6"/>
      <c r="FJ5" s="9"/>
      <c r="FK5"/>
      <c r="FL5"/>
      <c r="FM5"/>
      <c r="FN5"/>
      <c r="FO5"/>
      <c r="FP5"/>
      <c r="FQ5" s="4"/>
      <c r="FR5" s="4"/>
      <c r="FS5" s="4"/>
      <c r="FT5" s="6"/>
      <c r="FU5" s="4"/>
      <c r="FV5" s="4"/>
      <c r="FW5" s="4"/>
      <c r="FX5" s="4"/>
      <c r="FY5" s="4"/>
      <c r="FZ5" s="4"/>
      <c r="GA5" s="4"/>
      <c r="GB5" s="6"/>
      <c r="GC5" s="6"/>
      <c r="GD5" s="6"/>
      <c r="GE5" s="9"/>
      <c r="GF5"/>
      <c r="GG5"/>
      <c r="GH5"/>
      <c r="GI5"/>
      <c r="GJ5"/>
      <c r="GK5"/>
      <c r="GL5" s="4"/>
      <c r="GM5" s="4"/>
      <c r="GN5" s="4"/>
      <c r="GO5" s="6"/>
      <c r="GP5" s="4"/>
      <c r="GQ5" s="4"/>
      <c r="GR5" s="4"/>
      <c r="GS5" s="4"/>
      <c r="GT5" s="4"/>
      <c r="GU5" s="4"/>
      <c r="GV5" s="4"/>
      <c r="GW5" s="6"/>
      <c r="GX5" s="6"/>
      <c r="GY5" s="6"/>
      <c r="GZ5" s="9"/>
      <c r="HA5"/>
      <c r="HB5"/>
      <c r="HC5"/>
      <c r="HD5"/>
      <c r="HE5"/>
      <c r="HF5"/>
      <c r="HG5" s="4"/>
      <c r="HH5" s="4"/>
      <c r="HI5" s="4"/>
      <c r="HJ5" s="6"/>
      <c r="HK5" s="4"/>
      <c r="HL5" s="4"/>
      <c r="HM5" s="4"/>
      <c r="HN5" s="4"/>
      <c r="HO5" s="4"/>
      <c r="HP5" s="4"/>
      <c r="HQ5" s="4"/>
      <c r="HR5" s="6"/>
      <c r="HS5" s="6"/>
      <c r="HT5" s="6"/>
      <c r="HU5" s="9"/>
      <c r="HV5"/>
      <c r="HW5"/>
      <c r="HX5"/>
      <c r="HY5"/>
      <c r="HZ5"/>
      <c r="IA5"/>
      <c r="IB5" s="4"/>
      <c r="IC5" s="4"/>
      <c r="ID5" s="4"/>
      <c r="IE5" s="6"/>
      <c r="IF5" s="4"/>
      <c r="IG5" s="4"/>
      <c r="IH5" s="4"/>
      <c r="II5" s="4"/>
      <c r="IJ5" s="4"/>
      <c r="IK5" s="4"/>
      <c r="IL5" s="4"/>
      <c r="IM5" s="6"/>
      <c r="IN5" s="6"/>
      <c r="IO5" s="6"/>
      <c r="IP5" s="9"/>
      <c r="IQ5"/>
      <c r="IR5"/>
      <c r="IS5"/>
      <c r="IT5"/>
      <c r="IU5"/>
      <c r="IV5"/>
      <c r="IW5" s="4"/>
      <c r="IX5" s="4"/>
      <c r="IY5" s="4"/>
      <c r="IZ5" s="6"/>
      <c r="JA5" s="4"/>
      <c r="JB5" s="4"/>
      <c r="JC5" s="4"/>
      <c r="JD5" s="4"/>
      <c r="JE5" s="4"/>
      <c r="JF5" s="4"/>
      <c r="JG5" s="4"/>
      <c r="JH5" s="6"/>
      <c r="JI5" s="6"/>
      <c r="JJ5" s="6"/>
      <c r="JK5" s="9"/>
      <c r="JL5"/>
    </row>
    <row r="6">
      <c r="A6" s="8">
        <v>25210</v>
      </c>
      <c r="B6" s="8">
        <v>25211</v>
      </c>
      <c r="C6" s="9">
        <f>B6-A6</f>
        <v>1</v>
      </c>
      <c r="D6" s="8">
        <v>25210</v>
      </c>
      <c r="E6" t="inlineStr">
        <is>
          <t xml:space="preserve">positive</t>
        </is>
      </c>
      <c r="F6" s="4">
        <v>1.0021848156857722</v>
      </c>
      <c r="G6" s="6">
        <v>0.018119950825430435</v>
      </c>
      <c r="H6" s="7">
        <f>SUM(CE6,CZ6,DU6,EP6,FK6,GF6,HA6,HV6,IQ6,JL6)</f>
        <v>0.018119950825430435</v>
      </c>
      <c r="I6" s="7">
        <f>G6-H6</f>
        <v>0</v>
      </c>
      <c r="J6" s="5">
        <f>F6*(1+H6)</f>
        <v>1.0203443552639915</v>
      </c>
      <c r="K6" s="4">
        <v>1.0203443552639915</v>
      </c>
      <c r="L6" s="5">
        <f>K6-J6</f>
        <v>0</v>
      </c>
      <c r="M6" s="4">
        <v>1.977</v>
      </c>
      <c r="N6" s="4">
        <v>2.017</v>
      </c>
      <c r="O6" s="5">
        <f>M6/$M$3</f>
        <v>1.0097037793667007</v>
      </c>
      <c r="P6" s="5">
        <f>N6/$M$3</f>
        <v>1.0301327885597549</v>
      </c>
      <c r="Q6" s="7">
        <f>IFERROR(N6/M6-1,0)</f>
        <v>0.020232675771370667</v>
      </c>
      <c r="R6" s="5">
        <f>SUM(IF(BM6="lease",BU6,0),IF(CH6="lease",CP6,0),IF(DC6="lease",DK6,0),IF(DX6="lease",EF6,0),IF(ES6="lease",FA6,0),IF(FN6="lease",FV6,0),IF(GI6="lease",GQ6,0),IF(HD6="lease",HL6,0),IF(HY6="lease",IG6,0),IF(IT6="lease",JB6,0))</f>
        <v>1.0021848156857722</v>
      </c>
      <c r="S6" s="5">
        <f>SUM(IF(BM6="lease",BV6,0),IF(CH6="lease",CQ6,0),IF(DC6="lease",DL6,0),IF(DX6="lease",EG6,0),IF(ES6="lease",FB6,0),IF(FN6="lease",FW6,0),IF(GI6="lease",GR6,0),IF(HD6="lease",HM6,0),IF(HY6="lease",IH6,0),IF(IT6="lease",JC6,0))</f>
        <v>1.0203443552639915</v>
      </c>
      <c r="T6" s="5">
        <f>SUM(IF(BM6="keep",BU6,0),IF(CH6="keep",CP6,0),IF(DC6="keep",DK6,0),IF(DX6="keep",EF6,0),IF(ES6="keep",FA6,0),IF(FN6="keep",FV6,0),IF(GI6="keep",GQ6,0),IF(HD6="keep",HL6,0),IF(HY6="keep",IG6,0),IF(IT6="keep",JB6,0))</f>
        <v>0</v>
      </c>
      <c r="U6" s="5">
        <f>SUM(IF(BM6="keep",BV6,0),IF(CH6="keep",CQ6,0),IF(DC6="keep",DL6,0),IF(DX6="keep",EG6,0),IF(ES6="keep",FB6,0),IF(FN6="keep",FW6,0),IF(GI6="keep",GR6,0),IF(HD6="keep",HM6,0),IF(HY6="keep",IH6,0),IF(IT6="keep",JC6,0))</f>
        <v>0</v>
      </c>
      <c r="V6" s="5">
        <f>R6/O6</f>
        <v>0.9925532974773607</v>
      </c>
      <c r="W6" s="5">
        <f>S6/P6</f>
        <v>0.9904978917237953</v>
      </c>
      <c r="X6" s="5">
        <f>T6/O6</f>
        <v>0</v>
      </c>
      <c r="Y6" s="5">
        <f>U6/P6</f>
        <v>0</v>
      </c>
      <c r="Z6" s="5">
        <f>V6+X6</f>
        <v>0.9925532974773607</v>
      </c>
      <c r="AA6" s="7">
        <f>IFERROR(W6/V6-1,0)</f>
        <v>-0.002070826583105645</v>
      </c>
      <c r="AB6" s="7">
        <f>IFERROR((W6-V6)/Z6,0)</f>
        <v>-0.002070826583105693</v>
      </c>
      <c r="AC6" s="7">
        <f>IFERROR(Y6/X6-1,0)</f>
        <v>0</v>
      </c>
      <c r="AD6" s="7">
        <f>IFERROR((Y6-X6)/Z6,0)</f>
        <v>0</v>
      </c>
      <c r="AE6" s="7">
        <f>AB6+AD6</f>
        <v>-0.002070826583105693</v>
      </c>
      <c r="AF6" s="7">
        <f>(1+Q6)*(1+AE6)-1</f>
        <v>0.018119950825430386</v>
      </c>
      <c r="AG6" s="7">
        <f>G6-AF6</f>
        <v>4.85722573273506e-17</v>
      </c>
      <c r="AH6" s="5">
        <f>SUM(IF(BM6="lease",BW6,0),IF(CH6="lease",CR6,0),IF(DC6="lease",DM6,0),IF(DX6="lease",EH6,0),IF(ES6="lease",FC6,0),IF(FN6="lease",FX6,0),IF(GI6="lease",GS6,0),IF(HD6="lease",HN6,0),IF(HY6="lease",II6,0),IF(IT6="lease",JD6,0))</f>
        <v>0.018159539578219256</v>
      </c>
      <c r="AI6" s="5">
        <f>SUM(IF(BM6="keep",BW6,0),IF(CH6="keep",CR6,0),IF(DC6="keep",DM6,0),IF(DX6="keep",EH6,0),IF(ES6="keep",FC6,0),IF(FN6="keep",FX6,0),IF(GI6="keep",GS6,0),IF(HD6="keep",HN6,0),IF(HY6="keep",II6,0),IF(IT6="keep",JD6,0))</f>
        <v>0</v>
      </c>
      <c r="AJ6" s="5">
        <f>SUM(IF(BM6="lease",BX6,0),IF(CH6="lease",CS6,0),IF(DC6="lease",DN6,0),IF(DX6="lease",EI6,0),IF(ES6="lease",FD6,0),IF(FN6="lease",FY6,0),IF(GI6="lease",GT6,0),IF(HD6="lease",HO6,0),IF(HY6="lease",IJ6,0),IF(IT6="lease",JE6,0))</f>
        <v>0</v>
      </c>
      <c r="AK6" s="5">
        <f>SUM(IF(BM6="keep",BX6,0),IF(CH6="keep",CS6,0),IF(DC6="keep",DN6,0),IF(DX6="keep",EI6,0),IF(ES6="keep",FD6,0),IF(FN6="keep",FY6,0),IF(GI6="keep",GT6,0),IF(HD6="keep",HO6,0),IF(HY6="keep",IJ6,0),IF(IT6="keep",JE6,0))</f>
        <v>0</v>
      </c>
      <c r="AL6" s="5">
        <f>R6-S5</f>
        <v>0</v>
      </c>
      <c r="AM6" s="5">
        <f>T6-U5</f>
        <v>0</v>
      </c>
      <c r="AN6" s="5">
        <f>AN5</f>
        <v>1</v>
      </c>
      <c r="AO6" s="5">
        <f>AO5+AH6</f>
        <v>0.020344355263991518</v>
      </c>
      <c r="AP6" s="5">
        <f>AP5+AL6</f>
        <v>0</v>
      </c>
      <c r="AQ6" s="5">
        <f>AN6+AO6+AP6</f>
        <v>1.0203443552639915</v>
      </c>
      <c r="AR6" s="5">
        <f>S6-AQ6</f>
        <v>0</v>
      </c>
      <c r="AS6" s="5">
        <f>AS5</f>
        <v>0</v>
      </c>
      <c r="AT6" s="5">
        <f>AT5+AI6</f>
        <v>0</v>
      </c>
      <c r="AU6" s="5">
        <f>AU5+AM6</f>
        <v>0</v>
      </c>
      <c r="AV6" s="5">
        <f>AS6+AT6+AU6</f>
        <v>0</v>
      </c>
      <c r="AW6" s="5">
        <f>U6-AV6</f>
        <v>0</v>
      </c>
      <c r="AX6" s="4">
        <v>1.0021848156857722</v>
      </c>
      <c r="AY6" s="4">
        <v>1.0203443552639915</v>
      </c>
      <c r="AZ6" s="5">
        <f>S6-AY6</f>
        <v>0</v>
      </c>
      <c r="BA6" s="4">
        <v>0</v>
      </c>
      <c r="BB6" s="4">
        <v>0</v>
      </c>
      <c r="BC6" s="5">
        <f>U6-BB6</f>
        <v>0</v>
      </c>
      <c r="BD6" s="7">
        <f>SUM(IF(BL6="direct",CE6,0),IF(CG6="direct",CZ6,0),IF(DB6="direct",DU6,0),IF(DW6="direct",EP6,0),IF(ER6="direct",FK6,0),IF(FM6="direct",GF6,0),IF(GH6="direct",HA6,0),IF(HC6="direct",HV6,0),IF(HX6="direct",IQ6,0),IF(IS6="direct",JL6,0))</f>
        <v>0</v>
      </c>
      <c r="BE6" s="7">
        <f>SUM(IF(BL6="treasury",CE6,0),IF(CG6="treasury",CZ6,0),IF(DB6="treasury",DU6,0),IF(DW6="treasury",EP6,0),IF(ER6="treasury",FK6,0),IF(FM6="treasury",GF6,0),IF(GH6="treasury",HA6,0),IF(HC6="treasury",HV6,0),IF(HX6="treasury",IQ6,0),IF(IS6="treasury",JL6,0))</f>
        <v>0.00017123287671232877</v>
      </c>
      <c r="BF6" s="7">
        <f>SUM(IF(BL6="future",CE6,0),IF(CG6="future",CZ6,0),IF(DB6="future",DU6,0),IF(DW6="future",EP6,0),IF(ER6="future",FK6,0),IF(FM6="future",GF6,0),IF(GH6="future",HA6,0),IF(HC6="future",HV6,0),IF(HX6="future",IQ6,0),IF(IS6="future",JL6,0))</f>
        <v>0.017948717948718107</v>
      </c>
      <c r="BG6" s="7">
        <f>SUM(IF(BL6="cash",CE6,0),IF(CG6="cash",CZ6,0),IF(DB6="cash",DU6,0),IF(DW6="cash",EP6,0),IF(ER6="cash",FK6,0),IF(FM6="cash",GF6,0),IF(GH6="cash",HA6,0),IF(HC6="cash",HV6,0),IF(HX6="cash",IQ6,0),IF(IS6="cash",JL6,0))</f>
        <v>0</v>
      </c>
      <c r="BH6" s="7">
        <f>SUM(BD6:BG6)</f>
        <v>0.018119950825430435</v>
      </c>
      <c r="BI6" s="7">
        <f>G6-BH6</f>
        <v>0</v>
      </c>
      <c r="BJ6" s="9">
        <f>COUNTA(BK6,CF6,DA6,DV6,EQ6,FL6,GG6,HB6,HW6,IR6)</f>
        <v>4</v>
      </c>
      <c r="BK6" t="inlineStr">
        <is>
          <t xml:space="preserve">Treasury collateral</t>
        </is>
      </c>
      <c r="BL6" t="inlineStr">
        <is>
          <t xml:space="preserve">treasury</t>
        </is>
      </c>
      <c r="BM6" t="inlineStr">
        <is>
          <t xml:space="preserve">lease</t>
        </is>
      </c>
      <c r="BN6" t="inlineStr">
        <is>
          <t xml:space="preserve">long</t>
        </is>
      </c>
      <c r="BO6"/>
      <c r="BP6" s="4">
        <v>100.0841568421181</v>
      </c>
      <c r="BQ6" s="4">
        <v>100.1012945402075</v>
      </c>
      <c r="BR6" s="4">
        <v>0.010013421177806495</v>
      </c>
      <c r="BS6" s="6">
        <v>1</v>
      </c>
      <c r="BT6" s="4">
        <v>1.0021848156857722</v>
      </c>
      <c r="BU6" s="4">
        <v>1.0021848156857722</v>
      </c>
      <c r="BV6" s="4">
        <v>1.0023564226747594</v>
      </c>
      <c r="BW6" s="4">
        <v>0.00017160698898728978</v>
      </c>
      <c r="BX6" s="4">
        <v>-7.35089072945172e-17</v>
      </c>
      <c r="BY6" s="4">
        <v>1.977</v>
      </c>
      <c r="BZ6" s="4">
        <v>2.017</v>
      </c>
      <c r="CA6" s="6"/>
      <c r="CB6" s="6"/>
      <c r="CC6" s="6"/>
      <c r="CD6" s="9">
        <v>22</v>
      </c>
      <c r="CE6" s="7">
        <f>IFERROR(BW6/F6,0)</f>
        <v>0.00017123287671232877</v>
      </c>
      <c r="CF6" t="inlineStr">
        <is>
          <t xml:space="preserve">SI69F</t>
        </is>
      </c>
      <c r="CG6" t="inlineStr">
        <is>
          <t xml:space="preserve">future</t>
        </is>
      </c>
      <c r="CH6" t="inlineStr">
        <is>
          <t xml:space="preserve">lease</t>
        </is>
      </c>
      <c r="CI6" t="inlineStr">
        <is>
          <t xml:space="preserve">long</t>
        </is>
      </c>
      <c r="CJ6" t="inlineStr">
        <is>
          <t xml:space="preserve">regular</t>
        </is>
      </c>
      <c r="CK6" s="4">
        <v>1.95</v>
      </c>
      <c r="CL6" s="4">
        <v>1.985</v>
      </c>
      <c r="CM6" s="4">
        <v>0.5139409311209089</v>
      </c>
      <c r="CN6" s="6">
        <v>1</v>
      </c>
      <c r="CO6" s="4">
        <v>1.0021848156857722</v>
      </c>
      <c r="CP6" s="4">
        <v>0</v>
      </c>
      <c r="CQ6" s="4">
        <v>0</v>
      </c>
      <c r="CR6" s="4">
        <v>0.017987932589231967</v>
      </c>
      <c r="CS6" s="4">
        <v>-0.017987932589231967</v>
      </c>
      <c r="CT6" s="4">
        <v>1.977</v>
      </c>
      <c r="CU6" s="4">
        <v>2.017</v>
      </c>
      <c r="CV6" s="6">
        <v>-0.013657056145675361</v>
      </c>
      <c r="CW6" s="6">
        <v>0.0625</v>
      </c>
      <c r="CX6" s="6">
        <v>0.2890829769623412</v>
      </c>
      <c r="CY6" s="9">
        <v>22</v>
      </c>
      <c r="CZ6" s="7">
        <f>IFERROR(CR6/F6,0)</f>
        <v>0.017948717948718107</v>
      </c>
      <c r="DA6" t="inlineStr">
        <is>
          <t xml:space="preserve">Lease cash / margin / financing</t>
        </is>
      </c>
      <c r="DB6" t="inlineStr">
        <is>
          <t xml:space="preserve">cash</t>
        </is>
      </c>
      <c r="DC6" t="inlineStr">
        <is>
          <t xml:space="preserve">lease</t>
        </is>
      </c>
      <c r="DD6" t="inlineStr">
        <is>
          <t xml:space="preserve">cash</t>
        </is>
      </c>
      <c r="DE6"/>
      <c r="DF6" s="4">
        <v>1</v>
      </c>
      <c r="DG6" s="4">
        <v>1</v>
      </c>
      <c r="DH6" s="4">
        <v>0</v>
      </c>
      <c r="DI6" s="6"/>
      <c r="DJ6" s="4">
        <v>0</v>
      </c>
      <c r="DK6" s="4">
        <v>0</v>
      </c>
      <c r="DL6" s="4">
        <v>0.01798793258923204</v>
      </c>
      <c r="DM6" s="4">
        <v>0</v>
      </c>
      <c r="DN6" s="4">
        <v>0.01798793258923204</v>
      </c>
      <c r="DO6" s="4">
        <v>1.977</v>
      </c>
      <c r="DP6" s="4">
        <v>2.017</v>
      </c>
      <c r="DQ6" s="6"/>
      <c r="DR6" s="6"/>
      <c r="DS6" s="6"/>
      <c r="DT6" s="9"/>
      <c r="DU6" s="7">
        <f>IFERROR(DM6/F6,0)</f>
        <v>0</v>
      </c>
      <c r="DV6" t="inlineStr">
        <is>
          <t xml:space="preserve">Keep cash / margin / financing</t>
        </is>
      </c>
      <c r="DW6" t="inlineStr">
        <is>
          <t xml:space="preserve">cash</t>
        </is>
      </c>
      <c r="DX6" t="inlineStr">
        <is>
          <t xml:space="preserve">keep</t>
        </is>
      </c>
      <c r="DY6" t="inlineStr">
        <is>
          <t xml:space="preserve">cash</t>
        </is>
      </c>
      <c r="DZ6"/>
      <c r="EA6" s="4">
        <v>1</v>
      </c>
      <c r="EB6" s="4">
        <v>1</v>
      </c>
      <c r="EC6" s="4">
        <v>0</v>
      </c>
      <c r="ED6" s="6"/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1.977</v>
      </c>
      <c r="EK6" s="4">
        <v>2.017</v>
      </c>
      <c r="EL6" s="6"/>
      <c r="EM6" s="6"/>
      <c r="EN6" s="6"/>
      <c r="EO6" s="9"/>
      <c r="EP6" s="7">
        <f>IFERROR(EH6/F6,0)</f>
        <v>0</v>
      </c>
      <c r="EQ6"/>
      <c r="ER6"/>
      <c r="ES6"/>
      <c r="ET6"/>
      <c r="EU6"/>
      <c r="EV6" s="4"/>
      <c r="EW6" s="4"/>
      <c r="EX6" s="4"/>
      <c r="EY6" s="6"/>
      <c r="EZ6" s="4"/>
      <c r="FA6" s="4"/>
      <c r="FB6" s="4"/>
      <c r="FC6" s="4"/>
      <c r="FD6" s="4"/>
      <c r="FE6" s="4"/>
      <c r="FF6" s="4"/>
      <c r="FG6" s="6"/>
      <c r="FH6" s="6"/>
      <c r="FI6" s="6"/>
      <c r="FJ6" s="9"/>
      <c r="FK6"/>
      <c r="FL6"/>
      <c r="FM6"/>
      <c r="FN6"/>
      <c r="FO6"/>
      <c r="FP6"/>
      <c r="FQ6" s="4"/>
      <c r="FR6" s="4"/>
      <c r="FS6" s="4"/>
      <c r="FT6" s="6"/>
      <c r="FU6" s="4"/>
      <c r="FV6" s="4"/>
      <c r="FW6" s="4"/>
      <c r="FX6" s="4"/>
      <c r="FY6" s="4"/>
      <c r="FZ6" s="4"/>
      <c r="GA6" s="4"/>
      <c r="GB6" s="6"/>
      <c r="GC6" s="6"/>
      <c r="GD6" s="6"/>
      <c r="GE6" s="9"/>
      <c r="GF6"/>
      <c r="GG6"/>
      <c r="GH6"/>
      <c r="GI6"/>
      <c r="GJ6"/>
      <c r="GK6"/>
      <c r="GL6" s="4"/>
      <c r="GM6" s="4"/>
      <c r="GN6" s="4"/>
      <c r="GO6" s="6"/>
      <c r="GP6" s="4"/>
      <c r="GQ6" s="4"/>
      <c r="GR6" s="4"/>
      <c r="GS6" s="4"/>
      <c r="GT6" s="4"/>
      <c r="GU6" s="4"/>
      <c r="GV6" s="4"/>
      <c r="GW6" s="6"/>
      <c r="GX6" s="6"/>
      <c r="GY6" s="6"/>
      <c r="GZ6" s="9"/>
      <c r="HA6"/>
      <c r="HB6"/>
      <c r="HC6"/>
      <c r="HD6"/>
      <c r="HE6"/>
      <c r="HF6"/>
      <c r="HG6" s="4"/>
      <c r="HH6" s="4"/>
      <c r="HI6" s="4"/>
      <c r="HJ6" s="6"/>
      <c r="HK6" s="4"/>
      <c r="HL6" s="4"/>
      <c r="HM6" s="4"/>
      <c r="HN6" s="4"/>
      <c r="HO6" s="4"/>
      <c r="HP6" s="4"/>
      <c r="HQ6" s="4"/>
      <c r="HR6" s="6"/>
      <c r="HS6" s="6"/>
      <c r="HT6" s="6"/>
      <c r="HU6" s="9"/>
      <c r="HV6"/>
      <c r="HW6"/>
      <c r="HX6"/>
      <c r="HY6"/>
      <c r="HZ6"/>
      <c r="IA6"/>
      <c r="IB6" s="4"/>
      <c r="IC6" s="4"/>
      <c r="ID6" s="4"/>
      <c r="IE6" s="6"/>
      <c r="IF6" s="4"/>
      <c r="IG6" s="4"/>
      <c r="IH6" s="4"/>
      <c r="II6" s="4"/>
      <c r="IJ6" s="4"/>
      <c r="IK6" s="4"/>
      <c r="IL6" s="4"/>
      <c r="IM6" s="6"/>
      <c r="IN6" s="6"/>
      <c r="IO6" s="6"/>
      <c r="IP6" s="9"/>
      <c r="IQ6"/>
      <c r="IR6"/>
      <c r="IS6"/>
      <c r="IT6"/>
      <c r="IU6"/>
      <c r="IV6"/>
      <c r="IW6" s="4"/>
      <c r="IX6" s="4"/>
      <c r="IY6" s="4"/>
      <c r="IZ6" s="6"/>
      <c r="JA6" s="4"/>
      <c r="JB6" s="4"/>
      <c r="JC6" s="4"/>
      <c r="JD6" s="4"/>
      <c r="JE6" s="4"/>
      <c r="JF6" s="4"/>
      <c r="JG6" s="4"/>
      <c r="JH6" s="6"/>
      <c r="JI6" s="6"/>
      <c r="JJ6" s="6"/>
      <c r="JK6" s="9"/>
      <c r="JL6"/>
    </row>
    <row r="7">
      <c r="A7" s="8">
        <v>25211</v>
      </c>
      <c r="B7" s="8">
        <v>25212</v>
      </c>
      <c r="C7" s="9">
        <f>B7-A7</f>
        <v>1</v>
      </c>
      <c r="D7" s="8">
        <v>25211</v>
      </c>
      <c r="E7" t="inlineStr">
        <is>
          <t xml:space="preserve">positive</t>
        </is>
      </c>
      <c r="F7" s="4">
        <v>1.0203443552639915</v>
      </c>
      <c r="G7" s="6">
        <v>0.021328279217417995</v>
      </c>
      <c r="H7" s="7">
        <f>SUM(CE7,CZ7,DU7,EP7,FK7,GF7,HA7,HV7,IQ7,JL7)</f>
        <v>0.021328279217417995</v>
      </c>
      <c r="I7" s="7">
        <f>G7-H7</f>
        <v>0</v>
      </c>
      <c r="J7" s="5">
        <f>F7*(1+H7)</f>
        <v>1.0421065445709783</v>
      </c>
      <c r="K7" s="4">
        <v>1.0421065445709783</v>
      </c>
      <c r="L7" s="5">
        <f>K7-J7</f>
        <v>0</v>
      </c>
      <c r="M7" s="4">
        <v>2.017</v>
      </c>
      <c r="N7" s="4">
        <v>2.007</v>
      </c>
      <c r="O7" s="5">
        <f>M7/$M$3</f>
        <v>1.0301327885597549</v>
      </c>
      <c r="P7" s="5">
        <f>N7/$M$3</f>
        <v>1.0250255362614913</v>
      </c>
      <c r="Q7" s="7">
        <f>IFERROR(N7/M7-1,0)</f>
        <v>-0.004957858205255183</v>
      </c>
      <c r="R7" s="5">
        <f>SUM(IF(BM7="lease",BU7,0),IF(CH7="lease",CP7,0),IF(DC7="lease",DK7,0),IF(DX7="lease",EF7,0),IF(ES7="lease",FA7,0),IF(FN7="lease",FV7,0),IF(GI7="lease",GQ7,0),IF(HD7="lease",HL7,0),IF(HY7="lease",IG7,0),IF(IT7="lease",JB7,0))</f>
        <v>1.0203443552639915</v>
      </c>
      <c r="S7" s="5">
        <f>SUM(IF(BM7="lease",BV7,0),IF(CH7="lease",CQ7,0),IF(DC7="lease",DL7,0),IF(DX7="lease",EG7,0),IF(ES7="lease",FB7,0),IF(FN7="lease",FW7,0),IF(GI7="lease",GR7,0),IF(HD7="lease",HM7,0),IF(HY7="lease",IH7,0),IF(IT7="lease",JC7,0))</f>
        <v>1.0421065445709783</v>
      </c>
      <c r="T7" s="5">
        <f>SUM(IF(BM7="keep",BU7,0),IF(CH7="keep",CP7,0),IF(DC7="keep",DK7,0),IF(DX7="keep",EF7,0),IF(ES7="keep",FA7,0),IF(FN7="keep",FV7,0),IF(GI7="keep",GQ7,0),IF(HD7="keep",HL7,0),IF(HY7="keep",IG7,0),IF(IT7="keep",JB7,0))</f>
        <v>0</v>
      </c>
      <c r="U7" s="5">
        <f>SUM(IF(BM7="keep",BV7,0),IF(CH7="keep",CQ7,0),IF(DC7="keep",DL7,0),IF(DX7="keep",EG7,0),IF(ES7="keep",FB7,0),IF(FN7="keep",FW7,0),IF(GI7="keep",GR7,0),IF(HD7="keep",HM7,0),IF(HY7="keep",IH7,0),IF(IT7="keep",JC7,0))</f>
        <v>0</v>
      </c>
      <c r="V7" s="5">
        <f>R7/O7</f>
        <v>0.9904978917237953</v>
      </c>
      <c r="W7" s="5">
        <f>S7/P7</f>
        <v>1.0166639831938094</v>
      </c>
      <c r="X7" s="5">
        <f>T7/O7</f>
        <v>0</v>
      </c>
      <c r="Y7" s="5">
        <f>U7/P7</f>
        <v>0</v>
      </c>
      <c r="Z7" s="5">
        <f>V7+X7</f>
        <v>0.9904978917237953</v>
      </c>
      <c r="AA7" s="7">
        <f>IFERROR(W7/V7-1,0)</f>
        <v>0.026417109706792452</v>
      </c>
      <c r="AB7" s="7">
        <f>IFERROR((W7-V7)/Z7,0)</f>
        <v>0.026417109706792348</v>
      </c>
      <c r="AC7" s="7">
        <f>IFERROR(Y7/X7-1,0)</f>
        <v>0</v>
      </c>
      <c r="AD7" s="7">
        <f>IFERROR((Y7-X7)/Z7,0)</f>
        <v>0</v>
      </c>
      <c r="AE7" s="7">
        <f>AB7+AD7</f>
        <v>0.026417109706792348</v>
      </c>
      <c r="AF7" s="7">
        <f>(1+Q7)*(1+AE7)-1</f>
        <v>0.02132827921741831</v>
      </c>
      <c r="AG7" s="7">
        <f>G7-AF7</f>
        <v>-3.157196726277789e-16</v>
      </c>
      <c r="AH7" s="5">
        <f>SUM(IF(BM7="lease",BW7,0),IF(CH7="lease",CR7,0),IF(DC7="lease",DM7,0),IF(DX7="lease",EH7,0),IF(ES7="lease",FC7,0),IF(FN7="lease",FX7,0),IF(GI7="lease",GS7,0),IF(HD7="lease",HN7,0),IF(HY7="lease",II7,0),IF(IT7="lease",JD7,0))</f>
        <v>0.021762189306986753</v>
      </c>
      <c r="AI7" s="5">
        <f>SUM(IF(BM7="keep",BW7,0),IF(CH7="keep",CR7,0),IF(DC7="keep",DM7,0),IF(DX7="keep",EH7,0),IF(ES7="keep",FC7,0),IF(FN7="keep",FX7,0),IF(GI7="keep",GS7,0),IF(HD7="keep",HN7,0),IF(HY7="keep",II7,0),IF(IT7="keep",JD7,0))</f>
        <v>0</v>
      </c>
      <c r="AJ7" s="5">
        <f>SUM(IF(BM7="lease",BX7,0),IF(CH7="lease",CS7,0),IF(DC7="lease",DN7,0),IF(DX7="lease",EI7,0),IF(ES7="lease",FD7,0),IF(FN7="lease",FY7,0),IF(GI7="lease",GT7,0),IF(HD7="lease",HO7,0),IF(HY7="lease",IJ7,0),IF(IT7="lease",JE7,0))</f>
        <v>0</v>
      </c>
      <c r="AK7" s="5">
        <f>SUM(IF(BM7="keep",BX7,0),IF(CH7="keep",CS7,0),IF(DC7="keep",DN7,0),IF(DX7="keep",EI7,0),IF(ES7="keep",FD7,0),IF(FN7="keep",FY7,0),IF(GI7="keep",GT7,0),IF(HD7="keep",HO7,0),IF(HY7="keep",IJ7,0),IF(IT7="keep",JE7,0))</f>
        <v>0</v>
      </c>
      <c r="AL7" s="5">
        <f>R7-S6</f>
        <v>0</v>
      </c>
      <c r="AM7" s="5">
        <f>T7-U6</f>
        <v>0</v>
      </c>
      <c r="AN7" s="5">
        <f>AN6</f>
        <v>1</v>
      </c>
      <c r="AO7" s="5">
        <f>AO6+AH7</f>
        <v>0.042106544570978274</v>
      </c>
      <c r="AP7" s="5">
        <f>AP6+AL7</f>
        <v>0</v>
      </c>
      <c r="AQ7" s="5">
        <f>AN7+AO7+AP7</f>
        <v>1.0421065445709783</v>
      </c>
      <c r="AR7" s="5">
        <f>S7-AQ7</f>
        <v>0</v>
      </c>
      <c r="AS7" s="5">
        <f>AS6</f>
        <v>0</v>
      </c>
      <c r="AT7" s="5">
        <f>AT6+AI7</f>
        <v>0</v>
      </c>
      <c r="AU7" s="5">
        <f>AU6+AM7</f>
        <v>0</v>
      </c>
      <c r="AV7" s="5">
        <f>AS7+AT7+AU7</f>
        <v>0</v>
      </c>
      <c r="AW7" s="5">
        <f>U7-AV7</f>
        <v>0</v>
      </c>
      <c r="AX7" s="4">
        <v>1.0203443552639915</v>
      </c>
      <c r="AY7" s="4">
        <v>1.0421065445709783</v>
      </c>
      <c r="AZ7" s="5">
        <f>S7-AY7</f>
        <v>0</v>
      </c>
      <c r="BA7" s="4">
        <v>0</v>
      </c>
      <c r="BB7" s="4">
        <v>0</v>
      </c>
      <c r="BC7" s="5">
        <f>U7-BB7</f>
        <v>0</v>
      </c>
      <c r="BD7" s="7">
        <f>SUM(IF(BL7="direct",CE7,0),IF(CG7="direct",CZ7,0),IF(DB7="direct",DU7,0),IF(DW7="direct",EP7,0),IF(ER7="direct",FK7,0),IF(FM7="direct",GF7,0),IF(GH7="direct",HA7,0),IF(HC7="direct",HV7,0),IF(HX7="direct",IQ7,0),IF(IS7="direct",JL7,0))</f>
        <v>0</v>
      </c>
      <c r="BE7" s="7">
        <f>SUM(IF(BL7="treasury",CE7,0),IF(CG7="treasury",CZ7,0),IF(DB7="treasury",DU7,0),IF(DW7="treasury",EP7,0),IF(ER7="treasury",FK7,0),IF(FM7="treasury",GF7,0),IF(GH7="treasury",HA7,0),IF(HC7="treasury",HV7,0),IF(HX7="treasury",IQ7,0),IF(IS7="treasury",JL7,0))</f>
        <v>0.0001695890410958904</v>
      </c>
      <c r="BF7" s="7">
        <f>SUM(IF(BL7="future",CE7,0),IF(CG7="future",CZ7,0),IF(DB7="future",DU7,0),IF(DW7="future",EP7,0),IF(ER7="future",FK7,0),IF(FM7="future",GF7,0),IF(GH7="future",HA7,0),IF(HC7="future",HV7,0),IF(HX7="future",IQ7,0),IF(IS7="future",JL7,0))</f>
        <v>0.021158690176322104</v>
      </c>
      <c r="BG7" s="7">
        <f>SUM(IF(BL7="cash",CE7,0),IF(CG7="cash",CZ7,0),IF(DB7="cash",DU7,0),IF(DW7="cash",EP7,0),IF(ER7="cash",FK7,0),IF(FM7="cash",GF7,0),IF(GH7="cash",HA7,0),IF(HC7="cash",HV7,0),IF(HX7="cash",IQ7,0),IF(IS7="cash",JL7,0))</f>
        <v>0</v>
      </c>
      <c r="BH7" s="7">
        <f>SUM(BD7:BG7)</f>
        <v>0.021328279217417995</v>
      </c>
      <c r="BI7" s="7">
        <f>G7-BH7</f>
        <v>0</v>
      </c>
      <c r="BJ7" s="9">
        <f>COUNTA(BK7,CF7,DA7,DV7,EQ7,FL7,GG7,HB7,HW7,IR7)</f>
        <v>4</v>
      </c>
      <c r="BK7" t="inlineStr">
        <is>
          <t xml:space="preserve">Treasury collateral</t>
        </is>
      </c>
      <c r="BL7" t="inlineStr">
        <is>
          <t xml:space="preserve">treasury</t>
        </is>
      </c>
      <c r="BM7" t="inlineStr">
        <is>
          <t xml:space="preserve">lease</t>
        </is>
      </c>
      <c r="BN7" t="inlineStr">
        <is>
          <t xml:space="preserve">long</t>
        </is>
      </c>
      <c r="BO7"/>
      <c r="BP7" s="4">
        <v>100.1012945402075</v>
      </c>
      <c r="BQ7" s="4">
        <v>100.11827062276105</v>
      </c>
      <c r="BR7" s="4">
        <v>0.010193118480142649</v>
      </c>
      <c r="BS7" s="6">
        <v>1</v>
      </c>
      <c r="BT7" s="4">
        <v>1.0203443552639915</v>
      </c>
      <c r="BU7" s="4">
        <v>1.0203443552639915</v>
      </c>
      <c r="BV7" s="4">
        <v>1.0205173944847885</v>
      </c>
      <c r="BW7" s="4">
        <v>0.00017303922079682486</v>
      </c>
      <c r="BX7" s="4">
        <v>2.084107626060261e-16</v>
      </c>
      <c r="BY7" s="4">
        <v>2.017</v>
      </c>
      <c r="BZ7" s="4">
        <v>2.007</v>
      </c>
      <c r="CA7" s="6"/>
      <c r="CB7" s="6"/>
      <c r="CC7" s="6"/>
      <c r="CD7" s="9">
        <v>21</v>
      </c>
      <c r="CE7" s="7">
        <f>IFERROR(BW7/F7,0)</f>
        <v>0.0001695890410958904</v>
      </c>
      <c r="CF7" t="inlineStr">
        <is>
          <t xml:space="preserve">SI69F</t>
        </is>
      </c>
      <c r="CG7" t="inlineStr">
        <is>
          <t xml:space="preserve">future</t>
        </is>
      </c>
      <c r="CH7" t="inlineStr">
        <is>
          <t xml:space="preserve">lease</t>
        </is>
      </c>
      <c r="CI7" t="inlineStr">
        <is>
          <t xml:space="preserve">long</t>
        </is>
      </c>
      <c r="CJ7" t="inlineStr">
        <is>
          <t xml:space="preserve">regular</t>
        </is>
      </c>
      <c r="CK7" s="4">
        <v>1.985</v>
      </c>
      <c r="CL7" s="4">
        <v>2.0269999999999997</v>
      </c>
      <c r="CM7" s="4">
        <v>0.5140273830045297</v>
      </c>
      <c r="CN7" s="6">
        <v>1</v>
      </c>
      <c r="CO7" s="4">
        <v>1.0203443552639915</v>
      </c>
      <c r="CP7" s="4">
        <v>0</v>
      </c>
      <c r="CQ7" s="4">
        <v>0</v>
      </c>
      <c r="CR7" s="4">
        <v>0.021589150086189928</v>
      </c>
      <c r="CS7" s="4">
        <v>-0.021589150086189928</v>
      </c>
      <c r="CT7" s="4">
        <v>2.017</v>
      </c>
      <c r="CU7" s="4">
        <v>2.007</v>
      </c>
      <c r="CV7" s="6">
        <v>-0.01586514625681701</v>
      </c>
      <c r="CW7" s="6">
        <v>0.0619</v>
      </c>
      <c r="CX7" s="6">
        <v>0.33765135160658133</v>
      </c>
      <c r="CY7" s="9">
        <v>21</v>
      </c>
      <c r="CZ7" s="7">
        <f>IFERROR(CR7/F7,0)</f>
        <v>0.021158690176322104</v>
      </c>
      <c r="DA7" t="inlineStr">
        <is>
          <t xml:space="preserve">Lease cash / margin / financing</t>
        </is>
      </c>
      <c r="DB7" t="inlineStr">
        <is>
          <t xml:space="preserve">cash</t>
        </is>
      </c>
      <c r="DC7" t="inlineStr">
        <is>
          <t xml:space="preserve">lease</t>
        </is>
      </c>
      <c r="DD7" t="inlineStr">
        <is>
          <t xml:space="preserve">cash</t>
        </is>
      </c>
      <c r="DE7"/>
      <c r="DF7" s="4">
        <v>1</v>
      </c>
      <c r="DG7" s="4">
        <v>1</v>
      </c>
      <c r="DH7" s="4">
        <v>0</v>
      </c>
      <c r="DI7" s="6"/>
      <c r="DJ7" s="4">
        <v>0</v>
      </c>
      <c r="DK7" s="4">
        <v>0</v>
      </c>
      <c r="DL7" s="4">
        <v>0.02158915008618972</v>
      </c>
      <c r="DM7" s="4">
        <v>0</v>
      </c>
      <c r="DN7" s="4">
        <v>0.02158915008618972</v>
      </c>
      <c r="DO7" s="4">
        <v>2.017</v>
      </c>
      <c r="DP7" s="4">
        <v>2.007</v>
      </c>
      <c r="DQ7" s="6"/>
      <c r="DR7" s="6"/>
      <c r="DS7" s="6"/>
      <c r="DT7" s="9"/>
      <c r="DU7" s="7">
        <f>IFERROR(DM7/F7,0)</f>
        <v>0</v>
      </c>
      <c r="DV7" t="inlineStr">
        <is>
          <t xml:space="preserve">Keep cash / margin / financing</t>
        </is>
      </c>
      <c r="DW7" t="inlineStr">
        <is>
          <t xml:space="preserve">cash</t>
        </is>
      </c>
      <c r="DX7" t="inlineStr">
        <is>
          <t xml:space="preserve">keep</t>
        </is>
      </c>
      <c r="DY7" t="inlineStr">
        <is>
          <t xml:space="preserve">cash</t>
        </is>
      </c>
      <c r="DZ7"/>
      <c r="EA7" s="4">
        <v>1</v>
      </c>
      <c r="EB7" s="4">
        <v>1</v>
      </c>
      <c r="EC7" s="4">
        <v>0</v>
      </c>
      <c r="ED7" s="6"/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2.017</v>
      </c>
      <c r="EK7" s="4">
        <v>2.007</v>
      </c>
      <c r="EL7" s="6"/>
      <c r="EM7" s="6"/>
      <c r="EN7" s="6"/>
      <c r="EO7" s="9"/>
      <c r="EP7" s="7">
        <f>IFERROR(EH7/F7,0)</f>
        <v>0</v>
      </c>
      <c r="EQ7"/>
      <c r="ER7"/>
      <c r="ES7"/>
      <c r="ET7"/>
      <c r="EU7"/>
      <c r="EV7" s="4"/>
      <c r="EW7" s="4"/>
      <c r="EX7" s="4"/>
      <c r="EY7" s="6"/>
      <c r="EZ7" s="4"/>
      <c r="FA7" s="4"/>
      <c r="FB7" s="4"/>
      <c r="FC7" s="4"/>
      <c r="FD7" s="4"/>
      <c r="FE7" s="4"/>
      <c r="FF7" s="4"/>
      <c r="FG7" s="6"/>
      <c r="FH7" s="6"/>
      <c r="FI7" s="6"/>
      <c r="FJ7" s="9"/>
      <c r="FK7"/>
      <c r="FL7"/>
      <c r="FM7"/>
      <c r="FN7"/>
      <c r="FO7"/>
      <c r="FP7"/>
      <c r="FQ7" s="4"/>
      <c r="FR7" s="4"/>
      <c r="FS7" s="4"/>
      <c r="FT7" s="6"/>
      <c r="FU7" s="4"/>
      <c r="FV7" s="4"/>
      <c r="FW7" s="4"/>
      <c r="FX7" s="4"/>
      <c r="FY7" s="4"/>
      <c r="FZ7" s="4"/>
      <c r="GA7" s="4"/>
      <c r="GB7" s="6"/>
      <c r="GC7" s="6"/>
      <c r="GD7" s="6"/>
      <c r="GE7" s="9"/>
      <c r="GF7"/>
      <c r="GG7"/>
      <c r="GH7"/>
      <c r="GI7"/>
      <c r="GJ7"/>
      <c r="GK7"/>
      <c r="GL7" s="4"/>
      <c r="GM7" s="4"/>
      <c r="GN7" s="4"/>
      <c r="GO7" s="6"/>
      <c r="GP7" s="4"/>
      <c r="GQ7" s="4"/>
      <c r="GR7" s="4"/>
      <c r="GS7" s="4"/>
      <c r="GT7" s="4"/>
      <c r="GU7" s="4"/>
      <c r="GV7" s="4"/>
      <c r="GW7" s="6"/>
      <c r="GX7" s="6"/>
      <c r="GY7" s="6"/>
      <c r="GZ7" s="9"/>
      <c r="HA7"/>
      <c r="HB7"/>
      <c r="HC7"/>
      <c r="HD7"/>
      <c r="HE7"/>
      <c r="HF7"/>
      <c r="HG7" s="4"/>
      <c r="HH7" s="4"/>
      <c r="HI7" s="4"/>
      <c r="HJ7" s="6"/>
      <c r="HK7" s="4"/>
      <c r="HL7" s="4"/>
      <c r="HM7" s="4"/>
      <c r="HN7" s="4"/>
      <c r="HO7" s="4"/>
      <c r="HP7" s="4"/>
      <c r="HQ7" s="4"/>
      <c r="HR7" s="6"/>
      <c r="HS7" s="6"/>
      <c r="HT7" s="6"/>
      <c r="HU7" s="9"/>
      <c r="HV7"/>
      <c r="HW7"/>
      <c r="HX7"/>
      <c r="HY7"/>
      <c r="HZ7"/>
      <c r="IA7"/>
      <c r="IB7" s="4"/>
      <c r="IC7" s="4"/>
      <c r="ID7" s="4"/>
      <c r="IE7" s="6"/>
      <c r="IF7" s="4"/>
      <c r="IG7" s="4"/>
      <c r="IH7" s="4"/>
      <c r="II7" s="4"/>
      <c r="IJ7" s="4"/>
      <c r="IK7" s="4"/>
      <c r="IL7" s="4"/>
      <c r="IM7" s="6"/>
      <c r="IN7" s="6"/>
      <c r="IO7" s="6"/>
      <c r="IP7" s="9"/>
      <c r="IQ7"/>
      <c r="IR7"/>
      <c r="IS7"/>
      <c r="IT7"/>
      <c r="IU7"/>
      <c r="IV7"/>
      <c r="IW7" s="4"/>
      <c r="IX7" s="4"/>
      <c r="IY7" s="4"/>
      <c r="IZ7" s="6"/>
      <c r="JA7" s="4"/>
      <c r="JB7" s="4"/>
      <c r="JC7" s="4"/>
      <c r="JD7" s="4"/>
      <c r="JE7" s="4"/>
      <c r="JF7" s="4"/>
      <c r="JG7" s="4"/>
      <c r="JH7" s="6"/>
      <c r="JI7" s="6"/>
      <c r="JJ7" s="6"/>
      <c r="JK7" s="9"/>
      <c r="JL7"/>
    </row>
    <row r="8">
      <c r="A8" s="8">
        <v>25212</v>
      </c>
      <c r="B8" s="8">
        <v>25213</v>
      </c>
      <c r="C8" s="9">
        <f>B8-A8</f>
        <v>1</v>
      </c>
      <c r="D8" s="8">
        <v>25212</v>
      </c>
      <c r="E8" t="inlineStr">
        <is>
          <t xml:space="preserve">neutral</t>
        </is>
      </c>
      <c r="F8" s="4">
        <v>1.0421065445709783</v>
      </c>
      <c r="G8" s="6">
        <v>0.017432114312235746</v>
      </c>
      <c r="H8" s="7">
        <f>SUM(CE8,CZ8,DU8,EP8,FK8,GF8,HA8,HV8,IQ8,JL8)</f>
        <v>0.017432114312235746</v>
      </c>
      <c r="I8" s="7">
        <f>G8-H8</f>
        <v>0</v>
      </c>
      <c r="J8" s="5">
        <f>F8*(1+H8)</f>
        <v>1.0602726649814687</v>
      </c>
      <c r="K8" s="4">
        <v>1.0602726649814687</v>
      </c>
      <c r="L8" s="5">
        <f>K8-J8</f>
        <v>0</v>
      </c>
      <c r="M8" s="4">
        <v>2.007</v>
      </c>
      <c r="N8" s="4">
        <v>2.042</v>
      </c>
      <c r="O8" s="5">
        <f>M8/$M$3</f>
        <v>1.0250255362614913</v>
      </c>
      <c r="P8" s="5">
        <f>N8/$M$3</f>
        <v>1.0429009193054135</v>
      </c>
      <c r="Q8" s="7">
        <f>IFERROR(N8/M8-1,0)</f>
        <v>0.017438963627304238</v>
      </c>
      <c r="R8" s="5">
        <f>SUM(IF(BM8="lease",BU8,0),IF(CH8="lease",CP8,0),IF(DC8="lease",DK8,0),IF(DX8="lease",EF8,0),IF(ES8="lease",FA8,0),IF(FN8="lease",FV8,0),IF(GI8="lease",GQ8,0),IF(HD8="lease",HL8,0),IF(HY8="lease",IG8,0),IF(IT8="lease",JB8,0))</f>
        <v>1.0421065445709783</v>
      </c>
      <c r="S8" s="5">
        <f>SUM(IF(BM8="lease",BV8,0),IF(CH8="lease",CQ8,0),IF(DC8="lease",DL8,0),IF(DX8="lease",EG8,0),IF(ES8="lease",FB8,0),IF(FN8="lease",FW8,0),IF(GI8="lease",GR8,0),IF(HD8="lease",HM8,0),IF(HY8="lease",IH8,0),IF(IT8="lease",JC8,0))</f>
        <v>1.0602726649814687</v>
      </c>
      <c r="T8" s="5">
        <f>SUM(IF(BM8="keep",BU8,0),IF(CH8="keep",CP8,0),IF(DC8="keep",DK8,0),IF(DX8="keep",EF8,0),IF(ES8="keep",FA8,0),IF(FN8="keep",FV8,0),IF(GI8="keep",GQ8,0),IF(HD8="keep",HL8,0),IF(HY8="keep",IG8,0),IF(IT8="keep",JB8,0))</f>
        <v>0</v>
      </c>
      <c r="U8" s="5">
        <f>SUM(IF(BM8="keep",BV8,0),IF(CH8="keep",CQ8,0),IF(DC8="keep",DL8,0),IF(DX8="keep",EG8,0),IF(ES8="keep",FB8,0),IF(FN8="keep",FW8,0),IF(GI8="keep",GR8,0),IF(HD8="keep",HM8,0),IF(HY8="keep",IH8,0),IF(IT8="keep",JC8,0))</f>
        <v>0</v>
      </c>
      <c r="V8" s="5">
        <f>R8/O8</f>
        <v>1.0166639831938094</v>
      </c>
      <c r="W8" s="5">
        <f>S8/P8</f>
        <v>1.0166571390958452</v>
      </c>
      <c r="X8" s="5">
        <f>T8/O8</f>
        <v>0</v>
      </c>
      <c r="Y8" s="5">
        <f>U8/P8</f>
        <v>0</v>
      </c>
      <c r="Z8" s="5">
        <f>V8+X8</f>
        <v>1.0166639831938094</v>
      </c>
      <c r="AA8" s="7">
        <f>IFERROR(W8/V8-1,0)</f>
        <v>-0.000006731917405633503</v>
      </c>
      <c r="AB8" s="7">
        <f>IFERROR((W8-V8)/Z8,0)</f>
        <v>-0.000006731917405633066</v>
      </c>
      <c r="AC8" s="7">
        <f>IFERROR(Y8/X8-1,0)</f>
        <v>0</v>
      </c>
      <c r="AD8" s="7">
        <f>IFERROR((Y8-X8)/Z8,0)</f>
        <v>0</v>
      </c>
      <c r="AE8" s="7">
        <f>AB8+AD8</f>
        <v>-0.000006731917405633066</v>
      </c>
      <c r="AF8" s="7">
        <f>(1+Q8)*(1+AE8)-1</f>
        <v>0.01743211431223579</v>
      </c>
      <c r="AG8" s="7">
        <f>G8-AF8</f>
        <v>-4.5102810375396984e-17</v>
      </c>
      <c r="AH8" s="5">
        <f>SUM(IF(BM8="lease",BW8,0),IF(CH8="lease",CR8,0),IF(DC8="lease",DM8,0),IF(DX8="lease",EH8,0),IF(ES8="lease",FC8,0),IF(FN8="lease",FX8,0),IF(GI8="lease",GS8,0),IF(HD8="lease",HN8,0),IF(HY8="lease",II8,0),IF(IT8="lease",JD8,0))</f>
        <v>0.01816612041049029</v>
      </c>
      <c r="AI8" s="5">
        <f>SUM(IF(BM8="keep",BW8,0),IF(CH8="keep",CR8,0),IF(DC8="keep",DM8,0),IF(DX8="keep",EH8,0),IF(ES8="keep",FC8,0),IF(FN8="keep",FX8,0),IF(GI8="keep",GS8,0),IF(HD8="keep",HN8,0),IF(HY8="keep",II8,0),IF(IT8="keep",JD8,0))</f>
        <v>0</v>
      </c>
      <c r="AJ8" s="5">
        <f>SUM(IF(BM8="lease",BX8,0),IF(CH8="lease",CS8,0),IF(DC8="lease",DN8,0),IF(DX8="lease",EI8,0),IF(ES8="lease",FD8,0),IF(FN8="lease",FY8,0),IF(GI8="lease",GT8,0),IF(HD8="lease",HO8,0),IF(HY8="lease",IJ8,0),IF(IT8="lease",JE8,0))</f>
        <v>0</v>
      </c>
      <c r="AK8" s="5">
        <f>SUM(IF(BM8="keep",BX8,0),IF(CH8="keep",CS8,0),IF(DC8="keep",DN8,0),IF(DX8="keep",EI8,0),IF(ES8="keep",FD8,0),IF(FN8="keep",FY8,0),IF(GI8="keep",GT8,0),IF(HD8="keep",HO8,0),IF(HY8="keep",IJ8,0),IF(IT8="keep",JE8,0))</f>
        <v>0</v>
      </c>
      <c r="AL8" s="5">
        <f>R8-S7</f>
        <v>0</v>
      </c>
      <c r="AM8" s="5">
        <f>T8-U7</f>
        <v>0</v>
      </c>
      <c r="AN8" s="5">
        <f>AN7</f>
        <v>1</v>
      </c>
      <c r="AO8" s="5">
        <f>AO7+AH8</f>
        <v>0.06027266498146856</v>
      </c>
      <c r="AP8" s="5">
        <f>AP7+AL8</f>
        <v>0</v>
      </c>
      <c r="AQ8" s="5">
        <f>AN8+AO8+AP8</f>
        <v>1.0602726649814687</v>
      </c>
      <c r="AR8" s="5">
        <f>S8-AQ8</f>
        <v>0</v>
      </c>
      <c r="AS8" s="5">
        <f>AS7</f>
        <v>0</v>
      </c>
      <c r="AT8" s="5">
        <f>AT7+AI8</f>
        <v>0</v>
      </c>
      <c r="AU8" s="5">
        <f>AU7+AM8</f>
        <v>0</v>
      </c>
      <c r="AV8" s="5">
        <f>AS8+AT8+AU8</f>
        <v>0</v>
      </c>
      <c r="AW8" s="5">
        <f>U8-AV8</f>
        <v>0</v>
      </c>
      <c r="AX8" s="4">
        <v>1.0421065445709783</v>
      </c>
      <c r="AY8" s="4">
        <v>1.0602726649814687</v>
      </c>
      <c r="AZ8" s="5">
        <f>S8-AY8</f>
        <v>0</v>
      </c>
      <c r="BA8" s="4">
        <v>0</v>
      </c>
      <c r="BB8" s="4">
        <v>0</v>
      </c>
      <c r="BC8" s="5">
        <f>U8-BB8</f>
        <v>0</v>
      </c>
      <c r="BD8" s="7">
        <f>SUM(IF(BL8="direct",CE8,0),IF(CG8="direct",CZ8,0),IF(DB8="direct",DU8,0),IF(DW8="direct",EP8,0),IF(ER8="direct",FK8,0),IF(FM8="direct",GF8,0),IF(GH8="direct",HA8,0),IF(HC8="direct",HV8,0),IF(HX8="direct",IQ8,0),IF(IS8="direct",JL8,0))</f>
        <v>0.017432114312235746</v>
      </c>
      <c r="BE8" s="7">
        <f>SUM(IF(BL8="treasury",CE8,0),IF(CG8="treasury",CZ8,0),IF(DB8="treasury",DU8,0),IF(DW8="treasury",EP8,0),IF(ER8="treasury",FK8,0),IF(FM8="treasury",GF8,0),IF(GH8="treasury",HA8,0),IF(HC8="treasury",HV8,0),IF(HX8="treasury",IQ8,0),IF(IS8="treasury",JL8,0))</f>
        <v>0</v>
      </c>
      <c r="BF8" s="7">
        <f>SUM(IF(BL8="future",CE8,0),IF(CG8="future",CZ8,0),IF(DB8="future",DU8,0),IF(DW8="future",EP8,0),IF(ER8="future",FK8,0),IF(FM8="future",GF8,0),IF(GH8="future",HA8,0),IF(HC8="future",HV8,0),IF(HX8="future",IQ8,0),IF(IS8="future",JL8,0))</f>
        <v>0</v>
      </c>
      <c r="BG8" s="7">
        <f>SUM(IF(BL8="cash",CE8,0),IF(CG8="cash",CZ8,0),IF(DB8="cash",DU8,0),IF(DW8="cash",EP8,0),IF(ER8="cash",FK8,0),IF(FM8="cash",GF8,0),IF(GH8="cash",HA8,0),IF(HC8="cash",HV8,0),IF(HX8="cash",IQ8,0),IF(IS8="cash",JL8,0))</f>
        <v>0</v>
      </c>
      <c r="BH8" s="7">
        <f>SUM(BD8:BG8)</f>
        <v>0.017432114312235746</v>
      </c>
      <c r="BI8" s="7">
        <f>G8-BH8</f>
        <v>0</v>
      </c>
      <c r="BJ8" s="9">
        <f>COUNTA(BK8,CF8,DA8,DV8,EQ8,FL8,GG8,HB8,HW8,IR8)</f>
        <v>3</v>
      </c>
      <c r="BK8" t="inlineStr">
        <is>
          <t xml:space="preserve">Direct commodity holding</t>
        </is>
      </c>
      <c r="BL8" t="inlineStr">
        <is>
          <t xml:space="preserve">direct</t>
        </is>
      </c>
      <c r="BM8" t="inlineStr">
        <is>
          <t xml:space="preserve">lease</t>
        </is>
      </c>
      <c r="BN8" t="inlineStr">
        <is>
          <t xml:space="preserve">long</t>
        </is>
      </c>
      <c r="BO8"/>
      <c r="BP8" s="4">
        <v>2.007</v>
      </c>
      <c r="BQ8" s="4">
        <v>2.042</v>
      </c>
      <c r="BR8" s="4">
        <v>0.5192359464728342</v>
      </c>
      <c r="BS8" s="6">
        <v>1</v>
      </c>
      <c r="BT8" s="4">
        <v>1.0421065445709783</v>
      </c>
      <c r="BU8" s="4">
        <v>1.0421065445709783</v>
      </c>
      <c r="BV8" s="4">
        <v>1.0602798026975273</v>
      </c>
      <c r="BW8" s="4">
        <v>0.01816612041049029</v>
      </c>
      <c r="BX8" s="4">
        <v>0.000007137716058730481</v>
      </c>
      <c r="BY8" s="4">
        <v>2.007</v>
      </c>
      <c r="BZ8" s="4">
        <v>2.042</v>
      </c>
      <c r="CA8" s="6"/>
      <c r="CB8" s="6"/>
      <c r="CC8" s="6"/>
      <c r="CD8" s="9"/>
      <c r="CE8" s="7">
        <f>IFERROR(BW8/F8,0)</f>
        <v>0.017432114312235746</v>
      </c>
      <c r="CF8" t="inlineStr">
        <is>
          <t xml:space="preserve">Lease cash / margin / financing</t>
        </is>
      </c>
      <c r="CG8" t="inlineStr">
        <is>
          <t xml:space="preserve">cash</t>
        </is>
      </c>
      <c r="CH8" t="inlineStr">
        <is>
          <t xml:space="preserve">lease</t>
        </is>
      </c>
      <c r="CI8" t="inlineStr">
        <is>
          <t xml:space="preserve">cash</t>
        </is>
      </c>
      <c r="CJ8"/>
      <c r="CK8" s="4">
        <v>1</v>
      </c>
      <c r="CL8" s="4">
        <v>1</v>
      </c>
      <c r="CM8" s="4">
        <v>0</v>
      </c>
      <c r="CN8" s="6"/>
      <c r="CO8" s="4">
        <v>0</v>
      </c>
      <c r="CP8" s="4">
        <v>0</v>
      </c>
      <c r="CQ8" s="4">
        <v>-0.000007137716058730481</v>
      </c>
      <c r="CR8" s="4">
        <v>0</v>
      </c>
      <c r="CS8" s="4">
        <v>-0.000007137716058730481</v>
      </c>
      <c r="CT8" s="4">
        <v>2.007</v>
      </c>
      <c r="CU8" s="4">
        <v>2.042</v>
      </c>
      <c r="CV8" s="6"/>
      <c r="CW8" s="6"/>
      <c r="CX8" s="6"/>
      <c r="CY8" s="9"/>
      <c r="CZ8" s="7">
        <f>IFERROR(CR8/F8,0)</f>
        <v>0</v>
      </c>
      <c r="DA8" t="inlineStr">
        <is>
          <t xml:space="preserve">Keep cash / margin / financing</t>
        </is>
      </c>
      <c r="DB8" t="inlineStr">
        <is>
          <t xml:space="preserve">cash</t>
        </is>
      </c>
      <c r="DC8" t="inlineStr">
        <is>
          <t xml:space="preserve">keep</t>
        </is>
      </c>
      <c r="DD8" t="inlineStr">
        <is>
          <t xml:space="preserve">cash</t>
        </is>
      </c>
      <c r="DE8"/>
      <c r="DF8" s="4">
        <v>1</v>
      </c>
      <c r="DG8" s="4">
        <v>1</v>
      </c>
      <c r="DH8" s="4">
        <v>0</v>
      </c>
      <c r="DI8" s="6"/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2.007</v>
      </c>
      <c r="DP8" s="4">
        <v>2.042</v>
      </c>
      <c r="DQ8" s="6"/>
      <c r="DR8" s="6"/>
      <c r="DS8" s="6"/>
      <c r="DT8" s="9"/>
      <c r="DU8" s="7">
        <f>IFERROR(DM8/F8,0)</f>
        <v>0</v>
      </c>
      <c r="DV8"/>
      <c r="DW8"/>
      <c r="DX8"/>
      <c r="DY8"/>
      <c r="DZ8"/>
      <c r="EA8" s="4"/>
      <c r="EB8" s="4"/>
      <c r="EC8" s="4"/>
      <c r="ED8" s="6"/>
      <c r="EE8" s="4"/>
      <c r="EF8" s="4"/>
      <c r="EG8" s="4"/>
      <c r="EH8" s="4"/>
      <c r="EI8" s="4"/>
      <c r="EJ8" s="4"/>
      <c r="EK8" s="4"/>
      <c r="EL8" s="6"/>
      <c r="EM8" s="6"/>
      <c r="EN8" s="6"/>
      <c r="EO8" s="9"/>
      <c r="EP8"/>
      <c r="EQ8"/>
      <c r="ER8"/>
      <c r="ES8"/>
      <c r="ET8"/>
      <c r="EU8"/>
      <c r="EV8" s="4"/>
      <c r="EW8" s="4"/>
      <c r="EX8" s="4"/>
      <c r="EY8" s="6"/>
      <c r="EZ8" s="4"/>
      <c r="FA8" s="4"/>
      <c r="FB8" s="4"/>
      <c r="FC8" s="4"/>
      <c r="FD8" s="4"/>
      <c r="FE8" s="4"/>
      <c r="FF8" s="4"/>
      <c r="FG8" s="6"/>
      <c r="FH8" s="6"/>
      <c r="FI8" s="6"/>
      <c r="FJ8" s="9"/>
      <c r="FK8"/>
      <c r="FL8"/>
      <c r="FM8"/>
      <c r="FN8"/>
      <c r="FO8"/>
      <c r="FP8"/>
      <c r="FQ8" s="4"/>
      <c r="FR8" s="4"/>
      <c r="FS8" s="4"/>
      <c r="FT8" s="6"/>
      <c r="FU8" s="4"/>
      <c r="FV8" s="4"/>
      <c r="FW8" s="4"/>
      <c r="FX8" s="4"/>
      <c r="FY8" s="4"/>
      <c r="FZ8" s="4"/>
      <c r="GA8" s="4"/>
      <c r="GB8" s="6"/>
      <c r="GC8" s="6"/>
      <c r="GD8" s="6"/>
      <c r="GE8" s="9"/>
      <c r="GF8"/>
      <c r="GG8"/>
      <c r="GH8"/>
      <c r="GI8"/>
      <c r="GJ8"/>
      <c r="GK8"/>
      <c r="GL8" s="4"/>
      <c r="GM8" s="4"/>
      <c r="GN8" s="4"/>
      <c r="GO8" s="6"/>
      <c r="GP8" s="4"/>
      <c r="GQ8" s="4"/>
      <c r="GR8" s="4"/>
      <c r="GS8" s="4"/>
      <c r="GT8" s="4"/>
      <c r="GU8" s="4"/>
      <c r="GV8" s="4"/>
      <c r="GW8" s="6"/>
      <c r="GX8" s="6"/>
      <c r="GY8" s="6"/>
      <c r="GZ8" s="9"/>
      <c r="HA8"/>
      <c r="HB8"/>
      <c r="HC8"/>
      <c r="HD8"/>
      <c r="HE8"/>
      <c r="HF8"/>
      <c r="HG8" s="4"/>
      <c r="HH8" s="4"/>
      <c r="HI8" s="4"/>
      <c r="HJ8" s="6"/>
      <c r="HK8" s="4"/>
      <c r="HL8" s="4"/>
      <c r="HM8" s="4"/>
      <c r="HN8" s="4"/>
      <c r="HO8" s="4"/>
      <c r="HP8" s="4"/>
      <c r="HQ8" s="4"/>
      <c r="HR8" s="6"/>
      <c r="HS8" s="6"/>
      <c r="HT8" s="6"/>
      <c r="HU8" s="9"/>
      <c r="HV8"/>
      <c r="HW8"/>
      <c r="HX8"/>
      <c r="HY8"/>
      <c r="HZ8"/>
      <c r="IA8"/>
      <c r="IB8" s="4"/>
      <c r="IC8" s="4"/>
      <c r="ID8" s="4"/>
      <c r="IE8" s="6"/>
      <c r="IF8" s="4"/>
      <c r="IG8" s="4"/>
      <c r="IH8" s="4"/>
      <c r="II8" s="4"/>
      <c r="IJ8" s="4"/>
      <c r="IK8" s="4"/>
      <c r="IL8" s="4"/>
      <c r="IM8" s="6"/>
      <c r="IN8" s="6"/>
      <c r="IO8" s="6"/>
      <c r="IP8" s="9"/>
      <c r="IQ8"/>
      <c r="IR8"/>
      <c r="IS8"/>
      <c r="IT8"/>
      <c r="IU8"/>
      <c r="IV8"/>
      <c r="IW8" s="4"/>
      <c r="IX8" s="4"/>
      <c r="IY8" s="4"/>
      <c r="IZ8" s="6"/>
      <c r="JA8" s="4"/>
      <c r="JB8" s="4"/>
      <c r="JC8" s="4"/>
      <c r="JD8" s="4"/>
      <c r="JE8" s="4"/>
      <c r="JF8" s="4"/>
      <c r="JG8" s="4"/>
      <c r="JH8" s="6"/>
      <c r="JI8" s="6"/>
      <c r="JJ8" s="6"/>
      <c r="JK8" s="9"/>
      <c r="JL8"/>
    </row>
    <row r="9">
      <c r="A9" s="8">
        <v>25213</v>
      </c>
      <c r="B9" s="8">
        <v>25216</v>
      </c>
      <c r="C9" s="9">
        <f>B9-A9</f>
        <v>3</v>
      </c>
      <c r="D9" s="8">
        <v>25213</v>
      </c>
      <c r="E9" t="inlineStr">
        <is>
          <t xml:space="preserve">positive</t>
        </is>
      </c>
      <c r="F9" s="4">
        <v>1.0602726649814687</v>
      </c>
      <c r="G9" s="6">
        <v>-0.001997808219178029</v>
      </c>
      <c r="H9" s="7">
        <f>SUM(CE9,CZ9,DU9,EP9,FK9,GF9,HA9,HV9,IQ9,JL9)</f>
        <v>-0.0019978082191780284</v>
      </c>
      <c r="I9" s="7">
        <f>G9-H9</f>
        <v>-4.336808689942018e-19</v>
      </c>
      <c r="J9" s="5">
        <f>F9*(1+H9)</f>
        <v>1.0581544435367989</v>
      </c>
      <c r="K9" s="4">
        <v>1.0581544435367989</v>
      </c>
      <c r="L9" s="5">
        <f>K9-J9</f>
        <v>0</v>
      </c>
      <c r="M9" s="4">
        <v>2.042</v>
      </c>
      <c r="N9" s="4">
        <v>2.016</v>
      </c>
      <c r="O9" s="5">
        <f>M9/$M$3</f>
        <v>1.0429009193054135</v>
      </c>
      <c r="P9" s="5">
        <f>N9/$M$3</f>
        <v>1.0296220633299284</v>
      </c>
      <c r="Q9" s="7">
        <f>IFERROR(N9/M9-1,0)</f>
        <v>-0.01273261508325163</v>
      </c>
      <c r="R9" s="5">
        <f>SUM(IF(BM9="lease",BU9,0),IF(CH9="lease",CP9,0),IF(DC9="lease",DK9,0),IF(DX9="lease",EF9,0),IF(ES9="lease",FA9,0),IF(FN9="lease",FV9,0),IF(GI9="lease",GQ9,0),IF(HD9="lease",HL9,0),IF(HY9="lease",IG9,0),IF(IT9="lease",JB9,0))</f>
        <v>1.0602726649814687</v>
      </c>
      <c r="S9" s="5">
        <f>SUM(IF(BM9="lease",BV9,0),IF(CH9="lease",CQ9,0),IF(DC9="lease",DL9,0),IF(DX9="lease",EG9,0),IF(ES9="lease",FB9,0),IF(FN9="lease",FW9,0),IF(GI9="lease",GR9,0),IF(HD9="lease",HM9,0),IF(HY9="lease",IH9,0),IF(IT9="lease",JC9,0))</f>
        <v>1.0581544435367989</v>
      </c>
      <c r="T9" s="5">
        <f>SUM(IF(BM9="keep",BU9,0),IF(CH9="keep",CP9,0),IF(DC9="keep",DK9,0),IF(DX9="keep",EF9,0),IF(ES9="keep",FA9,0),IF(FN9="keep",FV9,0),IF(GI9="keep",GQ9,0),IF(HD9="keep",HL9,0),IF(HY9="keep",IG9,0),IF(IT9="keep",JB9,0))</f>
        <v>0</v>
      </c>
      <c r="U9" s="5">
        <f>SUM(IF(BM9="keep",BV9,0),IF(CH9="keep",CQ9,0),IF(DC9="keep",DL9,0),IF(DX9="keep",EG9,0),IF(ES9="keep",FB9,0),IF(FN9="keep",FW9,0),IF(GI9="keep",GR9,0),IF(HD9="keep",HM9,0),IF(HY9="keep",IH9,0),IF(IT9="keep",JC9,0))</f>
        <v>0</v>
      </c>
      <c r="V9" s="5">
        <f>R9/O9</f>
        <v>1.0166571390958452</v>
      </c>
      <c r="W9" s="5">
        <f>S9/P9</f>
        <v>1.027711508157268</v>
      </c>
      <c r="X9" s="5">
        <f>T9/O9</f>
        <v>0</v>
      </c>
      <c r="Y9" s="5">
        <f>U9/P9</f>
        <v>0</v>
      </c>
      <c r="Z9" s="5">
        <f>V9+X9</f>
        <v>1.0166571390958452</v>
      </c>
      <c r="AA9" s="7">
        <f>IFERROR(W9/V9-1,0)</f>
        <v>0.010873251793868333</v>
      </c>
      <c r="AB9" s="7">
        <f>IFERROR((W9-V9)/Z9,0)</f>
        <v>0.010873251793868263</v>
      </c>
      <c r="AC9" s="7">
        <f>IFERROR(Y9/X9-1,0)</f>
        <v>0</v>
      </c>
      <c r="AD9" s="7">
        <f>IFERROR((Y9-X9)/Z9,0)</f>
        <v>0</v>
      </c>
      <c r="AE9" s="7">
        <f>AB9+AD9</f>
        <v>0.010873251793868263</v>
      </c>
      <c r="AF9" s="7">
        <f>(1+Q9)*(1+AE9)-1</f>
        <v>-0.0019978082191779434</v>
      </c>
      <c r="AG9" s="7">
        <f>G9-AF9</f>
        <v>-8.543513119185775e-17</v>
      </c>
      <c r="AH9" s="5">
        <f>SUM(IF(BM9="lease",BW9,0),IF(CH9="lease",CR9,0),IF(DC9="lease",DM9,0),IF(DX9="lease",EH9,0),IF(ES9="lease",FC9,0),IF(FN9="lease",FX9,0),IF(GI9="lease",GS9,0),IF(HD9="lease",HN9,0),IF(HY9="lease",II9,0),IF(IT9="lease",JD9,0))</f>
        <v>-0.00211822144466977</v>
      </c>
      <c r="AI9" s="5">
        <f>SUM(IF(BM9="keep",BW9,0),IF(CH9="keep",CR9,0),IF(DC9="keep",DM9,0),IF(DX9="keep",EH9,0),IF(ES9="keep",FC9,0),IF(FN9="keep",FX9,0),IF(GI9="keep",GS9,0),IF(HD9="keep",HN9,0),IF(HY9="keep",II9,0),IF(IT9="keep",JD9,0))</f>
        <v>0</v>
      </c>
      <c r="AJ9" s="5">
        <f>SUM(IF(BM9="lease",BX9,0),IF(CH9="lease",CS9,0),IF(DC9="lease",DN9,0),IF(DX9="lease",EI9,0),IF(ES9="lease",FD9,0),IF(FN9="lease",FY9,0),IF(GI9="lease",GT9,0),IF(HD9="lease",HO9,0),IF(HY9="lease",IJ9,0),IF(IT9="lease",JE9,0))</f>
        <v>0</v>
      </c>
      <c r="AK9" s="5">
        <f>SUM(IF(BM9="keep",BX9,0),IF(CH9="keep",CS9,0),IF(DC9="keep",DN9,0),IF(DX9="keep",EI9,0),IF(ES9="keep",FD9,0),IF(FN9="keep",FY9,0),IF(GI9="keep",GT9,0),IF(HD9="keep",HO9,0),IF(HY9="keep",IJ9,0),IF(IT9="keep",JE9,0))</f>
        <v>0</v>
      </c>
      <c r="AL9" s="5">
        <f>R9-S8</f>
        <v>0</v>
      </c>
      <c r="AM9" s="5">
        <f>T9-U8</f>
        <v>0</v>
      </c>
      <c r="AN9" s="5">
        <f>AN8</f>
        <v>1</v>
      </c>
      <c r="AO9" s="5">
        <f>AO8+AH9</f>
        <v>0.05815444353679879</v>
      </c>
      <c r="AP9" s="5">
        <f>AP8+AL9</f>
        <v>0</v>
      </c>
      <c r="AQ9" s="5">
        <f>AN9+AO9+AP9</f>
        <v>1.0581544435367989</v>
      </c>
      <c r="AR9" s="5">
        <f>S9-AQ9</f>
        <v>0</v>
      </c>
      <c r="AS9" s="5">
        <f>AS8</f>
        <v>0</v>
      </c>
      <c r="AT9" s="5">
        <f>AT8+AI9</f>
        <v>0</v>
      </c>
      <c r="AU9" s="5">
        <f>AU8+AM9</f>
        <v>0</v>
      </c>
      <c r="AV9" s="5">
        <f>AS9+AT9+AU9</f>
        <v>0</v>
      </c>
      <c r="AW9" s="5">
        <f>U9-AV9</f>
        <v>0</v>
      </c>
      <c r="AX9" s="4">
        <v>1.0602726649814687</v>
      </c>
      <c r="AY9" s="4">
        <v>1.0581544435367989</v>
      </c>
      <c r="AZ9" s="5">
        <f>S9-AY9</f>
        <v>0</v>
      </c>
      <c r="BA9" s="4">
        <v>0</v>
      </c>
      <c r="BB9" s="4">
        <v>0</v>
      </c>
      <c r="BC9" s="5">
        <f>U9-BB9</f>
        <v>0</v>
      </c>
      <c r="BD9" s="7">
        <f>SUM(IF(BL9="direct",CE9,0),IF(CG9="direct",CZ9,0),IF(DB9="direct",DU9,0),IF(DW9="direct",EP9,0),IF(ER9="direct",FK9,0),IF(FM9="direct",GF9,0),IF(GH9="direct",HA9,0),IF(HC9="direct",HV9,0),IF(HX9="direct",IQ9,0),IF(IS9="direct",JL9,0))</f>
        <v>0</v>
      </c>
      <c r="BE9" s="7">
        <f>SUM(IF(BL9="treasury",CE9,0),IF(CG9="treasury",CZ9,0),IF(DB9="treasury",DU9,0),IF(DW9="treasury",EP9,0),IF(ER9="treasury",FK9,0),IF(FM9="treasury",GF9,0),IF(GH9="treasury",HA9,0),IF(HC9="treasury",HV9,0),IF(HX9="treasury",IQ9,0),IF(IS9="treasury",JL9,0))</f>
        <v>0.0005021917808219179</v>
      </c>
      <c r="BF9" s="7">
        <f>SUM(IF(BL9="future",CE9,0),IF(CG9="future",CZ9,0),IF(DB9="future",DU9,0),IF(DW9="future",EP9,0),IF(ER9="future",FK9,0),IF(FM9="future",GF9,0),IF(GH9="future",HA9,0),IF(HC9="future",HV9,0),IF(HX9="future",IQ9,0),IF(IS9="future",JL9,0))</f>
        <v>-0.0024999999999999463</v>
      </c>
      <c r="BG9" s="7">
        <f>SUM(IF(BL9="cash",CE9,0),IF(CG9="cash",CZ9,0),IF(DB9="cash",DU9,0),IF(DW9="cash",EP9,0),IF(ER9="cash",FK9,0),IF(FM9="cash",GF9,0),IF(GH9="cash",HA9,0),IF(HC9="cash",HV9,0),IF(HX9="cash",IQ9,0),IF(IS9="cash",JL9,0))</f>
        <v>0</v>
      </c>
      <c r="BH9" s="7">
        <f>SUM(BD9:BG9)</f>
        <v>-0.0019978082191780284</v>
      </c>
      <c r="BI9" s="7">
        <f>G9-BH9</f>
        <v>-4.336808689942018e-19</v>
      </c>
      <c r="BJ9" s="9">
        <f>COUNTA(BK9,CF9,DA9,DV9,EQ9,FL9,GG9,HB9,HW9,IR9)</f>
        <v>4</v>
      </c>
      <c r="BK9" t="inlineStr">
        <is>
          <t xml:space="preserve">Treasury collateral</t>
        </is>
      </c>
      <c r="BL9" t="inlineStr">
        <is>
          <t xml:space="preserve">treasury</t>
        </is>
      </c>
      <c r="BM9" t="inlineStr">
        <is>
          <t xml:space="preserve">lease</t>
        </is>
      </c>
      <c r="BN9" t="inlineStr">
        <is>
          <t xml:space="preserve">long</t>
        </is>
      </c>
      <c r="BO9"/>
      <c r="BP9" s="4">
        <v>100.1351398656194</v>
      </c>
      <c r="BQ9" s="4">
        <v>100.18542690983136</v>
      </c>
      <c r="BR9" s="4">
        <v>0.0105884174766655</v>
      </c>
      <c r="BS9" s="6">
        <v>1</v>
      </c>
      <c r="BT9" s="4">
        <v>1.0602726649814687</v>
      </c>
      <c r="BU9" s="4">
        <v>1.0602726649814687</v>
      </c>
      <c r="BV9" s="4">
        <v>1.0608051251992525</v>
      </c>
      <c r="BW9" s="4">
        <v>0.0005324602177838445</v>
      </c>
      <c r="BX9" s="4">
        <v>1.441988889405721e-17</v>
      </c>
      <c r="BY9" s="4">
        <v>2.042</v>
      </c>
      <c r="BZ9" s="4">
        <v>2.016</v>
      </c>
      <c r="CA9" s="6"/>
      <c r="CB9" s="6"/>
      <c r="CC9" s="6"/>
      <c r="CD9" s="9">
        <v>19</v>
      </c>
      <c r="CE9" s="7">
        <f>IFERROR(BW9/F9,0)</f>
        <v>0.0005021917808219179</v>
      </c>
      <c r="CF9" t="inlineStr">
        <is>
          <t xml:space="preserve">SI69F</t>
        </is>
      </c>
      <c r="CG9" t="inlineStr">
        <is>
          <t xml:space="preserve">future</t>
        </is>
      </c>
      <c r="CH9" t="inlineStr">
        <is>
          <t xml:space="preserve">lease</t>
        </is>
      </c>
      <c r="CI9" t="inlineStr">
        <is>
          <t xml:space="preserve">long</t>
        </is>
      </c>
      <c r="CJ9" t="inlineStr">
        <is>
          <t xml:space="preserve">regular</t>
        </is>
      </c>
      <c r="CK9" s="4">
        <v>2</v>
      </c>
      <c r="CL9" s="4">
        <v>1.995</v>
      </c>
      <c r="CM9" s="4">
        <v>0.5301363324907342</v>
      </c>
      <c r="CN9" s="6">
        <v>0.9999999999999999</v>
      </c>
      <c r="CO9" s="4">
        <v>1.0602726649814684</v>
      </c>
      <c r="CP9" s="4">
        <v>0</v>
      </c>
      <c r="CQ9" s="4">
        <v>0</v>
      </c>
      <c r="CR9" s="4">
        <v>-0.0026506816624536148</v>
      </c>
      <c r="CS9" s="4">
        <v>0.0026506816624536148</v>
      </c>
      <c r="CT9" s="4">
        <v>2.042</v>
      </c>
      <c r="CU9" s="4">
        <v>2.016</v>
      </c>
      <c r="CV9" s="6">
        <v>-0.020568070519098813</v>
      </c>
      <c r="CW9" s="6">
        <v>0.0611</v>
      </c>
      <c r="CX9" s="6">
        <v>0.45622345997216146</v>
      </c>
      <c r="CY9" s="9">
        <v>19</v>
      </c>
      <c r="CZ9" s="7">
        <f>IFERROR(CR9/F9,0)</f>
        <v>-0.0024999999999999463</v>
      </c>
      <c r="DA9" t="inlineStr">
        <is>
          <t xml:space="preserve">Lease cash / margin / financing</t>
        </is>
      </c>
      <c r="DB9" t="inlineStr">
        <is>
          <t xml:space="preserve">cash</t>
        </is>
      </c>
      <c r="DC9" t="inlineStr">
        <is>
          <t xml:space="preserve">lease</t>
        </is>
      </c>
      <c r="DD9" t="inlineStr">
        <is>
          <t xml:space="preserve">cash</t>
        </is>
      </c>
      <c r="DE9"/>
      <c r="DF9" s="4">
        <v>1</v>
      </c>
      <c r="DG9" s="4">
        <v>1</v>
      </c>
      <c r="DH9" s="4">
        <v>0</v>
      </c>
      <c r="DI9" s="6"/>
      <c r="DJ9" s="4">
        <v>0</v>
      </c>
      <c r="DK9" s="4">
        <v>0</v>
      </c>
      <c r="DL9" s="4">
        <v>-0.002650681662453629</v>
      </c>
      <c r="DM9" s="4">
        <v>0</v>
      </c>
      <c r="DN9" s="4">
        <v>-0.002650681662453629</v>
      </c>
      <c r="DO9" s="4">
        <v>2.042</v>
      </c>
      <c r="DP9" s="4">
        <v>2.016</v>
      </c>
      <c r="DQ9" s="6"/>
      <c r="DR9" s="6"/>
      <c r="DS9" s="6"/>
      <c r="DT9" s="9"/>
      <c r="DU9" s="7">
        <f>IFERROR(DM9/F9,0)</f>
        <v>0</v>
      </c>
      <c r="DV9" t="inlineStr">
        <is>
          <t xml:space="preserve">Keep cash / margin / financing</t>
        </is>
      </c>
      <c r="DW9" t="inlineStr">
        <is>
          <t xml:space="preserve">cash</t>
        </is>
      </c>
      <c r="DX9" t="inlineStr">
        <is>
          <t xml:space="preserve">keep</t>
        </is>
      </c>
      <c r="DY9" t="inlineStr">
        <is>
          <t xml:space="preserve">cash</t>
        </is>
      </c>
      <c r="DZ9"/>
      <c r="EA9" s="4">
        <v>1</v>
      </c>
      <c r="EB9" s="4">
        <v>1</v>
      </c>
      <c r="EC9" s="4">
        <v>0</v>
      </c>
      <c r="ED9" s="6"/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2.042</v>
      </c>
      <c r="EK9" s="4">
        <v>2.016</v>
      </c>
      <c r="EL9" s="6"/>
      <c r="EM9" s="6"/>
      <c r="EN9" s="6"/>
      <c r="EO9" s="9"/>
      <c r="EP9" s="7">
        <f>IFERROR(EH9/F9,0)</f>
        <v>0</v>
      </c>
      <c r="EQ9"/>
      <c r="ER9"/>
      <c r="ES9"/>
      <c r="ET9"/>
      <c r="EU9"/>
      <c r="EV9" s="4"/>
      <c r="EW9" s="4"/>
      <c r="EX9" s="4"/>
      <c r="EY9" s="6"/>
      <c r="EZ9" s="4"/>
      <c r="FA9" s="4"/>
      <c r="FB9" s="4"/>
      <c r="FC9" s="4"/>
      <c r="FD9" s="4"/>
      <c r="FE9" s="4"/>
      <c r="FF9" s="4"/>
      <c r="FG9" s="6"/>
      <c r="FH9" s="6"/>
      <c r="FI9" s="6"/>
      <c r="FJ9" s="9"/>
      <c r="FK9"/>
      <c r="FL9"/>
      <c r="FM9"/>
      <c r="FN9"/>
      <c r="FO9"/>
      <c r="FP9"/>
      <c r="FQ9" s="4"/>
      <c r="FR9" s="4"/>
      <c r="FS9" s="4"/>
      <c r="FT9" s="6"/>
      <c r="FU9" s="4"/>
      <c r="FV9" s="4"/>
      <c r="FW9" s="4"/>
      <c r="FX9" s="4"/>
      <c r="FY9" s="4"/>
      <c r="FZ9" s="4"/>
      <c r="GA9" s="4"/>
      <c r="GB9" s="6"/>
      <c r="GC9" s="6"/>
      <c r="GD9" s="6"/>
      <c r="GE9" s="9"/>
      <c r="GF9"/>
      <c r="GG9"/>
      <c r="GH9"/>
      <c r="GI9"/>
      <c r="GJ9"/>
      <c r="GK9"/>
      <c r="GL9" s="4"/>
      <c r="GM9" s="4"/>
      <c r="GN9" s="4"/>
      <c r="GO9" s="6"/>
      <c r="GP9" s="4"/>
      <c r="GQ9" s="4"/>
      <c r="GR9" s="4"/>
      <c r="GS9" s="4"/>
      <c r="GT9" s="4"/>
      <c r="GU9" s="4"/>
      <c r="GV9" s="4"/>
      <c r="GW9" s="6"/>
      <c r="GX9" s="6"/>
      <c r="GY9" s="6"/>
      <c r="GZ9" s="9"/>
      <c r="HA9"/>
      <c r="HB9"/>
      <c r="HC9"/>
      <c r="HD9"/>
      <c r="HE9"/>
      <c r="HF9"/>
      <c r="HG9" s="4"/>
      <c r="HH9" s="4"/>
      <c r="HI9" s="4"/>
      <c r="HJ9" s="6"/>
      <c r="HK9" s="4"/>
      <c r="HL9" s="4"/>
      <c r="HM9" s="4"/>
      <c r="HN9" s="4"/>
      <c r="HO9" s="4"/>
      <c r="HP9" s="4"/>
      <c r="HQ9" s="4"/>
      <c r="HR9" s="6"/>
      <c r="HS9" s="6"/>
      <c r="HT9" s="6"/>
      <c r="HU9" s="9"/>
      <c r="HV9"/>
      <c r="HW9"/>
      <c r="HX9"/>
      <c r="HY9"/>
      <c r="HZ9"/>
      <c r="IA9"/>
      <c r="IB9" s="4"/>
      <c r="IC9" s="4"/>
      <c r="ID9" s="4"/>
      <c r="IE9" s="6"/>
      <c r="IF9" s="4"/>
      <c r="IG9" s="4"/>
      <c r="IH9" s="4"/>
      <c r="II9" s="4"/>
      <c r="IJ9" s="4"/>
      <c r="IK9" s="4"/>
      <c r="IL9" s="4"/>
      <c r="IM9" s="6"/>
      <c r="IN9" s="6"/>
      <c r="IO9" s="6"/>
      <c r="IP9" s="9"/>
      <c r="IQ9"/>
      <c r="IR9"/>
      <c r="IS9"/>
      <c r="IT9"/>
      <c r="IU9"/>
      <c r="IV9"/>
      <c r="IW9" s="4"/>
      <c r="IX9" s="4"/>
      <c r="IY9" s="4"/>
      <c r="IZ9" s="6"/>
      <c r="JA9" s="4"/>
      <c r="JB9" s="4"/>
      <c r="JC9" s="4"/>
      <c r="JD9" s="4"/>
      <c r="JE9" s="4"/>
      <c r="JF9" s="4"/>
      <c r="JG9" s="4"/>
      <c r="JH9" s="6"/>
      <c r="JI9" s="6"/>
      <c r="JJ9" s="6"/>
      <c r="JK9" s="9"/>
      <c r="JL9"/>
    </row>
    <row r="10">
      <c r="A10" s="8">
        <v>25216</v>
      </c>
      <c r="B10" s="8">
        <v>25217</v>
      </c>
      <c r="C10" s="9">
        <f>B10-A10</f>
        <v>1</v>
      </c>
      <c r="D10" s="8">
        <v>25216</v>
      </c>
      <c r="E10" t="inlineStr">
        <is>
          <t xml:space="preserve">positive</t>
        </is>
      </c>
      <c r="F10" s="4">
        <v>1.0581544435367989</v>
      </c>
      <c r="G10" s="6">
        <v>0.008689248463624715</v>
      </c>
      <c r="H10" s="7">
        <f>SUM(CE10,CZ10,DU10,EP10,FK10,GF10,HA10,HV10,IQ10,JL10)</f>
        <v>0.008689248463624713</v>
      </c>
      <c r="I10" s="7">
        <f>G10-H10</f>
        <v>1.734723475976807e-18</v>
      </c>
      <c r="J10" s="5">
        <f>F10*(1+H10)</f>
        <v>1.0673490104095786</v>
      </c>
      <c r="K10" s="4">
        <v>1.0673490104095786</v>
      </c>
      <c r="L10" s="5">
        <f>K10-J10</f>
        <v>0</v>
      </c>
      <c r="M10" s="4">
        <v>2.016</v>
      </c>
      <c r="N10" s="4">
        <v>2.027</v>
      </c>
      <c r="O10" s="5">
        <f>M10/$M$3</f>
        <v>1.0296220633299284</v>
      </c>
      <c r="P10" s="5">
        <f>N10/$M$3</f>
        <v>1.0352400408580185</v>
      </c>
      <c r="Q10" s="7">
        <f>IFERROR(N10/M10-1,0)</f>
        <v>0.005456349206349298</v>
      </c>
      <c r="R10" s="5">
        <f>SUM(IF(BM10="lease",BU10,0),IF(CH10="lease",CP10,0),IF(DC10="lease",DK10,0),IF(DX10="lease",EF10,0),IF(ES10="lease",FA10,0),IF(FN10="lease",FV10,0),IF(GI10="lease",GQ10,0),IF(HD10="lease",HL10,0),IF(HY10="lease",IG10,0),IF(IT10="lease",JB10,0))</f>
        <v>1.0581544435367989</v>
      </c>
      <c r="S10" s="5">
        <f>SUM(IF(BM10="lease",BV10,0),IF(CH10="lease",CQ10,0),IF(DC10="lease",DL10,0),IF(DX10="lease",EG10,0),IF(ES10="lease",FB10,0),IF(FN10="lease",FW10,0),IF(GI10="lease",GR10,0),IF(HD10="lease",HM10,0),IF(HY10="lease",IH10,0),IF(IT10="lease",JC10,0))</f>
        <v>1.0673490104095786</v>
      </c>
      <c r="T10" s="5">
        <f>SUM(IF(BM10="keep",BU10,0),IF(CH10="keep",CP10,0),IF(DC10="keep",DK10,0),IF(DX10="keep",EF10,0),IF(ES10="keep",FA10,0),IF(FN10="keep",FV10,0),IF(GI10="keep",GQ10,0),IF(HD10="keep",HL10,0),IF(HY10="keep",IG10,0),IF(IT10="keep",JB10,0))</f>
        <v>0</v>
      </c>
      <c r="U10" s="5">
        <f>SUM(IF(BM10="keep",BV10,0),IF(CH10="keep",CQ10,0),IF(DC10="keep",DL10,0),IF(DX10="keep",EG10,0),IF(ES10="keep",FB10,0),IF(FN10="keep",FW10,0),IF(GI10="keep",GR10,0),IF(HD10="keep",HM10,0),IF(HY10="keep",IH10,0),IF(IT10="keep",JC10,0))</f>
        <v>0</v>
      </c>
      <c r="V10" s="5">
        <f>R10/O10</f>
        <v>1.027711508157268</v>
      </c>
      <c r="W10" s="5">
        <f>S10/P10</f>
        <v>1.0310159656546398</v>
      </c>
      <c r="X10" s="5">
        <f>T10/O10</f>
        <v>0</v>
      </c>
      <c r="Y10" s="5">
        <f>U10/P10</f>
        <v>0</v>
      </c>
      <c r="Z10" s="5">
        <f>V10+X10</f>
        <v>1.027711508157268</v>
      </c>
      <c r="AA10" s="7">
        <f>IFERROR(W10/V10-1,0)</f>
        <v>0.0032153551567177807</v>
      </c>
      <c r="AB10" s="7">
        <f>IFERROR((W10-V10)/Z10,0)</f>
        <v>0.0032153551567178375</v>
      </c>
      <c r="AC10" s="7">
        <f>IFERROR(Y10/X10-1,0)</f>
        <v>0</v>
      </c>
      <c r="AD10" s="7">
        <f>IFERROR((Y10-X10)/Z10,0)</f>
        <v>0</v>
      </c>
      <c r="AE10" s="7">
        <f>AB10+AD10</f>
        <v>0.0032153551567178375</v>
      </c>
      <c r="AF10" s="7">
        <f>(1+Q10)*(1+AE10)-1</f>
        <v>0.00868924846362451</v>
      </c>
      <c r="AG10" s="7">
        <f>G10-AF10</f>
        <v>2.0469737016526324e-16</v>
      </c>
      <c r="AH10" s="5">
        <f>SUM(IF(BM10="lease",BW10,0),IF(CH10="lease",CR10,0),IF(DC10="lease",DM10,0),IF(DX10="lease",EH10,0),IF(ES10="lease",FC10,0),IF(FN10="lease",FX10,0),IF(GI10="lease",GS10,0),IF(HD10="lease",HN10,0),IF(HY10="lease",II10,0),IF(IT10="lease",JD10,0))</f>
        <v>0.009194566872779792</v>
      </c>
      <c r="AI10" s="5">
        <f>SUM(IF(BM10="keep",BW10,0),IF(CH10="keep",CR10,0),IF(DC10="keep",DM10,0),IF(DX10="keep",EH10,0),IF(ES10="keep",FC10,0),IF(FN10="keep",FX10,0),IF(GI10="keep",GS10,0),IF(HD10="keep",HN10,0),IF(HY10="keep",II10,0),IF(IT10="keep",JD10,0))</f>
        <v>0</v>
      </c>
      <c r="AJ10" s="5">
        <f>SUM(IF(BM10="lease",BX10,0),IF(CH10="lease",CS10,0),IF(DC10="lease",DN10,0),IF(DX10="lease",EI10,0),IF(ES10="lease",FD10,0),IF(FN10="lease",FY10,0),IF(GI10="lease",GT10,0),IF(HD10="lease",HO10,0),IF(HY10="lease",IJ10,0),IF(IT10="lease",JE10,0))</f>
        <v>0</v>
      </c>
      <c r="AK10" s="5">
        <f>SUM(IF(BM10="keep",BX10,0),IF(CH10="keep",CS10,0),IF(DC10="keep",DN10,0),IF(DX10="keep",EI10,0),IF(ES10="keep",FD10,0),IF(FN10="keep",FY10,0),IF(GI10="keep",GT10,0),IF(HD10="keep",HO10,0),IF(HY10="keep",IJ10,0),IF(IT10="keep",JE10,0))</f>
        <v>0</v>
      </c>
      <c r="AL10" s="5">
        <f>R10-S9</f>
        <v>0</v>
      </c>
      <c r="AM10" s="5">
        <f>T10-U9</f>
        <v>0</v>
      </c>
      <c r="AN10" s="5">
        <f>AN9</f>
        <v>1</v>
      </c>
      <c r="AO10" s="5">
        <f>AO9+AH10</f>
        <v>0.06734901040957858</v>
      </c>
      <c r="AP10" s="5">
        <f>AP9+AL10</f>
        <v>0</v>
      </c>
      <c r="AQ10" s="5">
        <f>AN10+AO10+AP10</f>
        <v>1.0673490104095786</v>
      </c>
      <c r="AR10" s="5">
        <f>S10-AQ10</f>
        <v>0</v>
      </c>
      <c r="AS10" s="5">
        <f>AS9</f>
        <v>0</v>
      </c>
      <c r="AT10" s="5">
        <f>AT9+AI10</f>
        <v>0</v>
      </c>
      <c r="AU10" s="5">
        <f>AU9+AM10</f>
        <v>0</v>
      </c>
      <c r="AV10" s="5">
        <f>AS10+AT10+AU10</f>
        <v>0</v>
      </c>
      <c r="AW10" s="5">
        <f>U10-AV10</f>
        <v>0</v>
      </c>
      <c r="AX10" s="4">
        <v>1.0581544435367989</v>
      </c>
      <c r="AY10" s="4">
        <v>1.0673490104095786</v>
      </c>
      <c r="AZ10" s="5">
        <f>S10-AY10</f>
        <v>0</v>
      </c>
      <c r="BA10" s="4">
        <v>0</v>
      </c>
      <c r="BB10" s="4">
        <v>0</v>
      </c>
      <c r="BC10" s="5">
        <f>U10-BB10</f>
        <v>0</v>
      </c>
      <c r="BD10" s="7">
        <f>SUM(IF(BL10="direct",CE10,0),IF(CG10="direct",CZ10,0),IF(DB10="direct",DU10,0),IF(DW10="direct",EP10,0),IF(ER10="direct",FK10,0),IF(FM10="direct",GF10,0),IF(GH10="direct",HA10,0),IF(HC10="direct",HV10,0),IF(HX10="direct",IQ10,0),IF(IS10="direct",JL10,0))</f>
        <v>0</v>
      </c>
      <c r="BE10" s="7">
        <f>SUM(IF(BL10="treasury",CE10,0),IF(CG10="treasury",CZ10,0),IF(DB10="treasury",DU10,0),IF(DW10="treasury",EP10,0),IF(ER10="treasury",FK10,0),IF(FM10="treasury",GF10,0),IF(GH10="treasury",HA10,0),IF(HC10="treasury",HV10,0),IF(HX10="treasury",IQ10,0),IF(IS10="treasury",JL10,0))</f>
        <v>0.00016794520547945205</v>
      </c>
      <c r="BF10" s="7">
        <f>SUM(IF(BL10="future",CE10,0),IF(CG10="future",CZ10,0),IF(DB10="future",DU10,0),IF(DW10="future",EP10,0),IF(ER10="future",FK10,0),IF(FM10="future",GF10,0),IF(GH10="future",HA10,0),IF(HC10="future",HV10,0),IF(HX10="future",IQ10,0),IF(IS10="future",JL10,0))</f>
        <v>0.008521303258145261</v>
      </c>
      <c r="BG10" s="7">
        <f>SUM(IF(BL10="cash",CE10,0),IF(CG10="cash",CZ10,0),IF(DB10="cash",DU10,0),IF(DW10="cash",EP10,0),IF(ER10="cash",FK10,0),IF(FM10="cash",GF10,0),IF(GH10="cash",HA10,0),IF(HC10="cash",HV10,0),IF(HX10="cash",IQ10,0),IF(IS10="cash",JL10,0))</f>
        <v>0</v>
      </c>
      <c r="BH10" s="7">
        <f>SUM(BD10:BG10)</f>
        <v>0.008689248463624713</v>
      </c>
      <c r="BI10" s="7">
        <f>G10-BH10</f>
        <v>1.734723475976807e-18</v>
      </c>
      <c r="BJ10" s="9">
        <f>COUNTA(BK10,CF10,DA10,DV10,EQ10,FL10,GG10,HB10,HW10,IR10)</f>
        <v>4</v>
      </c>
      <c r="BK10" t="inlineStr">
        <is>
          <t xml:space="preserve">Treasury collateral</t>
        </is>
      </c>
      <c r="BL10" t="inlineStr">
        <is>
          <t xml:space="preserve">treasury</t>
        </is>
      </c>
      <c r="BM10" t="inlineStr">
        <is>
          <t xml:space="preserve">lease</t>
        </is>
      </c>
      <c r="BN10" t="inlineStr">
        <is>
          <t xml:space="preserve">long</t>
        </is>
      </c>
      <c r="BO10"/>
      <c r="BP10" s="4">
        <v>100.18542690983136</v>
      </c>
      <c r="BQ10" s="4">
        <v>100.20225257193978</v>
      </c>
      <c r="BR10" s="4">
        <v>0.010561959719841852</v>
      </c>
      <c r="BS10" s="6">
        <v>1</v>
      </c>
      <c r="BT10" s="4">
        <v>1.0581544435367989</v>
      </c>
      <c r="BU10" s="4">
        <v>1.0581544435367989</v>
      </c>
      <c r="BV10" s="4">
        <v>1.0583321555022476</v>
      </c>
      <c r="BW10" s="4">
        <v>0.00017771196544878292</v>
      </c>
      <c r="BX10" s="4">
        <v>-9.264507563888635e-17</v>
      </c>
      <c r="BY10" s="4">
        <v>2.016</v>
      </c>
      <c r="BZ10" s="4">
        <v>2.027</v>
      </c>
      <c r="CA10" s="6"/>
      <c r="CB10" s="6"/>
      <c r="CC10" s="6"/>
      <c r="CD10" s="9">
        <v>16</v>
      </c>
      <c r="CE10" s="7">
        <f>IFERROR(BW10/F10,0)</f>
        <v>0.00016794520547945205</v>
      </c>
      <c r="CF10" t="inlineStr">
        <is>
          <t xml:space="preserve">SI69F</t>
        </is>
      </c>
      <c r="CG10" t="inlineStr">
        <is>
          <t xml:space="preserve">future</t>
        </is>
      </c>
      <c r="CH10" t="inlineStr">
        <is>
          <t xml:space="preserve">lease</t>
        </is>
      </c>
      <c r="CI10" t="inlineStr">
        <is>
          <t xml:space="preserve">long</t>
        </is>
      </c>
      <c r="CJ10" t="inlineStr">
        <is>
          <t xml:space="preserve">regular</t>
        </is>
      </c>
      <c r="CK10" s="4">
        <v>1.995</v>
      </c>
      <c r="CL10" s="4">
        <v>2.012</v>
      </c>
      <c r="CM10" s="4">
        <v>0.5304032298430068</v>
      </c>
      <c r="CN10" s="6">
        <v>0.9999999999999999</v>
      </c>
      <c r="CO10" s="4">
        <v>1.0581544435367987</v>
      </c>
      <c r="CP10" s="4">
        <v>0</v>
      </c>
      <c r="CQ10" s="4">
        <v>0</v>
      </c>
      <c r="CR10" s="4">
        <v>0.00901685490733101</v>
      </c>
      <c r="CS10" s="4">
        <v>-0.00901685490733101</v>
      </c>
      <c r="CT10" s="4">
        <v>2.016</v>
      </c>
      <c r="CU10" s="4">
        <v>2.027</v>
      </c>
      <c r="CV10" s="6">
        <v>-0.01041666666666663</v>
      </c>
      <c r="CW10" s="6">
        <v>0.0613</v>
      </c>
      <c r="CX10" s="6">
        <v>0.2989302083333325</v>
      </c>
      <c r="CY10" s="9">
        <v>16</v>
      </c>
      <c r="CZ10" s="7">
        <f>IFERROR(CR10/F10,0)</f>
        <v>0.008521303258145261</v>
      </c>
      <c r="DA10" t="inlineStr">
        <is>
          <t xml:space="preserve">Lease cash / margin / financing</t>
        </is>
      </c>
      <c r="DB10" t="inlineStr">
        <is>
          <t xml:space="preserve">cash</t>
        </is>
      </c>
      <c r="DC10" t="inlineStr">
        <is>
          <t xml:space="preserve">lease</t>
        </is>
      </c>
      <c r="DD10" t="inlineStr">
        <is>
          <t xml:space="preserve">cash</t>
        </is>
      </c>
      <c r="DE10"/>
      <c r="DF10" s="4">
        <v>1</v>
      </c>
      <c r="DG10" s="4">
        <v>1</v>
      </c>
      <c r="DH10" s="4">
        <v>0</v>
      </c>
      <c r="DI10" s="6"/>
      <c r="DJ10" s="4">
        <v>0</v>
      </c>
      <c r="DK10" s="4">
        <v>0</v>
      </c>
      <c r="DL10" s="4">
        <v>0.009016854907331102</v>
      </c>
      <c r="DM10" s="4">
        <v>0</v>
      </c>
      <c r="DN10" s="4">
        <v>0.009016854907331102</v>
      </c>
      <c r="DO10" s="4">
        <v>2.016</v>
      </c>
      <c r="DP10" s="4">
        <v>2.027</v>
      </c>
      <c r="DQ10" s="6"/>
      <c r="DR10" s="6"/>
      <c r="DS10" s="6"/>
      <c r="DT10" s="9"/>
      <c r="DU10" s="7">
        <f>IFERROR(DM10/F10,0)</f>
        <v>0</v>
      </c>
      <c r="DV10" t="inlineStr">
        <is>
          <t xml:space="preserve">Keep cash / margin / financing</t>
        </is>
      </c>
      <c r="DW10" t="inlineStr">
        <is>
          <t xml:space="preserve">cash</t>
        </is>
      </c>
      <c r="DX10" t="inlineStr">
        <is>
          <t xml:space="preserve">keep</t>
        </is>
      </c>
      <c r="DY10" t="inlineStr">
        <is>
          <t xml:space="preserve">cash</t>
        </is>
      </c>
      <c r="DZ10"/>
      <c r="EA10" s="4">
        <v>1</v>
      </c>
      <c r="EB10" s="4">
        <v>1</v>
      </c>
      <c r="EC10" s="4">
        <v>0</v>
      </c>
      <c r="ED10" s="6"/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2.016</v>
      </c>
      <c r="EK10" s="4">
        <v>2.027</v>
      </c>
      <c r="EL10" s="6"/>
      <c r="EM10" s="6"/>
      <c r="EN10" s="6"/>
      <c r="EO10" s="9"/>
      <c r="EP10" s="7">
        <f>IFERROR(EH10/F10,0)</f>
        <v>0</v>
      </c>
      <c r="EQ10"/>
      <c r="ER10"/>
      <c r="ES10"/>
      <c r="ET10"/>
      <c r="EU10"/>
      <c r="EV10" s="4"/>
      <c r="EW10" s="4"/>
      <c r="EX10" s="4"/>
      <c r="EY10" s="6"/>
      <c r="EZ10" s="4"/>
      <c r="FA10" s="4"/>
      <c r="FB10" s="4"/>
      <c r="FC10" s="4"/>
      <c r="FD10" s="4"/>
      <c r="FE10" s="4"/>
      <c r="FF10" s="4"/>
      <c r="FG10" s="6"/>
      <c r="FH10" s="6"/>
      <c r="FI10" s="6"/>
      <c r="FJ10" s="9"/>
      <c r="FK10"/>
      <c r="FL10"/>
      <c r="FM10"/>
      <c r="FN10"/>
      <c r="FO10"/>
      <c r="FP10"/>
      <c r="FQ10" s="4"/>
      <c r="FR10" s="4"/>
      <c r="FS10" s="4"/>
      <c r="FT10" s="6"/>
      <c r="FU10" s="4"/>
      <c r="FV10" s="4"/>
      <c r="FW10" s="4"/>
      <c r="FX10" s="4"/>
      <c r="FY10" s="4"/>
      <c r="FZ10" s="4"/>
      <c r="GA10" s="4"/>
      <c r="GB10" s="6"/>
      <c r="GC10" s="6"/>
      <c r="GD10" s="6"/>
      <c r="GE10" s="9"/>
      <c r="GF10"/>
      <c r="GG10"/>
      <c r="GH10"/>
      <c r="GI10"/>
      <c r="GJ10"/>
      <c r="GK10"/>
      <c r="GL10" s="4"/>
      <c r="GM10" s="4"/>
      <c r="GN10" s="4"/>
      <c r="GO10" s="6"/>
      <c r="GP10" s="4"/>
      <c r="GQ10" s="4"/>
      <c r="GR10" s="4"/>
      <c r="GS10" s="4"/>
      <c r="GT10" s="4"/>
      <c r="GU10" s="4"/>
      <c r="GV10" s="4"/>
      <c r="GW10" s="6"/>
      <c r="GX10" s="6"/>
      <c r="GY10" s="6"/>
      <c r="GZ10" s="9"/>
      <c r="HA10"/>
      <c r="HB10"/>
      <c r="HC10"/>
      <c r="HD10"/>
      <c r="HE10"/>
      <c r="HF10"/>
      <c r="HG10" s="4"/>
      <c r="HH10" s="4"/>
      <c r="HI10" s="4"/>
      <c r="HJ10" s="6"/>
      <c r="HK10" s="4"/>
      <c r="HL10" s="4"/>
      <c r="HM10" s="4"/>
      <c r="HN10" s="4"/>
      <c r="HO10" s="4"/>
      <c r="HP10" s="4"/>
      <c r="HQ10" s="4"/>
      <c r="HR10" s="6"/>
      <c r="HS10" s="6"/>
      <c r="HT10" s="6"/>
      <c r="HU10" s="9"/>
      <c r="HV10"/>
      <c r="HW10"/>
      <c r="HX10"/>
      <c r="HY10"/>
      <c r="HZ10"/>
      <c r="IA10"/>
      <c r="IB10" s="4"/>
      <c r="IC10" s="4"/>
      <c r="ID10" s="4"/>
      <c r="IE10" s="6"/>
      <c r="IF10" s="4"/>
      <c r="IG10" s="4"/>
      <c r="IH10" s="4"/>
      <c r="II10" s="4"/>
      <c r="IJ10" s="4"/>
      <c r="IK10" s="4"/>
      <c r="IL10" s="4"/>
      <c r="IM10" s="6"/>
      <c r="IN10" s="6"/>
      <c r="IO10" s="6"/>
      <c r="IP10" s="9"/>
      <c r="IQ10"/>
      <c r="IR10"/>
      <c r="IS10"/>
      <c r="IT10"/>
      <c r="IU10"/>
      <c r="IV10"/>
      <c r="IW10" s="4"/>
      <c r="IX10" s="4"/>
      <c r="IY10" s="4"/>
      <c r="IZ10" s="6"/>
      <c r="JA10" s="4"/>
      <c r="JB10" s="4"/>
      <c r="JC10" s="4"/>
      <c r="JD10" s="4"/>
      <c r="JE10" s="4"/>
      <c r="JF10" s="4"/>
      <c r="JG10" s="4"/>
      <c r="JH10" s="6"/>
      <c r="JI10" s="6"/>
      <c r="JJ10" s="6"/>
      <c r="JK10" s="9"/>
      <c r="JL10"/>
    </row>
    <row r="11">
      <c r="A11" s="8">
        <v>25217</v>
      </c>
      <c r="B11" s="8">
        <v>25218</v>
      </c>
      <c r="C11" s="9">
        <f>B11-A11</f>
        <v>1</v>
      </c>
      <c r="D11" s="8">
        <v>25217</v>
      </c>
      <c r="E11" t="inlineStr">
        <is>
          <t xml:space="preserve">positive</t>
        </is>
      </c>
      <c r="F11" s="4">
        <v>1.0673490104095786</v>
      </c>
      <c r="G11" s="6">
        <v>-0.002812792287371754</v>
      </c>
      <c r="H11" s="7">
        <f>SUM(CE11,CZ11,DU11,EP11,FK11,GF11,HA11,HV11,IQ11,JL11)</f>
        <v>-0.0028127922873717537</v>
      </c>
      <c r="I11" s="7">
        <f>G11-H11</f>
        <v>-4.336808689942018e-19</v>
      </c>
      <c r="J11" s="5">
        <f>F11*(1+H11)</f>
        <v>1.0643467793451646</v>
      </c>
      <c r="K11" s="4">
        <v>1.0643467793451646</v>
      </c>
      <c r="L11" s="5">
        <f>K11-J11</f>
        <v>0</v>
      </c>
      <c r="M11" s="4">
        <v>2.027</v>
      </c>
      <c r="N11" s="4">
        <v>2.038</v>
      </c>
      <c r="O11" s="5">
        <f>M11/$M$3</f>
        <v>1.0352400408580185</v>
      </c>
      <c r="P11" s="5">
        <f>N11/$M$3</f>
        <v>1.0408580183861083</v>
      </c>
      <c r="Q11" s="7">
        <f>IFERROR(N11/M11-1,0)</f>
        <v>0.0054267390231868</v>
      </c>
      <c r="R11" s="5">
        <f>SUM(IF(BM11="lease",BU11,0),IF(CH11="lease",CP11,0),IF(DC11="lease",DK11,0),IF(DX11="lease",EF11,0),IF(ES11="lease",FA11,0),IF(FN11="lease",FV11,0),IF(GI11="lease",GQ11,0),IF(HD11="lease",HL11,0),IF(HY11="lease",IG11,0),IF(IT11="lease",JB11,0))</f>
        <v>1.0673490104095786</v>
      </c>
      <c r="S11" s="5">
        <f>SUM(IF(BM11="lease",BV11,0),IF(CH11="lease",CQ11,0),IF(DC11="lease",DL11,0),IF(DX11="lease",EG11,0),IF(ES11="lease",FB11,0),IF(FN11="lease",FW11,0),IF(GI11="lease",GR11,0),IF(HD11="lease",HM11,0),IF(HY11="lease",IH11,0),IF(IT11="lease",JC11,0))</f>
        <v>1.0643467793451646</v>
      </c>
      <c r="T11" s="5">
        <f>SUM(IF(BM11="keep",BU11,0),IF(CH11="keep",CP11,0),IF(DC11="keep",DK11,0),IF(DX11="keep",EF11,0),IF(ES11="keep",FA11,0),IF(FN11="keep",FV11,0),IF(GI11="keep",GQ11,0),IF(HD11="keep",HL11,0),IF(HY11="keep",IG11,0),IF(IT11="keep",JB11,0))</f>
        <v>0</v>
      </c>
      <c r="U11" s="5">
        <f>SUM(IF(BM11="keep",BV11,0),IF(CH11="keep",CQ11,0),IF(DC11="keep",DL11,0),IF(DX11="keep",EG11,0),IF(ES11="keep",FB11,0),IF(FN11="keep",FW11,0),IF(GI11="keep",GR11,0),IF(HD11="keep",HM11,0),IF(HY11="keep",IH11,0),IF(IT11="keep",JC11,0))</f>
        <v>0</v>
      </c>
      <c r="V11" s="5">
        <f>R11/O11</f>
        <v>1.0310159656546398</v>
      </c>
      <c r="W11" s="5">
        <f>S11/P11</f>
        <v>1.0225667291255311</v>
      </c>
      <c r="X11" s="5">
        <f>T11/O11</f>
        <v>0</v>
      </c>
      <c r="Y11" s="5">
        <f>U11/P11</f>
        <v>0</v>
      </c>
      <c r="Z11" s="5">
        <f>V11+X11</f>
        <v>1.0310159656546398</v>
      </c>
      <c r="AA11" s="7">
        <f>IFERROR(W11/V11-1,0)</f>
        <v>-0.008195058864819638</v>
      </c>
      <c r="AB11" s="7">
        <f>IFERROR((W11-V11)/Z11,0)</f>
        <v>-0.008195058864819674</v>
      </c>
      <c r="AC11" s="7">
        <f>IFERROR(Y11/X11-1,0)</f>
        <v>0</v>
      </c>
      <c r="AD11" s="7">
        <f>IFERROR((Y11-X11)/Z11,0)</f>
        <v>0</v>
      </c>
      <c r="AE11" s="7">
        <f>AB11+AD11</f>
        <v>-0.008195058864819674</v>
      </c>
      <c r="AF11" s="7">
        <f>(1+Q11)*(1+AE11)-1</f>
        <v>-0.002812792287371857</v>
      </c>
      <c r="AG11" s="7">
        <f>G11-AF11</f>
        <v>1.0278236595162582e-16</v>
      </c>
      <c r="AH11" s="5">
        <f>SUM(IF(BM11="lease",BW11,0),IF(CH11="lease",CR11,0),IF(DC11="lease",DM11,0),IF(DX11="lease",EH11,0),IF(ES11="lease",FC11,0),IF(FN11="lease",FX11,0),IF(GI11="lease",GS11,0),IF(HD11="lease",HN11,0),IF(HY11="lease",II11,0),IF(IT11="lease",JD11,0))</f>
        <v>-0.0030022310644139366</v>
      </c>
      <c r="AI11" s="5">
        <f>SUM(IF(BM11="keep",BW11,0),IF(CH11="keep",CR11,0),IF(DC11="keep",DM11,0),IF(DX11="keep",EH11,0),IF(ES11="keep",FC11,0),IF(FN11="keep",FX11,0),IF(GI11="keep",GS11,0),IF(HD11="keep",HN11,0),IF(HY11="keep",II11,0),IF(IT11="keep",JD11,0))</f>
        <v>0</v>
      </c>
      <c r="AJ11" s="5">
        <f>SUM(IF(BM11="lease",BX11,0),IF(CH11="lease",CS11,0),IF(DC11="lease",DN11,0),IF(DX11="lease",EI11,0),IF(ES11="lease",FD11,0),IF(FN11="lease",FY11,0),IF(GI11="lease",GT11,0),IF(HD11="lease",HO11,0),IF(HY11="lease",IJ11,0),IF(IT11="lease",JE11,0))</f>
        <v>0</v>
      </c>
      <c r="AK11" s="5">
        <f>SUM(IF(BM11="keep",BX11,0),IF(CH11="keep",CS11,0),IF(DC11="keep",DN11,0),IF(DX11="keep",EI11,0),IF(ES11="keep",FD11,0),IF(FN11="keep",FY11,0),IF(GI11="keep",GT11,0),IF(HD11="keep",HO11,0),IF(HY11="keep",IJ11,0),IF(IT11="keep",JE11,0))</f>
        <v>0</v>
      </c>
      <c r="AL11" s="5">
        <f>R11-S10</f>
        <v>0</v>
      </c>
      <c r="AM11" s="5">
        <f>T11-U10</f>
        <v>0</v>
      </c>
      <c r="AN11" s="5">
        <f>AN10</f>
        <v>1</v>
      </c>
      <c r="AO11" s="5">
        <f>AO10+AH11</f>
        <v>0.06434677934516464</v>
      </c>
      <c r="AP11" s="5">
        <f>AP10+AL11</f>
        <v>0</v>
      </c>
      <c r="AQ11" s="5">
        <f>AN11+AO11+AP11</f>
        <v>1.0643467793451646</v>
      </c>
      <c r="AR11" s="5">
        <f>S11-AQ11</f>
        <v>0</v>
      </c>
      <c r="AS11" s="5">
        <f>AS10</f>
        <v>0</v>
      </c>
      <c r="AT11" s="5">
        <f>AT10+AI11</f>
        <v>0</v>
      </c>
      <c r="AU11" s="5">
        <f>AU10+AM11</f>
        <v>0</v>
      </c>
      <c r="AV11" s="5">
        <f>AS11+AT11+AU11</f>
        <v>0</v>
      </c>
      <c r="AW11" s="5">
        <f>U11-AV11</f>
        <v>0</v>
      </c>
      <c r="AX11" s="4">
        <v>1.0673490104095786</v>
      </c>
      <c r="AY11" s="4">
        <v>1.0643467793451646</v>
      </c>
      <c r="AZ11" s="5">
        <f>S11-AY11</f>
        <v>0</v>
      </c>
      <c r="BA11" s="4">
        <v>0</v>
      </c>
      <c r="BB11" s="4">
        <v>0</v>
      </c>
      <c r="BC11" s="5">
        <f>U11-BB11</f>
        <v>0</v>
      </c>
      <c r="BD11" s="7">
        <f>SUM(IF(BL11="direct",CE11,0),IF(CG11="direct",CZ11,0),IF(DB11="direct",DU11,0),IF(DW11="direct",EP11,0),IF(ER11="direct",FK11,0),IF(FM11="direct",GF11,0),IF(GH11="direct",HA11,0),IF(HC11="direct",HV11,0),IF(HX11="direct",IQ11,0),IF(IS11="direct",JL11,0))</f>
        <v>0</v>
      </c>
      <c r="BE11" s="7">
        <f>SUM(IF(BL11="treasury",CE11,0),IF(CG11="treasury",CZ11,0),IF(DB11="treasury",DU11,0),IF(DW11="treasury",EP11,0),IF(ER11="treasury",FK11,0),IF(FM11="treasury",GF11,0),IF(GH11="treasury",HA11,0),IF(HC11="treasury",HV11,0),IF(HX11="treasury",IQ11,0),IF(IS11="treasury",JL11,0))</f>
        <v>0.00016931506849315067</v>
      </c>
      <c r="BF11" s="7">
        <f>SUM(IF(BL11="future",CE11,0),IF(CG11="future",CZ11,0),IF(DB11="future",DU11,0),IF(DW11="future",EP11,0),IF(ER11="future",FK11,0),IF(FM11="future",GF11,0),IF(GH11="future",HA11,0),IF(HC11="future",HV11,0),IF(HX11="future",IQ11,0),IF(IS11="future",JL11,0))</f>
        <v>-0.0029821073558649043</v>
      </c>
      <c r="BG11" s="7">
        <f>SUM(IF(BL11="cash",CE11,0),IF(CG11="cash",CZ11,0),IF(DB11="cash",DU11,0),IF(DW11="cash",EP11,0),IF(ER11="cash",FK11,0),IF(FM11="cash",GF11,0),IF(GH11="cash",HA11,0),IF(HC11="cash",HV11,0),IF(HX11="cash",IQ11,0),IF(IS11="cash",JL11,0))</f>
        <v>0</v>
      </c>
      <c r="BH11" s="7">
        <f>SUM(BD11:BG11)</f>
        <v>-0.0028127922873717537</v>
      </c>
      <c r="BI11" s="7">
        <f>G11-BH11</f>
        <v>-4.336808689942018e-19</v>
      </c>
      <c r="BJ11" s="9">
        <f>COUNTA(BK11,CF11,DA11,DV11,EQ11,FL11,GG11,HB11,HW11,IR11)</f>
        <v>4</v>
      </c>
      <c r="BK11" t="inlineStr">
        <is>
          <t xml:space="preserve">Treasury collateral</t>
        </is>
      </c>
      <c r="BL11" t="inlineStr">
        <is>
          <t xml:space="preserve">treasury</t>
        </is>
      </c>
      <c r="BM11" t="inlineStr">
        <is>
          <t xml:space="preserve">lease</t>
        </is>
      </c>
      <c r="BN11" t="inlineStr">
        <is>
          <t xml:space="preserve">long</t>
        </is>
      </c>
      <c r="BO11"/>
      <c r="BP11" s="4">
        <v>100.20225257193978</v>
      </c>
      <c r="BQ11" s="4">
        <v>100.21921832319715</v>
      </c>
      <c r="BR11" s="4">
        <v>0.010651946268805484</v>
      </c>
      <c r="BS11" s="6">
        <v>1</v>
      </c>
      <c r="BT11" s="4">
        <v>1.0673490104095786</v>
      </c>
      <c r="BU11" s="4">
        <v>1.0673490104095786</v>
      </c>
      <c r="BV11" s="4">
        <v>1.0675297286803822</v>
      </c>
      <c r="BW11" s="4">
        <v>0.0001807182708035944</v>
      </c>
      <c r="BX11" s="4">
        <v>-2.4015078120553923e-17</v>
      </c>
      <c r="BY11" s="4">
        <v>2.027</v>
      </c>
      <c r="BZ11" s="4">
        <v>2.038</v>
      </c>
      <c r="CA11" s="6"/>
      <c r="CB11" s="6"/>
      <c r="CC11" s="6"/>
      <c r="CD11" s="9">
        <v>15</v>
      </c>
      <c r="CE11" s="7">
        <f>IFERROR(BW11/F11,0)</f>
        <v>0.00016931506849315067</v>
      </c>
      <c r="CF11" t="inlineStr">
        <is>
          <t xml:space="preserve">SI69F</t>
        </is>
      </c>
      <c r="CG11" t="inlineStr">
        <is>
          <t xml:space="preserve">future</t>
        </is>
      </c>
      <c r="CH11" t="inlineStr">
        <is>
          <t xml:space="preserve">lease</t>
        </is>
      </c>
      <c r="CI11" t="inlineStr">
        <is>
          <t xml:space="preserve">long</t>
        </is>
      </c>
      <c r="CJ11" t="inlineStr">
        <is>
          <t xml:space="preserve">regular</t>
        </is>
      </c>
      <c r="CK11" s="4">
        <v>2.012</v>
      </c>
      <c r="CL11" s="4">
        <v>2.006</v>
      </c>
      <c r="CM11" s="4">
        <v>0.5304915558695718</v>
      </c>
      <c r="CN11" s="6">
        <v>0.9999999999999999</v>
      </c>
      <c r="CO11" s="4">
        <v>1.0673490104095784</v>
      </c>
      <c r="CP11" s="4">
        <v>0</v>
      </c>
      <c r="CQ11" s="4">
        <v>0</v>
      </c>
      <c r="CR11" s="4">
        <v>-0.003182949335217531</v>
      </c>
      <c r="CS11" s="4">
        <v>0.003182949335217531</v>
      </c>
      <c r="CT11" s="4">
        <v>2.027</v>
      </c>
      <c r="CU11" s="4">
        <v>2.038</v>
      </c>
      <c r="CV11" s="6">
        <v>-0.007400098667982302</v>
      </c>
      <c r="CW11" s="6">
        <v>0.061799999999999994</v>
      </c>
      <c r="CX11" s="6">
        <v>0.24186906758756932</v>
      </c>
      <c r="CY11" s="9">
        <v>15</v>
      </c>
      <c r="CZ11" s="7">
        <f>IFERROR(CR11/F11,0)</f>
        <v>-0.0029821073558649043</v>
      </c>
      <c r="DA11" t="inlineStr">
        <is>
          <t xml:space="preserve">Lease cash / margin / financing</t>
        </is>
      </c>
      <c r="DB11" t="inlineStr">
        <is>
          <t xml:space="preserve">cash</t>
        </is>
      </c>
      <c r="DC11" t="inlineStr">
        <is>
          <t xml:space="preserve">lease</t>
        </is>
      </c>
      <c r="DD11" t="inlineStr">
        <is>
          <t xml:space="preserve">cash</t>
        </is>
      </c>
      <c r="DE11"/>
      <c r="DF11" s="4">
        <v>1</v>
      </c>
      <c r="DG11" s="4">
        <v>1</v>
      </c>
      <c r="DH11" s="4">
        <v>0</v>
      </c>
      <c r="DI11" s="6"/>
      <c r="DJ11" s="4">
        <v>0</v>
      </c>
      <c r="DK11" s="4">
        <v>0</v>
      </c>
      <c r="DL11" s="4">
        <v>-0.003182949335217507</v>
      </c>
      <c r="DM11" s="4">
        <v>0</v>
      </c>
      <c r="DN11" s="4">
        <v>-0.003182949335217507</v>
      </c>
      <c r="DO11" s="4">
        <v>2.027</v>
      </c>
      <c r="DP11" s="4">
        <v>2.038</v>
      </c>
      <c r="DQ11" s="6"/>
      <c r="DR11" s="6"/>
      <c r="DS11" s="6"/>
      <c r="DT11" s="9"/>
      <c r="DU11" s="7">
        <f>IFERROR(DM11/F11,0)</f>
        <v>0</v>
      </c>
      <c r="DV11" t="inlineStr">
        <is>
          <t xml:space="preserve">Keep cash / margin / financing</t>
        </is>
      </c>
      <c r="DW11" t="inlineStr">
        <is>
          <t xml:space="preserve">cash</t>
        </is>
      </c>
      <c r="DX11" t="inlineStr">
        <is>
          <t xml:space="preserve">keep</t>
        </is>
      </c>
      <c r="DY11" t="inlineStr">
        <is>
          <t xml:space="preserve">cash</t>
        </is>
      </c>
      <c r="DZ11"/>
      <c r="EA11" s="4">
        <v>1</v>
      </c>
      <c r="EB11" s="4">
        <v>1</v>
      </c>
      <c r="EC11" s="4">
        <v>0</v>
      </c>
      <c r="ED11" s="6"/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2.027</v>
      </c>
      <c r="EK11" s="4">
        <v>2.038</v>
      </c>
      <c r="EL11" s="6"/>
      <c r="EM11" s="6"/>
      <c r="EN11" s="6"/>
      <c r="EO11" s="9"/>
      <c r="EP11" s="7">
        <f>IFERROR(EH11/F11,0)</f>
        <v>0</v>
      </c>
      <c r="EQ11"/>
      <c r="ER11"/>
      <c r="ES11"/>
      <c r="ET11"/>
      <c r="EU11"/>
      <c r="EV11" s="4"/>
      <c r="EW11" s="4"/>
      <c r="EX11" s="4"/>
      <c r="EY11" s="6"/>
      <c r="EZ11" s="4"/>
      <c r="FA11" s="4"/>
      <c r="FB11" s="4"/>
      <c r="FC11" s="4"/>
      <c r="FD11" s="4"/>
      <c r="FE11" s="4"/>
      <c r="FF11" s="4"/>
      <c r="FG11" s="6"/>
      <c r="FH11" s="6"/>
      <c r="FI11" s="6"/>
      <c r="FJ11" s="9"/>
      <c r="FK11"/>
      <c r="FL11"/>
      <c r="FM11"/>
      <c r="FN11"/>
      <c r="FO11"/>
      <c r="FP11"/>
      <c r="FQ11" s="4"/>
      <c r="FR11" s="4"/>
      <c r="FS11" s="4"/>
      <c r="FT11" s="6"/>
      <c r="FU11" s="4"/>
      <c r="FV11" s="4"/>
      <c r="FW11" s="4"/>
      <c r="FX11" s="4"/>
      <c r="FY11" s="4"/>
      <c r="FZ11" s="4"/>
      <c r="GA11" s="4"/>
      <c r="GB11" s="6"/>
      <c r="GC11" s="6"/>
      <c r="GD11" s="6"/>
      <c r="GE11" s="9"/>
      <c r="GF11"/>
      <c r="GG11"/>
      <c r="GH11"/>
      <c r="GI11"/>
      <c r="GJ11"/>
      <c r="GK11"/>
      <c r="GL11" s="4"/>
      <c r="GM11" s="4"/>
      <c r="GN11" s="4"/>
      <c r="GO11" s="6"/>
      <c r="GP11" s="4"/>
      <c r="GQ11" s="4"/>
      <c r="GR11" s="4"/>
      <c r="GS11" s="4"/>
      <c r="GT11" s="4"/>
      <c r="GU11" s="4"/>
      <c r="GV11" s="4"/>
      <c r="GW11" s="6"/>
      <c r="GX11" s="6"/>
      <c r="GY11" s="6"/>
      <c r="GZ11" s="9"/>
      <c r="HA11"/>
      <c r="HB11"/>
      <c r="HC11"/>
      <c r="HD11"/>
      <c r="HE11"/>
      <c r="HF11"/>
      <c r="HG11" s="4"/>
      <c r="HH11" s="4"/>
      <c r="HI11" s="4"/>
      <c r="HJ11" s="6"/>
      <c r="HK11" s="4"/>
      <c r="HL11" s="4"/>
      <c r="HM11" s="4"/>
      <c r="HN11" s="4"/>
      <c r="HO11" s="4"/>
      <c r="HP11" s="4"/>
      <c r="HQ11" s="4"/>
      <c r="HR11" s="6"/>
      <c r="HS11" s="6"/>
      <c r="HT11" s="6"/>
      <c r="HU11" s="9"/>
      <c r="HV11"/>
      <c r="HW11"/>
      <c r="HX11"/>
      <c r="HY11"/>
      <c r="HZ11"/>
      <c r="IA11"/>
      <c r="IB11" s="4"/>
      <c r="IC11" s="4"/>
      <c r="ID11" s="4"/>
      <c r="IE11" s="6"/>
      <c r="IF11" s="4"/>
      <c r="IG11" s="4"/>
      <c r="IH11" s="4"/>
      <c r="II11" s="4"/>
      <c r="IJ11" s="4"/>
      <c r="IK11" s="4"/>
      <c r="IL11" s="4"/>
      <c r="IM11" s="6"/>
      <c r="IN11" s="6"/>
      <c r="IO11" s="6"/>
      <c r="IP11" s="9"/>
      <c r="IQ11"/>
      <c r="IR11"/>
      <c r="IS11"/>
      <c r="IT11"/>
      <c r="IU11"/>
      <c r="IV11"/>
      <c r="IW11" s="4"/>
      <c r="IX11" s="4"/>
      <c r="IY11" s="4"/>
      <c r="IZ11" s="6"/>
      <c r="JA11" s="4"/>
      <c r="JB11" s="4"/>
      <c r="JC11" s="4"/>
      <c r="JD11" s="4"/>
      <c r="JE11" s="4"/>
      <c r="JF11" s="4"/>
      <c r="JG11" s="4"/>
      <c r="JH11" s="6"/>
      <c r="JI11" s="6"/>
      <c r="JJ11" s="6"/>
      <c r="JK11" s="9"/>
      <c r="JL11"/>
    </row>
    <row r="12">
      <c r="A12" s="8">
        <v>25218</v>
      </c>
      <c r="B12" s="8">
        <v>25219</v>
      </c>
      <c r="C12" s="9">
        <f>B12-A12</f>
        <v>1</v>
      </c>
      <c r="D12" s="8">
        <v>25218</v>
      </c>
      <c r="E12" t="inlineStr">
        <is>
          <t xml:space="preserve">positive</t>
        </is>
      </c>
      <c r="F12" s="4">
        <v>1.0643467793451646</v>
      </c>
      <c r="G12" s="6">
        <v>-0.01877522528305477</v>
      </c>
      <c r="H12" s="7">
        <f>SUM(CE12,CZ12,DU12,EP12,FK12,GF12,HA12,HV12,IQ12,JL12)</f>
        <v>-0.01877522528305477</v>
      </c>
      <c r="I12" s="7">
        <f>G12-H12</f>
        <v>0</v>
      </c>
      <c r="J12" s="5">
        <f>F12*(1+H12)</f>
        <v>1.0443634287836654</v>
      </c>
      <c r="K12" s="4">
        <v>1.0443634287836654</v>
      </c>
      <c r="L12" s="5">
        <f>K12-J12</f>
        <v>0</v>
      </c>
      <c r="M12" s="4">
        <v>2.038</v>
      </c>
      <c r="N12" s="4">
        <v>2.017</v>
      </c>
      <c r="O12" s="5">
        <f>M12/$M$3</f>
        <v>1.0408580183861083</v>
      </c>
      <c r="P12" s="5">
        <f>N12/$M$3</f>
        <v>1.0301327885597549</v>
      </c>
      <c r="Q12" s="7">
        <f>IFERROR(N12/M12-1,0)</f>
        <v>-0.010304219823356164</v>
      </c>
      <c r="R12" s="5">
        <f>SUM(IF(BM12="lease",BU12,0),IF(CH12="lease",CP12,0),IF(DC12="lease",DK12,0),IF(DX12="lease",EF12,0),IF(ES12="lease",FA12,0),IF(FN12="lease",FV12,0),IF(GI12="lease",GQ12,0),IF(HD12="lease",HL12,0),IF(HY12="lease",IG12,0),IF(IT12="lease",JB12,0))</f>
        <v>1.0643467793451646</v>
      </c>
      <c r="S12" s="5">
        <f>SUM(IF(BM12="lease",BV12,0),IF(CH12="lease",CQ12,0),IF(DC12="lease",DL12,0),IF(DX12="lease",EG12,0),IF(ES12="lease",FB12,0),IF(FN12="lease",FW12,0),IF(GI12="lease",GR12,0),IF(HD12="lease",HM12,0),IF(HY12="lease",IH12,0),IF(IT12="lease",JC12,0))</f>
        <v>1.0443634287836654</v>
      </c>
      <c r="T12" s="5">
        <f>SUM(IF(BM12="keep",BU12,0),IF(CH12="keep",CP12,0),IF(DC12="keep",DK12,0),IF(DX12="keep",EF12,0),IF(ES12="keep",FA12,0),IF(FN12="keep",FV12,0),IF(GI12="keep",GQ12,0),IF(HD12="keep",HL12,0),IF(HY12="keep",IG12,0),IF(IT12="keep",JB12,0))</f>
        <v>0</v>
      </c>
      <c r="U12" s="5">
        <f>SUM(IF(BM12="keep",BV12,0),IF(CH12="keep",CQ12,0),IF(DC12="keep",DL12,0),IF(DX12="keep",EG12,0),IF(ES12="keep",FB12,0),IF(FN12="keep",FW12,0),IF(GI12="keep",GR12,0),IF(HD12="keep",HM12,0),IF(HY12="keep",IH12,0),IF(IT12="keep",JC12,0))</f>
        <v>0</v>
      </c>
      <c r="V12" s="5">
        <f>R12/O12</f>
        <v>1.0225667291255311</v>
      </c>
      <c r="W12" s="5">
        <f>S12/P12</f>
        <v>1.0138143745951496</v>
      </c>
      <c r="X12" s="5">
        <f>T12/O12</f>
        <v>0</v>
      </c>
      <c r="Y12" s="5">
        <f>U12/P12</f>
        <v>0</v>
      </c>
      <c r="Z12" s="5">
        <f>V12+X12</f>
        <v>1.0225667291255311</v>
      </c>
      <c r="AA12" s="7">
        <f>IFERROR(W12/V12-1,0)</f>
        <v>-0.008559201351941437</v>
      </c>
      <c r="AB12" s="7">
        <f>IFERROR((W12-V12)/Z12,0)</f>
        <v>-0.008559201351941447</v>
      </c>
      <c r="AC12" s="7">
        <f>IFERROR(Y12/X12-1,0)</f>
        <v>0</v>
      </c>
      <c r="AD12" s="7">
        <f>IFERROR((Y12-X12)/Z12,0)</f>
        <v>0</v>
      </c>
      <c r="AE12" s="7">
        <f>AB12+AD12</f>
        <v>-0.008559201351941447</v>
      </c>
      <c r="AF12" s="7">
        <f>(1+Q12)*(1+AE12)-1</f>
        <v>-0.018775225283054864</v>
      </c>
      <c r="AG12" s="7">
        <f>G12-AF12</f>
        <v>9.367506770274758e-17</v>
      </c>
      <c r="AH12" s="5">
        <f>SUM(IF(BM12="lease",BW12,0),IF(CH12="lease",CR12,0),IF(DC12="lease",DM12,0),IF(DX12="lease",EH12,0),IF(ES12="lease",FC12,0),IF(FN12="lease",FX12,0),IF(GI12="lease",GS12,0),IF(HD12="lease",HN12,0),IF(HY12="lease",II12,0),IF(IT12="lease",JD12,0))</f>
        <v>-0.01998335056149925</v>
      </c>
      <c r="AI12" s="5">
        <f>SUM(IF(BM12="keep",BW12,0),IF(CH12="keep",CR12,0),IF(DC12="keep",DM12,0),IF(DX12="keep",EH12,0),IF(ES12="keep",FC12,0),IF(FN12="keep",FX12,0),IF(GI12="keep",GS12,0),IF(HD12="keep",HN12,0),IF(HY12="keep",II12,0),IF(IT12="keep",JD12,0))</f>
        <v>0</v>
      </c>
      <c r="AJ12" s="5">
        <f>SUM(IF(BM12="lease",BX12,0),IF(CH12="lease",CS12,0),IF(DC12="lease",DN12,0),IF(DX12="lease",EI12,0),IF(ES12="lease",FD12,0),IF(FN12="lease",FY12,0),IF(GI12="lease",GT12,0),IF(HD12="lease",HO12,0),IF(HY12="lease",IJ12,0),IF(IT12="lease",JE12,0))</f>
        <v>0</v>
      </c>
      <c r="AK12" s="5">
        <f>SUM(IF(BM12="keep",BX12,0),IF(CH12="keep",CS12,0),IF(DC12="keep",DN12,0),IF(DX12="keep",EI12,0),IF(ES12="keep",FD12,0),IF(FN12="keep",FY12,0),IF(GI12="keep",GT12,0),IF(HD12="keep",HO12,0),IF(HY12="keep",IJ12,0),IF(IT12="keep",JE12,0))</f>
        <v>0</v>
      </c>
      <c r="AL12" s="5">
        <f>R12-S11</f>
        <v>0</v>
      </c>
      <c r="AM12" s="5">
        <f>T12-U11</f>
        <v>0</v>
      </c>
      <c r="AN12" s="5">
        <f>AN11</f>
        <v>1</v>
      </c>
      <c r="AO12" s="5">
        <f>AO11+AH12</f>
        <v>0.04436342878366539</v>
      </c>
      <c r="AP12" s="5">
        <f>AP11+AL12</f>
        <v>0</v>
      </c>
      <c r="AQ12" s="5">
        <f>AN12+AO12+AP12</f>
        <v>1.0443634287836654</v>
      </c>
      <c r="AR12" s="5">
        <f>S12-AQ12</f>
        <v>0</v>
      </c>
      <c r="AS12" s="5">
        <f>AS11</f>
        <v>0</v>
      </c>
      <c r="AT12" s="5">
        <f>AT11+AI12</f>
        <v>0</v>
      </c>
      <c r="AU12" s="5">
        <f>AU11+AM12</f>
        <v>0</v>
      </c>
      <c r="AV12" s="5">
        <f>AS12+AT12+AU12</f>
        <v>0</v>
      </c>
      <c r="AW12" s="5">
        <f>U12-AV12</f>
        <v>0</v>
      </c>
      <c r="AX12" s="4">
        <v>1.0643467793451646</v>
      </c>
      <c r="AY12" s="4">
        <v>1.0443634287836654</v>
      </c>
      <c r="AZ12" s="5">
        <f>S12-AY12</f>
        <v>0</v>
      </c>
      <c r="BA12" s="4">
        <v>0</v>
      </c>
      <c r="BB12" s="4">
        <v>0</v>
      </c>
      <c r="BC12" s="5">
        <f>U12-BB12</f>
        <v>0</v>
      </c>
      <c r="BD12" s="7">
        <f>SUM(IF(BL12="direct",CE12,0),IF(CG12="direct",CZ12,0),IF(DB12="direct",DU12,0),IF(DW12="direct",EP12,0),IF(ER12="direct",FK12,0),IF(FM12="direct",GF12,0),IF(GH12="direct",HA12,0),IF(HC12="direct",HV12,0),IF(HX12="direct",IQ12,0),IF(IS12="direct",JL12,0))</f>
        <v>0</v>
      </c>
      <c r="BE12" s="7">
        <f>SUM(IF(BL12="treasury",CE12,0),IF(CG12="treasury",CZ12,0),IF(DB12="treasury",DU12,0),IF(DW12="treasury",EP12,0),IF(ER12="treasury",FK12,0),IF(FM12="treasury",GF12,0),IF(GH12="treasury",HA12,0),IF(HC12="treasury",HV12,0),IF(HX12="treasury",IQ12,0),IF(IS12="treasury",JL12,0))</f>
        <v>0.00016794520547945205</v>
      </c>
      <c r="BF12" s="7">
        <f>SUM(IF(BL12="future",CE12,0),IF(CG12="future",CZ12,0),IF(DB12="future",DU12,0),IF(DW12="future",EP12,0),IF(ER12="future",FK12,0),IF(FM12="future",GF12,0),IF(GH12="future",HA12,0),IF(HC12="future",HV12,0),IF(HX12="future",IQ12,0),IF(IS12="future",JL12,0))</f>
        <v>-0.018943170488534222</v>
      </c>
      <c r="BG12" s="7">
        <f>SUM(IF(BL12="cash",CE12,0),IF(CG12="cash",CZ12,0),IF(DB12="cash",DU12,0),IF(DW12="cash",EP12,0),IF(ER12="cash",FK12,0),IF(FM12="cash",GF12,0),IF(GH12="cash",HA12,0),IF(HC12="cash",HV12,0),IF(HX12="cash",IQ12,0),IF(IS12="cash",JL12,0))</f>
        <v>0</v>
      </c>
      <c r="BH12" s="7">
        <f>SUM(BD12:BG12)</f>
        <v>-0.01877522528305477</v>
      </c>
      <c r="BI12" s="7">
        <f>G12-BH12</f>
        <v>0</v>
      </c>
      <c r="BJ12" s="9">
        <f>COUNTA(BK12,CF12,DA12,DV12,EQ12,FL12,GG12,HB12,HW12,IR12)</f>
        <v>4</v>
      </c>
      <c r="BK12" t="inlineStr">
        <is>
          <t xml:space="preserve">Treasury collateral</t>
        </is>
      </c>
      <c r="BL12" t="inlineStr">
        <is>
          <t xml:space="preserve">treasury</t>
        </is>
      </c>
      <c r="BM12" t="inlineStr">
        <is>
          <t xml:space="preserve">lease</t>
        </is>
      </c>
      <c r="BN12" t="inlineStr">
        <is>
          <t xml:space="preserve">long</t>
        </is>
      </c>
      <c r="BO12"/>
      <c r="BP12" s="4">
        <v>100.21921832319715</v>
      </c>
      <c r="BQ12" s="4">
        <v>100.23604966041144</v>
      </c>
      <c r="BR12" s="4">
        <v>0.01062018639890755</v>
      </c>
      <c r="BS12" s="6">
        <v>1</v>
      </c>
      <c r="BT12" s="4">
        <v>1.0643467793451646</v>
      </c>
      <c r="BU12" s="4">
        <v>1.0643467793451646</v>
      </c>
      <c r="BV12" s="4">
        <v>1.0645255312837232</v>
      </c>
      <c r="BW12" s="4">
        <v>0.00017875193855851668</v>
      </c>
      <c r="BX12" s="4">
        <v>2.4530074152484538e-17</v>
      </c>
      <c r="BY12" s="4">
        <v>2.038</v>
      </c>
      <c r="BZ12" s="4">
        <v>2.017</v>
      </c>
      <c r="CA12" s="6"/>
      <c r="CB12" s="6"/>
      <c r="CC12" s="6"/>
      <c r="CD12" s="9">
        <v>14</v>
      </c>
      <c r="CE12" s="7">
        <f>IFERROR(BW12/F12,0)</f>
        <v>0.00016794520547945205</v>
      </c>
      <c r="CF12" t="inlineStr">
        <is>
          <t xml:space="preserve">SI69F</t>
        </is>
      </c>
      <c r="CG12" t="inlineStr">
        <is>
          <t xml:space="preserve">future</t>
        </is>
      </c>
      <c r="CH12" t="inlineStr">
        <is>
          <t xml:space="preserve">lease</t>
        </is>
      </c>
      <c r="CI12" t="inlineStr">
        <is>
          <t xml:space="preserve">long</t>
        </is>
      </c>
      <c r="CJ12" t="inlineStr">
        <is>
          <t xml:space="preserve">regular</t>
        </is>
      </c>
      <c r="CK12" s="4">
        <v>2.006</v>
      </c>
      <c r="CL12" s="4">
        <v>1.9680000000000002</v>
      </c>
      <c r="CM12" s="4">
        <v>0.5305816447383673</v>
      </c>
      <c r="CN12" s="6">
        <v>1</v>
      </c>
      <c r="CO12" s="4">
        <v>1.0643467793451646</v>
      </c>
      <c r="CP12" s="4">
        <v>0</v>
      </c>
      <c r="CQ12" s="4">
        <v>0</v>
      </c>
      <c r="CR12" s="4">
        <v>-0.020162102500057767</v>
      </c>
      <c r="CS12" s="4">
        <v>0.020162102500057767</v>
      </c>
      <c r="CT12" s="4">
        <v>2.038</v>
      </c>
      <c r="CU12" s="4">
        <v>2.017</v>
      </c>
      <c r="CV12" s="6">
        <v>-0.015701668302257166</v>
      </c>
      <c r="CW12" s="6">
        <v>0.0613</v>
      </c>
      <c r="CX12" s="6">
        <v>0.47066492359456186</v>
      </c>
      <c r="CY12" s="9">
        <v>14</v>
      </c>
      <c r="CZ12" s="7">
        <f>IFERROR(CR12/F12,0)</f>
        <v>-0.018943170488534222</v>
      </c>
      <c r="DA12" t="inlineStr">
        <is>
          <t xml:space="preserve">Lease cash / margin / financing</t>
        </is>
      </c>
      <c r="DB12" t="inlineStr">
        <is>
          <t xml:space="preserve">cash</t>
        </is>
      </c>
      <c r="DC12" t="inlineStr">
        <is>
          <t xml:space="preserve">lease</t>
        </is>
      </c>
      <c r="DD12" t="inlineStr">
        <is>
          <t xml:space="preserve">cash</t>
        </is>
      </c>
      <c r="DE12"/>
      <c r="DF12" s="4">
        <v>1</v>
      </c>
      <c r="DG12" s="4">
        <v>1</v>
      </c>
      <c r="DH12" s="4">
        <v>0</v>
      </c>
      <c r="DI12" s="6"/>
      <c r="DJ12" s="4">
        <v>0</v>
      </c>
      <c r="DK12" s="4">
        <v>0</v>
      </c>
      <c r="DL12" s="4">
        <v>-0.02016210250005779</v>
      </c>
      <c r="DM12" s="4">
        <v>0</v>
      </c>
      <c r="DN12" s="4">
        <v>-0.02016210250005779</v>
      </c>
      <c r="DO12" s="4">
        <v>2.038</v>
      </c>
      <c r="DP12" s="4">
        <v>2.017</v>
      </c>
      <c r="DQ12" s="6"/>
      <c r="DR12" s="6"/>
      <c r="DS12" s="6"/>
      <c r="DT12" s="9"/>
      <c r="DU12" s="7">
        <f>IFERROR(DM12/F12,0)</f>
        <v>0</v>
      </c>
      <c r="DV12" t="inlineStr">
        <is>
          <t xml:space="preserve">Keep cash / margin / financing</t>
        </is>
      </c>
      <c r="DW12" t="inlineStr">
        <is>
          <t xml:space="preserve">cash</t>
        </is>
      </c>
      <c r="DX12" t="inlineStr">
        <is>
          <t xml:space="preserve">keep</t>
        </is>
      </c>
      <c r="DY12" t="inlineStr">
        <is>
          <t xml:space="preserve">cash</t>
        </is>
      </c>
      <c r="DZ12"/>
      <c r="EA12" s="4">
        <v>1</v>
      </c>
      <c r="EB12" s="4">
        <v>1</v>
      </c>
      <c r="EC12" s="4">
        <v>0</v>
      </c>
      <c r="ED12" s="6"/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2.038</v>
      </c>
      <c r="EK12" s="4">
        <v>2.017</v>
      </c>
      <c r="EL12" s="6"/>
      <c r="EM12" s="6"/>
      <c r="EN12" s="6"/>
      <c r="EO12" s="9"/>
      <c r="EP12" s="7">
        <f>IFERROR(EH12/F12,0)</f>
        <v>0</v>
      </c>
      <c r="EQ12"/>
      <c r="ER12"/>
      <c r="ES12"/>
      <c r="ET12"/>
      <c r="EU12"/>
      <c r="EV12" s="4"/>
      <c r="EW12" s="4"/>
      <c r="EX12" s="4"/>
      <c r="EY12" s="6"/>
      <c r="EZ12" s="4"/>
      <c r="FA12" s="4"/>
      <c r="FB12" s="4"/>
      <c r="FC12" s="4"/>
      <c r="FD12" s="4"/>
      <c r="FE12" s="4"/>
      <c r="FF12" s="4"/>
      <c r="FG12" s="6"/>
      <c r="FH12" s="6"/>
      <c r="FI12" s="6"/>
      <c r="FJ12" s="9"/>
      <c r="FK12"/>
      <c r="FL12"/>
      <c r="FM12"/>
      <c r="FN12"/>
      <c r="FO12"/>
      <c r="FP12"/>
      <c r="FQ12" s="4"/>
      <c r="FR12" s="4"/>
      <c r="FS12" s="4"/>
      <c r="FT12" s="6"/>
      <c r="FU12" s="4"/>
      <c r="FV12" s="4"/>
      <c r="FW12" s="4"/>
      <c r="FX12" s="4"/>
      <c r="FY12" s="4"/>
      <c r="FZ12" s="4"/>
      <c r="GA12" s="4"/>
      <c r="GB12" s="6"/>
      <c r="GC12" s="6"/>
      <c r="GD12" s="6"/>
      <c r="GE12" s="9"/>
      <c r="GF12"/>
      <c r="GG12"/>
      <c r="GH12"/>
      <c r="GI12"/>
      <c r="GJ12"/>
      <c r="GK12"/>
      <c r="GL12" s="4"/>
      <c r="GM12" s="4"/>
      <c r="GN12" s="4"/>
      <c r="GO12" s="6"/>
      <c r="GP12" s="4"/>
      <c r="GQ12" s="4"/>
      <c r="GR12" s="4"/>
      <c r="GS12" s="4"/>
      <c r="GT12" s="4"/>
      <c r="GU12" s="4"/>
      <c r="GV12" s="4"/>
      <c r="GW12" s="6"/>
      <c r="GX12" s="6"/>
      <c r="GY12" s="6"/>
      <c r="GZ12" s="9"/>
      <c r="HA12"/>
      <c r="HB12"/>
      <c r="HC12"/>
      <c r="HD12"/>
      <c r="HE12"/>
      <c r="HF12"/>
      <c r="HG12" s="4"/>
      <c r="HH12" s="4"/>
      <c r="HI12" s="4"/>
      <c r="HJ12" s="6"/>
      <c r="HK12" s="4"/>
      <c r="HL12" s="4"/>
      <c r="HM12" s="4"/>
      <c r="HN12" s="4"/>
      <c r="HO12" s="4"/>
      <c r="HP12" s="4"/>
      <c r="HQ12" s="4"/>
      <c r="HR12" s="6"/>
      <c r="HS12" s="6"/>
      <c r="HT12" s="6"/>
      <c r="HU12" s="9"/>
      <c r="HV12"/>
      <c r="HW12"/>
      <c r="HX12"/>
      <c r="HY12"/>
      <c r="HZ12"/>
      <c r="IA12"/>
      <c r="IB12" s="4"/>
      <c r="IC12" s="4"/>
      <c r="ID12" s="4"/>
      <c r="IE12" s="6"/>
      <c r="IF12" s="4"/>
      <c r="IG12" s="4"/>
      <c r="IH12" s="4"/>
      <c r="II12" s="4"/>
      <c r="IJ12" s="4"/>
      <c r="IK12" s="4"/>
      <c r="IL12" s="4"/>
      <c r="IM12" s="6"/>
      <c r="IN12" s="6"/>
      <c r="IO12" s="6"/>
      <c r="IP12" s="9"/>
      <c r="IQ12"/>
      <c r="IR12"/>
      <c r="IS12"/>
      <c r="IT12"/>
      <c r="IU12"/>
      <c r="IV12"/>
      <c r="IW12" s="4"/>
      <c r="IX12" s="4"/>
      <c r="IY12" s="4"/>
      <c r="IZ12" s="6"/>
      <c r="JA12" s="4"/>
      <c r="JB12" s="4"/>
      <c r="JC12" s="4"/>
      <c r="JD12" s="4"/>
      <c r="JE12" s="4"/>
      <c r="JF12" s="4"/>
      <c r="JG12" s="4"/>
      <c r="JH12" s="6"/>
      <c r="JI12" s="6"/>
      <c r="JJ12" s="6"/>
      <c r="JK12" s="9"/>
      <c r="JL12"/>
    </row>
    <row r="13">
      <c r="A13" s="8">
        <v>25219</v>
      </c>
      <c r="B13" s="8">
        <v>25220</v>
      </c>
      <c r="C13" s="9">
        <f>B13-A13</f>
        <v>1</v>
      </c>
      <c r="D13" s="8">
        <v>25219</v>
      </c>
      <c r="E13" t="inlineStr">
        <is>
          <t xml:space="preserve">positive</t>
        </is>
      </c>
      <c r="F13" s="4">
        <v>1.0443634287836654</v>
      </c>
      <c r="G13" s="6">
        <v>0.0006738835059583293</v>
      </c>
      <c r="H13" s="7">
        <f>SUM(CE13,CZ13,DU13,EP13,FK13,GF13,HA13,HV13,IQ13,JL13)</f>
        <v>0.0006738835059583292</v>
      </c>
      <c r="I13" s="7">
        <f>G13-H13</f>
        <v>1.0842021724855044e-19</v>
      </c>
      <c r="J13" s="5">
        <f>F13*(1+H13)</f>
        <v>1.0450672080725487</v>
      </c>
      <c r="K13" s="4">
        <v>1.0450672080725487</v>
      </c>
      <c r="L13" s="5">
        <f>K13-J13</f>
        <v>0</v>
      </c>
      <c r="M13" s="4">
        <v>2.017</v>
      </c>
      <c r="N13" s="4">
        <v>1.994</v>
      </c>
      <c r="O13" s="5">
        <f>M13/$M$3</f>
        <v>1.0301327885597549</v>
      </c>
      <c r="P13" s="5">
        <f>N13/$M$3</f>
        <v>1.0183861082737486</v>
      </c>
      <c r="Q13" s="7">
        <f>IFERROR(N13/M13-1,0)</f>
        <v>-0.011403073872087166</v>
      </c>
      <c r="R13" s="5">
        <f>SUM(IF(BM13="lease",BU13,0),IF(CH13="lease",CP13,0),IF(DC13="lease",DK13,0),IF(DX13="lease",EF13,0),IF(ES13="lease",FA13,0),IF(FN13="lease",FV13,0),IF(GI13="lease",GQ13,0),IF(HD13="lease",HL13,0),IF(HY13="lease",IG13,0),IF(IT13="lease",JB13,0))</f>
        <v>1.0443634287836654</v>
      </c>
      <c r="S13" s="5">
        <f>SUM(IF(BM13="lease",BV13,0),IF(CH13="lease",CQ13,0),IF(DC13="lease",DL13,0),IF(DX13="lease",EG13,0),IF(ES13="lease",FB13,0),IF(FN13="lease",FW13,0),IF(GI13="lease",GR13,0),IF(HD13="lease",HM13,0),IF(HY13="lease",IH13,0),IF(IT13="lease",JC13,0))</f>
        <v>1.0450672080725487</v>
      </c>
      <c r="T13" s="5">
        <f>SUM(IF(BM13="keep",BU13,0),IF(CH13="keep",CP13,0),IF(DC13="keep",DK13,0),IF(DX13="keep",EF13,0),IF(ES13="keep",FA13,0),IF(FN13="keep",FV13,0),IF(GI13="keep",GQ13,0),IF(HD13="keep",HL13,0),IF(HY13="keep",IG13,0),IF(IT13="keep",JB13,0))</f>
        <v>0</v>
      </c>
      <c r="U13" s="5">
        <f>SUM(IF(BM13="keep",BV13,0),IF(CH13="keep",CQ13,0),IF(DC13="keep",DL13,0),IF(DX13="keep",EG13,0),IF(ES13="keep",FB13,0),IF(FN13="keep",FW13,0),IF(GI13="keep",GR13,0),IF(HD13="keep",HM13,0),IF(HY13="keep",IH13,0),IF(IT13="keep",JC13,0))</f>
        <v>0</v>
      </c>
      <c r="V13" s="5">
        <f>R13/O13</f>
        <v>1.0138143745951496</v>
      </c>
      <c r="W13" s="5">
        <f>S13/P13</f>
        <v>1.0261993948876884</v>
      </c>
      <c r="X13" s="5">
        <f>T13/O13</f>
        <v>0</v>
      </c>
      <c r="Y13" s="5">
        <f>U13/P13</f>
        <v>0</v>
      </c>
      <c r="Z13" s="5">
        <f>V13+X13</f>
        <v>1.0138143745951496</v>
      </c>
      <c r="AA13" s="7">
        <f>IFERROR(W13/V13-1,0)</f>
        <v>0.012216260296649128</v>
      </c>
      <c r="AB13" s="7">
        <f>IFERROR((W13-V13)/Z13,0)</f>
        <v>0.012216260296649087</v>
      </c>
      <c r="AC13" s="7">
        <f>IFERROR(Y13/X13-1,0)</f>
        <v>0</v>
      </c>
      <c r="AD13" s="7">
        <f>IFERROR((Y13-X13)/Z13,0)</f>
        <v>0</v>
      </c>
      <c r="AE13" s="7">
        <f>AB13+AD13</f>
        <v>0.012216260296649087</v>
      </c>
      <c r="AF13" s="7">
        <f>(1+Q13)*(1+AE13)-1</f>
        <v>0.0006738835059585391</v>
      </c>
      <c r="AG13" s="7">
        <f>G13-AF13</f>
        <v>-2.097931203759451e-16</v>
      </c>
      <c r="AH13" s="5">
        <f>SUM(IF(BM13="lease",BW13,0),IF(CH13="lease",CR13,0),IF(DC13="lease",DM13,0),IF(DX13="lease",EH13,0),IF(ES13="lease",FC13,0),IF(FN13="lease",FX13,0),IF(GI13="lease",GS13,0),IF(HD13="lease",HN13,0),IF(HY13="lease",II13,0),IF(IT13="lease",JD13,0))</f>
        <v>0.0007037792888833983</v>
      </c>
      <c r="AI13" s="5">
        <f>SUM(IF(BM13="keep",BW13,0),IF(CH13="keep",CR13,0),IF(DC13="keep",DM13,0),IF(DX13="keep",EH13,0),IF(ES13="keep",FC13,0),IF(FN13="keep",FX13,0),IF(GI13="keep",GS13,0),IF(HD13="keep",HN13,0),IF(HY13="keep",II13,0),IF(IT13="keep",JD13,0))</f>
        <v>0</v>
      </c>
      <c r="AJ13" s="5">
        <f>SUM(IF(BM13="lease",BX13,0),IF(CH13="lease",CS13,0),IF(DC13="lease",DN13,0),IF(DX13="lease",EI13,0),IF(ES13="lease",FD13,0),IF(FN13="lease",FY13,0),IF(GI13="lease",GT13,0),IF(HD13="lease",HO13,0),IF(HY13="lease",IJ13,0),IF(IT13="lease",JE13,0))</f>
        <v>0</v>
      </c>
      <c r="AK13" s="5">
        <f>SUM(IF(BM13="keep",BX13,0),IF(CH13="keep",CS13,0),IF(DC13="keep",DN13,0),IF(DX13="keep",EI13,0),IF(ES13="keep",FD13,0),IF(FN13="keep",FY13,0),IF(GI13="keep",GT13,0),IF(HD13="keep",HO13,0),IF(HY13="keep",IJ13,0),IF(IT13="keep",JE13,0))</f>
        <v>0</v>
      </c>
      <c r="AL13" s="5">
        <f>R13-S12</f>
        <v>0</v>
      </c>
      <c r="AM13" s="5">
        <f>T13-U12</f>
        <v>0</v>
      </c>
      <c r="AN13" s="5">
        <f>AN12</f>
        <v>1</v>
      </c>
      <c r="AO13" s="5">
        <f>AO12+AH13</f>
        <v>0.04506720807254879</v>
      </c>
      <c r="AP13" s="5">
        <f>AP12+AL13</f>
        <v>0</v>
      </c>
      <c r="AQ13" s="5">
        <f>AN13+AO13+AP13</f>
        <v>1.0450672080725487</v>
      </c>
      <c r="AR13" s="5">
        <f>S13-AQ13</f>
        <v>0</v>
      </c>
      <c r="AS13" s="5">
        <f>AS12</f>
        <v>0</v>
      </c>
      <c r="AT13" s="5">
        <f>AT12+AI13</f>
        <v>0</v>
      </c>
      <c r="AU13" s="5">
        <f>AU12+AM13</f>
        <v>0</v>
      </c>
      <c r="AV13" s="5">
        <f>AS13+AT13+AU13</f>
        <v>0</v>
      </c>
      <c r="AW13" s="5">
        <f>U13-AV13</f>
        <v>0</v>
      </c>
      <c r="AX13" s="4">
        <v>1.0443634287836654</v>
      </c>
      <c r="AY13" s="4">
        <v>1.0450672080725487</v>
      </c>
      <c r="AZ13" s="5">
        <f>S13-AY13</f>
        <v>0</v>
      </c>
      <c r="BA13" s="4">
        <v>0</v>
      </c>
      <c r="BB13" s="4">
        <v>0</v>
      </c>
      <c r="BC13" s="5">
        <f>U13-BB13</f>
        <v>0</v>
      </c>
      <c r="BD13" s="7">
        <f>SUM(IF(BL13="direct",CE13,0),IF(CG13="direct",CZ13,0),IF(DB13="direct",DU13,0),IF(DW13="direct",EP13,0),IF(ER13="direct",FK13,0),IF(FM13="direct",GF13,0),IF(GH13="direct",HA13,0),IF(HC13="direct",HV13,0),IF(HX13="direct",IQ13,0),IF(IS13="direct",JL13,0))</f>
        <v>0</v>
      </c>
      <c r="BE13" s="7">
        <f>SUM(IF(BL13="treasury",CE13,0),IF(CG13="treasury",CZ13,0),IF(DB13="treasury",DU13,0),IF(DW13="treasury",EP13,0),IF(ER13="treasury",FK13,0),IF(FM13="treasury",GF13,0),IF(GH13="treasury",HA13,0),IF(HC13="treasury",HV13,0),IF(HX13="treasury",IQ13,0),IF(IS13="treasury",JL13,0))</f>
        <v>0.00016575342465753425</v>
      </c>
      <c r="BF13" s="7">
        <f>SUM(IF(BL13="future",CE13,0),IF(CG13="future",CZ13,0),IF(DB13="future",DU13,0),IF(DW13="future",EP13,0),IF(ER13="future",FK13,0),IF(FM13="future",GF13,0),IF(GH13="future",HA13,0),IF(HC13="future",HV13,0),IF(HX13="future",IQ13,0),IF(IS13="future",JL13,0))</f>
        <v>0.000508130081300795</v>
      </c>
      <c r="BG13" s="7">
        <f>SUM(IF(BL13="cash",CE13,0),IF(CG13="cash",CZ13,0),IF(DB13="cash",DU13,0),IF(DW13="cash",EP13,0),IF(ER13="cash",FK13,0),IF(FM13="cash",GF13,0),IF(GH13="cash",HA13,0),IF(HC13="cash",HV13,0),IF(HX13="cash",IQ13,0),IF(IS13="cash",JL13,0))</f>
        <v>0</v>
      </c>
      <c r="BH13" s="7">
        <f>SUM(BD13:BG13)</f>
        <v>0.0006738835059583292</v>
      </c>
      <c r="BI13" s="7">
        <f>G13-BH13</f>
        <v>1.0842021724855044e-19</v>
      </c>
      <c r="BJ13" s="9">
        <f>COUNTA(BK13,CF13,DA13,DV13,EQ13,FL13,GG13,HB13,HW13,IR13)</f>
        <v>4</v>
      </c>
      <c r="BK13" t="inlineStr">
        <is>
          <t xml:space="preserve">Treasury collateral</t>
        </is>
      </c>
      <c r="BL13" t="inlineStr">
        <is>
          <t xml:space="preserve">treasury</t>
        </is>
      </c>
      <c r="BM13" t="inlineStr">
        <is>
          <t xml:space="preserve">lease</t>
        </is>
      </c>
      <c r="BN13" t="inlineStr">
        <is>
          <t xml:space="preserve">long</t>
        </is>
      </c>
      <c r="BO13"/>
      <c r="BP13" s="4">
        <v>100.23604966041144</v>
      </c>
      <c r="BQ13" s="4">
        <v>100.2526641289168</v>
      </c>
      <c r="BR13" s="4">
        <v>0.010419040178876285</v>
      </c>
      <c r="BS13" s="6">
        <v>1</v>
      </c>
      <c r="BT13" s="4">
        <v>1.0443634287836654</v>
      </c>
      <c r="BU13" s="4">
        <v>1.0443634287836654</v>
      </c>
      <c r="BV13" s="4">
        <v>1.0445365355985734</v>
      </c>
      <c r="BW13" s="4">
        <v>0.0001731068149079774</v>
      </c>
      <c r="BX13" s="4">
        <v>3.098107707877329e-17</v>
      </c>
      <c r="BY13" s="4">
        <v>2.017</v>
      </c>
      <c r="BZ13" s="4">
        <v>1.994</v>
      </c>
      <c r="CA13" s="6"/>
      <c r="CB13" s="6"/>
      <c r="CC13" s="6"/>
      <c r="CD13" s="9">
        <v>13</v>
      </c>
      <c r="CE13" s="7">
        <f>IFERROR(BW13/F13,0)</f>
        <v>0.00016575342465753425</v>
      </c>
      <c r="CF13" t="inlineStr">
        <is>
          <t xml:space="preserve">SI69F</t>
        </is>
      </c>
      <c r="CG13" t="inlineStr">
        <is>
          <t xml:space="preserve">future</t>
        </is>
      </c>
      <c r="CH13" t="inlineStr">
        <is>
          <t xml:space="preserve">lease</t>
        </is>
      </c>
      <c r="CI13" t="inlineStr">
        <is>
          <t xml:space="preserve">long</t>
        </is>
      </c>
      <c r="CJ13" t="inlineStr">
        <is>
          <t xml:space="preserve">regular</t>
        </is>
      </c>
      <c r="CK13" s="4">
        <v>1.9680000000000002</v>
      </c>
      <c r="CL13" s="4">
        <v>1.969</v>
      </c>
      <c r="CM13" s="4">
        <v>0.5306724739754397</v>
      </c>
      <c r="CN13" s="6">
        <v>1</v>
      </c>
      <c r="CO13" s="4">
        <v>1.0443634287836654</v>
      </c>
      <c r="CP13" s="4">
        <v>0</v>
      </c>
      <c r="CQ13" s="4">
        <v>0</v>
      </c>
      <c r="CR13" s="4">
        <v>0.0005306724739754209</v>
      </c>
      <c r="CS13" s="4">
        <v>-0.0005306724739754209</v>
      </c>
      <c r="CT13" s="4">
        <v>2.017</v>
      </c>
      <c r="CU13" s="4">
        <v>1.994</v>
      </c>
      <c r="CV13" s="6">
        <v>-0.02429350520575102</v>
      </c>
      <c r="CW13" s="6">
        <v>0.0605</v>
      </c>
      <c r="CX13" s="6">
        <v>0.7425868769307017</v>
      </c>
      <c r="CY13" s="9">
        <v>13</v>
      </c>
      <c r="CZ13" s="7">
        <f>IFERROR(CR13/F13,0)</f>
        <v>0.000508130081300795</v>
      </c>
      <c r="DA13" t="inlineStr">
        <is>
          <t xml:space="preserve">Lease cash / margin / financing</t>
        </is>
      </c>
      <c r="DB13" t="inlineStr">
        <is>
          <t xml:space="preserve">cash</t>
        </is>
      </c>
      <c r="DC13" t="inlineStr">
        <is>
          <t xml:space="preserve">lease</t>
        </is>
      </c>
      <c r="DD13" t="inlineStr">
        <is>
          <t xml:space="preserve">cash</t>
        </is>
      </c>
      <c r="DE13"/>
      <c r="DF13" s="4">
        <v>1</v>
      </c>
      <c r="DG13" s="4">
        <v>1</v>
      </c>
      <c r="DH13" s="4">
        <v>0</v>
      </c>
      <c r="DI13" s="6"/>
      <c r="DJ13" s="4">
        <v>0</v>
      </c>
      <c r="DK13" s="4">
        <v>0</v>
      </c>
      <c r="DL13" s="4">
        <v>0.0005306724739753899</v>
      </c>
      <c r="DM13" s="4">
        <v>0</v>
      </c>
      <c r="DN13" s="4">
        <v>0.0005306724739753899</v>
      </c>
      <c r="DO13" s="4">
        <v>2.017</v>
      </c>
      <c r="DP13" s="4">
        <v>1.994</v>
      </c>
      <c r="DQ13" s="6"/>
      <c r="DR13" s="6"/>
      <c r="DS13" s="6"/>
      <c r="DT13" s="9"/>
      <c r="DU13" s="7">
        <f>IFERROR(DM13/F13,0)</f>
        <v>0</v>
      </c>
      <c r="DV13" t="inlineStr">
        <is>
          <t xml:space="preserve">Keep cash / margin / financing</t>
        </is>
      </c>
      <c r="DW13" t="inlineStr">
        <is>
          <t xml:space="preserve">cash</t>
        </is>
      </c>
      <c r="DX13" t="inlineStr">
        <is>
          <t xml:space="preserve">keep</t>
        </is>
      </c>
      <c r="DY13" t="inlineStr">
        <is>
          <t xml:space="preserve">cash</t>
        </is>
      </c>
      <c r="DZ13"/>
      <c r="EA13" s="4">
        <v>1</v>
      </c>
      <c r="EB13" s="4">
        <v>1</v>
      </c>
      <c r="EC13" s="4">
        <v>0</v>
      </c>
      <c r="ED13" s="6"/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2.017</v>
      </c>
      <c r="EK13" s="4">
        <v>1.994</v>
      </c>
      <c r="EL13" s="6"/>
      <c r="EM13" s="6"/>
      <c r="EN13" s="6"/>
      <c r="EO13" s="9"/>
      <c r="EP13" s="7">
        <f>IFERROR(EH13/F13,0)</f>
        <v>0</v>
      </c>
      <c r="EQ13"/>
      <c r="ER13"/>
      <c r="ES13"/>
      <c r="ET13"/>
      <c r="EU13"/>
      <c r="EV13" s="4"/>
      <c r="EW13" s="4"/>
      <c r="EX13" s="4"/>
      <c r="EY13" s="6"/>
      <c r="EZ13" s="4"/>
      <c r="FA13" s="4"/>
      <c r="FB13" s="4"/>
      <c r="FC13" s="4"/>
      <c r="FD13" s="4"/>
      <c r="FE13" s="4"/>
      <c r="FF13" s="4"/>
      <c r="FG13" s="6"/>
      <c r="FH13" s="6"/>
      <c r="FI13" s="6"/>
      <c r="FJ13" s="9"/>
      <c r="FK13"/>
      <c r="FL13"/>
      <c r="FM13"/>
      <c r="FN13"/>
      <c r="FO13"/>
      <c r="FP13"/>
      <c r="FQ13" s="4"/>
      <c r="FR13" s="4"/>
      <c r="FS13" s="4"/>
      <c r="FT13" s="6"/>
      <c r="FU13" s="4"/>
      <c r="FV13" s="4"/>
      <c r="FW13" s="4"/>
      <c r="FX13" s="4"/>
      <c r="FY13" s="4"/>
      <c r="FZ13" s="4"/>
      <c r="GA13" s="4"/>
      <c r="GB13" s="6"/>
      <c r="GC13" s="6"/>
      <c r="GD13" s="6"/>
      <c r="GE13" s="9"/>
      <c r="GF13"/>
      <c r="GG13"/>
      <c r="GH13"/>
      <c r="GI13"/>
      <c r="GJ13"/>
      <c r="GK13"/>
      <c r="GL13" s="4"/>
      <c r="GM13" s="4"/>
      <c r="GN13" s="4"/>
      <c r="GO13" s="6"/>
      <c r="GP13" s="4"/>
      <c r="GQ13" s="4"/>
      <c r="GR13" s="4"/>
      <c r="GS13" s="4"/>
      <c r="GT13" s="4"/>
      <c r="GU13" s="4"/>
      <c r="GV13" s="4"/>
      <c r="GW13" s="6"/>
      <c r="GX13" s="6"/>
      <c r="GY13" s="6"/>
      <c r="GZ13" s="9"/>
      <c r="HA13"/>
      <c r="HB13"/>
      <c r="HC13"/>
      <c r="HD13"/>
      <c r="HE13"/>
      <c r="HF13"/>
      <c r="HG13" s="4"/>
      <c r="HH13" s="4"/>
      <c r="HI13" s="4"/>
      <c r="HJ13" s="6"/>
      <c r="HK13" s="4"/>
      <c r="HL13" s="4"/>
      <c r="HM13" s="4"/>
      <c r="HN13" s="4"/>
      <c r="HO13" s="4"/>
      <c r="HP13" s="4"/>
      <c r="HQ13" s="4"/>
      <c r="HR13" s="6"/>
      <c r="HS13" s="6"/>
      <c r="HT13" s="6"/>
      <c r="HU13" s="9"/>
      <c r="HV13"/>
      <c r="HW13"/>
      <c r="HX13"/>
      <c r="HY13"/>
      <c r="HZ13"/>
      <c r="IA13"/>
      <c r="IB13" s="4"/>
      <c r="IC13" s="4"/>
      <c r="ID13" s="4"/>
      <c r="IE13" s="6"/>
      <c r="IF13" s="4"/>
      <c r="IG13" s="4"/>
      <c r="IH13" s="4"/>
      <c r="II13" s="4"/>
      <c r="IJ13" s="4"/>
      <c r="IK13" s="4"/>
      <c r="IL13" s="4"/>
      <c r="IM13" s="6"/>
      <c r="IN13" s="6"/>
      <c r="IO13" s="6"/>
      <c r="IP13" s="9"/>
      <c r="IQ13"/>
      <c r="IR13"/>
      <c r="IS13"/>
      <c r="IT13"/>
      <c r="IU13"/>
      <c r="IV13"/>
      <c r="IW13" s="4"/>
      <c r="IX13" s="4"/>
      <c r="IY13" s="4"/>
      <c r="IZ13" s="6"/>
      <c r="JA13" s="4"/>
      <c r="JB13" s="4"/>
      <c r="JC13" s="4"/>
      <c r="JD13" s="4"/>
      <c r="JE13" s="4"/>
      <c r="JF13" s="4"/>
      <c r="JG13" s="4"/>
      <c r="JH13" s="6"/>
      <c r="JI13" s="6"/>
      <c r="JJ13" s="6"/>
      <c r="JK13" s="9"/>
      <c r="JL13"/>
    </row>
    <row r="14">
      <c r="A14" s="8">
        <v>25220</v>
      </c>
      <c r="B14" s="8">
        <v>25223</v>
      </c>
      <c r="C14" s="9">
        <f>B14-A14</f>
        <v>3</v>
      </c>
      <c r="D14" s="8">
        <v>25220</v>
      </c>
      <c r="E14" t="inlineStr">
        <is>
          <t xml:space="preserve">positive</t>
        </is>
      </c>
      <c r="F14" s="4">
        <v>1.0450672080725487</v>
      </c>
      <c r="G14" s="6">
        <v>0.016242936613398</v>
      </c>
      <c r="H14" s="7">
        <f>SUM(CE14,CZ14,DU14,EP14,FK14,GF14,HA14,HV14,IQ14,JL14)</f>
        <v>0.016242936613398</v>
      </c>
      <c r="I14" s="7">
        <f>G14-H14</f>
        <v>0</v>
      </c>
      <c r="J14" s="5">
        <f>F14*(1+H14)</f>
        <v>1.0620421684900119</v>
      </c>
      <c r="K14" s="4">
        <v>1.0620421684900119</v>
      </c>
      <c r="L14" s="5">
        <f>K14-J14</f>
        <v>0</v>
      </c>
      <c r="M14" s="4">
        <v>1.994</v>
      </c>
      <c r="N14" s="4">
        <v>1.994</v>
      </c>
      <c r="O14" s="5">
        <f>M14/$M$3</f>
        <v>1.0183861082737486</v>
      </c>
      <c r="P14" s="5">
        <f>N14/$M$3</f>
        <v>1.0183861082737486</v>
      </c>
      <c r="Q14" s="7">
        <f>IFERROR(N14/M14-1,0)</f>
        <v>0</v>
      </c>
      <c r="R14" s="5">
        <f>SUM(IF(BM14="lease",BU14,0),IF(CH14="lease",CP14,0),IF(DC14="lease",DK14,0),IF(DX14="lease",EF14,0),IF(ES14="lease",FA14,0),IF(FN14="lease",FV14,0),IF(GI14="lease",GQ14,0),IF(HD14="lease",HL14,0),IF(HY14="lease",IG14,0),IF(IT14="lease",JB14,0))</f>
        <v>1.0450672080725487</v>
      </c>
      <c r="S14" s="5">
        <f>SUM(IF(BM14="lease",BV14,0),IF(CH14="lease",CQ14,0),IF(DC14="lease",DL14,0),IF(DX14="lease",EG14,0),IF(ES14="lease",FB14,0),IF(FN14="lease",FW14,0),IF(GI14="lease",GR14,0),IF(HD14="lease",HM14,0),IF(HY14="lease",IH14,0),IF(IT14="lease",JC14,0))</f>
        <v>1.0620421684900119</v>
      </c>
      <c r="T14" s="5">
        <f>SUM(IF(BM14="keep",BU14,0),IF(CH14="keep",CP14,0),IF(DC14="keep",DK14,0),IF(DX14="keep",EF14,0),IF(ES14="keep",FA14,0),IF(FN14="keep",FV14,0),IF(GI14="keep",GQ14,0),IF(HD14="keep",HL14,0),IF(HY14="keep",IG14,0),IF(IT14="keep",JB14,0))</f>
        <v>0</v>
      </c>
      <c r="U14" s="5">
        <f>SUM(IF(BM14="keep",BV14,0),IF(CH14="keep",CQ14,0),IF(DC14="keep",DL14,0),IF(DX14="keep",EG14,0),IF(ES14="keep",FB14,0),IF(FN14="keep",FW14,0),IF(GI14="keep",GR14,0),IF(HD14="keep",HM14,0),IF(HY14="keep",IH14,0),IF(IT14="keep",JC14,0))</f>
        <v>0</v>
      </c>
      <c r="V14" s="5">
        <f>R14/O14</f>
        <v>1.0261993948876884</v>
      </c>
      <c r="W14" s="5">
        <f>S14/P14</f>
        <v>1.0428678866115564</v>
      </c>
      <c r="X14" s="5">
        <f>T14/O14</f>
        <v>0</v>
      </c>
      <c r="Y14" s="5">
        <f>U14/P14</f>
        <v>0</v>
      </c>
      <c r="Z14" s="5">
        <f>V14+X14</f>
        <v>1.0261993948876884</v>
      </c>
      <c r="AA14" s="7">
        <f>IFERROR(W14/V14-1,0)</f>
        <v>0.016242936613397818</v>
      </c>
      <c r="AB14" s="7">
        <f>IFERROR((W14-V14)/Z14,0)</f>
        <v>0.01624293661339787</v>
      </c>
      <c r="AC14" s="7">
        <f>IFERROR(Y14/X14-1,0)</f>
        <v>0</v>
      </c>
      <c r="AD14" s="7">
        <f>IFERROR((Y14-X14)/Z14,0)</f>
        <v>0</v>
      </c>
      <c r="AE14" s="7">
        <f>AB14+AD14</f>
        <v>0.01624293661339787</v>
      </c>
      <c r="AF14" s="7">
        <f>(1+Q14)*(1+AE14)-1</f>
        <v>0.016242936613397818</v>
      </c>
      <c r="AG14" s="7">
        <f>G14-AF14</f>
        <v>1.8041124150158794e-16</v>
      </c>
      <c r="AH14" s="5">
        <f>SUM(IF(BM14="lease",BW14,0),IF(CH14="lease",CR14,0),IF(DC14="lease",DM14,0),IF(DX14="lease",EH14,0),IF(ES14="lease",FC14,0),IF(FN14="lease",FX14,0),IF(GI14="lease",GS14,0),IF(HD14="lease",HN14,0),IF(HY14="lease",II14,0),IF(IT14="lease",JD14,0))</f>
        <v>0.016974960417463224</v>
      </c>
      <c r="AI14" s="5">
        <f>SUM(IF(BM14="keep",BW14,0),IF(CH14="keep",CR14,0),IF(DC14="keep",DM14,0),IF(DX14="keep",EH14,0),IF(ES14="keep",FC14,0),IF(FN14="keep",FX14,0),IF(GI14="keep",GS14,0),IF(HD14="keep",HN14,0),IF(HY14="keep",II14,0),IF(IT14="keep",JD14,0))</f>
        <v>0</v>
      </c>
      <c r="AJ14" s="5">
        <f>SUM(IF(BM14="lease",BX14,0),IF(CH14="lease",CS14,0),IF(DC14="lease",DN14,0),IF(DX14="lease",EI14,0),IF(ES14="lease",FD14,0),IF(FN14="lease",FY14,0),IF(GI14="lease",GT14,0),IF(HD14="lease",HO14,0),IF(HY14="lease",IJ14,0),IF(IT14="lease",JE14,0))</f>
        <v>0</v>
      </c>
      <c r="AK14" s="5">
        <f>SUM(IF(BM14="keep",BX14,0),IF(CH14="keep",CS14,0),IF(DC14="keep",DN14,0),IF(DX14="keep",EI14,0),IF(ES14="keep",FD14,0),IF(FN14="keep",FY14,0),IF(GI14="keep",GT14,0),IF(HD14="keep",HO14,0),IF(HY14="keep",IJ14,0),IF(IT14="keep",JE14,0))</f>
        <v>0</v>
      </c>
      <c r="AL14" s="5">
        <f>R14-S13</f>
        <v>0</v>
      </c>
      <c r="AM14" s="5">
        <f>T14-U13</f>
        <v>0</v>
      </c>
      <c r="AN14" s="5">
        <f>AN13</f>
        <v>1</v>
      </c>
      <c r="AO14" s="5">
        <f>AO13+AH14</f>
        <v>0.06204216849001201</v>
      </c>
      <c r="AP14" s="5">
        <f>AP13+AL14</f>
        <v>0</v>
      </c>
      <c r="AQ14" s="5">
        <f>AN14+AO14+AP14</f>
        <v>1.062042168490012</v>
      </c>
      <c r="AR14" s="5">
        <f>S14-AQ14</f>
        <v>-2.220446049250313e-16</v>
      </c>
      <c r="AS14" s="5">
        <f>AS13</f>
        <v>0</v>
      </c>
      <c r="AT14" s="5">
        <f>AT13+AI14</f>
        <v>0</v>
      </c>
      <c r="AU14" s="5">
        <f>AU13+AM14</f>
        <v>0</v>
      </c>
      <c r="AV14" s="5">
        <f>AS14+AT14+AU14</f>
        <v>0</v>
      </c>
      <c r="AW14" s="5">
        <f>U14-AV14</f>
        <v>0</v>
      </c>
      <c r="AX14" s="4">
        <v>1.0450672080725487</v>
      </c>
      <c r="AY14" s="4">
        <v>1.0620421684900119</v>
      </c>
      <c r="AZ14" s="5">
        <f>S14-AY14</f>
        <v>0</v>
      </c>
      <c r="BA14" s="4">
        <v>0</v>
      </c>
      <c r="BB14" s="4">
        <v>0</v>
      </c>
      <c r="BC14" s="5">
        <f>U14-BB14</f>
        <v>0</v>
      </c>
      <c r="BD14" s="7">
        <f>SUM(IF(BL14="direct",CE14,0),IF(CG14="direct",CZ14,0),IF(DB14="direct",DU14,0),IF(DW14="direct",EP14,0),IF(ER14="direct",FK14,0),IF(FM14="direct",GF14,0),IF(GH14="direct",HA14,0),IF(HC14="direct",HV14,0),IF(HX14="direct",IQ14,0),IF(IS14="direct",JL14,0))</f>
        <v>0</v>
      </c>
      <c r="BE14" s="7">
        <f>SUM(IF(BL14="treasury",CE14,0),IF(CG14="treasury",CZ14,0),IF(DB14="treasury",DU14,0),IF(DW14="treasury",EP14,0),IF(ER14="treasury",FK14,0),IF(FM14="treasury",GF14,0),IF(GH14="treasury",HA14,0),IF(HC14="treasury",HV14,0),IF(HX14="treasury",IQ14,0),IF(IS14="treasury",JL14,0))</f>
        <v>0.0004989041095890412</v>
      </c>
      <c r="BF14" s="7">
        <f>SUM(IF(BL14="future",CE14,0),IF(CG14="future",CZ14,0),IF(DB14="future",DU14,0),IF(DW14="future",EP14,0),IF(ER14="future",FK14,0),IF(FM14="future",GF14,0),IF(GH14="future",HA14,0),IF(HC14="future",HV14,0),IF(HX14="future",IQ14,0),IF(IS14="future",JL14,0))</f>
        <v>0.015744032503808958</v>
      </c>
      <c r="BG14" s="7">
        <f>SUM(IF(BL14="cash",CE14,0),IF(CG14="cash",CZ14,0),IF(DB14="cash",DU14,0),IF(DW14="cash",EP14,0),IF(ER14="cash",FK14,0),IF(FM14="cash",GF14,0),IF(GH14="cash",HA14,0),IF(HC14="cash",HV14,0),IF(HX14="cash",IQ14,0),IF(IS14="cash",JL14,0))</f>
        <v>0</v>
      </c>
      <c r="BH14" s="7">
        <f>SUM(BD14:BG14)</f>
        <v>0.016242936613398</v>
      </c>
      <c r="BI14" s="7">
        <f>G14-BH14</f>
        <v>0</v>
      </c>
      <c r="BJ14" s="9">
        <f>COUNTA(BK14,CF14,DA14,DV14,EQ14,FL14,GG14,HB14,HW14,IR14)</f>
        <v>4</v>
      </c>
      <c r="BK14" t="inlineStr">
        <is>
          <t xml:space="preserve">Treasury collateral</t>
        </is>
      </c>
      <c r="BL14" t="inlineStr">
        <is>
          <t xml:space="preserve">treasury</t>
        </is>
      </c>
      <c r="BM14" t="inlineStr">
        <is>
          <t xml:space="preserve">lease</t>
        </is>
      </c>
      <c r="BN14" t="inlineStr">
        <is>
          <t xml:space="preserve">long</t>
        </is>
      </c>
      <c r="BO14"/>
      <c r="BP14" s="4">
        <v>100.2526641289168</v>
      </c>
      <c r="BQ14" s="4">
        <v>100.30268059504796</v>
      </c>
      <c r="BR14" s="4">
        <v>0.010424333529218505</v>
      </c>
      <c r="BS14" s="6">
        <v>1</v>
      </c>
      <c r="BT14" s="4">
        <v>1.0450672080725487</v>
      </c>
      <c r="BU14" s="4">
        <v>1.0450672080725487</v>
      </c>
      <c r="BV14" s="4">
        <v>1.0455885963974527</v>
      </c>
      <c r="BW14" s="4">
        <v>0.0005213883249041402</v>
      </c>
      <c r="BX14" s="4">
        <v>-1.360673726469308e-16</v>
      </c>
      <c r="BY14" s="4">
        <v>1.994</v>
      </c>
      <c r="BZ14" s="4">
        <v>1.994</v>
      </c>
      <c r="CA14" s="6"/>
      <c r="CB14" s="6"/>
      <c r="CC14" s="6"/>
      <c r="CD14" s="9">
        <v>12</v>
      </c>
      <c r="CE14" s="7">
        <f>IFERROR(BW14/F14,0)</f>
        <v>0.0004989041095890412</v>
      </c>
      <c r="CF14" t="inlineStr">
        <is>
          <t xml:space="preserve">SI69F</t>
        </is>
      </c>
      <c r="CG14" t="inlineStr">
        <is>
          <t xml:space="preserve">future</t>
        </is>
      </c>
      <c r="CH14" t="inlineStr">
        <is>
          <t xml:space="preserve">lease</t>
        </is>
      </c>
      <c r="CI14" t="inlineStr">
        <is>
          <t xml:space="preserve">long</t>
        </is>
      </c>
      <c r="CJ14" t="inlineStr">
        <is>
          <t xml:space="preserve">regular</t>
        </is>
      </c>
      <c r="CK14" s="4">
        <v>1.969</v>
      </c>
      <c r="CL14" s="4">
        <v>2</v>
      </c>
      <c r="CM14" s="4">
        <v>0.5307603900825539</v>
      </c>
      <c r="CN14" s="6">
        <v>1</v>
      </c>
      <c r="CO14" s="4">
        <v>1.0450672080725487</v>
      </c>
      <c r="CP14" s="4">
        <v>0</v>
      </c>
      <c r="CQ14" s="4">
        <v>0</v>
      </c>
      <c r="CR14" s="4">
        <v>0.016453572092559085</v>
      </c>
      <c r="CS14" s="4">
        <v>-0.016453572092559085</v>
      </c>
      <c r="CT14" s="4">
        <v>1.994</v>
      </c>
      <c r="CU14" s="4">
        <v>1.994</v>
      </c>
      <c r="CV14" s="6">
        <v>-0.01253761283851551</v>
      </c>
      <c r="CW14" s="6">
        <v>0.0607</v>
      </c>
      <c r="CX14" s="6">
        <v>0.4420523905048468</v>
      </c>
      <c r="CY14" s="9">
        <v>12</v>
      </c>
      <c r="CZ14" s="7">
        <f>IFERROR(CR14/F14,0)</f>
        <v>0.015744032503808958</v>
      </c>
      <c r="DA14" t="inlineStr">
        <is>
          <t xml:space="preserve">Lease cash / margin / financing</t>
        </is>
      </c>
      <c r="DB14" t="inlineStr">
        <is>
          <t xml:space="preserve">cash</t>
        </is>
      </c>
      <c r="DC14" t="inlineStr">
        <is>
          <t xml:space="preserve">lease</t>
        </is>
      </c>
      <c r="DD14" t="inlineStr">
        <is>
          <t xml:space="preserve">cash</t>
        </is>
      </c>
      <c r="DE14"/>
      <c r="DF14" s="4">
        <v>1</v>
      </c>
      <c r="DG14" s="4">
        <v>1</v>
      </c>
      <c r="DH14" s="4">
        <v>0</v>
      </c>
      <c r="DI14" s="6"/>
      <c r="DJ14" s="4">
        <v>0</v>
      </c>
      <c r="DK14" s="4">
        <v>0</v>
      </c>
      <c r="DL14" s="4">
        <v>0.01645357209255922</v>
      </c>
      <c r="DM14" s="4">
        <v>0</v>
      </c>
      <c r="DN14" s="4">
        <v>0.01645357209255922</v>
      </c>
      <c r="DO14" s="4">
        <v>1.994</v>
      </c>
      <c r="DP14" s="4">
        <v>1.994</v>
      </c>
      <c r="DQ14" s="6"/>
      <c r="DR14" s="6"/>
      <c r="DS14" s="6"/>
      <c r="DT14" s="9"/>
      <c r="DU14" s="7">
        <f>IFERROR(DM14/F14,0)</f>
        <v>0</v>
      </c>
      <c r="DV14" t="inlineStr">
        <is>
          <t xml:space="preserve">Keep cash / margin / financing</t>
        </is>
      </c>
      <c r="DW14" t="inlineStr">
        <is>
          <t xml:space="preserve">cash</t>
        </is>
      </c>
      <c r="DX14" t="inlineStr">
        <is>
          <t xml:space="preserve">keep</t>
        </is>
      </c>
      <c r="DY14" t="inlineStr">
        <is>
          <t xml:space="preserve">cash</t>
        </is>
      </c>
      <c r="DZ14"/>
      <c r="EA14" s="4">
        <v>1</v>
      </c>
      <c r="EB14" s="4">
        <v>1</v>
      </c>
      <c r="EC14" s="4">
        <v>0</v>
      </c>
      <c r="ED14" s="6"/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1.994</v>
      </c>
      <c r="EK14" s="4">
        <v>1.994</v>
      </c>
      <c r="EL14" s="6"/>
      <c r="EM14" s="6"/>
      <c r="EN14" s="6"/>
      <c r="EO14" s="9"/>
      <c r="EP14" s="7">
        <f>IFERROR(EH14/F14,0)</f>
        <v>0</v>
      </c>
      <c r="EQ14"/>
      <c r="ER14"/>
      <c r="ES14"/>
      <c r="ET14"/>
      <c r="EU14"/>
      <c r="EV14" s="4"/>
      <c r="EW14" s="4"/>
      <c r="EX14" s="4"/>
      <c r="EY14" s="6"/>
      <c r="EZ14" s="4"/>
      <c r="FA14" s="4"/>
      <c r="FB14" s="4"/>
      <c r="FC14" s="4"/>
      <c r="FD14" s="4"/>
      <c r="FE14" s="4"/>
      <c r="FF14" s="4"/>
      <c r="FG14" s="6"/>
      <c r="FH14" s="6"/>
      <c r="FI14" s="6"/>
      <c r="FJ14" s="9"/>
      <c r="FK14"/>
      <c r="FL14"/>
      <c r="FM14"/>
      <c r="FN14"/>
      <c r="FO14"/>
      <c r="FP14"/>
      <c r="FQ14" s="4"/>
      <c r="FR14" s="4"/>
      <c r="FS14" s="4"/>
      <c r="FT14" s="6"/>
      <c r="FU14" s="4"/>
      <c r="FV14" s="4"/>
      <c r="FW14" s="4"/>
      <c r="FX14" s="4"/>
      <c r="FY14" s="4"/>
      <c r="FZ14" s="4"/>
      <c r="GA14" s="4"/>
      <c r="GB14" s="6"/>
      <c r="GC14" s="6"/>
      <c r="GD14" s="6"/>
      <c r="GE14" s="9"/>
      <c r="GF14"/>
      <c r="GG14"/>
      <c r="GH14"/>
      <c r="GI14"/>
      <c r="GJ14"/>
      <c r="GK14"/>
      <c r="GL14" s="4"/>
      <c r="GM14" s="4"/>
      <c r="GN14" s="4"/>
      <c r="GO14" s="6"/>
      <c r="GP14" s="4"/>
      <c r="GQ14" s="4"/>
      <c r="GR14" s="4"/>
      <c r="GS14" s="4"/>
      <c r="GT14" s="4"/>
      <c r="GU14" s="4"/>
      <c r="GV14" s="4"/>
      <c r="GW14" s="6"/>
      <c r="GX14" s="6"/>
      <c r="GY14" s="6"/>
      <c r="GZ14" s="9"/>
      <c r="HA14"/>
      <c r="HB14"/>
      <c r="HC14"/>
      <c r="HD14"/>
      <c r="HE14"/>
      <c r="HF14"/>
      <c r="HG14" s="4"/>
      <c r="HH14" s="4"/>
      <c r="HI14" s="4"/>
      <c r="HJ14" s="6"/>
      <c r="HK14" s="4"/>
      <c r="HL14" s="4"/>
      <c r="HM14" s="4"/>
      <c r="HN14" s="4"/>
      <c r="HO14" s="4"/>
      <c r="HP14" s="4"/>
      <c r="HQ14" s="4"/>
      <c r="HR14" s="6"/>
      <c r="HS14" s="6"/>
      <c r="HT14" s="6"/>
      <c r="HU14" s="9"/>
      <c r="HV14"/>
      <c r="HW14"/>
      <c r="HX14"/>
      <c r="HY14"/>
      <c r="HZ14"/>
      <c r="IA14"/>
      <c r="IB14" s="4"/>
      <c r="IC14" s="4"/>
      <c r="ID14" s="4"/>
      <c r="IE14" s="6"/>
      <c r="IF14" s="4"/>
      <c r="IG14" s="4"/>
      <c r="IH14" s="4"/>
      <c r="II14" s="4"/>
      <c r="IJ14" s="4"/>
      <c r="IK14" s="4"/>
      <c r="IL14" s="4"/>
      <c r="IM14" s="6"/>
      <c r="IN14" s="6"/>
      <c r="IO14" s="6"/>
      <c r="IP14" s="9"/>
      <c r="IQ14"/>
      <c r="IR14"/>
      <c r="IS14"/>
      <c r="IT14"/>
      <c r="IU14"/>
      <c r="IV14"/>
      <c r="IW14" s="4"/>
      <c r="IX14" s="4"/>
      <c r="IY14" s="4"/>
      <c r="IZ14" s="6"/>
      <c r="JA14" s="4"/>
      <c r="JB14" s="4"/>
      <c r="JC14" s="4"/>
      <c r="JD14" s="4"/>
      <c r="JE14" s="4"/>
      <c r="JF14" s="4"/>
      <c r="JG14" s="4"/>
      <c r="JH14" s="6"/>
      <c r="JI14" s="6"/>
      <c r="JJ14" s="6"/>
      <c r="JK14" s="9"/>
      <c r="JL14"/>
    </row>
    <row r="15">
      <c r="A15" s="8">
        <v>25223</v>
      </c>
      <c r="B15" s="8">
        <v>25224</v>
      </c>
      <c r="C15" s="9">
        <f>B15-A15</f>
        <v>1</v>
      </c>
      <c r="D15" s="8">
        <v>25223</v>
      </c>
      <c r="E15" t="inlineStr">
        <is>
          <t xml:space="preserve">neutral</t>
        </is>
      </c>
      <c r="F15" s="4">
        <v>1.0620421684900119</v>
      </c>
      <c r="G15" s="6">
        <v>0.010524745469284677</v>
      </c>
      <c r="H15" s="7">
        <f>SUM(CE15,CZ15,DU15,EP15,FK15,GF15,HA15,HV15,IQ15,JL15)</f>
        <v>0.010524745469284677</v>
      </c>
      <c r="I15" s="7">
        <f>G15-H15</f>
        <v>0</v>
      </c>
      <c r="J15" s="5">
        <f>F15*(1+H15)</f>
        <v>1.0732198919910165</v>
      </c>
      <c r="K15" s="4">
        <v>1.0732198919910165</v>
      </c>
      <c r="L15" s="5">
        <f>K15-J15</f>
        <v>0</v>
      </c>
      <c r="M15" s="4">
        <v>1.994</v>
      </c>
      <c r="N15" s="4">
        <v>2.015</v>
      </c>
      <c r="O15" s="5">
        <f>M15/$M$3</f>
        <v>1.0183861082737486</v>
      </c>
      <c r="P15" s="5">
        <f>N15/$M$3</f>
        <v>1.0291113381001022</v>
      </c>
      <c r="Q15" s="7">
        <f>IFERROR(N15/M15-1,0)</f>
        <v>0.010531594784353171</v>
      </c>
      <c r="R15" s="5">
        <f>SUM(IF(BM15="lease",BU15,0),IF(CH15="lease",CP15,0),IF(DC15="lease",DK15,0),IF(DX15="lease",EF15,0),IF(ES15="lease",FA15,0),IF(FN15="lease",FV15,0),IF(GI15="lease",GQ15,0),IF(HD15="lease",HL15,0),IF(HY15="lease",IG15,0),IF(IT15="lease",JB15,0))</f>
        <v>1.0620421684900119</v>
      </c>
      <c r="S15" s="5">
        <f>SUM(IF(BM15="lease",BV15,0),IF(CH15="lease",CQ15,0),IF(DC15="lease",DL15,0),IF(DX15="lease",EG15,0),IF(ES15="lease",FB15,0),IF(FN15="lease",FW15,0),IF(GI15="lease",GR15,0),IF(HD15="lease",HM15,0),IF(HY15="lease",IH15,0),IF(IT15="lease",JC15,0))</f>
        <v>1.0732198919910163</v>
      </c>
      <c r="T15" s="5">
        <f>SUM(IF(BM15="keep",BU15,0),IF(CH15="keep",CP15,0),IF(DC15="keep",DK15,0),IF(DX15="keep",EF15,0),IF(ES15="keep",FA15,0),IF(FN15="keep",FV15,0),IF(GI15="keep",GQ15,0),IF(HD15="keep",HL15,0),IF(HY15="keep",IG15,0),IF(IT15="keep",JB15,0))</f>
        <v>0</v>
      </c>
      <c r="U15" s="5">
        <f>SUM(IF(BM15="keep",BV15,0),IF(CH15="keep",CQ15,0),IF(DC15="keep",DL15,0),IF(DX15="keep",EG15,0),IF(ES15="keep",FB15,0),IF(FN15="keep",FW15,0),IF(GI15="keep",GR15,0),IF(HD15="keep",HM15,0),IF(HY15="keep",IH15,0),IF(IT15="keep",JC15,0))</f>
        <v>0</v>
      </c>
      <c r="V15" s="5">
        <f>R15/O15</f>
        <v>1.0428678866115564</v>
      </c>
      <c r="W15" s="5">
        <f>S15/P15</f>
        <v>1.0428608181232804</v>
      </c>
      <c r="X15" s="5">
        <f>T15/O15</f>
        <v>0</v>
      </c>
      <c r="Y15" s="5">
        <f>U15/P15</f>
        <v>0</v>
      </c>
      <c r="Z15" s="5">
        <f>V15+X15</f>
        <v>1.0428678866115564</v>
      </c>
      <c r="AA15" s="7">
        <f>IFERROR(W15/V15-1,0)</f>
        <v>-0.000006777932628598826</v>
      </c>
      <c r="AB15" s="7">
        <f>IFERROR((W15-V15)/Z15,0)</f>
        <v>-0.000006777932628644195</v>
      </c>
      <c r="AC15" s="7">
        <f>IFERROR(Y15/X15-1,0)</f>
        <v>0</v>
      </c>
      <c r="AD15" s="7">
        <f>IFERROR((Y15-X15)/Z15,0)</f>
        <v>0</v>
      </c>
      <c r="AE15" s="7">
        <f>AB15+AD15</f>
        <v>-0.000006777932628644195</v>
      </c>
      <c r="AF15" s="7">
        <f>(1+Q15)*(1+AE15)-1</f>
        <v>0.010524745469284724</v>
      </c>
      <c r="AG15" s="7">
        <f>G15-AF15</f>
        <v>-4.683753385137379e-17</v>
      </c>
      <c r="AH15" s="5">
        <f>SUM(IF(BM15="lease",BW15,0),IF(CH15="lease",CR15,0),IF(DC15="lease",DM15,0),IF(DX15="lease",EH15,0),IF(ES15="lease",FC15,0),IF(FN15="lease",FX15,0),IF(GI15="lease",GS15,0),IF(HD15="lease",HN15,0),IF(HY15="lease",II15,0),IF(IT15="lease",JD15,0))</f>
        <v>0.011177723501004527</v>
      </c>
      <c r="AI15" s="5">
        <f>SUM(IF(BM15="keep",BW15,0),IF(CH15="keep",CR15,0),IF(DC15="keep",DM15,0),IF(DX15="keep",EH15,0),IF(ES15="keep",FC15,0),IF(FN15="keep",FX15,0),IF(GI15="keep",GS15,0),IF(HD15="keep",HN15,0),IF(HY15="keep",II15,0),IF(IT15="keep",JD15,0))</f>
        <v>0</v>
      </c>
      <c r="AJ15" s="5">
        <f>SUM(IF(BM15="lease",BX15,0),IF(CH15="lease",CS15,0),IF(DC15="lease",DN15,0),IF(DX15="lease",EI15,0),IF(ES15="lease",FD15,0),IF(FN15="lease",FY15,0),IF(GI15="lease",GT15,0),IF(HD15="lease",HO15,0),IF(HY15="lease",IJ15,0),IF(IT15="lease",JE15,0))</f>
        <v>0</v>
      </c>
      <c r="AK15" s="5">
        <f>SUM(IF(BM15="keep",BX15,0),IF(CH15="keep",CS15,0),IF(DC15="keep",DN15,0),IF(DX15="keep",EI15,0),IF(ES15="keep",FD15,0),IF(FN15="keep",FY15,0),IF(GI15="keep",GT15,0),IF(HD15="keep",HO15,0),IF(HY15="keep",IJ15,0),IF(IT15="keep",JE15,0))</f>
        <v>0</v>
      </c>
      <c r="AL15" s="5">
        <f>R15-S14</f>
        <v>0</v>
      </c>
      <c r="AM15" s="5">
        <f>T15-U14</f>
        <v>0</v>
      </c>
      <c r="AN15" s="5">
        <f>AN14</f>
        <v>1</v>
      </c>
      <c r="AO15" s="5">
        <f>AO14+AH15</f>
        <v>0.07321989199101654</v>
      </c>
      <c r="AP15" s="5">
        <f>AP14+AL15</f>
        <v>0</v>
      </c>
      <c r="AQ15" s="5">
        <f>AN15+AO15+AP15</f>
        <v>1.0732198919910165</v>
      </c>
      <c r="AR15" s="5">
        <f>S15-AQ15</f>
        <v>-2.220446049250313e-16</v>
      </c>
      <c r="AS15" s="5">
        <f>AS14</f>
        <v>0</v>
      </c>
      <c r="AT15" s="5">
        <f>AT14+AI15</f>
        <v>0</v>
      </c>
      <c r="AU15" s="5">
        <f>AU14+AM15</f>
        <v>0</v>
      </c>
      <c r="AV15" s="5">
        <f>AS15+AT15+AU15</f>
        <v>0</v>
      </c>
      <c r="AW15" s="5">
        <f>U15-AV15</f>
        <v>0</v>
      </c>
      <c r="AX15" s="4">
        <v>1.0620421684900119</v>
      </c>
      <c r="AY15" s="4">
        <v>1.0732198919910163</v>
      </c>
      <c r="AZ15" s="5">
        <f>S15-AY15</f>
        <v>0</v>
      </c>
      <c r="BA15" s="4">
        <v>0</v>
      </c>
      <c r="BB15" s="4">
        <v>0</v>
      </c>
      <c r="BC15" s="5">
        <f>U15-BB15</f>
        <v>0</v>
      </c>
      <c r="BD15" s="7">
        <f>SUM(IF(BL15="direct",CE15,0),IF(CG15="direct",CZ15,0),IF(DB15="direct",DU15,0),IF(DW15="direct",EP15,0),IF(ER15="direct",FK15,0),IF(FM15="direct",GF15,0),IF(GH15="direct",HA15,0),IF(HC15="direct",HV15,0),IF(HX15="direct",IQ15,0),IF(IS15="direct",JL15,0))</f>
        <v>0.010524745469284677</v>
      </c>
      <c r="BE15" s="7">
        <f>SUM(IF(BL15="treasury",CE15,0),IF(CG15="treasury",CZ15,0),IF(DB15="treasury",DU15,0),IF(DW15="treasury",EP15,0),IF(ER15="treasury",FK15,0),IF(FM15="treasury",GF15,0),IF(GH15="treasury",HA15,0),IF(HC15="treasury",HV15,0),IF(HX15="treasury",IQ15,0),IF(IS15="treasury",JL15,0))</f>
        <v>0</v>
      </c>
      <c r="BF15" s="7">
        <f>SUM(IF(BL15="future",CE15,0),IF(CG15="future",CZ15,0),IF(DB15="future",DU15,0),IF(DW15="future",EP15,0),IF(ER15="future",FK15,0),IF(FM15="future",GF15,0),IF(GH15="future",HA15,0),IF(HC15="future",HV15,0),IF(HX15="future",IQ15,0),IF(IS15="future",JL15,0))</f>
        <v>0</v>
      </c>
      <c r="BG15" s="7">
        <f>SUM(IF(BL15="cash",CE15,0),IF(CG15="cash",CZ15,0),IF(DB15="cash",DU15,0),IF(DW15="cash",EP15,0),IF(ER15="cash",FK15,0),IF(FM15="cash",GF15,0),IF(GH15="cash",HA15,0),IF(HC15="cash",HV15,0),IF(HX15="cash",IQ15,0),IF(IS15="cash",JL15,0))</f>
        <v>0</v>
      </c>
      <c r="BH15" s="7">
        <f>SUM(BD15:BG15)</f>
        <v>0.010524745469284677</v>
      </c>
      <c r="BI15" s="7">
        <f>G15-BH15</f>
        <v>0</v>
      </c>
      <c r="BJ15" s="9">
        <f>COUNTA(BK15,CF15,DA15,DV15,EQ15,FL15,GG15,HB15,HW15,IR15)</f>
        <v>3</v>
      </c>
      <c r="BK15" t="inlineStr">
        <is>
          <t xml:space="preserve">Direct commodity holding</t>
        </is>
      </c>
      <c r="BL15" t="inlineStr">
        <is>
          <t xml:space="preserve">direct</t>
        </is>
      </c>
      <c r="BM15" t="inlineStr">
        <is>
          <t xml:space="preserve">lease</t>
        </is>
      </c>
      <c r="BN15" t="inlineStr">
        <is>
          <t xml:space="preserve">long</t>
        </is>
      </c>
      <c r="BO15"/>
      <c r="BP15" s="4">
        <v>1.994</v>
      </c>
      <c r="BQ15" s="4">
        <v>2.015</v>
      </c>
      <c r="BR15" s="4">
        <v>0.5326189410682106</v>
      </c>
      <c r="BS15" s="6">
        <v>1</v>
      </c>
      <c r="BT15" s="4">
        <v>1.0620421684900119</v>
      </c>
      <c r="BU15" s="4">
        <v>1.0620421684900119</v>
      </c>
      <c r="BV15" s="4">
        <v>1.0732271662524444</v>
      </c>
      <c r="BW15" s="4">
        <v>0.011177723501004527</v>
      </c>
      <c r="BX15" s="4">
        <v>0.000007274261428009271</v>
      </c>
      <c r="BY15" s="4">
        <v>1.994</v>
      </c>
      <c r="BZ15" s="4">
        <v>2.015</v>
      </c>
      <c r="CA15" s="6"/>
      <c r="CB15" s="6"/>
      <c r="CC15" s="6"/>
      <c r="CD15" s="9"/>
      <c r="CE15" s="7">
        <f>IFERROR(BW15/F15,0)</f>
        <v>0.010524745469284677</v>
      </c>
      <c r="CF15" t="inlineStr">
        <is>
          <t xml:space="preserve">Lease cash / margin / financing</t>
        </is>
      </c>
      <c r="CG15" t="inlineStr">
        <is>
          <t xml:space="preserve">cash</t>
        </is>
      </c>
      <c r="CH15" t="inlineStr">
        <is>
          <t xml:space="preserve">lease</t>
        </is>
      </c>
      <c r="CI15" t="inlineStr">
        <is>
          <t xml:space="preserve">cash</t>
        </is>
      </c>
      <c r="CJ15"/>
      <c r="CK15" s="4">
        <v>1</v>
      </c>
      <c r="CL15" s="4">
        <v>1</v>
      </c>
      <c r="CM15" s="4">
        <v>0</v>
      </c>
      <c r="CN15" s="6"/>
      <c r="CO15" s="4">
        <v>0</v>
      </c>
      <c r="CP15" s="4">
        <v>0</v>
      </c>
      <c r="CQ15" s="4">
        <v>-0.000007274261428009271</v>
      </c>
      <c r="CR15" s="4">
        <v>0</v>
      </c>
      <c r="CS15" s="4">
        <v>-0.000007274261428009271</v>
      </c>
      <c r="CT15" s="4">
        <v>1.994</v>
      </c>
      <c r="CU15" s="4">
        <v>2.015</v>
      </c>
      <c r="CV15" s="6"/>
      <c r="CW15" s="6"/>
      <c r="CX15" s="6"/>
      <c r="CY15" s="9"/>
      <c r="CZ15" s="7">
        <f>IFERROR(CR15/F15,0)</f>
        <v>0</v>
      </c>
      <c r="DA15" t="inlineStr">
        <is>
          <t xml:space="preserve">Keep cash / margin / financing</t>
        </is>
      </c>
      <c r="DB15" t="inlineStr">
        <is>
          <t xml:space="preserve">cash</t>
        </is>
      </c>
      <c r="DC15" t="inlineStr">
        <is>
          <t xml:space="preserve">keep</t>
        </is>
      </c>
      <c r="DD15" t="inlineStr">
        <is>
          <t xml:space="preserve">cash</t>
        </is>
      </c>
      <c r="DE15"/>
      <c r="DF15" s="4">
        <v>1</v>
      </c>
      <c r="DG15" s="4">
        <v>1</v>
      </c>
      <c r="DH15" s="4">
        <v>0</v>
      </c>
      <c r="DI15" s="6"/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1.994</v>
      </c>
      <c r="DP15" s="4">
        <v>2.015</v>
      </c>
      <c r="DQ15" s="6"/>
      <c r="DR15" s="6"/>
      <c r="DS15" s="6"/>
      <c r="DT15" s="9"/>
      <c r="DU15" s="7">
        <f>IFERROR(DM15/F15,0)</f>
        <v>0</v>
      </c>
      <c r="DV15"/>
      <c r="DW15"/>
      <c r="DX15"/>
      <c r="DY15"/>
      <c r="DZ15"/>
      <c r="EA15" s="4"/>
      <c r="EB15" s="4"/>
      <c r="EC15" s="4"/>
      <c r="ED15" s="6"/>
      <c r="EE15" s="4"/>
      <c r="EF15" s="4"/>
      <c r="EG15" s="4"/>
      <c r="EH15" s="4"/>
      <c r="EI15" s="4"/>
      <c r="EJ15" s="4"/>
      <c r="EK15" s="4"/>
      <c r="EL15" s="6"/>
      <c r="EM15" s="6"/>
      <c r="EN15" s="6"/>
      <c r="EO15" s="9"/>
      <c r="EP15"/>
      <c r="EQ15"/>
      <c r="ER15"/>
      <c r="ES15"/>
      <c r="ET15"/>
      <c r="EU15"/>
      <c r="EV15" s="4"/>
      <c r="EW15" s="4"/>
      <c r="EX15" s="4"/>
      <c r="EY15" s="6"/>
      <c r="EZ15" s="4"/>
      <c r="FA15" s="4"/>
      <c r="FB15" s="4"/>
      <c r="FC15" s="4"/>
      <c r="FD15" s="4"/>
      <c r="FE15" s="4"/>
      <c r="FF15" s="4"/>
      <c r="FG15" s="6"/>
      <c r="FH15" s="6"/>
      <c r="FI15" s="6"/>
      <c r="FJ15" s="9"/>
      <c r="FK15"/>
      <c r="FL15"/>
      <c r="FM15"/>
      <c r="FN15"/>
      <c r="FO15"/>
      <c r="FP15"/>
      <c r="FQ15" s="4"/>
      <c r="FR15" s="4"/>
      <c r="FS15" s="4"/>
      <c r="FT15" s="6"/>
      <c r="FU15" s="4"/>
      <c r="FV15" s="4"/>
      <c r="FW15" s="4"/>
      <c r="FX15" s="4"/>
      <c r="FY15" s="4"/>
      <c r="FZ15" s="4"/>
      <c r="GA15" s="4"/>
      <c r="GB15" s="6"/>
      <c r="GC15" s="6"/>
      <c r="GD15" s="6"/>
      <c r="GE15" s="9"/>
      <c r="GF15"/>
      <c r="GG15"/>
      <c r="GH15"/>
      <c r="GI15"/>
      <c r="GJ15"/>
      <c r="GK15"/>
      <c r="GL15" s="4"/>
      <c r="GM15" s="4"/>
      <c r="GN15" s="4"/>
      <c r="GO15" s="6"/>
      <c r="GP15" s="4"/>
      <c r="GQ15" s="4"/>
      <c r="GR15" s="4"/>
      <c r="GS15" s="4"/>
      <c r="GT15" s="4"/>
      <c r="GU15" s="4"/>
      <c r="GV15" s="4"/>
      <c r="GW15" s="6"/>
      <c r="GX15" s="6"/>
      <c r="GY15" s="6"/>
      <c r="GZ15" s="9"/>
      <c r="HA15"/>
      <c r="HB15"/>
      <c r="HC15"/>
      <c r="HD15"/>
      <c r="HE15"/>
      <c r="HF15"/>
      <c r="HG15" s="4"/>
      <c r="HH15" s="4"/>
      <c r="HI15" s="4"/>
      <c r="HJ15" s="6"/>
      <c r="HK15" s="4"/>
      <c r="HL15" s="4"/>
      <c r="HM15" s="4"/>
      <c r="HN15" s="4"/>
      <c r="HO15" s="4"/>
      <c r="HP15" s="4"/>
      <c r="HQ15" s="4"/>
      <c r="HR15" s="6"/>
      <c r="HS15" s="6"/>
      <c r="HT15" s="6"/>
      <c r="HU15" s="9"/>
      <c r="HV15"/>
      <c r="HW15"/>
      <c r="HX15"/>
      <c r="HY15"/>
      <c r="HZ15"/>
      <c r="IA15"/>
      <c r="IB15" s="4"/>
      <c r="IC15" s="4"/>
      <c r="ID15" s="4"/>
      <c r="IE15" s="6"/>
      <c r="IF15" s="4"/>
      <c r="IG15" s="4"/>
      <c r="IH15" s="4"/>
      <c r="II15" s="4"/>
      <c r="IJ15" s="4"/>
      <c r="IK15" s="4"/>
      <c r="IL15" s="4"/>
      <c r="IM15" s="6"/>
      <c r="IN15" s="6"/>
      <c r="IO15" s="6"/>
      <c r="IP15" s="9"/>
      <c r="IQ15"/>
      <c r="IR15"/>
      <c r="IS15"/>
      <c r="IT15"/>
      <c r="IU15"/>
      <c r="IV15"/>
      <c r="IW15" s="4"/>
      <c r="IX15" s="4"/>
      <c r="IY15" s="4"/>
      <c r="IZ15" s="6"/>
      <c r="JA15" s="4"/>
      <c r="JB15" s="4"/>
      <c r="JC15" s="4"/>
      <c r="JD15" s="4"/>
      <c r="JE15" s="4"/>
      <c r="JF15" s="4"/>
      <c r="JG15" s="4"/>
      <c r="JH15" s="6"/>
      <c r="JI15" s="6"/>
      <c r="JJ15" s="6"/>
      <c r="JK15" s="9"/>
      <c r="JL15"/>
    </row>
    <row r="16">
      <c r="A16" s="8">
        <v>25224</v>
      </c>
      <c r="B16" s="8">
        <v>25225</v>
      </c>
      <c r="C16" s="9">
        <f>B16-A16</f>
        <v>1</v>
      </c>
      <c r="D16" s="8">
        <v>25224</v>
      </c>
      <c r="E16" t="inlineStr">
        <is>
          <t xml:space="preserve">positive</t>
        </is>
      </c>
      <c r="F16" s="4">
        <v>1.0732198919910165</v>
      </c>
      <c r="G16" s="6">
        <v>-0.004843288102602075</v>
      </c>
      <c r="H16" s="7">
        <f>SUM(CE16,CZ16,DU16,EP16,FK16,GF16,HA16,HV16,IQ16,JL16)</f>
        <v>-0.004843288102602075</v>
      </c>
      <c r="I16" s="7">
        <f>G16-H16</f>
        <v>0</v>
      </c>
      <c r="J16" s="5">
        <f>F16*(1+H16)</f>
        <v>1.0680219788566605</v>
      </c>
      <c r="K16" s="4">
        <v>1.0680219788566605</v>
      </c>
      <c r="L16" s="5">
        <f>K16-J16</f>
        <v>0</v>
      </c>
      <c r="M16" s="4">
        <v>2.015</v>
      </c>
      <c r="N16" s="4">
        <v>2.002</v>
      </c>
      <c r="O16" s="5">
        <f>M16/$M$3</f>
        <v>1.0291113381001022</v>
      </c>
      <c r="P16" s="5">
        <f>N16/$M$3</f>
        <v>1.0224719101123594</v>
      </c>
      <c r="Q16" s="7">
        <f>IFERROR(N16/M16-1,0)</f>
        <v>-0.006451612903225934</v>
      </c>
      <c r="R16" s="5">
        <f>SUM(IF(BM16="lease",BU16,0),IF(CH16="lease",CP16,0),IF(DC16="lease",DK16,0),IF(DX16="lease",EF16,0),IF(ES16="lease",FA16,0),IF(FN16="lease",FV16,0),IF(GI16="lease",GQ16,0),IF(HD16="lease",HL16,0),IF(HY16="lease",IG16,0),IF(IT16="lease",JB16,0))</f>
        <v>1.0732198919910163</v>
      </c>
      <c r="S16" s="5">
        <f>SUM(IF(BM16="lease",BV16,0),IF(CH16="lease",CQ16,0),IF(DC16="lease",DL16,0),IF(DX16="lease",EG16,0),IF(ES16="lease",FB16,0),IF(FN16="lease",FW16,0),IF(GI16="lease",GR16,0),IF(HD16="lease",HM16,0),IF(HY16="lease",IH16,0),IF(IT16="lease",JC16,0))</f>
        <v>1.0680219788566605</v>
      </c>
      <c r="T16" s="5">
        <f>SUM(IF(BM16="keep",BU16,0),IF(CH16="keep",CP16,0),IF(DC16="keep",DK16,0),IF(DX16="keep",EF16,0),IF(ES16="keep",FA16,0),IF(FN16="keep",FV16,0),IF(GI16="keep",GQ16,0),IF(HD16="keep",HL16,0),IF(HY16="keep",IG16,0),IF(IT16="keep",JB16,0))</f>
        <v>0</v>
      </c>
      <c r="U16" s="5">
        <f>SUM(IF(BM16="keep",BV16,0),IF(CH16="keep",CQ16,0),IF(DC16="keep",DL16,0),IF(DX16="keep",EG16,0),IF(ES16="keep",FB16,0),IF(FN16="keep",FW16,0),IF(GI16="keep",GR16,0),IF(HD16="keep",HM16,0),IF(HY16="keep",IH16,0),IF(IT16="keep",JC16,0))</f>
        <v>0</v>
      </c>
      <c r="V16" s="5">
        <f>R16/O16</f>
        <v>1.0428608181232804</v>
      </c>
      <c r="W16" s="5">
        <f>S16/P16</f>
        <v>1.0445489683323386</v>
      </c>
      <c r="X16" s="5">
        <f>T16/O16</f>
        <v>0</v>
      </c>
      <c r="Y16" s="5">
        <f>U16/P16</f>
        <v>0</v>
      </c>
      <c r="Z16" s="5">
        <f>V16+X16</f>
        <v>1.0428608181232804</v>
      </c>
      <c r="AA16" s="7">
        <f>IFERROR(W16/V16-1,0)</f>
        <v>0.0016187684681607806</v>
      </c>
      <c r="AB16" s="7">
        <f>IFERROR((W16-V16)/Z16,0)</f>
        <v>0.0016187684681606787</v>
      </c>
      <c r="AC16" s="7">
        <f>IFERROR(Y16/X16-1,0)</f>
        <v>0</v>
      </c>
      <c r="AD16" s="7">
        <f>IFERROR((Y16-X16)/Z16,0)</f>
        <v>0</v>
      </c>
      <c r="AE16" s="7">
        <f>AB16+AD16</f>
        <v>0.0016187684681606787</v>
      </c>
      <c r="AF16" s="7">
        <f>(1+Q16)*(1+AE16)-1</f>
        <v>-0.004843288102601706</v>
      </c>
      <c r="AG16" s="7">
        <f>G16-AF16</f>
        <v>-3.686287386450715e-16</v>
      </c>
      <c r="AH16" s="5">
        <f>SUM(IF(BM16="lease",BW16,0),IF(CH16="lease",CR16,0),IF(DC16="lease",DM16,0),IF(DX16="lease",EH16,0),IF(ES16="lease",FC16,0),IF(FN16="lease",FX16,0),IF(GI16="lease",GS16,0),IF(HD16="lease",HN16,0),IF(HY16="lease",II16,0),IF(IT16="lease",JD16,0))</f>
        <v>-0.005197913134355974</v>
      </c>
      <c r="AI16" s="5">
        <f>SUM(IF(BM16="keep",BW16,0),IF(CH16="keep",CR16,0),IF(DC16="keep",DM16,0),IF(DX16="keep",EH16,0),IF(ES16="keep",FC16,0),IF(FN16="keep",FX16,0),IF(GI16="keep",GS16,0),IF(HD16="keep",HN16,0),IF(HY16="keep",II16,0),IF(IT16="keep",JD16,0))</f>
        <v>0</v>
      </c>
      <c r="AJ16" s="5">
        <f>SUM(IF(BM16="lease",BX16,0),IF(CH16="lease",CS16,0),IF(DC16="lease",DN16,0),IF(DX16="lease",EI16,0),IF(ES16="lease",FD16,0),IF(FN16="lease",FY16,0),IF(GI16="lease",GT16,0),IF(HD16="lease",HO16,0),IF(HY16="lease",IJ16,0),IF(IT16="lease",JE16,0))</f>
        <v>0</v>
      </c>
      <c r="AK16" s="5">
        <f>SUM(IF(BM16="keep",BX16,0),IF(CH16="keep",CS16,0),IF(DC16="keep",DN16,0),IF(DX16="keep",EI16,0),IF(ES16="keep",FD16,0),IF(FN16="keep",FY16,0),IF(GI16="keep",GT16,0),IF(HD16="keep",HO16,0),IF(HY16="keep",IJ16,0),IF(IT16="keep",JE16,0))</f>
        <v>0</v>
      </c>
      <c r="AL16" s="5">
        <f>R16-S15</f>
        <v>0</v>
      </c>
      <c r="AM16" s="5">
        <f>T16-U15</f>
        <v>0</v>
      </c>
      <c r="AN16" s="5">
        <f>AN15</f>
        <v>1</v>
      </c>
      <c r="AO16" s="5">
        <f>AO15+AH16</f>
        <v>0.06802197885666057</v>
      </c>
      <c r="AP16" s="5">
        <f>AP15+AL16</f>
        <v>0</v>
      </c>
      <c r="AQ16" s="5">
        <f>AN16+AO16+AP16</f>
        <v>1.0680219788566605</v>
      </c>
      <c r="AR16" s="5">
        <f>S16-AQ16</f>
        <v>0</v>
      </c>
      <c r="AS16" s="5">
        <f>AS15</f>
        <v>0</v>
      </c>
      <c r="AT16" s="5">
        <f>AT15+AI16</f>
        <v>0</v>
      </c>
      <c r="AU16" s="5">
        <f>AU15+AM16</f>
        <v>0</v>
      </c>
      <c r="AV16" s="5">
        <f>AS16+AT16+AU16</f>
        <v>0</v>
      </c>
      <c r="AW16" s="5">
        <f>U16-AV16</f>
        <v>0</v>
      </c>
      <c r="AX16" s="4">
        <v>1.0732198919910163</v>
      </c>
      <c r="AY16" s="4">
        <v>1.0680219788566603</v>
      </c>
      <c r="AZ16" s="5">
        <f>S16-AY16</f>
        <v>2.220446049250313e-16</v>
      </c>
      <c r="BA16" s="4">
        <v>0</v>
      </c>
      <c r="BB16" s="4">
        <v>0</v>
      </c>
      <c r="BC16" s="5">
        <f>U16-BB16</f>
        <v>0</v>
      </c>
      <c r="BD16" s="7">
        <f>SUM(IF(BL16="direct",CE16,0),IF(CG16="direct",CZ16,0),IF(DB16="direct",DU16,0),IF(DW16="direct",EP16,0),IF(ER16="direct",FK16,0),IF(FM16="direct",GF16,0),IF(GH16="direct",HA16,0),IF(HC16="direct",HV16,0),IF(HX16="direct",IQ16,0),IF(IS16="direct",JL16,0))</f>
        <v>-0.003596348067148052</v>
      </c>
      <c r="BE16" s="7">
        <f>SUM(IF(BL16="treasury",CE16,0),IF(CG16="treasury",CZ16,0),IF(DB16="treasury",DU16,0),IF(DW16="treasury",EP16,0),IF(ER16="treasury",FK16,0),IF(FM16="treasury",GF16,0),IF(GH16="treasury",HA16,0),IF(HC16="treasury",HV16,0),IF(HX16="treasury",IQ16,0),IF(IS16="treasury",JL16,0))</f>
        <v>0.00007394047834079072</v>
      </c>
      <c r="BF16" s="7">
        <f>SUM(IF(BL16="future",CE16,0),IF(CG16="future",CZ16,0),IF(DB16="future",DU16,0),IF(DW16="future",EP16,0),IF(ER16="future",FK16,0),IF(FM16="future",GF16,0),IF(GH16="future",HA16,0),IF(HC16="future",HV16,0),IF(HX16="future",IQ16,0),IF(IS16="future",JL16,0))</f>
        <v>-0.0013208805137948133</v>
      </c>
      <c r="BG16" s="7">
        <f>SUM(IF(BL16="cash",CE16,0),IF(CG16="cash",CZ16,0),IF(DB16="cash",DU16,0),IF(DW16="cash",EP16,0),IF(ER16="cash",FK16,0),IF(FM16="cash",GF16,0),IF(GH16="cash",HA16,0),IF(HC16="cash",HV16,0),IF(HX16="cash",IQ16,0),IF(IS16="cash",JL16,0))</f>
        <v>0</v>
      </c>
      <c r="BH16" s="7">
        <f>SUM(BD16:BG16)</f>
        <v>-0.004843288102602075</v>
      </c>
      <c r="BI16" s="7">
        <f>G16-BH16</f>
        <v>0</v>
      </c>
      <c r="BJ16" s="9">
        <f>COUNTA(BK16,CF16,DA16,DV16,EQ16,FL16,GG16,HB16,HW16,IR16)</f>
        <v>6</v>
      </c>
      <c r="BK16" t="inlineStr">
        <is>
          <t xml:space="preserve">Direct commodity holding</t>
        </is>
      </c>
      <c r="BL16" t="inlineStr">
        <is>
          <t xml:space="preserve">direct</t>
        </is>
      </c>
      <c r="BM16" t="inlineStr">
        <is>
          <t xml:space="preserve">lease</t>
        </is>
      </c>
      <c r="BN16" t="inlineStr">
        <is>
          <t xml:space="preserve">long</t>
        </is>
      </c>
      <c r="BO16"/>
      <c r="BP16" s="4">
        <v>2.015</v>
      </c>
      <c r="BQ16" s="4">
        <v>2.002</v>
      </c>
      <c r="BR16" s="4">
        <v>0.2965830024980076</v>
      </c>
      <c r="BS16" s="6">
        <v>0.5568427817013364</v>
      </c>
      <c r="BT16" s="4">
        <v>0.5976147500334854</v>
      </c>
      <c r="BU16" s="4">
        <v>0.5976147500334854</v>
      </c>
      <c r="BV16" s="4">
        <v>0.5937591710010112</v>
      </c>
      <c r="BW16" s="4">
        <v>-0.0038596722841867334</v>
      </c>
      <c r="BX16" s="4">
        <v>0.000004093251712489979</v>
      </c>
      <c r="BY16" s="4">
        <v>2.015</v>
      </c>
      <c r="BZ16" s="4">
        <v>2.002</v>
      </c>
      <c r="CA16" s="6"/>
      <c r="CB16" s="6"/>
      <c r="CC16" s="6"/>
      <c r="CD16" s="9"/>
      <c r="CE16" s="7">
        <f>IFERROR(BW16/F16,0)</f>
        <v>-0.003596348067148052</v>
      </c>
      <c r="CF16" t="inlineStr">
        <is>
          <t xml:space="preserve">Treasury collateral</t>
        </is>
      </c>
      <c r="CG16" t="inlineStr">
        <is>
          <t xml:space="preserve">treasury</t>
        </is>
      </c>
      <c r="CH16" t="inlineStr">
        <is>
          <t xml:space="preserve">lease</t>
        </is>
      </c>
      <c r="CI16" t="inlineStr">
        <is>
          <t xml:space="preserve">long</t>
        </is>
      </c>
      <c r="CJ16"/>
      <c r="CK16" s="4">
        <v>100.31919618711306</v>
      </c>
      <c r="CL16" s="4">
        <v>100.3359343762851</v>
      </c>
      <c r="CM16" s="4">
        <v>0.004740918588207618</v>
      </c>
      <c r="CN16" s="6">
        <v>0.44315721829866367</v>
      </c>
      <c r="CO16" s="4">
        <v>0.4756051419575312</v>
      </c>
      <c r="CP16" s="4">
        <v>0.4756051419575312</v>
      </c>
      <c r="CQ16" s="4">
        <v>0.4756844963497098</v>
      </c>
      <c r="CR16" s="4">
        <v>0.00007935439217866752</v>
      </c>
      <c r="CS16" s="4">
        <v>-6.867065509980064e-17</v>
      </c>
      <c r="CT16" s="4">
        <v>2.015</v>
      </c>
      <c r="CU16" s="4">
        <v>2.002</v>
      </c>
      <c r="CV16" s="6"/>
      <c r="CW16" s="6"/>
      <c r="CX16" s="6"/>
      <c r="CY16" s="9">
        <v>65</v>
      </c>
      <c r="CZ16" s="7">
        <f>IFERROR(CR16/F16,0)</f>
        <v>0.00007394047834079072</v>
      </c>
      <c r="DA16" t="inlineStr">
        <is>
          <t xml:space="preserve">SI69H</t>
        </is>
      </c>
      <c r="DB16" t="inlineStr">
        <is>
          <t xml:space="preserve">future</t>
        </is>
      </c>
      <c r="DC16" t="inlineStr">
        <is>
          <t xml:space="preserve">lease</t>
        </is>
      </c>
      <c r="DD16" t="inlineStr">
        <is>
          <t xml:space="preserve">long</t>
        </is>
      </c>
      <c r="DE16" t="inlineStr">
        <is>
          <t xml:space="preserve">regular</t>
        </is>
      </c>
      <c r="DF16" s="4">
        <v>2.013</v>
      </c>
      <c r="DG16" s="4">
        <v>2.0069999999999997</v>
      </c>
      <c r="DH16" s="4">
        <v>0.23621203622924217</v>
      </c>
      <c r="DI16" s="6">
        <v>0.4430544313219314</v>
      </c>
      <c r="DJ16" s="4">
        <v>0.4754948289294645</v>
      </c>
      <c r="DK16" s="4">
        <v>0</v>
      </c>
      <c r="DL16" s="4">
        <v>0</v>
      </c>
      <c r="DM16" s="4">
        <v>-0.0014172722173755312</v>
      </c>
      <c r="DN16" s="4">
        <v>0.0014172722173755312</v>
      </c>
      <c r="DO16" s="4">
        <v>2.015</v>
      </c>
      <c r="DP16" s="4">
        <v>2.002</v>
      </c>
      <c r="DQ16" s="6">
        <v>-0.0009925558312656735</v>
      </c>
      <c r="DR16" s="6">
        <v>0.060899999999999996</v>
      </c>
      <c r="DS16" s="6">
        <v>0.06647358274479954</v>
      </c>
      <c r="DT16" s="9">
        <v>65</v>
      </c>
      <c r="DU16" s="7">
        <f>IFERROR(DM16/F16,0)</f>
        <v>-0.001320579527040107</v>
      </c>
      <c r="DV16" t="inlineStr">
        <is>
          <t xml:space="preserve">SI69K</t>
        </is>
      </c>
      <c r="DW16" t="inlineStr">
        <is>
          <t xml:space="preserve">future</t>
        </is>
      </c>
      <c r="DX16" t="inlineStr">
        <is>
          <t xml:space="preserve">lease</t>
        </is>
      </c>
      <c r="DY16" t="inlineStr">
        <is>
          <t xml:space="preserve">long</t>
        </is>
      </c>
      <c r="DZ16" t="inlineStr">
        <is>
          <t xml:space="preserve">regular</t>
        </is>
      </c>
      <c r="EA16" s="4">
        <v>2.049</v>
      </c>
      <c r="EB16" s="4">
        <v>2.043</v>
      </c>
      <c r="EC16" s="4">
        <v>0.000053837495396139854</v>
      </c>
      <c r="ED16" s="6">
        <v>0.00010278697673227057</v>
      </c>
      <c r="EE16" s="4">
        <v>0.00011031302806669056</v>
      </c>
      <c r="EF16" s="4">
        <v>0</v>
      </c>
      <c r="EG16" s="4">
        <v>0</v>
      </c>
      <c r="EH16" s="4">
        <v>-3.2302497237683297e-7</v>
      </c>
      <c r="EI16" s="4">
        <v>3.2302497237683297e-7</v>
      </c>
      <c r="EJ16" s="4">
        <v>2.015</v>
      </c>
      <c r="EK16" s="4">
        <v>2.002</v>
      </c>
      <c r="EL16" s="6">
        <v>0.01687344913151345</v>
      </c>
      <c r="EM16" s="6">
        <v>0.06133516483516484</v>
      </c>
      <c r="EN16" s="6">
        <v>0.0128406063075868</v>
      </c>
      <c r="EO16" s="9">
        <v>127</v>
      </c>
      <c r="EP16" s="7">
        <f>IFERROR(EH16/F16,0)</f>
        <v>-3.009867547064967e-7</v>
      </c>
      <c r="EQ16" t="inlineStr">
        <is>
          <t xml:space="preserve">Lease cash / margin / financing</t>
        </is>
      </c>
      <c r="ER16" t="inlineStr">
        <is>
          <t xml:space="preserve">cash</t>
        </is>
      </c>
      <c r="ES16" t="inlineStr">
        <is>
          <t xml:space="preserve">lease</t>
        </is>
      </c>
      <c r="ET16" t="inlineStr">
        <is>
          <t xml:space="preserve">cash</t>
        </is>
      </c>
      <c r="EU16"/>
      <c r="EV16" s="4">
        <v>1</v>
      </c>
      <c r="EW16" s="4">
        <v>1</v>
      </c>
      <c r="EX16" s="4">
        <v>-2.220446049250313e-16</v>
      </c>
      <c r="EY16" s="6"/>
      <c r="EZ16" s="4">
        <v>-2.220446049250313e-16</v>
      </c>
      <c r="FA16" s="4">
        <v>-2.220446049250313e-16</v>
      </c>
      <c r="FB16" s="4">
        <v>-0.0014216884940605513</v>
      </c>
      <c r="FC16" s="4">
        <v>0</v>
      </c>
      <c r="FD16" s="4">
        <v>-0.0014216884940603293</v>
      </c>
      <c r="FE16" s="4">
        <v>2.015</v>
      </c>
      <c r="FF16" s="4">
        <v>2.002</v>
      </c>
      <c r="FG16" s="6"/>
      <c r="FH16" s="6"/>
      <c r="FI16" s="6"/>
      <c r="FJ16" s="9"/>
      <c r="FK16" s="7">
        <f>IFERROR(FC16/F16,0)</f>
        <v>0</v>
      </c>
      <c r="FL16" t="inlineStr">
        <is>
          <t xml:space="preserve">Keep cash / margin / financing</t>
        </is>
      </c>
      <c r="FM16" t="inlineStr">
        <is>
          <t xml:space="preserve">cash</t>
        </is>
      </c>
      <c r="FN16" t="inlineStr">
        <is>
          <t xml:space="preserve">keep</t>
        </is>
      </c>
      <c r="FO16" t="inlineStr">
        <is>
          <t xml:space="preserve">cash</t>
        </is>
      </c>
      <c r="FP16"/>
      <c r="FQ16" s="4">
        <v>1</v>
      </c>
      <c r="FR16" s="4">
        <v>1</v>
      </c>
      <c r="FS16" s="4">
        <v>0</v>
      </c>
      <c r="FT16" s="6"/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2.015</v>
      </c>
      <c r="GA16" s="4">
        <v>2.002</v>
      </c>
      <c r="GB16" s="6"/>
      <c r="GC16" s="6"/>
      <c r="GD16" s="6"/>
      <c r="GE16" s="9"/>
      <c r="GF16" s="7">
        <f>IFERROR(FX16/F16,0)</f>
        <v>0</v>
      </c>
      <c r="GG16"/>
      <c r="GH16"/>
      <c r="GI16"/>
      <c r="GJ16"/>
      <c r="GK16"/>
      <c r="GL16" s="4"/>
      <c r="GM16" s="4"/>
      <c r="GN16" s="4"/>
      <c r="GO16" s="6"/>
      <c r="GP16" s="4"/>
      <c r="GQ16" s="4"/>
      <c r="GR16" s="4"/>
      <c r="GS16" s="4"/>
      <c r="GT16" s="4"/>
      <c r="GU16" s="4"/>
      <c r="GV16" s="4"/>
      <c r="GW16" s="6"/>
      <c r="GX16" s="6"/>
      <c r="GY16" s="6"/>
      <c r="GZ16" s="9"/>
      <c r="HA16"/>
      <c r="HB16"/>
      <c r="HC16"/>
      <c r="HD16"/>
      <c r="HE16"/>
      <c r="HF16"/>
      <c r="HG16" s="4"/>
      <c r="HH16" s="4"/>
      <c r="HI16" s="4"/>
      <c r="HJ16" s="6"/>
      <c r="HK16" s="4"/>
      <c r="HL16" s="4"/>
      <c r="HM16" s="4"/>
      <c r="HN16" s="4"/>
      <c r="HO16" s="4"/>
      <c r="HP16" s="4"/>
      <c r="HQ16" s="4"/>
      <c r="HR16" s="6"/>
      <c r="HS16" s="6"/>
      <c r="HT16" s="6"/>
      <c r="HU16" s="9"/>
      <c r="HV16"/>
      <c r="HW16"/>
      <c r="HX16"/>
      <c r="HY16"/>
      <c r="HZ16"/>
      <c r="IA16"/>
      <c r="IB16" s="4"/>
      <c r="IC16" s="4"/>
      <c r="ID16" s="4"/>
      <c r="IE16" s="6"/>
      <c r="IF16" s="4"/>
      <c r="IG16" s="4"/>
      <c r="IH16" s="4"/>
      <c r="II16" s="4"/>
      <c r="IJ16" s="4"/>
      <c r="IK16" s="4"/>
      <c r="IL16" s="4"/>
      <c r="IM16" s="6"/>
      <c r="IN16" s="6"/>
      <c r="IO16" s="6"/>
      <c r="IP16" s="9"/>
      <c r="IQ16"/>
      <c r="IR16"/>
      <c r="IS16"/>
      <c r="IT16"/>
      <c r="IU16"/>
      <c r="IV16"/>
      <c r="IW16" s="4"/>
      <c r="IX16" s="4"/>
      <c r="IY16" s="4"/>
      <c r="IZ16" s="6"/>
      <c r="JA16" s="4"/>
      <c r="JB16" s="4"/>
      <c r="JC16" s="4"/>
      <c r="JD16" s="4"/>
      <c r="JE16" s="4"/>
      <c r="JF16" s="4"/>
      <c r="JG16" s="4"/>
      <c r="JH16" s="6"/>
      <c r="JI16" s="6"/>
      <c r="JJ16" s="6"/>
      <c r="JK16" s="9"/>
      <c r="JL16"/>
    </row>
    <row r="17">
      <c r="A17" s="8">
        <v>25225</v>
      </c>
      <c r="B17" s="8">
        <v>25226</v>
      </c>
      <c r="C17" s="9">
        <f>B17-A17</f>
        <v>1</v>
      </c>
      <c r="D17" s="8">
        <v>25225</v>
      </c>
      <c r="E17" t="inlineStr">
        <is>
          <t xml:space="preserve">positive</t>
        </is>
      </c>
      <c r="F17" s="4">
        <v>1.0680219788566605</v>
      </c>
      <c r="G17" s="6">
        <v>-0.010246789060479388</v>
      </c>
      <c r="H17" s="7">
        <f>SUM(CE17,CZ17,DU17,EP17,FK17,GF17,HA17,HV17,IQ17,JL17)</f>
        <v>-0.01024678906047939</v>
      </c>
      <c r="I17" s="7">
        <f>G17-H17</f>
        <v>1.734723475976807e-18</v>
      </c>
      <c r="J17" s="5">
        <f>F17*(1+H17)</f>
        <v>1.0570781829273606</v>
      </c>
      <c r="K17" s="4">
        <v>1.0570781829273606</v>
      </c>
      <c r="L17" s="5">
        <f>K17-J17</f>
        <v>0</v>
      </c>
      <c r="M17" s="4">
        <v>2.002</v>
      </c>
      <c r="N17" s="4">
        <v>1.982</v>
      </c>
      <c r="O17" s="5">
        <f>M17/$M$3</f>
        <v>1.0224719101123594</v>
      </c>
      <c r="P17" s="5">
        <f>N17/$M$3</f>
        <v>1.0122574055158324</v>
      </c>
      <c r="Q17" s="7">
        <f>IFERROR(N17/M17-1,0)</f>
        <v>-0.009990009990009874</v>
      </c>
      <c r="R17" s="5">
        <f>SUM(IF(BM17="lease",BU17,0),IF(CH17="lease",CP17,0),IF(DC17="lease",DK17,0),IF(DX17="lease",EF17,0),IF(ES17="lease",FA17,0),IF(FN17="lease",FV17,0),IF(GI17="lease",GQ17,0),IF(HD17="lease",HL17,0),IF(HY17="lease",IG17,0),IF(IT17="lease",JB17,0))</f>
        <v>1.0680219788566603</v>
      </c>
      <c r="S17" s="5">
        <f>SUM(IF(BM17="lease",BV17,0),IF(CH17="lease",CQ17,0),IF(DC17="lease",DL17,0),IF(DX17="lease",EG17,0),IF(ES17="lease",FB17,0),IF(FN17="lease",FW17,0),IF(GI17="lease",GR17,0),IF(HD17="lease",HM17,0),IF(HY17="lease",IH17,0),IF(IT17="lease",JC17,0))</f>
        <v>1.0570781829273603</v>
      </c>
      <c r="T17" s="5">
        <f>SUM(IF(BM17="keep",BU17,0),IF(CH17="keep",CP17,0),IF(DC17="keep",DK17,0),IF(DX17="keep",EF17,0),IF(ES17="keep",FA17,0),IF(FN17="keep",FV17,0),IF(GI17="keep",GQ17,0),IF(HD17="keep",HL17,0),IF(HY17="keep",IG17,0),IF(IT17="keep",JB17,0))</f>
        <v>0</v>
      </c>
      <c r="U17" s="5">
        <f>SUM(IF(BM17="keep",BV17,0),IF(CH17="keep",CQ17,0),IF(DC17="keep",DL17,0),IF(DX17="keep",EG17,0),IF(ES17="keep",FB17,0),IF(FN17="keep",FW17,0),IF(GI17="keep",GR17,0),IF(HD17="keep",HM17,0),IF(HY17="keep",IH17,0),IF(IT17="keep",JC17,0))</f>
        <v>0</v>
      </c>
      <c r="V17" s="5">
        <f>R17/O17</f>
        <v>1.0445489683323383</v>
      </c>
      <c r="W17" s="5">
        <f>S17/P17</f>
        <v>1.0442780434771803</v>
      </c>
      <c r="X17" s="5">
        <f>T17/O17</f>
        <v>0</v>
      </c>
      <c r="Y17" s="5">
        <f>U17/P17</f>
        <v>0</v>
      </c>
      <c r="Z17" s="5">
        <f>V17+X17</f>
        <v>1.0445489683323383</v>
      </c>
      <c r="AA17" s="7">
        <f>IFERROR(W17/V17-1,0)</f>
        <v>-0.0002593701811707261</v>
      </c>
      <c r="AB17" s="7">
        <f>IFERROR((W17-V17)/Z17,0)</f>
        <v>-0.0002593701811706802</v>
      </c>
      <c r="AC17" s="7">
        <f>IFERROR(Y17/X17-1,0)</f>
        <v>0</v>
      </c>
      <c r="AD17" s="7">
        <f>IFERROR((Y17-X17)/Z17,0)</f>
        <v>0</v>
      </c>
      <c r="AE17" s="7">
        <f>AB17+AD17</f>
        <v>-0.0002593701811706802</v>
      </c>
      <c r="AF17" s="7">
        <f>(1+Q17)*(1+AE17)-1</f>
        <v>-0.0102467890604796</v>
      </c>
      <c r="AG17" s="7">
        <f>G17-AF17</f>
        <v>2.1163626406917047e-16</v>
      </c>
      <c r="AH17" s="5">
        <f>SUM(IF(BM17="lease",BW17,0),IF(CH17="lease",CR17,0),IF(DC17="lease",DM17,0),IF(DX17="lease",EH17,0),IF(ES17="lease",FC17,0),IF(FN17="lease",FX17,0),IF(GI17="lease",GS17,0),IF(HD17="lease",HN17,0),IF(HY17="lease",II17,0),IF(IT17="lease",JD17,0))</f>
        <v>-0.010943795929299978</v>
      </c>
      <c r="AI17" s="5">
        <f>SUM(IF(BM17="keep",BW17,0),IF(CH17="keep",CR17,0),IF(DC17="keep",DM17,0),IF(DX17="keep",EH17,0),IF(ES17="keep",FC17,0),IF(FN17="keep",FX17,0),IF(GI17="keep",GS17,0),IF(HD17="keep",HN17,0),IF(HY17="keep",II17,0),IF(IT17="keep",JD17,0))</f>
        <v>0</v>
      </c>
      <c r="AJ17" s="5">
        <f>SUM(IF(BM17="lease",BX17,0),IF(CH17="lease",CS17,0),IF(DC17="lease",DN17,0),IF(DX17="lease",EI17,0),IF(ES17="lease",FD17,0),IF(FN17="lease",FY17,0),IF(GI17="lease",GT17,0),IF(HD17="lease",HO17,0),IF(HY17="lease",IJ17,0),IF(IT17="lease",JE17,0))</f>
        <v>0</v>
      </c>
      <c r="AK17" s="5">
        <f>SUM(IF(BM17="keep",BX17,0),IF(CH17="keep",CS17,0),IF(DC17="keep",DN17,0),IF(DX17="keep",EI17,0),IF(ES17="keep",FD17,0),IF(FN17="keep",FY17,0),IF(GI17="keep",GT17,0),IF(HD17="keep",HO17,0),IF(HY17="keep",IJ17,0),IF(IT17="keep",JE17,0))</f>
        <v>0</v>
      </c>
      <c r="AL17" s="5">
        <f>R17-S16</f>
        <v>-2.220446049250313e-16</v>
      </c>
      <c r="AM17" s="5">
        <f>T17-U16</f>
        <v>0</v>
      </c>
      <c r="AN17" s="5">
        <f>AN16</f>
        <v>1</v>
      </c>
      <c r="AO17" s="5">
        <f>AO16+AH17</f>
        <v>0.057078182927360596</v>
      </c>
      <c r="AP17" s="5">
        <f>AP16+AL17</f>
        <v>-2.220446049250313e-16</v>
      </c>
      <c r="AQ17" s="5">
        <f>AN17+AO17+AP17</f>
        <v>1.0570781829273603</v>
      </c>
      <c r="AR17" s="5">
        <f>S17-AQ17</f>
        <v>0</v>
      </c>
      <c r="AS17" s="5">
        <f>AS16</f>
        <v>0</v>
      </c>
      <c r="AT17" s="5">
        <f>AT16+AI17</f>
        <v>0</v>
      </c>
      <c r="AU17" s="5">
        <f>AU16+AM17</f>
        <v>0</v>
      </c>
      <c r="AV17" s="5">
        <f>AS17+AT17+AU17</f>
        <v>0</v>
      </c>
      <c r="AW17" s="5">
        <f>U17-AV17</f>
        <v>0</v>
      </c>
      <c r="AX17" s="4">
        <v>1.0680219788566603</v>
      </c>
      <c r="AY17" s="4">
        <v>1.0570781829273603</v>
      </c>
      <c r="AZ17" s="5">
        <f>S17-AY17</f>
        <v>0</v>
      </c>
      <c r="BA17" s="4">
        <v>0</v>
      </c>
      <c r="BB17" s="4">
        <v>0</v>
      </c>
      <c r="BC17" s="5">
        <f>U17-BB17</f>
        <v>0</v>
      </c>
      <c r="BD17" s="7">
        <f>SUM(IF(BL17="direct",CE17,0),IF(CG17="direct",CZ17,0),IF(DB17="direct",DU17,0),IF(DW17="direct",EP17,0),IF(ER17="direct",FK17,0),IF(FM17="direct",GF17,0),IF(GH17="direct",HA17,0),IF(HC17="direct",HV17,0),IF(HX17="direct",IQ17,0),IF(IS17="direct",JL17,0))</f>
        <v>-0.0068607491664435406</v>
      </c>
      <c r="BE17" s="7">
        <f>SUM(IF(BL17="treasury",CE17,0),IF(CG17="treasury",CZ17,0),IF(DB17="treasury",DU17,0),IF(DW17="treasury",EP17,0),IF(ER17="treasury",FK17,0),IF(FM17="treasury",GF17,0),IF(GH17="treasury",HA17,0),IF(HC17="treasury",HV17,0),IF(HX17="treasury",IQ17,0),IF(IS17="treasury",JL17,0))</f>
        <v>0.00005268601323334219</v>
      </c>
      <c r="BF17" s="7">
        <f>SUM(IF(BL17="future",CE17,0),IF(CG17="future",CZ17,0),IF(DB17="future",DU17,0),IF(DW17="future",EP17,0),IF(ER17="future",FK17,0),IF(FM17="future",GF17,0),IF(GH17="future",HA17,0),IF(HC17="future",HV17,0),IF(HX17="future",IQ17,0),IF(IS17="future",JL17,0))</f>
        <v>-0.0034387259072691913</v>
      </c>
      <c r="BG17" s="7">
        <f>SUM(IF(BL17="cash",CE17,0),IF(CG17="cash",CZ17,0),IF(DB17="cash",DU17,0),IF(DW17="cash",EP17,0),IF(ER17="cash",FK17,0),IF(FM17="cash",GF17,0),IF(GH17="cash",HA17,0),IF(HC17="cash",HV17,0),IF(HX17="cash",IQ17,0),IF(IS17="cash",JL17,0))</f>
        <v>0</v>
      </c>
      <c r="BH17" s="7">
        <f>SUM(BD17:BG17)</f>
        <v>-0.01024678906047939</v>
      </c>
      <c r="BI17" s="7">
        <f>G17-BH17</f>
        <v>1.734723475976807e-18</v>
      </c>
      <c r="BJ17" s="9">
        <f>COUNTA(BK17,CF17,DA17,DV17,EQ17,FL17,GG17,HB17,HW17,IR17)</f>
        <v>6</v>
      </c>
      <c r="BK17" t="inlineStr">
        <is>
          <t xml:space="preserve">Direct commodity holding</t>
        </is>
      </c>
      <c r="BL17" t="inlineStr">
        <is>
          <t xml:space="preserve">direct</t>
        </is>
      </c>
      <c r="BM17" t="inlineStr">
        <is>
          <t xml:space="preserve">lease</t>
        </is>
      </c>
      <c r="BN17" t="inlineStr">
        <is>
          <t xml:space="preserve">long</t>
        </is>
      </c>
      <c r="BO17"/>
      <c r="BP17" s="4">
        <v>2.002</v>
      </c>
      <c r="BQ17" s="4">
        <v>1.982</v>
      </c>
      <c r="BR17" s="4">
        <v>0.3661205268076161</v>
      </c>
      <c r="BS17" s="6">
        <v>0.6862904595404583</v>
      </c>
      <c r="BT17" s="4">
        <v>0.7329732946688473</v>
      </c>
      <c r="BU17" s="4">
        <v>0.7329732946688473</v>
      </c>
      <c r="BV17" s="4">
        <v>0.7256508841326951</v>
      </c>
      <c r="BW17" s="4">
        <v>-0.007327430901184214</v>
      </c>
      <c r="BX17" s="4">
        <v>0.000005020365031979147</v>
      </c>
      <c r="BY17" s="4">
        <v>2.002</v>
      </c>
      <c r="BZ17" s="4">
        <v>1.982</v>
      </c>
      <c r="CA17" s="6"/>
      <c r="CB17" s="6"/>
      <c r="CC17" s="6"/>
      <c r="CD17" s="9"/>
      <c r="CE17" s="7">
        <f>IFERROR(BW17/F17,0)</f>
        <v>-0.0068607491664435406</v>
      </c>
      <c r="CF17" t="inlineStr">
        <is>
          <t xml:space="preserve">Treasury collateral</t>
        </is>
      </c>
      <c r="CG17" t="inlineStr">
        <is>
          <t xml:space="preserve">treasury</t>
        </is>
      </c>
      <c r="CH17" t="inlineStr">
        <is>
          <t xml:space="preserve">lease</t>
        </is>
      </c>
      <c r="CI17" t="inlineStr">
        <is>
          <t xml:space="preserve">long</t>
        </is>
      </c>
      <c r="CJ17"/>
      <c r="CK17" s="4">
        <v>100.3359343762851</v>
      </c>
      <c r="CL17" s="4">
        <v>100.35278531540091</v>
      </c>
      <c r="CM17" s="4">
        <v>0.0033392690890912125</v>
      </c>
      <c r="CN17" s="6">
        <v>0.3137095404595416</v>
      </c>
      <c r="CO17" s="4">
        <v>0.3350486841878132</v>
      </c>
      <c r="CP17" s="4">
        <v>0.3350486841878132</v>
      </c>
      <c r="CQ17" s="4">
        <v>0.3351049540079248</v>
      </c>
      <c r="CR17" s="4">
        <v>0.00005626982011154232</v>
      </c>
      <c r="CS17" s="4">
        <v>4.510958663897502e-17</v>
      </c>
      <c r="CT17" s="4">
        <v>2.002</v>
      </c>
      <c r="CU17" s="4">
        <v>1.982</v>
      </c>
      <c r="CV17" s="6"/>
      <c r="CW17" s="6"/>
      <c r="CX17" s="6"/>
      <c r="CY17" s="9">
        <v>64</v>
      </c>
      <c r="CZ17" s="7">
        <f>IFERROR(CR17/F17,0)</f>
        <v>0.00005268601323334219</v>
      </c>
      <c r="DA17" t="inlineStr">
        <is>
          <t xml:space="preserve">SI69H</t>
        </is>
      </c>
      <c r="DB17" t="inlineStr">
        <is>
          <t xml:space="preserve">future</t>
        </is>
      </c>
      <c r="DC17" t="inlineStr">
        <is>
          <t xml:space="preserve">lease</t>
        </is>
      </c>
      <c r="DD17" t="inlineStr">
        <is>
          <t xml:space="preserve">long</t>
        </is>
      </c>
      <c r="DE17" t="inlineStr">
        <is>
          <t xml:space="preserve">regular</t>
        </is>
      </c>
      <c r="DF17" s="4">
        <v>2.0069999999999997</v>
      </c>
      <c r="DG17" s="4">
        <v>1.985</v>
      </c>
      <c r="DH17" s="4">
        <v>0.16690626187368668</v>
      </c>
      <c r="DI17" s="6">
        <v>0.3136460430702868</v>
      </c>
      <c r="DJ17" s="4">
        <v>0.3349808675804891</v>
      </c>
      <c r="DK17" s="4">
        <v>0</v>
      </c>
      <c r="DL17" s="4">
        <v>0</v>
      </c>
      <c r="DM17" s="4">
        <v>-0.0036719377612210386</v>
      </c>
      <c r="DN17" s="4">
        <v>0.0036719377612210386</v>
      </c>
      <c r="DO17" s="4">
        <v>2.002</v>
      </c>
      <c r="DP17" s="4">
        <v>1.982</v>
      </c>
      <c r="DQ17" s="6">
        <v>0.0024975024975024684</v>
      </c>
      <c r="DR17" s="6">
        <v>0.0613</v>
      </c>
      <c r="DS17" s="6">
        <v>0.04705643106893123</v>
      </c>
      <c r="DT17" s="9">
        <v>64</v>
      </c>
      <c r="DU17" s="7">
        <f>IFERROR(DM17/F17,0)</f>
        <v>-0.0034380732175118</v>
      </c>
      <c r="DV17" t="inlineStr">
        <is>
          <t xml:space="preserve">SI69K</t>
        </is>
      </c>
      <c r="DW17" t="inlineStr">
        <is>
          <t xml:space="preserve">future</t>
        </is>
      </c>
      <c r="DX17" t="inlineStr">
        <is>
          <t xml:space="preserve">lease</t>
        </is>
      </c>
      <c r="DY17" t="inlineStr">
        <is>
          <t xml:space="preserve">long</t>
        </is>
      </c>
      <c r="DZ17" t="inlineStr">
        <is>
          <t xml:space="preserve">regular</t>
        </is>
      </c>
      <c r="EA17" s="4">
        <v>2.043</v>
      </c>
      <c r="EB17" s="4">
        <v>2.022</v>
      </c>
      <c r="EC17" s="4">
        <v>0.000033194619346114936</v>
      </c>
      <c r="ED17" s="6">
        <v>0.00006349738925477161</v>
      </c>
      <c r="EE17" s="4">
        <v>0.00006781660732411282</v>
      </c>
      <c r="EF17" s="4">
        <v>0</v>
      </c>
      <c r="EG17" s="4">
        <v>0</v>
      </c>
      <c r="EH17" s="4">
        <v>-6.970870062684268e-7</v>
      </c>
      <c r="EI17" s="4">
        <v>6.970870062684268e-7</v>
      </c>
      <c r="EJ17" s="4">
        <v>2.002</v>
      </c>
      <c r="EK17" s="4">
        <v>1.982</v>
      </c>
      <c r="EL17" s="6">
        <v>0.02047952047952073</v>
      </c>
      <c r="EM17" s="6">
        <v>0.06176153846153848</v>
      </c>
      <c r="EN17" s="6">
        <v>0.002435943421656983</v>
      </c>
      <c r="EO17" s="9">
        <v>126</v>
      </c>
      <c r="EP17" s="7">
        <f>IFERROR(EH17/F17,0)</f>
        <v>-6.526897573912035e-7</v>
      </c>
      <c r="EQ17" t="inlineStr">
        <is>
          <t xml:space="preserve">Lease cash / margin / financing</t>
        </is>
      </c>
      <c r="ER17" t="inlineStr">
        <is>
          <t xml:space="preserve">cash</t>
        </is>
      </c>
      <c r="ES17" t="inlineStr">
        <is>
          <t xml:space="preserve">lease</t>
        </is>
      </c>
      <c r="ET17" t="inlineStr">
        <is>
          <t xml:space="preserve">cash</t>
        </is>
      </c>
      <c r="EU17"/>
      <c r="EV17" s="4">
        <v>1</v>
      </c>
      <c r="EW17" s="4">
        <v>1</v>
      </c>
      <c r="EX17" s="4">
        <v>-2.220446049250313e-16</v>
      </c>
      <c r="EY17" s="6"/>
      <c r="EZ17" s="4">
        <v>-2.220446049250313e-16</v>
      </c>
      <c r="FA17" s="4">
        <v>-2.220446049250313e-16</v>
      </c>
      <c r="FB17" s="4">
        <v>-0.0036776552132595534</v>
      </c>
      <c r="FC17" s="4">
        <v>0</v>
      </c>
      <c r="FD17" s="4">
        <v>-0.0036776552132593314</v>
      </c>
      <c r="FE17" s="4">
        <v>2.002</v>
      </c>
      <c r="FF17" s="4">
        <v>1.982</v>
      </c>
      <c r="FG17" s="6"/>
      <c r="FH17" s="6"/>
      <c r="FI17" s="6"/>
      <c r="FJ17" s="9"/>
      <c r="FK17" s="7">
        <f>IFERROR(FC17/F17,0)</f>
        <v>0</v>
      </c>
      <c r="FL17" t="inlineStr">
        <is>
          <t xml:space="preserve">Keep cash / margin / financing</t>
        </is>
      </c>
      <c r="FM17" t="inlineStr">
        <is>
          <t xml:space="preserve">cash</t>
        </is>
      </c>
      <c r="FN17" t="inlineStr">
        <is>
          <t xml:space="preserve">keep</t>
        </is>
      </c>
      <c r="FO17" t="inlineStr">
        <is>
          <t xml:space="preserve">cash</t>
        </is>
      </c>
      <c r="FP17"/>
      <c r="FQ17" s="4">
        <v>1</v>
      </c>
      <c r="FR17" s="4">
        <v>1</v>
      </c>
      <c r="FS17" s="4">
        <v>0</v>
      </c>
      <c r="FT17" s="6"/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2.002</v>
      </c>
      <c r="GA17" s="4">
        <v>1.982</v>
      </c>
      <c r="GB17" s="6"/>
      <c r="GC17" s="6"/>
      <c r="GD17" s="6"/>
      <c r="GE17" s="9"/>
      <c r="GF17" s="7">
        <f>IFERROR(FX17/F17,0)</f>
        <v>0</v>
      </c>
      <c r="GG17"/>
      <c r="GH17"/>
      <c r="GI17"/>
      <c r="GJ17"/>
      <c r="GK17"/>
      <c r="GL17" s="4"/>
      <c r="GM17" s="4"/>
      <c r="GN17" s="4"/>
      <c r="GO17" s="6"/>
      <c r="GP17" s="4"/>
      <c r="GQ17" s="4"/>
      <c r="GR17" s="4"/>
      <c r="GS17" s="4"/>
      <c r="GT17" s="4"/>
      <c r="GU17" s="4"/>
      <c r="GV17" s="4"/>
      <c r="GW17" s="6"/>
      <c r="GX17" s="6"/>
      <c r="GY17" s="6"/>
      <c r="GZ17" s="9"/>
      <c r="HA17"/>
      <c r="HB17"/>
      <c r="HC17"/>
      <c r="HD17"/>
      <c r="HE17"/>
      <c r="HF17"/>
      <c r="HG17" s="4"/>
      <c r="HH17" s="4"/>
      <c r="HI17" s="4"/>
      <c r="HJ17" s="6"/>
      <c r="HK17" s="4"/>
      <c r="HL17" s="4"/>
      <c r="HM17" s="4"/>
      <c r="HN17" s="4"/>
      <c r="HO17" s="4"/>
      <c r="HP17" s="4"/>
      <c r="HQ17" s="4"/>
      <c r="HR17" s="6"/>
      <c r="HS17" s="6"/>
      <c r="HT17" s="6"/>
      <c r="HU17" s="9"/>
      <c r="HV17"/>
      <c r="HW17"/>
      <c r="HX17"/>
      <c r="HY17"/>
      <c r="HZ17"/>
      <c r="IA17"/>
      <c r="IB17" s="4"/>
      <c r="IC17" s="4"/>
      <c r="ID17" s="4"/>
      <c r="IE17" s="6"/>
      <c r="IF17" s="4"/>
      <c r="IG17" s="4"/>
      <c r="IH17" s="4"/>
      <c r="II17" s="4"/>
      <c r="IJ17" s="4"/>
      <c r="IK17" s="4"/>
      <c r="IL17" s="4"/>
      <c r="IM17" s="6"/>
      <c r="IN17" s="6"/>
      <c r="IO17" s="6"/>
      <c r="IP17" s="9"/>
      <c r="IQ17"/>
      <c r="IR17"/>
      <c r="IS17"/>
      <c r="IT17"/>
      <c r="IU17"/>
      <c r="IV17"/>
      <c r="IW17" s="4"/>
      <c r="IX17" s="4"/>
      <c r="IY17" s="4"/>
      <c r="IZ17" s="6"/>
      <c r="JA17" s="4"/>
      <c r="JB17" s="4"/>
      <c r="JC17" s="4"/>
      <c r="JD17" s="4"/>
      <c r="JE17" s="4"/>
      <c r="JF17" s="4"/>
      <c r="JG17" s="4"/>
      <c r="JH17" s="6"/>
      <c r="JI17" s="6"/>
      <c r="JJ17" s="6"/>
      <c r="JK17" s="9"/>
      <c r="JL17"/>
    </row>
    <row r="18">
      <c r="A18" s="8">
        <v>25226</v>
      </c>
      <c r="B18" s="8">
        <v>25227</v>
      </c>
      <c r="C18" s="9">
        <f>B18-A18</f>
        <v>1</v>
      </c>
      <c r="D18" s="8">
        <v>25226</v>
      </c>
      <c r="E18" t="inlineStr">
        <is>
          <t xml:space="preserve">positive</t>
        </is>
      </c>
      <c r="F18" s="4">
        <v>1.0570781829273606</v>
      </c>
      <c r="G18" s="6">
        <v>0.006274416423031035</v>
      </c>
      <c r="H18" s="7">
        <f>SUM(CE18,CZ18,DU18,EP18,FK18,GF18,HA18,HV18,IQ18,JL18)</f>
        <v>0.006274416423031034</v>
      </c>
      <c r="I18" s="7">
        <f>G18-H18</f>
        <v>8.673617379884035e-19</v>
      </c>
      <c r="J18" s="5">
        <f>F18*(1+H18)</f>
        <v>1.0637107316387477</v>
      </c>
      <c r="K18" s="4">
        <v>1.0637107316387477</v>
      </c>
      <c r="L18" s="5">
        <f>K18-J18</f>
        <v>0</v>
      </c>
      <c r="M18" s="4">
        <v>1.982</v>
      </c>
      <c r="N18" s="4">
        <v>1.988</v>
      </c>
      <c r="O18" s="5">
        <f>M18/$M$3</f>
        <v>1.0122574055158324</v>
      </c>
      <c r="P18" s="5">
        <f>N18/$M$3</f>
        <v>1.0153217568947905</v>
      </c>
      <c r="Q18" s="7">
        <f>IFERROR(N18/M18-1,0)</f>
        <v>0.003027245206861817</v>
      </c>
      <c r="R18" s="5">
        <f>SUM(IF(BM18="lease",BU18,0),IF(CH18="lease",CP18,0),IF(DC18="lease",DK18,0),IF(DX18="lease",EF18,0),IF(ES18="lease",FA18,0),IF(FN18="lease",FV18,0),IF(GI18="lease",GQ18,0),IF(HD18="lease",HL18,0),IF(HY18="lease",IG18,0),IF(IT18="lease",JB18,0))</f>
        <v>1.0570781829273603</v>
      </c>
      <c r="S18" s="5">
        <f>SUM(IF(BM18="lease",BV18,0),IF(CH18="lease",CQ18,0),IF(DC18="lease",DL18,0),IF(DX18="lease",EG18,0),IF(ES18="lease",FB18,0),IF(FN18="lease",FW18,0),IF(GI18="lease",GR18,0),IF(HD18="lease",HM18,0),IF(HY18="lease",IH18,0),IF(IT18="lease",JC18,0))</f>
        <v>1.0637107316387477</v>
      </c>
      <c r="T18" s="5">
        <f>SUM(IF(BM18="keep",BU18,0),IF(CH18="keep",CP18,0),IF(DC18="keep",DK18,0),IF(DX18="keep",EF18,0),IF(ES18="keep",FA18,0),IF(FN18="keep",FV18,0),IF(GI18="keep",GQ18,0),IF(HD18="keep",HL18,0),IF(HY18="keep",IG18,0),IF(IT18="keep",JB18,0))</f>
        <v>0</v>
      </c>
      <c r="U18" s="5">
        <f>SUM(IF(BM18="keep",BV18,0),IF(CH18="keep",CQ18,0),IF(DC18="keep",DL18,0),IF(DX18="keep",EG18,0),IF(ES18="keep",FB18,0),IF(FN18="keep",FW18,0),IF(GI18="keep",GR18,0),IF(HD18="keep",HM18,0),IF(HY18="keep",IH18,0),IF(IT18="keep",JC18,0))</f>
        <v>0</v>
      </c>
      <c r="V18" s="5">
        <f>R18/O18</f>
        <v>1.0442780434771803</v>
      </c>
      <c r="W18" s="5">
        <f>S18/P18</f>
        <v>1.0476587588272979</v>
      </c>
      <c r="X18" s="5">
        <f>T18/O18</f>
        <v>0</v>
      </c>
      <c r="Y18" s="5">
        <f>U18/P18</f>
        <v>0</v>
      </c>
      <c r="Z18" s="5">
        <f>V18+X18</f>
        <v>1.0442780434771803</v>
      </c>
      <c r="AA18" s="7">
        <f>IFERROR(W18/V18-1,0)</f>
        <v>0.0032373709006277007</v>
      </c>
      <c r="AB18" s="7">
        <f>IFERROR((W18-V18)/Z18,0)</f>
        <v>0.0032373709006277697</v>
      </c>
      <c r="AC18" s="7">
        <f>IFERROR(Y18/X18-1,0)</f>
        <v>0</v>
      </c>
      <c r="AD18" s="7">
        <f>IFERROR((Y18-X18)/Z18,0)</f>
        <v>0</v>
      </c>
      <c r="AE18" s="7">
        <f>AB18+AD18</f>
        <v>0.0032373709006277697</v>
      </c>
      <c r="AF18" s="7">
        <f>(1+Q18)*(1+AE18)-1</f>
        <v>0.0062744164230312816</v>
      </c>
      <c r="AG18" s="7">
        <f>G18-AF18</f>
        <v>-2.463307335887066e-16</v>
      </c>
      <c r="AH18" s="5">
        <f>SUM(IF(BM18="lease",BW18,0),IF(CH18="lease",CR18,0),IF(DC18="lease",DM18,0),IF(DX18="lease",EH18,0),IF(ES18="lease",FC18,0),IF(FN18="lease",FX18,0),IF(GI18="lease",GS18,0),IF(HD18="lease",HN18,0),IF(HY18="lease",II18,0),IF(IT18="lease",JD18,0))</f>
        <v>0.006632548711387235</v>
      </c>
      <c r="AI18" s="5">
        <f>SUM(IF(BM18="keep",BW18,0),IF(CH18="keep",CR18,0),IF(DC18="keep",DM18,0),IF(DX18="keep",EH18,0),IF(ES18="keep",FC18,0),IF(FN18="keep",FX18,0),IF(GI18="keep",GS18,0),IF(HD18="keep",HN18,0),IF(HY18="keep",II18,0),IF(IT18="keep",JD18,0))</f>
        <v>0</v>
      </c>
      <c r="AJ18" s="5">
        <f>SUM(IF(BM18="lease",BX18,0),IF(CH18="lease",CS18,0),IF(DC18="lease",DN18,0),IF(DX18="lease",EI18,0),IF(ES18="lease",FD18,0),IF(FN18="lease",FY18,0),IF(GI18="lease",GT18,0),IF(HD18="lease",HO18,0),IF(HY18="lease",IJ18,0),IF(IT18="lease",JE18,0))</f>
        <v>0</v>
      </c>
      <c r="AK18" s="5">
        <f>SUM(IF(BM18="keep",BX18,0),IF(CH18="keep",CS18,0),IF(DC18="keep",DN18,0),IF(DX18="keep",EI18,0),IF(ES18="keep",FD18,0),IF(FN18="keep",FY18,0),IF(GI18="keep",GT18,0),IF(HD18="keep",HO18,0),IF(HY18="keep",IJ18,0),IF(IT18="keep",JE18,0))</f>
        <v>0</v>
      </c>
      <c r="AL18" s="5">
        <f>R18-S17</f>
        <v>0</v>
      </c>
      <c r="AM18" s="5">
        <f>T18-U17</f>
        <v>0</v>
      </c>
      <c r="AN18" s="5">
        <f>AN17</f>
        <v>1</v>
      </c>
      <c r="AO18" s="5">
        <f>AO17+AH18</f>
        <v>0.06371073163874783</v>
      </c>
      <c r="AP18" s="5">
        <f>AP17+AL18</f>
        <v>-2.220446049250313e-16</v>
      </c>
      <c r="AQ18" s="5">
        <f>AN18+AO18+AP18</f>
        <v>1.0637107316387475</v>
      </c>
      <c r="AR18" s="5">
        <f>S18-AQ18</f>
        <v>2.220446049250313e-16</v>
      </c>
      <c r="AS18" s="5">
        <f>AS17</f>
        <v>0</v>
      </c>
      <c r="AT18" s="5">
        <f>AT17+AI18</f>
        <v>0</v>
      </c>
      <c r="AU18" s="5">
        <f>AU17+AM18</f>
        <v>0</v>
      </c>
      <c r="AV18" s="5">
        <f>AS18+AT18+AU18</f>
        <v>0</v>
      </c>
      <c r="AW18" s="5">
        <f>U18-AV18</f>
        <v>0</v>
      </c>
      <c r="AX18" s="4">
        <v>1.0570781829273603</v>
      </c>
      <c r="AY18" s="4">
        <v>1.0637107316387475</v>
      </c>
      <c r="AZ18" s="5">
        <f>S18-AY18</f>
        <v>2.220446049250313e-16</v>
      </c>
      <c r="BA18" s="4">
        <v>0</v>
      </c>
      <c r="BB18" s="4">
        <v>0</v>
      </c>
      <c r="BC18" s="5">
        <f>U18-BB18</f>
        <v>0</v>
      </c>
      <c r="BD18" s="7">
        <f>SUM(IF(BL18="direct",CE18,0),IF(CG18="direct",CZ18,0),IF(DB18="direct",DU18,0),IF(DW18="direct",EP18,0),IF(ER18="direct",FK18,0),IF(FM18="direct",GF18,0),IF(GH18="direct",HA18,0),IF(HC18="direct",HV18,0),IF(HX18="direct",IQ18,0),IF(IS18="direct",JL18,0))</f>
        <v>0.0019566003931817126</v>
      </c>
      <c r="BE18" s="7">
        <f>SUM(IF(BL18="treasury",CE18,0),IF(CG18="treasury",CZ18,0),IF(DB18="treasury",DU18,0),IF(DW18="treasury",EP18,0),IF(ER18="treasury",FK18,0),IF(FM18="treasury",GF18,0),IF(GH18="treasury",HA18,0),IF(HC18="treasury",HV18,0),IF(HX18="treasury",IQ18,0),IF(IS18="treasury",JL18,0))</f>
        <v>0.000059440454992957725</v>
      </c>
      <c r="BF18" s="7">
        <f>SUM(IF(BL18="future",CE18,0),IF(CG18="future",CZ18,0),IF(DB18="future",DU18,0),IF(DW18="future",EP18,0),IF(ER18="future",FK18,0),IF(FM18="future",GF18,0),IF(GH18="future",HA18,0),IF(HC18="future",HV18,0),IF(HX18="future",IQ18,0),IF(IS18="future",JL18,0))</f>
        <v>0.004258375574856365</v>
      </c>
      <c r="BG18" s="7">
        <f>SUM(IF(BL18="cash",CE18,0),IF(CG18="cash",CZ18,0),IF(DB18="cash",DU18,0),IF(DW18="cash",EP18,0),IF(ER18="cash",FK18,0),IF(FM18="cash",GF18,0),IF(GH18="cash",HA18,0),IF(HC18="cash",HV18,0),IF(HX18="cash",IQ18,0),IF(IS18="cash",JL18,0))</f>
        <v>0</v>
      </c>
      <c r="BH18" s="7">
        <f>SUM(BD18:BG18)</f>
        <v>0.006274416423031035</v>
      </c>
      <c r="BI18" s="7">
        <f>G18-BH18</f>
        <v>0</v>
      </c>
      <c r="BJ18" s="9">
        <f>COUNTA(BK18,CF18,DA18,DV18,EQ18,FL18,GG18,HB18,HW18,IR18)</f>
        <v>6</v>
      </c>
      <c r="BK18" t="inlineStr">
        <is>
          <t xml:space="preserve">Direct commodity holding</t>
        </is>
      </c>
      <c r="BL18" t="inlineStr">
        <is>
          <t xml:space="preserve">direct</t>
        </is>
      </c>
      <c r="BM18" t="inlineStr">
        <is>
          <t xml:space="preserve">lease</t>
        </is>
      </c>
      <c r="BN18" t="inlineStr">
        <is>
          <t xml:space="preserve">long</t>
        </is>
      </c>
      <c r="BO18"/>
      <c r="BP18" s="4">
        <v>1.982</v>
      </c>
      <c r="BQ18" s="4">
        <v>1.988</v>
      </c>
      <c r="BR18" s="4">
        <v>0.3454949668056705</v>
      </c>
      <c r="BS18" s="6">
        <v>0.6477960053177018</v>
      </c>
      <c r="BT18" s="4">
        <v>0.684771024208839</v>
      </c>
      <c r="BU18" s="4">
        <v>0.684771024208839</v>
      </c>
      <c r="BV18" s="4">
        <v>0.6868439940096729</v>
      </c>
      <c r="BW18" s="4">
        <v>0.002068279588339484</v>
      </c>
      <c r="BX18" s="4">
        <v>0.000004690212494450757</v>
      </c>
      <c r="BY18" s="4">
        <v>1.982</v>
      </c>
      <c r="BZ18" s="4">
        <v>1.988</v>
      </c>
      <c r="CA18" s="6"/>
      <c r="CB18" s="6"/>
      <c r="CC18" s="6"/>
      <c r="CD18" s="9"/>
      <c r="CE18" s="7">
        <f>IFERROR(BW18/F18,0)</f>
        <v>0.0019566003931817126</v>
      </c>
      <c r="CF18" t="inlineStr">
        <is>
          <t xml:space="preserve">Treasury collateral</t>
        </is>
      </c>
      <c r="CG18" t="inlineStr">
        <is>
          <t xml:space="preserve">treasury</t>
        </is>
      </c>
      <c r="CH18" t="inlineStr">
        <is>
          <t xml:space="preserve">lease</t>
        </is>
      </c>
      <c r="CI18" t="inlineStr">
        <is>
          <t xml:space="preserve">long</t>
        </is>
      </c>
      <c r="CJ18"/>
      <c r="CK18" s="4">
        <v>100.35278531540091</v>
      </c>
      <c r="CL18" s="4">
        <v>100.3697215662925</v>
      </c>
      <c r="CM18" s="4">
        <v>0.0037099833108606753</v>
      </c>
      <c r="CN18" s="6">
        <v>0.35220399468229824</v>
      </c>
      <c r="CO18" s="4">
        <v>0.3723071587185216</v>
      </c>
      <c r="CP18" s="4">
        <v>0.3723071587185216</v>
      </c>
      <c r="CQ18" s="4">
        <v>0.37236999192667797</v>
      </c>
      <c r="CR18" s="4">
        <v>0.00006283320815633131</v>
      </c>
      <c r="CS18" s="4">
        <v>3.4084605797513046e-17</v>
      </c>
      <c r="CT18" s="4">
        <v>1.982</v>
      </c>
      <c r="CU18" s="4">
        <v>1.988</v>
      </c>
      <c r="CV18" s="6"/>
      <c r="CW18" s="6"/>
      <c r="CX18" s="6"/>
      <c r="CY18" s="9">
        <v>63</v>
      </c>
      <c r="CZ18" s="7">
        <f>IFERROR(CR18/F18,0)</f>
        <v>0.000059440454992957725</v>
      </c>
      <c r="DA18" t="inlineStr">
        <is>
          <t xml:space="preserve">SI69H</t>
        </is>
      </c>
      <c r="DB18" t="inlineStr">
        <is>
          <t xml:space="preserve">future</t>
        </is>
      </c>
      <c r="DC18" t="inlineStr">
        <is>
          <t xml:space="preserve">lease</t>
        </is>
      </c>
      <c r="DD18" t="inlineStr">
        <is>
          <t xml:space="preserve">long</t>
        </is>
      </c>
      <c r="DE18" t="inlineStr">
        <is>
          <t xml:space="preserve">regular</t>
        </is>
      </c>
      <c r="DF18" s="4">
        <v>1.985</v>
      </c>
      <c r="DG18" s="4">
        <v>2.009</v>
      </c>
      <c r="DH18" s="4">
        <v>0.18753559759679134</v>
      </c>
      <c r="DI18" s="6">
        <v>0.3521576428705949</v>
      </c>
      <c r="DJ18" s="4">
        <v>0.37225816122963085</v>
      </c>
      <c r="DK18" s="4">
        <v>0</v>
      </c>
      <c r="DL18" s="4">
        <v>0</v>
      </c>
      <c r="DM18" s="4">
        <v>0.0045008543423229845</v>
      </c>
      <c r="DN18" s="4">
        <v>-0.0045008543423229845</v>
      </c>
      <c r="DO18" s="4">
        <v>1.982</v>
      </c>
      <c r="DP18" s="4">
        <v>1.988</v>
      </c>
      <c r="DQ18" s="6">
        <v>0.0015136226034309086</v>
      </c>
      <c r="DR18" s="6">
        <v>0.0616</v>
      </c>
      <c r="DS18" s="6">
        <v>0.052830599202344744</v>
      </c>
      <c r="DT18" s="9">
        <v>63</v>
      </c>
      <c r="DU18" s="7">
        <f>IFERROR(DM18/F18,0)</f>
        <v>0.004257825404984515</v>
      </c>
      <c r="DV18" t="inlineStr">
        <is>
          <t xml:space="preserve">SI69K</t>
        </is>
      </c>
      <c r="DW18" t="inlineStr">
        <is>
          <t xml:space="preserve">future</t>
        </is>
      </c>
      <c r="DX18" t="inlineStr">
        <is>
          <t xml:space="preserve">lease</t>
        </is>
      </c>
      <c r="DY18" t="inlineStr">
        <is>
          <t xml:space="preserve">long</t>
        </is>
      </c>
      <c r="DZ18" t="inlineStr">
        <is>
          <t xml:space="preserve">regular</t>
        </is>
      </c>
      <c r="EA18" s="4">
        <v>2.022</v>
      </c>
      <c r="EB18" s="4">
        <v>2.046</v>
      </c>
      <c r="EC18" s="4">
        <v>0.000024232190351490668</v>
      </c>
      <c r="ED18" s="6">
        <v>0.00004635181170329867</v>
      </c>
      <c r="EE18" s="4">
        <v>0.000048997488890714125</v>
      </c>
      <c r="EF18" s="4">
        <v>0</v>
      </c>
      <c r="EG18" s="4">
        <v>0</v>
      </c>
      <c r="EH18" s="4">
        <v>5.815725684357742e-7</v>
      </c>
      <c r="EI18" s="4">
        <v>-5.815725684357742e-7</v>
      </c>
      <c r="EJ18" s="4">
        <v>1.982</v>
      </c>
      <c r="EK18" s="4">
        <v>1.988</v>
      </c>
      <c r="EL18" s="6">
        <v>0.020181634712411523</v>
      </c>
      <c r="EM18" s="6">
        <v>0.06208571428571428</v>
      </c>
      <c r="EN18" s="6">
        <v>0.003155340925472643</v>
      </c>
      <c r="EO18" s="9">
        <v>125</v>
      </c>
      <c r="EP18" s="7">
        <f>IFERROR(EH18/F18,0)</f>
        <v>5.501698718492408e-7</v>
      </c>
      <c r="EQ18" t="inlineStr">
        <is>
          <t xml:space="preserve">Lease cash / margin / financing</t>
        </is>
      </c>
      <c r="ER18" t="inlineStr">
        <is>
          <t xml:space="preserve">cash</t>
        </is>
      </c>
      <c r="ES18" t="inlineStr">
        <is>
          <t xml:space="preserve">lease</t>
        </is>
      </c>
      <c r="ET18" t="inlineStr">
        <is>
          <t xml:space="preserve">cash</t>
        </is>
      </c>
      <c r="EU18"/>
      <c r="EV18" s="4">
        <v>1</v>
      </c>
      <c r="EW18" s="4">
        <v>1</v>
      </c>
      <c r="EX18" s="4">
        <v>-2.220446049250313e-16</v>
      </c>
      <c r="EY18" s="6"/>
      <c r="EZ18" s="4">
        <v>-2.220446049250313e-16</v>
      </c>
      <c r="FA18" s="4">
        <v>-2.220446049250313e-16</v>
      </c>
      <c r="FB18" s="4">
        <v>0.004496745702396714</v>
      </c>
      <c r="FC18" s="4">
        <v>0</v>
      </c>
      <c r="FD18" s="4">
        <v>0.004496745702396936</v>
      </c>
      <c r="FE18" s="4">
        <v>1.982</v>
      </c>
      <c r="FF18" s="4">
        <v>1.988</v>
      </c>
      <c r="FG18" s="6"/>
      <c r="FH18" s="6"/>
      <c r="FI18" s="6"/>
      <c r="FJ18" s="9"/>
      <c r="FK18" s="7">
        <f>IFERROR(FC18/F18,0)</f>
        <v>0</v>
      </c>
      <c r="FL18" t="inlineStr">
        <is>
          <t xml:space="preserve">Keep cash / margin / financing</t>
        </is>
      </c>
      <c r="FM18" t="inlineStr">
        <is>
          <t xml:space="preserve">cash</t>
        </is>
      </c>
      <c r="FN18" t="inlineStr">
        <is>
          <t xml:space="preserve">keep</t>
        </is>
      </c>
      <c r="FO18" t="inlineStr">
        <is>
          <t xml:space="preserve">cash</t>
        </is>
      </c>
      <c r="FP18"/>
      <c r="FQ18" s="4">
        <v>1</v>
      </c>
      <c r="FR18" s="4">
        <v>1</v>
      </c>
      <c r="FS18" s="4">
        <v>0</v>
      </c>
      <c r="FT18" s="6"/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1.982</v>
      </c>
      <c r="GA18" s="4">
        <v>1.988</v>
      </c>
      <c r="GB18" s="6"/>
      <c r="GC18" s="6"/>
      <c r="GD18" s="6"/>
      <c r="GE18" s="9"/>
      <c r="GF18" s="7">
        <f>IFERROR(FX18/F18,0)</f>
        <v>0</v>
      </c>
      <c r="GG18"/>
      <c r="GH18"/>
      <c r="GI18"/>
      <c r="GJ18"/>
      <c r="GK18"/>
      <c r="GL18" s="4"/>
      <c r="GM18" s="4"/>
      <c r="GN18" s="4"/>
      <c r="GO18" s="6"/>
      <c r="GP18" s="4"/>
      <c r="GQ18" s="4"/>
      <c r="GR18" s="4"/>
      <c r="GS18" s="4"/>
      <c r="GT18" s="4"/>
      <c r="GU18" s="4"/>
      <c r="GV18" s="4"/>
      <c r="GW18" s="6"/>
      <c r="GX18" s="6"/>
      <c r="GY18" s="6"/>
      <c r="GZ18" s="9"/>
      <c r="HA18"/>
      <c r="HB18"/>
      <c r="HC18"/>
      <c r="HD18"/>
      <c r="HE18"/>
      <c r="HF18"/>
      <c r="HG18" s="4"/>
      <c r="HH18" s="4"/>
      <c r="HI18" s="4"/>
      <c r="HJ18" s="6"/>
      <c r="HK18" s="4"/>
      <c r="HL18" s="4"/>
      <c r="HM18" s="4"/>
      <c r="HN18" s="4"/>
      <c r="HO18" s="4"/>
      <c r="HP18" s="4"/>
      <c r="HQ18" s="4"/>
      <c r="HR18" s="6"/>
      <c r="HS18" s="6"/>
      <c r="HT18" s="6"/>
      <c r="HU18" s="9"/>
      <c r="HV18"/>
      <c r="HW18"/>
      <c r="HX18"/>
      <c r="HY18"/>
      <c r="HZ18"/>
      <c r="IA18"/>
      <c r="IB18" s="4"/>
      <c r="IC18" s="4"/>
      <c r="ID18" s="4"/>
      <c r="IE18" s="6"/>
      <c r="IF18" s="4"/>
      <c r="IG18" s="4"/>
      <c r="IH18" s="4"/>
      <c r="II18" s="4"/>
      <c r="IJ18" s="4"/>
      <c r="IK18" s="4"/>
      <c r="IL18" s="4"/>
      <c r="IM18" s="6"/>
      <c r="IN18" s="6"/>
      <c r="IO18" s="6"/>
      <c r="IP18" s="9"/>
      <c r="IQ18"/>
      <c r="IR18"/>
      <c r="IS18"/>
      <c r="IT18"/>
      <c r="IU18"/>
      <c r="IV18"/>
      <c r="IW18" s="4"/>
      <c r="IX18" s="4"/>
      <c r="IY18" s="4"/>
      <c r="IZ18" s="6"/>
      <c r="JA18" s="4"/>
      <c r="JB18" s="4"/>
      <c r="JC18" s="4"/>
      <c r="JD18" s="4"/>
      <c r="JE18" s="4"/>
      <c r="JF18" s="4"/>
      <c r="JG18" s="4"/>
      <c r="JH18" s="6"/>
      <c r="JI18" s="6"/>
      <c r="JJ18" s="6"/>
      <c r="JK18" s="9"/>
      <c r="JL18"/>
    </row>
    <row r="19">
      <c r="A19" s="8">
        <v>25227</v>
      </c>
      <c r="B19" s="8">
        <v>25230</v>
      </c>
      <c r="C19" s="9">
        <f>B19-A19</f>
        <v>3</v>
      </c>
      <c r="D19" s="8">
        <v>25227</v>
      </c>
      <c r="E19" t="inlineStr">
        <is>
          <t xml:space="preserve">neutral</t>
        </is>
      </c>
      <c r="F19" s="4">
        <v>1.0637107316387477</v>
      </c>
      <c r="G19" s="6">
        <v>0.0055126512499655556</v>
      </c>
      <c r="H19" s="7">
        <f>SUM(CE19,CZ19,DU19,EP19,FK19,GF19,HA19,HV19,IQ19,JL19)</f>
        <v>0.0055126512499655556</v>
      </c>
      <c r="I19" s="7">
        <f>G19-H19</f>
        <v>0</v>
      </c>
      <c r="J19" s="5">
        <f>F19*(1+H19)</f>
        <v>1.0695745979331177</v>
      </c>
      <c r="K19" s="4">
        <v>1.0695745979331177</v>
      </c>
      <c r="L19" s="5">
        <f>K19-J19</f>
        <v>0</v>
      </c>
      <c r="M19" s="4">
        <v>1.988</v>
      </c>
      <c r="N19" s="4">
        <v>1.999</v>
      </c>
      <c r="O19" s="5">
        <f>M19/$M$3</f>
        <v>1.0153217568947905</v>
      </c>
      <c r="P19" s="5">
        <f>N19/$M$3</f>
        <v>1.0209397344228806</v>
      </c>
      <c r="Q19" s="7">
        <f>IFERROR(N19/M19-1,0)</f>
        <v>0.005533199195171035</v>
      </c>
      <c r="R19" s="5">
        <f>SUM(IF(BM19="lease",BU19,0),IF(CH19="lease",CP19,0),IF(DC19="lease",DK19,0),IF(DX19="lease",EF19,0),IF(ES19="lease",FA19,0),IF(FN19="lease",FV19,0),IF(GI19="lease",GQ19,0),IF(HD19="lease",HL19,0),IF(HY19="lease",IG19,0),IF(IT19="lease",JB19,0))</f>
        <v>1.0637107316387475</v>
      </c>
      <c r="S19" s="5">
        <f>SUM(IF(BM19="lease",BV19,0),IF(CH19="lease",CQ19,0),IF(DC19="lease",DL19,0),IF(DX19="lease",EG19,0),IF(ES19="lease",FB19,0),IF(FN19="lease",FW19,0),IF(GI19="lease",GR19,0),IF(HD19="lease",HM19,0),IF(HY19="lease",IH19,0),IF(IT19="lease",JC19,0))</f>
        <v>1.0695745979331177</v>
      </c>
      <c r="T19" s="5">
        <f>SUM(IF(BM19="keep",BU19,0),IF(CH19="keep",CP19,0),IF(DC19="keep",DK19,0),IF(DX19="keep",EF19,0),IF(ES19="keep",FA19,0),IF(FN19="keep",FV19,0),IF(GI19="keep",GQ19,0),IF(HD19="keep",HL19,0),IF(HY19="keep",IG19,0),IF(IT19="keep",JB19,0))</f>
        <v>0</v>
      </c>
      <c r="U19" s="5">
        <f>SUM(IF(BM19="keep",BV19,0),IF(CH19="keep",CQ19,0),IF(DC19="keep",DL19,0),IF(DX19="keep",EG19,0),IF(ES19="keep",FB19,0),IF(FN19="keep",FW19,0),IF(GI19="keep",GR19,0),IF(HD19="keep",HM19,0),IF(HY19="keep",IH19,0),IF(IT19="keep",JC19,0))</f>
        <v>0</v>
      </c>
      <c r="V19" s="5">
        <f>R19/O19</f>
        <v>1.0476587588272976</v>
      </c>
      <c r="W19" s="5">
        <f>S19/P19</f>
        <v>1.047637350051548</v>
      </c>
      <c r="X19" s="5">
        <f>T19/O19</f>
        <v>0</v>
      </c>
      <c r="Y19" s="5">
        <f>U19/P19</f>
        <v>0</v>
      </c>
      <c r="Z19" s="5">
        <f>V19+X19</f>
        <v>1.0476587588272976</v>
      </c>
      <c r="AA19" s="7">
        <f>IFERROR(W19/V19-1,0)</f>
        <v>-0.00002043487497183083</v>
      </c>
      <c r="AB19" s="7">
        <f>IFERROR((W19-V19)/Z19,0)</f>
        <v>-0.000020434874971795956</v>
      </c>
      <c r="AC19" s="7">
        <f>IFERROR(Y19/X19-1,0)</f>
        <v>0</v>
      </c>
      <c r="AD19" s="7">
        <f>IFERROR((Y19-X19)/Z19,0)</f>
        <v>0</v>
      </c>
      <c r="AE19" s="7">
        <f>AB19+AD19</f>
        <v>-0.000020434874971795956</v>
      </c>
      <c r="AF19" s="7">
        <f>(1+Q19)*(1+AE19)-1</f>
        <v>0.005512651249965472</v>
      </c>
      <c r="AG19" s="7">
        <f>G19-AF19</f>
        <v>8.326672684688674e-17</v>
      </c>
      <c r="AH19" s="5">
        <f>SUM(IF(BM19="lease",BW19,0),IF(CH19="lease",CR19,0),IF(DC19="lease",DM19,0),IF(DX19="lease",EH19,0),IF(ES19="lease",FC19,0),IF(FN19="lease",FX19,0),IF(GI19="lease",GS19,0),IF(HD19="lease",HN19,0),IF(HY19="lease",II19,0),IF(IT19="lease",JD19,0))</f>
        <v>0.005863866294370118</v>
      </c>
      <c r="AI19" s="5">
        <f>SUM(IF(BM19="keep",BW19,0),IF(CH19="keep",CR19,0),IF(DC19="keep",DM19,0),IF(DX19="keep",EH19,0),IF(ES19="keep",FC19,0),IF(FN19="keep",FX19,0),IF(GI19="keep",GS19,0),IF(HD19="keep",HN19,0),IF(HY19="keep",II19,0),IF(IT19="keep",JD19,0))</f>
        <v>0</v>
      </c>
      <c r="AJ19" s="5">
        <f>SUM(IF(BM19="lease",BX19,0),IF(CH19="lease",CS19,0),IF(DC19="lease",DN19,0),IF(DX19="lease",EI19,0),IF(ES19="lease",FD19,0),IF(FN19="lease",FY19,0),IF(GI19="lease",GT19,0),IF(HD19="lease",HO19,0),IF(HY19="lease",IJ19,0),IF(IT19="lease",JE19,0))</f>
        <v>0</v>
      </c>
      <c r="AK19" s="5">
        <f>SUM(IF(BM19="keep",BX19,0),IF(CH19="keep",CS19,0),IF(DC19="keep",DN19,0),IF(DX19="keep",EI19,0),IF(ES19="keep",FD19,0),IF(FN19="keep",FY19,0),IF(GI19="keep",GT19,0),IF(HD19="keep",HO19,0),IF(HY19="keep",IJ19,0),IF(IT19="keep",JE19,0))</f>
        <v>0</v>
      </c>
      <c r="AL19" s="5">
        <f>R19-S18</f>
        <v>-2.220446049250313e-16</v>
      </c>
      <c r="AM19" s="5">
        <f>T19-U18</f>
        <v>0</v>
      </c>
      <c r="AN19" s="5">
        <f>AN18</f>
        <v>1</v>
      </c>
      <c r="AO19" s="5">
        <f>AO18+AH19</f>
        <v>0.06957459793311795</v>
      </c>
      <c r="AP19" s="5">
        <f>AP18+AL19</f>
        <v>-4.440892098500626e-16</v>
      </c>
      <c r="AQ19" s="5">
        <f>AN19+AO19+AP19</f>
        <v>1.0695745979331175</v>
      </c>
      <c r="AR19" s="5">
        <f>S19-AQ19</f>
        <v>2.220446049250313e-16</v>
      </c>
      <c r="AS19" s="5">
        <f>AS18</f>
        <v>0</v>
      </c>
      <c r="AT19" s="5">
        <f>AT18+AI19</f>
        <v>0</v>
      </c>
      <c r="AU19" s="5">
        <f>AU18+AM19</f>
        <v>0</v>
      </c>
      <c r="AV19" s="5">
        <f>AS19+AT19+AU19</f>
        <v>0</v>
      </c>
      <c r="AW19" s="5">
        <f>U19-AV19</f>
        <v>0</v>
      </c>
      <c r="AX19" s="4">
        <v>1.0637107316387475</v>
      </c>
      <c r="AY19" s="4">
        <v>1.0695745979331177</v>
      </c>
      <c r="AZ19" s="5">
        <f>S19-AY19</f>
        <v>0</v>
      </c>
      <c r="BA19" s="4">
        <v>0</v>
      </c>
      <c r="BB19" s="4">
        <v>0</v>
      </c>
      <c r="BC19" s="5">
        <f>U19-BB19</f>
        <v>0</v>
      </c>
      <c r="BD19" s="7">
        <f>SUM(IF(BL19="direct",CE19,0),IF(CG19="direct",CZ19,0),IF(DB19="direct",DU19,0),IF(DW19="direct",EP19,0),IF(ER19="direct",FK19,0),IF(FM19="direct",GF19,0),IF(GH19="direct",HA19,0),IF(HC19="direct",HV19,0),IF(HX19="direct",IQ19,0),IF(IS19="direct",JL19,0))</f>
        <v>0.0055126512499655556</v>
      </c>
      <c r="BE19" s="7">
        <f>SUM(IF(BL19="treasury",CE19,0),IF(CG19="treasury",CZ19,0),IF(DB19="treasury",DU19,0),IF(DW19="treasury",EP19,0),IF(ER19="treasury",FK19,0),IF(FM19="treasury",GF19,0),IF(GH19="treasury",HA19,0),IF(HC19="treasury",HV19,0),IF(HX19="treasury",IQ19,0),IF(IS19="treasury",JL19,0))</f>
        <v>0</v>
      </c>
      <c r="BF19" s="7">
        <f>SUM(IF(BL19="future",CE19,0),IF(CG19="future",CZ19,0),IF(DB19="future",DU19,0),IF(DW19="future",EP19,0),IF(ER19="future",FK19,0),IF(FM19="future",GF19,0),IF(GH19="future",HA19,0),IF(HC19="future",HV19,0),IF(HX19="future",IQ19,0),IF(IS19="future",JL19,0))</f>
        <v>0</v>
      </c>
      <c r="BG19" s="7">
        <f>SUM(IF(BL19="cash",CE19,0),IF(CG19="cash",CZ19,0),IF(DB19="cash",DU19,0),IF(DW19="cash",EP19,0),IF(ER19="cash",FK19,0),IF(FM19="cash",GF19,0),IF(GH19="cash",HA19,0),IF(HC19="cash",HV19,0),IF(HX19="cash",IQ19,0),IF(IS19="cash",JL19,0))</f>
        <v>0</v>
      </c>
      <c r="BH19" s="7">
        <f>SUM(BD19:BG19)</f>
        <v>0.0055126512499655556</v>
      </c>
      <c r="BI19" s="7">
        <f>G19-BH19</f>
        <v>0</v>
      </c>
      <c r="BJ19" s="9">
        <f>COUNTA(BK19,CF19,DA19,DV19,EQ19,FL19,GG19,HB19,HW19,IR19)</f>
        <v>3</v>
      </c>
      <c r="BK19" t="inlineStr">
        <is>
          <t xml:space="preserve">Direct commodity holding</t>
        </is>
      </c>
      <c r="BL19" t="inlineStr">
        <is>
          <t xml:space="preserve">direct</t>
        </is>
      </c>
      <c r="BM19" t="inlineStr">
        <is>
          <t xml:space="preserve">lease</t>
        </is>
      </c>
      <c r="BN19" t="inlineStr">
        <is>
          <t xml:space="preserve">long</t>
        </is>
      </c>
      <c r="BO19"/>
      <c r="BP19" s="4">
        <v>1.988</v>
      </c>
      <c r="BQ19" s="4">
        <v>1.999</v>
      </c>
      <c r="BR19" s="4">
        <v>0.5350657603816639</v>
      </c>
      <c r="BS19" s="6">
        <v>1</v>
      </c>
      <c r="BT19" s="4">
        <v>1.0637107316387477</v>
      </c>
      <c r="BU19" s="4">
        <v>1.0637107316387477</v>
      </c>
      <c r="BV19" s="4">
        <v>1.0695964550029462</v>
      </c>
      <c r="BW19" s="4">
        <v>0.005863866294370118</v>
      </c>
      <c r="BX19" s="4">
        <v>0.000021857069828340285</v>
      </c>
      <c r="BY19" s="4">
        <v>1.988</v>
      </c>
      <c r="BZ19" s="4">
        <v>1.999</v>
      </c>
      <c r="CA19" s="6"/>
      <c r="CB19" s="6"/>
      <c r="CC19" s="6"/>
      <c r="CD19" s="9"/>
      <c r="CE19" s="7">
        <f>IFERROR(BW19/F19,0)</f>
        <v>0.0055126512499655556</v>
      </c>
      <c r="CF19" t="inlineStr">
        <is>
          <t xml:space="preserve">Lease cash / margin / financing</t>
        </is>
      </c>
      <c r="CG19" t="inlineStr">
        <is>
          <t xml:space="preserve">cash</t>
        </is>
      </c>
      <c r="CH19" t="inlineStr">
        <is>
          <t xml:space="preserve">lease</t>
        </is>
      </c>
      <c r="CI19" t="inlineStr">
        <is>
          <t xml:space="preserve">cash</t>
        </is>
      </c>
      <c r="CJ19"/>
      <c r="CK19" s="4">
        <v>1</v>
      </c>
      <c r="CL19" s="4">
        <v>1</v>
      </c>
      <c r="CM19" s="4">
        <v>-2.220446049250313e-16</v>
      </c>
      <c r="CN19" s="6"/>
      <c r="CO19" s="4">
        <v>-2.220446049250313e-16</v>
      </c>
      <c r="CP19" s="4">
        <v>-2.220446049250313e-16</v>
      </c>
      <c r="CQ19" s="4">
        <v>-0.00002185706982856233</v>
      </c>
      <c r="CR19" s="4">
        <v>0</v>
      </c>
      <c r="CS19" s="4">
        <v>-0.000021857069828340285</v>
      </c>
      <c r="CT19" s="4">
        <v>1.988</v>
      </c>
      <c r="CU19" s="4">
        <v>1.999</v>
      </c>
      <c r="CV19" s="6"/>
      <c r="CW19" s="6"/>
      <c r="CX19" s="6"/>
      <c r="CY19" s="9"/>
      <c r="CZ19" s="7">
        <f>IFERROR(CR19/F19,0)</f>
        <v>0</v>
      </c>
      <c r="DA19" t="inlineStr">
        <is>
          <t xml:space="preserve">Keep cash / margin / financing</t>
        </is>
      </c>
      <c r="DB19" t="inlineStr">
        <is>
          <t xml:space="preserve">cash</t>
        </is>
      </c>
      <c r="DC19" t="inlineStr">
        <is>
          <t xml:space="preserve">keep</t>
        </is>
      </c>
      <c r="DD19" t="inlineStr">
        <is>
          <t xml:space="preserve">cash</t>
        </is>
      </c>
      <c r="DE19"/>
      <c r="DF19" s="4">
        <v>1</v>
      </c>
      <c r="DG19" s="4">
        <v>1</v>
      </c>
      <c r="DH19" s="4">
        <v>0</v>
      </c>
      <c r="DI19" s="6"/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1.988</v>
      </c>
      <c r="DP19" s="4">
        <v>1.999</v>
      </c>
      <c r="DQ19" s="6"/>
      <c r="DR19" s="6"/>
      <c r="DS19" s="6"/>
      <c r="DT19" s="9"/>
      <c r="DU19" s="7">
        <f>IFERROR(DM19/F19,0)</f>
        <v>0</v>
      </c>
      <c r="DV19"/>
      <c r="DW19"/>
      <c r="DX19"/>
      <c r="DY19"/>
      <c r="DZ19"/>
      <c r="EA19" s="4"/>
      <c r="EB19" s="4"/>
      <c r="EC19" s="4"/>
      <c r="ED19" s="6"/>
      <c r="EE19" s="4"/>
      <c r="EF19" s="4"/>
      <c r="EG19" s="4"/>
      <c r="EH19" s="4"/>
      <c r="EI19" s="4"/>
      <c r="EJ19" s="4"/>
      <c r="EK19" s="4"/>
      <c r="EL19" s="6"/>
      <c r="EM19" s="6"/>
      <c r="EN19" s="6"/>
      <c r="EO19" s="9"/>
      <c r="EP19"/>
      <c r="EQ19"/>
      <c r="ER19"/>
      <c r="ES19"/>
      <c r="ET19"/>
      <c r="EU19"/>
      <c r="EV19" s="4"/>
      <c r="EW19" s="4"/>
      <c r="EX19" s="4"/>
      <c r="EY19" s="6"/>
      <c r="EZ19" s="4"/>
      <c r="FA19" s="4"/>
      <c r="FB19" s="4"/>
      <c r="FC19" s="4"/>
      <c r="FD19" s="4"/>
      <c r="FE19" s="4"/>
      <c r="FF19" s="4"/>
      <c r="FG19" s="6"/>
      <c r="FH19" s="6"/>
      <c r="FI19" s="6"/>
      <c r="FJ19" s="9"/>
      <c r="FK19"/>
      <c r="FL19"/>
      <c r="FM19"/>
      <c r="FN19"/>
      <c r="FO19"/>
      <c r="FP19"/>
      <c r="FQ19" s="4"/>
      <c r="FR19" s="4"/>
      <c r="FS19" s="4"/>
      <c r="FT19" s="6"/>
      <c r="FU19" s="4"/>
      <c r="FV19" s="4"/>
      <c r="FW19" s="4"/>
      <c r="FX19" s="4"/>
      <c r="FY19" s="4"/>
      <c r="FZ19" s="4"/>
      <c r="GA19" s="4"/>
      <c r="GB19" s="6"/>
      <c r="GC19" s="6"/>
      <c r="GD19" s="6"/>
      <c r="GE19" s="9"/>
      <c r="GF19"/>
      <c r="GG19"/>
      <c r="GH19"/>
      <c r="GI19"/>
      <c r="GJ19"/>
      <c r="GK19"/>
      <c r="GL19" s="4"/>
      <c r="GM19" s="4"/>
      <c r="GN19" s="4"/>
      <c r="GO19" s="6"/>
      <c r="GP19" s="4"/>
      <c r="GQ19" s="4"/>
      <c r="GR19" s="4"/>
      <c r="GS19" s="4"/>
      <c r="GT19" s="4"/>
      <c r="GU19" s="4"/>
      <c r="GV19" s="4"/>
      <c r="GW19" s="6"/>
      <c r="GX19" s="6"/>
      <c r="GY19" s="6"/>
      <c r="GZ19" s="9"/>
      <c r="HA19"/>
      <c r="HB19"/>
      <c r="HC19"/>
      <c r="HD19"/>
      <c r="HE19"/>
      <c r="HF19"/>
      <c r="HG19" s="4"/>
      <c r="HH19" s="4"/>
      <c r="HI19" s="4"/>
      <c r="HJ19" s="6"/>
      <c r="HK19" s="4"/>
      <c r="HL19" s="4"/>
      <c r="HM19" s="4"/>
      <c r="HN19" s="4"/>
      <c r="HO19" s="4"/>
      <c r="HP19" s="4"/>
      <c r="HQ19" s="4"/>
      <c r="HR19" s="6"/>
      <c r="HS19" s="6"/>
      <c r="HT19" s="6"/>
      <c r="HU19" s="9"/>
      <c r="HV19"/>
      <c r="HW19"/>
      <c r="HX19"/>
      <c r="HY19"/>
      <c r="HZ19"/>
      <c r="IA19"/>
      <c r="IB19" s="4"/>
      <c r="IC19" s="4"/>
      <c r="ID19" s="4"/>
      <c r="IE19" s="6"/>
      <c r="IF19" s="4"/>
      <c r="IG19" s="4"/>
      <c r="IH19" s="4"/>
      <c r="II19" s="4"/>
      <c r="IJ19" s="4"/>
      <c r="IK19" s="4"/>
      <c r="IL19" s="4"/>
      <c r="IM19" s="6"/>
      <c r="IN19" s="6"/>
      <c r="IO19" s="6"/>
      <c r="IP19" s="9"/>
      <c r="IQ19"/>
      <c r="IR19"/>
      <c r="IS19"/>
      <c r="IT19"/>
      <c r="IU19"/>
      <c r="IV19"/>
      <c r="IW19" s="4"/>
      <c r="IX19" s="4"/>
      <c r="IY19" s="4"/>
      <c r="IZ19" s="6"/>
      <c r="JA19" s="4"/>
      <c r="JB19" s="4"/>
      <c r="JC19" s="4"/>
      <c r="JD19" s="4"/>
      <c r="JE19" s="4"/>
      <c r="JF19" s="4"/>
      <c r="JG19" s="4"/>
      <c r="JH19" s="6"/>
      <c r="JI19" s="6"/>
      <c r="JJ19" s="6"/>
      <c r="JK19" s="9"/>
      <c r="JL19"/>
    </row>
    <row r="20">
      <c r="A20" s="8">
        <v>25230</v>
      </c>
      <c r="B20" s="8">
        <v>25231</v>
      </c>
      <c r="C20" s="9">
        <f>B20-A20</f>
        <v>1</v>
      </c>
      <c r="D20" s="8">
        <v>25230</v>
      </c>
      <c r="E20" t="inlineStr">
        <is>
          <t xml:space="preserve">positive</t>
        </is>
      </c>
      <c r="F20" s="4">
        <v>1.0695745979331177</v>
      </c>
      <c r="G20" s="6">
        <v>-0.00575981297551644</v>
      </c>
      <c r="H20" s="7">
        <f>SUM(CE20,CZ20,DU20,EP20,FK20,GF20,HA20,HV20,IQ20,JL20)</f>
        <v>-0.00575981297551644</v>
      </c>
      <c r="I20" s="7">
        <f>G20-H20</f>
        <v>0</v>
      </c>
      <c r="J20" s="5">
        <f>F20*(1+H20)</f>
        <v>1.0634140482856598</v>
      </c>
      <c r="K20" s="4">
        <v>1.0634140482856598</v>
      </c>
      <c r="L20" s="5">
        <f>K20-J20</f>
        <v>0</v>
      </c>
      <c r="M20" s="4">
        <v>1.999</v>
      </c>
      <c r="N20" s="4">
        <v>1.987</v>
      </c>
      <c r="O20" s="5">
        <f>M20/$M$3</f>
        <v>1.0209397344228806</v>
      </c>
      <c r="P20" s="5">
        <f>N20/$M$3</f>
        <v>1.0148110316649643</v>
      </c>
      <c r="Q20" s="7">
        <f>IFERROR(N20/M20-1,0)</f>
        <v>-0.006003001500750393</v>
      </c>
      <c r="R20" s="5">
        <f>SUM(IF(BM20="lease",BU20,0),IF(CH20="lease",CP20,0),IF(DC20="lease",DK20,0),IF(DX20="lease",EF20,0),IF(ES20="lease",FA20,0),IF(FN20="lease",FV20,0),IF(GI20="lease",GQ20,0),IF(HD20="lease",HL20,0),IF(HY20="lease",IG20,0),IF(IT20="lease",JB20,0))</f>
        <v>1.0695745979331177</v>
      </c>
      <c r="S20" s="5">
        <f>SUM(IF(BM20="lease",BV20,0),IF(CH20="lease",CQ20,0),IF(DC20="lease",DL20,0),IF(DX20="lease",EG20,0),IF(ES20="lease",FB20,0),IF(FN20="lease",FW20,0),IF(GI20="lease",GR20,0),IF(HD20="lease",HM20,0),IF(HY20="lease",IH20,0),IF(IT20="lease",JC20,0))</f>
        <v>1.0634140482856598</v>
      </c>
      <c r="T20" s="5">
        <f>SUM(IF(BM20="keep",BU20,0),IF(CH20="keep",CP20,0),IF(DC20="keep",DK20,0),IF(DX20="keep",EF20,0),IF(ES20="keep",FA20,0),IF(FN20="keep",FV20,0),IF(GI20="keep",GQ20,0),IF(HD20="keep",HL20,0),IF(HY20="keep",IG20,0),IF(IT20="keep",JB20,0))</f>
        <v>0</v>
      </c>
      <c r="U20" s="5">
        <f>SUM(IF(BM20="keep",BV20,0),IF(CH20="keep",CQ20,0),IF(DC20="keep",DL20,0),IF(DX20="keep",EG20,0),IF(ES20="keep",FB20,0),IF(FN20="keep",FW20,0),IF(GI20="keep",GR20,0),IF(HD20="keep",HM20,0),IF(HY20="keep",IH20,0),IF(IT20="keep",JC20,0))</f>
        <v>0</v>
      </c>
      <c r="V20" s="5">
        <f>R20/O20</f>
        <v>1.047637350051548</v>
      </c>
      <c r="W20" s="5">
        <f>S20/P20</f>
        <v>1.0478936620751493</v>
      </c>
      <c r="X20" s="5">
        <f>T20/O20</f>
        <v>0</v>
      </c>
      <c r="Y20" s="5">
        <f>U20/P20</f>
        <v>0</v>
      </c>
      <c r="Z20" s="5">
        <f>V20+X20</f>
        <v>1.047637350051548</v>
      </c>
      <c r="AA20" s="7">
        <f>IFERROR(W20/V20-1,0)</f>
        <v>0.00024465720278943337</v>
      </c>
      <c r="AB20" s="7">
        <f>IFERROR((W20-V20)/Z20,0)</f>
        <v>0.0002446572027895181</v>
      </c>
      <c r="AC20" s="7">
        <f>IFERROR(Y20/X20-1,0)</f>
        <v>0</v>
      </c>
      <c r="AD20" s="7">
        <f>IFERROR((Y20-X20)/Z20,0)</f>
        <v>0</v>
      </c>
      <c r="AE20" s="7">
        <f>AB20+AD20</f>
        <v>0.0002446572027895181</v>
      </c>
      <c r="AF20" s="7">
        <f>(1+Q20)*(1+AE20)-1</f>
        <v>-0.005759812975516421</v>
      </c>
      <c r="AG20" s="7">
        <f>G20-AF20</f>
        <v>-1.9081958235744878e-17</v>
      </c>
      <c r="AH20" s="5">
        <f>SUM(IF(BM20="lease",BW20,0),IF(CH20="lease",CR20,0),IF(DC20="lease",DM20,0),IF(DX20="lease",EH20,0),IF(ES20="lease",FC20,0),IF(FN20="lease",FX20,0),IF(GI20="lease",GS20,0),IF(HD20="lease",HN20,0),IF(HY20="lease",II20,0),IF(IT20="lease",JD20,0))</f>
        <v>-0.0061605496474579505</v>
      </c>
      <c r="AI20" s="5">
        <f>SUM(IF(BM20="keep",BW20,0),IF(CH20="keep",CR20,0),IF(DC20="keep",DM20,0),IF(DX20="keep",EH20,0),IF(ES20="keep",FC20,0),IF(FN20="keep",FX20,0),IF(GI20="keep",GS20,0),IF(HD20="keep",HN20,0),IF(HY20="keep",II20,0),IF(IT20="keep",JD20,0))</f>
        <v>0</v>
      </c>
      <c r="AJ20" s="5">
        <f>SUM(IF(BM20="lease",BX20,0),IF(CH20="lease",CS20,0),IF(DC20="lease",DN20,0),IF(DX20="lease",EI20,0),IF(ES20="lease",FD20,0),IF(FN20="lease",FY20,0),IF(GI20="lease",GT20,0),IF(HD20="lease",HO20,0),IF(HY20="lease",IJ20,0),IF(IT20="lease",JE20,0))</f>
        <v>0</v>
      </c>
      <c r="AK20" s="5">
        <f>SUM(IF(BM20="keep",BX20,0),IF(CH20="keep",CS20,0),IF(DC20="keep",DN20,0),IF(DX20="keep",EI20,0),IF(ES20="keep",FD20,0),IF(FN20="keep",FY20,0),IF(GI20="keep",GT20,0),IF(HD20="keep",HO20,0),IF(HY20="keep",IJ20,0),IF(IT20="keep",JE20,0))</f>
        <v>0</v>
      </c>
      <c r="AL20" s="5">
        <f>R20-S19</f>
        <v>0</v>
      </c>
      <c r="AM20" s="5">
        <f>T20-U19</f>
        <v>0</v>
      </c>
      <c r="AN20" s="5">
        <f>AN19</f>
        <v>1</v>
      </c>
      <c r="AO20" s="5">
        <f>AO19+AH20</f>
        <v>0.06341404828566</v>
      </c>
      <c r="AP20" s="5">
        <f>AP19+AL20</f>
        <v>-4.440892098500626e-16</v>
      </c>
      <c r="AQ20" s="5">
        <f>AN20+AO20+AP20</f>
        <v>1.0634140482856596</v>
      </c>
      <c r="AR20" s="5">
        <f>S20-AQ20</f>
        <v>2.220446049250313e-16</v>
      </c>
      <c r="AS20" s="5">
        <f>AS19</f>
        <v>0</v>
      </c>
      <c r="AT20" s="5">
        <f>AT19+AI20</f>
        <v>0</v>
      </c>
      <c r="AU20" s="5">
        <f>AU19+AM20</f>
        <v>0</v>
      </c>
      <c r="AV20" s="5">
        <f>AS20+AT20+AU20</f>
        <v>0</v>
      </c>
      <c r="AW20" s="5">
        <f>U20-AV20</f>
        <v>0</v>
      </c>
      <c r="AX20" s="4">
        <v>1.0695745979331177</v>
      </c>
      <c r="AY20" s="4">
        <v>1.0634140482856598</v>
      </c>
      <c r="AZ20" s="5">
        <f>S20-AY20</f>
        <v>0</v>
      </c>
      <c r="BA20" s="4">
        <v>0</v>
      </c>
      <c r="BB20" s="4">
        <v>0</v>
      </c>
      <c r="BC20" s="5">
        <f>U20-BB20</f>
        <v>0</v>
      </c>
      <c r="BD20" s="7">
        <f>SUM(IF(BL20="direct",CE20,0),IF(CG20="direct",CZ20,0),IF(DB20="direct",DU20,0),IF(DW20="direct",EP20,0),IF(ER20="direct",FK20,0),IF(FM20="direct",GF20,0),IF(GH20="direct",HA20,0),IF(HC20="direct",HV20,0),IF(HX20="direct",IQ20,0),IF(IS20="direct",JL20,0))</f>
        <v>-0.003801813013406308</v>
      </c>
      <c r="BE20" s="7">
        <f>SUM(IF(BL20="treasury",CE20,0),IF(CG20="treasury",CZ20,0),IF(DB20="treasury",DU20,0),IF(DW20="treasury",EP20,0),IF(ER20="treasury",FK20,0),IF(FM20="treasury",GF20,0),IF(GH20="treasury",HA20,0),IF(HC20="treasury",HV20,0),IF(HX20="treasury",IQ20,0),IF(IS20="treasury",JL20,0))</f>
        <v>0.00006170358862427935</v>
      </c>
      <c r="BF20" s="7">
        <f>SUM(IF(BL20="future",CE20,0),IF(CG20="future",CZ20,0),IF(DB20="future",DU20,0),IF(DW20="future",EP20,0),IF(ER20="future",FK20,0),IF(FM20="future",GF20,0),IF(GH20="future",HA20,0),IF(HC20="future",HV20,0),IF(HX20="future",IQ20,0),IF(IS20="future",JL20,0))</f>
        <v>-0.002019703550734411</v>
      </c>
      <c r="BG20" s="7">
        <f>SUM(IF(BL20="cash",CE20,0),IF(CG20="cash",CZ20,0),IF(DB20="cash",DU20,0),IF(DW20="cash",EP20,0),IF(ER20="cash",FK20,0),IF(FM20="cash",GF20,0),IF(GH20="cash",HA20,0),IF(HC20="cash",HV20,0),IF(HX20="cash",IQ20,0),IF(IS20="cash",JL20,0))</f>
        <v>0</v>
      </c>
      <c r="BH20" s="7">
        <f>SUM(BD20:BG20)</f>
        <v>-0.00575981297551644</v>
      </c>
      <c r="BI20" s="7">
        <f>G20-BH20</f>
        <v>0</v>
      </c>
      <c r="BJ20" s="9">
        <f>COUNTA(BK20,CF20,DA20,DV20,EQ20,FL20,GG20,HB20,HW20,IR20)</f>
        <v>6</v>
      </c>
      <c r="BK20" t="inlineStr">
        <is>
          <t xml:space="preserve">Direct commodity holding</t>
        </is>
      </c>
      <c r="BL20" t="inlineStr">
        <is>
          <t xml:space="preserve">direct</t>
        </is>
      </c>
      <c r="BM20" t="inlineStr">
        <is>
          <t xml:space="preserve">lease</t>
        </is>
      </c>
      <c r="BN20" t="inlineStr">
        <is>
          <t xml:space="preserve">long</t>
        </is>
      </c>
      <c r="BO20"/>
      <c r="BP20" s="4">
        <v>1.999</v>
      </c>
      <c r="BQ20" s="4">
        <v>1.987</v>
      </c>
      <c r="BR20" s="4">
        <v>0.33847402608765254</v>
      </c>
      <c r="BS20" s="6">
        <v>0.6325969029712567</v>
      </c>
      <c r="BT20" s="4">
        <v>0.6766095781492174</v>
      </c>
      <c r="BU20" s="4">
        <v>0.6766095781492174</v>
      </c>
      <c r="BV20" s="4">
        <v>0.6725478898361656</v>
      </c>
      <c r="BW20" s="4">
        <v>-0.004066322625230947</v>
      </c>
      <c r="BX20" s="4">
        <v>0.00000463431217918777</v>
      </c>
      <c r="BY20" s="4">
        <v>1.999</v>
      </c>
      <c r="BZ20" s="4">
        <v>1.987</v>
      </c>
      <c r="CA20" s="6"/>
      <c r="CB20" s="6"/>
      <c r="CC20" s="6"/>
      <c r="CD20" s="9"/>
      <c r="CE20" s="7">
        <f>IFERROR(BW20/F20,0)</f>
        <v>-0.003801813013406308</v>
      </c>
      <c r="CF20" t="inlineStr">
        <is>
          <t xml:space="preserve">Treasury collateral</t>
        </is>
      </c>
      <c r="CG20" t="inlineStr">
        <is>
          <t xml:space="preserve">treasury</t>
        </is>
      </c>
      <c r="CH20" t="inlineStr">
        <is>
          <t xml:space="preserve">lease</t>
        </is>
      </c>
      <c r="CI20" t="inlineStr">
        <is>
          <t xml:space="preserve">long</t>
        </is>
      </c>
      <c r="CJ20"/>
      <c r="CK20" s="4">
        <v>100.42062138947583</v>
      </c>
      <c r="CL20" s="4">
        <v>100.43748655136946</v>
      </c>
      <c r="CM20" s="4">
        <v>0.0039131904816622</v>
      </c>
      <c r="CN20" s="6">
        <v>0.3674030970287433</v>
      </c>
      <c r="CO20" s="4">
        <v>0.39296501978390036</v>
      </c>
      <c r="CP20" s="4">
        <v>0.39296501978390036</v>
      </c>
      <c r="CQ20" s="4">
        <v>0.3930310163748942</v>
      </c>
      <c r="CR20" s="4">
        <v>0.00006599659099384408</v>
      </c>
      <c r="CS20" s="4">
        <v>-2.2036409155767878e-17</v>
      </c>
      <c r="CT20" s="4">
        <v>1.999</v>
      </c>
      <c r="CU20" s="4">
        <v>1.987</v>
      </c>
      <c r="CV20" s="6"/>
      <c r="CW20" s="6"/>
      <c r="CX20" s="6"/>
      <c r="CY20" s="9">
        <v>59</v>
      </c>
      <c r="CZ20" s="7">
        <f>IFERROR(CR20/F20,0)</f>
        <v>0.00006170358862427935</v>
      </c>
      <c r="DA20" t="inlineStr">
        <is>
          <t xml:space="preserve">SI69H</t>
        </is>
      </c>
      <c r="DB20" t="inlineStr">
        <is>
          <t xml:space="preserve">future</t>
        </is>
      </c>
      <c r="DC20" t="inlineStr">
        <is>
          <t xml:space="preserve">lease</t>
        </is>
      </c>
      <c r="DD20" t="inlineStr">
        <is>
          <t xml:space="preserve">long</t>
        </is>
      </c>
      <c r="DE20" t="inlineStr">
        <is>
          <t xml:space="preserve">regular</t>
        </is>
      </c>
      <c r="DF20" s="4">
        <v>2.001</v>
      </c>
      <c r="DG20" s="4">
        <v>1.99</v>
      </c>
      <c r="DH20" s="4">
        <v>0.19636487990474472</v>
      </c>
      <c r="DI20" s="6">
        <v>0.36736673201541803</v>
      </c>
      <c r="DJ20" s="4">
        <v>0.39292612468939414</v>
      </c>
      <c r="DK20" s="4">
        <v>0</v>
      </c>
      <c r="DL20" s="4">
        <v>0</v>
      </c>
      <c r="DM20" s="4">
        <v>-0.0021600136789521685</v>
      </c>
      <c r="DN20" s="4">
        <v>0.0021600136789521685</v>
      </c>
      <c r="DO20" s="4">
        <v>1.999</v>
      </c>
      <c r="DP20" s="4">
        <v>1.987</v>
      </c>
      <c r="DQ20" s="6">
        <v>0.0010005002501249916</v>
      </c>
      <c r="DR20" s="6">
        <v>0.0613</v>
      </c>
      <c r="DS20" s="6">
        <v>0.05511046455431149</v>
      </c>
      <c r="DT20" s="9">
        <v>59</v>
      </c>
      <c r="DU20" s="7">
        <f>IFERROR(DM20/F20,0)</f>
        <v>-0.002019507272448553</v>
      </c>
      <c r="DV20" t="inlineStr">
        <is>
          <t xml:space="preserve">SI69K</t>
        </is>
      </c>
      <c r="DW20" t="inlineStr">
        <is>
          <t xml:space="preserve">future</t>
        </is>
      </c>
      <c r="DX20" t="inlineStr">
        <is>
          <t xml:space="preserve">lease</t>
        </is>
      </c>
      <c r="DY20" t="inlineStr">
        <is>
          <t xml:space="preserve">long</t>
        </is>
      </c>
      <c r="DZ20" t="inlineStr">
        <is>
          <t xml:space="preserve">regular</t>
        </is>
      </c>
      <c r="EA20" s="4">
        <v>2.0380000000000003</v>
      </c>
      <c r="EB20" s="4">
        <v>2.0269999999999997</v>
      </c>
      <c r="EC20" s="4">
        <v>0.000019084933516301314</v>
      </c>
      <c r="ED20" s="6">
        <v>0.000036365013325283044</v>
      </c>
      <c r="EE20" s="4">
        <v>0.00003889509450622208</v>
      </c>
      <c r="EF20" s="4">
        <v>0</v>
      </c>
      <c r="EG20" s="4">
        <v>0</v>
      </c>
      <c r="EH20" s="4">
        <v>-2.0993426867932336e-7</v>
      </c>
      <c r="EI20" s="4">
        <v>2.0993426867932336e-7</v>
      </c>
      <c r="EJ20" s="4">
        <v>1.999</v>
      </c>
      <c r="EK20" s="4">
        <v>1.987</v>
      </c>
      <c r="EL20" s="6">
        <v>0.01950975487743878</v>
      </c>
      <c r="EM20" s="6">
        <v>0.06166263736263737</v>
      </c>
      <c r="EN20" s="6">
        <v>0.002810897443090633</v>
      </c>
      <c r="EO20" s="9">
        <v>121</v>
      </c>
      <c r="EP20" s="7">
        <f>IFERROR(EH20/F20,0)</f>
        <v>-1.9627828585776764e-7</v>
      </c>
      <c r="EQ20" t="inlineStr">
        <is>
          <t xml:space="preserve">Lease cash / margin / financing</t>
        </is>
      </c>
      <c r="ER20" t="inlineStr">
        <is>
          <t xml:space="preserve">cash</t>
        </is>
      </c>
      <c r="ES20" t="inlineStr">
        <is>
          <t xml:space="preserve">lease</t>
        </is>
      </c>
      <c r="ET20" t="inlineStr">
        <is>
          <t xml:space="preserve">cash</t>
        </is>
      </c>
      <c r="EU20"/>
      <c r="EV20" s="4">
        <v>1</v>
      </c>
      <c r="EW20" s="4">
        <v>1</v>
      </c>
      <c r="EX20" s="4">
        <v>0</v>
      </c>
      <c r="EY20" s="6"/>
      <c r="EZ20" s="4">
        <v>0</v>
      </c>
      <c r="FA20" s="4">
        <v>0</v>
      </c>
      <c r="FB20" s="4">
        <v>-0.0021648579254000136</v>
      </c>
      <c r="FC20" s="4">
        <v>0</v>
      </c>
      <c r="FD20" s="4">
        <v>-0.0021648579254000136</v>
      </c>
      <c r="FE20" s="4">
        <v>1.999</v>
      </c>
      <c r="FF20" s="4">
        <v>1.987</v>
      </c>
      <c r="FG20" s="6"/>
      <c r="FH20" s="6"/>
      <c r="FI20" s="6"/>
      <c r="FJ20" s="9"/>
      <c r="FK20" s="7">
        <f>IFERROR(FC20/F20,0)</f>
        <v>0</v>
      </c>
      <c r="FL20" t="inlineStr">
        <is>
          <t xml:space="preserve">Keep cash / margin / financing</t>
        </is>
      </c>
      <c r="FM20" t="inlineStr">
        <is>
          <t xml:space="preserve">cash</t>
        </is>
      </c>
      <c r="FN20" t="inlineStr">
        <is>
          <t xml:space="preserve">keep</t>
        </is>
      </c>
      <c r="FO20" t="inlineStr">
        <is>
          <t xml:space="preserve">cash</t>
        </is>
      </c>
      <c r="FP20"/>
      <c r="FQ20" s="4">
        <v>1</v>
      </c>
      <c r="FR20" s="4">
        <v>1</v>
      </c>
      <c r="FS20" s="4">
        <v>0</v>
      </c>
      <c r="FT20" s="6"/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1.999</v>
      </c>
      <c r="GA20" s="4">
        <v>1.987</v>
      </c>
      <c r="GB20" s="6"/>
      <c r="GC20" s="6"/>
      <c r="GD20" s="6"/>
      <c r="GE20" s="9"/>
      <c r="GF20" s="7">
        <f>IFERROR(FX20/F20,0)</f>
        <v>0</v>
      </c>
      <c r="GG20"/>
      <c r="GH20"/>
      <c r="GI20"/>
      <c r="GJ20"/>
      <c r="GK20"/>
      <c r="GL20" s="4"/>
      <c r="GM20" s="4"/>
      <c r="GN20" s="4"/>
      <c r="GO20" s="6"/>
      <c r="GP20" s="4"/>
      <c r="GQ20" s="4"/>
      <c r="GR20" s="4"/>
      <c r="GS20" s="4"/>
      <c r="GT20" s="4"/>
      <c r="GU20" s="4"/>
      <c r="GV20" s="4"/>
      <c r="GW20" s="6"/>
      <c r="GX20" s="6"/>
      <c r="GY20" s="6"/>
      <c r="GZ20" s="9"/>
      <c r="HA20"/>
      <c r="HB20"/>
      <c r="HC20"/>
      <c r="HD20"/>
      <c r="HE20"/>
      <c r="HF20"/>
      <c r="HG20" s="4"/>
      <c r="HH20" s="4"/>
      <c r="HI20" s="4"/>
      <c r="HJ20" s="6"/>
      <c r="HK20" s="4"/>
      <c r="HL20" s="4"/>
      <c r="HM20" s="4"/>
      <c r="HN20" s="4"/>
      <c r="HO20" s="4"/>
      <c r="HP20" s="4"/>
      <c r="HQ20" s="4"/>
      <c r="HR20" s="6"/>
      <c r="HS20" s="6"/>
      <c r="HT20" s="6"/>
      <c r="HU20" s="9"/>
      <c r="HV20"/>
      <c r="HW20"/>
      <c r="HX20"/>
      <c r="HY20"/>
      <c r="HZ20"/>
      <c r="IA20"/>
      <c r="IB20" s="4"/>
      <c r="IC20" s="4"/>
      <c r="ID20" s="4"/>
      <c r="IE20" s="6"/>
      <c r="IF20" s="4"/>
      <c r="IG20" s="4"/>
      <c r="IH20" s="4"/>
      <c r="II20" s="4"/>
      <c r="IJ20" s="4"/>
      <c r="IK20" s="4"/>
      <c r="IL20" s="4"/>
      <c r="IM20" s="6"/>
      <c r="IN20" s="6"/>
      <c r="IO20" s="6"/>
      <c r="IP20" s="9"/>
      <c r="IQ20"/>
      <c r="IR20"/>
      <c r="IS20"/>
      <c r="IT20"/>
      <c r="IU20"/>
      <c r="IV20"/>
      <c r="IW20" s="4"/>
      <c r="IX20" s="4"/>
      <c r="IY20" s="4"/>
      <c r="IZ20" s="6"/>
      <c r="JA20" s="4"/>
      <c r="JB20" s="4"/>
      <c r="JC20" s="4"/>
      <c r="JD20" s="4"/>
      <c r="JE20" s="4"/>
      <c r="JF20" s="4"/>
      <c r="JG20" s="4"/>
      <c r="JH20" s="6"/>
      <c r="JI20" s="6"/>
      <c r="JJ20" s="6"/>
      <c r="JK20" s="9"/>
      <c r="JL20"/>
    </row>
    <row r="21">
      <c r="A21" s="8">
        <v>25231</v>
      </c>
      <c r="B21" s="8">
        <v>25232</v>
      </c>
      <c r="C21" s="9">
        <f>B21-A21</f>
        <v>1</v>
      </c>
      <c r="D21" s="8">
        <v>25231</v>
      </c>
      <c r="E21" t="inlineStr">
        <is>
          <t xml:space="preserve">positive</t>
        </is>
      </c>
      <c r="F21" s="4">
        <v>1.0634140482856598</v>
      </c>
      <c r="G21" s="6">
        <v>-0.0015676384123739376</v>
      </c>
      <c r="H21" s="7">
        <f>SUM(CE21,CZ21,DU21,EP21,FK21,GF21,HA21,HV21,IQ21,JL21)</f>
        <v>-0.0015676384123739376</v>
      </c>
      <c r="I21" s="7">
        <f>G21-H21</f>
        <v>0</v>
      </c>
      <c r="J21" s="5">
        <f>F21*(1+H21)</f>
        <v>1.061746999575309</v>
      </c>
      <c r="K21" s="4">
        <v>1.061746999575309</v>
      </c>
      <c r="L21" s="5">
        <f>K21-J21</f>
        <v>0</v>
      </c>
      <c r="M21" s="4">
        <v>1.987</v>
      </c>
      <c r="N21" s="4">
        <v>1.981</v>
      </c>
      <c r="O21" s="5">
        <f>M21/$M$3</f>
        <v>1.0148110316649643</v>
      </c>
      <c r="P21" s="5">
        <f>N21/$M$3</f>
        <v>1.0117466802860062</v>
      </c>
      <c r="Q21" s="7">
        <f>IFERROR(N21/M21-1,0)</f>
        <v>-0.003019627579265216</v>
      </c>
      <c r="R21" s="5">
        <f>SUM(IF(BM21="lease",BU21,0),IF(CH21="lease",CP21,0),IF(DC21="lease",DK21,0),IF(DX21="lease",EF21,0),IF(ES21="lease",FA21,0),IF(FN21="lease",FV21,0),IF(GI21="lease",GQ21,0),IF(HD21="lease",HL21,0),IF(HY21="lease",IG21,0),IF(IT21="lease",JB21,0))</f>
        <v>1.0634140482856598</v>
      </c>
      <c r="S21" s="5">
        <f>SUM(IF(BM21="lease",BV21,0),IF(CH21="lease",CQ21,0),IF(DC21="lease",DL21,0),IF(DX21="lease",EG21,0),IF(ES21="lease",FB21,0),IF(FN21="lease",FW21,0),IF(GI21="lease",GR21,0),IF(HD21="lease",HM21,0),IF(HY21="lease",IH21,0),IF(IT21="lease",JC21,0))</f>
        <v>1.061746999575309</v>
      </c>
      <c r="T21" s="5">
        <f>SUM(IF(BM21="keep",BU21,0),IF(CH21="keep",CP21,0),IF(DC21="keep",DK21,0),IF(DX21="keep",EF21,0),IF(ES21="keep",FA21,0),IF(FN21="keep",FV21,0),IF(GI21="keep",GQ21,0),IF(HD21="keep",HL21,0),IF(HY21="keep",IG21,0),IF(IT21="keep",JB21,0))</f>
        <v>0</v>
      </c>
      <c r="U21" s="5">
        <f>SUM(IF(BM21="keep",BV21,0),IF(CH21="keep",CQ21,0),IF(DC21="keep",DL21,0),IF(DX21="keep",EG21,0),IF(ES21="keep",FB21,0),IF(FN21="keep",FW21,0),IF(GI21="keep",GR21,0),IF(HD21="keep",HM21,0),IF(HY21="keep",IH21,0),IF(IT21="keep",JC21,0))</f>
        <v>0</v>
      </c>
      <c r="V21" s="5">
        <f>R21/O21</f>
        <v>1.0478936620751493</v>
      </c>
      <c r="W21" s="5">
        <f>S21/P21</f>
        <v>1.04941980069079</v>
      </c>
      <c r="X21" s="5">
        <f>T21/O21</f>
        <v>0</v>
      </c>
      <c r="Y21" s="5">
        <f>U21/P21</f>
        <v>0</v>
      </c>
      <c r="Z21" s="5">
        <f>V21+X21</f>
        <v>1.0478936620751493</v>
      </c>
      <c r="AA21" s="7">
        <f>IFERROR(W21/V21-1,0)</f>
        <v>0.001456386912979779</v>
      </c>
      <c r="AB21" s="7">
        <f>IFERROR((W21-V21)/Z21,0)</f>
        <v>0.0014563869129797383</v>
      </c>
      <c r="AC21" s="7">
        <f>IFERROR(Y21/X21-1,0)</f>
        <v>0</v>
      </c>
      <c r="AD21" s="7">
        <f>IFERROR((Y21-X21)/Z21,0)</f>
        <v>0</v>
      </c>
      <c r="AE21" s="7">
        <f>AB21+AD21</f>
        <v>0.0014563869129797383</v>
      </c>
      <c r="AF21" s="7">
        <f>(1+Q21)*(1+AE21)-1</f>
        <v>-0.0015676384123739506</v>
      </c>
      <c r="AG21" s="7">
        <f>G21-AF21</f>
        <v>1.3010426069826053e-17</v>
      </c>
      <c r="AH21" s="5">
        <f>SUM(IF(BM21="lease",BW21,0),IF(CH21="lease",CR21,0),IF(DC21="lease",DM21,0),IF(DX21="lease",EH21,0),IF(ES21="lease",FC21,0),IF(FN21="lease",FX21,0),IF(GI21="lease",GS21,0),IF(HD21="lease",HN21,0),IF(HY21="lease",II21,0),IF(IT21="lease",JD21,0))</f>
        <v>-0.0016670487103506734</v>
      </c>
      <c r="AI21" s="5">
        <f>SUM(IF(BM21="keep",BW21,0),IF(CH21="keep",CR21,0),IF(DC21="keep",DM21,0),IF(DX21="keep",EH21,0),IF(ES21="keep",FC21,0),IF(FN21="keep",FX21,0),IF(GI21="keep",GS21,0),IF(HD21="keep",HN21,0),IF(HY21="keep",II21,0),IF(IT21="keep",JD21,0))</f>
        <v>0</v>
      </c>
      <c r="AJ21" s="5">
        <f>SUM(IF(BM21="lease",BX21,0),IF(CH21="lease",CS21,0),IF(DC21="lease",DN21,0),IF(DX21="lease",EI21,0),IF(ES21="lease",FD21,0),IF(FN21="lease",FY21,0),IF(GI21="lease",GT21,0),IF(HD21="lease",HO21,0),IF(HY21="lease",IJ21,0),IF(IT21="lease",JE21,0))</f>
        <v>0</v>
      </c>
      <c r="AK21" s="5">
        <f>SUM(IF(BM21="keep",BX21,0),IF(CH21="keep",CS21,0),IF(DC21="keep",DN21,0),IF(DX21="keep",EI21,0),IF(ES21="keep",FD21,0),IF(FN21="keep",FY21,0),IF(GI21="keep",GT21,0),IF(HD21="keep",HO21,0),IF(HY21="keep",IJ21,0),IF(IT21="keep",JE21,0))</f>
        <v>0</v>
      </c>
      <c r="AL21" s="5">
        <f>R21-S20</f>
        <v>0</v>
      </c>
      <c r="AM21" s="5">
        <f>T21-U20</f>
        <v>0</v>
      </c>
      <c r="AN21" s="5">
        <f>AN20</f>
        <v>1</v>
      </c>
      <c r="AO21" s="5">
        <f>AO20+AH21</f>
        <v>0.061746999575309325</v>
      </c>
      <c r="AP21" s="5">
        <f>AP20+AL21</f>
        <v>-4.440892098500626e-16</v>
      </c>
      <c r="AQ21" s="5">
        <f>AN21+AO21+AP21</f>
        <v>1.0617469995753088</v>
      </c>
      <c r="AR21" s="5">
        <f>S21-AQ21</f>
        <v>2.220446049250313e-16</v>
      </c>
      <c r="AS21" s="5">
        <f>AS20</f>
        <v>0</v>
      </c>
      <c r="AT21" s="5">
        <f>AT20+AI21</f>
        <v>0</v>
      </c>
      <c r="AU21" s="5">
        <f>AU20+AM21</f>
        <v>0</v>
      </c>
      <c r="AV21" s="5">
        <f>AS21+AT21+AU21</f>
        <v>0</v>
      </c>
      <c r="AW21" s="5">
        <f>U21-AV21</f>
        <v>0</v>
      </c>
      <c r="AX21" s="4">
        <v>1.0634140482856598</v>
      </c>
      <c r="AY21" s="4">
        <v>1.061746999575309</v>
      </c>
      <c r="AZ21" s="5">
        <f>S21-AY21</f>
        <v>0</v>
      </c>
      <c r="BA21" s="4">
        <v>0</v>
      </c>
      <c r="BB21" s="4">
        <v>0</v>
      </c>
      <c r="BC21" s="5">
        <f>U21-BB21</f>
        <v>0</v>
      </c>
      <c r="BD21" s="7">
        <f>SUM(IF(BL21="direct",CE21,0),IF(CG21="direct",CZ21,0),IF(DB21="direct",DU21,0),IF(DW21="direct",EP21,0),IF(ER21="direct",FK21,0),IF(FM21="direct",GF21,0),IF(GH21="direct",HA21,0),IF(HC21="direct",HV21,0),IF(HX21="direct",IQ21,0),IF(IS21="direct",JL21,0))</f>
        <v>-0.001975309123337713</v>
      </c>
      <c r="BE21" s="7">
        <f>SUM(IF(BL21="treasury",CE21,0),IF(CG21="treasury",CZ21,0),IF(DB21="treasury",DU21,0),IF(DW21="treasury",EP21,0),IF(ER21="treasury",FK21,0),IF(FM21="treasury",GF21,0),IF(GH21="treasury",HA21,0),IF(HC21="treasury",HV21,0),IF(HX21="treasury",IQ21,0),IF(IS21="treasury",JL21,0))</f>
        <v>0.000058616856165612245</v>
      </c>
      <c r="BF21" s="7">
        <f>SUM(IF(BL21="future",CE21,0),IF(CG21="future",CZ21,0),IF(DB21="future",DU21,0),IF(DW21="future",EP21,0),IF(ER21="future",FK21,0),IF(FM21="future",GF21,0),IF(GH21="future",HA21,0),IF(HC21="future",HV21,0),IF(HX21="future",IQ21,0),IF(IS21="future",JL21,0))</f>
        <v>0.00034905385479816286</v>
      </c>
      <c r="BG21" s="7">
        <f>SUM(IF(BL21="cash",CE21,0),IF(CG21="cash",CZ21,0),IF(DB21="cash",DU21,0),IF(DW21="cash",EP21,0),IF(ER21="cash",FK21,0),IF(FM21="cash",GF21,0),IF(GH21="cash",HA21,0),IF(HC21="cash",HV21,0),IF(HX21="cash",IQ21,0),IF(IS21="cash",JL21,0))</f>
        <v>0</v>
      </c>
      <c r="BH21" s="7">
        <f>SUM(BD21:BG21)</f>
        <v>-0.001567638412373938</v>
      </c>
      <c r="BI21" s="7">
        <f>G21-BH21</f>
        <v>4.336808689942018e-19</v>
      </c>
      <c r="BJ21" s="9">
        <f>COUNTA(BK21,CF21,DA21,DV21,EQ21,FL21,GG21,HB21,HW21,IR21)</f>
        <v>6</v>
      </c>
      <c r="BK21" t="inlineStr">
        <is>
          <t xml:space="preserve">Direct commodity holding</t>
        </is>
      </c>
      <c r="BL21" t="inlineStr">
        <is>
          <t xml:space="preserve">direct</t>
        </is>
      </c>
      <c r="BM21" t="inlineStr">
        <is>
          <t xml:space="preserve">lease</t>
        </is>
      </c>
      <c r="BN21" t="inlineStr">
        <is>
          <t xml:space="preserve">long</t>
        </is>
      </c>
      <c r="BO21"/>
      <c r="BP21" s="4">
        <v>1.987</v>
      </c>
      <c r="BQ21" s="4">
        <v>1.981</v>
      </c>
      <c r="BR21" s="4">
        <v>0.3493029336809854</v>
      </c>
      <c r="BS21" s="6">
        <v>0.6526760957719404</v>
      </c>
      <c r="BT21" s="4">
        <v>0.6940649292241181</v>
      </c>
      <c r="BU21" s="4">
        <v>0.6940649292241181</v>
      </c>
      <c r="BV21" s="4">
        <v>0.6919691116220321</v>
      </c>
      <c r="BW21" s="4">
        <v>-0.002100571471464155</v>
      </c>
      <c r="BX21" s="4">
        <v>0.0000047538693781629116</v>
      </c>
      <c r="BY21" s="4">
        <v>1.987</v>
      </c>
      <c r="BZ21" s="4">
        <v>1.981</v>
      </c>
      <c r="CA21" s="6"/>
      <c r="CB21" s="6"/>
      <c r="CC21" s="6"/>
      <c r="CD21" s="9"/>
      <c r="CE21" s="7">
        <f>IFERROR(BW21/F21,0)</f>
        <v>-0.001975309123337713</v>
      </c>
      <c r="CF21" t="inlineStr">
        <is>
          <t xml:space="preserve">Treasury collateral</t>
        </is>
      </c>
      <c r="CG21" t="inlineStr">
        <is>
          <t xml:space="preserve">treasury</t>
        </is>
      </c>
      <c r="CH21" t="inlineStr">
        <is>
          <t xml:space="preserve">lease</t>
        </is>
      </c>
      <c r="CI21" t="inlineStr">
        <is>
          <t xml:space="preserve">long</t>
        </is>
      </c>
      <c r="CJ21"/>
      <c r="CK21" s="4">
        <v>100.43748655136946</v>
      </c>
      <c r="CL21" s="4">
        <v>100.45443709704497</v>
      </c>
      <c r="CM21" s="4">
        <v>0.003677403046845815</v>
      </c>
      <c r="CN21" s="6">
        <v>0.3473239042280596</v>
      </c>
      <c r="CO21" s="4">
        <v>0.3693491190615416</v>
      </c>
      <c r="CP21" s="4">
        <v>0.3693491190615416</v>
      </c>
      <c r="CQ21" s="4">
        <v>0.36941145304985445</v>
      </c>
      <c r="CR21" s="4">
        <v>0.00006233398831285195</v>
      </c>
      <c r="CS21" s="4">
        <v>-5.976664475826343e-18</v>
      </c>
      <c r="CT21" s="4">
        <v>1.987</v>
      </c>
      <c r="CU21" s="4">
        <v>1.981</v>
      </c>
      <c r="CV21" s="6"/>
      <c r="CW21" s="6"/>
      <c r="CX21" s="6"/>
      <c r="CY21" s="9">
        <v>58</v>
      </c>
      <c r="CZ21" s="7">
        <f>IFERROR(CR21/F21,0)</f>
        <v>0.000058616856165612245</v>
      </c>
      <c r="DA21" t="inlineStr">
        <is>
          <t xml:space="preserve">SI69H</t>
        </is>
      </c>
      <c r="DB21" t="inlineStr">
        <is>
          <t xml:space="preserve">future</t>
        </is>
      </c>
      <c r="DC21" t="inlineStr">
        <is>
          <t xml:space="preserve">lease</t>
        </is>
      </c>
      <c r="DD21" t="inlineStr">
        <is>
          <t xml:space="preserve">long</t>
        </is>
      </c>
      <c r="DE21" t="inlineStr">
        <is>
          <t xml:space="preserve">regular</t>
        </is>
      </c>
      <c r="DF21" s="4">
        <v>1.99</v>
      </c>
      <c r="DG21" s="4">
        <v>1.992</v>
      </c>
      <c r="DH21" s="4">
        <v>0.1855864938979234</v>
      </c>
      <c r="DI21" s="6">
        <v>0.3472938160373632</v>
      </c>
      <c r="DJ21" s="4">
        <v>0.3693171228568676</v>
      </c>
      <c r="DK21" s="4">
        <v>0</v>
      </c>
      <c r="DL21" s="4">
        <v>0</v>
      </c>
      <c r="DM21" s="4">
        <v>0.00037117298779585663</v>
      </c>
      <c r="DN21" s="4">
        <v>-0.00037117298779585663</v>
      </c>
      <c r="DO21" s="4">
        <v>1.987</v>
      </c>
      <c r="DP21" s="4">
        <v>1.981</v>
      </c>
      <c r="DQ21" s="6">
        <v>0.0015098137896325525</v>
      </c>
      <c r="DR21" s="6">
        <v>0.0616</v>
      </c>
      <c r="DS21" s="6">
        <v>0.05209858563420894</v>
      </c>
      <c r="DT21" s="9">
        <v>58</v>
      </c>
      <c r="DU21" s="7">
        <f>IFERROR(DM21/F21,0)</f>
        <v>0.00034903901109283655</v>
      </c>
      <c r="DV21" t="inlineStr">
        <is>
          <t xml:space="preserve">SI69K</t>
        </is>
      </c>
      <c r="DW21" t="inlineStr">
        <is>
          <t xml:space="preserve">future</t>
        </is>
      </c>
      <c r="DX21" t="inlineStr">
        <is>
          <t xml:space="preserve">lease</t>
        </is>
      </c>
      <c r="DY21" t="inlineStr">
        <is>
          <t xml:space="preserve">long</t>
        </is>
      </c>
      <c r="DZ21" t="inlineStr">
        <is>
          <t xml:space="preserve">regular</t>
        </is>
      </c>
      <c r="EA21" s="4">
        <v>2.0269999999999997</v>
      </c>
      <c r="EB21" s="4">
        <v>2.028</v>
      </c>
      <c r="EC21" s="4">
        <v>0.000015785004772578856</v>
      </c>
      <c r="ED21" s="6">
        <v>0.000030088190696369615</v>
      </c>
      <c r="EE21" s="4">
        <v>0.000031996204674017335</v>
      </c>
      <c r="EF21" s="4">
        <v>0</v>
      </c>
      <c r="EG21" s="4">
        <v>0</v>
      </c>
      <c r="EH21" s="4">
        <v>1.578500477258609e-8</v>
      </c>
      <c r="EI21" s="4">
        <v>-1.578500477258609e-8</v>
      </c>
      <c r="EJ21" s="4">
        <v>1.987</v>
      </c>
      <c r="EK21" s="4">
        <v>1.981</v>
      </c>
      <c r="EL21" s="6">
        <v>0.020130850528434552</v>
      </c>
      <c r="EM21" s="6">
        <v>0.06185494505494505</v>
      </c>
      <c r="EN21" s="6">
        <v>0.0006236080309566308</v>
      </c>
      <c r="EO21" s="9">
        <v>120</v>
      </c>
      <c r="EP21" s="7">
        <f>IFERROR(EH21/F21,0)</f>
        <v>1.4843705326286831e-8</v>
      </c>
      <c r="EQ21" t="inlineStr">
        <is>
          <t xml:space="preserve">Lease cash / margin / financing</t>
        </is>
      </c>
      <c r="ER21" t="inlineStr">
        <is>
          <t xml:space="preserve">cash</t>
        </is>
      </c>
      <c r="ES21" t="inlineStr">
        <is>
          <t xml:space="preserve">lease</t>
        </is>
      </c>
      <c r="ET21" t="inlineStr">
        <is>
          <t xml:space="preserve">cash</t>
        </is>
      </c>
      <c r="EU21"/>
      <c r="EV21" s="4">
        <v>1</v>
      </c>
      <c r="EW21" s="4">
        <v>1</v>
      </c>
      <c r="EX21" s="4">
        <v>0</v>
      </c>
      <c r="EY21" s="6"/>
      <c r="EZ21" s="4">
        <v>0</v>
      </c>
      <c r="FA21" s="4">
        <v>0</v>
      </c>
      <c r="FB21" s="4">
        <v>0.00036643490342247226</v>
      </c>
      <c r="FC21" s="4">
        <v>0</v>
      </c>
      <c r="FD21" s="4">
        <v>0.00036643490342247226</v>
      </c>
      <c r="FE21" s="4">
        <v>1.987</v>
      </c>
      <c r="FF21" s="4">
        <v>1.981</v>
      </c>
      <c r="FG21" s="6"/>
      <c r="FH21" s="6"/>
      <c r="FI21" s="6"/>
      <c r="FJ21" s="9"/>
      <c r="FK21" s="7">
        <f>IFERROR(FC21/F21,0)</f>
        <v>0</v>
      </c>
      <c r="FL21" t="inlineStr">
        <is>
          <t xml:space="preserve">Keep cash / margin / financing</t>
        </is>
      </c>
      <c r="FM21" t="inlineStr">
        <is>
          <t xml:space="preserve">cash</t>
        </is>
      </c>
      <c r="FN21" t="inlineStr">
        <is>
          <t xml:space="preserve">keep</t>
        </is>
      </c>
      <c r="FO21" t="inlineStr">
        <is>
          <t xml:space="preserve">cash</t>
        </is>
      </c>
      <c r="FP21"/>
      <c r="FQ21" s="4">
        <v>1</v>
      </c>
      <c r="FR21" s="4">
        <v>1</v>
      </c>
      <c r="FS21" s="4">
        <v>0</v>
      </c>
      <c r="FT21" s="6"/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1.987</v>
      </c>
      <c r="GA21" s="4">
        <v>1.981</v>
      </c>
      <c r="GB21" s="6"/>
      <c r="GC21" s="6"/>
      <c r="GD21" s="6"/>
      <c r="GE21" s="9"/>
      <c r="GF21" s="7">
        <f>IFERROR(FX21/F21,0)</f>
        <v>0</v>
      </c>
      <c r="GG21"/>
      <c r="GH21"/>
      <c r="GI21"/>
      <c r="GJ21"/>
      <c r="GK21"/>
      <c r="GL21" s="4"/>
      <c r="GM21" s="4"/>
      <c r="GN21" s="4"/>
      <c r="GO21" s="6"/>
      <c r="GP21" s="4"/>
      <c r="GQ21" s="4"/>
      <c r="GR21" s="4"/>
      <c r="GS21" s="4"/>
      <c r="GT21" s="4"/>
      <c r="GU21" s="4"/>
      <c r="GV21" s="4"/>
      <c r="GW21" s="6"/>
      <c r="GX21" s="6"/>
      <c r="GY21" s="6"/>
      <c r="GZ21" s="9"/>
      <c r="HA21"/>
      <c r="HB21"/>
      <c r="HC21"/>
      <c r="HD21"/>
      <c r="HE21"/>
      <c r="HF21"/>
      <c r="HG21" s="4"/>
      <c r="HH21" s="4"/>
      <c r="HI21" s="4"/>
      <c r="HJ21" s="6"/>
      <c r="HK21" s="4"/>
      <c r="HL21" s="4"/>
      <c r="HM21" s="4"/>
      <c r="HN21" s="4"/>
      <c r="HO21" s="4"/>
      <c r="HP21" s="4"/>
      <c r="HQ21" s="4"/>
      <c r="HR21" s="6"/>
      <c r="HS21" s="6"/>
      <c r="HT21" s="6"/>
      <c r="HU21" s="9"/>
      <c r="HV21"/>
      <c r="HW21"/>
      <c r="HX21"/>
      <c r="HY21"/>
      <c r="HZ21"/>
      <c r="IA21"/>
      <c r="IB21" s="4"/>
      <c r="IC21" s="4"/>
      <c r="ID21" s="4"/>
      <c r="IE21" s="6"/>
      <c r="IF21" s="4"/>
      <c r="IG21" s="4"/>
      <c r="IH21" s="4"/>
      <c r="II21" s="4"/>
      <c r="IJ21" s="4"/>
      <c r="IK21" s="4"/>
      <c r="IL21" s="4"/>
      <c r="IM21" s="6"/>
      <c r="IN21" s="6"/>
      <c r="IO21" s="6"/>
      <c r="IP21" s="9"/>
      <c r="IQ21"/>
      <c r="IR21"/>
      <c r="IS21"/>
      <c r="IT21"/>
      <c r="IU21"/>
      <c r="IV21"/>
      <c r="IW21" s="4"/>
      <c r="IX21" s="4"/>
      <c r="IY21" s="4"/>
      <c r="IZ21" s="6"/>
      <c r="JA21" s="4"/>
      <c r="JB21" s="4"/>
      <c r="JC21" s="4"/>
      <c r="JD21" s="4"/>
      <c r="JE21" s="4"/>
      <c r="JF21" s="4"/>
      <c r="JG21" s="4"/>
      <c r="JH21" s="6"/>
      <c r="JI21" s="6"/>
      <c r="JJ21" s="6"/>
      <c r="JK21" s="9"/>
      <c r="JL21"/>
    </row>
    <row r="22">
      <c r="A22" s="8">
        <v>25232</v>
      </c>
      <c r="B22" s="8">
        <v>25233</v>
      </c>
      <c r="C22" s="9">
        <f>B22-A22</f>
        <v>1</v>
      </c>
      <c r="D22" s="8">
        <v>25232</v>
      </c>
      <c r="E22" t="inlineStr">
        <is>
          <t xml:space="preserve">positive</t>
        </is>
      </c>
      <c r="F22" s="4">
        <v>1.061746999575309</v>
      </c>
      <c r="G22" s="6">
        <v>0.00949976457127024</v>
      </c>
      <c r="H22" s="7">
        <f>SUM(CE22,CZ22,DU22,EP22,FK22,GF22,HA22,HV22,IQ22,JL22)</f>
        <v>0.009499764571270239</v>
      </c>
      <c r="I22" s="7">
        <f>G22-H22</f>
        <v>1.734723475976807e-18</v>
      </c>
      <c r="J22" s="5">
        <f>F22*(1+H22)</f>
        <v>1.071833346105527</v>
      </c>
      <c r="K22" s="4">
        <v>1.071833346105527</v>
      </c>
      <c r="L22" s="5">
        <f>K22-J22</f>
        <v>0</v>
      </c>
      <c r="M22" s="4">
        <v>1.981</v>
      </c>
      <c r="N22" s="4">
        <v>2.001</v>
      </c>
      <c r="O22" s="5">
        <f>M22/$M$3</f>
        <v>1.0117466802860062</v>
      </c>
      <c r="P22" s="5">
        <f>N22/$M$3</f>
        <v>1.0219611848825332</v>
      </c>
      <c r="Q22" s="7">
        <f>IFERROR(N22/M22-1,0)</f>
        <v>0.01009591115598174</v>
      </c>
      <c r="R22" s="5">
        <f>SUM(IF(BM22="lease",BU22,0),IF(CH22="lease",CP22,0),IF(DC22="lease",DK22,0),IF(DX22="lease",EF22,0),IF(ES22="lease",FA22,0),IF(FN22="lease",FV22,0),IF(GI22="lease",GQ22,0),IF(HD22="lease",HL22,0),IF(HY22="lease",IG22,0),IF(IT22="lease",JB22,0))</f>
        <v>1.061746999575309</v>
      </c>
      <c r="S22" s="5">
        <f>SUM(IF(BM22="lease",BV22,0),IF(CH22="lease",CQ22,0),IF(DC22="lease",DL22,0),IF(DX22="lease",EG22,0),IF(ES22="lease",FB22,0),IF(FN22="lease",FW22,0),IF(GI22="lease",GR22,0),IF(HD22="lease",HM22,0),IF(HY22="lease",IH22,0),IF(IT22="lease",JC22,0))</f>
        <v>1.0718333461055272</v>
      </c>
      <c r="T22" s="5">
        <f>SUM(IF(BM22="keep",BU22,0),IF(CH22="keep",CP22,0),IF(DC22="keep",DK22,0),IF(DX22="keep",EF22,0),IF(ES22="keep",FA22,0),IF(FN22="keep",FV22,0),IF(GI22="keep",GQ22,0),IF(HD22="keep",HL22,0),IF(HY22="keep",IG22,0),IF(IT22="keep",JB22,0))</f>
        <v>0</v>
      </c>
      <c r="U22" s="5">
        <f>SUM(IF(BM22="keep",BV22,0),IF(CH22="keep",CQ22,0),IF(DC22="keep",DL22,0),IF(DX22="keep",EG22,0),IF(ES22="keep",FB22,0),IF(FN22="keep",FW22,0),IF(GI22="keep",GR22,0),IF(HD22="keep",HM22,0),IF(HY22="keep",IH22,0),IF(IT22="keep",JC22,0))</f>
        <v>0</v>
      </c>
      <c r="V22" s="5">
        <f>R22/O22</f>
        <v>1.04941980069079</v>
      </c>
      <c r="W22" s="5">
        <f>S22/P22</f>
        <v>1.048800445614504</v>
      </c>
      <c r="X22" s="5">
        <f>T22/O22</f>
        <v>0</v>
      </c>
      <c r="Y22" s="5">
        <f>U22/P22</f>
        <v>0</v>
      </c>
      <c r="Z22" s="5">
        <f>V22+X22</f>
        <v>1.04941980069079</v>
      </c>
      <c r="AA22" s="7">
        <f>IFERROR(W22/V22-1,0)</f>
        <v>-0.0005901880981075136</v>
      </c>
      <c r="AB22" s="7">
        <f>IFERROR((W22-V22)/Z22,0)</f>
        <v>-0.0005901880981075263</v>
      </c>
      <c r="AC22" s="7">
        <f>IFERROR(Y22/X22-1,0)</f>
        <v>0</v>
      </c>
      <c r="AD22" s="7">
        <f>IFERROR((Y22-X22)/Z22,0)</f>
        <v>0</v>
      </c>
      <c r="AE22" s="7">
        <f>AB22+AD22</f>
        <v>-0.0005901880981075263</v>
      </c>
      <c r="AF22" s="7">
        <f>(1+Q22)*(1+AE22)-1</f>
        <v>0.009499764571270441</v>
      </c>
      <c r="AG22" s="7">
        <f>G22-AF22</f>
        <v>-2.0122792321330962e-16</v>
      </c>
      <c r="AH22" s="5">
        <f>SUM(IF(BM22="lease",BW22,0),IF(CH22="lease",CR22,0),IF(DC22="lease",DM22,0),IF(DX22="lease",EH22,0),IF(ES22="lease",FC22,0),IF(FN22="lease",FX22,0),IF(GI22="lease",GS22,0),IF(HD22="lease",HN22,0),IF(HY22="lease",II22,0),IF(IT22="lease",JD22,0))</f>
        <v>0.010086346530217997</v>
      </c>
      <c r="AI22" s="5">
        <f>SUM(IF(BM22="keep",BW22,0),IF(CH22="keep",CR22,0),IF(DC22="keep",DM22,0),IF(DX22="keep",EH22,0),IF(ES22="keep",FC22,0),IF(FN22="keep",FX22,0),IF(GI22="keep",GS22,0),IF(HD22="keep",HN22,0),IF(HY22="keep",II22,0),IF(IT22="keep",JD22,0))</f>
        <v>0</v>
      </c>
      <c r="AJ22" s="5">
        <f>SUM(IF(BM22="lease",BX22,0),IF(CH22="lease",CS22,0),IF(DC22="lease",DN22,0),IF(DX22="lease",EI22,0),IF(ES22="lease",FD22,0),IF(FN22="lease",FY22,0),IF(GI22="lease",GT22,0),IF(HD22="lease",HO22,0),IF(HY22="lease",IJ22,0),IF(IT22="lease",JE22,0))</f>
        <v>0</v>
      </c>
      <c r="AK22" s="5">
        <f>SUM(IF(BM22="keep",BX22,0),IF(CH22="keep",CS22,0),IF(DC22="keep",DN22,0),IF(DX22="keep",EI22,0),IF(ES22="keep",FD22,0),IF(FN22="keep",FY22,0),IF(GI22="keep",GT22,0),IF(HD22="keep",HO22,0),IF(HY22="keep",IJ22,0),IF(IT22="keep",JE22,0))</f>
        <v>0</v>
      </c>
      <c r="AL22" s="5">
        <f>R22-S21</f>
        <v>0</v>
      </c>
      <c r="AM22" s="5">
        <f>T22-U21</f>
        <v>0</v>
      </c>
      <c r="AN22" s="5">
        <f>AN21</f>
        <v>1</v>
      </c>
      <c r="AO22" s="5">
        <f>AO21+AH22</f>
        <v>0.07183334610552733</v>
      </c>
      <c r="AP22" s="5">
        <f>AP21+AL22</f>
        <v>-4.440892098500626e-16</v>
      </c>
      <c r="AQ22" s="5">
        <f>AN22+AO22+AP22</f>
        <v>1.071833346105527</v>
      </c>
      <c r="AR22" s="5">
        <f>S22-AQ22</f>
        <v>2.220446049250313e-16</v>
      </c>
      <c r="AS22" s="5">
        <f>AS21</f>
        <v>0</v>
      </c>
      <c r="AT22" s="5">
        <f>AT21+AI22</f>
        <v>0</v>
      </c>
      <c r="AU22" s="5">
        <f>AU21+AM22</f>
        <v>0</v>
      </c>
      <c r="AV22" s="5">
        <f>AS22+AT22+AU22</f>
        <v>0</v>
      </c>
      <c r="AW22" s="5">
        <f>U22-AV22</f>
        <v>0</v>
      </c>
      <c r="AX22" s="4">
        <v>1.061746999575309</v>
      </c>
      <c r="AY22" s="4">
        <v>1.071833346105527</v>
      </c>
      <c r="AZ22" s="5">
        <f>S22-AY22</f>
        <v>2.220446049250313e-16</v>
      </c>
      <c r="BA22" s="4">
        <v>0</v>
      </c>
      <c r="BB22" s="4">
        <v>0</v>
      </c>
      <c r="BC22" s="5">
        <f>U22-BB22</f>
        <v>0</v>
      </c>
      <c r="BD22" s="7">
        <f>SUM(IF(BL22="direct",CE22,0),IF(CG22="direct",CZ22,0),IF(DB22="direct",DU22,0),IF(DW22="direct",EP22,0),IF(ER22="direct",FK22,0),IF(FM22="direct",GF22,0),IF(GH22="direct",HA22,0),IF(HC22="direct",HV22,0),IF(HX22="direct",IQ22,0),IF(IS22="direct",JL22,0))</f>
        <v>0.008337405018316</v>
      </c>
      <c r="BE22" s="7">
        <f>SUM(IF(BL22="treasury",CE22,0),IF(CG22="treasury",CZ22,0),IF(DB22="treasury",DU22,0),IF(DW22="treasury",EP22,0),IF(ER22="treasury",FK22,0),IF(FM22="treasury",GF22,0),IF(GH22="treasury",HA22,0),IF(HC22="treasury",HV22,0),IF(HX22="treasury",IQ22,0),IF(IS22="treasury",JL22,0))</f>
        <v>0.000029301246002690823</v>
      </c>
      <c r="BF22" s="7">
        <f>SUM(IF(BL22="future",CE22,0),IF(CG22="future",CZ22,0),IF(DB22="future",DU22,0),IF(DW22="future",EP22,0),IF(ER22="future",FK22,0),IF(FM22="future",GF22,0),IF(GH22="future",HA22,0),IF(HC22="future",HV22,0),IF(HX22="future",IQ22,0),IF(IS22="future",JL22,0))</f>
        <v>0.0011330583069515477</v>
      </c>
      <c r="BG22" s="7">
        <f>SUM(IF(BL22="cash",CE22,0),IF(CG22="cash",CZ22,0),IF(DB22="cash",DU22,0),IF(DW22="cash",EP22,0),IF(ER22="cash",FK22,0),IF(FM22="cash",GF22,0),IF(GH22="cash",HA22,0),IF(HC22="cash",HV22,0),IF(HX22="cash",IQ22,0),IF(IS22="cash",JL22,0))</f>
        <v>0</v>
      </c>
      <c r="BH22" s="7">
        <f>SUM(BD22:BG22)</f>
        <v>0.00949976457127024</v>
      </c>
      <c r="BI22" s="7">
        <f>G22-BH22</f>
        <v>0</v>
      </c>
      <c r="BJ22" s="9">
        <f>COUNTA(BK22,CF22,DA22,DV22,EQ22,FL22,GG22,HB22,HW22,IR22)</f>
        <v>5</v>
      </c>
      <c r="BK22" t="inlineStr">
        <is>
          <t xml:space="preserve">Direct commodity holding</t>
        </is>
      </c>
      <c r="BL22" t="inlineStr">
        <is>
          <t xml:space="preserve">direct</t>
        </is>
      </c>
      <c r="BM22" t="inlineStr">
        <is>
          <t xml:space="preserve">lease</t>
        </is>
      </c>
      <c r="BN22" t="inlineStr">
        <is>
          <t xml:space="preserve">long</t>
        </is>
      </c>
      <c r="BO22"/>
      <c r="BP22" s="4">
        <v>1.981</v>
      </c>
      <c r="BQ22" s="4">
        <v>2.001</v>
      </c>
      <c r="BR22" s="4">
        <v>0.44291122001481736</v>
      </c>
      <c r="BS22" s="6">
        <v>0.8263806040424976</v>
      </c>
      <c r="BT22" s="4">
        <v>0.8774071268493533</v>
      </c>
      <c r="BU22" s="4">
        <v>0.8774071268493533</v>
      </c>
      <c r="BV22" s="4">
        <v>0.8862653512496494</v>
      </c>
      <c r="BW22" s="4">
        <v>0.008852214762441139</v>
      </c>
      <c r="BX22" s="4">
        <v>0.000006009637855016597</v>
      </c>
      <c r="BY22" s="4">
        <v>1.981</v>
      </c>
      <c r="BZ22" s="4">
        <v>2.001</v>
      </c>
      <c r="CA22" s="6"/>
      <c r="CB22" s="6"/>
      <c r="CC22" s="6"/>
      <c r="CD22" s="9"/>
      <c r="CE22" s="7">
        <f>IFERROR(BW22/F22,0)</f>
        <v>0.008337405018316</v>
      </c>
      <c r="CF22" t="inlineStr">
        <is>
          <t xml:space="preserve">Treasury collateral</t>
        </is>
      </c>
      <c r="CG22" t="inlineStr">
        <is>
          <t xml:space="preserve">treasury</t>
        </is>
      </c>
      <c r="CH22" t="inlineStr">
        <is>
          <t xml:space="preserve">lease</t>
        </is>
      </c>
      <c r="CI22" t="inlineStr">
        <is>
          <t xml:space="preserve">long</t>
        </is>
      </c>
      <c r="CJ22"/>
      <c r="CK22" s="4">
        <v>100.45443709704497</v>
      </c>
      <c r="CL22" s="4">
        <v>100.47139050341534</v>
      </c>
      <c r="CM22" s="4">
        <v>0.0018350595359752247</v>
      </c>
      <c r="CN22" s="6">
        <v>0.17361939595750242</v>
      </c>
      <c r="CO22" s="4">
        <v>0.18433987272595576</v>
      </c>
      <c r="CP22" s="4">
        <v>0.18433987272595576</v>
      </c>
      <c r="CQ22" s="4">
        <v>0.18437098323598294</v>
      </c>
      <c r="CR22" s="4">
        <v>0.000031110510027175</v>
      </c>
      <c r="CS22" s="4">
        <v>1.3010426069826053e-17</v>
      </c>
      <c r="CT22" s="4">
        <v>1.981</v>
      </c>
      <c r="CU22" s="4">
        <v>2.001</v>
      </c>
      <c r="CV22" s="6"/>
      <c r="CW22" s="6"/>
      <c r="CX22" s="6"/>
      <c r="CY22" s="9">
        <v>57</v>
      </c>
      <c r="CZ22" s="7">
        <f>IFERROR(CR22/F22,0)</f>
        <v>0.000029301246002690823</v>
      </c>
      <c r="DA22" t="inlineStr">
        <is>
          <t xml:space="preserve">SI69H</t>
        </is>
      </c>
      <c r="DB22" t="inlineStr">
        <is>
          <t xml:space="preserve">future</t>
        </is>
      </c>
      <c r="DC22" t="inlineStr">
        <is>
          <t xml:space="preserve">lease</t>
        </is>
      </c>
      <c r="DD22" t="inlineStr">
        <is>
          <t xml:space="preserve">long</t>
        </is>
      </c>
      <c r="DE22" t="inlineStr">
        <is>
          <t xml:space="preserve">regular</t>
        </is>
      </c>
      <c r="DF22" s="4">
        <v>1.992</v>
      </c>
      <c r="DG22" s="4">
        <v>2.005</v>
      </c>
      <c r="DH22" s="4">
        <v>0.09254009674997779</v>
      </c>
      <c r="DI22" s="6">
        <v>0.17361939595750242</v>
      </c>
      <c r="DJ22" s="4">
        <v>0.18433987272595576</v>
      </c>
      <c r="DK22" s="4">
        <v>0</v>
      </c>
      <c r="DL22" s="4">
        <v>0</v>
      </c>
      <c r="DM22" s="4">
        <v>0.0012030212577496852</v>
      </c>
      <c r="DN22" s="4">
        <v>-0.0012030212577496852</v>
      </c>
      <c r="DO22" s="4">
        <v>1.981</v>
      </c>
      <c r="DP22" s="4">
        <v>2.001</v>
      </c>
      <c r="DQ22" s="6">
        <v>0.005552751135790013</v>
      </c>
      <c r="DR22" s="6">
        <v>0.0616</v>
      </c>
      <c r="DS22" s="6">
        <v>0.026042909393625364</v>
      </c>
      <c r="DT22" s="9">
        <v>57</v>
      </c>
      <c r="DU22" s="7">
        <f>IFERROR(DM22/F22,0)</f>
        <v>0.0011330583069515477</v>
      </c>
      <c r="DV22" t="inlineStr">
        <is>
          <t xml:space="preserve">Lease cash / margin / financing</t>
        </is>
      </c>
      <c r="DW22" t="inlineStr">
        <is>
          <t xml:space="preserve">cash</t>
        </is>
      </c>
      <c r="DX22" t="inlineStr">
        <is>
          <t xml:space="preserve">lease</t>
        </is>
      </c>
      <c r="DY22" t="inlineStr">
        <is>
          <t xml:space="preserve">cash</t>
        </is>
      </c>
      <c r="DZ22"/>
      <c r="EA22" s="4">
        <v>1</v>
      </c>
      <c r="EB22" s="4">
        <v>1</v>
      </c>
      <c r="EC22" s="4">
        <v>0</v>
      </c>
      <c r="ED22" s="6"/>
      <c r="EE22" s="4">
        <v>0</v>
      </c>
      <c r="EF22" s="4">
        <v>0</v>
      </c>
      <c r="EG22" s="4">
        <v>0.0011970116198946556</v>
      </c>
      <c r="EH22" s="4">
        <v>0</v>
      </c>
      <c r="EI22" s="4">
        <v>0.0011970116198946556</v>
      </c>
      <c r="EJ22" s="4">
        <v>1.981</v>
      </c>
      <c r="EK22" s="4">
        <v>2.001</v>
      </c>
      <c r="EL22" s="6"/>
      <c r="EM22" s="6"/>
      <c r="EN22" s="6"/>
      <c r="EO22" s="9"/>
      <c r="EP22" s="7">
        <f>IFERROR(EH22/F22,0)</f>
        <v>0</v>
      </c>
      <c r="EQ22" t="inlineStr">
        <is>
          <t xml:space="preserve">Keep cash / margin / financing</t>
        </is>
      </c>
      <c r="ER22" t="inlineStr">
        <is>
          <t xml:space="preserve">cash</t>
        </is>
      </c>
      <c r="ES22" t="inlineStr">
        <is>
          <t xml:space="preserve">keep</t>
        </is>
      </c>
      <c r="ET22" t="inlineStr">
        <is>
          <t xml:space="preserve">cash</t>
        </is>
      </c>
      <c r="EU22"/>
      <c r="EV22" s="4">
        <v>1</v>
      </c>
      <c r="EW22" s="4">
        <v>1</v>
      </c>
      <c r="EX22" s="4">
        <v>0</v>
      </c>
      <c r="EY22" s="6"/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1.981</v>
      </c>
      <c r="FF22" s="4">
        <v>2.001</v>
      </c>
      <c r="FG22" s="6"/>
      <c r="FH22" s="6"/>
      <c r="FI22" s="6"/>
      <c r="FJ22" s="9"/>
      <c r="FK22" s="7">
        <f>IFERROR(FC22/F22,0)</f>
        <v>0</v>
      </c>
      <c r="FL22"/>
      <c r="FM22"/>
      <c r="FN22"/>
      <c r="FO22"/>
      <c r="FP22"/>
      <c r="FQ22" s="4"/>
      <c r="FR22" s="4"/>
      <c r="FS22" s="4"/>
      <c r="FT22" s="6"/>
      <c r="FU22" s="4"/>
      <c r="FV22" s="4"/>
      <c r="FW22" s="4"/>
      <c r="FX22" s="4"/>
      <c r="FY22" s="4"/>
      <c r="FZ22" s="4"/>
      <c r="GA22" s="4"/>
      <c r="GB22" s="6"/>
      <c r="GC22" s="6"/>
      <c r="GD22" s="6"/>
      <c r="GE22" s="9"/>
      <c r="GF22"/>
      <c r="GG22"/>
      <c r="GH22"/>
      <c r="GI22"/>
      <c r="GJ22"/>
      <c r="GK22"/>
      <c r="GL22" s="4"/>
      <c r="GM22" s="4"/>
      <c r="GN22" s="4"/>
      <c r="GO22" s="6"/>
      <c r="GP22" s="4"/>
      <c r="GQ22" s="4"/>
      <c r="GR22" s="4"/>
      <c r="GS22" s="4"/>
      <c r="GT22" s="4"/>
      <c r="GU22" s="4"/>
      <c r="GV22" s="4"/>
      <c r="GW22" s="6"/>
      <c r="GX22" s="6"/>
      <c r="GY22" s="6"/>
      <c r="GZ22" s="9"/>
      <c r="HA22"/>
      <c r="HB22"/>
      <c r="HC22"/>
      <c r="HD22"/>
      <c r="HE22"/>
      <c r="HF22"/>
      <c r="HG22" s="4"/>
      <c r="HH22" s="4"/>
      <c r="HI22" s="4"/>
      <c r="HJ22" s="6"/>
      <c r="HK22" s="4"/>
      <c r="HL22" s="4"/>
      <c r="HM22" s="4"/>
      <c r="HN22" s="4"/>
      <c r="HO22" s="4"/>
      <c r="HP22" s="4"/>
      <c r="HQ22" s="4"/>
      <c r="HR22" s="6"/>
      <c r="HS22" s="6"/>
      <c r="HT22" s="6"/>
      <c r="HU22" s="9"/>
      <c r="HV22"/>
      <c r="HW22"/>
      <c r="HX22"/>
      <c r="HY22"/>
      <c r="HZ22"/>
      <c r="IA22"/>
      <c r="IB22" s="4"/>
      <c r="IC22" s="4"/>
      <c r="ID22" s="4"/>
      <c r="IE22" s="6"/>
      <c r="IF22" s="4"/>
      <c r="IG22" s="4"/>
      <c r="IH22" s="4"/>
      <c r="II22" s="4"/>
      <c r="IJ22" s="4"/>
      <c r="IK22" s="4"/>
      <c r="IL22" s="4"/>
      <c r="IM22" s="6"/>
      <c r="IN22" s="6"/>
      <c r="IO22" s="6"/>
      <c r="IP22" s="9"/>
      <c r="IQ22"/>
      <c r="IR22"/>
      <c r="IS22"/>
      <c r="IT22"/>
      <c r="IU22"/>
      <c r="IV22"/>
      <c r="IW22" s="4"/>
      <c r="IX22" s="4"/>
      <c r="IY22" s="4"/>
      <c r="IZ22" s="6"/>
      <c r="JA22" s="4"/>
      <c r="JB22" s="4"/>
      <c r="JC22" s="4"/>
      <c r="JD22" s="4"/>
      <c r="JE22" s="4"/>
      <c r="JF22" s="4"/>
      <c r="JG22" s="4"/>
      <c r="JH22" s="6"/>
      <c r="JI22" s="6"/>
      <c r="JJ22" s="6"/>
      <c r="JK22" s="9"/>
      <c r="JL22"/>
    </row>
    <row r="23">
      <c r="A23" s="8">
        <v>25233</v>
      </c>
      <c r="B23" s="8">
        <v>25234</v>
      </c>
      <c r="C23" s="9">
        <f>B23-A23</f>
        <v>1</v>
      </c>
      <c r="D23" s="8">
        <v>25233</v>
      </c>
      <c r="E23" t="inlineStr">
        <is>
          <t xml:space="preserve">positive</t>
        </is>
      </c>
      <c r="F23" s="4">
        <v>1.071833346105527</v>
      </c>
      <c r="G23" s="6">
        <v>-0.0005971034912389655</v>
      </c>
      <c r="H23" s="7">
        <f>SUM(CE23,CZ23,DU23,EP23,FK23,GF23,HA23,HV23,IQ23,JL23)</f>
        <v>-0.0005971034912389655</v>
      </c>
      <c r="I23" s="7">
        <f>G23-H23</f>
        <v>0</v>
      </c>
      <c r="J23" s="5">
        <f>F23*(1+H23)</f>
        <v>1.071193350672541</v>
      </c>
      <c r="K23" s="4">
        <v>1.071193350672541</v>
      </c>
      <c r="L23" s="5">
        <f>K23-J23</f>
        <v>0</v>
      </c>
      <c r="M23" s="4">
        <v>2.001</v>
      </c>
      <c r="N23" s="4">
        <v>2.001</v>
      </c>
      <c r="O23" s="5">
        <f>M23/$M$3</f>
        <v>1.0219611848825332</v>
      </c>
      <c r="P23" s="5">
        <f>N23/$M$3</f>
        <v>1.0219611848825332</v>
      </c>
      <c r="Q23" s="7">
        <f>IFERROR(N23/M23-1,0)</f>
        <v>0</v>
      </c>
      <c r="R23" s="5">
        <f>SUM(IF(BM23="lease",BU23,0),IF(CH23="lease",CP23,0),IF(DC23="lease",DK23,0),IF(DX23="lease",EF23,0),IF(ES23="lease",FA23,0),IF(FN23="lease",FV23,0),IF(GI23="lease",GQ23,0),IF(HD23="lease",HL23,0),IF(HY23="lease",IG23,0),IF(IT23="lease",JB23,0))</f>
        <v>1.071833346105527</v>
      </c>
      <c r="S23" s="5">
        <f>SUM(IF(BM23="lease",BV23,0),IF(CH23="lease",CQ23,0),IF(DC23="lease",DL23,0),IF(DX23="lease",EG23,0),IF(ES23="lease",FB23,0),IF(FN23="lease",FW23,0),IF(GI23="lease",GR23,0),IF(HD23="lease",HM23,0),IF(HY23="lease",IH23,0),IF(IT23="lease",JC23,0))</f>
        <v>1.0711933506725408</v>
      </c>
      <c r="T23" s="5">
        <f>SUM(IF(BM23="keep",BU23,0),IF(CH23="keep",CP23,0),IF(DC23="keep",DK23,0),IF(DX23="keep",EF23,0),IF(ES23="keep",FA23,0),IF(FN23="keep",FV23,0),IF(GI23="keep",GQ23,0),IF(HD23="keep",HL23,0),IF(HY23="keep",IG23,0),IF(IT23="keep",JB23,0))</f>
        <v>0</v>
      </c>
      <c r="U23" s="5">
        <f>SUM(IF(BM23="keep",BV23,0),IF(CH23="keep",CQ23,0),IF(DC23="keep",DL23,0),IF(DX23="keep",EG23,0),IF(ES23="keep",FB23,0),IF(FN23="keep",FW23,0),IF(GI23="keep",GR23,0),IF(HD23="keep",HM23,0),IF(HY23="keep",IH23,0),IF(IT23="keep",JC23,0))</f>
        <v>0</v>
      </c>
      <c r="V23" s="5">
        <f>R23/O23</f>
        <v>1.0488004456145037</v>
      </c>
      <c r="W23" s="5">
        <f>S23/P23</f>
        <v>1.0481742032068142</v>
      </c>
      <c r="X23" s="5">
        <f>T23/O23</f>
        <v>0</v>
      </c>
      <c r="Y23" s="5">
        <f>U23/P23</f>
        <v>0</v>
      </c>
      <c r="Z23" s="5">
        <f>V23+X23</f>
        <v>1.0488004456145037</v>
      </c>
      <c r="AA23" s="7">
        <f>IFERROR(W23/V23-1,0)</f>
        <v>-0.0005971034912390927</v>
      </c>
      <c r="AB23" s="7">
        <f>IFERROR((W23-V23)/Z23,0)</f>
        <v>-0.0005971034912390507</v>
      </c>
      <c r="AC23" s="7">
        <f>IFERROR(Y23/X23-1,0)</f>
        <v>0</v>
      </c>
      <c r="AD23" s="7">
        <f>IFERROR((Y23-X23)/Z23,0)</f>
        <v>0</v>
      </c>
      <c r="AE23" s="7">
        <f>AB23+AD23</f>
        <v>-0.0005971034912390507</v>
      </c>
      <c r="AF23" s="7">
        <f>(1+Q23)*(1+AE23)-1</f>
        <v>-0.0005971034912390927</v>
      </c>
      <c r="AG23" s="7">
        <f>G23-AF23</f>
        <v>1.2717691483254967e-16</v>
      </c>
      <c r="AH23" s="5">
        <f>SUM(IF(BM23="lease",BW23,0),IF(CH23="lease",CR23,0),IF(DC23="lease",DM23,0),IF(DX23="lease",EH23,0),IF(ES23="lease",FC23,0),IF(FN23="lease",FX23,0),IF(GI23="lease",GS23,0),IF(HD23="lease",HN23,0),IF(HY23="lease",II23,0),IF(IT23="lease",JD23,0))</f>
        <v>-0.0006399954329859526</v>
      </c>
      <c r="AI23" s="5">
        <f>SUM(IF(BM23="keep",BW23,0),IF(CH23="keep",CR23,0),IF(DC23="keep",DM23,0),IF(DX23="keep",EH23,0),IF(ES23="keep",FC23,0),IF(FN23="keep",FX23,0),IF(GI23="keep",GS23,0),IF(HD23="keep",HN23,0),IF(HY23="keep",II23,0),IF(IT23="keep",JD23,0))</f>
        <v>0</v>
      </c>
      <c r="AJ23" s="5">
        <f>SUM(IF(BM23="lease",BX23,0),IF(CH23="lease",CS23,0),IF(DC23="lease",DN23,0),IF(DX23="lease",EI23,0),IF(ES23="lease",FD23,0),IF(FN23="lease",FY23,0),IF(GI23="lease",GT23,0),IF(HD23="lease",HO23,0),IF(HY23="lease",IJ23,0),IF(IT23="lease",JE23,0))</f>
        <v>0</v>
      </c>
      <c r="AK23" s="5">
        <f>SUM(IF(BM23="keep",BX23,0),IF(CH23="keep",CS23,0),IF(DC23="keep",DN23,0),IF(DX23="keep",EI23,0),IF(ES23="keep",FD23,0),IF(FN23="keep",FY23,0),IF(GI23="keep",GT23,0),IF(HD23="keep",HO23,0),IF(HY23="keep",IJ23,0),IF(IT23="keep",JE23,0))</f>
        <v>0</v>
      </c>
      <c r="AL23" s="5">
        <f>R23-S22</f>
        <v>-2.220446049250313e-16</v>
      </c>
      <c r="AM23" s="5">
        <f>T23-U22</f>
        <v>0</v>
      </c>
      <c r="AN23" s="5">
        <f>AN22</f>
        <v>1</v>
      </c>
      <c r="AO23" s="5">
        <f>AO22+AH23</f>
        <v>0.07119335067254137</v>
      </c>
      <c r="AP23" s="5">
        <f>AP22+AL23</f>
        <v>-6.661338147750939e-16</v>
      </c>
      <c r="AQ23" s="5">
        <f>AN23+AO23+AP23</f>
        <v>1.0711933506725406</v>
      </c>
      <c r="AR23" s="5">
        <f>S23-AQ23</f>
        <v>2.220446049250313e-16</v>
      </c>
      <c r="AS23" s="5">
        <f>AS22</f>
        <v>0</v>
      </c>
      <c r="AT23" s="5">
        <f>AT22+AI23</f>
        <v>0</v>
      </c>
      <c r="AU23" s="5">
        <f>AU22+AM23</f>
        <v>0</v>
      </c>
      <c r="AV23" s="5">
        <f>AS23+AT23+AU23</f>
        <v>0</v>
      </c>
      <c r="AW23" s="5">
        <f>U23-AV23</f>
        <v>0</v>
      </c>
      <c r="AX23" s="4">
        <v>1.071833346105527</v>
      </c>
      <c r="AY23" s="4">
        <v>1.071193350672541</v>
      </c>
      <c r="AZ23" s="5">
        <f>S23-AY23</f>
        <v>-2.220446049250313e-16</v>
      </c>
      <c r="BA23" s="4">
        <v>0</v>
      </c>
      <c r="BB23" s="4">
        <v>0</v>
      </c>
      <c r="BC23" s="5">
        <f>U23-BB23</f>
        <v>0</v>
      </c>
      <c r="BD23" s="7">
        <f>SUM(IF(BL23="direct",CE23,0),IF(CG23="direct",CZ23,0),IF(DB23="direct",DU23,0),IF(DW23="direct",EP23,0),IF(ER23="direct",FK23,0),IF(FM23="direct",GF23,0),IF(GH23="direct",HA23,0),IF(HC23="direct",HV23,0),IF(HX23="direct",IQ23,0),IF(IS23="direct",JL23,0))</f>
        <v>-0.00000462690409524526</v>
      </c>
      <c r="BE23" s="7">
        <f>SUM(IF(BL23="treasury",CE23,0),IF(CG23="treasury",CZ23,0),IF(DB23="treasury",DU23,0),IF(DW23="treasury",EP23,0),IF(ER23="treasury",FK23,0),IF(FM23="treasury",GF23,0),IF(GH23="treasury",HA23,0),IF(HC23="treasury",HV23,0),IF(HX23="treasury",IQ23,0),IF(IS23="treasury",JL23,0))</f>
        <v>0.00005484910281975793</v>
      </c>
      <c r="BF23" s="7">
        <f>SUM(IF(BL23="future",CE23,0),IF(CG23="future",CZ23,0),IF(DB23="future",DU23,0),IF(DW23="future",EP23,0),IF(ER23="future",FK23,0),IF(FM23="future",GF23,0),IF(GH23="future",HA23,0),IF(HC23="future",HV23,0),IF(HX23="future",IQ23,0),IF(IS23="future",JL23,0))</f>
        <v>-0.0006473256899634782</v>
      </c>
      <c r="BG23" s="7">
        <f>SUM(IF(BL23="cash",CE23,0),IF(CG23="cash",CZ23,0),IF(DB23="cash",DU23,0),IF(DW23="cash",EP23,0),IF(ER23="cash",FK23,0),IF(FM23="cash",GF23,0),IF(GH23="cash",HA23,0),IF(HC23="cash",HV23,0),IF(HX23="cash",IQ23,0),IF(IS23="cash",JL23,0))</f>
        <v>0</v>
      </c>
      <c r="BH23" s="7">
        <f>SUM(BD23:BG23)</f>
        <v>-0.0005971034912389655</v>
      </c>
      <c r="BI23" s="7">
        <f>G23-BH23</f>
        <v>0</v>
      </c>
      <c r="BJ23" s="9">
        <f>COUNTA(BK23,CF23,DA23,DV23,EQ23,FL23,GG23,HB23,HW23,IR23)</f>
        <v>5</v>
      </c>
      <c r="BK23" t="inlineStr">
        <is>
          <t xml:space="preserve">Direct commodity holding</t>
        </is>
      </c>
      <c r="BL23" t="inlineStr">
        <is>
          <t xml:space="preserve">direct</t>
        </is>
      </c>
      <c r="BM23" t="inlineStr">
        <is>
          <t xml:space="preserve">lease</t>
        </is>
      </c>
      <c r="BN23" t="inlineStr">
        <is>
          <t xml:space="preserve">long</t>
        </is>
      </c>
      <c r="BO23"/>
      <c r="BP23" s="4">
        <v>2.001</v>
      </c>
      <c r="BQ23" s="4">
        <v>2.001</v>
      </c>
      <c r="BR23" s="4">
        <v>0.36184579429452757</v>
      </c>
      <c r="BS23" s="6">
        <v>0.675527997905808</v>
      </c>
      <c r="BT23" s="4">
        <v>0.7240534343833496</v>
      </c>
      <c r="BU23" s="4">
        <v>0.7240534343833496</v>
      </c>
      <c r="BV23" s="4">
        <v>0.7240534343833496</v>
      </c>
      <c r="BW23" s="4">
        <v>-0.000004959270098516093</v>
      </c>
      <c r="BX23" s="4">
        <v>0.000004959270098516093</v>
      </c>
      <c r="BY23" s="4">
        <v>2.001</v>
      </c>
      <c r="BZ23" s="4">
        <v>2.001</v>
      </c>
      <c r="CA23" s="6"/>
      <c r="CB23" s="6"/>
      <c r="CC23" s="6"/>
      <c r="CD23" s="9"/>
      <c r="CE23" s="7">
        <f>IFERROR(BW23/F23,0)</f>
        <v>-0.00000462690409524526</v>
      </c>
      <c r="CF23" t="inlineStr">
        <is>
          <t xml:space="preserve">Treasury collateral</t>
        </is>
      </c>
      <c r="CG23" t="inlineStr">
        <is>
          <t xml:space="preserve">treasury</t>
        </is>
      </c>
      <c r="CH23" t="inlineStr">
        <is>
          <t xml:space="preserve">lease</t>
        </is>
      </c>
      <c r="CI23" t="inlineStr">
        <is>
          <t xml:space="preserve">long</t>
        </is>
      </c>
      <c r="CJ23"/>
      <c r="CK23" s="4">
        <v>100.47139050341534</v>
      </c>
      <c r="CL23" s="4">
        <v>100.48837429737165</v>
      </c>
      <c r="CM23" s="4">
        <v>0.0034614820197034616</v>
      </c>
      <c r="CN23" s="6">
        <v>0.3244720020941919</v>
      </c>
      <c r="CO23" s="4">
        <v>0.3477799117221773</v>
      </c>
      <c r="CP23" s="4">
        <v>0.3477799117221773</v>
      </c>
      <c r="CQ23" s="4">
        <v>0.34783870081958346</v>
      </c>
      <c r="CR23" s="4">
        <v>0.00005878909740618724</v>
      </c>
      <c r="CS23" s="4">
        <v>-4.4994390158148434e-17</v>
      </c>
      <c r="CT23" s="4">
        <v>2.001</v>
      </c>
      <c r="CU23" s="4">
        <v>2.001</v>
      </c>
      <c r="CV23" s="6"/>
      <c r="CW23" s="6"/>
      <c r="CX23" s="6"/>
      <c r="CY23" s="9">
        <v>56</v>
      </c>
      <c r="CZ23" s="7">
        <f>IFERROR(CR23/F23,0)</f>
        <v>0.00005484910281975793</v>
      </c>
      <c r="DA23" t="inlineStr">
        <is>
          <t xml:space="preserve">SI69H</t>
        </is>
      </c>
      <c r="DB23" t="inlineStr">
        <is>
          <t xml:space="preserve">future</t>
        </is>
      </c>
      <c r="DC23" t="inlineStr">
        <is>
          <t xml:space="preserve">lease</t>
        </is>
      </c>
      <c r="DD23" t="inlineStr">
        <is>
          <t xml:space="preserve">long</t>
        </is>
      </c>
      <c r="DE23" t="inlineStr">
        <is>
          <t xml:space="preserve">regular</t>
        </is>
      </c>
      <c r="DF23" s="4">
        <v>2.005</v>
      </c>
      <c r="DG23" s="4">
        <v>2.001</v>
      </c>
      <c r="DH23" s="4">
        <v>0.17345631507340514</v>
      </c>
      <c r="DI23" s="6">
        <v>0.3244720020941919</v>
      </c>
      <c r="DJ23" s="4">
        <v>0.3477799117221773</v>
      </c>
      <c r="DK23" s="4">
        <v>0</v>
      </c>
      <c r="DL23" s="4">
        <v>0</v>
      </c>
      <c r="DM23" s="4">
        <v>-0.0006938252602936238</v>
      </c>
      <c r="DN23" s="4">
        <v>0.0006938252602936238</v>
      </c>
      <c r="DO23" s="4">
        <v>2.001</v>
      </c>
      <c r="DP23" s="4">
        <v>2.001</v>
      </c>
      <c r="DQ23" s="6">
        <v>0.001999000499750103</v>
      </c>
      <c r="DR23" s="6">
        <v>0.0617</v>
      </c>
      <c r="DS23" s="6">
        <v>0.04867080031412879</v>
      </c>
      <c r="DT23" s="9">
        <v>56</v>
      </c>
      <c r="DU23" s="7">
        <f>IFERROR(DM23/F23,0)</f>
        <v>-0.0006473256899634782</v>
      </c>
      <c r="DV23" t="inlineStr">
        <is>
          <t xml:space="preserve">Lease cash / margin / financing</t>
        </is>
      </c>
      <c r="DW23" t="inlineStr">
        <is>
          <t xml:space="preserve">cash</t>
        </is>
      </c>
      <c r="DX23" t="inlineStr">
        <is>
          <t xml:space="preserve">lease</t>
        </is>
      </c>
      <c r="DY23" t="inlineStr">
        <is>
          <t xml:space="preserve">cash</t>
        </is>
      </c>
      <c r="DZ23"/>
      <c r="EA23" s="4">
        <v>1</v>
      </c>
      <c r="EB23" s="4">
        <v>1</v>
      </c>
      <c r="EC23" s="4">
        <v>0</v>
      </c>
      <c r="ED23" s="6"/>
      <c r="EE23" s="4">
        <v>0</v>
      </c>
      <c r="EF23" s="4">
        <v>0</v>
      </c>
      <c r="EG23" s="4">
        <v>-0.0006987845303920949</v>
      </c>
      <c r="EH23" s="4">
        <v>0</v>
      </c>
      <c r="EI23" s="4">
        <v>-0.0006987845303920949</v>
      </c>
      <c r="EJ23" s="4">
        <v>2.001</v>
      </c>
      <c r="EK23" s="4">
        <v>2.001</v>
      </c>
      <c r="EL23" s="6"/>
      <c r="EM23" s="6"/>
      <c r="EN23" s="6"/>
      <c r="EO23" s="9"/>
      <c r="EP23" s="7">
        <f>IFERROR(EH23/F23,0)</f>
        <v>0</v>
      </c>
      <c r="EQ23" t="inlineStr">
        <is>
          <t xml:space="preserve">Keep cash / margin / financing</t>
        </is>
      </c>
      <c r="ER23" t="inlineStr">
        <is>
          <t xml:space="preserve">cash</t>
        </is>
      </c>
      <c r="ES23" t="inlineStr">
        <is>
          <t xml:space="preserve">keep</t>
        </is>
      </c>
      <c r="ET23" t="inlineStr">
        <is>
          <t xml:space="preserve">cash</t>
        </is>
      </c>
      <c r="EU23"/>
      <c r="EV23" s="4">
        <v>1</v>
      </c>
      <c r="EW23" s="4">
        <v>1</v>
      </c>
      <c r="EX23" s="4">
        <v>0</v>
      </c>
      <c r="EY23" s="6"/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2.001</v>
      </c>
      <c r="FF23" s="4">
        <v>2.001</v>
      </c>
      <c r="FG23" s="6"/>
      <c r="FH23" s="6"/>
      <c r="FI23" s="6"/>
      <c r="FJ23" s="9"/>
      <c r="FK23" s="7">
        <f>IFERROR(FC23/F23,0)</f>
        <v>0</v>
      </c>
      <c r="FL23"/>
      <c r="FM23"/>
      <c r="FN23"/>
      <c r="FO23"/>
      <c r="FP23"/>
      <c r="FQ23" s="4"/>
      <c r="FR23" s="4"/>
      <c r="FS23" s="4"/>
      <c r="FT23" s="6"/>
      <c r="FU23" s="4"/>
      <c r="FV23" s="4"/>
      <c r="FW23" s="4"/>
      <c r="FX23" s="4"/>
      <c r="FY23" s="4"/>
      <c r="FZ23" s="4"/>
      <c r="GA23" s="4"/>
      <c r="GB23" s="6"/>
      <c r="GC23" s="6"/>
      <c r="GD23" s="6"/>
      <c r="GE23" s="9"/>
      <c r="GF23"/>
      <c r="GG23"/>
      <c r="GH23"/>
      <c r="GI23"/>
      <c r="GJ23"/>
      <c r="GK23"/>
      <c r="GL23" s="4"/>
      <c r="GM23" s="4"/>
      <c r="GN23" s="4"/>
      <c r="GO23" s="6"/>
      <c r="GP23" s="4"/>
      <c r="GQ23" s="4"/>
      <c r="GR23" s="4"/>
      <c r="GS23" s="4"/>
      <c r="GT23" s="4"/>
      <c r="GU23" s="4"/>
      <c r="GV23" s="4"/>
      <c r="GW23" s="6"/>
      <c r="GX23" s="6"/>
      <c r="GY23" s="6"/>
      <c r="GZ23" s="9"/>
      <c r="HA23"/>
      <c r="HB23"/>
      <c r="HC23"/>
      <c r="HD23"/>
      <c r="HE23"/>
      <c r="HF23"/>
      <c r="HG23" s="4"/>
      <c r="HH23" s="4"/>
      <c r="HI23" s="4"/>
      <c r="HJ23" s="6"/>
      <c r="HK23" s="4"/>
      <c r="HL23" s="4"/>
      <c r="HM23" s="4"/>
      <c r="HN23" s="4"/>
      <c r="HO23" s="4"/>
      <c r="HP23" s="4"/>
      <c r="HQ23" s="4"/>
      <c r="HR23" s="6"/>
      <c r="HS23" s="6"/>
      <c r="HT23" s="6"/>
      <c r="HU23" s="9"/>
      <c r="HV23"/>
      <c r="HW23"/>
      <c r="HX23"/>
      <c r="HY23"/>
      <c r="HZ23"/>
      <c r="IA23"/>
      <c r="IB23" s="4"/>
      <c r="IC23" s="4"/>
      <c r="ID23" s="4"/>
      <c r="IE23" s="6"/>
      <c r="IF23" s="4"/>
      <c r="IG23" s="4"/>
      <c r="IH23" s="4"/>
      <c r="II23" s="4"/>
      <c r="IJ23" s="4"/>
      <c r="IK23" s="4"/>
      <c r="IL23" s="4"/>
      <c r="IM23" s="6"/>
      <c r="IN23" s="6"/>
      <c r="IO23" s="6"/>
      <c r="IP23" s="9"/>
      <c r="IQ23"/>
      <c r="IR23"/>
      <c r="IS23"/>
      <c r="IT23"/>
      <c r="IU23"/>
      <c r="IV23"/>
      <c r="IW23" s="4"/>
      <c r="IX23" s="4"/>
      <c r="IY23" s="4"/>
      <c r="IZ23" s="6"/>
      <c r="JA23" s="4"/>
      <c r="JB23" s="4"/>
      <c r="JC23" s="4"/>
      <c r="JD23" s="4"/>
      <c r="JE23" s="4"/>
      <c r="JF23" s="4"/>
      <c r="JG23" s="4"/>
      <c r="JH23" s="6"/>
      <c r="JI23" s="6"/>
      <c r="JJ23" s="6"/>
      <c r="JK23" s="9"/>
      <c r="JL23"/>
    </row>
    <row r="24">
      <c r="A24" s="8">
        <v>25234</v>
      </c>
      <c r="B24" s="8">
        <v>25237</v>
      </c>
      <c r="C24" s="9">
        <f>B24-A24</f>
        <v>3</v>
      </c>
      <c r="D24" s="8">
        <v>25234</v>
      </c>
      <c r="E24" t="inlineStr">
        <is>
          <t xml:space="preserve">positive</t>
        </is>
      </c>
      <c r="F24" s="4">
        <v>1.071193350672541</v>
      </c>
      <c r="G24" s="6">
        <v>-0.0053550074818298</v>
      </c>
      <c r="H24" s="7">
        <f>SUM(CE24,CZ24,DU24,EP24,FK24,GF24,HA24,HV24,IQ24,JL24)</f>
        <v>-0.0053550074818298</v>
      </c>
      <c r="I24" s="7">
        <f>G24-H24</f>
        <v>0</v>
      </c>
      <c r="J24" s="5">
        <f>F24*(1+H24)</f>
        <v>1.0654571022652033</v>
      </c>
      <c r="K24" s="4">
        <v>1.0654571022652033</v>
      </c>
      <c r="L24" s="5">
        <f>K24-J24</f>
        <v>0</v>
      </c>
      <c r="M24" s="4">
        <v>2.001</v>
      </c>
      <c r="N24" s="4">
        <v>1.987</v>
      </c>
      <c r="O24" s="5">
        <f>M24/$M$3</f>
        <v>1.0219611848825332</v>
      </c>
      <c r="P24" s="5">
        <f>N24/$M$3</f>
        <v>1.0148110316649643</v>
      </c>
      <c r="Q24" s="7">
        <f>IFERROR(N24/M24-1,0)</f>
        <v>-0.006996501749125361</v>
      </c>
      <c r="R24" s="5">
        <f>SUM(IF(BM24="lease",BU24,0),IF(CH24="lease",CP24,0),IF(DC24="lease",DK24,0),IF(DX24="lease",EF24,0),IF(ES24="lease",FA24,0),IF(FN24="lease",FV24,0),IF(GI24="lease",GQ24,0),IF(HD24="lease",HL24,0),IF(HY24="lease",IG24,0),IF(IT24="lease",JB24,0))</f>
        <v>1.071193350672541</v>
      </c>
      <c r="S24" s="5">
        <f>SUM(IF(BM24="lease",BV24,0),IF(CH24="lease",CQ24,0),IF(DC24="lease",DL24,0),IF(DX24="lease",EG24,0),IF(ES24="lease",FB24,0),IF(FN24="lease",FW24,0),IF(GI24="lease",GR24,0),IF(HD24="lease",HM24,0),IF(HY24="lease",IH24,0),IF(IT24="lease",JC24,0))</f>
        <v>1.0654571022652033</v>
      </c>
      <c r="T24" s="5">
        <f>SUM(IF(BM24="keep",BU24,0),IF(CH24="keep",CP24,0),IF(DC24="keep",DK24,0),IF(DX24="keep",EF24,0),IF(ES24="keep",FA24,0),IF(FN24="keep",FV24,0),IF(GI24="keep",GQ24,0),IF(HD24="keep",HL24,0),IF(HY24="keep",IG24,0),IF(IT24="keep",JB24,0))</f>
        <v>0</v>
      </c>
      <c r="U24" s="5">
        <f>SUM(IF(BM24="keep",BV24,0),IF(CH24="keep",CQ24,0),IF(DC24="keep",DL24,0),IF(DX24="keep",EG24,0),IF(ES24="keep",FB24,0),IF(FN24="keep",FW24,0),IF(GI24="keep",GR24,0),IF(HD24="keep",HM24,0),IF(HY24="keep",IH24,0),IF(IT24="keep",JC24,0))</f>
        <v>0</v>
      </c>
      <c r="V24" s="5">
        <f>R24/O24</f>
        <v>1.0481742032068144</v>
      </c>
      <c r="W24" s="5">
        <f>S24/P24</f>
        <v>1.0499068979543371</v>
      </c>
      <c r="X24" s="5">
        <f>T24/O24</f>
        <v>0</v>
      </c>
      <c r="Y24" s="5">
        <f>U24/P24</f>
        <v>0</v>
      </c>
      <c r="Z24" s="5">
        <f>V24+X24</f>
        <v>1.0481742032068144</v>
      </c>
      <c r="AA24" s="7">
        <f>IFERROR(W24/V24-1,0)</f>
        <v>0.0016530599038038218</v>
      </c>
      <c r="AB24" s="7">
        <f>IFERROR((W24-V24)/Z24,0)</f>
        <v>0.0016530599038038077</v>
      </c>
      <c r="AC24" s="7">
        <f>IFERROR(Y24/X24-1,0)</f>
        <v>0</v>
      </c>
      <c r="AD24" s="7">
        <f>IFERROR((Y24-X24)/Z24,0)</f>
        <v>0</v>
      </c>
      <c r="AE24" s="7">
        <f>AB24+AD24</f>
        <v>0.0016530599038038077</v>
      </c>
      <c r="AF24" s="7">
        <f>(1+Q24)*(1+AE24)-1</f>
        <v>-0.005355007481829932</v>
      </c>
      <c r="AG24" s="7">
        <f>G24-AF24</f>
        <v>1.3183898417423734e-16</v>
      </c>
      <c r="AH24" s="5">
        <f>SUM(IF(BM24="lease",BW24,0),IF(CH24="lease",CR24,0),IF(DC24="lease",DM24,0),IF(DX24="lease",EH24,0),IF(ES24="lease",FC24,0),IF(FN24="lease",FX24,0),IF(GI24="lease",GS24,0),IF(HD24="lease",HN24,0),IF(HY24="lease",II24,0),IF(IT24="lease",JD24,0))</f>
        <v>-0.0057362484073377904</v>
      </c>
      <c r="AI24" s="5">
        <f>SUM(IF(BM24="keep",BW24,0),IF(CH24="keep",CR24,0),IF(DC24="keep",DM24,0),IF(DX24="keep",EH24,0),IF(ES24="keep",FC24,0),IF(FN24="keep",FX24,0),IF(GI24="keep",GS24,0),IF(HD24="keep",HN24,0),IF(HY24="keep",II24,0),IF(IT24="keep",JD24,0))</f>
        <v>0</v>
      </c>
      <c r="AJ24" s="5">
        <f>SUM(IF(BM24="lease",BX24,0),IF(CH24="lease",CS24,0),IF(DC24="lease",DN24,0),IF(DX24="lease",EI24,0),IF(ES24="lease",FD24,0),IF(FN24="lease",FY24,0),IF(GI24="lease",GT24,0),IF(HD24="lease",HO24,0),IF(HY24="lease",IJ24,0),IF(IT24="lease",JE24,0))</f>
        <v>0</v>
      </c>
      <c r="AK24" s="5">
        <f>SUM(IF(BM24="keep",BX24,0),IF(CH24="keep",CS24,0),IF(DC24="keep",DN24,0),IF(DX24="keep",EI24,0),IF(ES24="keep",FD24,0),IF(FN24="keep",FY24,0),IF(GI24="keep",GT24,0),IF(HD24="keep",HO24,0),IF(HY24="keep",IJ24,0),IF(IT24="keep",JE24,0))</f>
        <v>0</v>
      </c>
      <c r="AL24" s="5">
        <f>R24-S23</f>
        <v>2.220446049250313e-16</v>
      </c>
      <c r="AM24" s="5">
        <f>T24-U23</f>
        <v>0</v>
      </c>
      <c r="AN24" s="5">
        <f>AN23</f>
        <v>1</v>
      </c>
      <c r="AO24" s="5">
        <f>AO23+AH24</f>
        <v>0.06545710226520358</v>
      </c>
      <c r="AP24" s="5">
        <f>AP23+AL24</f>
        <v>-4.440892098500626e-16</v>
      </c>
      <c r="AQ24" s="5">
        <f>AN24+AO24+AP24</f>
        <v>1.065457102265203</v>
      </c>
      <c r="AR24" s="5">
        <f>S24-AQ24</f>
        <v>2.220446049250313e-16</v>
      </c>
      <c r="AS24" s="5">
        <f>AS23</f>
        <v>0</v>
      </c>
      <c r="AT24" s="5">
        <f>AT23+AI24</f>
        <v>0</v>
      </c>
      <c r="AU24" s="5">
        <f>AU23+AM24</f>
        <v>0</v>
      </c>
      <c r="AV24" s="5">
        <f>AS24+AT24+AU24</f>
        <v>0</v>
      </c>
      <c r="AW24" s="5">
        <f>U24-AV24</f>
        <v>0</v>
      </c>
      <c r="AX24" s="4">
        <v>1.071193350672541</v>
      </c>
      <c r="AY24" s="4">
        <v>1.0654571022652033</v>
      </c>
      <c r="AZ24" s="5">
        <f>S24-AY24</f>
        <v>0</v>
      </c>
      <c r="BA24" s="4">
        <v>0</v>
      </c>
      <c r="BB24" s="4">
        <v>0</v>
      </c>
      <c r="BC24" s="5">
        <f>U24-BB24</f>
        <v>0</v>
      </c>
      <c r="BD24" s="7">
        <f>SUM(IF(BL24="direct",CE24,0),IF(CG24="direct",CZ24,0),IF(DB24="direct",DU24,0),IF(DW24="direct",EP24,0),IF(ER24="direct",FK24,0),IF(FM24="direct",GF24,0),IF(GH24="direct",HA24,0),IF(HC24="direct",HV24,0),IF(HX24="direct",IQ24,0),IF(IS24="direct",JL24,0))</f>
        <v>-0.0041213471871369796</v>
      </c>
      <c r="BE24" s="7">
        <f>SUM(IF(BL24="treasury",CE24,0),IF(CG24="treasury",CZ24,0),IF(DB24="treasury",DU24,0),IF(DW24="treasury",EP24,0),IF(ER24="treasury",FK24,0),IF(FM24="treasury",GF24,0),IF(GH24="treasury",HA24,0),IF(HC24="treasury",HV24,0),IF(HX24="treasury",IQ24,0),IF(IS24="treasury",JL24,0))</f>
        <v>0.00020995123287671232</v>
      </c>
      <c r="BF24" s="7">
        <f>SUM(IF(BL24="future",CE24,0),IF(CG24="future",CZ24,0),IF(DB24="future",DU24,0),IF(DW24="future",EP24,0),IF(ER24="future",FK24,0),IF(FM24="future",GF24,0),IF(GH24="future",HA24,0),IF(HC24="future",HV24,0),IF(HX24="future",IQ24,0),IF(IS24="future",JL24,0))</f>
        <v>-0.001443611527569533</v>
      </c>
      <c r="BG24" s="7">
        <f>SUM(IF(BL24="cash",CE24,0),IF(CG24="cash",CZ24,0),IF(DB24="cash",DU24,0),IF(DW24="cash",EP24,0),IF(ER24="cash",FK24,0),IF(FM24="cash",GF24,0),IF(GH24="cash",HA24,0),IF(HC24="cash",HV24,0),IF(HX24="cash",IQ24,0),IF(IS24="cash",JL24,0))</f>
        <v>0</v>
      </c>
      <c r="BH24" s="7">
        <f>SUM(BD24:BG24)</f>
        <v>-0.0053550074818298</v>
      </c>
      <c r="BI24" s="7">
        <f>G24-BH24</f>
        <v>0</v>
      </c>
      <c r="BJ24" s="9">
        <f>COUNTA(BK24,CF24,DA24,DV24,EQ24,FL24,GG24,HB24,HW24,IR24)</f>
        <v>5</v>
      </c>
      <c r="BK24" t="inlineStr">
        <is>
          <t xml:space="preserve">Direct commodity holding</t>
        </is>
      </c>
      <c r="BL24" t="inlineStr">
        <is>
          <t xml:space="preserve">direct</t>
        </is>
      </c>
      <c r="BM24" t="inlineStr">
        <is>
          <t xml:space="preserve">lease</t>
        </is>
      </c>
      <c r="BN24" t="inlineStr">
        <is>
          <t xml:space="preserve">long</t>
        </is>
      </c>
      <c r="BO24"/>
      <c r="BP24" s="4">
        <v>2.001</v>
      </c>
      <c r="BQ24" s="4">
        <v>1.987</v>
      </c>
      <c r="BR24" s="4">
        <v>0.3144165723613222</v>
      </c>
      <c r="BS24" s="6">
        <v>0.5873333333333333</v>
      </c>
      <c r="BT24" s="4">
        <v>0.6291475612950057</v>
      </c>
      <c r="BU24" s="4">
        <v>0.6291475612950057</v>
      </c>
      <c r="BV24" s="4">
        <v>0.6247457292819473</v>
      </c>
      <c r="BW24" s="4">
        <v>-0.004414759702674113</v>
      </c>
      <c r="BX24" s="4">
        <v>0.000012927689615675579</v>
      </c>
      <c r="BY24" s="4">
        <v>2.001</v>
      </c>
      <c r="BZ24" s="4">
        <v>1.987</v>
      </c>
      <c r="CA24" s="6"/>
      <c r="CB24" s="6"/>
      <c r="CC24" s="6"/>
      <c r="CD24" s="9"/>
      <c r="CE24" s="7">
        <f>IFERROR(BW24/F24,0)</f>
        <v>-0.0041213471871369796</v>
      </c>
      <c r="CF24" t="inlineStr">
        <is>
          <t xml:space="preserve">Treasury collateral</t>
        </is>
      </c>
      <c r="CG24" t="inlineStr">
        <is>
          <t xml:space="preserve">treasury</t>
        </is>
      </c>
      <c r="CH24" t="inlineStr">
        <is>
          <t xml:space="preserve">lease</t>
        </is>
      </c>
      <c r="CI24" t="inlineStr">
        <is>
          <t xml:space="preserve">long</t>
        </is>
      </c>
      <c r="CJ24"/>
      <c r="CK24" s="4">
        <v>100.48837429737165</v>
      </c>
      <c r="CL24" s="4">
        <v>100.53949947848679</v>
      </c>
      <c r="CM24" s="4">
        <v>0.004398974433295189</v>
      </c>
      <c r="CN24" s="6">
        <v>0.4126666666666667</v>
      </c>
      <c r="CO24" s="4">
        <v>0.4420457893775353</v>
      </c>
      <c r="CP24" s="4">
        <v>0.4420457893775353</v>
      </c>
      <c r="CQ24" s="4">
        <v>0.44227068774215833</v>
      </c>
      <c r="CR24" s="4">
        <v>0.00022489836462303645</v>
      </c>
      <c r="CS24" s="4">
        <v>-9.0801931945661e-18</v>
      </c>
      <c r="CT24" s="4">
        <v>2.001</v>
      </c>
      <c r="CU24" s="4">
        <v>1.987</v>
      </c>
      <c r="CV24" s="6"/>
      <c r="CW24" s="6"/>
      <c r="CX24" s="6"/>
      <c r="CY24" s="9">
        <v>55</v>
      </c>
      <c r="CZ24" s="7">
        <f>IFERROR(CR24/F24,0)</f>
        <v>0.00020995123287671232</v>
      </c>
      <c r="DA24" t="inlineStr">
        <is>
          <t xml:space="preserve">SI69H</t>
        </is>
      </c>
      <c r="DB24" t="inlineStr">
        <is>
          <t xml:space="preserve">future</t>
        </is>
      </c>
      <c r="DC24" t="inlineStr">
        <is>
          <t xml:space="preserve">lease</t>
        </is>
      </c>
      <c r="DD24" t="inlineStr">
        <is>
          <t xml:space="preserve">long</t>
        </is>
      </c>
      <c r="DE24" t="inlineStr">
        <is>
          <t xml:space="preserve">regular</t>
        </is>
      </c>
      <c r="DF24" s="4">
        <v>2.001</v>
      </c>
      <c r="DG24" s="4">
        <v>1.994</v>
      </c>
      <c r="DH24" s="4">
        <v>0.2209124384695329</v>
      </c>
      <c r="DI24" s="6">
        <v>0.4126666666666667</v>
      </c>
      <c r="DJ24" s="4">
        <v>0.4420457893775353</v>
      </c>
      <c r="DK24" s="4">
        <v>0</v>
      </c>
      <c r="DL24" s="4">
        <v>0</v>
      </c>
      <c r="DM24" s="4">
        <v>-0.0015463870692867135</v>
      </c>
      <c r="DN24" s="4">
        <v>0.0015463870692867135</v>
      </c>
      <c r="DO24" s="4">
        <v>2.001</v>
      </c>
      <c r="DP24" s="4">
        <v>1.987</v>
      </c>
      <c r="DQ24" s="6">
        <v>0</v>
      </c>
      <c r="DR24" s="6">
        <v>0.0619</v>
      </c>
      <c r="DS24" s="6">
        <v>0.061900000000000004</v>
      </c>
      <c r="DT24" s="9">
        <v>55</v>
      </c>
      <c r="DU24" s="7">
        <f>IFERROR(DM24/F24,0)</f>
        <v>-0.001443611527569533</v>
      </c>
      <c r="DV24" t="inlineStr">
        <is>
          <t xml:space="preserve">Lease cash / margin / financing</t>
        </is>
      </c>
      <c r="DW24" t="inlineStr">
        <is>
          <t xml:space="preserve">cash</t>
        </is>
      </c>
      <c r="DX24" t="inlineStr">
        <is>
          <t xml:space="preserve">lease</t>
        </is>
      </c>
      <c r="DY24" t="inlineStr">
        <is>
          <t xml:space="preserve">cash</t>
        </is>
      </c>
      <c r="DZ24"/>
      <c r="EA24" s="4">
        <v>1</v>
      </c>
      <c r="EB24" s="4">
        <v>1</v>
      </c>
      <c r="EC24" s="4">
        <v>0</v>
      </c>
      <c r="ED24" s="6"/>
      <c r="EE24" s="4">
        <v>0</v>
      </c>
      <c r="EF24" s="4">
        <v>0</v>
      </c>
      <c r="EG24" s="4">
        <v>-0.00155931475890238</v>
      </c>
      <c r="EH24" s="4">
        <v>0</v>
      </c>
      <c r="EI24" s="4">
        <v>-0.00155931475890238</v>
      </c>
      <c r="EJ24" s="4">
        <v>2.001</v>
      </c>
      <c r="EK24" s="4">
        <v>1.987</v>
      </c>
      <c r="EL24" s="6"/>
      <c r="EM24" s="6"/>
      <c r="EN24" s="6"/>
      <c r="EO24" s="9"/>
      <c r="EP24" s="7">
        <f>IFERROR(EH24/F24,0)</f>
        <v>0</v>
      </c>
      <c r="EQ24" t="inlineStr">
        <is>
          <t xml:space="preserve">Keep cash / margin / financing</t>
        </is>
      </c>
      <c r="ER24" t="inlineStr">
        <is>
          <t xml:space="preserve">cash</t>
        </is>
      </c>
      <c r="ES24" t="inlineStr">
        <is>
          <t xml:space="preserve">keep</t>
        </is>
      </c>
      <c r="ET24" t="inlineStr">
        <is>
          <t xml:space="preserve">cash</t>
        </is>
      </c>
      <c r="EU24"/>
      <c r="EV24" s="4">
        <v>1</v>
      </c>
      <c r="EW24" s="4">
        <v>1</v>
      </c>
      <c r="EX24" s="4">
        <v>0</v>
      </c>
      <c r="EY24" s="6"/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2.001</v>
      </c>
      <c r="FF24" s="4">
        <v>1.987</v>
      </c>
      <c r="FG24" s="6"/>
      <c r="FH24" s="6"/>
      <c r="FI24" s="6"/>
      <c r="FJ24" s="9"/>
      <c r="FK24" s="7">
        <f>IFERROR(FC24/F24,0)</f>
        <v>0</v>
      </c>
      <c r="FL24"/>
      <c r="FM24"/>
      <c r="FN24"/>
      <c r="FO24"/>
      <c r="FP24"/>
      <c r="FQ24" s="4"/>
      <c r="FR24" s="4"/>
      <c r="FS24" s="4"/>
      <c r="FT24" s="6"/>
      <c r="FU24" s="4"/>
      <c r="FV24" s="4"/>
      <c r="FW24" s="4"/>
      <c r="FX24" s="4"/>
      <c r="FY24" s="4"/>
      <c r="FZ24" s="4"/>
      <c r="GA24" s="4"/>
      <c r="GB24" s="6"/>
      <c r="GC24" s="6"/>
      <c r="GD24" s="6"/>
      <c r="GE24" s="9"/>
      <c r="GF24"/>
      <c r="GG24"/>
      <c r="GH24"/>
      <c r="GI24"/>
      <c r="GJ24"/>
      <c r="GK24"/>
      <c r="GL24" s="4"/>
      <c r="GM24" s="4"/>
      <c r="GN24" s="4"/>
      <c r="GO24" s="6"/>
      <c r="GP24" s="4"/>
      <c r="GQ24" s="4"/>
      <c r="GR24" s="4"/>
      <c r="GS24" s="4"/>
      <c r="GT24" s="4"/>
      <c r="GU24" s="4"/>
      <c r="GV24" s="4"/>
      <c r="GW24" s="6"/>
      <c r="GX24" s="6"/>
      <c r="GY24" s="6"/>
      <c r="GZ24" s="9"/>
      <c r="HA24"/>
      <c r="HB24"/>
      <c r="HC24"/>
      <c r="HD24"/>
      <c r="HE24"/>
      <c r="HF24"/>
      <c r="HG24" s="4"/>
      <c r="HH24" s="4"/>
      <c r="HI24" s="4"/>
      <c r="HJ24" s="6"/>
      <c r="HK24" s="4"/>
      <c r="HL24" s="4"/>
      <c r="HM24" s="4"/>
      <c r="HN24" s="4"/>
      <c r="HO24" s="4"/>
      <c r="HP24" s="4"/>
      <c r="HQ24" s="4"/>
      <c r="HR24" s="6"/>
      <c r="HS24" s="6"/>
      <c r="HT24" s="6"/>
      <c r="HU24" s="9"/>
      <c r="HV24"/>
      <c r="HW24"/>
      <c r="HX24"/>
      <c r="HY24"/>
      <c r="HZ24"/>
      <c r="IA24"/>
      <c r="IB24" s="4"/>
      <c r="IC24" s="4"/>
      <c r="ID24" s="4"/>
      <c r="IE24" s="6"/>
      <c r="IF24" s="4"/>
      <c r="IG24" s="4"/>
      <c r="IH24" s="4"/>
      <c r="II24" s="4"/>
      <c r="IJ24" s="4"/>
      <c r="IK24" s="4"/>
      <c r="IL24" s="4"/>
      <c r="IM24" s="6"/>
      <c r="IN24" s="6"/>
      <c r="IO24" s="6"/>
      <c r="IP24" s="9"/>
      <c r="IQ24"/>
      <c r="IR24"/>
      <c r="IS24"/>
      <c r="IT24"/>
      <c r="IU24"/>
      <c r="IV24"/>
      <c r="IW24" s="4"/>
      <c r="IX24" s="4"/>
      <c r="IY24" s="4"/>
      <c r="IZ24" s="6"/>
      <c r="JA24" s="4"/>
      <c r="JB24" s="4"/>
      <c r="JC24" s="4"/>
      <c r="JD24" s="4"/>
      <c r="JE24" s="4"/>
      <c r="JF24" s="4"/>
      <c r="JG24" s="4"/>
      <c r="JH24" s="6"/>
      <c r="JI24" s="6"/>
      <c r="JJ24" s="6"/>
      <c r="JK24" s="9"/>
      <c r="JL24"/>
    </row>
    <row r="25">
      <c r="A25" s="8">
        <v>25237</v>
      </c>
      <c r="B25" s="8">
        <v>25238</v>
      </c>
      <c r="C25" s="9">
        <f>B25-A25</f>
        <v>1</v>
      </c>
      <c r="D25" s="8">
        <v>25237</v>
      </c>
      <c r="E25" t="inlineStr">
        <is>
          <t xml:space="preserve">positive</t>
        </is>
      </c>
      <c r="F25" s="4">
        <v>1.0654571022652033</v>
      </c>
      <c r="G25" s="6">
        <v>0.00018401759921005492</v>
      </c>
      <c r="H25" s="7">
        <f>SUM(CE25,CZ25,DU25,EP25,FK25,GF25,HA25,HV25,IQ25,JL25)</f>
        <v>0.00018401759921005508</v>
      </c>
      <c r="I25" s="7">
        <f>G25-H25</f>
        <v>-1.6263032587282567e-19</v>
      </c>
      <c r="J25" s="5">
        <f>F25*(1+H25)</f>
        <v>1.0656531651232235</v>
      </c>
      <c r="K25" s="4">
        <v>1.0656531651232235</v>
      </c>
      <c r="L25" s="5">
        <f>K25-J25</f>
        <v>0</v>
      </c>
      <c r="M25" s="4">
        <v>1.987</v>
      </c>
      <c r="N25" s="4">
        <v>1.991</v>
      </c>
      <c r="O25" s="5">
        <f>M25/$M$3</f>
        <v>1.0148110316649643</v>
      </c>
      <c r="P25" s="5">
        <f>N25/$M$3</f>
        <v>1.0168539325842698</v>
      </c>
      <c r="Q25" s="7">
        <f>IFERROR(N25/M25-1,0)</f>
        <v>0.0020130850528434774</v>
      </c>
      <c r="R25" s="5">
        <f>SUM(IF(BM25="lease",BU25,0),IF(CH25="lease",CP25,0),IF(DC25="lease",DK25,0),IF(DX25="lease",EF25,0),IF(ES25="lease",FA25,0),IF(FN25="lease",FV25,0),IF(GI25="lease",GQ25,0),IF(HD25="lease",HL25,0),IF(HY25="lease",IG25,0),IF(IT25="lease",JB25,0))</f>
        <v>1.0654571022652033</v>
      </c>
      <c r="S25" s="5">
        <f>SUM(IF(BM25="lease",BV25,0),IF(CH25="lease",CQ25,0),IF(DC25="lease",DL25,0),IF(DX25="lease",EG25,0),IF(ES25="lease",FB25,0),IF(FN25="lease",FW25,0),IF(GI25="lease",GR25,0),IF(HD25="lease",HM25,0),IF(HY25="lease",IH25,0),IF(IT25="lease",JC25,0))</f>
        <v>1.0656531651232233</v>
      </c>
      <c r="T25" s="5">
        <f>SUM(IF(BM25="keep",BU25,0),IF(CH25="keep",CP25,0),IF(DC25="keep",DK25,0),IF(DX25="keep",EF25,0),IF(ES25="keep",FA25,0),IF(FN25="keep",FV25,0),IF(GI25="keep",GQ25,0),IF(HD25="keep",HL25,0),IF(HY25="keep",IG25,0),IF(IT25="keep",JB25,0))</f>
        <v>0</v>
      </c>
      <c r="U25" s="5">
        <f>SUM(IF(BM25="keep",BV25,0),IF(CH25="keep",CQ25,0),IF(DC25="keep",DL25,0),IF(DX25="keep",EG25,0),IF(ES25="keep",FB25,0),IF(FN25="keep",FW25,0),IF(GI25="keep",GR25,0),IF(HD25="keep",HM25,0),IF(HY25="keep",IH25,0),IF(IT25="keep",JC25,0))</f>
        <v>0</v>
      </c>
      <c r="V25" s="5">
        <f>R25/O25</f>
        <v>1.0499068979543371</v>
      </c>
      <c r="W25" s="5">
        <f>S25/P25</f>
        <v>1.0479904054802969</v>
      </c>
      <c r="X25" s="5">
        <f>T25/O25</f>
        <v>0</v>
      </c>
      <c r="Y25" s="5">
        <f>U25/P25</f>
        <v>0</v>
      </c>
      <c r="Z25" s="5">
        <f>V25+X25</f>
        <v>1.0499068979543371</v>
      </c>
      <c r="AA25" s="7">
        <f>IFERROR(W25/V25-1,0)</f>
        <v>-0.0018253927827071026</v>
      </c>
      <c r="AB25" s="7">
        <f>IFERROR((W25-V25)/Z25,0)</f>
        <v>-0.0018253927827070967</v>
      </c>
      <c r="AC25" s="7">
        <f>IFERROR(Y25/X25-1,0)</f>
        <v>0</v>
      </c>
      <c r="AD25" s="7">
        <f>IFERROR((Y25-X25)/Z25,0)</f>
        <v>0</v>
      </c>
      <c r="AE25" s="7">
        <f>AB25+AD25</f>
        <v>-0.0018253927827070967</v>
      </c>
      <c r="AF25" s="7">
        <f>(1+Q25)*(1+AE25)-1</f>
        <v>0.00018401759920982919</v>
      </c>
      <c r="AG25" s="7">
        <f>G25-AF25</f>
        <v>2.25730892311482e-16</v>
      </c>
      <c r="AH25" s="5">
        <f>SUM(IF(BM25="lease",BW25,0),IF(CH25="lease",CR25,0),IF(DC25="lease",DM25,0),IF(DX25="lease",EH25,0),IF(ES25="lease",FC25,0),IF(FN25="lease",FX25,0),IF(GI25="lease",GS25,0),IF(HD25="lease",HN25,0),IF(HY25="lease",II25,0),IF(IT25="lease",JD25,0))</f>
        <v>0.00019606285802014484</v>
      </c>
      <c r="AI25" s="5">
        <f>SUM(IF(BM25="keep",BW25,0),IF(CH25="keep",CR25,0),IF(DC25="keep",DM25,0),IF(DX25="keep",EH25,0),IF(ES25="keep",FC25,0),IF(FN25="keep",FX25,0),IF(GI25="keep",GS25,0),IF(HD25="keep",HN25,0),IF(HY25="keep",II25,0),IF(IT25="keep",JD25,0))</f>
        <v>0</v>
      </c>
      <c r="AJ25" s="5">
        <f>SUM(IF(BM25="lease",BX25,0),IF(CH25="lease",CS25,0),IF(DC25="lease",DN25,0),IF(DX25="lease",EI25,0),IF(ES25="lease",FD25,0),IF(FN25="lease",FY25,0),IF(GI25="lease",GT25,0),IF(HD25="lease",HO25,0),IF(HY25="lease",IJ25,0),IF(IT25="lease",JE25,0))</f>
        <v>0</v>
      </c>
      <c r="AK25" s="5">
        <f>SUM(IF(BM25="keep",BX25,0),IF(CH25="keep",CS25,0),IF(DC25="keep",DN25,0),IF(DX25="keep",EI25,0),IF(ES25="keep",FD25,0),IF(FN25="keep",FY25,0),IF(GI25="keep",GT25,0),IF(HD25="keep",HO25,0),IF(HY25="keep",IJ25,0),IF(IT25="keep",JE25,0))</f>
        <v>0</v>
      </c>
      <c r="AL25" s="5">
        <f>R25-S24</f>
        <v>0</v>
      </c>
      <c r="AM25" s="5">
        <f>T25-U24</f>
        <v>0</v>
      </c>
      <c r="AN25" s="5">
        <f>AN24</f>
        <v>1</v>
      </c>
      <c r="AO25" s="5">
        <f>AO24+AH25</f>
        <v>0.06565316512322372</v>
      </c>
      <c r="AP25" s="5">
        <f>AP24+AL25</f>
        <v>-4.440892098500626e-16</v>
      </c>
      <c r="AQ25" s="5">
        <f>AN25+AO25+AP25</f>
        <v>1.0656531651232233</v>
      </c>
      <c r="AR25" s="5">
        <f>S25-AQ25</f>
        <v>0</v>
      </c>
      <c r="AS25" s="5">
        <f>AS24</f>
        <v>0</v>
      </c>
      <c r="AT25" s="5">
        <f>AT24+AI25</f>
        <v>0</v>
      </c>
      <c r="AU25" s="5">
        <f>AU24+AM25</f>
        <v>0</v>
      </c>
      <c r="AV25" s="5">
        <f>AS25+AT25+AU25</f>
        <v>0</v>
      </c>
      <c r="AW25" s="5">
        <f>U25-AV25</f>
        <v>0</v>
      </c>
      <c r="AX25" s="4">
        <v>1.0654571022652033</v>
      </c>
      <c r="AY25" s="4">
        <v>1.0656531651232235</v>
      </c>
      <c r="AZ25" s="5">
        <f>S25-AY25</f>
        <v>-2.220446049250313e-16</v>
      </c>
      <c r="BA25" s="4">
        <v>0</v>
      </c>
      <c r="BB25" s="4">
        <v>0</v>
      </c>
      <c r="BC25" s="5">
        <f>U25-BB25</f>
        <v>0</v>
      </c>
      <c r="BD25" s="7">
        <f>SUM(IF(BL25="direct",CE25,0),IF(CG25="direct",CZ25,0),IF(DB25="direct",DU25,0),IF(DW25="direct",EP25,0),IF(ER25="direct",FK25,0),IF(FM25="direct",GF25,0),IF(GH25="direct",HA25,0),IF(HC25="direct",HV25,0),IF(HX25="direct",IQ25,0),IF(IS25="direct",JL25,0))</f>
        <v>0.0015090643064986432</v>
      </c>
      <c r="BE25" s="7">
        <f>SUM(IF(BL25="treasury",CE25,0),IF(CG25="treasury",CZ25,0),IF(DB25="treasury",DU25,0),IF(DW25="treasury",EP25,0),IF(ER25="treasury",FK25,0),IF(FM25="treasury",GF25,0),IF(GH25="treasury",HA25,0),IF(HC25="treasury",HV25,0),IF(HX25="treasury",IQ25,0),IF(IS25="treasury",JL25,0))</f>
        <v>0.00004202638040130588</v>
      </c>
      <c r="BF25" s="7">
        <f>SUM(IF(BL25="future",CE25,0),IF(CG25="future",CZ25,0),IF(DB25="future",DU25,0),IF(DW25="future",EP25,0),IF(ER25="future",FK25,0),IF(FM25="future",GF25,0),IF(GH25="future",HA25,0),IF(HC25="future",HV25,0),IF(HX25="future",IQ25,0),IF(IS25="future",JL25,0))</f>
        <v>-0.001367073087689894</v>
      </c>
      <c r="BG25" s="7">
        <f>SUM(IF(BL25="cash",CE25,0),IF(CG25="cash",CZ25,0),IF(DB25="cash",DU25,0),IF(DW25="cash",EP25,0),IF(ER25="cash",FK25,0),IF(FM25="cash",GF25,0),IF(GH25="cash",HA25,0),IF(HC25="cash",HV25,0),IF(HX25="cash",IQ25,0),IF(IS25="cash",JL25,0))</f>
        <v>0</v>
      </c>
      <c r="BH25" s="7">
        <f>SUM(BD25:BG25)</f>
        <v>0.00018401759921005492</v>
      </c>
      <c r="BI25" s="7">
        <f>G25-BH25</f>
        <v>0</v>
      </c>
      <c r="BJ25" s="9">
        <f>COUNTA(BK25,CF25,DA25,DV25,EQ25,FL25,GG25,HB25,HW25,IR25)</f>
        <v>5</v>
      </c>
      <c r="BK25" t="inlineStr">
        <is>
          <t xml:space="preserve">Direct commodity holding</t>
        </is>
      </c>
      <c r="BL25" t="inlineStr">
        <is>
          <t xml:space="preserve">direct</t>
        </is>
      </c>
      <c r="BM25" t="inlineStr">
        <is>
          <t xml:space="preserve">lease</t>
        </is>
      </c>
      <c r="BN25" t="inlineStr">
        <is>
          <t xml:space="preserve">long</t>
        </is>
      </c>
      <c r="BO25"/>
      <c r="BP25" s="4">
        <v>1.987</v>
      </c>
      <c r="BQ25" s="4">
        <v>1.991</v>
      </c>
      <c r="BR25" s="4">
        <v>0.4033331202869162</v>
      </c>
      <c r="BS25" s="6">
        <v>0.7521869330133013</v>
      </c>
      <c r="BT25" s="4">
        <v>0.8014229100101026</v>
      </c>
      <c r="BU25" s="4">
        <v>0.8014229100101026</v>
      </c>
      <c r="BV25" s="4">
        <v>0.8030362424912502</v>
      </c>
      <c r="BW25" s="4">
        <v>0.001607843283133893</v>
      </c>
      <c r="BX25" s="4">
        <v>0.000005489198013696166</v>
      </c>
      <c r="BY25" s="4">
        <v>1.987</v>
      </c>
      <c r="BZ25" s="4">
        <v>1.991</v>
      </c>
      <c r="CA25" s="6"/>
      <c r="CB25" s="6"/>
      <c r="CC25" s="6"/>
      <c r="CD25" s="9"/>
      <c r="CE25" s="7">
        <f>IFERROR(BW25/F25,0)</f>
        <v>0.0015090643064986432</v>
      </c>
      <c r="CF25" t="inlineStr">
        <is>
          <t xml:space="preserve">Treasury collateral</t>
        </is>
      </c>
      <c r="CG25" t="inlineStr">
        <is>
          <t xml:space="preserve">treasury</t>
        </is>
      </c>
      <c r="CH25" t="inlineStr">
        <is>
          <t xml:space="preserve">lease</t>
        </is>
      </c>
      <c r="CI25" t="inlineStr">
        <is>
          <t xml:space="preserve">long</t>
        </is>
      </c>
      <c r="CJ25"/>
      <c r="CK25" s="4">
        <v>100.53949947848679</v>
      </c>
      <c r="CL25" s="4">
        <v>100.55654987579562</v>
      </c>
      <c r="CM25" s="4">
        <v>0.0026261737289790077</v>
      </c>
      <c r="CN25" s="6">
        <v>0.24781306698669867</v>
      </c>
      <c r="CO25" s="4">
        <v>0.26403419225510066</v>
      </c>
      <c r="CP25" s="4">
        <v>0.26403419225510066</v>
      </c>
      <c r="CQ25" s="4">
        <v>0.26407896956058174</v>
      </c>
      <c r="CR25" s="4">
        <v>0.000044777305481070495</v>
      </c>
      <c r="CS25" s="4">
        <v>1.0225381739253914e-17</v>
      </c>
      <c r="CT25" s="4">
        <v>1.987</v>
      </c>
      <c r="CU25" s="4">
        <v>1.991</v>
      </c>
      <c r="CV25" s="6"/>
      <c r="CW25" s="6"/>
      <c r="CX25" s="6"/>
      <c r="CY25" s="9">
        <v>52</v>
      </c>
      <c r="CZ25" s="7">
        <f>IFERROR(CR25/F25,0)</f>
        <v>0.00004202638040130588</v>
      </c>
      <c r="DA25" t="inlineStr">
        <is>
          <t xml:space="preserve">SI69H</t>
        </is>
      </c>
      <c r="DB25" t="inlineStr">
        <is>
          <t xml:space="preserve">future</t>
        </is>
      </c>
      <c r="DC25" t="inlineStr">
        <is>
          <t xml:space="preserve">lease</t>
        </is>
      </c>
      <c r="DD25" t="inlineStr">
        <is>
          <t xml:space="preserve">long</t>
        </is>
      </c>
      <c r="DE25" t="inlineStr">
        <is>
          <t xml:space="preserve">regular</t>
        </is>
      </c>
      <c r="DF25" s="4">
        <v>1.994</v>
      </c>
      <c r="DG25" s="4">
        <v>1.983</v>
      </c>
      <c r="DH25" s="4">
        <v>0.1324143391449853</v>
      </c>
      <c r="DI25" s="6">
        <v>0.24781306698669867</v>
      </c>
      <c r="DJ25" s="4">
        <v>0.26403419225510066</v>
      </c>
      <c r="DK25" s="4">
        <v>0</v>
      </c>
      <c r="DL25" s="4">
        <v>0</v>
      </c>
      <c r="DM25" s="4">
        <v>-0.0014565577305948186</v>
      </c>
      <c r="DN25" s="4">
        <v>0.0014565577305948186</v>
      </c>
      <c r="DO25" s="4">
        <v>1.987</v>
      </c>
      <c r="DP25" s="4">
        <v>1.991</v>
      </c>
      <c r="DQ25" s="6">
        <v>0.00352289884247603</v>
      </c>
      <c r="DR25" s="6">
        <v>0.0619</v>
      </c>
      <c r="DS25" s="6">
        <v>0.0371719600480048</v>
      </c>
      <c r="DT25" s="9">
        <v>52</v>
      </c>
      <c r="DU25" s="7">
        <f>IFERROR(DM25/F25,0)</f>
        <v>-0.001367073087689894</v>
      </c>
      <c r="DV25" t="inlineStr">
        <is>
          <t xml:space="preserve">Lease cash / margin / financing</t>
        </is>
      </c>
      <c r="DW25" t="inlineStr">
        <is>
          <t xml:space="preserve">cash</t>
        </is>
      </c>
      <c r="DX25" t="inlineStr">
        <is>
          <t xml:space="preserve">lease</t>
        </is>
      </c>
      <c r="DY25" t="inlineStr">
        <is>
          <t xml:space="preserve">cash</t>
        </is>
      </c>
      <c r="DZ25"/>
      <c r="EA25" s="4">
        <v>1</v>
      </c>
      <c r="EB25" s="4">
        <v>1</v>
      </c>
      <c r="EC25" s="4">
        <v>0</v>
      </c>
      <c r="ED25" s="6"/>
      <c r="EE25" s="4">
        <v>0</v>
      </c>
      <c r="EF25" s="4">
        <v>0</v>
      </c>
      <c r="EG25" s="4">
        <v>-0.001462046928608525</v>
      </c>
      <c r="EH25" s="4">
        <v>0</v>
      </c>
      <c r="EI25" s="4">
        <v>-0.001462046928608525</v>
      </c>
      <c r="EJ25" s="4">
        <v>1.987</v>
      </c>
      <c r="EK25" s="4">
        <v>1.991</v>
      </c>
      <c r="EL25" s="6"/>
      <c r="EM25" s="6"/>
      <c r="EN25" s="6"/>
      <c r="EO25" s="9"/>
      <c r="EP25" s="7">
        <f>IFERROR(EH25/F25,0)</f>
        <v>0</v>
      </c>
      <c r="EQ25" t="inlineStr">
        <is>
          <t xml:space="preserve">Keep cash / margin / financing</t>
        </is>
      </c>
      <c r="ER25" t="inlineStr">
        <is>
          <t xml:space="preserve">cash</t>
        </is>
      </c>
      <c r="ES25" t="inlineStr">
        <is>
          <t xml:space="preserve">keep</t>
        </is>
      </c>
      <c r="ET25" t="inlineStr">
        <is>
          <t xml:space="preserve">cash</t>
        </is>
      </c>
      <c r="EU25"/>
      <c r="EV25" s="4">
        <v>1</v>
      </c>
      <c r="EW25" s="4">
        <v>1</v>
      </c>
      <c r="EX25" s="4">
        <v>0</v>
      </c>
      <c r="EY25" s="6"/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1.987</v>
      </c>
      <c r="FF25" s="4">
        <v>1.991</v>
      </c>
      <c r="FG25" s="6"/>
      <c r="FH25" s="6"/>
      <c r="FI25" s="6"/>
      <c r="FJ25" s="9"/>
      <c r="FK25" s="7">
        <f>IFERROR(FC25/F25,0)</f>
        <v>0</v>
      </c>
      <c r="FL25"/>
      <c r="FM25"/>
      <c r="FN25"/>
      <c r="FO25"/>
      <c r="FP25"/>
      <c r="FQ25" s="4"/>
      <c r="FR25" s="4"/>
      <c r="FS25" s="4"/>
      <c r="FT25" s="6"/>
      <c r="FU25" s="4"/>
      <c r="FV25" s="4"/>
      <c r="FW25" s="4"/>
      <c r="FX25" s="4"/>
      <c r="FY25" s="4"/>
      <c r="FZ25" s="4"/>
      <c r="GA25" s="4"/>
      <c r="GB25" s="6"/>
      <c r="GC25" s="6"/>
      <c r="GD25" s="6"/>
      <c r="GE25" s="9"/>
      <c r="GF25"/>
      <c r="GG25"/>
      <c r="GH25"/>
      <c r="GI25"/>
      <c r="GJ25"/>
      <c r="GK25"/>
      <c r="GL25" s="4"/>
      <c r="GM25" s="4"/>
      <c r="GN25" s="4"/>
      <c r="GO25" s="6"/>
      <c r="GP25" s="4"/>
      <c r="GQ25" s="4"/>
      <c r="GR25" s="4"/>
      <c r="GS25" s="4"/>
      <c r="GT25" s="4"/>
      <c r="GU25" s="4"/>
      <c r="GV25" s="4"/>
      <c r="GW25" s="6"/>
      <c r="GX25" s="6"/>
      <c r="GY25" s="6"/>
      <c r="GZ25" s="9"/>
      <c r="HA25"/>
      <c r="HB25"/>
      <c r="HC25"/>
      <c r="HD25"/>
      <c r="HE25"/>
      <c r="HF25"/>
      <c r="HG25" s="4"/>
      <c r="HH25" s="4"/>
      <c r="HI25" s="4"/>
      <c r="HJ25" s="6"/>
      <c r="HK25" s="4"/>
      <c r="HL25" s="4"/>
      <c r="HM25" s="4"/>
      <c r="HN25" s="4"/>
      <c r="HO25" s="4"/>
      <c r="HP25" s="4"/>
      <c r="HQ25" s="4"/>
      <c r="HR25" s="6"/>
      <c r="HS25" s="6"/>
      <c r="HT25" s="6"/>
      <c r="HU25" s="9"/>
      <c r="HV25"/>
      <c r="HW25"/>
      <c r="HX25"/>
      <c r="HY25"/>
      <c r="HZ25"/>
      <c r="IA25"/>
      <c r="IB25" s="4"/>
      <c r="IC25" s="4"/>
      <c r="ID25" s="4"/>
      <c r="IE25" s="6"/>
      <c r="IF25" s="4"/>
      <c r="IG25" s="4"/>
      <c r="IH25" s="4"/>
      <c r="II25" s="4"/>
      <c r="IJ25" s="4"/>
      <c r="IK25" s="4"/>
      <c r="IL25" s="4"/>
      <c r="IM25" s="6"/>
      <c r="IN25" s="6"/>
      <c r="IO25" s="6"/>
      <c r="IP25" s="9"/>
      <c r="IQ25"/>
      <c r="IR25"/>
      <c r="IS25"/>
      <c r="IT25"/>
      <c r="IU25"/>
      <c r="IV25"/>
      <c r="IW25" s="4"/>
      <c r="IX25" s="4"/>
      <c r="IY25" s="4"/>
      <c r="IZ25" s="6"/>
      <c r="JA25" s="4"/>
      <c r="JB25" s="4"/>
      <c r="JC25" s="4"/>
      <c r="JD25" s="4"/>
      <c r="JE25" s="4"/>
      <c r="JF25" s="4"/>
      <c r="JG25" s="4"/>
      <c r="JH25" s="6"/>
      <c r="JI25" s="6"/>
      <c r="JJ25" s="6"/>
      <c r="JK25" s="9"/>
      <c r="JL25"/>
    </row>
    <row r="26">
      <c r="A26" s="8">
        <v>25238</v>
      </c>
      <c r="B26" s="8">
        <v>25239</v>
      </c>
      <c r="C26" s="9">
        <f>B26-A26</f>
        <v>1</v>
      </c>
      <c r="D26" s="8">
        <v>25238</v>
      </c>
      <c r="E26" t="inlineStr">
        <is>
          <t xml:space="preserve">positive</t>
        </is>
      </c>
      <c r="F26" s="4">
        <v>1.0656531651232235</v>
      </c>
      <c r="G26" s="6">
        <v>-0.03260875593782632</v>
      </c>
      <c r="H26" s="7">
        <f>SUM(CE26,CZ26,DU26,EP26,FK26,GF26,HA26,HV26,IQ26,JL26)</f>
        <v>-0.03260875593782632</v>
      </c>
      <c r="I26" s="7">
        <f>G26-H26</f>
        <v>0</v>
      </c>
      <c r="J26" s="5">
        <f>F26*(1+H26)</f>
        <v>1.0309035411473482</v>
      </c>
      <c r="K26" s="4">
        <v>1.0309035411473482</v>
      </c>
      <c r="L26" s="5">
        <f>K26-J26</f>
        <v>0</v>
      </c>
      <c r="M26" s="4">
        <v>1.991</v>
      </c>
      <c r="N26" s="4">
        <v>1.983</v>
      </c>
      <c r="O26" s="5">
        <f>M26/$M$3</f>
        <v>1.0168539325842698</v>
      </c>
      <c r="P26" s="5">
        <f>N26/$M$3</f>
        <v>1.0127681307456589</v>
      </c>
      <c r="Q26" s="7">
        <f>IFERROR(N26/M26-1,0)</f>
        <v>-0.004018081366147674</v>
      </c>
      <c r="R26" s="5">
        <f>SUM(IF(BM26="lease",BU26,0),IF(CH26="lease",CP26,0),IF(DC26="lease",DK26,0),IF(DX26="lease",EF26,0),IF(ES26="lease",FA26,0),IF(FN26="lease",FV26,0),IF(GI26="lease",GQ26,0),IF(HD26="lease",HL26,0),IF(HY26="lease",IG26,0),IF(IT26="lease",JB26,0))</f>
        <v>1.0656531651232235</v>
      </c>
      <c r="S26" s="5">
        <f>SUM(IF(BM26="lease",BV26,0),IF(CH26="lease",CQ26,0),IF(DC26="lease",DL26,0),IF(DX26="lease",EG26,0),IF(ES26="lease",FB26,0),IF(FN26="lease",FW26,0),IF(GI26="lease",GR26,0),IF(HD26="lease",HM26,0),IF(HY26="lease",IH26,0),IF(IT26="lease",JC26,0))</f>
        <v>1.0309035411473482</v>
      </c>
      <c r="T26" s="5">
        <f>SUM(IF(BM26="keep",BU26,0),IF(CH26="keep",CP26,0),IF(DC26="keep",DK26,0),IF(DX26="keep",EF26,0),IF(ES26="keep",FA26,0),IF(FN26="keep",FV26,0),IF(GI26="keep",GQ26,0),IF(HD26="keep",HL26,0),IF(HY26="keep",IG26,0),IF(IT26="keep",JB26,0))</f>
        <v>0</v>
      </c>
      <c r="U26" s="5">
        <f>SUM(IF(BM26="keep",BV26,0),IF(CH26="keep",CQ26,0),IF(DC26="keep",DL26,0),IF(DX26="keep",EG26,0),IF(ES26="keep",FB26,0),IF(FN26="keep",FW26,0),IF(GI26="keep",GR26,0),IF(HD26="keep",HM26,0),IF(HY26="keep",IH26,0),IF(IT26="keep",JC26,0))</f>
        <v>0</v>
      </c>
      <c r="V26" s="5">
        <f>R26/O26</f>
        <v>1.047990405480297</v>
      </c>
      <c r="W26" s="5">
        <f>S26/P26</f>
        <v>1.0179067743653594</v>
      </c>
      <c r="X26" s="5">
        <f>T26/O26</f>
        <v>0</v>
      </c>
      <c r="Y26" s="5">
        <f>U26/P26</f>
        <v>0</v>
      </c>
      <c r="Z26" s="5">
        <f>V26+X26</f>
        <v>1.047990405480297</v>
      </c>
      <c r="AA26" s="7">
        <f>IFERROR(W26/V26-1,0)</f>
        <v>-0.028706017686440877</v>
      </c>
      <c r="AB26" s="7">
        <f>IFERROR((W26-V26)/Z26,0)</f>
        <v>-0.02870601768644085</v>
      </c>
      <c r="AC26" s="7">
        <f>IFERROR(Y26/X26-1,0)</f>
        <v>0</v>
      </c>
      <c r="AD26" s="7">
        <f>IFERROR((Y26-X26)/Z26,0)</f>
        <v>0</v>
      </c>
      <c r="AE26" s="7">
        <f>AB26+AD26</f>
        <v>-0.02870601768644085</v>
      </c>
      <c r="AF26" s="7">
        <f>(1+Q26)*(1+AE26)-1</f>
        <v>-0.032608755937826306</v>
      </c>
      <c r="AG26" s="7">
        <f>G26-AF26</f>
        <v>-1.3877787807814457e-17</v>
      </c>
      <c r="AH26" s="5">
        <f>SUM(IF(BM26="lease",BW26,0),IF(CH26="lease",CR26,0),IF(DC26="lease",DM26,0),IF(DX26="lease",EH26,0),IF(ES26="lease",FC26,0),IF(FN26="lease",FX26,0),IF(GI26="lease",GS26,0),IF(HD26="lease",HN26,0),IF(HY26="lease",II26,0),IF(IT26="lease",JD26,0))</f>
        <v>-0.034749623975875325</v>
      </c>
      <c r="AI26" s="5">
        <f>SUM(IF(BM26="keep",BW26,0),IF(CH26="keep",CR26,0),IF(DC26="keep",DM26,0),IF(DX26="keep",EH26,0),IF(ES26="keep",FC26,0),IF(FN26="keep",FX26,0),IF(GI26="keep",GS26,0),IF(HD26="keep",HN26,0),IF(HY26="keep",II26,0),IF(IT26="keep",JD26,0))</f>
        <v>0</v>
      </c>
      <c r="AJ26" s="5">
        <f>SUM(IF(BM26="lease",BX26,0),IF(CH26="lease",CS26,0),IF(DC26="lease",DN26,0),IF(DX26="lease",EI26,0),IF(ES26="lease",FD26,0),IF(FN26="lease",FY26,0),IF(GI26="lease",GT26,0),IF(HD26="lease",HO26,0),IF(HY26="lease",IJ26,0),IF(IT26="lease",JE26,0))</f>
        <v>0</v>
      </c>
      <c r="AK26" s="5">
        <f>SUM(IF(BM26="keep",BX26,0),IF(CH26="keep",CS26,0),IF(DC26="keep",DN26,0),IF(DX26="keep",EI26,0),IF(ES26="keep",FD26,0),IF(FN26="keep",FY26,0),IF(GI26="keep",GT26,0),IF(HD26="keep",HO26,0),IF(HY26="keep",IJ26,0),IF(IT26="keep",JE26,0))</f>
        <v>0</v>
      </c>
      <c r="AL26" s="5">
        <f>R26-S25</f>
        <v>2.220446049250313e-16</v>
      </c>
      <c r="AM26" s="5">
        <f>T26-U25</f>
        <v>0</v>
      </c>
      <c r="AN26" s="5">
        <f>AN25</f>
        <v>1</v>
      </c>
      <c r="AO26" s="5">
        <f>AO25+AH26</f>
        <v>0.030903541147348397</v>
      </c>
      <c r="AP26" s="5">
        <f>AP25+AL26</f>
        <v>-2.220446049250313e-16</v>
      </c>
      <c r="AQ26" s="5">
        <f>AN26+AO26+AP26</f>
        <v>1.0309035411473482</v>
      </c>
      <c r="AR26" s="5">
        <f>S26-AQ26</f>
        <v>0</v>
      </c>
      <c r="AS26" s="5">
        <f>AS25</f>
        <v>0</v>
      </c>
      <c r="AT26" s="5">
        <f>AT25+AI26</f>
        <v>0</v>
      </c>
      <c r="AU26" s="5">
        <f>AU25+AM26</f>
        <v>0</v>
      </c>
      <c r="AV26" s="5">
        <f>AS26+AT26+AU26</f>
        <v>0</v>
      </c>
      <c r="AW26" s="5">
        <f>U26-AV26</f>
        <v>0</v>
      </c>
      <c r="AX26" s="4">
        <v>1.0656531651232235</v>
      </c>
      <c r="AY26" s="4">
        <v>1.0309035411473482</v>
      </c>
      <c r="AZ26" s="5">
        <f>S26-AY26</f>
        <v>0</v>
      </c>
      <c r="BA26" s="4">
        <v>0</v>
      </c>
      <c r="BB26" s="4">
        <v>0</v>
      </c>
      <c r="BC26" s="5">
        <f>U26-BB26</f>
        <v>0</v>
      </c>
      <c r="BD26" s="7">
        <f>SUM(IF(BL26="direct",CE26,0),IF(CG26="direct",CZ26,0),IF(DB26="direct",DU26,0),IF(DW26="direct",EP26,0),IF(ER26="direct",FK26,0),IF(FM26="direct",GF26,0),IF(GH26="direct",HA26,0),IF(HC26="direct",HV26,0),IF(HX26="direct",IQ26,0),IF(IS26="direct",JL26,0))</f>
        <v>-0.0015896636304789458</v>
      </c>
      <c r="BE26" s="7">
        <f>SUM(IF(BL26="treasury",CE26,0),IF(CG26="treasury",CZ26,0),IF(DB26="treasury",DU26,0),IF(DW26="treasury",EP26,0),IF(ER26="treasury",FK26,0),IF(FM26="treasury",GF26,0),IF(GH26="treasury",HA26,0),IF(HC26="treasury",HV26,0),IF(HX26="treasury",IQ26,0),IF(IS26="treasury",JL26,0))</f>
        <v>0.00010277488810669599</v>
      </c>
      <c r="BF26" s="7">
        <f>SUM(IF(BL26="future",CE26,0),IF(CG26="future",CZ26,0),IF(DB26="future",DU26,0),IF(DW26="future",EP26,0),IF(ER26="future",FK26,0),IF(FM26="future",GF26,0),IF(GH26="future",HA26,0),IF(HC26="future",HV26,0),IF(HX26="future",IQ26,0),IF(IS26="future",JL26,0))</f>
        <v>-0.031121867195454067</v>
      </c>
      <c r="BG26" s="7">
        <f>SUM(IF(BL26="cash",CE26,0),IF(CG26="cash",CZ26,0),IF(DB26="cash",DU26,0),IF(DW26="cash",EP26,0),IF(ER26="cash",FK26,0),IF(FM26="cash",GF26,0),IF(GH26="cash",HA26,0),IF(HC26="cash",HV26,0),IF(HX26="cash",IQ26,0),IF(IS26="cash",JL26,0))</f>
        <v>0</v>
      </c>
      <c r="BH26" s="7">
        <f>SUM(BD26:BG26)</f>
        <v>-0.03260875593782632</v>
      </c>
      <c r="BI26" s="7">
        <f>G26-BH26</f>
        <v>0</v>
      </c>
      <c r="BJ26" s="9">
        <f>COUNTA(BK26,CF26,DA26,DV26,EQ26,FL26,GG26,HB26,HW26,IR26)</f>
        <v>5</v>
      </c>
      <c r="BK26" t="inlineStr">
        <is>
          <t xml:space="preserve">Direct commodity holding</t>
        </is>
      </c>
      <c r="BL26" t="inlineStr">
        <is>
          <t xml:space="preserve">direct</t>
        </is>
      </c>
      <c r="BM26" t="inlineStr">
        <is>
          <t xml:space="preserve">lease</t>
        </is>
      </c>
      <c r="BN26" t="inlineStr">
        <is>
          <t xml:space="preserve">long</t>
        </is>
      </c>
      <c r="BO26"/>
      <c r="BP26" s="4">
        <v>1.991</v>
      </c>
      <c r="BQ26" s="4">
        <v>1.983</v>
      </c>
      <c r="BR26" s="4">
        <v>0.21139341377666082</v>
      </c>
      <c r="BS26" s="6">
        <v>0.3949542877589671</v>
      </c>
      <c r="BT26" s="4">
        <v>0.4208842868293317</v>
      </c>
      <c r="BU26" s="4">
        <v>0.4208842868293317</v>
      </c>
      <c r="BV26" s="4">
        <v>0.4191931395191184</v>
      </c>
      <c r="BW26" s="4">
        <v>-0.0016940300793011629</v>
      </c>
      <c r="BX26" s="4">
        <v>0.0000028827690878594284</v>
      </c>
      <c r="BY26" s="4">
        <v>1.991</v>
      </c>
      <c r="BZ26" s="4">
        <v>1.983</v>
      </c>
      <c r="CA26" s="6"/>
      <c r="CB26" s="6"/>
      <c r="CC26" s="6"/>
      <c r="CD26" s="9"/>
      <c r="CE26" s="7">
        <f>IFERROR(BW26/F26,0)</f>
        <v>-0.0015896636304789458</v>
      </c>
      <c r="CF26" t="inlineStr">
        <is>
          <t xml:space="preserve">Treasury collateral</t>
        </is>
      </c>
      <c r="CG26" t="inlineStr">
        <is>
          <t xml:space="preserve">treasury</t>
        </is>
      </c>
      <c r="CH26" t="inlineStr">
        <is>
          <t xml:space="preserve">lease</t>
        </is>
      </c>
      <c r="CI26" t="inlineStr">
        <is>
          <t xml:space="preserve">long</t>
        </is>
      </c>
      <c r="CJ26"/>
      <c r="CK26" s="4">
        <v>100.55654987579562</v>
      </c>
      <c r="CL26" s="4">
        <v>100.57363071440466</v>
      </c>
      <c r="CM26" s="4">
        <v>0.006412002789378619</v>
      </c>
      <c r="CN26" s="6">
        <v>0.6050457122410329</v>
      </c>
      <c r="CO26" s="4">
        <v>0.6447688782938917</v>
      </c>
      <c r="CP26" s="4">
        <v>0.6447688782938917</v>
      </c>
      <c r="CQ26" s="4">
        <v>0.6448784006786978</v>
      </c>
      <c r="CR26" s="4">
        <v>0.00010952238480608572</v>
      </c>
      <c r="CS26" s="4">
        <v>1.871604000253102e-17</v>
      </c>
      <c r="CT26" s="4">
        <v>1.991</v>
      </c>
      <c r="CU26" s="4">
        <v>1.983</v>
      </c>
      <c r="CV26" s="6"/>
      <c r="CW26" s="6"/>
      <c r="CX26" s="6"/>
      <c r="CY26" s="9">
        <v>51</v>
      </c>
      <c r="CZ26" s="7">
        <f>IFERROR(CR26/F26,0)</f>
        <v>0.00010277488810669599</v>
      </c>
      <c r="DA26" t="inlineStr">
        <is>
          <t xml:space="preserve">SI69H</t>
        </is>
      </c>
      <c r="DB26" t="inlineStr">
        <is>
          <t xml:space="preserve">future</t>
        </is>
      </c>
      <c r="DC26" t="inlineStr">
        <is>
          <t xml:space="preserve">lease</t>
        </is>
      </c>
      <c r="DD26" t="inlineStr">
        <is>
          <t xml:space="preserve">long</t>
        </is>
      </c>
      <c r="DE26" t="inlineStr">
        <is>
          <t xml:space="preserve">regular</t>
        </is>
      </c>
      <c r="DF26" s="4">
        <v>1.983</v>
      </c>
      <c r="DG26" s="4">
        <v>1.881</v>
      </c>
      <c r="DH26" s="4">
        <v>0.32514819883706086</v>
      </c>
      <c r="DI26" s="6">
        <v>0.6050457122410329</v>
      </c>
      <c r="DJ26" s="4">
        <v>0.6447688782938917</v>
      </c>
      <c r="DK26" s="4">
        <v>0</v>
      </c>
      <c r="DL26" s="4">
        <v>0</v>
      </c>
      <c r="DM26" s="4">
        <v>-0.03316511628138025</v>
      </c>
      <c r="DN26" s="4">
        <v>0.03316511628138025</v>
      </c>
      <c r="DO26" s="4">
        <v>1.991</v>
      </c>
      <c r="DP26" s="4">
        <v>1.983</v>
      </c>
      <c r="DQ26" s="6">
        <v>-0.004018081366147674</v>
      </c>
      <c r="DR26" s="6">
        <v>0.062</v>
      </c>
      <c r="DS26" s="6">
        <v>0.09075685683615492</v>
      </c>
      <c r="DT26" s="9">
        <v>51</v>
      </c>
      <c r="DU26" s="7">
        <f>IFERROR(DM26/F26,0)</f>
        <v>-0.031121867195454067</v>
      </c>
      <c r="DV26" t="inlineStr">
        <is>
          <t xml:space="preserve">Lease cash / margin / financing</t>
        </is>
      </c>
      <c r="DW26" t="inlineStr">
        <is>
          <t xml:space="preserve">cash</t>
        </is>
      </c>
      <c r="DX26" t="inlineStr">
        <is>
          <t xml:space="preserve">lease</t>
        </is>
      </c>
      <c r="DY26" t="inlineStr">
        <is>
          <t xml:space="preserve">cash</t>
        </is>
      </c>
      <c r="DZ26"/>
      <c r="EA26" s="4">
        <v>1</v>
      </c>
      <c r="EB26" s="4">
        <v>1</v>
      </c>
      <c r="EC26" s="4">
        <v>0</v>
      </c>
      <c r="ED26" s="6"/>
      <c r="EE26" s="4">
        <v>0</v>
      </c>
      <c r="EF26" s="4">
        <v>0</v>
      </c>
      <c r="EG26" s="4">
        <v>-0.033167999050468126</v>
      </c>
      <c r="EH26" s="4">
        <v>0</v>
      </c>
      <c r="EI26" s="4">
        <v>-0.033167999050468126</v>
      </c>
      <c r="EJ26" s="4">
        <v>1.991</v>
      </c>
      <c r="EK26" s="4">
        <v>1.983</v>
      </c>
      <c r="EL26" s="6"/>
      <c r="EM26" s="6"/>
      <c r="EN26" s="6"/>
      <c r="EO26" s="9"/>
      <c r="EP26" s="7">
        <f>IFERROR(EH26/F26,0)</f>
        <v>0</v>
      </c>
      <c r="EQ26" t="inlineStr">
        <is>
          <t xml:space="preserve">Keep cash / margin / financing</t>
        </is>
      </c>
      <c r="ER26" t="inlineStr">
        <is>
          <t xml:space="preserve">cash</t>
        </is>
      </c>
      <c r="ES26" t="inlineStr">
        <is>
          <t xml:space="preserve">keep</t>
        </is>
      </c>
      <c r="ET26" t="inlineStr">
        <is>
          <t xml:space="preserve">cash</t>
        </is>
      </c>
      <c r="EU26"/>
      <c r="EV26" s="4">
        <v>1</v>
      </c>
      <c r="EW26" s="4">
        <v>1</v>
      </c>
      <c r="EX26" s="4">
        <v>0</v>
      </c>
      <c r="EY26" s="6"/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1.991</v>
      </c>
      <c r="FF26" s="4">
        <v>1.983</v>
      </c>
      <c r="FG26" s="6"/>
      <c r="FH26" s="6"/>
      <c r="FI26" s="6"/>
      <c r="FJ26" s="9"/>
      <c r="FK26" s="7">
        <f>IFERROR(FC26/F26,0)</f>
        <v>0</v>
      </c>
      <c r="FL26"/>
      <c r="FM26"/>
      <c r="FN26"/>
      <c r="FO26"/>
      <c r="FP26"/>
      <c r="FQ26" s="4"/>
      <c r="FR26" s="4"/>
      <c r="FS26" s="4"/>
      <c r="FT26" s="6"/>
      <c r="FU26" s="4"/>
      <c r="FV26" s="4"/>
      <c r="FW26" s="4"/>
      <c r="FX26" s="4"/>
      <c r="FY26" s="4"/>
      <c r="FZ26" s="4"/>
      <c r="GA26" s="4"/>
      <c r="GB26" s="6"/>
      <c r="GC26" s="6"/>
      <c r="GD26" s="6"/>
      <c r="GE26" s="9"/>
      <c r="GF26"/>
      <c r="GG26"/>
      <c r="GH26"/>
      <c r="GI26"/>
      <c r="GJ26"/>
      <c r="GK26"/>
      <c r="GL26" s="4"/>
      <c r="GM26" s="4"/>
      <c r="GN26" s="4"/>
      <c r="GO26" s="6"/>
      <c r="GP26" s="4"/>
      <c r="GQ26" s="4"/>
      <c r="GR26" s="4"/>
      <c r="GS26" s="4"/>
      <c r="GT26" s="4"/>
      <c r="GU26" s="4"/>
      <c r="GV26" s="4"/>
      <c r="GW26" s="6"/>
      <c r="GX26" s="6"/>
      <c r="GY26" s="6"/>
      <c r="GZ26" s="9"/>
      <c r="HA26"/>
      <c r="HB26"/>
      <c r="HC26"/>
      <c r="HD26"/>
      <c r="HE26"/>
      <c r="HF26"/>
      <c r="HG26" s="4"/>
      <c r="HH26" s="4"/>
      <c r="HI26" s="4"/>
      <c r="HJ26" s="6"/>
      <c r="HK26" s="4"/>
      <c r="HL26" s="4"/>
      <c r="HM26" s="4"/>
      <c r="HN26" s="4"/>
      <c r="HO26" s="4"/>
      <c r="HP26" s="4"/>
      <c r="HQ26" s="4"/>
      <c r="HR26" s="6"/>
      <c r="HS26" s="6"/>
      <c r="HT26" s="6"/>
      <c r="HU26" s="9"/>
      <c r="HV26"/>
      <c r="HW26"/>
      <c r="HX26"/>
      <c r="HY26"/>
      <c r="HZ26"/>
      <c r="IA26"/>
      <c r="IB26" s="4"/>
      <c r="IC26" s="4"/>
      <c r="ID26" s="4"/>
      <c r="IE26" s="6"/>
      <c r="IF26" s="4"/>
      <c r="IG26" s="4"/>
      <c r="IH26" s="4"/>
      <c r="II26" s="4"/>
      <c r="IJ26" s="4"/>
      <c r="IK26" s="4"/>
      <c r="IL26" s="4"/>
      <c r="IM26" s="6"/>
      <c r="IN26" s="6"/>
      <c r="IO26" s="6"/>
      <c r="IP26" s="9"/>
      <c r="IQ26"/>
      <c r="IR26"/>
      <c r="IS26"/>
      <c r="IT26"/>
      <c r="IU26"/>
      <c r="IV26"/>
      <c r="IW26" s="4"/>
      <c r="IX26" s="4"/>
      <c r="IY26" s="4"/>
      <c r="IZ26" s="6"/>
      <c r="JA26" s="4"/>
      <c r="JB26" s="4"/>
      <c r="JC26" s="4"/>
      <c r="JD26" s="4"/>
      <c r="JE26" s="4"/>
      <c r="JF26" s="4"/>
      <c r="JG26" s="4"/>
      <c r="JH26" s="6"/>
      <c r="JI26" s="6"/>
      <c r="JJ26" s="6"/>
      <c r="JK26" s="9"/>
      <c r="JL26"/>
    </row>
    <row r="27">
      <c r="A27" s="8">
        <v>25239</v>
      </c>
      <c r="B27" s="8">
        <v>25240</v>
      </c>
      <c r="C27" s="9">
        <f>B27-A27</f>
        <v>1</v>
      </c>
      <c r="D27" s="8">
        <v>25239</v>
      </c>
      <c r="E27" t="inlineStr">
        <is>
          <t xml:space="preserve">positive</t>
        </is>
      </c>
      <c r="F27" s="4">
        <v>1.0309035411473482</v>
      </c>
      <c r="G27" s="6">
        <v>-0.02428521407295743</v>
      </c>
      <c r="H27" s="7">
        <f>SUM(CE27,CZ27,DU27,EP27,FK27,GF27,HA27,HV27,IQ27,JL27)</f>
        <v>-0.02428521407295743</v>
      </c>
      <c r="I27" s="7">
        <f>G27-H27</f>
        <v>0</v>
      </c>
      <c r="J27" s="5">
        <f>F27*(1+H27)</f>
        <v>1.0058678279620148</v>
      </c>
      <c r="K27" s="4">
        <v>1.0058678279620148</v>
      </c>
      <c r="L27" s="5">
        <f>K27-J27</f>
        <v>0</v>
      </c>
      <c r="M27" s="4">
        <v>1.983</v>
      </c>
      <c r="N27" s="4">
        <v>1.922</v>
      </c>
      <c r="O27" s="5">
        <f>M27/$M$3</f>
        <v>1.0127681307456589</v>
      </c>
      <c r="P27" s="5">
        <f>N27/$M$3</f>
        <v>0.9816138917262512</v>
      </c>
      <c r="Q27" s="7">
        <f>IFERROR(N27/M27-1,0)</f>
        <v>-0.030761472516389388</v>
      </c>
      <c r="R27" s="5">
        <f>SUM(IF(BM27="lease",BU27,0),IF(CH27="lease",CP27,0),IF(DC27="lease",DK27,0),IF(DX27="lease",EF27,0),IF(ES27="lease",FA27,0),IF(FN27="lease",FV27,0),IF(GI27="lease",GQ27,0),IF(HD27="lease",HL27,0),IF(HY27="lease",IG27,0),IF(IT27="lease",JB27,0))</f>
        <v>1.0309035411473482</v>
      </c>
      <c r="S27" s="5">
        <f>SUM(IF(BM27="lease",BV27,0),IF(CH27="lease",CQ27,0),IF(DC27="lease",DL27,0),IF(DX27="lease",EG27,0),IF(ES27="lease",FB27,0),IF(FN27="lease",FW27,0),IF(GI27="lease",GR27,0),IF(HD27="lease",HM27,0),IF(HY27="lease",IH27,0),IF(IT27="lease",JC27,0))</f>
        <v>1.005867827962015</v>
      </c>
      <c r="T27" s="5">
        <f>SUM(IF(BM27="keep",BU27,0),IF(CH27="keep",CP27,0),IF(DC27="keep",DK27,0),IF(DX27="keep",EF27,0),IF(ES27="keep",FA27,0),IF(FN27="keep",FV27,0),IF(GI27="keep",GQ27,0),IF(HD27="keep",HL27,0),IF(HY27="keep",IG27,0),IF(IT27="keep",JB27,0))</f>
        <v>0</v>
      </c>
      <c r="U27" s="5">
        <f>SUM(IF(BM27="keep",BV27,0),IF(CH27="keep",CQ27,0),IF(DC27="keep",DL27,0),IF(DX27="keep",EG27,0),IF(ES27="keep",FB27,0),IF(FN27="keep",FW27,0),IF(GI27="keep",GR27,0),IF(HD27="keep",HM27,0),IF(HY27="keep",IH27,0),IF(IT27="keep",JC27,0))</f>
        <v>0</v>
      </c>
      <c r="V27" s="5">
        <f>R27/O27</f>
        <v>1.0179067743653594</v>
      </c>
      <c r="W27" s="5">
        <f>S27/P27</f>
        <v>1.0247082243234265</v>
      </c>
      <c r="X27" s="5">
        <f>T27/O27</f>
        <v>0</v>
      </c>
      <c r="Y27" s="5">
        <f>U27/P27</f>
        <v>0</v>
      </c>
      <c r="Z27" s="5">
        <f>V27+X27</f>
        <v>1.0179067743653594</v>
      </c>
      <c r="AA27" s="7">
        <f>IFERROR(W27/V27-1,0)</f>
        <v>0.006681800464789722</v>
      </c>
      <c r="AB27" s="7">
        <f>IFERROR((W27-V27)/Z27,0)</f>
        <v>0.006681800464789742</v>
      </c>
      <c r="AC27" s="7">
        <f>IFERROR(Y27/X27-1,0)</f>
        <v>0</v>
      </c>
      <c r="AD27" s="7">
        <f>IFERROR((Y27-X27)/Z27,0)</f>
        <v>0</v>
      </c>
      <c r="AE27" s="7">
        <f>AB27+AD27</f>
        <v>0.006681800464789742</v>
      </c>
      <c r="AF27" s="7">
        <f>(1+Q27)*(1+AE27)-1</f>
        <v>-0.02428521407295725</v>
      </c>
      <c r="AG27" s="7">
        <f>G27-AF27</f>
        <v>-1.8041124150158794e-16</v>
      </c>
      <c r="AH27" s="5">
        <f>SUM(IF(BM27="lease",BW27,0),IF(CH27="lease",CR27,0),IF(DC27="lease",DM27,0),IF(DX27="lease",EH27,0),IF(ES27="lease",FC27,0),IF(FN27="lease",FX27,0),IF(GI27="lease",GS27,0),IF(HD27="lease",HN27,0),IF(HY27="lease",II27,0),IF(IT27="lease",JD27,0))</f>
        <v>-0.02503571318533323</v>
      </c>
      <c r="AI27" s="5">
        <f>SUM(IF(BM27="keep",BW27,0),IF(CH27="keep",CR27,0),IF(DC27="keep",DM27,0),IF(DX27="keep",EH27,0),IF(ES27="keep",FC27,0),IF(FN27="keep",FX27,0),IF(GI27="keep",GS27,0),IF(HD27="keep",HN27,0),IF(HY27="keep",II27,0),IF(IT27="keep",JD27,0))</f>
        <v>0</v>
      </c>
      <c r="AJ27" s="5">
        <f>SUM(IF(BM27="lease",BX27,0),IF(CH27="lease",CS27,0),IF(DC27="lease",DN27,0),IF(DX27="lease",EI27,0),IF(ES27="lease",FD27,0),IF(FN27="lease",FY27,0),IF(GI27="lease",GT27,0),IF(HD27="lease",HO27,0),IF(HY27="lease",IJ27,0),IF(IT27="lease",JE27,0))</f>
        <v>0</v>
      </c>
      <c r="AK27" s="5">
        <f>SUM(IF(BM27="keep",BX27,0),IF(CH27="keep",CS27,0),IF(DC27="keep",DN27,0),IF(DX27="keep",EI27,0),IF(ES27="keep",FD27,0),IF(FN27="keep",FY27,0),IF(GI27="keep",GT27,0),IF(HD27="keep",HO27,0),IF(HY27="keep",IJ27,0),IF(IT27="keep",JE27,0))</f>
        <v>0</v>
      </c>
      <c r="AL27" s="5">
        <f>R27-S26</f>
        <v>0</v>
      </c>
      <c r="AM27" s="5">
        <f>T27-U26</f>
        <v>0</v>
      </c>
      <c r="AN27" s="5">
        <f>AN26</f>
        <v>1</v>
      </c>
      <c r="AO27" s="5">
        <f>AO26+AH27</f>
        <v>0.005867827962015168</v>
      </c>
      <c r="AP27" s="5">
        <f>AP26+AL27</f>
        <v>-2.220446049250313e-16</v>
      </c>
      <c r="AQ27" s="5">
        <f>AN27+AO27+AP27</f>
        <v>1.005867827962015</v>
      </c>
      <c r="AR27" s="5">
        <f>S27-AQ27</f>
        <v>0</v>
      </c>
      <c r="AS27" s="5">
        <f>AS26</f>
        <v>0</v>
      </c>
      <c r="AT27" s="5">
        <f>AT26+AI27</f>
        <v>0</v>
      </c>
      <c r="AU27" s="5">
        <f>AU26+AM27</f>
        <v>0</v>
      </c>
      <c r="AV27" s="5">
        <f>AS27+AT27+AU27</f>
        <v>0</v>
      </c>
      <c r="AW27" s="5">
        <f>U27-AV27</f>
        <v>0</v>
      </c>
      <c r="AX27" s="4">
        <v>1.0309035411473482</v>
      </c>
      <c r="AY27" s="4">
        <v>1.005867827962015</v>
      </c>
      <c r="AZ27" s="5">
        <f>S27-AY27</f>
        <v>0</v>
      </c>
      <c r="BA27" s="4">
        <v>0</v>
      </c>
      <c r="BB27" s="4">
        <v>0</v>
      </c>
      <c r="BC27" s="5">
        <f>U27-BB27</f>
        <v>0</v>
      </c>
      <c r="BD27" s="7">
        <f>SUM(IF(BL27="direct",CE27,0),IF(CG27="direct",CZ27,0),IF(DB27="direct",DU27,0),IF(DW27="direct",EP27,0),IF(ER27="direct",FK27,0),IF(FM27="direct",GF27,0),IF(GH27="direct",HA27,0),IF(HC27="direct",HV27,0),IF(HX27="direct",IQ27,0),IF(IS27="direct",JL27,0))</f>
        <v>0</v>
      </c>
      <c r="BE27" s="7">
        <f>SUM(IF(BL27="treasury",CE27,0),IF(CG27="treasury",CZ27,0),IF(DB27="treasury",DU27,0),IF(DW27="treasury",EP27,0),IF(ER27="treasury",FK27,0),IF(FM27="treasury",GF27,0),IF(GH27="treasury",HA27,0),IF(HC27="treasury",HV27,0),IF(HX27="treasury",IQ27,0),IF(IS27="treasury",JL27,0))</f>
        <v>0.00016986301369863014</v>
      </c>
      <c r="BF27" s="7">
        <f>SUM(IF(BL27="future",CE27,0),IF(CG27="future",CZ27,0),IF(DB27="future",DU27,0),IF(DW27="future",EP27,0),IF(ER27="future",FK27,0),IF(FM27="future",GF27,0),IF(GH27="future",HA27,0),IF(HC27="future",HV27,0),IF(HX27="future",IQ27,0),IF(IS27="future",JL27,0))</f>
        <v>-0.024455077086656063</v>
      </c>
      <c r="BG27" s="7">
        <f>SUM(IF(BL27="cash",CE27,0),IF(CG27="cash",CZ27,0),IF(DB27="cash",DU27,0),IF(DW27="cash",EP27,0),IF(ER27="cash",FK27,0),IF(FM27="cash",GF27,0),IF(GH27="cash",HA27,0),IF(HC27="cash",HV27,0),IF(HX27="cash",IQ27,0),IF(IS27="cash",JL27,0))</f>
        <v>0</v>
      </c>
      <c r="BH27" s="7">
        <f>SUM(BD27:BG27)</f>
        <v>-0.02428521407295743</v>
      </c>
      <c r="BI27" s="7">
        <f>G27-BH27</f>
        <v>0</v>
      </c>
      <c r="BJ27" s="9">
        <f>COUNTA(BK27,CF27,DA27,DV27,EQ27,FL27,GG27,HB27,HW27,IR27)</f>
        <v>4</v>
      </c>
      <c r="BK27" t="inlineStr">
        <is>
          <t xml:space="preserve">Treasury collateral</t>
        </is>
      </c>
      <c r="BL27" t="inlineStr">
        <is>
          <t xml:space="preserve">treasury</t>
        </is>
      </c>
      <c r="BM27" t="inlineStr">
        <is>
          <t xml:space="preserve">lease</t>
        </is>
      </c>
      <c r="BN27" t="inlineStr">
        <is>
          <t xml:space="preserve">long</t>
        </is>
      </c>
      <c r="BO27"/>
      <c r="BP27" s="4">
        <v>100.57363071440466</v>
      </c>
      <c r="BQ27" s="4">
        <v>100.59071445441641</v>
      </c>
      <c r="BR27" s="4">
        <v>0.010250236904291226</v>
      </c>
      <c r="BS27" s="6">
        <v>1</v>
      </c>
      <c r="BT27" s="4">
        <v>1.0309035411473482</v>
      </c>
      <c r="BU27" s="4">
        <v>1.0309035411473482</v>
      </c>
      <c r="BV27" s="4">
        <v>1.03107865352968</v>
      </c>
      <c r="BW27" s="4">
        <v>0.00017511238233187831</v>
      </c>
      <c r="BX27" s="4">
        <v>4.285309086748956e-17</v>
      </c>
      <c r="BY27" s="4">
        <v>1.983</v>
      </c>
      <c r="BZ27" s="4">
        <v>1.922</v>
      </c>
      <c r="CA27" s="6"/>
      <c r="CB27" s="6"/>
      <c r="CC27" s="6"/>
      <c r="CD27" s="9">
        <v>50</v>
      </c>
      <c r="CE27" s="7">
        <f>IFERROR(BW27/F27,0)</f>
        <v>0.00016986301369863014</v>
      </c>
      <c r="CF27" t="inlineStr">
        <is>
          <t xml:space="preserve">SI69H</t>
        </is>
      </c>
      <c r="CG27" t="inlineStr">
        <is>
          <t xml:space="preserve">future</t>
        </is>
      </c>
      <c r="CH27" t="inlineStr">
        <is>
          <t xml:space="preserve">lease</t>
        </is>
      </c>
      <c r="CI27" t="inlineStr">
        <is>
          <t xml:space="preserve">long</t>
        </is>
      </c>
      <c r="CJ27" t="inlineStr">
        <is>
          <t xml:space="preserve">regular</t>
        </is>
      </c>
      <c r="CK27" s="4">
        <v>1.881</v>
      </c>
      <c r="CL27" s="4">
        <v>1.835</v>
      </c>
      <c r="CM27" s="4">
        <v>0.5480614253840235</v>
      </c>
      <c r="CN27" s="6">
        <v>1</v>
      </c>
      <c r="CO27" s="4">
        <v>1.0309035411473482</v>
      </c>
      <c r="CP27" s="4">
        <v>0</v>
      </c>
      <c r="CQ27" s="4">
        <v>0</v>
      </c>
      <c r="CR27" s="4">
        <v>-0.02521082556766511</v>
      </c>
      <c r="CS27" s="4">
        <v>0.02521082556766511</v>
      </c>
      <c r="CT27" s="4">
        <v>1.983</v>
      </c>
      <c r="CU27" s="4">
        <v>1.922</v>
      </c>
      <c r="CV27" s="6">
        <v>-0.05143721633888054</v>
      </c>
      <c r="CW27" s="6">
        <v>0.062</v>
      </c>
      <c r="CX27" s="6">
        <v>0.437491679273828</v>
      </c>
      <c r="CY27" s="9">
        <v>50</v>
      </c>
      <c r="CZ27" s="7">
        <f>IFERROR(CR27/F27,0)</f>
        <v>-0.024455077086656063</v>
      </c>
      <c r="DA27" t="inlineStr">
        <is>
          <t xml:space="preserve">Lease cash / margin / financing</t>
        </is>
      </c>
      <c r="DB27" t="inlineStr">
        <is>
          <t xml:space="preserve">cash</t>
        </is>
      </c>
      <c r="DC27" t="inlineStr">
        <is>
          <t xml:space="preserve">lease</t>
        </is>
      </c>
      <c r="DD27" t="inlineStr">
        <is>
          <t xml:space="preserve">cash</t>
        </is>
      </c>
      <c r="DE27"/>
      <c r="DF27" s="4">
        <v>1</v>
      </c>
      <c r="DG27" s="4">
        <v>1</v>
      </c>
      <c r="DH27" s="4">
        <v>0</v>
      </c>
      <c r="DI27" s="6"/>
      <c r="DJ27" s="4">
        <v>0</v>
      </c>
      <c r="DK27" s="4">
        <v>0</v>
      </c>
      <c r="DL27" s="4">
        <v>-0.02521082556766515</v>
      </c>
      <c r="DM27" s="4">
        <v>0</v>
      </c>
      <c r="DN27" s="4">
        <v>-0.02521082556766515</v>
      </c>
      <c r="DO27" s="4">
        <v>1.983</v>
      </c>
      <c r="DP27" s="4">
        <v>1.922</v>
      </c>
      <c r="DQ27" s="6"/>
      <c r="DR27" s="6"/>
      <c r="DS27" s="6"/>
      <c r="DT27" s="9"/>
      <c r="DU27" s="7">
        <f>IFERROR(DM27/F27,0)</f>
        <v>0</v>
      </c>
      <c r="DV27" t="inlineStr">
        <is>
          <t xml:space="preserve">Keep cash / margin / financing</t>
        </is>
      </c>
      <c r="DW27" t="inlineStr">
        <is>
          <t xml:space="preserve">cash</t>
        </is>
      </c>
      <c r="DX27" t="inlineStr">
        <is>
          <t xml:space="preserve">keep</t>
        </is>
      </c>
      <c r="DY27" t="inlineStr">
        <is>
          <t xml:space="preserve">cash</t>
        </is>
      </c>
      <c r="DZ27"/>
      <c r="EA27" s="4">
        <v>1</v>
      </c>
      <c r="EB27" s="4">
        <v>1</v>
      </c>
      <c r="EC27" s="4">
        <v>0</v>
      </c>
      <c r="ED27" s="6"/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1.983</v>
      </c>
      <c r="EK27" s="4">
        <v>1.922</v>
      </c>
      <c r="EL27" s="6"/>
      <c r="EM27" s="6"/>
      <c r="EN27" s="6"/>
      <c r="EO27" s="9"/>
      <c r="EP27" s="7">
        <f>IFERROR(EH27/F27,0)</f>
        <v>0</v>
      </c>
      <c r="EQ27"/>
      <c r="ER27"/>
      <c r="ES27"/>
      <c r="ET27"/>
      <c r="EU27"/>
      <c r="EV27" s="4"/>
      <c r="EW27" s="4"/>
      <c r="EX27" s="4"/>
      <c r="EY27" s="6"/>
      <c r="EZ27" s="4"/>
      <c r="FA27" s="4"/>
      <c r="FB27" s="4"/>
      <c r="FC27" s="4"/>
      <c r="FD27" s="4"/>
      <c r="FE27" s="4"/>
      <c r="FF27" s="4"/>
      <c r="FG27" s="6"/>
      <c r="FH27" s="6"/>
      <c r="FI27" s="6"/>
      <c r="FJ27" s="9"/>
      <c r="FK27"/>
      <c r="FL27"/>
      <c r="FM27"/>
      <c r="FN27"/>
      <c r="FO27"/>
      <c r="FP27"/>
      <c r="FQ27" s="4"/>
      <c r="FR27" s="4"/>
      <c r="FS27" s="4"/>
      <c r="FT27" s="6"/>
      <c r="FU27" s="4"/>
      <c r="FV27" s="4"/>
      <c r="FW27" s="4"/>
      <c r="FX27" s="4"/>
      <c r="FY27" s="4"/>
      <c r="FZ27" s="4"/>
      <c r="GA27" s="4"/>
      <c r="GB27" s="6"/>
      <c r="GC27" s="6"/>
      <c r="GD27" s="6"/>
      <c r="GE27" s="9"/>
      <c r="GF27"/>
      <c r="GG27"/>
      <c r="GH27"/>
      <c r="GI27"/>
      <c r="GJ27"/>
      <c r="GK27"/>
      <c r="GL27" s="4"/>
      <c r="GM27" s="4"/>
      <c r="GN27" s="4"/>
      <c r="GO27" s="6"/>
      <c r="GP27" s="4"/>
      <c r="GQ27" s="4"/>
      <c r="GR27" s="4"/>
      <c r="GS27" s="4"/>
      <c r="GT27" s="4"/>
      <c r="GU27" s="4"/>
      <c r="GV27" s="4"/>
      <c r="GW27" s="6"/>
      <c r="GX27" s="6"/>
      <c r="GY27" s="6"/>
      <c r="GZ27" s="9"/>
      <c r="HA27"/>
      <c r="HB27"/>
      <c r="HC27"/>
      <c r="HD27"/>
      <c r="HE27"/>
      <c r="HF27"/>
      <c r="HG27" s="4"/>
      <c r="HH27" s="4"/>
      <c r="HI27" s="4"/>
      <c r="HJ27" s="6"/>
      <c r="HK27" s="4"/>
      <c r="HL27" s="4"/>
      <c r="HM27" s="4"/>
      <c r="HN27" s="4"/>
      <c r="HO27" s="4"/>
      <c r="HP27" s="4"/>
      <c r="HQ27" s="4"/>
      <c r="HR27" s="6"/>
      <c r="HS27" s="6"/>
      <c r="HT27" s="6"/>
      <c r="HU27" s="9"/>
      <c r="HV27"/>
      <c r="HW27"/>
      <c r="HX27"/>
      <c r="HY27"/>
      <c r="HZ27"/>
      <c r="IA27"/>
      <c r="IB27" s="4"/>
      <c r="IC27" s="4"/>
      <c r="ID27" s="4"/>
      <c r="IE27" s="6"/>
      <c r="IF27" s="4"/>
      <c r="IG27" s="4"/>
      <c r="IH27" s="4"/>
      <c r="II27" s="4"/>
      <c r="IJ27" s="4"/>
      <c r="IK27" s="4"/>
      <c r="IL27" s="4"/>
      <c r="IM27" s="6"/>
      <c r="IN27" s="6"/>
      <c r="IO27" s="6"/>
      <c r="IP27" s="9"/>
      <c r="IQ27"/>
      <c r="IR27"/>
      <c r="IS27"/>
      <c r="IT27"/>
      <c r="IU27"/>
      <c r="IV27"/>
      <c r="IW27" s="4"/>
      <c r="IX27" s="4"/>
      <c r="IY27" s="4"/>
      <c r="IZ27" s="6"/>
      <c r="JA27" s="4"/>
      <c r="JB27" s="4"/>
      <c r="JC27" s="4"/>
      <c r="JD27" s="4"/>
      <c r="JE27" s="4"/>
      <c r="JF27" s="4"/>
      <c r="JG27" s="4"/>
      <c r="JH27" s="6"/>
      <c r="JI27" s="6"/>
      <c r="JJ27" s="6"/>
      <c r="JK27" s="9"/>
      <c r="JL27"/>
    </row>
    <row r="28">
      <c r="A28" s="8">
        <v>25240</v>
      </c>
      <c r="B28" s="8">
        <v>25241</v>
      </c>
      <c r="C28" s="9">
        <f>B28-A28</f>
        <v>1</v>
      </c>
      <c r="D28" s="8">
        <v>25240</v>
      </c>
      <c r="E28" t="inlineStr">
        <is>
          <t xml:space="preserve">positive</t>
        </is>
      </c>
      <c r="F28" s="4">
        <v>1.0058678279620148</v>
      </c>
      <c r="G28" s="6">
        <v>0.00016986301369863014</v>
      </c>
      <c r="H28" s="7">
        <f>SUM(CE28,CZ28,DU28,EP28,FK28,GF28,HA28,HV28,IQ28,JL28)</f>
        <v>0.00016986301369863014</v>
      </c>
      <c r="I28" s="7">
        <f>G28-H28</f>
        <v>0</v>
      </c>
      <c r="J28" s="5">
        <f>F28*(1+H28)</f>
        <v>1.0060386877026548</v>
      </c>
      <c r="K28" s="4">
        <v>1.0060386877026548</v>
      </c>
      <c r="L28" s="5">
        <f>K28-J28</f>
        <v>0</v>
      </c>
      <c r="M28" s="4">
        <v>1.922</v>
      </c>
      <c r="N28" s="4">
        <v>1.885</v>
      </c>
      <c r="O28" s="5">
        <f>M28/$M$3</f>
        <v>0.9816138917262512</v>
      </c>
      <c r="P28" s="5">
        <f>N28/$M$3</f>
        <v>0.9627170582226762</v>
      </c>
      <c r="Q28" s="7">
        <f>IFERROR(N28/M28-1,0)</f>
        <v>-0.019250780437044757</v>
      </c>
      <c r="R28" s="5">
        <f>SUM(IF(BM28="lease",BU28,0),IF(CH28="lease",CP28,0),IF(DC28="lease",DK28,0),IF(DX28="lease",EF28,0),IF(ES28="lease",FA28,0),IF(FN28="lease",FV28,0),IF(GI28="lease",GQ28,0),IF(HD28="lease",HL28,0),IF(HY28="lease",IG28,0),IF(IT28="lease",JB28,0))</f>
        <v>1.005867827962015</v>
      </c>
      <c r="S28" s="5">
        <f>SUM(IF(BM28="lease",BV28,0),IF(CH28="lease",CQ28,0),IF(DC28="lease",DL28,0),IF(DX28="lease",EG28,0),IF(ES28="lease",FB28,0),IF(FN28="lease",FW28,0),IF(GI28="lease",GR28,0),IF(HD28="lease",HM28,0),IF(HY28="lease",IH28,0),IF(IT28="lease",JC28,0))</f>
        <v>1.006038687702655</v>
      </c>
      <c r="T28" s="5">
        <f>SUM(IF(BM28="keep",BU28,0),IF(CH28="keep",CP28,0),IF(DC28="keep",DK28,0),IF(DX28="keep",EF28,0),IF(ES28="keep",FA28,0),IF(FN28="keep",FV28,0),IF(GI28="keep",GQ28,0),IF(HD28="keep",HL28,0),IF(HY28="keep",IG28,0),IF(IT28="keep",JB28,0))</f>
        <v>0</v>
      </c>
      <c r="U28" s="5">
        <f>SUM(IF(BM28="keep",BV28,0),IF(CH28="keep",CQ28,0),IF(DC28="keep",DL28,0),IF(DX28="keep",EG28,0),IF(ES28="keep",FB28,0),IF(FN28="keep",FW28,0),IF(GI28="keep",GR28,0),IF(HD28="keep",HM28,0),IF(HY28="keep",IH28,0),IF(IT28="keep",JC28,0))</f>
        <v>0</v>
      </c>
      <c r="V28" s="5">
        <f>R28/O28</f>
        <v>1.0247082243234265</v>
      </c>
      <c r="W28" s="5">
        <f>S28/P28</f>
        <v>1.0449993371468427</v>
      </c>
      <c r="X28" s="5">
        <f>T28/O28</f>
        <v>0</v>
      </c>
      <c r="Y28" s="5">
        <f>U28/P28</f>
        <v>0</v>
      </c>
      <c r="Z28" s="5">
        <f>V28+X28</f>
        <v>1.0247082243234265</v>
      </c>
      <c r="AA28" s="7">
        <f>IFERROR(W28/V28-1,0)</f>
        <v>0.019801844409723213</v>
      </c>
      <c r="AB28" s="7">
        <f>IFERROR((W28-V28)/Z28,0)</f>
        <v>0.019801844409723195</v>
      </c>
      <c r="AC28" s="7">
        <f>IFERROR(Y28/X28-1,0)</f>
        <v>0</v>
      </c>
      <c r="AD28" s="7">
        <f>IFERROR((Y28-X28)/Z28,0)</f>
        <v>0</v>
      </c>
      <c r="AE28" s="7">
        <f>AB28+AD28</f>
        <v>0.019801844409723195</v>
      </c>
      <c r="AF28" s="7">
        <f>(1+Q28)*(1+AE28)-1</f>
        <v>0.0001698630136983681</v>
      </c>
      <c r="AG28" s="7">
        <f>G28-AF28</f>
        <v>2.620516650897464e-16</v>
      </c>
      <c r="AH28" s="5">
        <f>SUM(IF(BM28="lease",BW28,0),IF(CH28="lease",CR28,0),IF(DC28="lease",DM28,0),IF(DX28="lease",EH28,0),IF(ES28="lease",FC28,0),IF(FN28="lease",FX28,0),IF(GI28="lease",GS28,0),IF(HD28="lease",HN28,0),IF(HY28="lease",II28,0),IF(IT28="lease",JD28,0))</f>
        <v>0.00017085974064012306</v>
      </c>
      <c r="AI28" s="5">
        <f>SUM(IF(BM28="keep",BW28,0),IF(CH28="keep",CR28,0),IF(DC28="keep",DM28,0),IF(DX28="keep",EH28,0),IF(ES28="keep",FC28,0),IF(FN28="keep",FX28,0),IF(GI28="keep",GS28,0),IF(HD28="keep",HN28,0),IF(HY28="keep",II28,0),IF(IT28="keep",JD28,0))</f>
        <v>0</v>
      </c>
      <c r="AJ28" s="5">
        <f>SUM(IF(BM28="lease",BX28,0),IF(CH28="lease",CS28,0),IF(DC28="lease",DN28,0),IF(DX28="lease",EI28,0),IF(ES28="lease",FD28,0),IF(FN28="lease",FY28,0),IF(GI28="lease",GT28,0),IF(HD28="lease",HO28,0),IF(HY28="lease",IJ28,0),IF(IT28="lease",JE28,0))</f>
        <v>0</v>
      </c>
      <c r="AK28" s="5">
        <f>SUM(IF(BM28="keep",BX28,0),IF(CH28="keep",CS28,0),IF(DC28="keep",DN28,0),IF(DX28="keep",EI28,0),IF(ES28="keep",FD28,0),IF(FN28="keep",FY28,0),IF(GI28="keep",GT28,0),IF(HD28="keep",HO28,0),IF(HY28="keep",IJ28,0),IF(IT28="keep",JE28,0))</f>
        <v>0</v>
      </c>
      <c r="AL28" s="5">
        <f>R28-S27</f>
        <v>0</v>
      </c>
      <c r="AM28" s="5">
        <f>T28-U27</f>
        <v>0</v>
      </c>
      <c r="AN28" s="5">
        <f>AN27</f>
        <v>1</v>
      </c>
      <c r="AO28" s="5">
        <f>AO27+AH28</f>
        <v>0.006038687702655291</v>
      </c>
      <c r="AP28" s="5">
        <f>AP27+AL28</f>
        <v>-2.220446049250313e-16</v>
      </c>
      <c r="AQ28" s="5">
        <f>AN28+AO28+AP28</f>
        <v>1.006038687702655</v>
      </c>
      <c r="AR28" s="5">
        <f>S28-AQ28</f>
        <v>0</v>
      </c>
      <c r="AS28" s="5">
        <f>AS27</f>
        <v>0</v>
      </c>
      <c r="AT28" s="5">
        <f>AT27+AI28</f>
        <v>0</v>
      </c>
      <c r="AU28" s="5">
        <f>AU27+AM28</f>
        <v>0</v>
      </c>
      <c r="AV28" s="5">
        <f>AS28+AT28+AU28</f>
        <v>0</v>
      </c>
      <c r="AW28" s="5">
        <f>U28-AV28</f>
        <v>0</v>
      </c>
      <c r="AX28" s="4">
        <v>1.005867827962015</v>
      </c>
      <c r="AY28" s="4">
        <v>1.006038687702655</v>
      </c>
      <c r="AZ28" s="5">
        <f>S28-AY28</f>
        <v>0</v>
      </c>
      <c r="BA28" s="4">
        <v>0</v>
      </c>
      <c r="BB28" s="4">
        <v>0</v>
      </c>
      <c r="BC28" s="5">
        <f>U28-BB28</f>
        <v>0</v>
      </c>
      <c r="BD28" s="7">
        <f>SUM(IF(BL28="direct",CE28,0),IF(CG28="direct",CZ28,0),IF(DB28="direct",DU28,0),IF(DW28="direct",EP28,0),IF(ER28="direct",FK28,0),IF(FM28="direct",GF28,0),IF(GH28="direct",HA28,0),IF(HC28="direct",HV28,0),IF(HX28="direct",IQ28,0),IF(IS28="direct",JL28,0))</f>
        <v>0</v>
      </c>
      <c r="BE28" s="7">
        <f>SUM(IF(BL28="treasury",CE28,0),IF(CG28="treasury",CZ28,0),IF(DB28="treasury",DU28,0),IF(DW28="treasury",EP28,0),IF(ER28="treasury",FK28,0),IF(FM28="treasury",GF28,0),IF(GH28="treasury",HA28,0),IF(HC28="treasury",HV28,0),IF(HX28="treasury",IQ28,0),IF(IS28="treasury",JL28,0))</f>
        <v>0.00016986301369863014</v>
      </c>
      <c r="BF28" s="7">
        <f>SUM(IF(BL28="future",CE28,0),IF(CG28="future",CZ28,0),IF(DB28="future",DU28,0),IF(DW28="future",EP28,0),IF(ER28="future",FK28,0),IF(FM28="future",GF28,0),IF(GH28="future",HA28,0),IF(HC28="future",HV28,0),IF(HX28="future",IQ28,0),IF(IS28="future",JL28,0))</f>
        <v>0</v>
      </c>
      <c r="BG28" s="7">
        <f>SUM(IF(BL28="cash",CE28,0),IF(CG28="cash",CZ28,0),IF(DB28="cash",DU28,0),IF(DW28="cash",EP28,0),IF(ER28="cash",FK28,0),IF(FM28="cash",GF28,0),IF(GH28="cash",HA28,0),IF(HC28="cash",HV28,0),IF(HX28="cash",IQ28,0),IF(IS28="cash",JL28,0))</f>
        <v>0</v>
      </c>
      <c r="BH28" s="7">
        <f>SUM(BD28:BG28)</f>
        <v>0.00016986301369863014</v>
      </c>
      <c r="BI28" s="7">
        <f>G28-BH28</f>
        <v>0</v>
      </c>
      <c r="BJ28" s="9">
        <f>COUNTA(BK28,CF28,DA28,DV28,EQ28,FL28,GG28,HB28,HW28,IR28)</f>
        <v>4</v>
      </c>
      <c r="BK28" t="inlineStr">
        <is>
          <t xml:space="preserve">Treasury collateral</t>
        </is>
      </c>
      <c r="BL28" t="inlineStr">
        <is>
          <t xml:space="preserve">treasury</t>
        </is>
      </c>
      <c r="BM28" t="inlineStr">
        <is>
          <t xml:space="preserve">lease</t>
        </is>
      </c>
      <c r="BN28" t="inlineStr">
        <is>
          <t xml:space="preserve">long</t>
        </is>
      </c>
      <c r="BO28"/>
      <c r="BP28" s="4">
        <v>100.59071445441641</v>
      </c>
      <c r="BQ28" s="4">
        <v>100.60780109632373</v>
      </c>
      <c r="BR28" s="4">
        <v>0.009999609143027142</v>
      </c>
      <c r="BS28" s="6">
        <v>1</v>
      </c>
      <c r="BT28" s="4">
        <v>1.0058678279620148</v>
      </c>
      <c r="BU28" s="4">
        <v>1.0058678279620148</v>
      </c>
      <c r="BV28" s="4">
        <v>1.0060386877026548</v>
      </c>
      <c r="BW28" s="4">
        <v>0.00017085974064012306</v>
      </c>
      <c r="BX28" s="4">
        <v>-1.0608918257770661e-16</v>
      </c>
      <c r="BY28" s="4">
        <v>1.922</v>
      </c>
      <c r="BZ28" s="4">
        <v>1.885</v>
      </c>
      <c r="CA28" s="6"/>
      <c r="CB28" s="6"/>
      <c r="CC28" s="6"/>
      <c r="CD28" s="9">
        <v>49</v>
      </c>
      <c r="CE28" s="7">
        <f>IFERROR(BW28/F28,0)</f>
        <v>0.00016986301369863014</v>
      </c>
      <c r="CF28" t="inlineStr">
        <is>
          <t xml:space="preserve">SI69H</t>
        </is>
      </c>
      <c r="CG28" t="inlineStr">
        <is>
          <t xml:space="preserve">future</t>
        </is>
      </c>
      <c r="CH28" t="inlineStr">
        <is>
          <t xml:space="preserve">lease</t>
        </is>
      </c>
      <c r="CI28" t="inlineStr">
        <is>
          <t xml:space="preserve">long</t>
        </is>
      </c>
      <c r="CJ28" t="inlineStr">
        <is>
          <t xml:space="preserve">regular</t>
        </is>
      </c>
      <c r="CK28" s="4">
        <v>1.835</v>
      </c>
      <c r="CL28" s="4">
        <v>1.835</v>
      </c>
      <c r="CM28" s="4">
        <v>0.5481568544752125</v>
      </c>
      <c r="CN28" s="6">
        <v>1</v>
      </c>
      <c r="CO28" s="4">
        <v>1.0058678279620148</v>
      </c>
      <c r="CP28" s="4">
        <v>0</v>
      </c>
      <c r="CQ28" s="4">
        <v>0</v>
      </c>
      <c r="CR28" s="4">
        <v>0</v>
      </c>
      <c r="CS28" s="4">
        <v>0</v>
      </c>
      <c r="CT28" s="4">
        <v>1.922</v>
      </c>
      <c r="CU28" s="4">
        <v>1.885</v>
      </c>
      <c r="CV28" s="6">
        <v>-0.04526534859521325</v>
      </c>
      <c r="CW28" s="6">
        <v>0.062</v>
      </c>
      <c r="CX28" s="6">
        <v>0.39918065790311913</v>
      </c>
      <c r="CY28" s="9">
        <v>49</v>
      </c>
      <c r="CZ28" s="7">
        <f>IFERROR(CR28/F28,0)</f>
        <v>0</v>
      </c>
      <c r="DA28" t="inlineStr">
        <is>
          <t xml:space="preserve">Lease cash / margin / financing</t>
        </is>
      </c>
      <c r="DB28" t="inlineStr">
        <is>
          <t xml:space="preserve">cash</t>
        </is>
      </c>
      <c r="DC28" t="inlineStr">
        <is>
          <t xml:space="preserve">lease</t>
        </is>
      </c>
      <c r="DD28" t="inlineStr">
        <is>
          <t xml:space="preserve">cash</t>
        </is>
      </c>
      <c r="DE28"/>
      <c r="DF28" s="4">
        <v>1</v>
      </c>
      <c r="DG28" s="4">
        <v>1</v>
      </c>
      <c r="DH28" s="4">
        <v>2.220446049250313e-16</v>
      </c>
      <c r="DI28" s="6"/>
      <c r="DJ28" s="4">
        <v>2.220446049250313e-16</v>
      </c>
      <c r="DK28" s="4">
        <v>2.220446049250313e-16</v>
      </c>
      <c r="DL28" s="4">
        <v>3.281337875027379e-16</v>
      </c>
      <c r="DM28" s="4">
        <v>0</v>
      </c>
      <c r="DN28" s="4">
        <v>1.0608918257770661e-16</v>
      </c>
      <c r="DO28" s="4">
        <v>1.922</v>
      </c>
      <c r="DP28" s="4">
        <v>1.885</v>
      </c>
      <c r="DQ28" s="6"/>
      <c r="DR28" s="6"/>
      <c r="DS28" s="6"/>
      <c r="DT28" s="9"/>
      <c r="DU28" s="7">
        <f>IFERROR(DM28/F28,0)</f>
        <v>0</v>
      </c>
      <c r="DV28" t="inlineStr">
        <is>
          <t xml:space="preserve">Keep cash / margin / financing</t>
        </is>
      </c>
      <c r="DW28" t="inlineStr">
        <is>
          <t xml:space="preserve">cash</t>
        </is>
      </c>
      <c r="DX28" t="inlineStr">
        <is>
          <t xml:space="preserve">keep</t>
        </is>
      </c>
      <c r="DY28" t="inlineStr">
        <is>
          <t xml:space="preserve">cash</t>
        </is>
      </c>
      <c r="DZ28"/>
      <c r="EA28" s="4">
        <v>1</v>
      </c>
      <c r="EB28" s="4">
        <v>1</v>
      </c>
      <c r="EC28" s="4">
        <v>0</v>
      </c>
      <c r="ED28" s="6"/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1.922</v>
      </c>
      <c r="EK28" s="4">
        <v>1.885</v>
      </c>
      <c r="EL28" s="6"/>
      <c r="EM28" s="6"/>
      <c r="EN28" s="6"/>
      <c r="EO28" s="9"/>
      <c r="EP28" s="7">
        <f>IFERROR(EH28/F28,0)</f>
        <v>0</v>
      </c>
      <c r="EQ28"/>
      <c r="ER28"/>
      <c r="ES28"/>
      <c r="ET28"/>
      <c r="EU28"/>
      <c r="EV28" s="4"/>
      <c r="EW28" s="4"/>
      <c r="EX28" s="4"/>
      <c r="EY28" s="6"/>
      <c r="EZ28" s="4"/>
      <c r="FA28" s="4"/>
      <c r="FB28" s="4"/>
      <c r="FC28" s="4"/>
      <c r="FD28" s="4"/>
      <c r="FE28" s="4"/>
      <c r="FF28" s="4"/>
      <c r="FG28" s="6"/>
      <c r="FH28" s="6"/>
      <c r="FI28" s="6"/>
      <c r="FJ28" s="9"/>
      <c r="FK28"/>
      <c r="FL28"/>
      <c r="FM28"/>
      <c r="FN28"/>
      <c r="FO28"/>
      <c r="FP28"/>
      <c r="FQ28" s="4"/>
      <c r="FR28" s="4"/>
      <c r="FS28" s="4"/>
      <c r="FT28" s="6"/>
      <c r="FU28" s="4"/>
      <c r="FV28" s="4"/>
      <c r="FW28" s="4"/>
      <c r="FX28" s="4"/>
      <c r="FY28" s="4"/>
      <c r="FZ28" s="4"/>
      <c r="GA28" s="4"/>
      <c r="GB28" s="6"/>
      <c r="GC28" s="6"/>
      <c r="GD28" s="6"/>
      <c r="GE28" s="9"/>
      <c r="GF28"/>
      <c r="GG28"/>
      <c r="GH28"/>
      <c r="GI28"/>
      <c r="GJ28"/>
      <c r="GK28"/>
      <c r="GL28" s="4"/>
      <c r="GM28" s="4"/>
      <c r="GN28" s="4"/>
      <c r="GO28" s="6"/>
      <c r="GP28" s="4"/>
      <c r="GQ28" s="4"/>
      <c r="GR28" s="4"/>
      <c r="GS28" s="4"/>
      <c r="GT28" s="4"/>
      <c r="GU28" s="4"/>
      <c r="GV28" s="4"/>
      <c r="GW28" s="6"/>
      <c r="GX28" s="6"/>
      <c r="GY28" s="6"/>
      <c r="GZ28" s="9"/>
      <c r="HA28"/>
      <c r="HB28"/>
      <c r="HC28"/>
      <c r="HD28"/>
      <c r="HE28"/>
      <c r="HF28"/>
      <c r="HG28" s="4"/>
      <c r="HH28" s="4"/>
      <c r="HI28" s="4"/>
      <c r="HJ28" s="6"/>
      <c r="HK28" s="4"/>
      <c r="HL28" s="4"/>
      <c r="HM28" s="4"/>
      <c r="HN28" s="4"/>
      <c r="HO28" s="4"/>
      <c r="HP28" s="4"/>
      <c r="HQ28" s="4"/>
      <c r="HR28" s="6"/>
      <c r="HS28" s="6"/>
      <c r="HT28" s="6"/>
      <c r="HU28" s="9"/>
      <c r="HV28"/>
      <c r="HW28"/>
      <c r="HX28"/>
      <c r="HY28"/>
      <c r="HZ28"/>
      <c r="IA28"/>
      <c r="IB28" s="4"/>
      <c r="IC28" s="4"/>
      <c r="ID28" s="4"/>
      <c r="IE28" s="6"/>
      <c r="IF28" s="4"/>
      <c r="IG28" s="4"/>
      <c r="IH28" s="4"/>
      <c r="II28" s="4"/>
      <c r="IJ28" s="4"/>
      <c r="IK28" s="4"/>
      <c r="IL28" s="4"/>
      <c r="IM28" s="6"/>
      <c r="IN28" s="6"/>
      <c r="IO28" s="6"/>
      <c r="IP28" s="9"/>
      <c r="IQ28"/>
      <c r="IR28"/>
      <c r="IS28"/>
      <c r="IT28"/>
      <c r="IU28"/>
      <c r="IV28"/>
      <c r="IW28" s="4"/>
      <c r="IX28" s="4"/>
      <c r="IY28" s="4"/>
      <c r="IZ28" s="6"/>
      <c r="JA28" s="4"/>
      <c r="JB28" s="4"/>
      <c r="JC28" s="4"/>
      <c r="JD28" s="4"/>
      <c r="JE28" s="4"/>
      <c r="JF28" s="4"/>
      <c r="JG28" s="4"/>
      <c r="JH28" s="6"/>
      <c r="JI28" s="6"/>
      <c r="JJ28" s="6"/>
      <c r="JK28" s="9"/>
      <c r="JL28"/>
    </row>
    <row r="29">
      <c r="A29" s="8">
        <v>25241</v>
      </c>
      <c r="B29" s="8">
        <v>25245</v>
      </c>
      <c r="C29" s="9">
        <f>B29-A29</f>
        <v>4</v>
      </c>
      <c r="D29" s="8">
        <v>25241</v>
      </c>
      <c r="E29" t="inlineStr">
        <is>
          <t xml:space="preserve">positive</t>
        </is>
      </c>
      <c r="F29" s="4">
        <v>1.0060386877026548</v>
      </c>
      <c r="G29" s="6">
        <v>0.0017638908588705324</v>
      </c>
      <c r="H29" s="7">
        <f>SUM(CE29,CZ29,DU29,EP29,FK29,GF29,HA29,HV29,IQ29,JL29)</f>
        <v>0.0017638908588705324</v>
      </c>
      <c r="I29" s="7">
        <f>G29-H29</f>
        <v>0</v>
      </c>
      <c r="J29" s="5">
        <f>F29*(1+H29)</f>
        <v>1.0078132301475637</v>
      </c>
      <c r="K29" s="4">
        <v>1.0078132301475637</v>
      </c>
      <c r="L29" s="5">
        <f>K29-J29</f>
        <v>0</v>
      </c>
      <c r="M29" s="4">
        <v>1.885</v>
      </c>
      <c r="N29" s="4">
        <v>1.883</v>
      </c>
      <c r="O29" s="5">
        <f>M29/$M$3</f>
        <v>0.9627170582226762</v>
      </c>
      <c r="P29" s="5">
        <f>N29/$M$3</f>
        <v>0.9616956077630235</v>
      </c>
      <c r="Q29" s="7">
        <f>IFERROR(N29/M29-1,0)</f>
        <v>-0.001061007957559701</v>
      </c>
      <c r="R29" s="5">
        <f>SUM(IF(BM29="lease",BU29,0),IF(CH29="lease",CP29,0),IF(DC29="lease",DK29,0),IF(DX29="lease",EF29,0),IF(ES29="lease",FA29,0),IF(FN29="lease",FV29,0),IF(GI29="lease",GQ29,0),IF(HD29="lease",HL29,0),IF(HY29="lease",IG29,0),IF(IT29="lease",JB29,0))</f>
        <v>1.006038687702655</v>
      </c>
      <c r="S29" s="5">
        <f>SUM(IF(BM29="lease",BV29,0),IF(CH29="lease",CQ29,0),IF(DC29="lease",DL29,0),IF(DX29="lease",EG29,0),IF(ES29="lease",FB29,0),IF(FN29="lease",FW29,0),IF(GI29="lease",GR29,0),IF(HD29="lease",HM29,0),IF(HY29="lease",IH29,0),IF(IT29="lease",JC29,0))</f>
        <v>1.0078132301475637</v>
      </c>
      <c r="T29" s="5">
        <f>SUM(IF(BM29="keep",BU29,0),IF(CH29="keep",CP29,0),IF(DC29="keep",DK29,0),IF(DX29="keep",EF29,0),IF(ES29="keep",FA29,0),IF(FN29="keep",FV29,0),IF(GI29="keep",GQ29,0),IF(HD29="keep",HL29,0),IF(HY29="keep",IG29,0),IF(IT29="keep",JB29,0))</f>
        <v>0</v>
      </c>
      <c r="U29" s="5">
        <f>SUM(IF(BM29="keep",BV29,0),IF(CH29="keep",CQ29,0),IF(DC29="keep",DL29,0),IF(DX29="keep",EG29,0),IF(ES29="keep",FB29,0),IF(FN29="keep",FW29,0),IF(GI29="keep",GR29,0),IF(HD29="keep",HM29,0),IF(HY29="keep",IH29,0),IF(IT29="keep",JC29,0))</f>
        <v>0</v>
      </c>
      <c r="V29" s="5">
        <f>R29/O29</f>
        <v>1.0449993371468427</v>
      </c>
      <c r="W29" s="5">
        <f>S29/P29</f>
        <v>1.047954489978189</v>
      </c>
      <c r="X29" s="5">
        <f>T29/O29</f>
        <v>0</v>
      </c>
      <c r="Y29" s="5">
        <f>U29/P29</f>
        <v>0</v>
      </c>
      <c r="Z29" s="5">
        <f>V29+X29</f>
        <v>1.0449993371468427</v>
      </c>
      <c r="AA29" s="7">
        <f>IFERROR(W29/V29-1,0)</f>
        <v>0.002827899240027021</v>
      </c>
      <c r="AB29" s="7">
        <f>IFERROR((W29-V29)/Z29,0)</f>
        <v>0.0028278992400270105</v>
      </c>
      <c r="AC29" s="7">
        <f>IFERROR(Y29/X29-1,0)</f>
        <v>0</v>
      </c>
      <c r="AD29" s="7">
        <f>IFERROR((Y29-X29)/Z29,0)</f>
        <v>0</v>
      </c>
      <c r="AE29" s="7">
        <f>AB29+AD29</f>
        <v>0.0028278992400270105</v>
      </c>
      <c r="AF29" s="7">
        <f>(1+Q29)*(1+AE29)-1</f>
        <v>0.0017638908588704094</v>
      </c>
      <c r="AG29" s="7">
        <f>G29-AF29</f>
        <v>1.229485263598562e-16</v>
      </c>
      <c r="AH29" s="5">
        <f>SUM(IF(BM29="lease",BW29,0),IF(CH29="lease",CR29,0),IF(DC29="lease",DM29,0),IF(DX29="lease",EH29,0),IF(ES29="lease",FC29,0),IF(FN29="lease",FX29,0),IF(GI29="lease",GS29,0),IF(HD29="lease",HN29,0),IF(HY29="lease",II29,0),IF(IT29="lease",JD29,0))</f>
        <v>0.001774542444908819</v>
      </c>
      <c r="AI29" s="5">
        <f>SUM(IF(BM29="keep",BW29,0),IF(CH29="keep",CR29,0),IF(DC29="keep",DM29,0),IF(DX29="keep",EH29,0),IF(ES29="keep",FC29,0),IF(FN29="keep",FX29,0),IF(GI29="keep",GS29,0),IF(HD29="keep",HN29,0),IF(HY29="keep",II29,0),IF(IT29="keep",JD29,0))</f>
        <v>0</v>
      </c>
      <c r="AJ29" s="5">
        <f>SUM(IF(BM29="lease",BX29,0),IF(CH29="lease",CS29,0),IF(DC29="lease",DN29,0),IF(DX29="lease",EI29,0),IF(ES29="lease",FD29,0),IF(FN29="lease",FY29,0),IF(GI29="lease",GT29,0),IF(HD29="lease",HO29,0),IF(HY29="lease",IJ29,0),IF(IT29="lease",JE29,0))</f>
        <v>0</v>
      </c>
      <c r="AK29" s="5">
        <f>SUM(IF(BM29="keep",BX29,0),IF(CH29="keep",CS29,0),IF(DC29="keep",DN29,0),IF(DX29="keep",EI29,0),IF(ES29="keep",FD29,0),IF(FN29="keep",FY29,0),IF(GI29="keep",GT29,0),IF(HD29="keep",HO29,0),IF(HY29="keep",IJ29,0),IF(IT29="keep",JE29,0))</f>
        <v>0</v>
      </c>
      <c r="AL29" s="5">
        <f>R29-S28</f>
        <v>0</v>
      </c>
      <c r="AM29" s="5">
        <f>T29-U28</f>
        <v>0</v>
      </c>
      <c r="AN29" s="5">
        <f>AN28</f>
        <v>1</v>
      </c>
      <c r="AO29" s="5">
        <f>AO28+AH29</f>
        <v>0.00781323014756411</v>
      </c>
      <c r="AP29" s="5">
        <f>AP28+AL29</f>
        <v>-2.220446049250313e-16</v>
      </c>
      <c r="AQ29" s="5">
        <f>AN29+AO29+AP29</f>
        <v>1.007813230147564</v>
      </c>
      <c r="AR29" s="5">
        <f>S29-AQ29</f>
        <v>-2.220446049250313e-16</v>
      </c>
      <c r="AS29" s="5">
        <f>AS28</f>
        <v>0</v>
      </c>
      <c r="AT29" s="5">
        <f>AT28+AI29</f>
        <v>0</v>
      </c>
      <c r="AU29" s="5">
        <f>AU28+AM29</f>
        <v>0</v>
      </c>
      <c r="AV29" s="5">
        <f>AS29+AT29+AU29</f>
        <v>0</v>
      </c>
      <c r="AW29" s="5">
        <f>U29-AV29</f>
        <v>0</v>
      </c>
      <c r="AX29" s="4">
        <v>1.006038687702655</v>
      </c>
      <c r="AY29" s="4">
        <v>1.0078132301475637</v>
      </c>
      <c r="AZ29" s="5">
        <f>S29-AY29</f>
        <v>0</v>
      </c>
      <c r="BA29" s="4">
        <v>0</v>
      </c>
      <c r="BB29" s="4">
        <v>0</v>
      </c>
      <c r="BC29" s="5">
        <f>U29-BB29</f>
        <v>0</v>
      </c>
      <c r="BD29" s="7">
        <f>SUM(IF(BL29="direct",CE29,0),IF(CG29="direct",CZ29,0),IF(DB29="direct",DU29,0),IF(DW29="direct",EP29,0),IF(ER29="direct",FK29,0),IF(FM29="direct",GF29,0),IF(GH29="direct",HA29,0),IF(HC29="direct",HV29,0),IF(HX29="direct",IQ29,0),IF(IS29="direct",JL29,0))</f>
        <v>0</v>
      </c>
      <c r="BE29" s="7">
        <f>SUM(IF(BL29="treasury",CE29,0),IF(CG29="treasury",CZ29,0),IF(DB29="treasury",DU29,0),IF(DW29="treasury",EP29,0),IF(ER29="treasury",FK29,0),IF(FM29="treasury",GF29,0),IF(GH29="treasury",HA29,0),IF(HC29="treasury",HV29,0),IF(HX29="treasury",IQ29,0),IF(IS29="treasury",JL29,0))</f>
        <v>0.0006739726027397261</v>
      </c>
      <c r="BF29" s="7">
        <f>SUM(IF(BL29="future",CE29,0),IF(CG29="future",CZ29,0),IF(DB29="future",DU29,0),IF(DW29="future",EP29,0),IF(ER29="future",FK29,0),IF(FM29="future",GF29,0),IF(GH29="future",HA29,0),IF(HC29="future",HV29,0),IF(HX29="future",IQ29,0),IF(IS29="future",JL29,0))</f>
        <v>0.0010899182561308063</v>
      </c>
      <c r="BG29" s="7">
        <f>SUM(IF(BL29="cash",CE29,0),IF(CG29="cash",CZ29,0),IF(DB29="cash",DU29,0),IF(DW29="cash",EP29,0),IF(ER29="cash",FK29,0),IF(FM29="cash",GF29,0),IF(GH29="cash",HA29,0),IF(HC29="cash",HV29,0),IF(HX29="cash",IQ29,0),IF(IS29="cash",JL29,0))</f>
        <v>0</v>
      </c>
      <c r="BH29" s="7">
        <f>SUM(BD29:BG29)</f>
        <v>0.0017638908588705324</v>
      </c>
      <c r="BI29" s="7">
        <f>G29-BH29</f>
        <v>0</v>
      </c>
      <c r="BJ29" s="9">
        <f>COUNTA(BK29,CF29,DA29,DV29,EQ29,FL29,GG29,HB29,HW29,IR29)</f>
        <v>4</v>
      </c>
      <c r="BK29" t="inlineStr">
        <is>
          <t xml:space="preserve">Treasury collateral</t>
        </is>
      </c>
      <c r="BL29" t="inlineStr">
        <is>
          <t xml:space="preserve">treasury</t>
        </is>
      </c>
      <c r="BM29" t="inlineStr">
        <is>
          <t xml:space="preserve">lease</t>
        </is>
      </c>
      <c r="BN29" t="inlineStr">
        <is>
          <t xml:space="preserve">long</t>
        </is>
      </c>
      <c r="BO29"/>
      <c r="BP29" s="4">
        <v>100.60780109632373</v>
      </c>
      <c r="BQ29" s="4">
        <v>100.67560799788455</v>
      </c>
      <c r="BR29" s="4">
        <v>0.009999609143027142</v>
      </c>
      <c r="BS29" s="6">
        <v>1</v>
      </c>
      <c r="BT29" s="4">
        <v>1.0060386877026548</v>
      </c>
      <c r="BU29" s="4">
        <v>1.0060386877026548</v>
      </c>
      <c r="BV29" s="4">
        <v>1.006716730215463</v>
      </c>
      <c r="BW29" s="4">
        <v>0.0006780425128078167</v>
      </c>
      <c r="BX29" s="4">
        <v>3.023839859062072e-16</v>
      </c>
      <c r="BY29" s="4">
        <v>1.885</v>
      </c>
      <c r="BZ29" s="4">
        <v>1.883</v>
      </c>
      <c r="CA29" s="6"/>
      <c r="CB29" s="6"/>
      <c r="CC29" s="6"/>
      <c r="CD29" s="9">
        <v>48</v>
      </c>
      <c r="CE29" s="7">
        <f>IFERROR(BW29/F29,0)</f>
        <v>0.0006739726027397261</v>
      </c>
      <c r="CF29" t="inlineStr">
        <is>
          <t xml:space="preserve">SI69H</t>
        </is>
      </c>
      <c r="CG29" t="inlineStr">
        <is>
          <t xml:space="preserve">future</t>
        </is>
      </c>
      <c r="CH29" t="inlineStr">
        <is>
          <t xml:space="preserve">lease</t>
        </is>
      </c>
      <c r="CI29" t="inlineStr">
        <is>
          <t xml:space="preserve">long</t>
        </is>
      </c>
      <c r="CJ29" t="inlineStr">
        <is>
          <t xml:space="preserve">regular</t>
        </is>
      </c>
      <c r="CK29" s="4">
        <v>1.835</v>
      </c>
      <c r="CL29" s="4">
        <v>1.837</v>
      </c>
      <c r="CM29" s="4">
        <v>0.5482499660504931</v>
      </c>
      <c r="CN29" s="6">
        <v>1</v>
      </c>
      <c r="CO29" s="4">
        <v>1.0060386877026548</v>
      </c>
      <c r="CP29" s="4">
        <v>0</v>
      </c>
      <c r="CQ29" s="4">
        <v>0</v>
      </c>
      <c r="CR29" s="4">
        <v>0.0010964999321010024</v>
      </c>
      <c r="CS29" s="4">
        <v>-0.0010964999321010024</v>
      </c>
      <c r="CT29" s="4">
        <v>1.885</v>
      </c>
      <c r="CU29" s="4">
        <v>1.883</v>
      </c>
      <c r="CV29" s="6">
        <v>-0.02652519893899208</v>
      </c>
      <c r="CW29" s="6">
        <v>0.061500000000000006</v>
      </c>
      <c r="CX29" s="6">
        <v>0.2632020335985856</v>
      </c>
      <c r="CY29" s="9">
        <v>48</v>
      </c>
      <c r="CZ29" s="7">
        <f>IFERROR(CR29/F29,0)</f>
        <v>0.0010899182561308063</v>
      </c>
      <c r="DA29" t="inlineStr">
        <is>
          <t xml:space="preserve">Lease cash / margin / financing</t>
        </is>
      </c>
      <c r="DB29" t="inlineStr">
        <is>
          <t xml:space="preserve">cash</t>
        </is>
      </c>
      <c r="DC29" t="inlineStr">
        <is>
          <t xml:space="preserve">lease</t>
        </is>
      </c>
      <c r="DD29" t="inlineStr">
        <is>
          <t xml:space="preserve">cash</t>
        </is>
      </c>
      <c r="DE29"/>
      <c r="DF29" s="4">
        <v>1</v>
      </c>
      <c r="DG29" s="4">
        <v>1</v>
      </c>
      <c r="DH29" s="4">
        <v>2.220446049250313e-16</v>
      </c>
      <c r="DI29" s="6"/>
      <c r="DJ29" s="4">
        <v>2.220446049250313e-16</v>
      </c>
      <c r="DK29" s="4">
        <v>2.220446049250313e-16</v>
      </c>
      <c r="DL29" s="4">
        <v>0.001096499932100922</v>
      </c>
      <c r="DM29" s="4">
        <v>0</v>
      </c>
      <c r="DN29" s="4">
        <v>0.0010964999321007</v>
      </c>
      <c r="DO29" s="4">
        <v>1.885</v>
      </c>
      <c r="DP29" s="4">
        <v>1.883</v>
      </c>
      <c r="DQ29" s="6"/>
      <c r="DR29" s="6"/>
      <c r="DS29" s="6"/>
      <c r="DT29" s="9"/>
      <c r="DU29" s="7">
        <f>IFERROR(DM29/F29,0)</f>
        <v>0</v>
      </c>
      <c r="DV29" t="inlineStr">
        <is>
          <t xml:space="preserve">Keep cash / margin / financing</t>
        </is>
      </c>
      <c r="DW29" t="inlineStr">
        <is>
          <t xml:space="preserve">cash</t>
        </is>
      </c>
      <c r="DX29" t="inlineStr">
        <is>
          <t xml:space="preserve">keep</t>
        </is>
      </c>
      <c r="DY29" t="inlineStr">
        <is>
          <t xml:space="preserve">cash</t>
        </is>
      </c>
      <c r="DZ29"/>
      <c r="EA29" s="4">
        <v>1</v>
      </c>
      <c r="EB29" s="4">
        <v>1</v>
      </c>
      <c r="EC29" s="4">
        <v>0</v>
      </c>
      <c r="ED29" s="6"/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1.885</v>
      </c>
      <c r="EK29" s="4">
        <v>1.883</v>
      </c>
      <c r="EL29" s="6"/>
      <c r="EM29" s="6"/>
      <c r="EN29" s="6"/>
      <c r="EO29" s="9"/>
      <c r="EP29" s="7">
        <f>IFERROR(EH29/F29,0)</f>
        <v>0</v>
      </c>
      <c r="EQ29"/>
      <c r="ER29"/>
      <c r="ES29"/>
      <c r="ET29"/>
      <c r="EU29"/>
      <c r="EV29" s="4"/>
      <c r="EW29" s="4"/>
      <c r="EX29" s="4"/>
      <c r="EY29" s="6"/>
      <c r="EZ29" s="4"/>
      <c r="FA29" s="4"/>
      <c r="FB29" s="4"/>
      <c r="FC29" s="4"/>
      <c r="FD29" s="4"/>
      <c r="FE29" s="4"/>
      <c r="FF29" s="4"/>
      <c r="FG29" s="6"/>
      <c r="FH29" s="6"/>
      <c r="FI29" s="6"/>
      <c r="FJ29" s="9"/>
      <c r="FK29"/>
      <c r="FL29"/>
      <c r="FM29"/>
      <c r="FN29"/>
      <c r="FO29"/>
      <c r="FP29"/>
      <c r="FQ29" s="4"/>
      <c r="FR29" s="4"/>
      <c r="FS29" s="4"/>
      <c r="FT29" s="6"/>
      <c r="FU29" s="4"/>
      <c r="FV29" s="4"/>
      <c r="FW29" s="4"/>
      <c r="FX29" s="4"/>
      <c r="FY29" s="4"/>
      <c r="FZ29" s="4"/>
      <c r="GA29" s="4"/>
      <c r="GB29" s="6"/>
      <c r="GC29" s="6"/>
      <c r="GD29" s="6"/>
      <c r="GE29" s="9"/>
      <c r="GF29"/>
      <c r="GG29"/>
      <c r="GH29"/>
      <c r="GI29"/>
      <c r="GJ29"/>
      <c r="GK29"/>
      <c r="GL29" s="4"/>
      <c r="GM29" s="4"/>
      <c r="GN29" s="4"/>
      <c r="GO29" s="6"/>
      <c r="GP29" s="4"/>
      <c r="GQ29" s="4"/>
      <c r="GR29" s="4"/>
      <c r="GS29" s="4"/>
      <c r="GT29" s="4"/>
      <c r="GU29" s="4"/>
      <c r="GV29" s="4"/>
      <c r="GW29" s="6"/>
      <c r="GX29" s="6"/>
      <c r="GY29" s="6"/>
      <c r="GZ29" s="9"/>
      <c r="HA29"/>
      <c r="HB29"/>
      <c r="HC29"/>
      <c r="HD29"/>
      <c r="HE29"/>
      <c r="HF29"/>
      <c r="HG29" s="4"/>
      <c r="HH29" s="4"/>
      <c r="HI29" s="4"/>
      <c r="HJ29" s="6"/>
      <c r="HK29" s="4"/>
      <c r="HL29" s="4"/>
      <c r="HM29" s="4"/>
      <c r="HN29" s="4"/>
      <c r="HO29" s="4"/>
      <c r="HP29" s="4"/>
      <c r="HQ29" s="4"/>
      <c r="HR29" s="6"/>
      <c r="HS29" s="6"/>
      <c r="HT29" s="6"/>
      <c r="HU29" s="9"/>
      <c r="HV29"/>
      <c r="HW29"/>
      <c r="HX29"/>
      <c r="HY29"/>
      <c r="HZ29"/>
      <c r="IA29"/>
      <c r="IB29" s="4"/>
      <c r="IC29" s="4"/>
      <c r="ID29" s="4"/>
      <c r="IE29" s="6"/>
      <c r="IF29" s="4"/>
      <c r="IG29" s="4"/>
      <c r="IH29" s="4"/>
      <c r="II29" s="4"/>
      <c r="IJ29" s="4"/>
      <c r="IK29" s="4"/>
      <c r="IL29" s="4"/>
      <c r="IM29" s="6"/>
      <c r="IN29" s="6"/>
      <c r="IO29" s="6"/>
      <c r="IP29" s="9"/>
      <c r="IQ29"/>
      <c r="IR29"/>
      <c r="IS29"/>
      <c r="IT29"/>
      <c r="IU29"/>
      <c r="IV29"/>
      <c r="IW29" s="4"/>
      <c r="IX29" s="4"/>
      <c r="IY29" s="4"/>
      <c r="IZ29" s="6"/>
      <c r="JA29" s="4"/>
      <c r="JB29" s="4"/>
      <c r="JC29" s="4"/>
      <c r="JD29" s="4"/>
      <c r="JE29" s="4"/>
      <c r="JF29" s="4"/>
      <c r="JG29" s="4"/>
      <c r="JH29" s="6"/>
      <c r="JI29" s="6"/>
      <c r="JJ29" s="6"/>
      <c r="JK29" s="9"/>
      <c r="JL29"/>
    </row>
    <row r="30">
      <c r="A30" s="8">
        <v>25245</v>
      </c>
      <c r="B30" s="8">
        <v>25247</v>
      </c>
      <c r="C30" s="9">
        <f>B30-A30</f>
        <v>2</v>
      </c>
      <c r="D30" s="8">
        <v>25245</v>
      </c>
      <c r="E30" t="inlineStr">
        <is>
          <t xml:space="preserve">positive</t>
        </is>
      </c>
      <c r="F30" s="4">
        <v>1.0078132301475637</v>
      </c>
      <c r="G30" s="6">
        <v>-0.05410343069775775</v>
      </c>
      <c r="H30" s="7">
        <f>SUM(CE30,CZ30,DU30,EP30,FK30,GF30,HA30,HV30,IQ30,JL30)</f>
        <v>-0.05410343069775775</v>
      </c>
      <c r="I30" s="7">
        <f>G30-H30</f>
        <v>0</v>
      </c>
      <c r="J30" s="5">
        <f>F30*(1+H30)</f>
        <v>0.9532870768939917</v>
      </c>
      <c r="K30" s="4">
        <v>0.9532870768939917</v>
      </c>
      <c r="L30" s="5">
        <f>K30-J30</f>
        <v>0</v>
      </c>
      <c r="M30" s="4">
        <v>1.883</v>
      </c>
      <c r="N30" s="4">
        <v>1.833</v>
      </c>
      <c r="O30" s="5">
        <f>M30/$M$3</f>
        <v>0.9616956077630235</v>
      </c>
      <c r="P30" s="5">
        <f>N30/$M$3</f>
        <v>0.9361593462717058</v>
      </c>
      <c r="Q30" s="7">
        <f>IFERROR(N30/M30-1,0)</f>
        <v>-0.026553372278279364</v>
      </c>
      <c r="R30" s="5">
        <f>SUM(IF(BM30="lease",BU30,0),IF(CH30="lease",CP30,0),IF(DC30="lease",DK30,0),IF(DX30="lease",EF30,0),IF(ES30="lease",FA30,0),IF(FN30="lease",FV30,0),IF(GI30="lease",GQ30,0),IF(HD30="lease",HL30,0),IF(HY30="lease",IG30,0),IF(IT30="lease",JB30,0))</f>
        <v>1.0078132301475637</v>
      </c>
      <c r="S30" s="5">
        <f>SUM(IF(BM30="lease",BV30,0),IF(CH30="lease",CQ30,0),IF(DC30="lease",DL30,0),IF(DX30="lease",EG30,0),IF(ES30="lease",FB30,0),IF(FN30="lease",FW30,0),IF(GI30="lease",GR30,0),IF(HD30="lease",HM30,0),IF(HY30="lease",IH30,0),IF(IT30="lease",JC30,0))</f>
        <v>0.9532870768939916</v>
      </c>
      <c r="T30" s="5">
        <f>SUM(IF(BM30="keep",BU30,0),IF(CH30="keep",CP30,0),IF(DC30="keep",DK30,0),IF(DX30="keep",EF30,0),IF(ES30="keep",FA30,0),IF(FN30="keep",FV30,0),IF(GI30="keep",GQ30,0),IF(HD30="keep",HL30,0),IF(HY30="keep",IG30,0),IF(IT30="keep",JB30,0))</f>
        <v>0</v>
      </c>
      <c r="U30" s="5">
        <f>SUM(IF(BM30="keep",BV30,0),IF(CH30="keep",CQ30,0),IF(DC30="keep",DL30,0),IF(DX30="keep",EG30,0),IF(ES30="keep",FB30,0),IF(FN30="keep",FW30,0),IF(GI30="keep",GR30,0),IF(HD30="keep",HM30,0),IF(HY30="keep",IH30,0),IF(IT30="keep",JC30,0))</f>
        <v>0</v>
      </c>
      <c r="V30" s="5">
        <f>R30/O30</f>
        <v>1.047954489978189</v>
      </c>
      <c r="W30" s="5">
        <f>S30/P30</f>
        <v>1.0182957428032928</v>
      </c>
      <c r="X30" s="5">
        <f>T30/O30</f>
        <v>0</v>
      </c>
      <c r="Y30" s="5">
        <f>U30/P30</f>
        <v>0</v>
      </c>
      <c r="Z30" s="5">
        <f>V30+X30</f>
        <v>1.047954489978189</v>
      </c>
      <c r="AA30" s="7">
        <f>IFERROR(W30/V30-1,0)</f>
        <v>-0.02830156028580344</v>
      </c>
      <c r="AB30" s="7">
        <f>IFERROR((W30-V30)/Z30,0)</f>
        <v>-0.028301560285803464</v>
      </c>
      <c r="AC30" s="7">
        <f>IFERROR(Y30/X30-1,0)</f>
        <v>0</v>
      </c>
      <c r="AD30" s="7">
        <f>IFERROR((Y30-X30)/Z30,0)</f>
        <v>0</v>
      </c>
      <c r="AE30" s="7">
        <f>AB30+AD30</f>
        <v>-0.028301560285803464</v>
      </c>
      <c r="AF30" s="7">
        <f>(1+Q30)*(1+AE30)-1</f>
        <v>-0.05410343069775769</v>
      </c>
      <c r="AG30" s="7">
        <f>G30-AF30</f>
        <v>-5.551115123125783e-17</v>
      </c>
      <c r="AH30" s="5">
        <f>SUM(IF(BM30="lease",BW30,0),IF(CH30="lease",CR30,0),IF(DC30="lease",DM30,0),IF(DX30="lease",EH30,0),IF(ES30="lease",FC30,0),IF(FN30="lease",FX30,0),IF(GI30="lease",GS30,0),IF(HD30="lease",HN30,0),IF(HY30="lease",II30,0),IF(IT30="lease",JD30,0))</f>
        <v>-0.054526153253572095</v>
      </c>
      <c r="AI30" s="5">
        <f>SUM(IF(BM30="keep",BW30,0),IF(CH30="keep",CR30,0),IF(DC30="keep",DM30,0),IF(DX30="keep",EH30,0),IF(ES30="keep",FC30,0),IF(FN30="keep",FX30,0),IF(GI30="keep",GS30,0),IF(HD30="keep",HN30,0),IF(HY30="keep",II30,0),IF(IT30="keep",JD30,0))</f>
        <v>0</v>
      </c>
      <c r="AJ30" s="5">
        <f>SUM(IF(BM30="lease",BX30,0),IF(CH30="lease",CS30,0),IF(DC30="lease",DN30,0),IF(DX30="lease",EI30,0),IF(ES30="lease",FD30,0),IF(FN30="lease",FY30,0),IF(GI30="lease",GT30,0),IF(HD30="lease",HO30,0),IF(HY30="lease",IJ30,0),IF(IT30="lease",JE30,0))</f>
        <v>0</v>
      </c>
      <c r="AK30" s="5">
        <f>SUM(IF(BM30="keep",BX30,0),IF(CH30="keep",CS30,0),IF(DC30="keep",DN30,0),IF(DX30="keep",EI30,0),IF(ES30="keep",FD30,0),IF(FN30="keep",FY30,0),IF(GI30="keep",GT30,0),IF(HD30="keep",HO30,0),IF(HY30="keep",IJ30,0),IF(IT30="keep",JE30,0))</f>
        <v>0</v>
      </c>
      <c r="AL30" s="5">
        <f>R30-S29</f>
        <v>0</v>
      </c>
      <c r="AM30" s="5">
        <f>T30-U29</f>
        <v>0</v>
      </c>
      <c r="AN30" s="5">
        <f>AN29</f>
        <v>1</v>
      </c>
      <c r="AO30" s="5">
        <f>AO29+AH30</f>
        <v>-0.046712923106007984</v>
      </c>
      <c r="AP30" s="5">
        <f>AP29+AL30</f>
        <v>-2.220446049250313e-16</v>
      </c>
      <c r="AQ30" s="5">
        <f>AN30+AO30+AP30</f>
        <v>0.9532870768939918</v>
      </c>
      <c r="AR30" s="5">
        <f>S30-AQ30</f>
        <v>-2.220446049250313e-16</v>
      </c>
      <c r="AS30" s="5">
        <f>AS29</f>
        <v>0</v>
      </c>
      <c r="AT30" s="5">
        <f>AT29+AI30</f>
        <v>0</v>
      </c>
      <c r="AU30" s="5">
        <f>AU29+AM30</f>
        <v>0</v>
      </c>
      <c r="AV30" s="5">
        <f>AS30+AT30+AU30</f>
        <v>0</v>
      </c>
      <c r="AW30" s="5">
        <f>U30-AV30</f>
        <v>0</v>
      </c>
      <c r="AX30" s="4">
        <v>1.0078132301475637</v>
      </c>
      <c r="AY30" s="4">
        <v>0.9532870768939916</v>
      </c>
      <c r="AZ30" s="5">
        <f>S30-AY30</f>
        <v>0</v>
      </c>
      <c r="BA30" s="4">
        <v>0</v>
      </c>
      <c r="BB30" s="4">
        <v>0</v>
      </c>
      <c r="BC30" s="5">
        <f>U30-BB30</f>
        <v>0</v>
      </c>
      <c r="BD30" s="7">
        <f>SUM(IF(BL30="direct",CE30,0),IF(CG30="direct",CZ30,0),IF(DB30="direct",DU30,0),IF(DW30="direct",EP30,0),IF(ER30="direct",FK30,0),IF(FM30="direct",GF30,0),IF(GH30="direct",HA30,0),IF(HC30="direct",HV30,0),IF(HX30="direct",IQ30,0),IF(IS30="direct",JL30,0))</f>
        <v>0</v>
      </c>
      <c r="BE30" s="7">
        <f>SUM(IF(BL30="treasury",CE30,0),IF(CG30="treasury",CZ30,0),IF(DB30="treasury",DU30,0),IF(DW30="treasury",EP30,0),IF(ER30="treasury",FK30,0),IF(FM30="treasury",GF30,0),IF(GH30="treasury",HA30,0),IF(HC30="treasury",HV30,0),IF(HX30="treasury",IQ30,0),IF(IS30="treasury",JL30,0))</f>
        <v>0.00033315068493150685</v>
      </c>
      <c r="BF30" s="7">
        <f>SUM(IF(BL30="future",CE30,0),IF(CG30="future",CZ30,0),IF(DB30="future",DU30,0),IF(DW30="future",EP30,0),IF(ER30="future",FK30,0),IF(FM30="future",GF30,0),IF(GH30="future",HA30,0),IF(HC30="future",HV30,0),IF(HX30="future",IQ30,0),IF(IS30="future",JL30,0))</f>
        <v>-0.05443658138268925</v>
      </c>
      <c r="BG30" s="7">
        <f>SUM(IF(BL30="cash",CE30,0),IF(CG30="cash",CZ30,0),IF(DB30="cash",DU30,0),IF(DW30="cash",EP30,0),IF(ER30="cash",FK30,0),IF(FM30="cash",GF30,0),IF(GH30="cash",HA30,0),IF(HC30="cash",HV30,0),IF(HX30="cash",IQ30,0),IF(IS30="cash",JL30,0))</f>
        <v>0</v>
      </c>
      <c r="BH30" s="7">
        <f>SUM(BD30:BG30)</f>
        <v>-0.05410343069775775</v>
      </c>
      <c r="BI30" s="7">
        <f>G30-BH30</f>
        <v>0</v>
      </c>
      <c r="BJ30" s="9">
        <f>COUNTA(BK30,CF30,DA30,DV30,EQ30,FL30,GG30,HB30,HW30,IR30)</f>
        <v>4</v>
      </c>
      <c r="BK30" t="inlineStr">
        <is>
          <t xml:space="preserve">Treasury collateral</t>
        </is>
      </c>
      <c r="BL30" t="inlineStr">
        <is>
          <t xml:space="preserve">treasury</t>
        </is>
      </c>
      <c r="BM30" t="inlineStr">
        <is>
          <t xml:space="preserve">lease</t>
        </is>
      </c>
      <c r="BN30" t="inlineStr">
        <is>
          <t xml:space="preserve">long</t>
        </is>
      </c>
      <c r="BO30"/>
      <c r="BP30" s="4">
        <v>100.67560799788455</v>
      </c>
      <c r="BQ30" s="4">
        <v>100.70914814564496</v>
      </c>
      <c r="BR30" s="4">
        <v>0.01001050055907028</v>
      </c>
      <c r="BS30" s="6">
        <v>1</v>
      </c>
      <c r="BT30" s="4">
        <v>1.0078132301475637</v>
      </c>
      <c r="BU30" s="4">
        <v>1.0078132301475637</v>
      </c>
      <c r="BV30" s="4">
        <v>1.0081489838154705</v>
      </c>
      <c r="BW30" s="4">
        <v>0.0003357536679066952</v>
      </c>
      <c r="BX30" s="4">
        <v>2.8893987896738693e-17</v>
      </c>
      <c r="BY30" s="4">
        <v>1.883</v>
      </c>
      <c r="BZ30" s="4">
        <v>1.833</v>
      </c>
      <c r="CA30" s="6"/>
      <c r="CB30" s="6"/>
      <c r="CC30" s="6"/>
      <c r="CD30" s="9">
        <v>44</v>
      </c>
      <c r="CE30" s="7">
        <f>IFERROR(BW30/F30,0)</f>
        <v>0.00033315068493150685</v>
      </c>
      <c r="CF30" t="inlineStr">
        <is>
          <t xml:space="preserve">SI69H</t>
        </is>
      </c>
      <c r="CG30" t="inlineStr">
        <is>
          <t xml:space="preserve">future</t>
        </is>
      </c>
      <c r="CH30" t="inlineStr">
        <is>
          <t xml:space="preserve">lease</t>
        </is>
      </c>
      <c r="CI30" t="inlineStr">
        <is>
          <t xml:space="preserve">long</t>
        </is>
      </c>
      <c r="CJ30" t="inlineStr">
        <is>
          <t xml:space="preserve">regular</t>
        </is>
      </c>
      <c r="CK30" s="4">
        <v>1.837</v>
      </c>
      <c r="CL30" s="4">
        <v>1.7369999999999999</v>
      </c>
      <c r="CM30" s="4">
        <v>0.548619069214787</v>
      </c>
      <c r="CN30" s="6">
        <v>1</v>
      </c>
      <c r="CO30" s="4">
        <v>1.0078132301475637</v>
      </c>
      <c r="CP30" s="4">
        <v>0</v>
      </c>
      <c r="CQ30" s="4">
        <v>0</v>
      </c>
      <c r="CR30" s="4">
        <v>-0.05486190692147879</v>
      </c>
      <c r="CS30" s="4">
        <v>0.05486190692147879</v>
      </c>
      <c r="CT30" s="4">
        <v>1.883</v>
      </c>
      <c r="CU30" s="4">
        <v>1.833</v>
      </c>
      <c r="CV30" s="6">
        <v>-0.02442910249601704</v>
      </c>
      <c r="CW30" s="6">
        <v>0.0608</v>
      </c>
      <c r="CX30" s="6">
        <v>0.2634505093419595</v>
      </c>
      <c r="CY30" s="9">
        <v>44</v>
      </c>
      <c r="CZ30" s="7">
        <f>IFERROR(CR30/F30,0)</f>
        <v>-0.05443658138268925</v>
      </c>
      <c r="DA30" t="inlineStr">
        <is>
          <t xml:space="preserve">Lease cash / margin / financing</t>
        </is>
      </c>
      <c r="DB30" t="inlineStr">
        <is>
          <t xml:space="preserve">cash</t>
        </is>
      </c>
      <c r="DC30" t="inlineStr">
        <is>
          <t xml:space="preserve">lease</t>
        </is>
      </c>
      <c r="DD30" t="inlineStr">
        <is>
          <t xml:space="preserve">cash</t>
        </is>
      </c>
      <c r="DE30"/>
      <c r="DF30" s="4">
        <v>1</v>
      </c>
      <c r="DG30" s="4">
        <v>1</v>
      </c>
      <c r="DH30" s="4">
        <v>0</v>
      </c>
      <c r="DI30" s="6"/>
      <c r="DJ30" s="4">
        <v>0</v>
      </c>
      <c r="DK30" s="4">
        <v>0</v>
      </c>
      <c r="DL30" s="4">
        <v>-0.05486190692147882</v>
      </c>
      <c r="DM30" s="4">
        <v>0</v>
      </c>
      <c r="DN30" s="4">
        <v>-0.05486190692147882</v>
      </c>
      <c r="DO30" s="4">
        <v>1.883</v>
      </c>
      <c r="DP30" s="4">
        <v>1.833</v>
      </c>
      <c r="DQ30" s="6"/>
      <c r="DR30" s="6"/>
      <c r="DS30" s="6"/>
      <c r="DT30" s="9"/>
      <c r="DU30" s="7">
        <f>IFERROR(DM30/F30,0)</f>
        <v>0</v>
      </c>
      <c r="DV30" t="inlineStr">
        <is>
          <t xml:space="preserve">Keep cash / margin / financing</t>
        </is>
      </c>
      <c r="DW30" t="inlineStr">
        <is>
          <t xml:space="preserve">cash</t>
        </is>
      </c>
      <c r="DX30" t="inlineStr">
        <is>
          <t xml:space="preserve">keep</t>
        </is>
      </c>
      <c r="DY30" t="inlineStr">
        <is>
          <t xml:space="preserve">cash</t>
        </is>
      </c>
      <c r="DZ30"/>
      <c r="EA30" s="4">
        <v>1</v>
      </c>
      <c r="EB30" s="4">
        <v>1</v>
      </c>
      <c r="EC30" s="4">
        <v>0</v>
      </c>
      <c r="ED30" s="6"/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1.883</v>
      </c>
      <c r="EK30" s="4">
        <v>1.833</v>
      </c>
      <c r="EL30" s="6"/>
      <c r="EM30" s="6"/>
      <c r="EN30" s="6"/>
      <c r="EO30" s="9"/>
      <c r="EP30" s="7">
        <f>IFERROR(EH30/F30,0)</f>
        <v>0</v>
      </c>
      <c r="EQ30"/>
      <c r="ER30"/>
      <c r="ES30"/>
      <c r="ET30"/>
      <c r="EU30"/>
      <c r="EV30" s="4"/>
      <c r="EW30" s="4"/>
      <c r="EX30" s="4"/>
      <c r="EY30" s="6"/>
      <c r="EZ30" s="4"/>
      <c r="FA30" s="4"/>
      <c r="FB30" s="4"/>
      <c r="FC30" s="4"/>
      <c r="FD30" s="4"/>
      <c r="FE30" s="4"/>
      <c r="FF30" s="4"/>
      <c r="FG30" s="6"/>
      <c r="FH30" s="6"/>
      <c r="FI30" s="6"/>
      <c r="FJ30" s="9"/>
      <c r="FK30"/>
      <c r="FL30"/>
      <c r="FM30"/>
      <c r="FN30"/>
      <c r="FO30"/>
      <c r="FP30"/>
      <c r="FQ30" s="4"/>
      <c r="FR30" s="4"/>
      <c r="FS30" s="4"/>
      <c r="FT30" s="6"/>
      <c r="FU30" s="4"/>
      <c r="FV30" s="4"/>
      <c r="FW30" s="4"/>
      <c r="FX30" s="4"/>
      <c r="FY30" s="4"/>
      <c r="FZ30" s="4"/>
      <c r="GA30" s="4"/>
      <c r="GB30" s="6"/>
      <c r="GC30" s="6"/>
      <c r="GD30" s="6"/>
      <c r="GE30" s="9"/>
      <c r="GF30"/>
      <c r="GG30"/>
      <c r="GH30"/>
      <c r="GI30"/>
      <c r="GJ30"/>
      <c r="GK30"/>
      <c r="GL30" s="4"/>
      <c r="GM30" s="4"/>
      <c r="GN30" s="4"/>
      <c r="GO30" s="6"/>
      <c r="GP30" s="4"/>
      <c r="GQ30" s="4"/>
      <c r="GR30" s="4"/>
      <c r="GS30" s="4"/>
      <c r="GT30" s="4"/>
      <c r="GU30" s="4"/>
      <c r="GV30" s="4"/>
      <c r="GW30" s="6"/>
      <c r="GX30" s="6"/>
      <c r="GY30" s="6"/>
      <c r="GZ30" s="9"/>
      <c r="HA30"/>
      <c r="HB30"/>
      <c r="HC30"/>
      <c r="HD30"/>
      <c r="HE30"/>
      <c r="HF30"/>
      <c r="HG30" s="4"/>
      <c r="HH30" s="4"/>
      <c r="HI30" s="4"/>
      <c r="HJ30" s="6"/>
      <c r="HK30" s="4"/>
      <c r="HL30" s="4"/>
      <c r="HM30" s="4"/>
      <c r="HN30" s="4"/>
      <c r="HO30" s="4"/>
      <c r="HP30" s="4"/>
      <c r="HQ30" s="4"/>
      <c r="HR30" s="6"/>
      <c r="HS30" s="6"/>
      <c r="HT30" s="6"/>
      <c r="HU30" s="9"/>
      <c r="HV30"/>
      <c r="HW30"/>
      <c r="HX30"/>
      <c r="HY30"/>
      <c r="HZ30"/>
      <c r="IA30"/>
      <c r="IB30" s="4"/>
      <c r="IC30" s="4"/>
      <c r="ID30" s="4"/>
      <c r="IE30" s="6"/>
      <c r="IF30" s="4"/>
      <c r="IG30" s="4"/>
      <c r="IH30" s="4"/>
      <c r="II30" s="4"/>
      <c r="IJ30" s="4"/>
      <c r="IK30" s="4"/>
      <c r="IL30" s="4"/>
      <c r="IM30" s="6"/>
      <c r="IN30" s="6"/>
      <c r="IO30" s="6"/>
      <c r="IP30" s="9"/>
      <c r="IQ30"/>
      <c r="IR30"/>
      <c r="IS30"/>
      <c r="IT30"/>
      <c r="IU30"/>
      <c r="IV30"/>
      <c r="IW30" s="4"/>
      <c r="IX30" s="4"/>
      <c r="IY30" s="4"/>
      <c r="IZ30" s="6"/>
      <c r="JA30" s="4"/>
      <c r="JB30" s="4"/>
      <c r="JC30" s="4"/>
      <c r="JD30" s="4"/>
      <c r="JE30" s="4"/>
      <c r="JF30" s="4"/>
      <c r="JG30" s="4"/>
      <c r="JH30" s="6"/>
      <c r="JI30" s="6"/>
      <c r="JJ30" s="6"/>
      <c r="JK30" s="9"/>
      <c r="JL30"/>
    </row>
    <row r="31">
      <c r="A31" s="8">
        <v>25247</v>
      </c>
      <c r="B31" s="8">
        <v>25248</v>
      </c>
      <c r="C31" s="9">
        <f>B31-A31</f>
        <v>1</v>
      </c>
      <c r="D31" s="8">
        <v>25247</v>
      </c>
      <c r="E31" t="inlineStr">
        <is>
          <t xml:space="preserve">positive</t>
        </is>
      </c>
      <c r="F31" s="4">
        <v>0.9532870768939917</v>
      </c>
      <c r="G31" s="6">
        <v>0.030678953005102566</v>
      </c>
      <c r="H31" s="7">
        <f>SUM(CE31,CZ31,DU31,EP31,FK31,GF31,HA31,HV31,IQ31,JL31)</f>
        <v>0.03067895300510257</v>
      </c>
      <c r="I31" s="7">
        <f>G31-H31</f>
        <v>-3.469446951953614e-18</v>
      </c>
      <c r="J31" s="5">
        <f>F31*(1+H31)</f>
        <v>0.9825329263263941</v>
      </c>
      <c r="K31" s="4">
        <v>0.9825329263263941</v>
      </c>
      <c r="L31" s="5">
        <f>K31-J31</f>
        <v>0</v>
      </c>
      <c r="M31" s="4">
        <v>1.833</v>
      </c>
      <c r="N31" s="4">
        <v>1.77</v>
      </c>
      <c r="O31" s="5">
        <f>M31/$M$3</f>
        <v>0.9361593462717058</v>
      </c>
      <c r="P31" s="5">
        <f>N31/$M$3</f>
        <v>0.9039836567926456</v>
      </c>
      <c r="Q31" s="7">
        <f>IFERROR(N31/M31-1,0)</f>
        <v>-0.03436988543371522</v>
      </c>
      <c r="R31" s="5">
        <f>SUM(IF(BM31="lease",BU31,0),IF(CH31="lease",CP31,0),IF(DC31="lease",DK31,0),IF(DX31="lease",EF31,0),IF(ES31="lease",FA31,0),IF(FN31="lease",FV31,0),IF(GI31="lease",GQ31,0),IF(HD31="lease",HL31,0),IF(HY31="lease",IG31,0),IF(IT31="lease",JB31,0))</f>
        <v>0.9532870768939916</v>
      </c>
      <c r="S31" s="5">
        <f>SUM(IF(BM31="lease",BV31,0),IF(CH31="lease",CQ31,0),IF(DC31="lease",DL31,0),IF(DX31="lease",EG31,0),IF(ES31="lease",FB31,0),IF(FN31="lease",FW31,0),IF(GI31="lease",GR31,0),IF(HD31="lease",HM31,0),IF(HY31="lease",IH31,0),IF(IT31="lease",JC31,0))</f>
        <v>0.982532926326394</v>
      </c>
      <c r="T31" s="5">
        <f>SUM(IF(BM31="keep",BU31,0),IF(CH31="keep",CP31,0),IF(DC31="keep",DK31,0),IF(DX31="keep",EF31,0),IF(ES31="keep",FA31,0),IF(FN31="keep",FV31,0),IF(GI31="keep",GQ31,0),IF(HD31="keep",HL31,0),IF(HY31="keep",IG31,0),IF(IT31="keep",JB31,0))</f>
        <v>0</v>
      </c>
      <c r="U31" s="5">
        <f>SUM(IF(BM31="keep",BV31,0),IF(CH31="keep",CQ31,0),IF(DC31="keep",DL31,0),IF(DX31="keep",EG31,0),IF(ES31="keep",FB31,0),IF(FN31="keep",FW31,0),IF(GI31="keep",GR31,0),IF(HD31="keep",HM31,0),IF(HY31="keep",IH31,0),IF(IT31="keep",JC31,0))</f>
        <v>0</v>
      </c>
      <c r="V31" s="5">
        <f>R31/O31</f>
        <v>1.0182957428032928</v>
      </c>
      <c r="W31" s="5">
        <f>S31/P31</f>
        <v>1.0868923557893104</v>
      </c>
      <c r="X31" s="5">
        <f>T31/O31</f>
        <v>0</v>
      </c>
      <c r="Y31" s="5">
        <f>U31/P31</f>
        <v>0</v>
      </c>
      <c r="Z31" s="5">
        <f>V31+X31</f>
        <v>1.0182957428032928</v>
      </c>
      <c r="AA31" s="7">
        <f>IFERROR(W31/V31-1,0)</f>
        <v>0.06736413607816538</v>
      </c>
      <c r="AB31" s="7">
        <f>IFERROR((W31-V31)/Z31,0)</f>
        <v>0.06736413607816547</v>
      </c>
      <c r="AC31" s="7">
        <f>IFERROR(Y31/X31-1,0)</f>
        <v>0</v>
      </c>
      <c r="AD31" s="7">
        <f>IFERROR((Y31-X31)/Z31,0)</f>
        <v>0</v>
      </c>
      <c r="AE31" s="7">
        <f>AB31+AD31</f>
        <v>0.06736413607816547</v>
      </c>
      <c r="AF31" s="7">
        <f>(1+Q31)*(1+AE31)-1</f>
        <v>0.030678953005102372</v>
      </c>
      <c r="AG31" s="7">
        <f>G31-AF31</f>
        <v>1.942890293094024e-16</v>
      </c>
      <c r="AH31" s="5">
        <f>SUM(IF(BM31="lease",BW31,0),IF(CH31="lease",CR31,0),IF(DC31="lease",DM31,0),IF(DX31="lease",EH31,0),IF(ES31="lease",FC31,0),IF(FN31="lease",FX31,0),IF(GI31="lease",GS31,0),IF(HD31="lease",HN31,0),IF(HY31="lease",II31,0),IF(IT31="lease",JD31,0))</f>
        <v>0.02924584943240237</v>
      </c>
      <c r="AI31" s="5">
        <f>SUM(IF(BM31="keep",BW31,0),IF(CH31="keep",CR31,0),IF(DC31="keep",DM31,0),IF(DX31="keep",EH31,0),IF(ES31="keep",FC31,0),IF(FN31="keep",FX31,0),IF(GI31="keep",GS31,0),IF(HD31="keep",HN31,0),IF(HY31="keep",II31,0),IF(IT31="keep",JD31,0))</f>
        <v>0</v>
      </c>
      <c r="AJ31" s="5">
        <f>SUM(IF(BM31="lease",BX31,0),IF(CH31="lease",CS31,0),IF(DC31="lease",DN31,0),IF(DX31="lease",EI31,0),IF(ES31="lease",FD31,0),IF(FN31="lease",FY31,0),IF(GI31="lease",GT31,0),IF(HD31="lease",HO31,0),IF(HY31="lease",IJ31,0),IF(IT31="lease",JE31,0))</f>
        <v>0</v>
      </c>
      <c r="AK31" s="5">
        <f>SUM(IF(BM31="keep",BX31,0),IF(CH31="keep",CS31,0),IF(DC31="keep",DN31,0),IF(DX31="keep",EI31,0),IF(ES31="keep",FD31,0),IF(FN31="keep",FY31,0),IF(GI31="keep",GT31,0),IF(HD31="keep",HO31,0),IF(HY31="keep",IJ31,0),IF(IT31="keep",JE31,0))</f>
        <v>0</v>
      </c>
      <c r="AL31" s="5">
        <f>R31-S30</f>
        <v>0</v>
      </c>
      <c r="AM31" s="5">
        <f>T31-U30</f>
        <v>0</v>
      </c>
      <c r="AN31" s="5">
        <f>AN30</f>
        <v>1</v>
      </c>
      <c r="AO31" s="5">
        <f>AO30+AH31</f>
        <v>-0.017467073673605612</v>
      </c>
      <c r="AP31" s="5">
        <f>AP30+AL31</f>
        <v>-2.220446049250313e-16</v>
      </c>
      <c r="AQ31" s="5">
        <f>AN31+AO31+AP31</f>
        <v>0.9825329263263942</v>
      </c>
      <c r="AR31" s="5">
        <f>S31-AQ31</f>
        <v>-2.220446049250313e-16</v>
      </c>
      <c r="AS31" s="5">
        <f>AS30</f>
        <v>0</v>
      </c>
      <c r="AT31" s="5">
        <f>AT30+AI31</f>
        <v>0</v>
      </c>
      <c r="AU31" s="5">
        <f>AU30+AM31</f>
        <v>0</v>
      </c>
      <c r="AV31" s="5">
        <f>AS31+AT31+AU31</f>
        <v>0</v>
      </c>
      <c r="AW31" s="5">
        <f>U31-AV31</f>
        <v>0</v>
      </c>
      <c r="AX31" s="4">
        <v>0.9532870768939916</v>
      </c>
      <c r="AY31" s="4">
        <v>0.982532926326394</v>
      </c>
      <c r="AZ31" s="5">
        <f>S31-AY31</f>
        <v>0</v>
      </c>
      <c r="BA31" s="4">
        <v>0</v>
      </c>
      <c r="BB31" s="4">
        <v>0</v>
      </c>
      <c r="BC31" s="5">
        <f>U31-BB31</f>
        <v>0</v>
      </c>
      <c r="BD31" s="7">
        <f>SUM(IF(BL31="direct",CE31,0),IF(CG31="direct",CZ31,0),IF(DB31="direct",DU31,0),IF(DW31="direct",EP31,0),IF(ER31="direct",FK31,0),IF(FM31="direct",GF31,0),IF(GH31="direct",HA31,0),IF(HC31="direct",HV31,0),IF(HX31="direct",IQ31,0),IF(IS31="direct",JL31,0))</f>
        <v>0</v>
      </c>
      <c r="BE31" s="7">
        <f>SUM(IF(BL31="treasury",CE31,0),IF(CG31="treasury",CZ31,0),IF(DB31="treasury",DU31,0),IF(DW31="treasury",EP31,0),IF(ER31="treasury",FK31,0),IF(FM31="treasury",GF31,0),IF(GH31="treasury",HA31,0),IF(HC31="treasury",HV31,0),IF(HX31="treasury",IQ31,0),IF(IS31="treasury",JL31,0))</f>
        <v>0.00016657534246575342</v>
      </c>
      <c r="BF31" s="7">
        <f>SUM(IF(BL31="future",CE31,0),IF(CG31="future",CZ31,0),IF(DB31="future",DU31,0),IF(DW31="future",EP31,0),IF(ER31="future",FK31,0),IF(FM31="future",GF31,0),IF(GH31="future",HA31,0),IF(HC31="future",HV31,0),IF(HX31="future",IQ31,0),IF(IS31="future",JL31,0))</f>
        <v>0.030512377662636814</v>
      </c>
      <c r="BG31" s="7">
        <f>SUM(IF(BL31="cash",CE31,0),IF(CG31="cash",CZ31,0),IF(DB31="cash",DU31,0),IF(DW31="cash",EP31,0),IF(ER31="cash",FK31,0),IF(FM31="cash",GF31,0),IF(GH31="cash",HA31,0),IF(HC31="cash",HV31,0),IF(HX31="cash",IQ31,0),IF(IS31="cash",JL31,0))</f>
        <v>0</v>
      </c>
      <c r="BH31" s="7">
        <f>SUM(BD31:BG31)</f>
        <v>0.030678953005102566</v>
      </c>
      <c r="BI31" s="7">
        <f>G31-BH31</f>
        <v>0</v>
      </c>
      <c r="BJ31" s="9">
        <f>COUNTA(BK31,CF31,DA31,DV31,EQ31,FL31,GG31,HB31,HW31,IR31)</f>
        <v>4</v>
      </c>
      <c r="BK31" t="inlineStr">
        <is>
          <t xml:space="preserve">Treasury collateral</t>
        </is>
      </c>
      <c r="BL31" t="inlineStr">
        <is>
          <t xml:space="preserve">treasury</t>
        </is>
      </c>
      <c r="BM31" t="inlineStr">
        <is>
          <t xml:space="preserve">lease</t>
        </is>
      </c>
      <c r="BN31" t="inlineStr">
        <is>
          <t xml:space="preserve">long</t>
        </is>
      </c>
      <c r="BO31"/>
      <c r="BP31" s="4">
        <v>100.70914814564496</v>
      </c>
      <c r="BQ31" s="4">
        <v>100.72592380648675</v>
      </c>
      <c r="BR31" s="4">
        <v>0.009465744616520375</v>
      </c>
      <c r="BS31" s="6">
        <v>1</v>
      </c>
      <c r="BT31" s="4">
        <v>0.9532870768939917</v>
      </c>
      <c r="BU31" s="4">
        <v>0.9532870768939917</v>
      </c>
      <c r="BV31" s="4">
        <v>0.9534458710152933</v>
      </c>
      <c r="BW31" s="4">
        <v>0.0001587941213017937</v>
      </c>
      <c r="BX31" s="4">
        <v>-1.961592780569399e-16</v>
      </c>
      <c r="BY31" s="4">
        <v>1.833</v>
      </c>
      <c r="BZ31" s="4">
        <v>1.77</v>
      </c>
      <c r="CA31" s="6"/>
      <c r="CB31" s="6"/>
      <c r="CC31" s="6"/>
      <c r="CD31" s="9">
        <v>42</v>
      </c>
      <c r="CE31" s="7">
        <f>IFERROR(BW31/F31,0)</f>
        <v>0.00016657534246575342</v>
      </c>
      <c r="CF31" t="inlineStr">
        <is>
          <t xml:space="preserve">SI69H</t>
        </is>
      </c>
      <c r="CG31" t="inlineStr">
        <is>
          <t xml:space="preserve">future</t>
        </is>
      </c>
      <c r="CH31" t="inlineStr">
        <is>
          <t xml:space="preserve">lease</t>
        </is>
      </c>
      <c r="CI31" t="inlineStr">
        <is>
          <t xml:space="preserve">long</t>
        </is>
      </c>
      <c r="CJ31" t="inlineStr">
        <is>
          <t xml:space="preserve">regular</t>
        </is>
      </c>
      <c r="CK31" s="4">
        <v>1.7369999999999999</v>
      </c>
      <c r="CL31" s="4">
        <v>1.79</v>
      </c>
      <c r="CM31" s="4">
        <v>0.5488123643603867</v>
      </c>
      <c r="CN31" s="6">
        <v>1</v>
      </c>
      <c r="CO31" s="4">
        <v>0.9532870768939917</v>
      </c>
      <c r="CP31" s="4">
        <v>0</v>
      </c>
      <c r="CQ31" s="4">
        <v>0</v>
      </c>
      <c r="CR31" s="4">
        <v>0.029087055311100576</v>
      </c>
      <c r="CS31" s="4">
        <v>-0.029087055311100576</v>
      </c>
      <c r="CT31" s="4">
        <v>1.833</v>
      </c>
      <c r="CU31" s="4">
        <v>1.77</v>
      </c>
      <c r="CV31" s="6">
        <v>-0.05237315875613757</v>
      </c>
      <c r="CW31" s="6">
        <v>0.0608</v>
      </c>
      <c r="CX31" s="6">
        <v>0.5159476891902431</v>
      </c>
      <c r="CY31" s="9">
        <v>42</v>
      </c>
      <c r="CZ31" s="7">
        <f>IFERROR(CR31/F31,0)</f>
        <v>0.030512377662636814</v>
      </c>
      <c r="DA31" t="inlineStr">
        <is>
          <t xml:space="preserve">Lease cash / margin / financing</t>
        </is>
      </c>
      <c r="DB31" t="inlineStr">
        <is>
          <t xml:space="preserve">cash</t>
        </is>
      </c>
      <c r="DC31" t="inlineStr">
        <is>
          <t xml:space="preserve">lease</t>
        </is>
      </c>
      <c r="DD31" t="inlineStr">
        <is>
          <t xml:space="preserve">cash</t>
        </is>
      </c>
      <c r="DE31"/>
      <c r="DF31" s="4">
        <v>1</v>
      </c>
      <c r="DG31" s="4">
        <v>1</v>
      </c>
      <c r="DH31" s="4">
        <v>-1.1102230246251565e-16</v>
      </c>
      <c r="DI31" s="6"/>
      <c r="DJ31" s="4">
        <v>-1.1102230246251565e-16</v>
      </c>
      <c r="DK31" s="4">
        <v>-1.1102230246251565e-16</v>
      </c>
      <c r="DL31" s="4">
        <v>0.029087055311100663</v>
      </c>
      <c r="DM31" s="4">
        <v>0</v>
      </c>
      <c r="DN31" s="4">
        <v>0.029087055311100774</v>
      </c>
      <c r="DO31" s="4">
        <v>1.833</v>
      </c>
      <c r="DP31" s="4">
        <v>1.77</v>
      </c>
      <c r="DQ31" s="6"/>
      <c r="DR31" s="6"/>
      <c r="DS31" s="6"/>
      <c r="DT31" s="9"/>
      <c r="DU31" s="7">
        <f>IFERROR(DM31/F31,0)</f>
        <v>0</v>
      </c>
      <c r="DV31" t="inlineStr">
        <is>
          <t xml:space="preserve">Keep cash / margin / financing</t>
        </is>
      </c>
      <c r="DW31" t="inlineStr">
        <is>
          <t xml:space="preserve">cash</t>
        </is>
      </c>
      <c r="DX31" t="inlineStr">
        <is>
          <t xml:space="preserve">keep</t>
        </is>
      </c>
      <c r="DY31" t="inlineStr">
        <is>
          <t xml:space="preserve">cash</t>
        </is>
      </c>
      <c r="DZ31"/>
      <c r="EA31" s="4">
        <v>1</v>
      </c>
      <c r="EB31" s="4">
        <v>1</v>
      </c>
      <c r="EC31" s="4">
        <v>0</v>
      </c>
      <c r="ED31" s="6"/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1.833</v>
      </c>
      <c r="EK31" s="4">
        <v>1.77</v>
      </c>
      <c r="EL31" s="6"/>
      <c r="EM31" s="6"/>
      <c r="EN31" s="6"/>
      <c r="EO31" s="9"/>
      <c r="EP31" s="7">
        <f>IFERROR(EH31/F31,0)</f>
        <v>0</v>
      </c>
      <c r="EQ31"/>
      <c r="ER31"/>
      <c r="ES31"/>
      <c r="ET31"/>
      <c r="EU31"/>
      <c r="EV31" s="4"/>
      <c r="EW31" s="4"/>
      <c r="EX31" s="4"/>
      <c r="EY31" s="6"/>
      <c r="EZ31" s="4"/>
      <c r="FA31" s="4"/>
      <c r="FB31" s="4"/>
      <c r="FC31" s="4"/>
      <c r="FD31" s="4"/>
      <c r="FE31" s="4"/>
      <c r="FF31" s="4"/>
      <c r="FG31" s="6"/>
      <c r="FH31" s="6"/>
      <c r="FI31" s="6"/>
      <c r="FJ31" s="9"/>
      <c r="FK31"/>
      <c r="FL31"/>
      <c r="FM31"/>
      <c r="FN31"/>
      <c r="FO31"/>
      <c r="FP31"/>
      <c r="FQ31" s="4"/>
      <c r="FR31" s="4"/>
      <c r="FS31" s="4"/>
      <c r="FT31" s="6"/>
      <c r="FU31" s="4"/>
      <c r="FV31" s="4"/>
      <c r="FW31" s="4"/>
      <c r="FX31" s="4"/>
      <c r="FY31" s="4"/>
      <c r="FZ31" s="4"/>
      <c r="GA31" s="4"/>
      <c r="GB31" s="6"/>
      <c r="GC31" s="6"/>
      <c r="GD31" s="6"/>
      <c r="GE31" s="9"/>
      <c r="GF31"/>
      <c r="GG31"/>
      <c r="GH31"/>
      <c r="GI31"/>
      <c r="GJ31"/>
      <c r="GK31"/>
      <c r="GL31" s="4"/>
      <c r="GM31" s="4"/>
      <c r="GN31" s="4"/>
      <c r="GO31" s="6"/>
      <c r="GP31" s="4"/>
      <c r="GQ31" s="4"/>
      <c r="GR31" s="4"/>
      <c r="GS31" s="4"/>
      <c r="GT31" s="4"/>
      <c r="GU31" s="4"/>
      <c r="GV31" s="4"/>
      <c r="GW31" s="6"/>
      <c r="GX31" s="6"/>
      <c r="GY31" s="6"/>
      <c r="GZ31" s="9"/>
      <c r="HA31"/>
      <c r="HB31"/>
      <c r="HC31"/>
      <c r="HD31"/>
      <c r="HE31"/>
      <c r="HF31"/>
      <c r="HG31" s="4"/>
      <c r="HH31" s="4"/>
      <c r="HI31" s="4"/>
      <c r="HJ31" s="6"/>
      <c r="HK31" s="4"/>
      <c r="HL31" s="4"/>
      <c r="HM31" s="4"/>
      <c r="HN31" s="4"/>
      <c r="HO31" s="4"/>
      <c r="HP31" s="4"/>
      <c r="HQ31" s="4"/>
      <c r="HR31" s="6"/>
      <c r="HS31" s="6"/>
      <c r="HT31" s="6"/>
      <c r="HU31" s="9"/>
      <c r="HV31"/>
      <c r="HW31"/>
      <c r="HX31"/>
      <c r="HY31"/>
      <c r="HZ31"/>
      <c r="IA31"/>
      <c r="IB31" s="4"/>
      <c r="IC31" s="4"/>
      <c r="ID31" s="4"/>
      <c r="IE31" s="6"/>
      <c r="IF31" s="4"/>
      <c r="IG31" s="4"/>
      <c r="IH31" s="4"/>
      <c r="II31" s="4"/>
      <c r="IJ31" s="4"/>
      <c r="IK31" s="4"/>
      <c r="IL31" s="4"/>
      <c r="IM31" s="6"/>
      <c r="IN31" s="6"/>
      <c r="IO31" s="6"/>
      <c r="IP31" s="9"/>
      <c r="IQ31"/>
      <c r="IR31"/>
      <c r="IS31"/>
      <c r="IT31"/>
      <c r="IU31"/>
      <c r="IV31"/>
      <c r="IW31" s="4"/>
      <c r="IX31" s="4"/>
      <c r="IY31" s="4"/>
      <c r="IZ31" s="6"/>
      <c r="JA31" s="4"/>
      <c r="JB31" s="4"/>
      <c r="JC31" s="4"/>
      <c r="JD31" s="4"/>
      <c r="JE31" s="4"/>
      <c r="JF31" s="4"/>
      <c r="JG31" s="4"/>
      <c r="JH31" s="6"/>
      <c r="JI31" s="6"/>
      <c r="JJ31" s="6"/>
      <c r="JK31" s="9"/>
      <c r="JL31"/>
    </row>
    <row r="32">
      <c r="A32" s="8">
        <v>25248</v>
      </c>
      <c r="B32" s="8">
        <v>25251</v>
      </c>
      <c r="C32" s="9">
        <f>B32-A32</f>
        <v>3</v>
      </c>
      <c r="D32" s="8">
        <v>25248</v>
      </c>
      <c r="E32" t="inlineStr">
        <is>
          <t xml:space="preserve">neutral</t>
        </is>
      </c>
      <c r="F32" s="4">
        <v>0.9825329263263941</v>
      </c>
      <c r="G32" s="6">
        <v>0.048002050924850964</v>
      </c>
      <c r="H32" s="7">
        <f>SUM(CE32,CZ32,DU32,EP32,FK32,GF32,HA32,HV32,IQ32,JL32)</f>
        <v>0.048002050924850964</v>
      </c>
      <c r="I32" s="7">
        <f>G32-H32</f>
        <v>0</v>
      </c>
      <c r="J32" s="5">
        <f>F32*(1+H32)</f>
        <v>1.0296965218912564</v>
      </c>
      <c r="K32" s="4">
        <v>1.0296965218912564</v>
      </c>
      <c r="L32" s="5">
        <f>K32-J32</f>
        <v>0</v>
      </c>
      <c r="M32" s="4">
        <v>1.77</v>
      </c>
      <c r="N32" s="4">
        <v>1.855</v>
      </c>
      <c r="O32" s="5">
        <f>M32/$M$3</f>
        <v>0.9039836567926456</v>
      </c>
      <c r="P32" s="5">
        <f>N32/$M$3</f>
        <v>0.9473953013278856</v>
      </c>
      <c r="Q32" s="7">
        <f>IFERROR(N32/M32-1,0)</f>
        <v>0.04802259887005644</v>
      </c>
      <c r="R32" s="5">
        <f>SUM(IF(BM32="lease",BU32,0),IF(CH32="lease",CP32,0),IF(DC32="lease",DK32,0),IF(DX32="lease",EF32,0),IF(ES32="lease",FA32,0),IF(FN32="lease",FV32,0),IF(GI32="lease",GQ32,0),IF(HD32="lease",HL32,0),IF(HY32="lease",IG32,0),IF(IT32="lease",JB32,0))</f>
        <v>0.982532926326394</v>
      </c>
      <c r="S32" s="5">
        <f>SUM(IF(BM32="lease",BV32,0),IF(CH32="lease",CQ32,0),IF(DC32="lease",DL32,0),IF(DX32="lease",EG32,0),IF(ES32="lease",FB32,0),IF(FN32="lease",FW32,0),IF(GI32="lease",GR32,0),IF(HD32="lease",HM32,0),IF(HY32="lease",IH32,0),IF(IT32="lease",JC32,0))</f>
        <v>1.0296965218912564</v>
      </c>
      <c r="T32" s="5">
        <f>SUM(IF(BM32="keep",BU32,0),IF(CH32="keep",CP32,0),IF(DC32="keep",DK32,0),IF(DX32="keep",EF32,0),IF(ES32="keep",FA32,0),IF(FN32="keep",FV32,0),IF(GI32="keep",GQ32,0),IF(HD32="keep",HL32,0),IF(HY32="keep",IG32,0),IF(IT32="keep",JB32,0))</f>
        <v>0</v>
      </c>
      <c r="U32" s="5">
        <f>SUM(IF(BM32="keep",BV32,0),IF(CH32="keep",CQ32,0),IF(DC32="keep",DL32,0),IF(DX32="keep",EG32,0),IF(ES32="keep",FB32,0),IF(FN32="keep",FW32,0),IF(GI32="keep",GR32,0),IF(HD32="keep",HM32,0),IF(HY32="keep",IH32,0),IF(IT32="keep",JC32,0))</f>
        <v>0</v>
      </c>
      <c r="V32" s="5">
        <f>R32/O32</f>
        <v>1.0868923557893104</v>
      </c>
      <c r="W32" s="5">
        <f>S32/P32</f>
        <v>1.086871045748291</v>
      </c>
      <c r="X32" s="5">
        <f>T32/O32</f>
        <v>0</v>
      </c>
      <c r="Y32" s="5">
        <f>U32/P32</f>
        <v>0</v>
      </c>
      <c r="Z32" s="5">
        <f>V32+X32</f>
        <v>1.0868923557893104</v>
      </c>
      <c r="AA32" s="7">
        <f>IFERROR(W32/V32-1,0)</f>
        <v>-0.000019606395155746803</v>
      </c>
      <c r="AB32" s="7">
        <f>IFERROR((W32-V32)/Z32,0)</f>
        <v>-0.00001960639515573339</v>
      </c>
      <c r="AC32" s="7">
        <f>IFERROR(Y32/X32-1,0)</f>
        <v>0</v>
      </c>
      <c r="AD32" s="7">
        <f>IFERROR((Y32-X32)/Z32,0)</f>
        <v>0</v>
      </c>
      <c r="AE32" s="7">
        <f>AB32+AD32</f>
        <v>-0.00001960639515573339</v>
      </c>
      <c r="AF32" s="7">
        <f>(1+Q32)*(1+AE32)-1</f>
        <v>0.04800205092485088</v>
      </c>
      <c r="AG32" s="7">
        <f>G32-AF32</f>
        <v>8.326672684688674e-17</v>
      </c>
      <c r="AH32" s="5">
        <f>SUM(IF(BM32="lease",BW32,0),IF(CH32="lease",CR32,0),IF(DC32="lease",DM32,0),IF(DX32="lease",EH32,0),IF(ES32="lease",FC32,0),IF(FN32="lease",FX32,0),IF(GI32="lease",GS32,0),IF(HD32="lease",HN32,0),IF(HY32="lease",II32,0),IF(IT32="lease",JD32,0))</f>
        <v>0.04716359556486241</v>
      </c>
      <c r="AI32" s="5">
        <f>SUM(IF(BM32="keep",BW32,0),IF(CH32="keep",CR32,0),IF(DC32="keep",DM32,0),IF(DX32="keep",EH32,0),IF(ES32="keep",FC32,0),IF(FN32="keep",FX32,0),IF(GI32="keep",GS32,0),IF(HD32="keep",HN32,0),IF(HY32="keep",II32,0),IF(IT32="keep",JD32,0))</f>
        <v>0</v>
      </c>
      <c r="AJ32" s="5">
        <f>SUM(IF(BM32="lease",BX32,0),IF(CH32="lease",CS32,0),IF(DC32="lease",DN32,0),IF(DX32="lease",EI32,0),IF(ES32="lease",FD32,0),IF(FN32="lease",FY32,0),IF(GI32="lease",GT32,0),IF(HD32="lease",HO32,0),IF(HY32="lease",IJ32,0),IF(IT32="lease",JE32,0))</f>
        <v>0</v>
      </c>
      <c r="AK32" s="5">
        <f>SUM(IF(BM32="keep",BX32,0),IF(CH32="keep",CS32,0),IF(DC32="keep",DN32,0),IF(DX32="keep",EI32,0),IF(ES32="keep",FD32,0),IF(FN32="keep",FY32,0),IF(GI32="keep",GT32,0),IF(HD32="keep",HO32,0),IF(HY32="keep",IJ32,0),IF(IT32="keep",JE32,0))</f>
        <v>0</v>
      </c>
      <c r="AL32" s="5">
        <f>R32-S31</f>
        <v>0</v>
      </c>
      <c r="AM32" s="5">
        <f>T32-U31</f>
        <v>0</v>
      </c>
      <c r="AN32" s="5">
        <f>AN31</f>
        <v>1</v>
      </c>
      <c r="AO32" s="5">
        <f>AO31+AH32</f>
        <v>0.029696521891256798</v>
      </c>
      <c r="AP32" s="5">
        <f>AP31+AL32</f>
        <v>-2.220446049250313e-16</v>
      </c>
      <c r="AQ32" s="5">
        <f>AN32+AO32+AP32</f>
        <v>1.0296965218912566</v>
      </c>
      <c r="AR32" s="5">
        <f>S32-AQ32</f>
        <v>-2.220446049250313e-16</v>
      </c>
      <c r="AS32" s="5">
        <f>AS31</f>
        <v>0</v>
      </c>
      <c r="AT32" s="5">
        <f>AT31+AI32</f>
        <v>0</v>
      </c>
      <c r="AU32" s="5">
        <f>AU31+AM32</f>
        <v>0</v>
      </c>
      <c r="AV32" s="5">
        <f>AS32+AT32+AU32</f>
        <v>0</v>
      </c>
      <c r="AW32" s="5">
        <f>U32-AV32</f>
        <v>0</v>
      </c>
      <c r="AX32" s="4">
        <v>0.982532926326394</v>
      </c>
      <c r="AY32" s="4">
        <v>1.0296965218912564</v>
      </c>
      <c r="AZ32" s="5">
        <f>S32-AY32</f>
        <v>0</v>
      </c>
      <c r="BA32" s="4">
        <v>0</v>
      </c>
      <c r="BB32" s="4">
        <v>0</v>
      </c>
      <c r="BC32" s="5">
        <f>U32-BB32</f>
        <v>0</v>
      </c>
      <c r="BD32" s="7">
        <f>SUM(IF(BL32="direct",CE32,0),IF(CG32="direct",CZ32,0),IF(DB32="direct",DU32,0),IF(DW32="direct",EP32,0),IF(ER32="direct",FK32,0),IF(FM32="direct",GF32,0),IF(GH32="direct",HA32,0),IF(HC32="direct",HV32,0),IF(HX32="direct",IQ32,0),IF(IS32="direct",JL32,0))</f>
        <v>0.048002050924850964</v>
      </c>
      <c r="BE32" s="7">
        <f>SUM(IF(BL32="treasury",CE32,0),IF(CG32="treasury",CZ32,0),IF(DB32="treasury",DU32,0),IF(DW32="treasury",EP32,0),IF(ER32="treasury",FK32,0),IF(FM32="treasury",GF32,0),IF(GH32="treasury",HA32,0),IF(HC32="treasury",HV32,0),IF(HX32="treasury",IQ32,0),IF(IS32="treasury",JL32,0))</f>
        <v>0</v>
      </c>
      <c r="BF32" s="7">
        <f>SUM(IF(BL32="future",CE32,0),IF(CG32="future",CZ32,0),IF(DB32="future",DU32,0),IF(DW32="future",EP32,0),IF(ER32="future",FK32,0),IF(FM32="future",GF32,0),IF(GH32="future",HA32,0),IF(HC32="future",HV32,0),IF(HX32="future",IQ32,0),IF(IS32="future",JL32,0))</f>
        <v>0</v>
      </c>
      <c r="BG32" s="7">
        <f>SUM(IF(BL32="cash",CE32,0),IF(CG32="cash",CZ32,0),IF(DB32="cash",DU32,0),IF(DW32="cash",EP32,0),IF(ER32="cash",FK32,0),IF(FM32="cash",GF32,0),IF(GH32="cash",HA32,0),IF(HC32="cash",HV32,0),IF(HX32="cash",IQ32,0),IF(IS32="cash",JL32,0))</f>
        <v>0</v>
      </c>
      <c r="BH32" s="7">
        <f>SUM(BD32:BG32)</f>
        <v>0.048002050924850964</v>
      </c>
      <c r="BI32" s="7">
        <f>G32-BH32</f>
        <v>0</v>
      </c>
      <c r="BJ32" s="9">
        <f>COUNTA(BK32,CF32,DA32,DV32,EQ32,FL32,GG32,HB32,HW32,IR32)</f>
        <v>3</v>
      </c>
      <c r="BK32" t="inlineStr">
        <is>
          <t xml:space="preserve">Direct commodity holding</t>
        </is>
      </c>
      <c r="BL32" t="inlineStr">
        <is>
          <t xml:space="preserve">direct</t>
        </is>
      </c>
      <c r="BM32" t="inlineStr">
        <is>
          <t xml:space="preserve">lease</t>
        </is>
      </c>
      <c r="BN32" t="inlineStr">
        <is>
          <t xml:space="preserve">long</t>
        </is>
      </c>
      <c r="BO32"/>
      <c r="BP32" s="4">
        <v>1.77</v>
      </c>
      <c r="BQ32" s="4">
        <v>1.855</v>
      </c>
      <c r="BR32" s="4">
        <v>0.5551033482070024</v>
      </c>
      <c r="BS32" s="6">
        <v>1</v>
      </c>
      <c r="BT32" s="4">
        <v>0.9825329263263941</v>
      </c>
      <c r="BU32" s="4">
        <v>0.9825329263263941</v>
      </c>
      <c r="BV32" s="4">
        <v>1.0297167109239893</v>
      </c>
      <c r="BW32" s="4">
        <v>0.04716359556486241</v>
      </c>
      <c r="BX32" s="4">
        <v>0.00002018903273279249</v>
      </c>
      <c r="BY32" s="4">
        <v>1.77</v>
      </c>
      <c r="BZ32" s="4">
        <v>1.855</v>
      </c>
      <c r="CA32" s="6"/>
      <c r="CB32" s="6"/>
      <c r="CC32" s="6"/>
      <c r="CD32" s="9"/>
      <c r="CE32" s="7">
        <f>IFERROR(BW32/F32,0)</f>
        <v>0.048002050924850964</v>
      </c>
      <c r="CF32" t="inlineStr">
        <is>
          <t xml:space="preserve">Lease cash / margin / financing</t>
        </is>
      </c>
      <c r="CG32" t="inlineStr">
        <is>
          <t xml:space="preserve">cash</t>
        </is>
      </c>
      <c r="CH32" t="inlineStr">
        <is>
          <t xml:space="preserve">lease</t>
        </is>
      </c>
      <c r="CI32" t="inlineStr">
        <is>
          <t xml:space="preserve">cash</t>
        </is>
      </c>
      <c r="CJ32"/>
      <c r="CK32" s="4">
        <v>1</v>
      </c>
      <c r="CL32" s="4">
        <v>1</v>
      </c>
      <c r="CM32" s="4">
        <v>-1.1102230246251565e-16</v>
      </c>
      <c r="CN32" s="6"/>
      <c r="CO32" s="4">
        <v>-1.1102230246251565e-16</v>
      </c>
      <c r="CP32" s="4">
        <v>-1.1102230246251565e-16</v>
      </c>
      <c r="CQ32" s="4">
        <v>-0.00002018903273290351</v>
      </c>
      <c r="CR32" s="4">
        <v>0</v>
      </c>
      <c r="CS32" s="4">
        <v>-0.00002018903273279249</v>
      </c>
      <c r="CT32" s="4">
        <v>1.77</v>
      </c>
      <c r="CU32" s="4">
        <v>1.855</v>
      </c>
      <c r="CV32" s="6"/>
      <c r="CW32" s="6"/>
      <c r="CX32" s="6"/>
      <c r="CY32" s="9"/>
      <c r="CZ32" s="7">
        <f>IFERROR(CR32/F32,0)</f>
        <v>0</v>
      </c>
      <c r="DA32" t="inlineStr">
        <is>
          <t xml:space="preserve">Keep cash / margin / financing</t>
        </is>
      </c>
      <c r="DB32" t="inlineStr">
        <is>
          <t xml:space="preserve">cash</t>
        </is>
      </c>
      <c r="DC32" t="inlineStr">
        <is>
          <t xml:space="preserve">keep</t>
        </is>
      </c>
      <c r="DD32" t="inlineStr">
        <is>
          <t xml:space="preserve">cash</t>
        </is>
      </c>
      <c r="DE32"/>
      <c r="DF32" s="4">
        <v>1</v>
      </c>
      <c r="DG32" s="4">
        <v>1</v>
      </c>
      <c r="DH32" s="4">
        <v>0</v>
      </c>
      <c r="DI32" s="6"/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1.77</v>
      </c>
      <c r="DP32" s="4">
        <v>1.855</v>
      </c>
      <c r="DQ32" s="6"/>
      <c r="DR32" s="6"/>
      <c r="DS32" s="6"/>
      <c r="DT32" s="9"/>
      <c r="DU32" s="7">
        <f>IFERROR(DM32/F32,0)</f>
        <v>0</v>
      </c>
      <c r="DV32"/>
      <c r="DW32"/>
      <c r="DX32"/>
      <c r="DY32"/>
      <c r="DZ32"/>
      <c r="EA32" s="4"/>
      <c r="EB32" s="4"/>
      <c r="EC32" s="4"/>
      <c r="ED32" s="6"/>
      <c r="EE32" s="4"/>
      <c r="EF32" s="4"/>
      <c r="EG32" s="4"/>
      <c r="EH32" s="4"/>
      <c r="EI32" s="4"/>
      <c r="EJ32" s="4"/>
      <c r="EK32" s="4"/>
      <c r="EL32" s="6"/>
      <c r="EM32" s="6"/>
      <c r="EN32" s="6"/>
      <c r="EO32" s="9"/>
      <c r="EP32"/>
      <c r="EQ32"/>
      <c r="ER32"/>
      <c r="ES32"/>
      <c r="ET32"/>
      <c r="EU32"/>
      <c r="EV32" s="4"/>
      <c r="EW32" s="4"/>
      <c r="EX32" s="4"/>
      <c r="EY32" s="6"/>
      <c r="EZ32" s="4"/>
      <c r="FA32" s="4"/>
      <c r="FB32" s="4"/>
      <c r="FC32" s="4"/>
      <c r="FD32" s="4"/>
      <c r="FE32" s="4"/>
      <c r="FF32" s="4"/>
      <c r="FG32" s="6"/>
      <c r="FH32" s="6"/>
      <c r="FI32" s="6"/>
      <c r="FJ32" s="9"/>
      <c r="FK32"/>
      <c r="FL32"/>
      <c r="FM32"/>
      <c r="FN32"/>
      <c r="FO32"/>
      <c r="FP32"/>
      <c r="FQ32" s="4"/>
      <c r="FR32" s="4"/>
      <c r="FS32" s="4"/>
      <c r="FT32" s="6"/>
      <c r="FU32" s="4"/>
      <c r="FV32" s="4"/>
      <c r="FW32" s="4"/>
      <c r="FX32" s="4"/>
      <c r="FY32" s="4"/>
      <c r="FZ32" s="4"/>
      <c r="GA32" s="4"/>
      <c r="GB32" s="6"/>
      <c r="GC32" s="6"/>
      <c r="GD32" s="6"/>
      <c r="GE32" s="9"/>
      <c r="GF32"/>
      <c r="GG32"/>
      <c r="GH32"/>
      <c r="GI32"/>
      <c r="GJ32"/>
      <c r="GK32"/>
      <c r="GL32" s="4"/>
      <c r="GM32" s="4"/>
      <c r="GN32" s="4"/>
      <c r="GO32" s="6"/>
      <c r="GP32" s="4"/>
      <c r="GQ32" s="4"/>
      <c r="GR32" s="4"/>
      <c r="GS32" s="4"/>
      <c r="GT32" s="4"/>
      <c r="GU32" s="4"/>
      <c r="GV32" s="4"/>
      <c r="GW32" s="6"/>
      <c r="GX32" s="6"/>
      <c r="GY32" s="6"/>
      <c r="GZ32" s="9"/>
      <c r="HA32"/>
      <c r="HB32"/>
      <c r="HC32"/>
      <c r="HD32"/>
      <c r="HE32"/>
      <c r="HF32"/>
      <c r="HG32" s="4"/>
      <c r="HH32" s="4"/>
      <c r="HI32" s="4"/>
      <c r="HJ32" s="6"/>
      <c r="HK32" s="4"/>
      <c r="HL32" s="4"/>
      <c r="HM32" s="4"/>
      <c r="HN32" s="4"/>
      <c r="HO32" s="4"/>
      <c r="HP32" s="4"/>
      <c r="HQ32" s="4"/>
      <c r="HR32" s="6"/>
      <c r="HS32" s="6"/>
      <c r="HT32" s="6"/>
      <c r="HU32" s="9"/>
      <c r="HV32"/>
      <c r="HW32"/>
      <c r="HX32"/>
      <c r="HY32"/>
      <c r="HZ32"/>
      <c r="IA32"/>
      <c r="IB32" s="4"/>
      <c r="IC32" s="4"/>
      <c r="ID32" s="4"/>
      <c r="IE32" s="6"/>
      <c r="IF32" s="4"/>
      <c r="IG32" s="4"/>
      <c r="IH32" s="4"/>
      <c r="II32" s="4"/>
      <c r="IJ32" s="4"/>
      <c r="IK32" s="4"/>
      <c r="IL32" s="4"/>
      <c r="IM32" s="6"/>
      <c r="IN32" s="6"/>
      <c r="IO32" s="6"/>
      <c r="IP32" s="9"/>
      <c r="IQ32"/>
      <c r="IR32"/>
      <c r="IS32"/>
      <c r="IT32"/>
      <c r="IU32"/>
      <c r="IV32"/>
      <c r="IW32" s="4"/>
      <c r="IX32" s="4"/>
      <c r="IY32" s="4"/>
      <c r="IZ32" s="6"/>
      <c r="JA32" s="4"/>
      <c r="JB32" s="4"/>
      <c r="JC32" s="4"/>
      <c r="JD32" s="4"/>
      <c r="JE32" s="4"/>
      <c r="JF32" s="4"/>
      <c r="JG32" s="4"/>
      <c r="JH32" s="6"/>
      <c r="JI32" s="6"/>
      <c r="JJ32" s="6"/>
      <c r="JK32" s="9"/>
      <c r="JL32"/>
    </row>
    <row r="33">
      <c r="A33" s="8">
        <v>25251</v>
      </c>
      <c r="B33" s="8">
        <v>25252</v>
      </c>
      <c r="C33" s="9">
        <f>B33-A33</f>
        <v>1</v>
      </c>
      <c r="D33" s="8">
        <v>25251</v>
      </c>
      <c r="E33" t="inlineStr">
        <is>
          <t xml:space="preserve">positive</t>
        </is>
      </c>
      <c r="F33" s="4">
        <v>1.0296965218912564</v>
      </c>
      <c r="G33" s="6">
        <v>0.021574478101485862</v>
      </c>
      <c r="H33" s="7">
        <f>SUM(CE33,CZ33,DU33,EP33,FK33,GF33,HA33,HV33,IQ33,JL33)</f>
        <v>0.021574478101485866</v>
      </c>
      <c r="I33" s="7">
        <f>G33-H33</f>
        <v>-3.469446951953614e-18</v>
      </c>
      <c r="J33" s="5">
        <f>F33*(1+H33)</f>
        <v>1.0519116869539755</v>
      </c>
      <c r="K33" s="4">
        <v>1.0519116869539755</v>
      </c>
      <c r="L33" s="5">
        <f>K33-J33</f>
        <v>0</v>
      </c>
      <c r="M33" s="4">
        <v>1.855</v>
      </c>
      <c r="N33" s="4">
        <v>1.804</v>
      </c>
      <c r="O33" s="5">
        <f>M33/$M$3</f>
        <v>0.9473953013278856</v>
      </c>
      <c r="P33" s="5">
        <f>N33/$M$3</f>
        <v>0.9213483146067416</v>
      </c>
      <c r="Q33" s="7">
        <f>IFERROR(N33/M33-1,0)</f>
        <v>-0.027493261455525553</v>
      </c>
      <c r="R33" s="5">
        <f>SUM(IF(BM33="lease",BU33,0),IF(CH33="lease",CP33,0),IF(DC33="lease",DK33,0),IF(DX33="lease",EF33,0),IF(ES33="lease",FA33,0),IF(FN33="lease",FV33,0),IF(GI33="lease",GQ33,0),IF(HD33="lease",HL33,0),IF(HY33="lease",IG33,0),IF(IT33="lease",JB33,0))</f>
        <v>1.0296965218912564</v>
      </c>
      <c r="S33" s="5">
        <f>SUM(IF(BM33="lease",BV33,0),IF(CH33="lease",CQ33,0),IF(DC33="lease",DL33,0),IF(DX33="lease",EG33,0),IF(ES33="lease",FB33,0),IF(FN33="lease",FW33,0),IF(GI33="lease",GR33,0),IF(HD33="lease",HM33,0),IF(HY33="lease",IH33,0),IF(IT33="lease",JC33,0))</f>
        <v>1.0519116869539755</v>
      </c>
      <c r="T33" s="5">
        <f>SUM(IF(BM33="keep",BU33,0),IF(CH33="keep",CP33,0),IF(DC33="keep",DK33,0),IF(DX33="keep",EF33,0),IF(ES33="keep",FA33,0),IF(FN33="keep",FV33,0),IF(GI33="keep",GQ33,0),IF(HD33="keep",HL33,0),IF(HY33="keep",IG33,0),IF(IT33="keep",JB33,0))</f>
        <v>0</v>
      </c>
      <c r="U33" s="5">
        <f>SUM(IF(BM33="keep",BV33,0),IF(CH33="keep",CQ33,0),IF(DC33="keep",DL33,0),IF(DX33="keep",EG33,0),IF(ES33="keep",FB33,0),IF(FN33="keep",FW33,0),IF(GI33="keep",GR33,0),IF(HD33="keep",HM33,0),IF(HY33="keep",IH33,0),IF(IT33="keep",JC33,0))</f>
        <v>0</v>
      </c>
      <c r="V33" s="5">
        <f>R33/O33</f>
        <v>1.086871045748291</v>
      </c>
      <c r="W33" s="5">
        <f>S33/P33</f>
        <v>1.141709026084193</v>
      </c>
      <c r="X33" s="5">
        <f>T33/O33</f>
        <v>0</v>
      </c>
      <c r="Y33" s="5">
        <f>U33/P33</f>
        <v>0</v>
      </c>
      <c r="Z33" s="5">
        <f>V33+X33</f>
        <v>1.086871045748291</v>
      </c>
      <c r="AA33" s="7">
        <f>IFERROR(W33/V33-1,0)</f>
        <v>0.05045490957774734</v>
      </c>
      <c r="AB33" s="7">
        <f>IFERROR((W33-V33)/Z33,0)</f>
        <v>0.050454909577747425</v>
      </c>
      <c r="AC33" s="7">
        <f>IFERROR(Y33/X33-1,0)</f>
        <v>0</v>
      </c>
      <c r="AD33" s="7">
        <f>IFERROR((Y33-X33)/Z33,0)</f>
        <v>0</v>
      </c>
      <c r="AE33" s="7">
        <f>AB33+AD33</f>
        <v>0.050454909577747425</v>
      </c>
      <c r="AF33" s="7">
        <f>(1+Q33)*(1+AE33)-1</f>
        <v>0.02157447810148594</v>
      </c>
      <c r="AG33" s="7">
        <f>G33-AF33</f>
        <v>-7.632783294297951e-17</v>
      </c>
      <c r="AH33" s="5">
        <f>SUM(IF(BM33="lease",BW33,0),IF(CH33="lease",CR33,0),IF(DC33="lease",DM33,0),IF(DX33="lease",EH33,0),IF(ES33="lease",FC33,0),IF(FN33="lease",FX33,0),IF(GI33="lease",GS33,0),IF(HD33="lease",HN33,0),IF(HY33="lease",II33,0),IF(IT33="lease",JD33,0))</f>
        <v>0.02221516506271907</v>
      </c>
      <c r="AI33" s="5">
        <f>SUM(IF(BM33="keep",BW33,0),IF(CH33="keep",CR33,0),IF(DC33="keep",DM33,0),IF(DX33="keep",EH33,0),IF(ES33="keep",FC33,0),IF(FN33="keep",FX33,0),IF(GI33="keep",GS33,0),IF(HD33="keep",HN33,0),IF(HY33="keep",II33,0),IF(IT33="keep",JD33,0))</f>
        <v>0</v>
      </c>
      <c r="AJ33" s="5">
        <f>SUM(IF(BM33="lease",BX33,0),IF(CH33="lease",CS33,0),IF(DC33="lease",DN33,0),IF(DX33="lease",EI33,0),IF(ES33="lease",FD33,0),IF(FN33="lease",FY33,0),IF(GI33="lease",GT33,0),IF(HD33="lease",HO33,0),IF(HY33="lease",IJ33,0),IF(IT33="lease",JE33,0))</f>
        <v>0</v>
      </c>
      <c r="AK33" s="5">
        <f>SUM(IF(BM33="keep",BX33,0),IF(CH33="keep",CS33,0),IF(DC33="keep",DN33,0),IF(DX33="keep",EI33,0),IF(ES33="keep",FD33,0),IF(FN33="keep",FY33,0),IF(GI33="keep",GT33,0),IF(HD33="keep",HO33,0),IF(HY33="keep",IJ33,0),IF(IT33="keep",JE33,0))</f>
        <v>0</v>
      </c>
      <c r="AL33" s="5">
        <f>R33-S32</f>
        <v>0</v>
      </c>
      <c r="AM33" s="5">
        <f>T33-U32</f>
        <v>0</v>
      </c>
      <c r="AN33" s="5">
        <f>AN32</f>
        <v>1</v>
      </c>
      <c r="AO33" s="5">
        <f>AO32+AH33</f>
        <v>0.05191168695397587</v>
      </c>
      <c r="AP33" s="5">
        <f>AP32+AL33</f>
        <v>-2.220446049250313e-16</v>
      </c>
      <c r="AQ33" s="5">
        <f>AN33+AO33+AP33</f>
        <v>1.0519116869539757</v>
      </c>
      <c r="AR33" s="5">
        <f>S33-AQ33</f>
        <v>-2.220446049250313e-16</v>
      </c>
      <c r="AS33" s="5">
        <f>AS32</f>
        <v>0</v>
      </c>
      <c r="AT33" s="5">
        <f>AT32+AI33</f>
        <v>0</v>
      </c>
      <c r="AU33" s="5">
        <f>AU32+AM33</f>
        <v>0</v>
      </c>
      <c r="AV33" s="5">
        <f>AS33+AT33+AU33</f>
        <v>0</v>
      </c>
      <c r="AW33" s="5">
        <f>U33-AV33</f>
        <v>0</v>
      </c>
      <c r="AX33" s="4">
        <v>1.0296965218912564</v>
      </c>
      <c r="AY33" s="4">
        <v>1.0519116869539755</v>
      </c>
      <c r="AZ33" s="5">
        <f>S33-AY33</f>
        <v>0</v>
      </c>
      <c r="BA33" s="4">
        <v>0</v>
      </c>
      <c r="BB33" s="4">
        <v>0</v>
      </c>
      <c r="BC33" s="5">
        <f>U33-BB33</f>
        <v>0</v>
      </c>
      <c r="BD33" s="7">
        <f>SUM(IF(BL33="direct",CE33,0),IF(CG33="direct",CZ33,0),IF(DB33="direct",DU33,0),IF(DW33="direct",EP33,0),IF(ER33="direct",FK33,0),IF(FM33="direct",GF33,0),IF(GH33="direct",HA33,0),IF(HC33="direct",HV33,0),IF(HX33="direct",IQ33,0),IF(IS33="direct",JL33,0))</f>
        <v>0</v>
      </c>
      <c r="BE33" s="7">
        <f>SUM(IF(BL33="treasury",CE33,0),IF(CG33="treasury",CZ33,0),IF(DB33="treasury",DU33,0),IF(DW33="treasury",EP33,0),IF(ER33="treasury",FK33,0),IF(FM33="treasury",GF33,0),IF(GH33="treasury",HA33,0),IF(HC33="treasury",HV33,0),IF(HX33="treasury",IQ33,0),IF(IS33="treasury",JL33,0))</f>
        <v>0.00016602739726027395</v>
      </c>
      <c r="BF33" s="7">
        <f>SUM(IF(BL33="future",CE33,0),IF(CG33="future",CZ33,0),IF(DB33="future",DU33,0),IF(DW33="future",EP33,0),IF(ER33="future",FK33,0),IF(FM33="future",GF33,0),IF(GH33="future",HA33,0),IF(HC33="future",HV33,0),IF(HX33="future",IQ33,0),IF(IS33="future",JL33,0))</f>
        <v>0.02140845070422559</v>
      </c>
      <c r="BG33" s="7">
        <f>SUM(IF(BL33="cash",CE33,0),IF(CG33="cash",CZ33,0),IF(DB33="cash",DU33,0),IF(DW33="cash",EP33,0),IF(ER33="cash",FK33,0),IF(FM33="cash",GF33,0),IF(GH33="cash",HA33,0),IF(HC33="cash",HV33,0),IF(HX33="cash",IQ33,0),IF(IS33="cash",JL33,0))</f>
        <v>0</v>
      </c>
      <c r="BH33" s="7">
        <f>SUM(BD33:BG33)</f>
        <v>0.021574478101485862</v>
      </c>
      <c r="BI33" s="7">
        <f>G33-BH33</f>
        <v>0</v>
      </c>
      <c r="BJ33" s="9">
        <f>COUNTA(BK33,CF33,DA33,DV33,EQ33,FL33,GG33,HB33,HW33,IR33)</f>
        <v>5</v>
      </c>
      <c r="BK33" t="inlineStr">
        <is>
          <t xml:space="preserve">Treasury collateral</t>
        </is>
      </c>
      <c r="BL33" t="inlineStr">
        <is>
          <t xml:space="preserve">treasury</t>
        </is>
      </c>
      <c r="BM33" t="inlineStr">
        <is>
          <t xml:space="preserve">lease</t>
        </is>
      </c>
      <c r="BN33" t="inlineStr">
        <is>
          <t xml:space="preserve">long</t>
        </is>
      </c>
      <c r="BO33"/>
      <c r="BP33" s="4">
        <v>100.7760108069549</v>
      </c>
      <c r="BQ33" s="4">
        <v>100.79274238573545</v>
      </c>
      <c r="BR33" s="4">
        <v>0.010217674957026513</v>
      </c>
      <c r="BS33" s="6">
        <v>1</v>
      </c>
      <c r="BT33" s="4">
        <v>1.0296965218912564</v>
      </c>
      <c r="BU33" s="4">
        <v>1.0296965218912564</v>
      </c>
      <c r="BV33" s="4">
        <v>1.0298674797247538</v>
      </c>
      <c r="BW33" s="4">
        <v>0.000170957833497562</v>
      </c>
      <c r="BX33" s="4">
        <v>-1.5265566588595902e-16</v>
      </c>
      <c r="BY33" s="4">
        <v>1.855</v>
      </c>
      <c r="BZ33" s="4">
        <v>1.804</v>
      </c>
      <c r="CA33" s="6"/>
      <c r="CB33" s="6"/>
      <c r="CC33" s="6"/>
      <c r="CD33" s="9">
        <v>38</v>
      </c>
      <c r="CE33" s="7">
        <f>IFERROR(BW33/F33,0)</f>
        <v>0.00016602739726027395</v>
      </c>
      <c r="CF33" t="inlineStr">
        <is>
          <t xml:space="preserve">SI69H</t>
        </is>
      </c>
      <c r="CG33" t="inlineStr">
        <is>
          <t xml:space="preserve">future</t>
        </is>
      </c>
      <c r="CH33" t="inlineStr">
        <is>
          <t xml:space="preserve">lease</t>
        </is>
      </c>
      <c r="CI33" t="inlineStr">
        <is>
          <t xml:space="preserve">long</t>
        </is>
      </c>
      <c r="CJ33" t="inlineStr">
        <is>
          <t xml:space="preserve">regular</t>
        </is>
      </c>
      <c r="CK33" s="4">
        <v>1.775</v>
      </c>
      <c r="CL33" s="4">
        <v>1.8130000000000002</v>
      </c>
      <c r="CM33" s="4">
        <v>0.580110716558448</v>
      </c>
      <c r="CN33" s="6">
        <v>0.999999999999989</v>
      </c>
      <c r="CO33" s="4">
        <v>1.0296965218912453</v>
      </c>
      <c r="CP33" s="4">
        <v>0</v>
      </c>
      <c r="CQ33" s="4">
        <v>0</v>
      </c>
      <c r="CR33" s="4">
        <v>0.02204420722922127</v>
      </c>
      <c r="CS33" s="4">
        <v>-0.02204420722922127</v>
      </c>
      <c r="CT33" s="4">
        <v>1.855</v>
      </c>
      <c r="CU33" s="4">
        <v>1.804</v>
      </c>
      <c r="CV33" s="6">
        <v>-0.043126684636118684</v>
      </c>
      <c r="CW33" s="6">
        <v>0.06060000000000001</v>
      </c>
      <c r="CX33" s="6">
        <v>0.4748431550574558</v>
      </c>
      <c r="CY33" s="9">
        <v>38</v>
      </c>
      <c r="CZ33" s="7">
        <f>IFERROR(CR33/F33,0)</f>
        <v>0.021408450704225358</v>
      </c>
      <c r="DA33" t="inlineStr">
        <is>
          <t xml:space="preserve">SI69K</t>
        </is>
      </c>
      <c r="DB33" t="inlineStr">
        <is>
          <t xml:space="preserve">future</t>
        </is>
      </c>
      <c r="DC33" t="inlineStr">
        <is>
          <t xml:space="preserve">lease</t>
        </is>
      </c>
      <c r="DD33" t="inlineStr">
        <is>
          <t xml:space="preserve">long</t>
        </is>
      </c>
      <c r="DE33" t="inlineStr">
        <is>
          <t xml:space="preserve">regular</t>
        </is>
      </c>
      <c r="DF33" s="4">
        <v>1.808</v>
      </c>
      <c r="DG33" s="4">
        <v>1.847</v>
      </c>
      <c r="DH33" s="4">
        <v>6.16121126738025e-15</v>
      </c>
      <c r="DI33" s="6">
        <v>1.0818206854737636e-14</v>
      </c>
      <c r="DJ33" s="4">
        <v>1.1139469971423493e-14</v>
      </c>
      <c r="DK33" s="4">
        <v>0</v>
      </c>
      <c r="DL33" s="4">
        <v>0</v>
      </c>
      <c r="DM33" s="4">
        <v>2.4028723942782998e-16</v>
      </c>
      <c r="DN33" s="4">
        <v>-2.4028723942782998e-16</v>
      </c>
      <c r="DO33" s="4">
        <v>1.855</v>
      </c>
      <c r="DP33" s="4">
        <v>1.804</v>
      </c>
      <c r="DQ33" s="6">
        <v>-0.025336927223719607</v>
      </c>
      <c r="DR33" s="6">
        <v>0.06078791208791208</v>
      </c>
      <c r="DS33" s="6">
        <v>0.15326769645448865</v>
      </c>
      <c r="DT33" s="9">
        <v>100</v>
      </c>
      <c r="DU33" s="7">
        <f>IFERROR(DM33/F33,0)</f>
        <v>2.3335733812763726e-16</v>
      </c>
      <c r="DV33" t="inlineStr">
        <is>
          <t xml:space="preserve">Lease cash / margin / financing</t>
        </is>
      </c>
      <c r="DW33" t="inlineStr">
        <is>
          <t xml:space="preserve">cash</t>
        </is>
      </c>
      <c r="DX33" t="inlineStr">
        <is>
          <t xml:space="preserve">lease</t>
        </is>
      </c>
      <c r="DY33" t="inlineStr">
        <is>
          <t xml:space="preserve">cash</t>
        </is>
      </c>
      <c r="DZ33"/>
      <c r="EA33" s="4">
        <v>1</v>
      </c>
      <c r="EB33" s="4">
        <v>1</v>
      </c>
      <c r="EC33" s="4">
        <v>0</v>
      </c>
      <c r="ED33" s="6"/>
      <c r="EE33" s="4">
        <v>0</v>
      </c>
      <c r="EF33" s="4">
        <v>0</v>
      </c>
      <c r="EG33" s="4">
        <v>0.022044207229221662</v>
      </c>
      <c r="EH33" s="4">
        <v>0</v>
      </c>
      <c r="EI33" s="4">
        <v>0.022044207229221662</v>
      </c>
      <c r="EJ33" s="4">
        <v>1.855</v>
      </c>
      <c r="EK33" s="4">
        <v>1.804</v>
      </c>
      <c r="EL33" s="6"/>
      <c r="EM33" s="6"/>
      <c r="EN33" s="6"/>
      <c r="EO33" s="9"/>
      <c r="EP33" s="7">
        <f>IFERROR(EH33/F33,0)</f>
        <v>0</v>
      </c>
      <c r="EQ33" t="inlineStr">
        <is>
          <t xml:space="preserve">Keep cash / margin / financing</t>
        </is>
      </c>
      <c r="ER33" t="inlineStr">
        <is>
          <t xml:space="preserve">cash</t>
        </is>
      </c>
      <c r="ES33" t="inlineStr">
        <is>
          <t xml:space="preserve">keep</t>
        </is>
      </c>
      <c r="ET33" t="inlineStr">
        <is>
          <t xml:space="preserve">cash</t>
        </is>
      </c>
      <c r="EU33"/>
      <c r="EV33" s="4">
        <v>1</v>
      </c>
      <c r="EW33" s="4">
        <v>1</v>
      </c>
      <c r="EX33" s="4">
        <v>0</v>
      </c>
      <c r="EY33" s="6"/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1.855</v>
      </c>
      <c r="FF33" s="4">
        <v>1.804</v>
      </c>
      <c r="FG33" s="6"/>
      <c r="FH33" s="6"/>
      <c r="FI33" s="6"/>
      <c r="FJ33" s="9"/>
      <c r="FK33" s="7">
        <f>IFERROR(FC33/F33,0)</f>
        <v>0</v>
      </c>
      <c r="FL33"/>
      <c r="FM33"/>
      <c r="FN33"/>
      <c r="FO33"/>
      <c r="FP33"/>
      <c r="FQ33" s="4"/>
      <c r="FR33" s="4"/>
      <c r="FS33" s="4"/>
      <c r="FT33" s="6"/>
      <c r="FU33" s="4"/>
      <c r="FV33" s="4"/>
      <c r="FW33" s="4"/>
      <c r="FX33" s="4"/>
      <c r="FY33" s="4"/>
      <c r="FZ33" s="4"/>
      <c r="GA33" s="4"/>
      <c r="GB33" s="6"/>
      <c r="GC33" s="6"/>
      <c r="GD33" s="6"/>
      <c r="GE33" s="9"/>
      <c r="GF33"/>
      <c r="GG33"/>
      <c r="GH33"/>
      <c r="GI33"/>
      <c r="GJ33"/>
      <c r="GK33"/>
      <c r="GL33" s="4"/>
      <c r="GM33" s="4"/>
      <c r="GN33" s="4"/>
      <c r="GO33" s="6"/>
      <c r="GP33" s="4"/>
      <c r="GQ33" s="4"/>
      <c r="GR33" s="4"/>
      <c r="GS33" s="4"/>
      <c r="GT33" s="4"/>
      <c r="GU33" s="4"/>
      <c r="GV33" s="4"/>
      <c r="GW33" s="6"/>
      <c r="GX33" s="6"/>
      <c r="GY33" s="6"/>
      <c r="GZ33" s="9"/>
      <c r="HA33"/>
      <c r="HB33"/>
      <c r="HC33"/>
      <c r="HD33"/>
      <c r="HE33"/>
      <c r="HF33"/>
      <c r="HG33" s="4"/>
      <c r="HH33" s="4"/>
      <c r="HI33" s="4"/>
      <c r="HJ33" s="6"/>
      <c r="HK33" s="4"/>
      <c r="HL33" s="4"/>
      <c r="HM33" s="4"/>
      <c r="HN33" s="4"/>
      <c r="HO33" s="4"/>
      <c r="HP33" s="4"/>
      <c r="HQ33" s="4"/>
      <c r="HR33" s="6"/>
      <c r="HS33" s="6"/>
      <c r="HT33" s="6"/>
      <c r="HU33" s="9"/>
      <c r="HV33"/>
      <c r="HW33"/>
      <c r="HX33"/>
      <c r="HY33"/>
      <c r="HZ33"/>
      <c r="IA33"/>
      <c r="IB33" s="4"/>
      <c r="IC33" s="4"/>
      <c r="ID33" s="4"/>
      <c r="IE33" s="6"/>
      <c r="IF33" s="4"/>
      <c r="IG33" s="4"/>
      <c r="IH33" s="4"/>
      <c r="II33" s="4"/>
      <c r="IJ33" s="4"/>
      <c r="IK33" s="4"/>
      <c r="IL33" s="4"/>
      <c r="IM33" s="6"/>
      <c r="IN33" s="6"/>
      <c r="IO33" s="6"/>
      <c r="IP33" s="9"/>
      <c r="IQ33"/>
      <c r="IR33"/>
      <c r="IS33"/>
      <c r="IT33"/>
      <c r="IU33"/>
      <c r="IV33"/>
      <c r="IW33" s="4"/>
      <c r="IX33" s="4"/>
      <c r="IY33" s="4"/>
      <c r="IZ33" s="6"/>
      <c r="JA33" s="4"/>
      <c r="JB33" s="4"/>
      <c r="JC33" s="4"/>
      <c r="JD33" s="4"/>
      <c r="JE33" s="4"/>
      <c r="JF33" s="4"/>
      <c r="JG33" s="4"/>
      <c r="JH33" s="6"/>
      <c r="JI33" s="6"/>
      <c r="JJ33" s="6"/>
      <c r="JK33" s="9"/>
      <c r="JL33"/>
    </row>
    <row r="34">
      <c r="A34" s="8">
        <v>25252</v>
      </c>
      <c r="B34" s="8">
        <v>25253</v>
      </c>
      <c r="C34" s="9">
        <f>B34-A34</f>
        <v>1</v>
      </c>
      <c r="D34" s="8">
        <v>25252</v>
      </c>
      <c r="E34" t="inlineStr">
        <is>
          <t xml:space="preserve">positive</t>
        </is>
      </c>
      <c r="F34" s="4">
        <v>1.0519116869539755</v>
      </c>
      <c r="G34" s="6">
        <v>0.013272709484707759</v>
      </c>
      <c r="H34" s="7">
        <f>SUM(CE34,CZ34,DU34,EP34,FK34,GF34,HA34,HV34,IQ34,JL34)</f>
        <v>0.013272709484707759</v>
      </c>
      <c r="I34" s="7">
        <f>G34-H34</f>
        <v>0</v>
      </c>
      <c r="J34" s="5">
        <f>F34*(1+H34)</f>
        <v>1.0658734051784846</v>
      </c>
      <c r="K34" s="4">
        <v>1.0658734051784846</v>
      </c>
      <c r="L34" s="5">
        <f>K34-J34</f>
        <v>0</v>
      </c>
      <c r="M34" s="4">
        <v>1.804</v>
      </c>
      <c r="N34" s="4">
        <v>1.829</v>
      </c>
      <c r="O34" s="5">
        <f>M34/$M$3</f>
        <v>0.9213483146067416</v>
      </c>
      <c r="P34" s="5">
        <f>N34/$M$3</f>
        <v>0.9341164453524005</v>
      </c>
      <c r="Q34" s="7">
        <f>IFERROR(N34/M34-1,0)</f>
        <v>0.013858093126385862</v>
      </c>
      <c r="R34" s="5">
        <f>SUM(IF(BM34="lease",BU34,0),IF(CH34="lease",CP34,0),IF(DC34="lease",DK34,0),IF(DX34="lease",EF34,0),IF(ES34="lease",FA34,0),IF(FN34="lease",FV34,0),IF(GI34="lease",GQ34,0),IF(HD34="lease",HL34,0),IF(HY34="lease",IG34,0),IF(IT34="lease",JB34,0))</f>
        <v>1.0519116869539755</v>
      </c>
      <c r="S34" s="5">
        <f>SUM(IF(BM34="lease",BV34,0),IF(CH34="lease",CQ34,0),IF(DC34="lease",DL34,0),IF(DX34="lease",EG34,0),IF(ES34="lease",FB34,0),IF(FN34="lease",FW34,0),IF(GI34="lease",GR34,0),IF(HD34="lease",HM34,0),IF(HY34="lease",IH34,0),IF(IT34="lease",JC34,0))</f>
        <v>1.0658734051784846</v>
      </c>
      <c r="T34" s="5">
        <f>SUM(IF(BM34="keep",BU34,0),IF(CH34="keep",CP34,0),IF(DC34="keep",DK34,0),IF(DX34="keep",EF34,0),IF(ES34="keep",FA34,0),IF(FN34="keep",FV34,0),IF(GI34="keep",GQ34,0),IF(HD34="keep",HL34,0),IF(HY34="keep",IG34,0),IF(IT34="keep",JB34,0))</f>
        <v>0</v>
      </c>
      <c r="U34" s="5">
        <f>SUM(IF(BM34="keep",BV34,0),IF(CH34="keep",CQ34,0),IF(DC34="keep",DL34,0),IF(DX34="keep",EG34,0),IF(ES34="keep",FB34,0),IF(FN34="keep",FW34,0),IF(GI34="keep",GR34,0),IF(HD34="keep",HM34,0),IF(HY34="keep",IH34,0),IF(IT34="keep",JC34,0))</f>
        <v>0</v>
      </c>
      <c r="V34" s="5">
        <f>R34/O34</f>
        <v>1.141709026084193</v>
      </c>
      <c r="W34" s="5">
        <f>S34/P34</f>
        <v>1.141049823586371</v>
      </c>
      <c r="X34" s="5">
        <f>T34/O34</f>
        <v>0</v>
      </c>
      <c r="Y34" s="5">
        <f>U34/P34</f>
        <v>0</v>
      </c>
      <c r="Z34" s="5">
        <f>V34+X34</f>
        <v>1.141709026084193</v>
      </c>
      <c r="AA34" s="7">
        <f>IFERROR(W34/V34-1,0)</f>
        <v>-0.0005773822250338956</v>
      </c>
      <c r="AB34" s="7">
        <f>IFERROR((W34-V34)/Z34,0)</f>
        <v>-0.000577382225033927</v>
      </c>
      <c r="AC34" s="7">
        <f>IFERROR(Y34/X34-1,0)</f>
        <v>0</v>
      </c>
      <c r="AD34" s="7">
        <f>IFERROR((Y34-X34)/Z34,0)</f>
        <v>0</v>
      </c>
      <c r="AE34" s="7">
        <f>AB34+AD34</f>
        <v>-0.000577382225033927</v>
      </c>
      <c r="AF34" s="7">
        <f>(1+Q34)*(1+AE34)-1</f>
        <v>0.013272709484707823</v>
      </c>
      <c r="AG34" s="7">
        <f>G34-AF34</f>
        <v>-6.418476861114186e-17</v>
      </c>
      <c r="AH34" s="5">
        <f>SUM(IF(BM34="lease",BW34,0),IF(CH34="lease",CR34,0),IF(DC34="lease",DM34,0),IF(DX34="lease",EH34,0),IF(ES34="lease",FC34,0),IF(FN34="lease",FX34,0),IF(GI34="lease",GS34,0),IF(HD34="lease",HN34,0),IF(HY34="lease",II34,0),IF(IT34="lease",JD34,0))</f>
        <v>0.01396171822450897</v>
      </c>
      <c r="AI34" s="5">
        <f>SUM(IF(BM34="keep",BW34,0),IF(CH34="keep",CR34,0),IF(DC34="keep",DM34,0),IF(DX34="keep",EH34,0),IF(ES34="keep",FC34,0),IF(FN34="keep",FX34,0),IF(GI34="keep",GS34,0),IF(HD34="keep",HN34,0),IF(HY34="keep",II34,0),IF(IT34="keep",JD34,0))</f>
        <v>0</v>
      </c>
      <c r="AJ34" s="5">
        <f>SUM(IF(BM34="lease",BX34,0),IF(CH34="lease",CS34,0),IF(DC34="lease",DN34,0),IF(DX34="lease",EI34,0),IF(ES34="lease",FD34,0),IF(FN34="lease",FY34,0),IF(GI34="lease",GT34,0),IF(HD34="lease",HO34,0),IF(HY34="lease",IJ34,0),IF(IT34="lease",JE34,0))</f>
        <v>0</v>
      </c>
      <c r="AK34" s="5">
        <f>SUM(IF(BM34="keep",BX34,0),IF(CH34="keep",CS34,0),IF(DC34="keep",DN34,0),IF(DX34="keep",EI34,0),IF(ES34="keep",FD34,0),IF(FN34="keep",FY34,0),IF(GI34="keep",GT34,0),IF(HD34="keep",HO34,0),IF(HY34="keep",IJ34,0),IF(IT34="keep",JE34,0))</f>
        <v>0</v>
      </c>
      <c r="AL34" s="5">
        <f>R34-S33</f>
        <v>0</v>
      </c>
      <c r="AM34" s="5">
        <f>T34-U33</f>
        <v>0</v>
      </c>
      <c r="AN34" s="5">
        <f>AN33</f>
        <v>1</v>
      </c>
      <c r="AO34" s="5">
        <f>AO33+AH34</f>
        <v>0.06587340517848483</v>
      </c>
      <c r="AP34" s="5">
        <f>AP33+AL34</f>
        <v>-2.220446049250313e-16</v>
      </c>
      <c r="AQ34" s="5">
        <f>AN34+AO34+AP34</f>
        <v>1.0658734051784846</v>
      </c>
      <c r="AR34" s="5">
        <f>S34-AQ34</f>
        <v>0</v>
      </c>
      <c r="AS34" s="5">
        <f>AS33</f>
        <v>0</v>
      </c>
      <c r="AT34" s="5">
        <f>AT33+AI34</f>
        <v>0</v>
      </c>
      <c r="AU34" s="5">
        <f>AU33+AM34</f>
        <v>0</v>
      </c>
      <c r="AV34" s="5">
        <f>AS34+AT34+AU34</f>
        <v>0</v>
      </c>
      <c r="AW34" s="5">
        <f>U34-AV34</f>
        <v>0</v>
      </c>
      <c r="AX34" s="4">
        <v>1.0519116869539755</v>
      </c>
      <c r="AY34" s="4">
        <v>1.0658734051784844</v>
      </c>
      <c r="AZ34" s="5">
        <f>S34-AY34</f>
        <v>2.220446049250313e-16</v>
      </c>
      <c r="BA34" s="4">
        <v>0</v>
      </c>
      <c r="BB34" s="4">
        <v>0</v>
      </c>
      <c r="BC34" s="5">
        <f>U34-BB34</f>
        <v>0</v>
      </c>
      <c r="BD34" s="7">
        <f>SUM(IF(BL34="direct",CE34,0),IF(CG34="direct",CZ34,0),IF(DB34="direct",DU34,0),IF(DW34="direct",EP34,0),IF(ER34="direct",FK34,0),IF(FM34="direct",GF34,0),IF(GH34="direct",HA34,0),IF(HC34="direct",HV34,0),IF(HX34="direct",IQ34,0),IF(IS34="direct",JL34,0))</f>
        <v>0.01271682304187941</v>
      </c>
      <c r="BE34" s="7">
        <f>SUM(IF(BL34="treasury",CE34,0),IF(CG34="treasury",CZ34,0),IF(DB34="treasury",DU34,0),IF(DW34="treasury",EP34,0),IF(ER34="treasury",FK34,0),IF(FM34="treasury",GF34,0),IF(GH34="treasury",HA34,0),IF(HC34="treasury",HV34,0),IF(HX34="treasury",IQ34,0),IF(IS34="treasury",JL34,0))</f>
        <v>0.000013799636498265248</v>
      </c>
      <c r="BF34" s="7">
        <f>SUM(IF(BL34="future",CE34,0),IF(CG34="future",CZ34,0),IF(DB34="future",DU34,0),IF(DW34="future",EP34,0),IF(ER34="future",FK34,0),IF(FM34="future",GF34,0),IF(GH34="future",HA34,0),IF(HC34="future",HV34,0),IF(HX34="future",IQ34,0),IF(IS34="future",JL34,0))</f>
        <v>0.000542086806330083</v>
      </c>
      <c r="BG34" s="7">
        <f>SUM(IF(BL34="cash",CE34,0),IF(CG34="cash",CZ34,0),IF(DB34="cash",DU34,0),IF(DW34="cash",EP34,0),IF(ER34="cash",FK34,0),IF(FM34="cash",GF34,0),IF(GH34="cash",HA34,0),IF(HC34="cash",HV34,0),IF(HX34="cash",IQ34,0),IF(IS34="cash",JL34,0))</f>
        <v>0</v>
      </c>
      <c r="BH34" s="7">
        <f>SUM(BD34:BG34)</f>
        <v>0.013272709484707759</v>
      </c>
      <c r="BI34" s="7">
        <f>G34-BH34</f>
        <v>0</v>
      </c>
      <c r="BJ34" s="9">
        <f>COUNTA(BK34,CF34,DA34,DV34,EQ34,FL34,GG34,HB34,HW34,IR34)</f>
        <v>5</v>
      </c>
      <c r="BK34" t="inlineStr">
        <is>
          <t xml:space="preserve">Direct commodity holding</t>
        </is>
      </c>
      <c r="BL34" t="inlineStr">
        <is>
          <t xml:space="preserve">direct</t>
        </is>
      </c>
      <c r="BM34" t="inlineStr">
        <is>
          <t xml:space="preserve">lease</t>
        </is>
      </c>
      <c r="BN34" t="inlineStr">
        <is>
          <t xml:space="preserve">long</t>
        </is>
      </c>
      <c r="BO34"/>
      <c r="BP34" s="4">
        <v>1.804</v>
      </c>
      <c r="BQ34" s="4">
        <v>1.829</v>
      </c>
      <c r="BR34" s="4">
        <v>0.53534358287961</v>
      </c>
      <c r="BS34" s="6">
        <v>0.918099718343629</v>
      </c>
      <c r="BT34" s="4">
        <v>0.9657598235148166</v>
      </c>
      <c r="BU34" s="4">
        <v>0.9657598235148166</v>
      </c>
      <c r="BV34" s="4">
        <v>0.9791434130868067</v>
      </c>
      <c r="BW34" s="4">
        <v>0.013376974778678557</v>
      </c>
      <c r="BX34" s="4">
        <v>0.000006614793311593772</v>
      </c>
      <c r="BY34" s="4">
        <v>1.804</v>
      </c>
      <c r="BZ34" s="4">
        <v>1.829</v>
      </c>
      <c r="CA34" s="6"/>
      <c r="CB34" s="6"/>
      <c r="CC34" s="6"/>
      <c r="CD34" s="9"/>
      <c r="CE34" s="7">
        <f>IFERROR(BW34/F34,0)</f>
        <v>0.01271682304187941</v>
      </c>
      <c r="CF34" t="inlineStr">
        <is>
          <t xml:space="preserve">Treasury collateral</t>
        </is>
      </c>
      <c r="CG34" t="inlineStr">
        <is>
          <t xml:space="preserve">treasury</t>
        </is>
      </c>
      <c r="CH34" t="inlineStr">
        <is>
          <t xml:space="preserve">lease</t>
        </is>
      </c>
      <c r="CI34" t="inlineStr">
        <is>
          <t xml:space="preserve">long</t>
        </is>
      </c>
      <c r="CJ34"/>
      <c r="CK34" s="4">
        <v>100.79274238573545</v>
      </c>
      <c r="CL34" s="4">
        <v>100.80972527246621</v>
      </c>
      <c r="CM34" s="4">
        <v>0.0008547427265095573</v>
      </c>
      <c r="CN34" s="6">
        <v>0.08190028165637099</v>
      </c>
      <c r="CO34" s="4">
        <v>0.08615186343915894</v>
      </c>
      <c r="CP34" s="4">
        <v>0.08615186343915894</v>
      </c>
      <c r="CQ34" s="4">
        <v>0.0861663794380672</v>
      </c>
      <c r="CR34" s="4">
        <v>0.00001451599890824185</v>
      </c>
      <c r="CS34" s="4">
        <v>1.2541169817047171e-17</v>
      </c>
      <c r="CT34" s="4">
        <v>1.804</v>
      </c>
      <c r="CU34" s="4">
        <v>1.829</v>
      </c>
      <c r="CV34" s="6"/>
      <c r="CW34" s="6"/>
      <c r="CX34" s="6"/>
      <c r="CY34" s="9">
        <v>37</v>
      </c>
      <c r="CZ34" s="7">
        <f>IFERROR(CR34/F34,0)</f>
        <v>0.000013799636498265248</v>
      </c>
      <c r="DA34" t="inlineStr">
        <is>
          <t xml:space="preserve">SI69H</t>
        </is>
      </c>
      <c r="DB34" t="inlineStr">
        <is>
          <t xml:space="preserve">future</t>
        </is>
      </c>
      <c r="DC34" t="inlineStr">
        <is>
          <t xml:space="preserve">lease</t>
        </is>
      </c>
      <c r="DD34" t="inlineStr">
        <is>
          <t xml:space="preserve">long</t>
        </is>
      </c>
      <c r="DE34" t="inlineStr">
        <is>
          <t xml:space="preserve">regular</t>
        </is>
      </c>
      <c r="DF34" s="4">
        <v>1.8130000000000002</v>
      </c>
      <c r="DG34" s="4">
        <v>1.825</v>
      </c>
      <c r="DH34" s="4">
        <v>0.04751895391018143</v>
      </c>
      <c r="DI34" s="6">
        <v>0.08190028165637099</v>
      </c>
      <c r="DJ34" s="4">
        <v>0.08615186343915894</v>
      </c>
      <c r="DK34" s="4">
        <v>0</v>
      </c>
      <c r="DL34" s="4">
        <v>0</v>
      </c>
      <c r="DM34" s="4">
        <v>0.0005702274469221706</v>
      </c>
      <c r="DN34" s="4">
        <v>-0.0005702274469221706</v>
      </c>
      <c r="DO34" s="4">
        <v>1.804</v>
      </c>
      <c r="DP34" s="4">
        <v>1.829</v>
      </c>
      <c r="DQ34" s="6">
        <v>0.004988913525499017</v>
      </c>
      <c r="DR34" s="6">
        <v>0.061500000000000006</v>
      </c>
      <c r="DS34" s="6">
        <v>0.012285042248455648</v>
      </c>
      <c r="DT34" s="9">
        <v>37</v>
      </c>
      <c r="DU34" s="7">
        <f>IFERROR(DM34/F34,0)</f>
        <v>0.000542086806330083</v>
      </c>
      <c r="DV34" t="inlineStr">
        <is>
          <t xml:space="preserve">Lease cash / margin / financing</t>
        </is>
      </c>
      <c r="DW34" t="inlineStr">
        <is>
          <t xml:space="preserve">cash</t>
        </is>
      </c>
      <c r="DX34" t="inlineStr">
        <is>
          <t xml:space="preserve">lease</t>
        </is>
      </c>
      <c r="DY34" t="inlineStr">
        <is>
          <t xml:space="preserve">cash</t>
        </is>
      </c>
      <c r="DZ34"/>
      <c r="EA34" s="4">
        <v>1</v>
      </c>
      <c r="EB34" s="4">
        <v>1</v>
      </c>
      <c r="EC34" s="4">
        <v>0</v>
      </c>
      <c r="ED34" s="6"/>
      <c r="EE34" s="4">
        <v>0</v>
      </c>
      <c r="EF34" s="4">
        <v>0</v>
      </c>
      <c r="EG34" s="4">
        <v>0.0005636126536105642</v>
      </c>
      <c r="EH34" s="4">
        <v>0</v>
      </c>
      <c r="EI34" s="4">
        <v>0.0005636126536105642</v>
      </c>
      <c r="EJ34" s="4">
        <v>1.804</v>
      </c>
      <c r="EK34" s="4">
        <v>1.829</v>
      </c>
      <c r="EL34" s="6"/>
      <c r="EM34" s="6"/>
      <c r="EN34" s="6"/>
      <c r="EO34" s="9"/>
      <c r="EP34" s="7">
        <f>IFERROR(EH34/F34,0)</f>
        <v>0</v>
      </c>
      <c r="EQ34" t="inlineStr">
        <is>
          <t xml:space="preserve">Keep cash / margin / financing</t>
        </is>
      </c>
      <c r="ER34" t="inlineStr">
        <is>
          <t xml:space="preserve">cash</t>
        </is>
      </c>
      <c r="ES34" t="inlineStr">
        <is>
          <t xml:space="preserve">keep</t>
        </is>
      </c>
      <c r="ET34" t="inlineStr">
        <is>
          <t xml:space="preserve">cash</t>
        </is>
      </c>
      <c r="EU34"/>
      <c r="EV34" s="4">
        <v>1</v>
      </c>
      <c r="EW34" s="4">
        <v>1</v>
      </c>
      <c r="EX34" s="4">
        <v>0</v>
      </c>
      <c r="EY34" s="6"/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1.804</v>
      </c>
      <c r="FF34" s="4">
        <v>1.829</v>
      </c>
      <c r="FG34" s="6"/>
      <c r="FH34" s="6"/>
      <c r="FI34" s="6"/>
      <c r="FJ34" s="9"/>
      <c r="FK34" s="7">
        <f>IFERROR(FC34/F34,0)</f>
        <v>0</v>
      </c>
      <c r="FL34"/>
      <c r="FM34"/>
      <c r="FN34"/>
      <c r="FO34"/>
      <c r="FP34"/>
      <c r="FQ34" s="4"/>
      <c r="FR34" s="4"/>
      <c r="FS34" s="4"/>
      <c r="FT34" s="6"/>
      <c r="FU34" s="4"/>
      <c r="FV34" s="4"/>
      <c r="FW34" s="4"/>
      <c r="FX34" s="4"/>
      <c r="FY34" s="4"/>
      <c r="FZ34" s="4"/>
      <c r="GA34" s="4"/>
      <c r="GB34" s="6"/>
      <c r="GC34" s="6"/>
      <c r="GD34" s="6"/>
      <c r="GE34" s="9"/>
      <c r="GF34"/>
      <c r="GG34"/>
      <c r="GH34"/>
      <c r="GI34"/>
      <c r="GJ34"/>
      <c r="GK34"/>
      <c r="GL34" s="4"/>
      <c r="GM34" s="4"/>
      <c r="GN34" s="4"/>
      <c r="GO34" s="6"/>
      <c r="GP34" s="4"/>
      <c r="GQ34" s="4"/>
      <c r="GR34" s="4"/>
      <c r="GS34" s="4"/>
      <c r="GT34" s="4"/>
      <c r="GU34" s="4"/>
      <c r="GV34" s="4"/>
      <c r="GW34" s="6"/>
      <c r="GX34" s="6"/>
      <c r="GY34" s="6"/>
      <c r="GZ34" s="9"/>
      <c r="HA34"/>
      <c r="HB34"/>
      <c r="HC34"/>
      <c r="HD34"/>
      <c r="HE34"/>
      <c r="HF34"/>
      <c r="HG34" s="4"/>
      <c r="HH34" s="4"/>
      <c r="HI34" s="4"/>
      <c r="HJ34" s="6"/>
      <c r="HK34" s="4"/>
      <c r="HL34" s="4"/>
      <c r="HM34" s="4"/>
      <c r="HN34" s="4"/>
      <c r="HO34" s="4"/>
      <c r="HP34" s="4"/>
      <c r="HQ34" s="4"/>
      <c r="HR34" s="6"/>
      <c r="HS34" s="6"/>
      <c r="HT34" s="6"/>
      <c r="HU34" s="9"/>
      <c r="HV34"/>
      <c r="HW34"/>
      <c r="HX34"/>
      <c r="HY34"/>
      <c r="HZ34"/>
      <c r="IA34"/>
      <c r="IB34" s="4"/>
      <c r="IC34" s="4"/>
      <c r="ID34" s="4"/>
      <c r="IE34" s="6"/>
      <c r="IF34" s="4"/>
      <c r="IG34" s="4"/>
      <c r="IH34" s="4"/>
      <c r="II34" s="4"/>
      <c r="IJ34" s="4"/>
      <c r="IK34" s="4"/>
      <c r="IL34" s="4"/>
      <c r="IM34" s="6"/>
      <c r="IN34" s="6"/>
      <c r="IO34" s="6"/>
      <c r="IP34" s="9"/>
      <c r="IQ34"/>
      <c r="IR34"/>
      <c r="IS34"/>
      <c r="IT34"/>
      <c r="IU34"/>
      <c r="IV34"/>
      <c r="IW34" s="4"/>
      <c r="IX34" s="4"/>
      <c r="IY34" s="4"/>
      <c r="IZ34" s="6"/>
      <c r="JA34" s="4"/>
      <c r="JB34" s="4"/>
      <c r="JC34" s="4"/>
      <c r="JD34" s="4"/>
      <c r="JE34" s="4"/>
      <c r="JF34" s="4"/>
      <c r="JG34" s="4"/>
      <c r="JH34" s="6"/>
      <c r="JI34" s="6"/>
      <c r="JJ34" s="6"/>
      <c r="JK34" s="9"/>
      <c r="JL34"/>
    </row>
    <row r="35">
      <c r="A35" s="8">
        <v>25253</v>
      </c>
      <c r="B35" s="8">
        <v>25254</v>
      </c>
      <c r="C35" s="9">
        <f>B35-A35</f>
        <v>1</v>
      </c>
      <c r="D35" s="8">
        <v>25253</v>
      </c>
      <c r="E35" t="inlineStr">
        <is>
          <t xml:space="preserve">positive</t>
        </is>
      </c>
      <c r="F35" s="4">
        <v>1.0658734051784846</v>
      </c>
      <c r="G35" s="6">
        <v>0.003785701730541858</v>
      </c>
      <c r="H35" s="7">
        <f>SUM(CE35,CZ35,DU35,EP35,FK35,GF35,HA35,HV35,IQ35,JL35)</f>
        <v>0.003785701730541859</v>
      </c>
      <c r="I35" s="7">
        <f>G35-H35</f>
        <v>-8.673617379884035e-19</v>
      </c>
      <c r="J35" s="5">
        <f>F35*(1+H35)</f>
        <v>1.0699084839730073</v>
      </c>
      <c r="K35" s="4">
        <v>1.0699084839730073</v>
      </c>
      <c r="L35" s="5">
        <f>K35-J35</f>
        <v>0</v>
      </c>
      <c r="M35" s="4">
        <v>1.829</v>
      </c>
      <c r="N35" s="4">
        <v>1.843</v>
      </c>
      <c r="O35" s="5">
        <f>M35/$M$3</f>
        <v>0.9341164453524005</v>
      </c>
      <c r="P35" s="5">
        <f>N35/$M$3</f>
        <v>0.9412665985699694</v>
      </c>
      <c r="Q35" s="7">
        <f>IFERROR(N35/M35-1,0)</f>
        <v>0.007654455986878084</v>
      </c>
      <c r="R35" s="5">
        <f>SUM(IF(BM35="lease",BU35,0),IF(CH35="lease",CP35,0),IF(DC35="lease",DK35,0),IF(DX35="lease",EF35,0),IF(ES35="lease",FA35,0),IF(FN35="lease",FV35,0),IF(GI35="lease",GQ35,0),IF(HD35="lease",HL35,0),IF(HY35="lease",IG35,0),IF(IT35="lease",JB35,0))</f>
        <v>1.0658734051784844</v>
      </c>
      <c r="S35" s="5">
        <f>SUM(IF(BM35="lease",BV35,0),IF(CH35="lease",CQ35,0),IF(DC35="lease",DL35,0),IF(DX35="lease",EG35,0),IF(ES35="lease",FB35,0),IF(FN35="lease",FW35,0),IF(GI35="lease",GR35,0),IF(HD35="lease",HM35,0),IF(HY35="lease",IH35,0),IF(IT35="lease",JC35,0))</f>
        <v>1.0699084839730073</v>
      </c>
      <c r="T35" s="5">
        <f>SUM(IF(BM35="keep",BU35,0),IF(CH35="keep",CP35,0),IF(DC35="keep",DK35,0),IF(DX35="keep",EF35,0),IF(ES35="keep",FA35,0),IF(FN35="keep",FV35,0),IF(GI35="keep",GQ35,0),IF(HD35="keep",HL35,0),IF(HY35="keep",IG35,0),IF(IT35="keep",JB35,0))</f>
        <v>0</v>
      </c>
      <c r="U35" s="5">
        <f>SUM(IF(BM35="keep",BV35,0),IF(CH35="keep",CQ35,0),IF(DC35="keep",DL35,0),IF(DX35="keep",EG35,0),IF(ES35="keep",FB35,0),IF(FN35="keep",FW35,0),IF(GI35="keep",GR35,0),IF(HD35="keep",HM35,0),IF(HY35="keep",IH35,0),IF(IT35="keep",JC35,0))</f>
        <v>0</v>
      </c>
      <c r="V35" s="5">
        <f>R35/O35</f>
        <v>1.1410498235863709</v>
      </c>
      <c r="W35" s="5">
        <f>S35/P35</f>
        <v>1.1366689156913445</v>
      </c>
      <c r="X35" s="5">
        <f>T35/O35</f>
        <v>0</v>
      </c>
      <c r="Y35" s="5">
        <f>U35/P35</f>
        <v>0</v>
      </c>
      <c r="Z35" s="5">
        <f>V35+X35</f>
        <v>1.1410498235863709</v>
      </c>
      <c r="AA35" s="7">
        <f>IFERROR(W35/V35-1,0)</f>
        <v>-0.003839365998284716</v>
      </c>
      <c r="AB35" s="7">
        <f>IFERROR((W35-V35)/Z35,0)</f>
        <v>-0.003839365998284746</v>
      </c>
      <c r="AC35" s="7">
        <f>IFERROR(Y35/X35-1,0)</f>
        <v>0</v>
      </c>
      <c r="AD35" s="7">
        <f>IFERROR((Y35-X35)/Z35,0)</f>
        <v>0</v>
      </c>
      <c r="AE35" s="7">
        <f>AB35+AD35</f>
        <v>-0.003839365998284746</v>
      </c>
      <c r="AF35" s="7">
        <f>(1+Q35)*(1+AE35)-1</f>
        <v>0.003785701730542046</v>
      </c>
      <c r="AG35" s="7">
        <f>G35-AF35</f>
        <v>-1.8778381627448937e-16</v>
      </c>
      <c r="AH35" s="5">
        <f>SUM(IF(BM35="lease",BW35,0),IF(CH35="lease",CR35,0),IF(DC35="lease",DM35,0),IF(DX35="lease",EH35,0),IF(ES35="lease",FC35,0),IF(FN35="lease",FX35,0),IF(GI35="lease",GS35,0),IF(HD35="lease",HN35,0),IF(HY35="lease",II35,0),IF(IT35="lease",JD35,0))</f>
        <v>0.004035078794522733</v>
      </c>
      <c r="AI35" s="5">
        <f>SUM(IF(BM35="keep",BW35,0),IF(CH35="keep",CR35,0),IF(DC35="keep",DM35,0),IF(DX35="keep",EH35,0),IF(ES35="keep",FC35,0),IF(FN35="keep",FX35,0),IF(GI35="keep",GS35,0),IF(HD35="keep",HN35,0),IF(HY35="keep",II35,0),IF(IT35="keep",JD35,0))</f>
        <v>0</v>
      </c>
      <c r="AJ35" s="5">
        <f>SUM(IF(BM35="lease",BX35,0),IF(CH35="lease",CS35,0),IF(DC35="lease",DN35,0),IF(DX35="lease",EI35,0),IF(ES35="lease",FD35,0),IF(FN35="lease",FY35,0),IF(GI35="lease",GT35,0),IF(HD35="lease",HO35,0),IF(HY35="lease",IJ35,0),IF(IT35="lease",JE35,0))</f>
        <v>0</v>
      </c>
      <c r="AK35" s="5">
        <f>SUM(IF(BM35="keep",BX35,0),IF(CH35="keep",CS35,0),IF(DC35="keep",DN35,0),IF(DX35="keep",EI35,0),IF(ES35="keep",FD35,0),IF(FN35="keep",FY35,0),IF(GI35="keep",GT35,0),IF(HD35="keep",HO35,0),IF(HY35="keep",IJ35,0),IF(IT35="keep",JE35,0))</f>
        <v>0</v>
      </c>
      <c r="AL35" s="5">
        <f>R35-S34</f>
        <v>-2.220446049250313e-16</v>
      </c>
      <c r="AM35" s="5">
        <f>T35-U34</f>
        <v>0</v>
      </c>
      <c r="AN35" s="5">
        <f>AN34</f>
        <v>1</v>
      </c>
      <c r="AO35" s="5">
        <f>AO34+AH35</f>
        <v>0.06990848397300757</v>
      </c>
      <c r="AP35" s="5">
        <f>AP34+AL35</f>
        <v>-4.440892098500626e-16</v>
      </c>
      <c r="AQ35" s="5">
        <f>AN35+AO35+AP35</f>
        <v>1.069908483973007</v>
      </c>
      <c r="AR35" s="5">
        <f>S35-AQ35</f>
        <v>2.220446049250313e-16</v>
      </c>
      <c r="AS35" s="5">
        <f>AS34</f>
        <v>0</v>
      </c>
      <c r="AT35" s="5">
        <f>AT34+AI35</f>
        <v>0</v>
      </c>
      <c r="AU35" s="5">
        <f>AU34+AM35</f>
        <v>0</v>
      </c>
      <c r="AV35" s="5">
        <f>AS35+AT35+AU35</f>
        <v>0</v>
      </c>
      <c r="AW35" s="5">
        <f>U35-AV35</f>
        <v>0</v>
      </c>
      <c r="AX35" s="4">
        <v>1.0658734051784844</v>
      </c>
      <c r="AY35" s="4">
        <v>1.069908483973007</v>
      </c>
      <c r="AZ35" s="5">
        <f>S35-AY35</f>
        <v>2.220446049250313e-16</v>
      </c>
      <c r="BA35" s="4">
        <v>0</v>
      </c>
      <c r="BB35" s="4">
        <v>0</v>
      </c>
      <c r="BC35" s="5">
        <f>U35-BB35</f>
        <v>0</v>
      </c>
      <c r="BD35" s="7">
        <f>SUM(IF(BL35="direct",CE35,0),IF(CG35="direct",CZ35,0),IF(DB35="direct",DU35,0),IF(DW35="direct",EP35,0),IF(ER35="direct",FK35,0),IF(FM35="direct",GF35,0),IF(GH35="direct",HA35,0),IF(HC35="direct",HV35,0),IF(HX35="direct",IQ35,0),IF(IS35="direct",JL35,0))</f>
        <v>0.003386685384935799</v>
      </c>
      <c r="BE35" s="7">
        <f>SUM(IF(BL35="treasury",CE35,0),IF(CG35="treasury",CZ35,0),IF(DB35="treasury",DU35,0),IF(DW35="treasury",EP35,0),IF(ER35="treasury",FK35,0),IF(FM35="treasury",GF35,0),IF(GH35="treasury",HA35,0),IF(HC35="treasury",HV35,0),IF(HX35="treasury",IQ35,0),IF(IS35="treasury",JL35,0))</f>
        <v>0.0000937245739105488</v>
      </c>
      <c r="BF35" s="7">
        <f>SUM(IF(BL35="future",CE35,0),IF(CG35="future",CZ35,0),IF(DB35="future",DU35,0),IF(DW35="future",EP35,0),IF(ER35="future",FK35,0),IF(FM35="future",GF35,0),IF(GH35="future",HA35,0),IF(HC35="future",HV35,0),IF(HX35="future",IQ35,0),IF(IS35="future",JL35,0))</f>
        <v>0.0003052917716955109</v>
      </c>
      <c r="BG35" s="7">
        <f>SUM(IF(BL35="cash",CE35,0),IF(CG35="cash",CZ35,0),IF(DB35="cash",DU35,0),IF(DW35="cash",EP35,0),IF(ER35="cash",FK35,0),IF(FM35="cash",GF35,0),IF(GH35="cash",HA35,0),IF(HC35="cash",HV35,0),IF(HX35="cash",IQ35,0),IF(IS35="cash",JL35,0))</f>
        <v>0</v>
      </c>
      <c r="BH35" s="7">
        <f>SUM(BD35:BG35)</f>
        <v>0.0037857017305418586</v>
      </c>
      <c r="BI35" s="7">
        <f>G35-BH35</f>
        <v>-4.336808689942018e-19</v>
      </c>
      <c r="BJ35" s="9">
        <f>COUNTA(BK35,CF35,DA35,DV35,EQ35,FL35,GG35,HB35,HW35,IR35)</f>
        <v>5</v>
      </c>
      <c r="BK35" t="inlineStr">
        <is>
          <t xml:space="preserve">Direct commodity holding</t>
        </is>
      </c>
      <c r="BL35" t="inlineStr">
        <is>
          <t xml:space="preserve">direct</t>
        </is>
      </c>
      <c r="BM35" t="inlineStr">
        <is>
          <t xml:space="preserve">lease</t>
        </is>
      </c>
      <c r="BN35" t="inlineStr">
        <is>
          <t xml:space="preserve">long</t>
        </is>
      </c>
      <c r="BO35"/>
      <c r="BP35" s="4">
        <v>1.829</v>
      </c>
      <c r="BQ35" s="4">
        <v>1.843</v>
      </c>
      <c r="BR35" s="4">
        <v>0.2580722040379672</v>
      </c>
      <c r="BS35" s="6">
        <v>0.44284251665553226</v>
      </c>
      <c r="BT35" s="4">
        <v>0.47201406118544204</v>
      </c>
      <c r="BU35" s="4">
        <v>0.47201406118544204</v>
      </c>
      <c r="BV35" s="4">
        <v>0.4756270720419736</v>
      </c>
      <c r="BW35" s="4">
        <v>0.003609777883509727</v>
      </c>
      <c r="BX35" s="4">
        <v>0.00000323297302181301</v>
      </c>
      <c r="BY35" s="4">
        <v>1.829</v>
      </c>
      <c r="BZ35" s="4">
        <v>1.843</v>
      </c>
      <c r="CA35" s="6"/>
      <c r="CB35" s="6"/>
      <c r="CC35" s="6"/>
      <c r="CD35" s="9"/>
      <c r="CE35" s="7">
        <f>IFERROR(BW35/F35,0)</f>
        <v>0.003386685384935799</v>
      </c>
      <c r="CF35" t="inlineStr">
        <is>
          <t xml:space="preserve">Treasury collateral</t>
        </is>
      </c>
      <c r="CG35" t="inlineStr">
        <is>
          <t xml:space="preserve">treasury</t>
        </is>
      </c>
      <c r="CH35" t="inlineStr">
        <is>
          <t xml:space="preserve">lease</t>
        </is>
      </c>
      <c r="CI35" t="inlineStr">
        <is>
          <t xml:space="preserve">long</t>
        </is>
      </c>
      <c r="CJ35"/>
      <c r="CK35" s="4">
        <v>100.80972527246621</v>
      </c>
      <c r="CL35" s="4">
        <v>100.82668340159424</v>
      </c>
      <c r="CM35" s="4">
        <v>0.005890893387398619</v>
      </c>
      <c r="CN35" s="6">
        <v>0.5571574833444677</v>
      </c>
      <c r="CO35" s="4">
        <v>0.5938593439930426</v>
      </c>
      <c r="CP35" s="4">
        <v>0.5938593439930426</v>
      </c>
      <c r="CQ35" s="4">
        <v>0.5939592425237855</v>
      </c>
      <c r="CR35" s="4">
        <v>0.0000998985307429392</v>
      </c>
      <c r="CS35" s="4">
        <v>-5.796415864650628e-17</v>
      </c>
      <c r="CT35" s="4">
        <v>1.829</v>
      </c>
      <c r="CU35" s="4">
        <v>1.843</v>
      </c>
      <c r="CV35" s="6"/>
      <c r="CW35" s="6"/>
      <c r="CX35" s="6"/>
      <c r="CY35" s="9">
        <v>36</v>
      </c>
      <c r="CZ35" s="7">
        <f>IFERROR(CR35/F35,0)</f>
        <v>0.0000937245739105488</v>
      </c>
      <c r="DA35" t="inlineStr">
        <is>
          <t xml:space="preserve">SI69H</t>
        </is>
      </c>
      <c r="DB35" t="inlineStr">
        <is>
          <t xml:space="preserve">future</t>
        </is>
      </c>
      <c r="DC35" t="inlineStr">
        <is>
          <t xml:space="preserve">lease</t>
        </is>
      </c>
      <c r="DD35" t="inlineStr">
        <is>
          <t xml:space="preserve">long</t>
        </is>
      </c>
      <c r="DE35" t="inlineStr">
        <is>
          <t xml:space="preserve">regular</t>
        </is>
      </c>
      <c r="DF35" s="4">
        <v>1.825</v>
      </c>
      <c r="DG35" s="4">
        <v>1.8259999999999998</v>
      </c>
      <c r="DH35" s="4">
        <v>0.32540238027016033</v>
      </c>
      <c r="DI35" s="6">
        <v>0.5571574833444677</v>
      </c>
      <c r="DJ35" s="4">
        <v>0.5938593439930426</v>
      </c>
      <c r="DK35" s="4">
        <v>0</v>
      </c>
      <c r="DL35" s="4">
        <v>0</v>
      </c>
      <c r="DM35" s="4">
        <v>0.0003254023802700667</v>
      </c>
      <c r="DN35" s="4">
        <v>-0.0003254023802700667</v>
      </c>
      <c r="DO35" s="4">
        <v>1.829</v>
      </c>
      <c r="DP35" s="4">
        <v>1.843</v>
      </c>
      <c r="DQ35" s="6">
        <v>-0.002186987424822262</v>
      </c>
      <c r="DR35" s="6">
        <v>0.0614</v>
      </c>
      <c r="DS35" s="6">
        <v>0.08357362250167015</v>
      </c>
      <c r="DT35" s="9">
        <v>36</v>
      </c>
      <c r="DU35" s="7">
        <f>IFERROR(DM35/F35,0)</f>
        <v>0.0003052917716955109</v>
      </c>
      <c r="DV35" t="inlineStr">
        <is>
          <t xml:space="preserve">Lease cash / margin / financing</t>
        </is>
      </c>
      <c r="DW35" t="inlineStr">
        <is>
          <t xml:space="preserve">cash</t>
        </is>
      </c>
      <c r="DX35" t="inlineStr">
        <is>
          <t xml:space="preserve">lease</t>
        </is>
      </c>
      <c r="DY35" t="inlineStr">
        <is>
          <t xml:space="preserve">cash</t>
        </is>
      </c>
      <c r="DZ35"/>
      <c r="EA35" s="4">
        <v>1</v>
      </c>
      <c r="EB35" s="4">
        <v>1</v>
      </c>
      <c r="EC35" s="4">
        <v>-2.220446049250313e-16</v>
      </c>
      <c r="ED35" s="6"/>
      <c r="EE35" s="4">
        <v>-2.220446049250313e-16</v>
      </c>
      <c r="EF35" s="4">
        <v>-2.220446049250313e-16</v>
      </c>
      <c r="EG35" s="4">
        <v>0.0003221694072480896</v>
      </c>
      <c r="EH35" s="4">
        <v>0</v>
      </c>
      <c r="EI35" s="4">
        <v>0.00032216940724831165</v>
      </c>
      <c r="EJ35" s="4">
        <v>1.829</v>
      </c>
      <c r="EK35" s="4">
        <v>1.843</v>
      </c>
      <c r="EL35" s="6"/>
      <c r="EM35" s="6"/>
      <c r="EN35" s="6"/>
      <c r="EO35" s="9"/>
      <c r="EP35" s="7">
        <f>IFERROR(EH35/F35,0)</f>
        <v>0</v>
      </c>
      <c r="EQ35" t="inlineStr">
        <is>
          <t xml:space="preserve">Keep cash / margin / financing</t>
        </is>
      </c>
      <c r="ER35" t="inlineStr">
        <is>
          <t xml:space="preserve">cash</t>
        </is>
      </c>
      <c r="ES35" t="inlineStr">
        <is>
          <t xml:space="preserve">keep</t>
        </is>
      </c>
      <c r="ET35" t="inlineStr">
        <is>
          <t xml:space="preserve">cash</t>
        </is>
      </c>
      <c r="EU35"/>
      <c r="EV35" s="4">
        <v>1</v>
      </c>
      <c r="EW35" s="4">
        <v>1</v>
      </c>
      <c r="EX35" s="4">
        <v>0</v>
      </c>
      <c r="EY35" s="6"/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1.829</v>
      </c>
      <c r="FF35" s="4">
        <v>1.843</v>
      </c>
      <c r="FG35" s="6"/>
      <c r="FH35" s="6"/>
      <c r="FI35" s="6"/>
      <c r="FJ35" s="9"/>
      <c r="FK35" s="7">
        <f>IFERROR(FC35/F35,0)</f>
        <v>0</v>
      </c>
      <c r="FL35"/>
      <c r="FM35"/>
      <c r="FN35"/>
      <c r="FO35"/>
      <c r="FP35"/>
      <c r="FQ35" s="4"/>
      <c r="FR35" s="4"/>
      <c r="FS35" s="4"/>
      <c r="FT35" s="6"/>
      <c r="FU35" s="4"/>
      <c r="FV35" s="4"/>
      <c r="FW35" s="4"/>
      <c r="FX35" s="4"/>
      <c r="FY35" s="4"/>
      <c r="FZ35" s="4"/>
      <c r="GA35" s="4"/>
      <c r="GB35" s="6"/>
      <c r="GC35" s="6"/>
      <c r="GD35" s="6"/>
      <c r="GE35" s="9"/>
      <c r="GF35"/>
      <c r="GG35"/>
      <c r="GH35"/>
      <c r="GI35"/>
      <c r="GJ35"/>
      <c r="GK35"/>
      <c r="GL35" s="4"/>
      <c r="GM35" s="4"/>
      <c r="GN35" s="4"/>
      <c r="GO35" s="6"/>
      <c r="GP35" s="4"/>
      <c r="GQ35" s="4"/>
      <c r="GR35" s="4"/>
      <c r="GS35" s="4"/>
      <c r="GT35" s="4"/>
      <c r="GU35" s="4"/>
      <c r="GV35" s="4"/>
      <c r="GW35" s="6"/>
      <c r="GX35" s="6"/>
      <c r="GY35" s="6"/>
      <c r="GZ35" s="9"/>
      <c r="HA35"/>
      <c r="HB35"/>
      <c r="HC35"/>
      <c r="HD35"/>
      <c r="HE35"/>
      <c r="HF35"/>
      <c r="HG35" s="4"/>
      <c r="HH35" s="4"/>
      <c r="HI35" s="4"/>
      <c r="HJ35" s="6"/>
      <c r="HK35" s="4"/>
      <c r="HL35" s="4"/>
      <c r="HM35" s="4"/>
      <c r="HN35" s="4"/>
      <c r="HO35" s="4"/>
      <c r="HP35" s="4"/>
      <c r="HQ35" s="4"/>
      <c r="HR35" s="6"/>
      <c r="HS35" s="6"/>
      <c r="HT35" s="6"/>
      <c r="HU35" s="9"/>
      <c r="HV35"/>
      <c r="HW35"/>
      <c r="HX35"/>
      <c r="HY35"/>
      <c r="HZ35"/>
      <c r="IA35"/>
      <c r="IB35" s="4"/>
      <c r="IC35" s="4"/>
      <c r="ID35" s="4"/>
      <c r="IE35" s="6"/>
      <c r="IF35" s="4"/>
      <c r="IG35" s="4"/>
      <c r="IH35" s="4"/>
      <c r="II35" s="4"/>
      <c r="IJ35" s="4"/>
      <c r="IK35" s="4"/>
      <c r="IL35" s="4"/>
      <c r="IM35" s="6"/>
      <c r="IN35" s="6"/>
      <c r="IO35" s="6"/>
      <c r="IP35" s="9"/>
      <c r="IQ35"/>
      <c r="IR35"/>
      <c r="IS35"/>
      <c r="IT35"/>
      <c r="IU35"/>
      <c r="IV35"/>
      <c r="IW35" s="4"/>
      <c r="IX35" s="4"/>
      <c r="IY35" s="4"/>
      <c r="IZ35" s="6"/>
      <c r="JA35" s="4"/>
      <c r="JB35" s="4"/>
      <c r="JC35" s="4"/>
      <c r="JD35" s="4"/>
      <c r="JE35" s="4"/>
      <c r="JF35" s="4"/>
      <c r="JG35" s="4"/>
      <c r="JH35" s="6"/>
      <c r="JI35" s="6"/>
      <c r="JJ35" s="6"/>
      <c r="JK35" s="9"/>
      <c r="JL35"/>
    </row>
    <row r="36">
      <c r="A36" s="8">
        <v>25254</v>
      </c>
      <c r="B36" s="8">
        <v>25258</v>
      </c>
      <c r="C36" s="9">
        <f>B36-A36</f>
        <v>4</v>
      </c>
      <c r="D36" s="8">
        <v>25254</v>
      </c>
      <c r="E36" t="inlineStr">
        <is>
          <t xml:space="preserve">positive</t>
        </is>
      </c>
      <c r="F36" s="4">
        <v>1.0699084839730073</v>
      </c>
      <c r="G36" s="6">
        <v>-0.025621760566550057</v>
      </c>
      <c r="H36" s="7">
        <f>SUM(CE36,CZ36,DU36,EP36,FK36,GF36,HA36,HV36,IQ36,JL36)</f>
        <v>-0.025621760566550057</v>
      </c>
      <c r="I36" s="7">
        <f>G36-H36</f>
        <v>0</v>
      </c>
      <c r="J36" s="5">
        <f>F36*(1+H36)</f>
        <v>1.0424955449685303</v>
      </c>
      <c r="K36" s="4">
        <v>1.0424955449685303</v>
      </c>
      <c r="L36" s="5">
        <f>K36-J36</f>
        <v>0</v>
      </c>
      <c r="M36" s="4">
        <v>1.843</v>
      </c>
      <c r="N36" s="4">
        <v>1.833</v>
      </c>
      <c r="O36" s="5">
        <f>M36/$M$3</f>
        <v>0.9412665985699694</v>
      </c>
      <c r="P36" s="5">
        <f>N36/$M$3</f>
        <v>0.9361593462717058</v>
      </c>
      <c r="Q36" s="7">
        <f>IFERROR(N36/M36-1,0)</f>
        <v>-0.005425935973955465</v>
      </c>
      <c r="R36" s="5">
        <f>SUM(IF(BM36="lease",BU36,0),IF(CH36="lease",CP36,0),IF(DC36="lease",DK36,0),IF(DX36="lease",EF36,0),IF(ES36="lease",FA36,0),IF(FN36="lease",FV36,0),IF(GI36="lease",GQ36,0),IF(HD36="lease",HL36,0),IF(HY36="lease",IG36,0),IF(IT36="lease",JB36,0))</f>
        <v>1.069908483973007</v>
      </c>
      <c r="S36" s="5">
        <f>SUM(IF(BM36="lease",BV36,0),IF(CH36="lease",CQ36,0),IF(DC36="lease",DL36,0),IF(DX36="lease",EG36,0),IF(ES36="lease",FB36,0),IF(FN36="lease",FW36,0),IF(GI36="lease",GR36,0),IF(HD36="lease",HM36,0),IF(HY36="lease",IH36,0),IF(IT36="lease",JC36,0))</f>
        <v>1.04249554496853</v>
      </c>
      <c r="T36" s="5">
        <f>SUM(IF(BM36="keep",BU36,0),IF(CH36="keep",CP36,0),IF(DC36="keep",DK36,0),IF(DX36="keep",EF36,0),IF(ES36="keep",FA36,0),IF(FN36="keep",FV36,0),IF(GI36="keep",GQ36,0),IF(HD36="keep",HL36,0),IF(HY36="keep",IG36,0),IF(IT36="keep",JB36,0))</f>
        <v>0</v>
      </c>
      <c r="U36" s="5">
        <f>SUM(IF(BM36="keep",BV36,0),IF(CH36="keep",CQ36,0),IF(DC36="keep",DL36,0),IF(DX36="keep",EG36,0),IF(ES36="keep",FB36,0),IF(FN36="keep",FW36,0),IF(GI36="keep",GR36,0),IF(HD36="keep",HM36,0),IF(HY36="keep",IH36,0),IF(IT36="keep",JC36,0))</f>
        <v>0</v>
      </c>
      <c r="V36" s="5">
        <f>R36/O36</f>
        <v>1.1366689156913443</v>
      </c>
      <c r="W36" s="5">
        <f>S36/P36</f>
        <v>1.1135877125195754</v>
      </c>
      <c r="X36" s="5">
        <f>T36/O36</f>
        <v>0</v>
      </c>
      <c r="Y36" s="5">
        <f>U36/P36</f>
        <v>0</v>
      </c>
      <c r="Z36" s="5">
        <f>V36+X36</f>
        <v>1.1366689156913443</v>
      </c>
      <c r="AA36" s="7">
        <f>IFERROR(W36/V36-1,0)</f>
        <v>-0.020306003668386086</v>
      </c>
      <c r="AB36" s="7">
        <f>IFERROR((W36-V36)/Z36,0)</f>
        <v>-0.020306003668386086</v>
      </c>
      <c r="AC36" s="7">
        <f>IFERROR(Y36/X36-1,0)</f>
        <v>0</v>
      </c>
      <c r="AD36" s="7">
        <f>IFERROR((Y36-X36)/Z36,0)</f>
        <v>0</v>
      </c>
      <c r="AE36" s="7">
        <f>AB36+AD36</f>
        <v>-0.020306003668386086</v>
      </c>
      <c r="AF36" s="7">
        <f>(1+Q36)*(1+AE36)-1</f>
        <v>-0.025621760566549967</v>
      </c>
      <c r="AG36" s="7">
        <f>G36-AF36</f>
        <v>-9.020562075079397e-17</v>
      </c>
      <c r="AH36" s="5">
        <f>SUM(IF(BM36="lease",BW36,0),IF(CH36="lease",CR36,0),IF(DC36="lease",DM36,0),IF(DX36="lease",EH36,0),IF(ES36="lease",FC36,0),IF(FN36="lease",FX36,0),IF(GI36="lease",GS36,0),IF(HD36="lease",HN36,0),IF(HY36="lease",II36,0),IF(IT36="lease",JD36,0))</f>
        <v>-0.027412939004476954</v>
      </c>
      <c r="AI36" s="5">
        <f>SUM(IF(BM36="keep",BW36,0),IF(CH36="keep",CR36,0),IF(DC36="keep",DM36,0),IF(DX36="keep",EH36,0),IF(ES36="keep",FC36,0),IF(FN36="keep",FX36,0),IF(GI36="keep",GS36,0),IF(HD36="keep",HN36,0),IF(HY36="keep",II36,0),IF(IT36="keep",JD36,0))</f>
        <v>0</v>
      </c>
      <c r="AJ36" s="5">
        <f>SUM(IF(BM36="lease",BX36,0),IF(CH36="lease",CS36,0),IF(DC36="lease",DN36,0),IF(DX36="lease",EI36,0),IF(ES36="lease",FD36,0),IF(FN36="lease",FY36,0),IF(GI36="lease",GT36,0),IF(HD36="lease",HO36,0),IF(HY36="lease",IJ36,0),IF(IT36="lease",JE36,0))</f>
        <v>0</v>
      </c>
      <c r="AK36" s="5">
        <f>SUM(IF(BM36="keep",BX36,0),IF(CH36="keep",CS36,0),IF(DC36="keep",DN36,0),IF(DX36="keep",EI36,0),IF(ES36="keep",FD36,0),IF(FN36="keep",FY36,0),IF(GI36="keep",GT36,0),IF(HD36="keep",HO36,0),IF(HY36="keep",IJ36,0),IF(IT36="keep",JE36,0))</f>
        <v>0</v>
      </c>
      <c r="AL36" s="5">
        <f>R36-S35</f>
        <v>-2.220446049250313e-16</v>
      </c>
      <c r="AM36" s="5">
        <f>T36-U35</f>
        <v>0</v>
      </c>
      <c r="AN36" s="5">
        <f>AN35</f>
        <v>1</v>
      </c>
      <c r="AO36" s="5">
        <f>AO35+AH36</f>
        <v>0.04249554496853061</v>
      </c>
      <c r="AP36" s="5">
        <f>AP35+AL36</f>
        <v>-6.661338147750939e-16</v>
      </c>
      <c r="AQ36" s="5">
        <f>AN36+AO36+AP36</f>
        <v>1.04249554496853</v>
      </c>
      <c r="AR36" s="5">
        <f>S36-AQ36</f>
        <v>0</v>
      </c>
      <c r="AS36" s="5">
        <f>AS35</f>
        <v>0</v>
      </c>
      <c r="AT36" s="5">
        <f>AT35+AI36</f>
        <v>0</v>
      </c>
      <c r="AU36" s="5">
        <f>AU35+AM36</f>
        <v>0</v>
      </c>
      <c r="AV36" s="5">
        <f>AS36+AT36+AU36</f>
        <v>0</v>
      </c>
      <c r="AW36" s="5">
        <f>U36-AV36</f>
        <v>0</v>
      </c>
      <c r="AX36" s="4">
        <v>1.069908483973007</v>
      </c>
      <c r="AY36" s="4">
        <v>1.04249554496853</v>
      </c>
      <c r="AZ36" s="5">
        <f>S36-AY36</f>
        <v>0</v>
      </c>
      <c r="BA36" s="4">
        <v>0</v>
      </c>
      <c r="BB36" s="4">
        <v>0</v>
      </c>
      <c r="BC36" s="5">
        <f>U36-BB36</f>
        <v>0</v>
      </c>
      <c r="BD36" s="7">
        <f>SUM(IF(BL36="direct",CE36,0),IF(CG36="direct",CZ36,0),IF(DB36="direct",DU36,0),IF(DW36="direct",EP36,0),IF(ER36="direct",FK36,0),IF(FM36="direct",GF36,0),IF(GH36="direct",HA36,0),IF(HC36="direct",HV36,0),IF(HX36="direct",IQ36,0),IF(IS36="direct",JL36,0))</f>
        <v>0</v>
      </c>
      <c r="BE36" s="7">
        <f>SUM(IF(BL36="treasury",CE36,0),IF(CG36="treasury",CZ36,0),IF(DB36="treasury",DU36,0),IF(DW36="treasury",EP36,0),IF(ER36="treasury",FK36,0),IF(FM36="treasury",GF36,0),IF(GH36="treasury",HA36,0),IF(HC36="treasury",HV36,0),IF(HX36="treasury",IQ36,0),IF(IS36="treasury",JL36,0))</f>
        <v>0.0006652054794520549</v>
      </c>
      <c r="BF36" s="7">
        <f>SUM(IF(BL36="future",CE36,0),IF(CG36="future",CZ36,0),IF(DB36="future",DU36,0),IF(DW36="future",EP36,0),IF(ER36="future",FK36,0),IF(FM36="future",GF36,0),IF(GH36="future",HA36,0),IF(HC36="future",HV36,0),IF(HX36="future",IQ36,0),IF(IS36="future",JL36,0))</f>
        <v>-0.026286966046002114</v>
      </c>
      <c r="BG36" s="7">
        <f>SUM(IF(BL36="cash",CE36,0),IF(CG36="cash",CZ36,0),IF(DB36="cash",DU36,0),IF(DW36="cash",EP36,0),IF(ER36="cash",FK36,0),IF(FM36="cash",GF36,0),IF(GH36="cash",HA36,0),IF(HC36="cash",HV36,0),IF(HX36="cash",IQ36,0),IF(IS36="cash",JL36,0))</f>
        <v>0</v>
      </c>
      <c r="BH36" s="7">
        <f>SUM(BD36:BG36)</f>
        <v>-0.025621760566550057</v>
      </c>
      <c r="BI36" s="7">
        <f>G36-BH36</f>
        <v>0</v>
      </c>
      <c r="BJ36" s="9">
        <f>COUNTA(BK36,CF36,DA36,DV36,EQ36,FL36,GG36,HB36,HW36,IR36)</f>
        <v>4</v>
      </c>
      <c r="BK36" t="inlineStr">
        <is>
          <t xml:space="preserve">Treasury collateral</t>
        </is>
      </c>
      <c r="BL36" t="inlineStr">
        <is>
          <t xml:space="preserve">treasury</t>
        </is>
      </c>
      <c r="BM36" t="inlineStr">
        <is>
          <t xml:space="preserve">lease</t>
        </is>
      </c>
      <c r="BN36" t="inlineStr">
        <is>
          <t xml:space="preserve">long</t>
        </is>
      </c>
      <c r="BO36"/>
      <c r="BP36" s="4">
        <v>100.82668340159424</v>
      </c>
      <c r="BQ36" s="4">
        <v>100.89375386386796</v>
      </c>
      <c r="BR36" s="4">
        <v>0.010611362467528019</v>
      </c>
      <c r="BS36" s="6">
        <v>1</v>
      </c>
      <c r="BT36" s="4">
        <v>1.0699084839730073</v>
      </c>
      <c r="BU36" s="4">
        <v>1.0699084839730073</v>
      </c>
      <c r="BV36" s="4">
        <v>1.0706201929590584</v>
      </c>
      <c r="BW36" s="4">
        <v>0.0007117089860510855</v>
      </c>
      <c r="BX36" s="4">
        <v>2.168404344971009e-17</v>
      </c>
      <c r="BY36" s="4">
        <v>1.843</v>
      </c>
      <c r="BZ36" s="4">
        <v>1.833</v>
      </c>
      <c r="CA36" s="6"/>
      <c r="CB36" s="6"/>
      <c r="CC36" s="6"/>
      <c r="CD36" s="9">
        <v>35</v>
      </c>
      <c r="CE36" s="7">
        <f>IFERROR(BW36/F36,0)</f>
        <v>0.0006652054794520549</v>
      </c>
      <c r="CF36" t="inlineStr">
        <is>
          <t xml:space="preserve">SI69H</t>
        </is>
      </c>
      <c r="CG36" t="inlineStr">
        <is>
          <t xml:space="preserve">future</t>
        </is>
      </c>
      <c r="CH36" t="inlineStr">
        <is>
          <t xml:space="preserve">lease</t>
        </is>
      </c>
      <c r="CI36" t="inlineStr">
        <is>
          <t xml:space="preserve">long</t>
        </is>
      </c>
      <c r="CJ36" t="inlineStr">
        <is>
          <t xml:space="preserve">regular</t>
        </is>
      </c>
      <c r="CK36" s="4">
        <v>1.8259999999999998</v>
      </c>
      <c r="CL36" s="4">
        <v>1.778</v>
      </c>
      <c r="CM36" s="4">
        <v>0.5859301664693359</v>
      </c>
      <c r="CN36" s="6">
        <v>1</v>
      </c>
      <c r="CO36" s="4">
        <v>1.0699084839730073</v>
      </c>
      <c r="CP36" s="4">
        <v>0</v>
      </c>
      <c r="CQ36" s="4">
        <v>0</v>
      </c>
      <c r="CR36" s="4">
        <v>-0.02812464799052804</v>
      </c>
      <c r="CS36" s="4">
        <v>0.02812464799052804</v>
      </c>
      <c r="CT36" s="4">
        <v>1.843</v>
      </c>
      <c r="CU36" s="4">
        <v>1.833</v>
      </c>
      <c r="CV36" s="6">
        <v>-0.009224091155724423</v>
      </c>
      <c r="CW36" s="6">
        <v>0.0607</v>
      </c>
      <c r="CX36" s="6">
        <v>0.15689409348112615</v>
      </c>
      <c r="CY36" s="9">
        <v>35</v>
      </c>
      <c r="CZ36" s="7">
        <f>IFERROR(CR36/F36,0)</f>
        <v>-0.026286966046002114</v>
      </c>
      <c r="DA36" t="inlineStr">
        <is>
          <t xml:space="preserve">Lease cash / margin / financing</t>
        </is>
      </c>
      <c r="DB36" t="inlineStr">
        <is>
          <t xml:space="preserve">cash</t>
        </is>
      </c>
      <c r="DC36" t="inlineStr">
        <is>
          <t xml:space="preserve">lease</t>
        </is>
      </c>
      <c r="DD36" t="inlineStr">
        <is>
          <t xml:space="preserve">cash</t>
        </is>
      </c>
      <c r="DE36"/>
      <c r="DF36" s="4">
        <v>1</v>
      </c>
      <c r="DG36" s="4">
        <v>1</v>
      </c>
      <c r="DH36" s="4">
        <v>-2.220446049250313e-16</v>
      </c>
      <c r="DI36" s="6"/>
      <c r="DJ36" s="4">
        <v>-2.220446049250313e-16</v>
      </c>
      <c r="DK36" s="4">
        <v>-2.220446049250313e-16</v>
      </c>
      <c r="DL36" s="4">
        <v>-0.028124647990528284</v>
      </c>
      <c r="DM36" s="4">
        <v>0</v>
      </c>
      <c r="DN36" s="4">
        <v>-0.02812464799052806</v>
      </c>
      <c r="DO36" s="4">
        <v>1.843</v>
      </c>
      <c r="DP36" s="4">
        <v>1.833</v>
      </c>
      <c r="DQ36" s="6"/>
      <c r="DR36" s="6"/>
      <c r="DS36" s="6"/>
      <c r="DT36" s="9"/>
      <c r="DU36" s="7">
        <f>IFERROR(DM36/F36,0)</f>
        <v>0</v>
      </c>
      <c r="DV36" t="inlineStr">
        <is>
          <t xml:space="preserve">Keep cash / margin / financing</t>
        </is>
      </c>
      <c r="DW36" t="inlineStr">
        <is>
          <t xml:space="preserve">cash</t>
        </is>
      </c>
      <c r="DX36" t="inlineStr">
        <is>
          <t xml:space="preserve">keep</t>
        </is>
      </c>
      <c r="DY36" t="inlineStr">
        <is>
          <t xml:space="preserve">cash</t>
        </is>
      </c>
      <c r="DZ36"/>
      <c r="EA36" s="4">
        <v>1</v>
      </c>
      <c r="EB36" s="4">
        <v>1</v>
      </c>
      <c r="EC36" s="4">
        <v>0</v>
      </c>
      <c r="ED36" s="6"/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1.843</v>
      </c>
      <c r="EK36" s="4">
        <v>1.833</v>
      </c>
      <c r="EL36" s="6"/>
      <c r="EM36" s="6"/>
      <c r="EN36" s="6"/>
      <c r="EO36" s="9"/>
      <c r="EP36" s="7">
        <f>IFERROR(EH36/F36,0)</f>
        <v>0</v>
      </c>
      <c r="EQ36"/>
      <c r="ER36"/>
      <c r="ES36"/>
      <c r="ET36"/>
      <c r="EU36"/>
      <c r="EV36" s="4"/>
      <c r="EW36" s="4"/>
      <c r="EX36" s="4"/>
      <c r="EY36" s="6"/>
      <c r="EZ36" s="4"/>
      <c r="FA36" s="4"/>
      <c r="FB36" s="4"/>
      <c r="FC36" s="4"/>
      <c r="FD36" s="4"/>
      <c r="FE36" s="4"/>
      <c r="FF36" s="4"/>
      <c r="FG36" s="6"/>
      <c r="FH36" s="6"/>
      <c r="FI36" s="6"/>
      <c r="FJ36" s="9"/>
      <c r="FK36"/>
      <c r="FL36"/>
      <c r="FM36"/>
      <c r="FN36"/>
      <c r="FO36"/>
      <c r="FP36"/>
      <c r="FQ36" s="4"/>
      <c r="FR36" s="4"/>
      <c r="FS36" s="4"/>
      <c r="FT36" s="6"/>
      <c r="FU36" s="4"/>
      <c r="FV36" s="4"/>
      <c r="FW36" s="4"/>
      <c r="FX36" s="4"/>
      <c r="FY36" s="4"/>
      <c r="FZ36" s="4"/>
      <c r="GA36" s="4"/>
      <c r="GB36" s="6"/>
      <c r="GC36" s="6"/>
      <c r="GD36" s="6"/>
      <c r="GE36" s="9"/>
      <c r="GF36"/>
      <c r="GG36"/>
      <c r="GH36"/>
      <c r="GI36"/>
      <c r="GJ36"/>
      <c r="GK36"/>
      <c r="GL36" s="4"/>
      <c r="GM36" s="4"/>
      <c r="GN36" s="4"/>
      <c r="GO36" s="6"/>
      <c r="GP36" s="4"/>
      <c r="GQ36" s="4"/>
      <c r="GR36" s="4"/>
      <c r="GS36" s="4"/>
      <c r="GT36" s="4"/>
      <c r="GU36" s="4"/>
      <c r="GV36" s="4"/>
      <c r="GW36" s="6"/>
      <c r="GX36" s="6"/>
      <c r="GY36" s="6"/>
      <c r="GZ36" s="9"/>
      <c r="HA36"/>
      <c r="HB36"/>
      <c r="HC36"/>
      <c r="HD36"/>
      <c r="HE36"/>
      <c r="HF36"/>
      <c r="HG36" s="4"/>
      <c r="HH36" s="4"/>
      <c r="HI36" s="4"/>
      <c r="HJ36" s="6"/>
      <c r="HK36" s="4"/>
      <c r="HL36" s="4"/>
      <c r="HM36" s="4"/>
      <c r="HN36" s="4"/>
      <c r="HO36" s="4"/>
      <c r="HP36" s="4"/>
      <c r="HQ36" s="4"/>
      <c r="HR36" s="6"/>
      <c r="HS36" s="6"/>
      <c r="HT36" s="6"/>
      <c r="HU36" s="9"/>
      <c r="HV36"/>
      <c r="HW36"/>
      <c r="HX36"/>
      <c r="HY36"/>
      <c r="HZ36"/>
      <c r="IA36"/>
      <c r="IB36" s="4"/>
      <c r="IC36" s="4"/>
      <c r="ID36" s="4"/>
      <c r="IE36" s="6"/>
      <c r="IF36" s="4"/>
      <c r="IG36" s="4"/>
      <c r="IH36" s="4"/>
      <c r="II36" s="4"/>
      <c r="IJ36" s="4"/>
      <c r="IK36" s="4"/>
      <c r="IL36" s="4"/>
      <c r="IM36" s="6"/>
      <c r="IN36" s="6"/>
      <c r="IO36" s="6"/>
      <c r="IP36" s="9"/>
      <c r="IQ36"/>
      <c r="IR36"/>
      <c r="IS36"/>
      <c r="IT36"/>
      <c r="IU36"/>
      <c r="IV36"/>
      <c r="IW36" s="4"/>
      <c r="IX36" s="4"/>
      <c r="IY36" s="4"/>
      <c r="IZ36" s="6"/>
      <c r="JA36" s="4"/>
      <c r="JB36" s="4"/>
      <c r="JC36" s="4"/>
      <c r="JD36" s="4"/>
      <c r="JE36" s="4"/>
      <c r="JF36" s="4"/>
      <c r="JG36" s="4"/>
      <c r="JH36" s="6"/>
      <c r="JI36" s="6"/>
      <c r="JJ36" s="6"/>
      <c r="JK36" s="9"/>
      <c r="JL36"/>
    </row>
    <row r="37">
      <c r="A37" s="8">
        <v>25258</v>
      </c>
      <c r="B37" s="8">
        <v>25259</v>
      </c>
      <c r="C37" s="9">
        <f>B37-A37</f>
        <v>1</v>
      </c>
      <c r="D37" s="8">
        <v>25258</v>
      </c>
      <c r="E37" t="inlineStr">
        <is>
          <t xml:space="preserve">positive</t>
        </is>
      </c>
      <c r="F37" s="4">
        <v>1.0424955449685303</v>
      </c>
      <c r="G37" s="6">
        <v>-0.004335054008659853</v>
      </c>
      <c r="H37" s="7">
        <f>SUM(CE37,CZ37,DU37,EP37,FK37,GF37,HA37,HV37,IQ37,JL37)</f>
        <v>-0.004335054008659853</v>
      </c>
      <c r="I37" s="7">
        <f>G37-H37</f>
        <v>0</v>
      </c>
      <c r="J37" s="5">
        <f>F37*(1+H37)</f>
        <v>1.0379762704773043</v>
      </c>
      <c r="K37" s="4">
        <v>1.0379762704773043</v>
      </c>
      <c r="L37" s="5">
        <f>K37-J37</f>
        <v>0</v>
      </c>
      <c r="M37" s="4">
        <v>1.833</v>
      </c>
      <c r="N37" s="4">
        <v>1.803</v>
      </c>
      <c r="O37" s="5">
        <f>M37/$M$3</f>
        <v>0.9361593462717058</v>
      </c>
      <c r="P37" s="5">
        <f>N37/$M$3</f>
        <v>0.9208375893769152</v>
      </c>
      <c r="Q37" s="7">
        <f>IFERROR(N37/M37-1,0)</f>
        <v>-0.016366612111292977</v>
      </c>
      <c r="R37" s="5">
        <f>SUM(IF(BM37="lease",BU37,0),IF(CH37="lease",CP37,0),IF(DC37="lease",DK37,0),IF(DX37="lease",EF37,0),IF(ES37="lease",FA37,0),IF(FN37="lease",FV37,0),IF(GI37="lease",GQ37,0),IF(HD37="lease",HL37,0),IF(HY37="lease",IG37,0),IF(IT37="lease",JB37,0))</f>
        <v>1.04249554496853</v>
      </c>
      <c r="S37" s="5">
        <f>SUM(IF(BM37="lease",BV37,0),IF(CH37="lease",CQ37,0),IF(DC37="lease",DL37,0),IF(DX37="lease",EG37,0),IF(ES37="lease",FB37,0),IF(FN37="lease",FW37,0),IF(GI37="lease",GR37,0),IF(HD37="lease",HM37,0),IF(HY37="lease",IH37,0),IF(IT37="lease",JC37,0))</f>
        <v>1.0379762704773041</v>
      </c>
      <c r="T37" s="5">
        <f>SUM(IF(BM37="keep",BU37,0),IF(CH37="keep",CP37,0),IF(DC37="keep",DK37,0),IF(DX37="keep",EF37,0),IF(ES37="keep",FA37,0),IF(FN37="keep",FV37,0),IF(GI37="keep",GQ37,0),IF(HD37="keep",HL37,0),IF(HY37="keep",IG37,0),IF(IT37="keep",JB37,0))</f>
        <v>0</v>
      </c>
      <c r="U37" s="5">
        <f>SUM(IF(BM37="keep",BV37,0),IF(CH37="keep",CQ37,0),IF(DC37="keep",DL37,0),IF(DX37="keep",EG37,0),IF(ES37="keep",FB37,0),IF(FN37="keep",FW37,0),IF(GI37="keep",GR37,0),IF(HD37="keep",HM37,0),IF(HY37="keep",IH37,0),IF(IT37="keep",JC37,0))</f>
        <v>0</v>
      </c>
      <c r="V37" s="5">
        <f>R37/O37</f>
        <v>1.1135877125195754</v>
      </c>
      <c r="W37" s="5">
        <f>S37/P37</f>
        <v>1.127208839486723</v>
      </c>
      <c r="X37" s="5">
        <f>T37/O37</f>
        <v>0</v>
      </c>
      <c r="Y37" s="5">
        <f>U37/P37</f>
        <v>0</v>
      </c>
      <c r="Z37" s="5">
        <f>V37+X37</f>
        <v>1.1135877125195754</v>
      </c>
      <c r="AA37" s="7">
        <f>IFERROR(W37/V37-1,0)</f>
        <v>0.012231750417152742</v>
      </c>
      <c r="AB37" s="7">
        <f>IFERROR((W37-V37)/Z37,0)</f>
        <v>0.012231750417152817</v>
      </c>
      <c r="AC37" s="7">
        <f>IFERROR(Y37/X37-1,0)</f>
        <v>0</v>
      </c>
      <c r="AD37" s="7">
        <f>IFERROR((Y37-X37)/Z37,0)</f>
        <v>0</v>
      </c>
      <c r="AE37" s="7">
        <f>AB37+AD37</f>
        <v>0.012231750417152817</v>
      </c>
      <c r="AF37" s="7">
        <f>(1+Q37)*(1+AE37)-1</f>
        <v>-0.0043350540086599665</v>
      </c>
      <c r="AG37" s="7">
        <f>G37-AF37</f>
        <v>1.1362438767648086e-16</v>
      </c>
      <c r="AH37" s="5">
        <f>SUM(IF(BM37="lease",BW37,0),IF(CH37="lease",CR37,0),IF(DC37="lease",DM37,0),IF(DX37="lease",EH37,0),IF(ES37="lease",FC37,0),IF(FN37="lease",FX37,0),IF(GI37="lease",GS37,0),IF(HD37="lease",HN37,0),IF(HY37="lease",II37,0),IF(IT37="lease",JD37,0))</f>
        <v>-0.004519274491225865</v>
      </c>
      <c r="AI37" s="5">
        <f>SUM(IF(BM37="keep",BW37,0),IF(CH37="keep",CR37,0),IF(DC37="keep",DM37,0),IF(DX37="keep",EH37,0),IF(ES37="keep",FC37,0),IF(FN37="keep",FX37,0),IF(GI37="keep",GS37,0),IF(HD37="keep",HN37,0),IF(HY37="keep",II37,0),IF(IT37="keep",JD37,0))</f>
        <v>0</v>
      </c>
      <c r="AJ37" s="5">
        <f>SUM(IF(BM37="lease",BX37,0),IF(CH37="lease",CS37,0),IF(DC37="lease",DN37,0),IF(DX37="lease",EI37,0),IF(ES37="lease",FD37,0),IF(FN37="lease",FY37,0),IF(GI37="lease",GT37,0),IF(HD37="lease",HO37,0),IF(HY37="lease",IJ37,0),IF(IT37="lease",JE37,0))</f>
        <v>0</v>
      </c>
      <c r="AK37" s="5">
        <f>SUM(IF(BM37="keep",BX37,0),IF(CH37="keep",CS37,0),IF(DC37="keep",DN37,0),IF(DX37="keep",EI37,0),IF(ES37="keep",FD37,0),IF(FN37="keep",FY37,0),IF(GI37="keep",GT37,0),IF(HD37="keep",HO37,0),IF(HY37="keep",IJ37,0),IF(IT37="keep",JE37,0))</f>
        <v>0</v>
      </c>
      <c r="AL37" s="5">
        <f>R37-S36</f>
        <v>0</v>
      </c>
      <c r="AM37" s="5">
        <f>T37-U36</f>
        <v>0</v>
      </c>
      <c r="AN37" s="5">
        <f>AN36</f>
        <v>1</v>
      </c>
      <c r="AO37" s="5">
        <f>AO36+AH37</f>
        <v>0.03797627047730475</v>
      </c>
      <c r="AP37" s="5">
        <f>AP36+AL37</f>
        <v>-6.661338147750939e-16</v>
      </c>
      <c r="AQ37" s="5">
        <f>AN37+AO37+AP37</f>
        <v>1.0379762704773041</v>
      </c>
      <c r="AR37" s="5">
        <f>S37-AQ37</f>
        <v>0</v>
      </c>
      <c r="AS37" s="5">
        <f>AS36</f>
        <v>0</v>
      </c>
      <c r="AT37" s="5">
        <f>AT36+AI37</f>
        <v>0</v>
      </c>
      <c r="AU37" s="5">
        <f>AU36+AM37</f>
        <v>0</v>
      </c>
      <c r="AV37" s="5">
        <f>AS37+AT37+AU37</f>
        <v>0</v>
      </c>
      <c r="AW37" s="5">
        <f>U37-AV37</f>
        <v>0</v>
      </c>
      <c r="AX37" s="4">
        <v>1.04249554496853</v>
      </c>
      <c r="AY37" s="4">
        <v>1.0379762704773041</v>
      </c>
      <c r="AZ37" s="5">
        <f>S37-AY37</f>
        <v>0</v>
      </c>
      <c r="BA37" s="4">
        <v>0</v>
      </c>
      <c r="BB37" s="4">
        <v>0</v>
      </c>
      <c r="BC37" s="5">
        <f>U37-BB37</f>
        <v>0</v>
      </c>
      <c r="BD37" s="7">
        <f>SUM(IF(BL37="direct",CE37,0),IF(CG37="direct",CZ37,0),IF(DB37="direct",DU37,0),IF(DW37="direct",EP37,0),IF(ER37="direct",FK37,0),IF(FM37="direct",GF37,0),IF(GH37="direct",HA37,0),IF(HC37="direct",HV37,0),IF(HX37="direct",IQ37,0),IF(IS37="direct",JL37,0))</f>
        <v>0</v>
      </c>
      <c r="BE37" s="7">
        <f>SUM(IF(BL37="treasury",CE37,0),IF(CG37="treasury",CZ37,0),IF(DB37="treasury",DU37,0),IF(DW37="treasury",EP37,0),IF(ER37="treasury",FK37,0),IF(FM37="treasury",GF37,0),IF(GH37="treasury",HA37,0),IF(HC37="treasury",HV37,0),IF(HX37="treasury",IQ37,0),IF(IS37="treasury",JL37,0))</f>
        <v>0.00016438356164383562</v>
      </c>
      <c r="BF37" s="7">
        <f>SUM(IF(BL37="future",CE37,0),IF(CG37="future",CZ37,0),IF(DB37="future",DU37,0),IF(DW37="future",EP37,0),IF(ER37="future",FK37,0),IF(FM37="future",GF37,0),IF(GH37="future",HA37,0),IF(HC37="future",HV37,0),IF(HX37="future",IQ37,0),IF(IS37="future",JL37,0))</f>
        <v>-0.004499437570303688</v>
      </c>
      <c r="BG37" s="7">
        <f>SUM(IF(BL37="cash",CE37,0),IF(CG37="cash",CZ37,0),IF(DB37="cash",DU37,0),IF(DW37="cash",EP37,0),IF(ER37="cash",FK37,0),IF(FM37="cash",GF37,0),IF(GH37="cash",HA37,0),IF(HC37="cash",HV37,0),IF(HX37="cash",IQ37,0),IF(IS37="cash",JL37,0))</f>
        <v>0</v>
      </c>
      <c r="BH37" s="7">
        <f>SUM(BD37:BG37)</f>
        <v>-0.004335054008659853</v>
      </c>
      <c r="BI37" s="7">
        <f>G37-BH37</f>
        <v>0</v>
      </c>
      <c r="BJ37" s="9">
        <f>COUNTA(BK37,CF37,DA37,DV37,EQ37,FL37,GG37,HB37,HW37,IR37)</f>
        <v>4</v>
      </c>
      <c r="BK37" t="inlineStr">
        <is>
          <t xml:space="preserve">Treasury collateral</t>
        </is>
      </c>
      <c r="BL37" t="inlineStr">
        <is>
          <t xml:space="preserve">treasury</t>
        </is>
      </c>
      <c r="BM37" t="inlineStr">
        <is>
          <t xml:space="preserve">lease</t>
        </is>
      </c>
      <c r="BN37" t="inlineStr">
        <is>
          <t xml:space="preserve">long</t>
        </is>
      </c>
      <c r="BO37"/>
      <c r="BP37" s="4">
        <v>100.89375386386796</v>
      </c>
      <c r="BQ37" s="4">
        <v>100.9103391384757</v>
      </c>
      <c r="BR37" s="4">
        <v>0.010332607372059217</v>
      </c>
      <c r="BS37" s="6">
        <v>1</v>
      </c>
      <c r="BT37" s="4">
        <v>1.0424955449685303</v>
      </c>
      <c r="BU37" s="4">
        <v>1.0424955449685303</v>
      </c>
      <c r="BV37" s="4">
        <v>1.0426669140992098</v>
      </c>
      <c r="BW37" s="4">
        <v>0.0001713691306797584</v>
      </c>
      <c r="BX37" s="4">
        <v>-2.588532686809142e-16</v>
      </c>
      <c r="BY37" s="4">
        <v>1.833</v>
      </c>
      <c r="BZ37" s="4">
        <v>1.803</v>
      </c>
      <c r="CA37" s="6"/>
      <c r="CB37" s="6"/>
      <c r="CC37" s="6"/>
      <c r="CD37" s="9">
        <v>31</v>
      </c>
      <c r="CE37" s="7">
        <f>IFERROR(BW37/F37,0)</f>
        <v>0.00016438356164383562</v>
      </c>
      <c r="CF37" t="inlineStr">
        <is>
          <t xml:space="preserve">SI69H</t>
        </is>
      </c>
      <c r="CG37" t="inlineStr">
        <is>
          <t xml:space="preserve">future</t>
        </is>
      </c>
      <c r="CH37" t="inlineStr">
        <is>
          <t xml:space="preserve">lease</t>
        </is>
      </c>
      <c r="CI37" t="inlineStr">
        <is>
          <t xml:space="preserve">long</t>
        </is>
      </c>
      <c r="CJ37" t="inlineStr">
        <is>
          <t xml:space="preserve">regular</t>
        </is>
      </c>
      <c r="CK37" s="4">
        <v>1.778</v>
      </c>
      <c r="CL37" s="4">
        <v>1.77</v>
      </c>
      <c r="CM37" s="4">
        <v>0.5863304527382059</v>
      </c>
      <c r="CN37" s="6">
        <v>1</v>
      </c>
      <c r="CO37" s="4">
        <v>1.0424955449685303</v>
      </c>
      <c r="CP37" s="4">
        <v>0</v>
      </c>
      <c r="CQ37" s="4">
        <v>0</v>
      </c>
      <c r="CR37" s="4">
        <v>-0.004690643621905623</v>
      </c>
      <c r="CS37" s="4">
        <v>0.004690643621905623</v>
      </c>
      <c r="CT37" s="4">
        <v>1.833</v>
      </c>
      <c r="CU37" s="4">
        <v>1.803</v>
      </c>
      <c r="CV37" s="6">
        <v>-0.03000545553737044</v>
      </c>
      <c r="CW37" s="6">
        <v>0.06</v>
      </c>
      <c r="CX37" s="6">
        <v>0.41329004100452293</v>
      </c>
      <c r="CY37" s="9">
        <v>31</v>
      </c>
      <c r="CZ37" s="7">
        <f>IFERROR(CR37/F37,0)</f>
        <v>-0.004499437570303688</v>
      </c>
      <c r="DA37" t="inlineStr">
        <is>
          <t xml:space="preserve">Lease cash / margin / financing</t>
        </is>
      </c>
      <c r="DB37" t="inlineStr">
        <is>
          <t xml:space="preserve">cash</t>
        </is>
      </c>
      <c r="DC37" t="inlineStr">
        <is>
          <t xml:space="preserve">lease</t>
        </is>
      </c>
      <c r="DD37" t="inlineStr">
        <is>
          <t xml:space="preserve">cash</t>
        </is>
      </c>
      <c r="DE37"/>
      <c r="DF37" s="4">
        <v>1</v>
      </c>
      <c r="DG37" s="4">
        <v>1</v>
      </c>
      <c r="DH37" s="4">
        <v>-2.220446049250313e-16</v>
      </c>
      <c r="DI37" s="6"/>
      <c r="DJ37" s="4">
        <v>-2.220446049250313e-16</v>
      </c>
      <c r="DK37" s="4">
        <v>-2.220446049250313e-16</v>
      </c>
      <c r="DL37" s="4">
        <v>-0.0046906436219055865</v>
      </c>
      <c r="DM37" s="4">
        <v>0</v>
      </c>
      <c r="DN37" s="4">
        <v>-0.004690643621905364</v>
      </c>
      <c r="DO37" s="4">
        <v>1.833</v>
      </c>
      <c r="DP37" s="4">
        <v>1.803</v>
      </c>
      <c r="DQ37" s="6"/>
      <c r="DR37" s="6"/>
      <c r="DS37" s="6"/>
      <c r="DT37" s="9"/>
      <c r="DU37" s="7">
        <f>IFERROR(DM37/F37,0)</f>
        <v>0</v>
      </c>
      <c r="DV37" t="inlineStr">
        <is>
          <t xml:space="preserve">Keep cash / margin / financing</t>
        </is>
      </c>
      <c r="DW37" t="inlineStr">
        <is>
          <t xml:space="preserve">cash</t>
        </is>
      </c>
      <c r="DX37" t="inlineStr">
        <is>
          <t xml:space="preserve">keep</t>
        </is>
      </c>
      <c r="DY37" t="inlineStr">
        <is>
          <t xml:space="preserve">cash</t>
        </is>
      </c>
      <c r="DZ37"/>
      <c r="EA37" s="4">
        <v>1</v>
      </c>
      <c r="EB37" s="4">
        <v>1</v>
      </c>
      <c r="EC37" s="4">
        <v>0</v>
      </c>
      <c r="ED37" s="6"/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1.833</v>
      </c>
      <c r="EK37" s="4">
        <v>1.803</v>
      </c>
      <c r="EL37" s="6"/>
      <c r="EM37" s="6"/>
      <c r="EN37" s="6"/>
      <c r="EO37" s="9"/>
      <c r="EP37" s="7">
        <f>IFERROR(EH37/F37,0)</f>
        <v>0</v>
      </c>
      <c r="EQ37"/>
      <c r="ER37"/>
      <c r="ES37"/>
      <c r="ET37"/>
      <c r="EU37"/>
      <c r="EV37" s="4"/>
      <c r="EW37" s="4"/>
      <c r="EX37" s="4"/>
      <c r="EY37" s="6"/>
      <c r="EZ37" s="4"/>
      <c r="FA37" s="4"/>
      <c r="FB37" s="4"/>
      <c r="FC37" s="4"/>
      <c r="FD37" s="4"/>
      <c r="FE37" s="4"/>
      <c r="FF37" s="4"/>
      <c r="FG37" s="6"/>
      <c r="FH37" s="6"/>
      <c r="FI37" s="6"/>
      <c r="FJ37" s="9"/>
      <c r="FK37"/>
      <c r="FL37"/>
      <c r="FM37"/>
      <c r="FN37"/>
      <c r="FO37"/>
      <c r="FP37"/>
      <c r="FQ37" s="4"/>
      <c r="FR37" s="4"/>
      <c r="FS37" s="4"/>
      <c r="FT37" s="6"/>
      <c r="FU37" s="4"/>
      <c r="FV37" s="4"/>
      <c r="FW37" s="4"/>
      <c r="FX37" s="4"/>
      <c r="FY37" s="4"/>
      <c r="FZ37" s="4"/>
      <c r="GA37" s="4"/>
      <c r="GB37" s="6"/>
      <c r="GC37" s="6"/>
      <c r="GD37" s="6"/>
      <c r="GE37" s="9"/>
      <c r="GF37"/>
      <c r="GG37"/>
      <c r="GH37"/>
      <c r="GI37"/>
      <c r="GJ37"/>
      <c r="GK37"/>
      <c r="GL37" s="4"/>
      <c r="GM37" s="4"/>
      <c r="GN37" s="4"/>
      <c r="GO37" s="6"/>
      <c r="GP37" s="4"/>
      <c r="GQ37" s="4"/>
      <c r="GR37" s="4"/>
      <c r="GS37" s="4"/>
      <c r="GT37" s="4"/>
      <c r="GU37" s="4"/>
      <c r="GV37" s="4"/>
      <c r="GW37" s="6"/>
      <c r="GX37" s="6"/>
      <c r="GY37" s="6"/>
      <c r="GZ37" s="9"/>
      <c r="HA37"/>
      <c r="HB37"/>
      <c r="HC37"/>
      <c r="HD37"/>
      <c r="HE37"/>
      <c r="HF37"/>
      <c r="HG37" s="4"/>
      <c r="HH37" s="4"/>
      <c r="HI37" s="4"/>
      <c r="HJ37" s="6"/>
      <c r="HK37" s="4"/>
      <c r="HL37" s="4"/>
      <c r="HM37" s="4"/>
      <c r="HN37" s="4"/>
      <c r="HO37" s="4"/>
      <c r="HP37" s="4"/>
      <c r="HQ37" s="4"/>
      <c r="HR37" s="6"/>
      <c r="HS37" s="6"/>
      <c r="HT37" s="6"/>
      <c r="HU37" s="9"/>
      <c r="HV37"/>
      <c r="HW37"/>
      <c r="HX37"/>
      <c r="HY37"/>
      <c r="HZ37"/>
      <c r="IA37"/>
      <c r="IB37" s="4"/>
      <c r="IC37" s="4"/>
      <c r="ID37" s="4"/>
      <c r="IE37" s="6"/>
      <c r="IF37" s="4"/>
      <c r="IG37" s="4"/>
      <c r="IH37" s="4"/>
      <c r="II37" s="4"/>
      <c r="IJ37" s="4"/>
      <c r="IK37" s="4"/>
      <c r="IL37" s="4"/>
      <c r="IM37" s="6"/>
      <c r="IN37" s="6"/>
      <c r="IO37" s="6"/>
      <c r="IP37" s="9"/>
      <c r="IQ37"/>
      <c r="IR37"/>
      <c r="IS37"/>
      <c r="IT37"/>
      <c r="IU37"/>
      <c r="IV37"/>
      <c r="IW37" s="4"/>
      <c r="IX37" s="4"/>
      <c r="IY37" s="4"/>
      <c r="IZ37" s="6"/>
      <c r="JA37" s="4"/>
      <c r="JB37" s="4"/>
      <c r="JC37" s="4"/>
      <c r="JD37" s="4"/>
      <c r="JE37" s="4"/>
      <c r="JF37" s="4"/>
      <c r="JG37" s="4"/>
      <c r="JH37" s="6"/>
      <c r="JI37" s="6"/>
      <c r="JJ37" s="6"/>
      <c r="JK37" s="9"/>
      <c r="JL37"/>
    </row>
    <row r="38">
      <c r="A38" s="8">
        <v>25259</v>
      </c>
      <c r="B38" s="8">
        <v>25260</v>
      </c>
      <c r="C38" s="9">
        <f>B38-A38</f>
        <v>1</v>
      </c>
      <c r="D38" s="8">
        <v>25259</v>
      </c>
      <c r="E38" t="inlineStr">
        <is>
          <t xml:space="preserve">positive</t>
        </is>
      </c>
      <c r="F38" s="4">
        <v>1.0379762704773043</v>
      </c>
      <c r="G38" s="6">
        <v>0.019940860614503394</v>
      </c>
      <c r="H38" s="7">
        <f>SUM(CE38,CZ38,DU38,EP38,FK38,GF38,HA38,HV38,IQ38,JL38)</f>
        <v>0.019940860614503394</v>
      </c>
      <c r="I38" s="7">
        <f>G38-H38</f>
        <v>0</v>
      </c>
      <c r="J38" s="5">
        <f>F38*(1+H38)</f>
        <v>1.0586744106080543</v>
      </c>
      <c r="K38" s="4">
        <v>1.0586744106080543</v>
      </c>
      <c r="L38" s="5">
        <f>K38-J38</f>
        <v>0</v>
      </c>
      <c r="M38" s="4">
        <v>1.803</v>
      </c>
      <c r="N38" s="4">
        <v>1.799</v>
      </c>
      <c r="O38" s="5">
        <f>M38/$M$3</f>
        <v>0.9208375893769152</v>
      </c>
      <c r="P38" s="5">
        <f>N38/$M$3</f>
        <v>0.9187946884576098</v>
      </c>
      <c r="Q38" s="7">
        <f>IFERROR(N38/M38-1,0)</f>
        <v>-0.002218524681087075</v>
      </c>
      <c r="R38" s="5">
        <f>SUM(IF(BM38="lease",BU38,0),IF(CH38="lease",CP38,0),IF(DC38="lease",DK38,0),IF(DX38="lease",EF38,0),IF(ES38="lease",FA38,0),IF(FN38="lease",FV38,0),IF(GI38="lease",GQ38,0),IF(HD38="lease",HL38,0),IF(HY38="lease",IG38,0),IF(IT38="lease",JB38,0))</f>
        <v>1.0379762704773041</v>
      </c>
      <c r="S38" s="5">
        <f>SUM(IF(BM38="lease",BV38,0),IF(CH38="lease",CQ38,0),IF(DC38="lease",DL38,0),IF(DX38="lease",EG38,0),IF(ES38="lease",FB38,0),IF(FN38="lease",FW38,0),IF(GI38="lease",GR38,0),IF(HD38="lease",HM38,0),IF(HY38="lease",IH38,0),IF(IT38="lease",JC38,0))</f>
        <v>1.0586744106080541</v>
      </c>
      <c r="T38" s="5">
        <f>SUM(IF(BM38="keep",BU38,0),IF(CH38="keep",CP38,0),IF(DC38="keep",DK38,0),IF(DX38="keep",EF38,0),IF(ES38="keep",FA38,0),IF(FN38="keep",FV38,0),IF(GI38="keep",GQ38,0),IF(HD38="keep",HL38,0),IF(HY38="keep",IG38,0),IF(IT38="keep",JB38,0))</f>
        <v>0</v>
      </c>
      <c r="U38" s="5">
        <f>SUM(IF(BM38="keep",BV38,0),IF(CH38="keep",CQ38,0),IF(DC38="keep",DL38,0),IF(DX38="keep",EG38,0),IF(ES38="keep",FB38,0),IF(FN38="keep",FW38,0),IF(GI38="keep",GR38,0),IF(HD38="keep",HM38,0),IF(HY38="keep",IH38,0),IF(IT38="keep",JC38,0))</f>
        <v>0</v>
      </c>
      <c r="V38" s="5">
        <f>R38/O38</f>
        <v>1.127208839486723</v>
      </c>
      <c r="W38" s="5">
        <f>S38/P38</f>
        <v>1.152242632557293</v>
      </c>
      <c r="X38" s="5">
        <f>T38/O38</f>
        <v>0</v>
      </c>
      <c r="Y38" s="5">
        <f>U38/P38</f>
        <v>0</v>
      </c>
      <c r="Z38" s="5">
        <f>V38+X38</f>
        <v>1.127208839486723</v>
      </c>
      <c r="AA38" s="7">
        <f>IFERROR(W38/V38-1,0)</f>
        <v>0.022208655746497774</v>
      </c>
      <c r="AB38" s="7">
        <f>IFERROR((W38-V38)/Z38,0)</f>
        <v>0.022208655746497833</v>
      </c>
      <c r="AC38" s="7">
        <f>IFERROR(Y38/X38-1,0)</f>
        <v>0</v>
      </c>
      <c r="AD38" s="7">
        <f>IFERROR((Y38-X38)/Z38,0)</f>
        <v>0</v>
      </c>
      <c r="AE38" s="7">
        <f>AB38+AD38</f>
        <v>0.022208655746497833</v>
      </c>
      <c r="AF38" s="7">
        <f>(1+Q38)*(1+AE38)-1</f>
        <v>0.019940860614503286</v>
      </c>
      <c r="AG38" s="7">
        <f>G38-AF38</f>
        <v>1.0755285551056204e-16</v>
      </c>
      <c r="AH38" s="5">
        <f>SUM(IF(BM38="lease",BW38,0),IF(CH38="lease",CR38,0),IF(DC38="lease",DM38,0),IF(DX38="lease",EH38,0),IF(ES38="lease",FC38,0),IF(FN38="lease",FX38,0),IF(GI38="lease",GS38,0),IF(HD38="lease",HN38,0),IF(HY38="lease",II38,0),IF(IT38="lease",JD38,0))</f>
        <v>0.02069814013075</v>
      </c>
      <c r="AI38" s="5">
        <f>SUM(IF(BM38="keep",BW38,0),IF(CH38="keep",CR38,0),IF(DC38="keep",DM38,0),IF(DX38="keep",EH38,0),IF(ES38="keep",FC38,0),IF(FN38="keep",FX38,0),IF(GI38="keep",GS38,0),IF(HD38="keep",HN38,0),IF(HY38="keep",II38,0),IF(IT38="keep",JD38,0))</f>
        <v>0</v>
      </c>
      <c r="AJ38" s="5">
        <f>SUM(IF(BM38="lease",BX38,0),IF(CH38="lease",CS38,0),IF(DC38="lease",DN38,0),IF(DX38="lease",EI38,0),IF(ES38="lease",FD38,0),IF(FN38="lease",FY38,0),IF(GI38="lease",GT38,0),IF(HD38="lease",HO38,0),IF(HY38="lease",IJ38,0),IF(IT38="lease",JE38,0))</f>
        <v>0</v>
      </c>
      <c r="AK38" s="5">
        <f>SUM(IF(BM38="keep",BX38,0),IF(CH38="keep",CS38,0),IF(DC38="keep",DN38,0),IF(DX38="keep",EI38,0),IF(ES38="keep",FD38,0),IF(FN38="keep",FY38,0),IF(GI38="keep",GT38,0),IF(HD38="keep",HO38,0),IF(HY38="keep",IJ38,0),IF(IT38="keep",JE38,0))</f>
        <v>0</v>
      </c>
      <c r="AL38" s="5">
        <f>R38-S37</f>
        <v>0</v>
      </c>
      <c r="AM38" s="5">
        <f>T38-U37</f>
        <v>0</v>
      </c>
      <c r="AN38" s="5">
        <f>AN37</f>
        <v>1</v>
      </c>
      <c r="AO38" s="5">
        <f>AO37+AH38</f>
        <v>0.058674410608054756</v>
      </c>
      <c r="AP38" s="5">
        <f>AP37+AL38</f>
        <v>-6.661338147750939e-16</v>
      </c>
      <c r="AQ38" s="5">
        <f>AN38+AO38+AP38</f>
        <v>1.0586744106080541</v>
      </c>
      <c r="AR38" s="5">
        <f>S38-AQ38</f>
        <v>0</v>
      </c>
      <c r="AS38" s="5">
        <f>AS37</f>
        <v>0</v>
      </c>
      <c r="AT38" s="5">
        <f>AT37+AI38</f>
        <v>0</v>
      </c>
      <c r="AU38" s="5">
        <f>AU37+AM38</f>
        <v>0</v>
      </c>
      <c r="AV38" s="5">
        <f>AS38+AT38+AU38</f>
        <v>0</v>
      </c>
      <c r="AW38" s="5">
        <f>U38-AV38</f>
        <v>0</v>
      </c>
      <c r="AX38" s="4">
        <v>1.0379762704773041</v>
      </c>
      <c r="AY38" s="4">
        <v>1.0586744106080541</v>
      </c>
      <c r="AZ38" s="5">
        <f>S38-AY38</f>
        <v>0</v>
      </c>
      <c r="BA38" s="4">
        <v>0</v>
      </c>
      <c r="BB38" s="4">
        <v>0</v>
      </c>
      <c r="BC38" s="5">
        <f>U38-BB38</f>
        <v>0</v>
      </c>
      <c r="BD38" s="7">
        <f>SUM(IF(BL38="direct",CE38,0),IF(CG38="direct",CZ38,0),IF(DB38="direct",DU38,0),IF(DW38="direct",EP38,0),IF(ER38="direct",FK38,0),IF(FM38="direct",GF38,0),IF(GH38="direct",HA38,0),IF(HC38="direct",HV38,0),IF(HX38="direct",IQ38,0),IF(IS38="direct",JL38,0))</f>
        <v>0</v>
      </c>
      <c r="BE38" s="7">
        <f>SUM(IF(BL38="treasury",CE38,0),IF(CG38="treasury",CZ38,0),IF(DB38="treasury",DU38,0),IF(DW38="treasury",EP38,0),IF(ER38="treasury",FK38,0),IF(FM38="treasury",GF38,0),IF(GH38="treasury",HA38,0),IF(HC38="treasury",HV38,0),IF(HX38="treasury",IQ38,0),IF(IS38="treasury",JL38,0))</f>
        <v>0.00016684931506849313</v>
      </c>
      <c r="BF38" s="7">
        <f>SUM(IF(BL38="future",CE38,0),IF(CG38="future",CZ38,0),IF(DB38="future",DU38,0),IF(DW38="future",EP38,0),IF(ER38="future",FK38,0),IF(FM38="future",GF38,0),IF(GH38="future",HA38,0),IF(HC38="future",HV38,0),IF(HX38="future",IQ38,0),IF(IS38="future",JL38,0))</f>
        <v>0.0197740112994349</v>
      </c>
      <c r="BG38" s="7">
        <f>SUM(IF(BL38="cash",CE38,0),IF(CG38="cash",CZ38,0),IF(DB38="cash",DU38,0),IF(DW38="cash",EP38,0),IF(ER38="cash",FK38,0),IF(FM38="cash",GF38,0),IF(GH38="cash",HA38,0),IF(HC38="cash",HV38,0),IF(HX38="cash",IQ38,0),IF(IS38="cash",JL38,0))</f>
        <v>0</v>
      </c>
      <c r="BH38" s="7">
        <f>SUM(BD38:BG38)</f>
        <v>0.019940860614503394</v>
      </c>
      <c r="BI38" s="7">
        <f>G38-BH38</f>
        <v>0</v>
      </c>
      <c r="BJ38" s="9">
        <f>COUNTA(BK38,CF38,DA38,DV38,EQ38,FL38,GG38,HB38,HW38,IR38)</f>
        <v>4</v>
      </c>
      <c r="BK38" t="inlineStr">
        <is>
          <t xml:space="preserve">Treasury collateral</t>
        </is>
      </c>
      <c r="BL38" t="inlineStr">
        <is>
          <t xml:space="preserve">treasury</t>
        </is>
      </c>
      <c r="BM38" t="inlineStr">
        <is>
          <t xml:space="preserve">lease</t>
        </is>
      </c>
      <c r="BN38" t="inlineStr">
        <is>
          <t xml:space="preserve">long</t>
        </is>
      </c>
      <c r="BO38"/>
      <c r="BP38" s="4">
        <v>100.9103391384757</v>
      </c>
      <c r="BQ38" s="4">
        <v>100.9271759594443</v>
      </c>
      <c r="BR38" s="4">
        <v>0.010286124091337421</v>
      </c>
      <c r="BS38" s="6">
        <v>1</v>
      </c>
      <c r="BT38" s="4">
        <v>1.0379762704773043</v>
      </c>
      <c r="BU38" s="4">
        <v>1.0379762704773043</v>
      </c>
      <c r="BV38" s="4">
        <v>1.038149456107091</v>
      </c>
      <c r="BW38" s="4">
        <v>0.0001731856297864872</v>
      </c>
      <c r="BX38" s="4">
        <v>1.4468677991819057e-16</v>
      </c>
      <c r="BY38" s="4">
        <v>1.803</v>
      </c>
      <c r="BZ38" s="4">
        <v>1.799</v>
      </c>
      <c r="CA38" s="6"/>
      <c r="CB38" s="6"/>
      <c r="CC38" s="6"/>
      <c r="CD38" s="9">
        <v>30</v>
      </c>
      <c r="CE38" s="7">
        <f>IFERROR(BW38/F38,0)</f>
        <v>0.00016684931506849313</v>
      </c>
      <c r="CF38" t="inlineStr">
        <is>
          <t xml:space="preserve">SI69H</t>
        </is>
      </c>
      <c r="CG38" t="inlineStr">
        <is>
          <t xml:space="preserve">future</t>
        </is>
      </c>
      <c r="CH38" t="inlineStr">
        <is>
          <t xml:space="preserve">lease</t>
        </is>
      </c>
      <c r="CI38" t="inlineStr">
        <is>
          <t xml:space="preserve">long</t>
        </is>
      </c>
      <c r="CJ38" t="inlineStr">
        <is>
          <t xml:space="preserve">regular</t>
        </is>
      </c>
      <c r="CK38" s="4">
        <v>1.77</v>
      </c>
      <c r="CL38" s="4">
        <v>1.805</v>
      </c>
      <c r="CM38" s="4">
        <v>0.5864272714561042</v>
      </c>
      <c r="CN38" s="6">
        <v>1</v>
      </c>
      <c r="CO38" s="4">
        <v>1.0379762704773043</v>
      </c>
      <c r="CP38" s="4">
        <v>0</v>
      </c>
      <c r="CQ38" s="4">
        <v>0</v>
      </c>
      <c r="CR38" s="4">
        <v>0.020524954500963515</v>
      </c>
      <c r="CS38" s="4">
        <v>-0.020524954500963515</v>
      </c>
      <c r="CT38" s="4">
        <v>1.803</v>
      </c>
      <c r="CU38" s="4">
        <v>1.799</v>
      </c>
      <c r="CV38" s="6">
        <v>-0.01830282861896837</v>
      </c>
      <c r="CW38" s="6">
        <v>0.060899999999999996</v>
      </c>
      <c r="CX38" s="6">
        <v>0.2835844148641152</v>
      </c>
      <c r="CY38" s="9">
        <v>30</v>
      </c>
      <c r="CZ38" s="7">
        <f>IFERROR(CR38/F38,0)</f>
        <v>0.0197740112994349</v>
      </c>
      <c r="DA38" t="inlineStr">
        <is>
          <t xml:space="preserve">Lease cash / margin / financing</t>
        </is>
      </c>
      <c r="DB38" t="inlineStr">
        <is>
          <t xml:space="preserve">cash</t>
        </is>
      </c>
      <c r="DC38" t="inlineStr">
        <is>
          <t xml:space="preserve">lease</t>
        </is>
      </c>
      <c r="DD38" t="inlineStr">
        <is>
          <t xml:space="preserve">cash</t>
        </is>
      </c>
      <c r="DE38"/>
      <c r="DF38" s="4">
        <v>1</v>
      </c>
      <c r="DG38" s="4">
        <v>1</v>
      </c>
      <c r="DH38" s="4">
        <v>-2.220446049250313e-16</v>
      </c>
      <c r="DI38" s="6"/>
      <c r="DJ38" s="4">
        <v>-2.220446049250313e-16</v>
      </c>
      <c r="DK38" s="4">
        <v>-2.220446049250313e-16</v>
      </c>
      <c r="DL38" s="4">
        <v>0.020524954500963147</v>
      </c>
      <c r="DM38" s="4">
        <v>0</v>
      </c>
      <c r="DN38" s="4">
        <v>0.02052495450096337</v>
      </c>
      <c r="DO38" s="4">
        <v>1.803</v>
      </c>
      <c r="DP38" s="4">
        <v>1.799</v>
      </c>
      <c r="DQ38" s="6"/>
      <c r="DR38" s="6"/>
      <c r="DS38" s="6"/>
      <c r="DT38" s="9"/>
      <c r="DU38" s="7">
        <f>IFERROR(DM38/F38,0)</f>
        <v>0</v>
      </c>
      <c r="DV38" t="inlineStr">
        <is>
          <t xml:space="preserve">Keep cash / margin / financing</t>
        </is>
      </c>
      <c r="DW38" t="inlineStr">
        <is>
          <t xml:space="preserve">cash</t>
        </is>
      </c>
      <c r="DX38" t="inlineStr">
        <is>
          <t xml:space="preserve">keep</t>
        </is>
      </c>
      <c r="DY38" t="inlineStr">
        <is>
          <t xml:space="preserve">cash</t>
        </is>
      </c>
      <c r="DZ38"/>
      <c r="EA38" s="4">
        <v>1</v>
      </c>
      <c r="EB38" s="4">
        <v>1</v>
      </c>
      <c r="EC38" s="4">
        <v>0</v>
      </c>
      <c r="ED38" s="6"/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1.803</v>
      </c>
      <c r="EK38" s="4">
        <v>1.799</v>
      </c>
      <c r="EL38" s="6"/>
      <c r="EM38" s="6"/>
      <c r="EN38" s="6"/>
      <c r="EO38" s="9"/>
      <c r="EP38" s="7">
        <f>IFERROR(EH38/F38,0)</f>
        <v>0</v>
      </c>
      <c r="EQ38"/>
      <c r="ER38"/>
      <c r="ES38"/>
      <c r="ET38"/>
      <c r="EU38"/>
      <c r="EV38" s="4"/>
      <c r="EW38" s="4"/>
      <c r="EX38" s="4"/>
      <c r="EY38" s="6"/>
      <c r="EZ38" s="4"/>
      <c r="FA38" s="4"/>
      <c r="FB38" s="4"/>
      <c r="FC38" s="4"/>
      <c r="FD38" s="4"/>
      <c r="FE38" s="4"/>
      <c r="FF38" s="4"/>
      <c r="FG38" s="6"/>
      <c r="FH38" s="6"/>
      <c r="FI38" s="6"/>
      <c r="FJ38" s="9"/>
      <c r="FK38"/>
      <c r="FL38"/>
      <c r="FM38"/>
      <c r="FN38"/>
      <c r="FO38"/>
      <c r="FP38"/>
      <c r="FQ38" s="4"/>
      <c r="FR38" s="4"/>
      <c r="FS38" s="4"/>
      <c r="FT38" s="6"/>
      <c r="FU38" s="4"/>
      <c r="FV38" s="4"/>
      <c r="FW38" s="4"/>
      <c r="FX38" s="4"/>
      <c r="FY38" s="4"/>
      <c r="FZ38" s="4"/>
      <c r="GA38" s="4"/>
      <c r="GB38" s="6"/>
      <c r="GC38" s="6"/>
      <c r="GD38" s="6"/>
      <c r="GE38" s="9"/>
      <c r="GF38"/>
      <c r="GG38"/>
      <c r="GH38"/>
      <c r="GI38"/>
      <c r="GJ38"/>
      <c r="GK38"/>
      <c r="GL38" s="4"/>
      <c r="GM38" s="4"/>
      <c r="GN38" s="4"/>
      <c r="GO38" s="6"/>
      <c r="GP38" s="4"/>
      <c r="GQ38" s="4"/>
      <c r="GR38" s="4"/>
      <c r="GS38" s="4"/>
      <c r="GT38" s="4"/>
      <c r="GU38" s="4"/>
      <c r="GV38" s="4"/>
      <c r="GW38" s="6"/>
      <c r="GX38" s="6"/>
      <c r="GY38" s="6"/>
      <c r="GZ38" s="9"/>
      <c r="HA38"/>
      <c r="HB38"/>
      <c r="HC38"/>
      <c r="HD38"/>
      <c r="HE38"/>
      <c r="HF38"/>
      <c r="HG38" s="4"/>
      <c r="HH38" s="4"/>
      <c r="HI38" s="4"/>
      <c r="HJ38" s="6"/>
      <c r="HK38" s="4"/>
      <c r="HL38" s="4"/>
      <c r="HM38" s="4"/>
      <c r="HN38" s="4"/>
      <c r="HO38" s="4"/>
      <c r="HP38" s="4"/>
      <c r="HQ38" s="4"/>
      <c r="HR38" s="6"/>
      <c r="HS38" s="6"/>
      <c r="HT38" s="6"/>
      <c r="HU38" s="9"/>
      <c r="HV38"/>
      <c r="HW38"/>
      <c r="HX38"/>
      <c r="HY38"/>
      <c r="HZ38"/>
      <c r="IA38"/>
      <c r="IB38" s="4"/>
      <c r="IC38" s="4"/>
      <c r="ID38" s="4"/>
      <c r="IE38" s="6"/>
      <c r="IF38" s="4"/>
      <c r="IG38" s="4"/>
      <c r="IH38" s="4"/>
      <c r="II38" s="4"/>
      <c r="IJ38" s="4"/>
      <c r="IK38" s="4"/>
      <c r="IL38" s="4"/>
      <c r="IM38" s="6"/>
      <c r="IN38" s="6"/>
      <c r="IO38" s="6"/>
      <c r="IP38" s="9"/>
      <c r="IQ38"/>
      <c r="IR38"/>
      <c r="IS38"/>
      <c r="IT38"/>
      <c r="IU38"/>
      <c r="IV38"/>
      <c r="IW38" s="4"/>
      <c r="IX38" s="4"/>
      <c r="IY38" s="4"/>
      <c r="IZ38" s="6"/>
      <c r="JA38" s="4"/>
      <c r="JB38" s="4"/>
      <c r="JC38" s="4"/>
      <c r="JD38" s="4"/>
      <c r="JE38" s="4"/>
      <c r="JF38" s="4"/>
      <c r="JG38" s="4"/>
      <c r="JH38" s="6"/>
      <c r="JI38" s="6"/>
      <c r="JJ38" s="6"/>
      <c r="JK38" s="9"/>
      <c r="JL38"/>
    </row>
    <row r="39">
      <c r="A39" s="8">
        <v>25260</v>
      </c>
      <c r="B39" s="8">
        <v>25261</v>
      </c>
      <c r="C39" s="9">
        <f>B39-A39</f>
        <v>1</v>
      </c>
      <c r="D39" s="8">
        <v>25260</v>
      </c>
      <c r="E39" t="inlineStr">
        <is>
          <t xml:space="preserve">positive</t>
        </is>
      </c>
      <c r="F39" s="4">
        <v>1.0586744106080543</v>
      </c>
      <c r="G39" s="6">
        <v>0.016651900226716636</v>
      </c>
      <c r="H39" s="7">
        <f>SUM(CE39,CZ39,DU39,EP39,FK39,GF39,HA39,HV39,IQ39,JL39)</f>
        <v>0.016651900226716632</v>
      </c>
      <c r="I39" s="7">
        <f>G39-H39</f>
        <v>3.469446951953614e-18</v>
      </c>
      <c r="J39" s="5">
        <f>F39*(1+H39)</f>
        <v>1.0763033512660778</v>
      </c>
      <c r="K39" s="4">
        <v>1.0763033512660778</v>
      </c>
      <c r="L39" s="5">
        <f>K39-J39</f>
        <v>0</v>
      </c>
      <c r="M39" s="4">
        <v>1.799</v>
      </c>
      <c r="N39" s="4">
        <v>1.834</v>
      </c>
      <c r="O39" s="5">
        <f>M39/$M$3</f>
        <v>0.9187946884576098</v>
      </c>
      <c r="P39" s="5">
        <f>N39/$M$3</f>
        <v>0.9366700715015323</v>
      </c>
      <c r="Q39" s="7">
        <f>IFERROR(N39/M39-1,0)</f>
        <v>0.01945525291828809</v>
      </c>
      <c r="R39" s="5">
        <f>SUM(IF(BM39="lease",BU39,0),IF(CH39="lease",CP39,0),IF(DC39="lease",DK39,0),IF(DX39="lease",EF39,0),IF(ES39="lease",FA39,0),IF(FN39="lease",FV39,0),IF(GI39="lease",GQ39,0),IF(HD39="lease",HL39,0),IF(HY39="lease",IG39,0),IF(IT39="lease",JB39,0))</f>
        <v>1.0586744106080541</v>
      </c>
      <c r="S39" s="5">
        <f>SUM(IF(BM39="lease",BV39,0),IF(CH39="lease",CQ39,0),IF(DC39="lease",DL39,0),IF(DX39="lease",EG39,0),IF(ES39="lease",FB39,0),IF(FN39="lease",FW39,0),IF(GI39="lease",GR39,0),IF(HD39="lease",HM39,0),IF(HY39="lease",IH39,0),IF(IT39="lease",JC39,0))</f>
        <v>1.0763033512660776</v>
      </c>
      <c r="T39" s="5">
        <f>SUM(IF(BM39="keep",BU39,0),IF(CH39="keep",CP39,0),IF(DC39="keep",DK39,0),IF(DX39="keep",EF39,0),IF(ES39="keep",FA39,0),IF(FN39="keep",FV39,0),IF(GI39="keep",GQ39,0),IF(HD39="keep",HL39,0),IF(HY39="keep",IG39,0),IF(IT39="keep",JB39,0))</f>
        <v>0</v>
      </c>
      <c r="U39" s="5">
        <f>SUM(IF(BM39="keep",BV39,0),IF(CH39="keep",CQ39,0),IF(DC39="keep",DL39,0),IF(DX39="keep",EG39,0),IF(ES39="keep",FB39,0),IF(FN39="keep",FW39,0),IF(GI39="keep",GR39,0),IF(HD39="keep",HM39,0),IF(HY39="keep",IH39,0),IF(IT39="keep",JC39,0))</f>
        <v>0</v>
      </c>
      <c r="V39" s="5">
        <f>R39/O39</f>
        <v>1.152242632557293</v>
      </c>
      <c r="W39" s="5">
        <f>S39/P39</f>
        <v>1.14907413401253</v>
      </c>
      <c r="X39" s="5">
        <f>T39/O39</f>
        <v>0</v>
      </c>
      <c r="Y39" s="5">
        <f>U39/P39</f>
        <v>0</v>
      </c>
      <c r="Z39" s="5">
        <f>V39+X39</f>
        <v>1.152242632557293</v>
      </c>
      <c r="AA39" s="7">
        <f>IFERROR(W39/V39-1,0)</f>
        <v>-0.0027498535944039393</v>
      </c>
      <c r="AB39" s="7">
        <f>IFERROR((W39-V39)/Z39,0)</f>
        <v>-0.002749853594403903</v>
      </c>
      <c r="AC39" s="7">
        <f>IFERROR(Y39/X39-1,0)</f>
        <v>0</v>
      </c>
      <c r="AD39" s="7">
        <f>IFERROR((Y39-X39)/Z39,0)</f>
        <v>0</v>
      </c>
      <c r="AE39" s="7">
        <f>AB39+AD39</f>
        <v>-0.002749853594403903</v>
      </c>
      <c r="AF39" s="7">
        <f>(1+Q39)*(1+AE39)-1</f>
        <v>0.016651900226716698</v>
      </c>
      <c r="AG39" s="7">
        <f>G39-AF39</f>
        <v>-6.245004513516506e-17</v>
      </c>
      <c r="AH39" s="5">
        <f>SUM(IF(BM39="lease",BW39,0),IF(CH39="lease",CR39,0),IF(DC39="lease",DM39,0),IF(DX39="lease",EH39,0),IF(ES39="lease",FC39,0),IF(FN39="lease",FX39,0),IF(GI39="lease",GS39,0),IF(HD39="lease",HN39,0),IF(HY39="lease",II39,0),IF(IT39="lease",JD39,0))</f>
        <v>0.017628940658023357</v>
      </c>
      <c r="AI39" s="5">
        <f>SUM(IF(BM39="keep",BW39,0),IF(CH39="keep",CR39,0),IF(DC39="keep",DM39,0),IF(DX39="keep",EH39,0),IF(ES39="keep",FC39,0),IF(FN39="keep",FX39,0),IF(GI39="keep",GS39,0),IF(HD39="keep",HN39,0),IF(HY39="keep",II39,0),IF(IT39="keep",JD39,0))</f>
        <v>0</v>
      </c>
      <c r="AJ39" s="5">
        <f>SUM(IF(BM39="lease",BX39,0),IF(CH39="lease",CS39,0),IF(DC39="lease",DN39,0),IF(DX39="lease",EI39,0),IF(ES39="lease",FD39,0),IF(FN39="lease",FY39,0),IF(GI39="lease",GT39,0),IF(HD39="lease",HO39,0),IF(HY39="lease",IJ39,0),IF(IT39="lease",JE39,0))</f>
        <v>0</v>
      </c>
      <c r="AK39" s="5">
        <f>SUM(IF(BM39="keep",BX39,0),IF(CH39="keep",CS39,0),IF(DC39="keep",DN39,0),IF(DX39="keep",EI39,0),IF(ES39="keep",FD39,0),IF(FN39="keep",FY39,0),IF(GI39="keep",GT39,0),IF(HD39="keep",HO39,0),IF(HY39="keep",IJ39,0),IF(IT39="keep",JE39,0))</f>
        <v>0</v>
      </c>
      <c r="AL39" s="5">
        <f>R39-S38</f>
        <v>0</v>
      </c>
      <c r="AM39" s="5">
        <f>T39-U38</f>
        <v>0</v>
      </c>
      <c r="AN39" s="5">
        <f>AN38</f>
        <v>1</v>
      </c>
      <c r="AO39" s="5">
        <f>AO38+AH39</f>
        <v>0.07630335126607811</v>
      </c>
      <c r="AP39" s="5">
        <f>AP38+AL39</f>
        <v>-6.661338147750939e-16</v>
      </c>
      <c r="AQ39" s="5">
        <f>AN39+AO39+AP39</f>
        <v>1.0763033512660773</v>
      </c>
      <c r="AR39" s="5">
        <f>S39-AQ39</f>
        <v>2.220446049250313e-16</v>
      </c>
      <c r="AS39" s="5">
        <f>AS38</f>
        <v>0</v>
      </c>
      <c r="AT39" s="5">
        <f>AT38+AI39</f>
        <v>0</v>
      </c>
      <c r="AU39" s="5">
        <f>AU38+AM39</f>
        <v>0</v>
      </c>
      <c r="AV39" s="5">
        <f>AS39+AT39+AU39</f>
        <v>0</v>
      </c>
      <c r="AW39" s="5">
        <f>U39-AV39</f>
        <v>0</v>
      </c>
      <c r="AX39" s="4">
        <v>1.0586744106080541</v>
      </c>
      <c r="AY39" s="4">
        <v>1.0763033512660776</v>
      </c>
      <c r="AZ39" s="5">
        <f>S39-AY39</f>
        <v>0</v>
      </c>
      <c r="BA39" s="4">
        <v>0</v>
      </c>
      <c r="BB39" s="4">
        <v>0</v>
      </c>
      <c r="BC39" s="5">
        <f>U39-BB39</f>
        <v>0</v>
      </c>
      <c r="BD39" s="7">
        <f>SUM(IF(BL39="direct",CE39,0),IF(CG39="direct",CZ39,0),IF(DB39="direct",DU39,0),IF(DW39="direct",EP39,0),IF(ER39="direct",FK39,0),IF(FM39="direct",GF39,0),IF(GH39="direct",HA39,0),IF(HC39="direct",HV39,0),IF(HX39="direct",IQ39,0),IF(IS39="direct",JL39,0))</f>
        <v>0.016982001625575952</v>
      </c>
      <c r="BE39" s="7">
        <f>SUM(IF(BL39="treasury",CE39,0),IF(CG39="treasury",CZ39,0),IF(DB39="treasury",DU39,0),IF(DW39="treasury",EP39,0),IF(ER39="treasury",FK39,0),IF(FM39="treasury",GF39,0),IF(GH39="treasury",HA39,0),IF(HC39="treasury",HV39,0),IF(HX39="treasury",IQ39,0),IF(IS39="treasury",JL39,0))</f>
        <v>0.000021194192368282586</v>
      </c>
      <c r="BF39" s="7">
        <f>SUM(IF(BL39="future",CE39,0),IF(CG39="future",CZ39,0),IF(DB39="future",DU39,0),IF(DW39="future",EP39,0),IF(ER39="future",FK39,0),IF(FM39="future",GF39,0),IF(GH39="future",HA39,0),IF(HC39="future",HV39,0),IF(HX39="future",IQ39,0),IF(IS39="future",JL39,0))</f>
        <v>-0.00035129559122760415</v>
      </c>
      <c r="BG39" s="7">
        <f>SUM(IF(BL39="cash",CE39,0),IF(CG39="cash",CZ39,0),IF(DB39="cash",DU39,0),IF(DW39="cash",EP39,0),IF(ER39="cash",FK39,0),IF(FM39="cash",GF39,0),IF(GH39="cash",HA39,0),IF(HC39="cash",HV39,0),IF(HX39="cash",IQ39,0),IF(IS39="cash",JL39,0))</f>
        <v>0</v>
      </c>
      <c r="BH39" s="7">
        <f>SUM(BD39:BG39)</f>
        <v>0.016651900226716632</v>
      </c>
      <c r="BI39" s="7">
        <f>G39-BH39</f>
        <v>3.469446951953614e-18</v>
      </c>
      <c r="BJ39" s="9">
        <f>COUNTA(BK39,CF39,DA39,DV39,EQ39,FL39,GG39,HB39,HW39,IR39)</f>
        <v>5</v>
      </c>
      <c r="BK39" t="inlineStr">
        <is>
          <t xml:space="preserve">Direct commodity holding</t>
        </is>
      </c>
      <c r="BL39" t="inlineStr">
        <is>
          <t xml:space="preserve">direct</t>
        </is>
      </c>
      <c r="BM39" t="inlineStr">
        <is>
          <t xml:space="preserve">lease</t>
        </is>
      </c>
      <c r="BN39" t="inlineStr">
        <is>
          <t xml:space="preserve">long</t>
        </is>
      </c>
      <c r="BO39"/>
      <c r="BP39" s="4">
        <v>1.799</v>
      </c>
      <c r="BQ39" s="4">
        <v>1.834</v>
      </c>
      <c r="BR39" s="4">
        <v>0.513849776474657</v>
      </c>
      <c r="BS39" s="6">
        <v>0.8731822915668337</v>
      </c>
      <c r="BT39" s="4">
        <v>0.9244157478779079</v>
      </c>
      <c r="BU39" s="4">
        <v>0.9244157478779079</v>
      </c>
      <c r="BV39" s="4">
        <v>0.942400490054521</v>
      </c>
      <c r="BW39" s="4">
        <v>0.017978410561901643</v>
      </c>
      <c r="BX39" s="4">
        <v>0.000006331614711412026</v>
      </c>
      <c r="BY39" s="4">
        <v>1.799</v>
      </c>
      <c r="BZ39" s="4">
        <v>1.834</v>
      </c>
      <c r="CA39" s="6"/>
      <c r="CB39" s="6"/>
      <c r="CC39" s="6"/>
      <c r="CD39" s="9"/>
      <c r="CE39" s="7">
        <f>IFERROR(BW39/F39,0)</f>
        <v>0.016982001625575952</v>
      </c>
      <c r="CF39" t="inlineStr">
        <is>
          <t xml:space="preserve">Treasury collateral</t>
        </is>
      </c>
      <c r="CG39" t="inlineStr">
        <is>
          <t xml:space="preserve">treasury</t>
        </is>
      </c>
      <c r="CH39" t="inlineStr">
        <is>
          <t xml:space="preserve">lease</t>
        </is>
      </c>
      <c r="CI39" t="inlineStr">
        <is>
          <t xml:space="preserve">long</t>
        </is>
      </c>
      <c r="CJ39"/>
      <c r="CK39" s="4">
        <v>100.9271759594443</v>
      </c>
      <c r="CL39" s="4">
        <v>100.944043240906</v>
      </c>
      <c r="CM39" s="4">
        <v>0.00133025284274372</v>
      </c>
      <c r="CN39" s="6">
        <v>0.1268177084331663</v>
      </c>
      <c r="CO39" s="4">
        <v>0.13425866273014642</v>
      </c>
      <c r="CP39" s="4">
        <v>0.13425866273014642</v>
      </c>
      <c r="CQ39" s="4">
        <v>0.1342811004792602</v>
      </c>
      <c r="CR39" s="4">
        <v>0.00002243774911380529</v>
      </c>
      <c r="CS39" s="4">
        <v>-2.0247475571166795e-17</v>
      </c>
      <c r="CT39" s="4">
        <v>1.799</v>
      </c>
      <c r="CU39" s="4">
        <v>1.834</v>
      </c>
      <c r="CV39" s="6"/>
      <c r="CW39" s="6"/>
      <c r="CX39" s="6"/>
      <c r="CY39" s="9">
        <v>29</v>
      </c>
      <c r="CZ39" s="7">
        <f>IFERROR(CR39/F39,0)</f>
        <v>0.000021194192368282586</v>
      </c>
      <c r="DA39" t="inlineStr">
        <is>
          <t xml:space="preserve">SI69H</t>
        </is>
      </c>
      <c r="DB39" t="inlineStr">
        <is>
          <t xml:space="preserve">future</t>
        </is>
      </c>
      <c r="DC39" t="inlineStr">
        <is>
          <t xml:space="preserve">lease</t>
        </is>
      </c>
      <c r="DD39" t="inlineStr">
        <is>
          <t xml:space="preserve">long</t>
        </is>
      </c>
      <c r="DE39" t="inlineStr">
        <is>
          <t xml:space="preserve">regular</t>
        </is>
      </c>
      <c r="DF39" s="4">
        <v>1.805</v>
      </c>
      <c r="DG39" s="4">
        <v>1.8</v>
      </c>
      <c r="DH39" s="4">
        <v>0.07438153059841907</v>
      </c>
      <c r="DI39" s="6">
        <v>0.1268177084331663</v>
      </c>
      <c r="DJ39" s="4">
        <v>0.13425866273014642</v>
      </c>
      <c r="DK39" s="4">
        <v>0</v>
      </c>
      <c r="DL39" s="4">
        <v>0</v>
      </c>
      <c r="DM39" s="4">
        <v>-0.0003719076529920918</v>
      </c>
      <c r="DN39" s="4">
        <v>0.0003719076529920918</v>
      </c>
      <c r="DO39" s="4">
        <v>1.799</v>
      </c>
      <c r="DP39" s="4">
        <v>1.834</v>
      </c>
      <c r="DQ39" s="6">
        <v>0.0033351862145636346</v>
      </c>
      <c r="DR39" s="6">
        <v>0.061</v>
      </c>
      <c r="DS39" s="6">
        <v>0.019022656264974944</v>
      </c>
      <c r="DT39" s="9">
        <v>29</v>
      </c>
      <c r="DU39" s="7">
        <f>IFERROR(DM39/F39,0)</f>
        <v>-0.00035129559122760415</v>
      </c>
      <c r="DV39" t="inlineStr">
        <is>
          <t xml:space="preserve">Lease cash / margin / financing</t>
        </is>
      </c>
      <c r="DW39" t="inlineStr">
        <is>
          <t xml:space="preserve">cash</t>
        </is>
      </c>
      <c r="DX39" t="inlineStr">
        <is>
          <t xml:space="preserve">lease</t>
        </is>
      </c>
      <c r="DY39" t="inlineStr">
        <is>
          <t xml:space="preserve">cash</t>
        </is>
      </c>
      <c r="DZ39"/>
      <c r="EA39" s="4">
        <v>1</v>
      </c>
      <c r="EB39" s="4">
        <v>1</v>
      </c>
      <c r="EC39" s="4">
        <v>-2.220446049250313e-16</v>
      </c>
      <c r="ED39" s="6"/>
      <c r="EE39" s="4">
        <v>-2.220446049250313e-16</v>
      </c>
      <c r="EF39" s="4">
        <v>-2.220446049250313e-16</v>
      </c>
      <c r="EG39" s="4">
        <v>-0.0003782392677037056</v>
      </c>
      <c r="EH39" s="4">
        <v>0</v>
      </c>
      <c r="EI39" s="4">
        <v>-0.00037823926770348356</v>
      </c>
      <c r="EJ39" s="4">
        <v>1.799</v>
      </c>
      <c r="EK39" s="4">
        <v>1.834</v>
      </c>
      <c r="EL39" s="6"/>
      <c r="EM39" s="6"/>
      <c r="EN39" s="6"/>
      <c r="EO39" s="9"/>
      <c r="EP39" s="7">
        <f>IFERROR(EH39/F39,0)</f>
        <v>0</v>
      </c>
      <c r="EQ39" t="inlineStr">
        <is>
          <t xml:space="preserve">Keep cash / margin / financing</t>
        </is>
      </c>
      <c r="ER39" t="inlineStr">
        <is>
          <t xml:space="preserve">cash</t>
        </is>
      </c>
      <c r="ES39" t="inlineStr">
        <is>
          <t xml:space="preserve">keep</t>
        </is>
      </c>
      <c r="ET39" t="inlineStr">
        <is>
          <t xml:space="preserve">cash</t>
        </is>
      </c>
      <c r="EU39"/>
      <c r="EV39" s="4">
        <v>1</v>
      </c>
      <c r="EW39" s="4">
        <v>1</v>
      </c>
      <c r="EX39" s="4">
        <v>0</v>
      </c>
      <c r="EY39" s="6"/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1.799</v>
      </c>
      <c r="FF39" s="4">
        <v>1.834</v>
      </c>
      <c r="FG39" s="6"/>
      <c r="FH39" s="6"/>
      <c r="FI39" s="6"/>
      <c r="FJ39" s="9"/>
      <c r="FK39" s="7">
        <f>IFERROR(FC39/F39,0)</f>
        <v>0</v>
      </c>
      <c r="FL39"/>
      <c r="FM39"/>
      <c r="FN39"/>
      <c r="FO39"/>
      <c r="FP39"/>
      <c r="FQ39" s="4"/>
      <c r="FR39" s="4"/>
      <c r="FS39" s="4"/>
      <c r="FT39" s="6"/>
      <c r="FU39" s="4"/>
      <c r="FV39" s="4"/>
      <c r="FW39" s="4"/>
      <c r="FX39" s="4"/>
      <c r="FY39" s="4"/>
      <c r="FZ39" s="4"/>
      <c r="GA39" s="4"/>
      <c r="GB39" s="6"/>
      <c r="GC39" s="6"/>
      <c r="GD39" s="6"/>
      <c r="GE39" s="9"/>
      <c r="GF39"/>
      <c r="GG39"/>
      <c r="GH39"/>
      <c r="GI39"/>
      <c r="GJ39"/>
      <c r="GK39"/>
      <c r="GL39" s="4"/>
      <c r="GM39" s="4"/>
      <c r="GN39" s="4"/>
      <c r="GO39" s="6"/>
      <c r="GP39" s="4"/>
      <c r="GQ39" s="4"/>
      <c r="GR39" s="4"/>
      <c r="GS39" s="4"/>
      <c r="GT39" s="4"/>
      <c r="GU39" s="4"/>
      <c r="GV39" s="4"/>
      <c r="GW39" s="6"/>
      <c r="GX39" s="6"/>
      <c r="GY39" s="6"/>
      <c r="GZ39" s="9"/>
      <c r="HA39"/>
      <c r="HB39"/>
      <c r="HC39"/>
      <c r="HD39"/>
      <c r="HE39"/>
      <c r="HF39"/>
      <c r="HG39" s="4"/>
      <c r="HH39" s="4"/>
      <c r="HI39" s="4"/>
      <c r="HJ39" s="6"/>
      <c r="HK39" s="4"/>
      <c r="HL39" s="4"/>
      <c r="HM39" s="4"/>
      <c r="HN39" s="4"/>
      <c r="HO39" s="4"/>
      <c r="HP39" s="4"/>
      <c r="HQ39" s="4"/>
      <c r="HR39" s="6"/>
      <c r="HS39" s="6"/>
      <c r="HT39" s="6"/>
      <c r="HU39" s="9"/>
      <c r="HV39"/>
      <c r="HW39"/>
      <c r="HX39"/>
      <c r="HY39"/>
      <c r="HZ39"/>
      <c r="IA39"/>
      <c r="IB39" s="4"/>
      <c r="IC39" s="4"/>
      <c r="ID39" s="4"/>
      <c r="IE39" s="6"/>
      <c r="IF39" s="4"/>
      <c r="IG39" s="4"/>
      <c r="IH39" s="4"/>
      <c r="II39" s="4"/>
      <c r="IJ39" s="4"/>
      <c r="IK39" s="4"/>
      <c r="IL39" s="4"/>
      <c r="IM39" s="6"/>
      <c r="IN39" s="6"/>
      <c r="IO39" s="6"/>
      <c r="IP39" s="9"/>
      <c r="IQ39"/>
      <c r="IR39"/>
      <c r="IS39"/>
      <c r="IT39"/>
      <c r="IU39"/>
      <c r="IV39"/>
      <c r="IW39" s="4"/>
      <c r="IX39" s="4"/>
      <c r="IY39" s="4"/>
      <c r="IZ39" s="6"/>
      <c r="JA39" s="4"/>
      <c r="JB39" s="4"/>
      <c r="JC39" s="4"/>
      <c r="JD39" s="4"/>
      <c r="JE39" s="4"/>
      <c r="JF39" s="4"/>
      <c r="JG39" s="4"/>
      <c r="JH39" s="6"/>
      <c r="JI39" s="6"/>
      <c r="JJ39" s="6"/>
      <c r="JK39" s="9"/>
      <c r="JL39"/>
    </row>
    <row r="40">
      <c r="A40" s="8">
        <v>25261</v>
      </c>
      <c r="B40" s="8">
        <v>25262</v>
      </c>
      <c r="C40" s="9">
        <f>B40-A40</f>
        <v>1</v>
      </c>
      <c r="D40" s="8">
        <v>25261</v>
      </c>
      <c r="E40" t="inlineStr">
        <is>
          <t xml:space="preserve">positive</t>
        </is>
      </c>
      <c r="F40" s="4">
        <v>1.0763033512660778</v>
      </c>
      <c r="G40" s="6">
        <v>-0.0026081887366819884</v>
      </c>
      <c r="H40" s="7">
        <f>SUM(CE40,CZ40,DU40,EP40,FK40,GF40,HA40,HV40,IQ40,JL40)</f>
        <v>-0.0026081887366819884</v>
      </c>
      <c r="I40" s="7">
        <f>G40-H40</f>
        <v>0</v>
      </c>
      <c r="J40" s="5">
        <f>F40*(1+H40)</f>
        <v>1.0734961489880526</v>
      </c>
      <c r="K40" s="4">
        <v>1.0734961489880526</v>
      </c>
      <c r="L40" s="5">
        <f>K40-J40</f>
        <v>0</v>
      </c>
      <c r="M40" s="4">
        <v>1.834</v>
      </c>
      <c r="N40" s="4">
        <v>1.825</v>
      </c>
      <c r="O40" s="5">
        <f>M40/$M$3</f>
        <v>0.9366700715015323</v>
      </c>
      <c r="P40" s="5">
        <f>N40/$M$3</f>
        <v>0.932073544433095</v>
      </c>
      <c r="Q40" s="7">
        <f>IFERROR(N40/M40-1,0)</f>
        <v>-0.004907306434024039</v>
      </c>
      <c r="R40" s="5">
        <f>SUM(IF(BM40="lease",BU40,0),IF(CH40="lease",CP40,0),IF(DC40="lease",DK40,0),IF(DX40="lease",EF40,0),IF(ES40="lease",FA40,0),IF(FN40="lease",FV40,0),IF(GI40="lease",GQ40,0),IF(HD40="lease",HL40,0),IF(HY40="lease",IG40,0),IF(IT40="lease",JB40,0))</f>
        <v>1.0763033512660776</v>
      </c>
      <c r="S40" s="5">
        <f>SUM(IF(BM40="lease",BV40,0),IF(CH40="lease",CQ40,0),IF(DC40="lease",DL40,0),IF(DX40="lease",EG40,0),IF(ES40="lease",FB40,0),IF(FN40="lease",FW40,0),IF(GI40="lease",GR40,0),IF(HD40="lease",HM40,0),IF(HY40="lease",IH40,0),IF(IT40="lease",JC40,0))</f>
        <v>1.0734961489880523</v>
      </c>
      <c r="T40" s="5">
        <f>SUM(IF(BM40="keep",BU40,0),IF(CH40="keep",CP40,0),IF(DC40="keep",DK40,0),IF(DX40="keep",EF40,0),IF(ES40="keep",FA40,0),IF(FN40="keep",FV40,0),IF(GI40="keep",GQ40,0),IF(HD40="keep",HL40,0),IF(HY40="keep",IG40,0),IF(IT40="keep",JB40,0))</f>
        <v>0</v>
      </c>
      <c r="U40" s="5">
        <f>SUM(IF(BM40="keep",BV40,0),IF(CH40="keep",CQ40,0),IF(DC40="keep",DL40,0),IF(DX40="keep",EG40,0),IF(ES40="keep",FB40,0),IF(FN40="keep",FW40,0),IF(GI40="keep",GR40,0),IF(HD40="keep",HM40,0),IF(HY40="keep",IH40,0),IF(IT40="keep",JC40,0))</f>
        <v>0</v>
      </c>
      <c r="V40" s="5">
        <f>R40/O40</f>
        <v>1.14907413401253</v>
      </c>
      <c r="W40" s="5">
        <f>S40/P40</f>
        <v>1.151729019023894</v>
      </c>
      <c r="X40" s="5">
        <f>T40/O40</f>
        <v>0</v>
      </c>
      <c r="Y40" s="5">
        <f>U40/P40</f>
        <v>0</v>
      </c>
      <c r="Z40" s="5">
        <f>V40+X40</f>
        <v>1.14907413401253</v>
      </c>
      <c r="AA40" s="7">
        <f>IFERROR(W40/V40-1,0)</f>
        <v>0.002310455812013945</v>
      </c>
      <c r="AB40" s="7">
        <f>IFERROR((W40-V40)/Z40,0)</f>
        <v>0.002310455812013934</v>
      </c>
      <c r="AC40" s="7">
        <f>IFERROR(Y40/X40-1,0)</f>
        <v>0</v>
      </c>
      <c r="AD40" s="7">
        <f>IFERROR((Y40-X40)/Z40,0)</f>
        <v>0</v>
      </c>
      <c r="AE40" s="7">
        <f>AB40+AD40</f>
        <v>0.002310455812013934</v>
      </c>
      <c r="AF40" s="7">
        <f>(1+Q40)*(1+AE40)-1</f>
        <v>-0.0026081887366818934</v>
      </c>
      <c r="AG40" s="7">
        <f>G40-AF40</f>
        <v>-9.497611030973019e-17</v>
      </c>
      <c r="AH40" s="5">
        <f>SUM(IF(BM40="lease",BW40,0),IF(CH40="lease",CR40,0),IF(DC40="lease",DM40,0),IF(DX40="lease",EH40,0),IF(ES40="lease",FC40,0),IF(FN40="lease",FX40,0),IF(GI40="lease",GS40,0),IF(HD40="lease",HN40,0),IF(HY40="lease",II40,0),IF(IT40="lease",JD40,0))</f>
        <v>-0.0028072022780252616</v>
      </c>
      <c r="AI40" s="5">
        <f>SUM(IF(BM40="keep",BW40,0),IF(CH40="keep",CR40,0),IF(DC40="keep",DM40,0),IF(DX40="keep",EH40,0),IF(ES40="keep",FC40,0),IF(FN40="keep",FX40,0),IF(GI40="keep",GS40,0),IF(HD40="keep",HN40,0),IF(HY40="keep",II40,0),IF(IT40="keep",JD40,0))</f>
        <v>0</v>
      </c>
      <c r="AJ40" s="5">
        <f>SUM(IF(BM40="lease",BX40,0),IF(CH40="lease",CS40,0),IF(DC40="lease",DN40,0),IF(DX40="lease",EI40,0),IF(ES40="lease",FD40,0),IF(FN40="lease",FY40,0),IF(GI40="lease",GT40,0),IF(HD40="lease",HO40,0),IF(HY40="lease",IJ40,0),IF(IT40="lease",JE40,0))</f>
        <v>0</v>
      </c>
      <c r="AK40" s="5">
        <f>SUM(IF(BM40="keep",BX40,0),IF(CH40="keep",CS40,0),IF(DC40="keep",DN40,0),IF(DX40="keep",EI40,0),IF(ES40="keep",FD40,0),IF(FN40="keep",FY40,0),IF(GI40="keep",GT40,0),IF(HD40="keep",HO40,0),IF(HY40="keep",IJ40,0),IF(IT40="keep",JE40,0))</f>
        <v>0</v>
      </c>
      <c r="AL40" s="5">
        <f>R40-S39</f>
        <v>0</v>
      </c>
      <c r="AM40" s="5">
        <f>T40-U39</f>
        <v>0</v>
      </c>
      <c r="AN40" s="5">
        <f>AN39</f>
        <v>1</v>
      </c>
      <c r="AO40" s="5">
        <f>AO39+AH40</f>
        <v>0.07349614898805285</v>
      </c>
      <c r="AP40" s="5">
        <f>AP39+AL40</f>
        <v>-6.661338147750939e-16</v>
      </c>
      <c r="AQ40" s="5">
        <f>AN40+AO40+AP40</f>
        <v>1.0734961489880521</v>
      </c>
      <c r="AR40" s="5">
        <f>S40-AQ40</f>
        <v>2.220446049250313e-16</v>
      </c>
      <c r="AS40" s="5">
        <f>AS39</f>
        <v>0</v>
      </c>
      <c r="AT40" s="5">
        <f>AT39+AI40</f>
        <v>0</v>
      </c>
      <c r="AU40" s="5">
        <f>AU39+AM40</f>
        <v>0</v>
      </c>
      <c r="AV40" s="5">
        <f>AS40+AT40+AU40</f>
        <v>0</v>
      </c>
      <c r="AW40" s="5">
        <f>U40-AV40</f>
        <v>0</v>
      </c>
      <c r="AX40" s="4">
        <v>1.0763033512660776</v>
      </c>
      <c r="AY40" s="4">
        <v>1.0734961489880523</v>
      </c>
      <c r="AZ40" s="5">
        <f>S40-AY40</f>
        <v>0</v>
      </c>
      <c r="BA40" s="4">
        <v>0</v>
      </c>
      <c r="BB40" s="4">
        <v>0</v>
      </c>
      <c r="BC40" s="5">
        <f>U40-BB40</f>
        <v>0</v>
      </c>
      <c r="BD40" s="7">
        <f>SUM(IF(BL40="direct",CE40,0),IF(CG40="direct",CZ40,0),IF(DB40="direct",DU40,0),IF(DW40="direct",EP40,0),IF(ER40="direct",FK40,0),IF(FM40="direct",GF40,0),IF(GH40="direct",HA40,0),IF(HC40="direct",HV40,0),IF(HX40="direct",IQ40,0),IF(IS40="direct",JL40,0))</f>
        <v>0</v>
      </c>
      <c r="BE40" s="7">
        <f>SUM(IF(BL40="treasury",CE40,0),IF(CG40="treasury",CZ40,0),IF(DB40="treasury",DU40,0),IF(DW40="treasury",EP40,0),IF(ER40="treasury",FK40,0),IF(FM40="treasury",GF40,0),IF(GH40="treasury",HA40,0),IF(HC40="treasury",HV40,0),IF(HX40="treasury",IQ40,0),IF(IS40="treasury",JL40,0))</f>
        <v>0.0001695890410958904</v>
      </c>
      <c r="BF40" s="7">
        <f>SUM(IF(BL40="future",CE40,0),IF(CG40="future",CZ40,0),IF(DB40="future",DU40,0),IF(DW40="future",EP40,0),IF(ER40="future",FK40,0),IF(FM40="future",GF40,0),IF(GH40="future",HA40,0),IF(HC40="future",HV40,0),IF(HX40="future",IQ40,0),IF(IS40="future",JL40,0))</f>
        <v>-0.002777777777777879</v>
      </c>
      <c r="BG40" s="7">
        <f>SUM(IF(BL40="cash",CE40,0),IF(CG40="cash",CZ40,0),IF(DB40="cash",DU40,0),IF(DW40="cash",EP40,0),IF(ER40="cash",FK40,0),IF(FM40="cash",GF40,0),IF(GH40="cash",HA40,0),IF(HC40="cash",HV40,0),IF(HX40="cash",IQ40,0),IF(IS40="cash",JL40,0))</f>
        <v>0</v>
      </c>
      <c r="BH40" s="7">
        <f>SUM(BD40:BG40)</f>
        <v>-0.0026081887366819884</v>
      </c>
      <c r="BI40" s="7">
        <f>G40-BH40</f>
        <v>0</v>
      </c>
      <c r="BJ40" s="9">
        <f>COUNTA(BK40,CF40,DA40,DV40,EQ40,FL40,GG40,HB40,HW40,IR40)</f>
        <v>4</v>
      </c>
      <c r="BK40" t="inlineStr">
        <is>
          <t xml:space="preserve">Treasury collateral</t>
        </is>
      </c>
      <c r="BL40" t="inlineStr">
        <is>
          <t xml:space="preserve">treasury</t>
        </is>
      </c>
      <c r="BM40" t="inlineStr">
        <is>
          <t xml:space="preserve">lease</t>
        </is>
      </c>
      <c r="BN40" t="inlineStr">
        <is>
          <t xml:space="preserve">long</t>
        </is>
      </c>
      <c r="BO40"/>
      <c r="BP40" s="4">
        <v>100.944043240906</v>
      </c>
      <c r="BQ40" s="4">
        <v>100.96116224440357</v>
      </c>
      <c r="BR40" s="4">
        <v>0.010662376072032773</v>
      </c>
      <c r="BS40" s="6">
        <v>1</v>
      </c>
      <c r="BT40" s="4">
        <v>1.0763033512660778</v>
      </c>
      <c r="BU40" s="4">
        <v>1.0763033512660778</v>
      </c>
      <c r="BV40" s="4">
        <v>1.0764858805193473</v>
      </c>
      <c r="BW40" s="4">
        <v>0.00018252925326950743</v>
      </c>
      <c r="BX40" s="4">
        <v>5.139118297581291e-17</v>
      </c>
      <c r="BY40" s="4">
        <v>1.834</v>
      </c>
      <c r="BZ40" s="4">
        <v>1.825</v>
      </c>
      <c r="CA40" s="6"/>
      <c r="CB40" s="6"/>
      <c r="CC40" s="6"/>
      <c r="CD40" s="9">
        <v>28</v>
      </c>
      <c r="CE40" s="7">
        <f>IFERROR(BW40/F40,0)</f>
        <v>0.0001695890410958904</v>
      </c>
      <c r="CF40" t="inlineStr">
        <is>
          <t xml:space="preserve">SI69H</t>
        </is>
      </c>
      <c r="CG40" t="inlineStr">
        <is>
          <t xml:space="preserve">future</t>
        </is>
      </c>
      <c r="CH40" t="inlineStr">
        <is>
          <t xml:space="preserve">lease</t>
        </is>
      </c>
      <c r="CI40" t="inlineStr">
        <is>
          <t xml:space="preserve">long</t>
        </is>
      </c>
      <c r="CJ40" t="inlineStr">
        <is>
          <t xml:space="preserve">regular</t>
        </is>
      </c>
      <c r="CK40" s="4">
        <v>1.8</v>
      </c>
      <c r="CL40" s="4">
        <v>1.795</v>
      </c>
      <c r="CM40" s="4">
        <v>0.5979463062589321</v>
      </c>
      <c r="CN40" s="6">
        <v>1</v>
      </c>
      <c r="CO40" s="4">
        <v>1.0763033512660778</v>
      </c>
      <c r="CP40" s="4">
        <v>0</v>
      </c>
      <c r="CQ40" s="4">
        <v>0</v>
      </c>
      <c r="CR40" s="4">
        <v>-0.0029897315312947693</v>
      </c>
      <c r="CS40" s="4">
        <v>0.0029897315312947693</v>
      </c>
      <c r="CT40" s="4">
        <v>1.834</v>
      </c>
      <c r="CU40" s="4">
        <v>1.825</v>
      </c>
      <c r="CV40" s="6">
        <v>-0.018538713195201728</v>
      </c>
      <c r="CW40" s="6">
        <v>0.0619</v>
      </c>
      <c r="CX40" s="6">
        <v>0.3035653684374511</v>
      </c>
      <c r="CY40" s="9">
        <v>28</v>
      </c>
      <c r="CZ40" s="7">
        <f>IFERROR(CR40/F40,0)</f>
        <v>-0.002777777777777879</v>
      </c>
      <c r="DA40" t="inlineStr">
        <is>
          <t xml:space="preserve">Lease cash / margin / financing</t>
        </is>
      </c>
      <c r="DB40" t="inlineStr">
        <is>
          <t xml:space="preserve">cash</t>
        </is>
      </c>
      <c r="DC40" t="inlineStr">
        <is>
          <t xml:space="preserve">lease</t>
        </is>
      </c>
      <c r="DD40" t="inlineStr">
        <is>
          <t xml:space="preserve">cash</t>
        </is>
      </c>
      <c r="DE40"/>
      <c r="DF40" s="4">
        <v>1</v>
      </c>
      <c r="DG40" s="4">
        <v>1</v>
      </c>
      <c r="DH40" s="4">
        <v>-2.220446049250313e-16</v>
      </c>
      <c r="DI40" s="6"/>
      <c r="DJ40" s="4">
        <v>-2.220446049250313e-16</v>
      </c>
      <c r="DK40" s="4">
        <v>-2.220446049250313e-16</v>
      </c>
      <c r="DL40" s="4">
        <v>-0.0029897315312950425</v>
      </c>
      <c r="DM40" s="4">
        <v>0</v>
      </c>
      <c r="DN40" s="4">
        <v>-0.0029897315312948205</v>
      </c>
      <c r="DO40" s="4">
        <v>1.834</v>
      </c>
      <c r="DP40" s="4">
        <v>1.825</v>
      </c>
      <c r="DQ40" s="6"/>
      <c r="DR40" s="6"/>
      <c r="DS40" s="6"/>
      <c r="DT40" s="9"/>
      <c r="DU40" s="7">
        <f>IFERROR(DM40/F40,0)</f>
        <v>0</v>
      </c>
      <c r="DV40" t="inlineStr">
        <is>
          <t xml:space="preserve">Keep cash / margin / financing</t>
        </is>
      </c>
      <c r="DW40" t="inlineStr">
        <is>
          <t xml:space="preserve">cash</t>
        </is>
      </c>
      <c r="DX40" t="inlineStr">
        <is>
          <t xml:space="preserve">keep</t>
        </is>
      </c>
      <c r="DY40" t="inlineStr">
        <is>
          <t xml:space="preserve">cash</t>
        </is>
      </c>
      <c r="DZ40"/>
      <c r="EA40" s="4">
        <v>1</v>
      </c>
      <c r="EB40" s="4">
        <v>1</v>
      </c>
      <c r="EC40" s="4">
        <v>0</v>
      </c>
      <c r="ED40" s="6"/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1.834</v>
      </c>
      <c r="EK40" s="4">
        <v>1.825</v>
      </c>
      <c r="EL40" s="6"/>
      <c r="EM40" s="6"/>
      <c r="EN40" s="6"/>
      <c r="EO40" s="9"/>
      <c r="EP40" s="7">
        <f>IFERROR(EH40/F40,0)</f>
        <v>0</v>
      </c>
      <c r="EQ40"/>
      <c r="ER40"/>
      <c r="ES40"/>
      <c r="ET40"/>
      <c r="EU40"/>
      <c r="EV40" s="4"/>
      <c r="EW40" s="4"/>
      <c r="EX40" s="4"/>
      <c r="EY40" s="6"/>
      <c r="EZ40" s="4"/>
      <c r="FA40" s="4"/>
      <c r="FB40" s="4"/>
      <c r="FC40" s="4"/>
      <c r="FD40" s="4"/>
      <c r="FE40" s="4"/>
      <c r="FF40" s="4"/>
      <c r="FG40" s="6"/>
      <c r="FH40" s="6"/>
      <c r="FI40" s="6"/>
      <c r="FJ40" s="9"/>
      <c r="FK40"/>
      <c r="FL40"/>
      <c r="FM40"/>
      <c r="FN40"/>
      <c r="FO40"/>
      <c r="FP40"/>
      <c r="FQ40" s="4"/>
      <c r="FR40" s="4"/>
      <c r="FS40" s="4"/>
      <c r="FT40" s="6"/>
      <c r="FU40" s="4"/>
      <c r="FV40" s="4"/>
      <c r="FW40" s="4"/>
      <c r="FX40" s="4"/>
      <c r="FY40" s="4"/>
      <c r="FZ40" s="4"/>
      <c r="GA40" s="4"/>
      <c r="GB40" s="6"/>
      <c r="GC40" s="6"/>
      <c r="GD40" s="6"/>
      <c r="GE40" s="9"/>
      <c r="GF40"/>
      <c r="GG40"/>
      <c r="GH40"/>
      <c r="GI40"/>
      <c r="GJ40"/>
      <c r="GK40"/>
      <c r="GL40" s="4"/>
      <c r="GM40" s="4"/>
      <c r="GN40" s="4"/>
      <c r="GO40" s="6"/>
      <c r="GP40" s="4"/>
      <c r="GQ40" s="4"/>
      <c r="GR40" s="4"/>
      <c r="GS40" s="4"/>
      <c r="GT40" s="4"/>
      <c r="GU40" s="4"/>
      <c r="GV40" s="4"/>
      <c r="GW40" s="6"/>
      <c r="GX40" s="6"/>
      <c r="GY40" s="6"/>
      <c r="GZ40" s="9"/>
      <c r="HA40"/>
      <c r="HB40"/>
      <c r="HC40"/>
      <c r="HD40"/>
      <c r="HE40"/>
      <c r="HF40"/>
      <c r="HG40" s="4"/>
      <c r="HH40" s="4"/>
      <c r="HI40" s="4"/>
      <c r="HJ40" s="6"/>
      <c r="HK40" s="4"/>
      <c r="HL40" s="4"/>
      <c r="HM40" s="4"/>
      <c r="HN40" s="4"/>
      <c r="HO40" s="4"/>
      <c r="HP40" s="4"/>
      <c r="HQ40" s="4"/>
      <c r="HR40" s="6"/>
      <c r="HS40" s="6"/>
      <c r="HT40" s="6"/>
      <c r="HU40" s="9"/>
      <c r="HV40"/>
      <c r="HW40"/>
      <c r="HX40"/>
      <c r="HY40"/>
      <c r="HZ40"/>
      <c r="IA40"/>
      <c r="IB40" s="4"/>
      <c r="IC40" s="4"/>
      <c r="ID40" s="4"/>
      <c r="IE40" s="6"/>
      <c r="IF40" s="4"/>
      <c r="IG40" s="4"/>
      <c r="IH40" s="4"/>
      <c r="II40" s="4"/>
      <c r="IJ40" s="4"/>
      <c r="IK40" s="4"/>
      <c r="IL40" s="4"/>
      <c r="IM40" s="6"/>
      <c r="IN40" s="6"/>
      <c r="IO40" s="6"/>
      <c r="IP40" s="9"/>
      <c r="IQ40"/>
      <c r="IR40"/>
      <c r="IS40"/>
      <c r="IT40"/>
      <c r="IU40"/>
      <c r="IV40"/>
      <c r="IW40" s="4"/>
      <c r="IX40" s="4"/>
      <c r="IY40" s="4"/>
      <c r="IZ40" s="6"/>
      <c r="JA40" s="4"/>
      <c r="JB40" s="4"/>
      <c r="JC40" s="4"/>
      <c r="JD40" s="4"/>
      <c r="JE40" s="4"/>
      <c r="JF40" s="4"/>
      <c r="JG40" s="4"/>
      <c r="JH40" s="6"/>
      <c r="JI40" s="6"/>
      <c r="JJ40" s="6"/>
      <c r="JK40" s="9"/>
      <c r="JL40"/>
    </row>
    <row r="41">
      <c r="A41" s="8">
        <v>25262</v>
      </c>
      <c r="B41" s="8">
        <v>25265</v>
      </c>
      <c r="C41" s="9">
        <f>B41-A41</f>
        <v>3</v>
      </c>
      <c r="D41" s="8">
        <v>25262</v>
      </c>
      <c r="E41" t="inlineStr">
        <is>
          <t xml:space="preserve">positive</t>
        </is>
      </c>
      <c r="F41" s="4">
        <v>1.0734961489880526</v>
      </c>
      <c r="G41" s="6">
        <v>-0.0022767481970465487</v>
      </c>
      <c r="H41" s="7">
        <f>SUM(CE41,CZ41,DU41,EP41,FK41,GF41,HA41,HV41,IQ41,JL41)</f>
        <v>-0.0022767481970465487</v>
      </c>
      <c r="I41" s="7">
        <f>G41-H41</f>
        <v>0</v>
      </c>
      <c r="J41" s="5">
        <f>F41*(1+H41)</f>
        <v>1.0710520685663076</v>
      </c>
      <c r="K41" s="4">
        <v>1.0710520685663076</v>
      </c>
      <c r="L41" s="5">
        <f>K41-J41</f>
        <v>0</v>
      </c>
      <c r="M41" s="4">
        <v>1.825</v>
      </c>
      <c r="N41" s="4">
        <v>1.815</v>
      </c>
      <c r="O41" s="5">
        <f>M41/$M$3</f>
        <v>0.932073544433095</v>
      </c>
      <c r="P41" s="5">
        <f>N41/$M$3</f>
        <v>0.9269662921348315</v>
      </c>
      <c r="Q41" s="7">
        <f>IFERROR(N41/M41-1,0)</f>
        <v>-0.005479452054794498</v>
      </c>
      <c r="R41" s="5">
        <f>SUM(IF(BM41="lease",BU41,0),IF(CH41="lease",CP41,0),IF(DC41="lease",DK41,0),IF(DX41="lease",EF41,0),IF(ES41="lease",FA41,0),IF(FN41="lease",FV41,0),IF(GI41="lease",GQ41,0),IF(HD41="lease",HL41,0),IF(HY41="lease",IG41,0),IF(IT41="lease",JB41,0))</f>
        <v>1.0734961489880523</v>
      </c>
      <c r="S41" s="5">
        <f>SUM(IF(BM41="lease",BV41,0),IF(CH41="lease",CQ41,0),IF(DC41="lease",DL41,0),IF(DX41="lease",EG41,0),IF(ES41="lease",FB41,0),IF(FN41="lease",FW41,0),IF(GI41="lease",GR41,0),IF(HD41="lease",HM41,0),IF(HY41="lease",IH41,0),IF(IT41="lease",JC41,0))</f>
        <v>1.0710520685663074</v>
      </c>
      <c r="T41" s="5">
        <f>SUM(IF(BM41="keep",BU41,0),IF(CH41="keep",CP41,0),IF(DC41="keep",DK41,0),IF(DX41="keep",EF41,0),IF(ES41="keep",FA41,0),IF(FN41="keep",FV41,0),IF(GI41="keep",GQ41,0),IF(HD41="keep",HL41,0),IF(HY41="keep",IG41,0),IF(IT41="keep",JB41,0))</f>
        <v>0</v>
      </c>
      <c r="U41" s="5">
        <f>SUM(IF(BM41="keep",BV41,0),IF(CH41="keep",CQ41,0),IF(DC41="keep",DL41,0),IF(DX41="keep",EG41,0),IF(ES41="keep",FB41,0),IF(FN41="keep",FW41,0),IF(GI41="keep",GR41,0),IF(HD41="keep",HM41,0),IF(HY41="keep",IH41,0),IF(IT41="keep",JC41,0))</f>
        <v>0</v>
      </c>
      <c r="V41" s="5">
        <f>R41/O41</f>
        <v>1.151729019023894</v>
      </c>
      <c r="W41" s="5">
        <f>S41/P41</f>
        <v>1.1554379891200164</v>
      </c>
      <c r="X41" s="5">
        <f>T41/O41</f>
        <v>0</v>
      </c>
      <c r="Y41" s="5">
        <f>U41/P41</f>
        <v>0</v>
      </c>
      <c r="Z41" s="5">
        <f>V41+X41</f>
        <v>1.151729019023894</v>
      </c>
      <c r="AA41" s="7">
        <f>IFERROR(W41/V41-1,0)</f>
        <v>0.003220349609030171</v>
      </c>
      <c r="AB41" s="7">
        <f>IFERROR((W41-V41)/Z41,0)</f>
        <v>0.0032203496090302285</v>
      </c>
      <c r="AC41" s="7">
        <f>IFERROR(Y41/X41-1,0)</f>
        <v>0</v>
      </c>
      <c r="AD41" s="7">
        <f>IFERROR((Y41-X41)/Z41,0)</f>
        <v>0</v>
      </c>
      <c r="AE41" s="7">
        <f>AB41+AD41</f>
        <v>0.0032203496090302285</v>
      </c>
      <c r="AF41" s="7">
        <f>(1+Q41)*(1+AE41)-1</f>
        <v>-0.0022767481970467074</v>
      </c>
      <c r="AG41" s="7">
        <f>G41-AF41</f>
        <v>1.5872719805187785e-16</v>
      </c>
      <c r="AH41" s="5">
        <f>SUM(IF(BM41="lease",BW41,0),IF(CH41="lease",CR41,0),IF(DC41="lease",DM41,0),IF(DX41="lease",EH41,0),IF(ES41="lease",FC41,0),IF(FN41="lease",FX41,0),IF(GI41="lease",GS41,0),IF(HD41="lease",HN41,0),IF(HY41="lease",II41,0),IF(IT41="lease",JD41,0))</f>
        <v>-0.002444080421744962</v>
      </c>
      <c r="AI41" s="5">
        <f>SUM(IF(BM41="keep",BW41,0),IF(CH41="keep",CR41,0),IF(DC41="keep",DM41,0),IF(DX41="keep",EH41,0),IF(ES41="keep",FC41,0),IF(FN41="keep",FX41,0),IF(GI41="keep",GS41,0),IF(HD41="keep",HN41,0),IF(HY41="keep",II41,0),IF(IT41="keep",JD41,0))</f>
        <v>0</v>
      </c>
      <c r="AJ41" s="5">
        <f>SUM(IF(BM41="lease",BX41,0),IF(CH41="lease",CS41,0),IF(DC41="lease",DN41,0),IF(DX41="lease",EI41,0),IF(ES41="lease",FD41,0),IF(FN41="lease",FY41,0),IF(GI41="lease",GT41,0),IF(HD41="lease",HO41,0),IF(HY41="lease",IJ41,0),IF(IT41="lease",JE41,0))</f>
        <v>0</v>
      </c>
      <c r="AK41" s="5">
        <f>SUM(IF(BM41="keep",BX41,0),IF(CH41="keep",CS41,0),IF(DC41="keep",DN41,0),IF(DX41="keep",EI41,0),IF(ES41="keep",FD41,0),IF(FN41="keep",FY41,0),IF(GI41="keep",GT41,0),IF(HD41="keep",HO41,0),IF(HY41="keep",IJ41,0),IF(IT41="keep",JE41,0))</f>
        <v>0</v>
      </c>
      <c r="AL41" s="5">
        <f>R41-S40</f>
        <v>0</v>
      </c>
      <c r="AM41" s="5">
        <f>T41-U40</f>
        <v>0</v>
      </c>
      <c r="AN41" s="5">
        <f>AN40</f>
        <v>1</v>
      </c>
      <c r="AO41" s="5">
        <f>AO40+AH41</f>
        <v>0.07105206856630789</v>
      </c>
      <c r="AP41" s="5">
        <f>AP40+AL41</f>
        <v>-6.661338147750939e-16</v>
      </c>
      <c r="AQ41" s="5">
        <f>AN41+AO41+AP41</f>
        <v>1.0710520685663072</v>
      </c>
      <c r="AR41" s="5">
        <f>S41-AQ41</f>
        <v>2.220446049250313e-16</v>
      </c>
      <c r="AS41" s="5">
        <f>AS40</f>
        <v>0</v>
      </c>
      <c r="AT41" s="5">
        <f>AT40+AI41</f>
        <v>0</v>
      </c>
      <c r="AU41" s="5">
        <f>AU40+AM41</f>
        <v>0</v>
      </c>
      <c r="AV41" s="5">
        <f>AS41+AT41+AU41</f>
        <v>0</v>
      </c>
      <c r="AW41" s="5">
        <f>U41-AV41</f>
        <v>0</v>
      </c>
      <c r="AX41" s="4">
        <v>1.0734961489880523</v>
      </c>
      <c r="AY41" s="4">
        <v>1.0710520685663074</v>
      </c>
      <c r="AZ41" s="5">
        <f>S41-AY41</f>
        <v>0</v>
      </c>
      <c r="BA41" s="4">
        <v>0</v>
      </c>
      <c r="BB41" s="4">
        <v>0</v>
      </c>
      <c r="BC41" s="5">
        <f>U41-BB41</f>
        <v>0</v>
      </c>
      <c r="BD41" s="7">
        <f>SUM(IF(BL41="direct",CE41,0),IF(CG41="direct",CZ41,0),IF(DB41="direct",DU41,0),IF(DW41="direct",EP41,0),IF(ER41="direct",FK41,0),IF(FM41="direct",GF41,0),IF(GH41="direct",HA41,0),IF(HC41="direct",HV41,0),IF(HX41="direct",IQ41,0),IF(IS41="direct",JL41,0))</f>
        <v>0</v>
      </c>
      <c r="BE41" s="7">
        <f>SUM(IF(BL41="treasury",CE41,0),IF(CG41="treasury",CZ41,0),IF(DB41="treasury",DU41,0),IF(DW41="treasury",EP41,0),IF(ER41="treasury",FK41,0),IF(FM41="treasury",GF41,0),IF(GH41="treasury",HA41,0),IF(HC41="treasury",HV41,0),IF(HX41="treasury",IQ41,0),IF(IS41="treasury",JL41,0))</f>
        <v>0.0005087671232876712</v>
      </c>
      <c r="BF41" s="7">
        <f>SUM(IF(BL41="future",CE41,0),IF(CG41="future",CZ41,0),IF(DB41="future",DU41,0),IF(DW41="future",EP41,0),IF(ER41="future",FK41,0),IF(FM41="future",GF41,0),IF(GH41="future",HA41,0),IF(HC41="future",HV41,0),IF(HX41="future",IQ41,0),IF(IS41="future",JL41,0))</f>
        <v>-0.0027855153203342198</v>
      </c>
      <c r="BG41" s="7">
        <f>SUM(IF(BL41="cash",CE41,0),IF(CG41="cash",CZ41,0),IF(DB41="cash",DU41,0),IF(DW41="cash",EP41,0),IF(ER41="cash",FK41,0),IF(FM41="cash",GF41,0),IF(GH41="cash",HA41,0),IF(HC41="cash",HV41,0),IF(HX41="cash",IQ41,0),IF(IS41="cash",JL41,0))</f>
        <v>0</v>
      </c>
      <c r="BH41" s="7">
        <f>SUM(BD41:BG41)</f>
        <v>-0.0022767481970465487</v>
      </c>
      <c r="BI41" s="7">
        <f>G41-BH41</f>
        <v>0</v>
      </c>
      <c r="BJ41" s="9">
        <f>COUNTA(BK41,CF41,DA41,DV41,EQ41,FL41,GG41,HB41,HW41,IR41)</f>
        <v>4</v>
      </c>
      <c r="BK41" t="inlineStr">
        <is>
          <t xml:space="preserve">Treasury collateral</t>
        </is>
      </c>
      <c r="BL41" t="inlineStr">
        <is>
          <t xml:space="preserve">treasury</t>
        </is>
      </c>
      <c r="BM41" t="inlineStr">
        <is>
          <t xml:space="preserve">lease</t>
        </is>
      </c>
      <c r="BN41" t="inlineStr">
        <is>
          <t xml:space="preserve">long</t>
        </is>
      </c>
      <c r="BO41"/>
      <c r="BP41" s="4">
        <v>100.96116224440357</v>
      </c>
      <c r="BQ41" s="4">
        <v>101.01252796448243</v>
      </c>
      <c r="BR41" s="4">
        <v>0.010632763382709158</v>
      </c>
      <c r="BS41" s="6">
        <v>1</v>
      </c>
      <c r="BT41" s="4">
        <v>1.0734961489880526</v>
      </c>
      <c r="BU41" s="4">
        <v>1.0734961489880526</v>
      </c>
      <c r="BV41" s="4">
        <v>1.0740423085356336</v>
      </c>
      <c r="BW41" s="4">
        <v>0.0005461595475810448</v>
      </c>
      <c r="BX41" s="4">
        <v>3.729655473350135e-17</v>
      </c>
      <c r="BY41" s="4">
        <v>1.825</v>
      </c>
      <c r="BZ41" s="4">
        <v>1.815</v>
      </c>
      <c r="CA41" s="6"/>
      <c r="CB41" s="6"/>
      <c r="CC41" s="6"/>
      <c r="CD41" s="9">
        <v>27</v>
      </c>
      <c r="CE41" s="7">
        <f>IFERROR(BW41/F41,0)</f>
        <v>0.0005087671232876712</v>
      </c>
      <c r="CF41" t="inlineStr">
        <is>
          <t xml:space="preserve">SI69H</t>
        </is>
      </c>
      <c r="CG41" t="inlineStr">
        <is>
          <t xml:space="preserve">future</t>
        </is>
      </c>
      <c r="CH41" t="inlineStr">
        <is>
          <t xml:space="preserve">lease</t>
        </is>
      </c>
      <c r="CI41" t="inlineStr">
        <is>
          <t xml:space="preserve">long</t>
        </is>
      </c>
      <c r="CJ41" t="inlineStr">
        <is>
          <t xml:space="preserve">regular</t>
        </is>
      </c>
      <c r="CK41" s="4">
        <v>1.795</v>
      </c>
      <c r="CL41" s="4">
        <v>1.79</v>
      </c>
      <c r="CM41" s="4">
        <v>0.5980479938652103</v>
      </c>
      <c r="CN41" s="6">
        <v>1</v>
      </c>
      <c r="CO41" s="4">
        <v>1.0734961489880526</v>
      </c>
      <c r="CP41" s="4">
        <v>0</v>
      </c>
      <c r="CQ41" s="4">
        <v>0</v>
      </c>
      <c r="CR41" s="4">
        <v>-0.0029902399693260066</v>
      </c>
      <c r="CS41" s="4">
        <v>0.0029902399693260066</v>
      </c>
      <c r="CT41" s="4">
        <v>1.825</v>
      </c>
      <c r="CU41" s="4">
        <v>1.815</v>
      </c>
      <c r="CV41" s="6">
        <v>-0.016438356164383605</v>
      </c>
      <c r="CW41" s="6">
        <v>0.0619</v>
      </c>
      <c r="CX41" s="6">
        <v>0.28412222222222283</v>
      </c>
      <c r="CY41" s="9">
        <v>27</v>
      </c>
      <c r="CZ41" s="7">
        <f>IFERROR(CR41/F41,0)</f>
        <v>-0.0027855153203342198</v>
      </c>
      <c r="DA41" t="inlineStr">
        <is>
          <t xml:space="preserve">Lease cash / margin / financing</t>
        </is>
      </c>
      <c r="DB41" t="inlineStr">
        <is>
          <t xml:space="preserve">cash</t>
        </is>
      </c>
      <c r="DC41" t="inlineStr">
        <is>
          <t xml:space="preserve">lease</t>
        </is>
      </c>
      <c r="DD41" t="inlineStr">
        <is>
          <t xml:space="preserve">cash</t>
        </is>
      </c>
      <c r="DE41"/>
      <c r="DF41" s="4">
        <v>1</v>
      </c>
      <c r="DG41" s="4">
        <v>1</v>
      </c>
      <c r="DH41" s="4">
        <v>-2.220446049250313e-16</v>
      </c>
      <c r="DI41" s="6"/>
      <c r="DJ41" s="4">
        <v>-2.220446049250313e-16</v>
      </c>
      <c r="DK41" s="4">
        <v>-2.220446049250313e-16</v>
      </c>
      <c r="DL41" s="4">
        <v>-0.002990239969326266</v>
      </c>
      <c r="DM41" s="4">
        <v>0</v>
      </c>
      <c r="DN41" s="4">
        <v>-0.002990239969326044</v>
      </c>
      <c r="DO41" s="4">
        <v>1.825</v>
      </c>
      <c r="DP41" s="4">
        <v>1.815</v>
      </c>
      <c r="DQ41" s="6"/>
      <c r="DR41" s="6"/>
      <c r="DS41" s="6"/>
      <c r="DT41" s="9"/>
      <c r="DU41" s="7">
        <f>IFERROR(DM41/F41,0)</f>
        <v>0</v>
      </c>
      <c r="DV41" t="inlineStr">
        <is>
          <t xml:space="preserve">Keep cash / margin / financing</t>
        </is>
      </c>
      <c r="DW41" t="inlineStr">
        <is>
          <t xml:space="preserve">cash</t>
        </is>
      </c>
      <c r="DX41" t="inlineStr">
        <is>
          <t xml:space="preserve">keep</t>
        </is>
      </c>
      <c r="DY41" t="inlineStr">
        <is>
          <t xml:space="preserve">cash</t>
        </is>
      </c>
      <c r="DZ41"/>
      <c r="EA41" s="4">
        <v>1</v>
      </c>
      <c r="EB41" s="4">
        <v>1</v>
      </c>
      <c r="EC41" s="4">
        <v>0</v>
      </c>
      <c r="ED41" s="6"/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1.825</v>
      </c>
      <c r="EK41" s="4">
        <v>1.815</v>
      </c>
      <c r="EL41" s="6"/>
      <c r="EM41" s="6"/>
      <c r="EN41" s="6"/>
      <c r="EO41" s="9"/>
      <c r="EP41" s="7">
        <f>IFERROR(EH41/F41,0)</f>
        <v>0</v>
      </c>
      <c r="EQ41"/>
      <c r="ER41"/>
      <c r="ES41"/>
      <c r="ET41"/>
      <c r="EU41"/>
      <c r="EV41" s="4"/>
      <c r="EW41" s="4"/>
      <c r="EX41" s="4"/>
      <c r="EY41" s="6"/>
      <c r="EZ41" s="4"/>
      <c r="FA41" s="4"/>
      <c r="FB41" s="4"/>
      <c r="FC41" s="4"/>
      <c r="FD41" s="4"/>
      <c r="FE41" s="4"/>
      <c r="FF41" s="4"/>
      <c r="FG41" s="6"/>
      <c r="FH41" s="6"/>
      <c r="FI41" s="6"/>
      <c r="FJ41" s="9"/>
      <c r="FK41"/>
      <c r="FL41"/>
      <c r="FM41"/>
      <c r="FN41"/>
      <c r="FO41"/>
      <c r="FP41"/>
      <c r="FQ41" s="4"/>
      <c r="FR41" s="4"/>
      <c r="FS41" s="4"/>
      <c r="FT41" s="6"/>
      <c r="FU41" s="4"/>
      <c r="FV41" s="4"/>
      <c r="FW41" s="4"/>
      <c r="FX41" s="4"/>
      <c r="FY41" s="4"/>
      <c r="FZ41" s="4"/>
      <c r="GA41" s="4"/>
      <c r="GB41" s="6"/>
      <c r="GC41" s="6"/>
      <c r="GD41" s="6"/>
      <c r="GE41" s="9"/>
      <c r="GF41"/>
      <c r="GG41"/>
      <c r="GH41"/>
      <c r="GI41"/>
      <c r="GJ41"/>
      <c r="GK41"/>
      <c r="GL41" s="4"/>
      <c r="GM41" s="4"/>
      <c r="GN41" s="4"/>
      <c r="GO41" s="6"/>
      <c r="GP41" s="4"/>
      <c r="GQ41" s="4"/>
      <c r="GR41" s="4"/>
      <c r="GS41" s="4"/>
      <c r="GT41" s="4"/>
      <c r="GU41" s="4"/>
      <c r="GV41" s="4"/>
      <c r="GW41" s="6"/>
      <c r="GX41" s="6"/>
      <c r="GY41" s="6"/>
      <c r="GZ41" s="9"/>
      <c r="HA41"/>
      <c r="HB41"/>
      <c r="HC41"/>
      <c r="HD41"/>
      <c r="HE41"/>
      <c r="HF41"/>
      <c r="HG41" s="4"/>
      <c r="HH41" s="4"/>
      <c r="HI41" s="4"/>
      <c r="HJ41" s="6"/>
      <c r="HK41" s="4"/>
      <c r="HL41" s="4"/>
      <c r="HM41" s="4"/>
      <c r="HN41" s="4"/>
      <c r="HO41" s="4"/>
      <c r="HP41" s="4"/>
      <c r="HQ41" s="4"/>
      <c r="HR41" s="6"/>
      <c r="HS41" s="6"/>
      <c r="HT41" s="6"/>
      <c r="HU41" s="9"/>
      <c r="HV41"/>
      <c r="HW41"/>
      <c r="HX41"/>
      <c r="HY41"/>
      <c r="HZ41"/>
      <c r="IA41"/>
      <c r="IB41" s="4"/>
      <c r="IC41" s="4"/>
      <c r="ID41" s="4"/>
      <c r="IE41" s="6"/>
      <c r="IF41" s="4"/>
      <c r="IG41" s="4"/>
      <c r="IH41" s="4"/>
      <c r="II41" s="4"/>
      <c r="IJ41" s="4"/>
      <c r="IK41" s="4"/>
      <c r="IL41" s="4"/>
      <c r="IM41" s="6"/>
      <c r="IN41" s="6"/>
      <c r="IO41" s="6"/>
      <c r="IP41" s="9"/>
      <c r="IQ41"/>
      <c r="IR41"/>
      <c r="IS41"/>
      <c r="IT41"/>
      <c r="IU41"/>
      <c r="IV41"/>
      <c r="IW41" s="4"/>
      <c r="IX41" s="4"/>
      <c r="IY41" s="4"/>
      <c r="IZ41" s="6"/>
      <c r="JA41" s="4"/>
      <c r="JB41" s="4"/>
      <c r="JC41" s="4"/>
      <c r="JD41" s="4"/>
      <c r="JE41" s="4"/>
      <c r="JF41" s="4"/>
      <c r="JG41" s="4"/>
      <c r="JH41" s="6"/>
      <c r="JI41" s="6"/>
      <c r="JJ41" s="6"/>
      <c r="JK41" s="9"/>
      <c r="JL41"/>
    </row>
    <row r="42">
      <c r="A42" s="8">
        <v>25265</v>
      </c>
      <c r="B42" s="8">
        <v>25266</v>
      </c>
      <c r="C42" s="9">
        <f>B42-A42</f>
        <v>1</v>
      </c>
      <c r="D42" s="8">
        <v>25265</v>
      </c>
      <c r="E42" t="inlineStr">
        <is>
          <t xml:space="preserve">positive</t>
        </is>
      </c>
      <c r="F42" s="4">
        <v>1.0710520685663076</v>
      </c>
      <c r="G42" s="6">
        <v>0.028102001989745187</v>
      </c>
      <c r="H42" s="7">
        <f>SUM(CE42,CZ42,DU42,EP42,FK42,GF42,HA42,HV42,IQ42,JL42)</f>
        <v>0.028102001989745187</v>
      </c>
      <c r="I42" s="7">
        <f>G42-H42</f>
        <v>0</v>
      </c>
      <c r="J42" s="5">
        <f>F42*(1+H42)</f>
        <v>1.1011507759282786</v>
      </c>
      <c r="K42" s="4">
        <v>1.1011507759282786</v>
      </c>
      <c r="L42" s="5">
        <f>K42-J42</f>
        <v>0</v>
      </c>
      <c r="M42" s="4">
        <v>1.815</v>
      </c>
      <c r="N42" s="4">
        <v>1.797</v>
      </c>
      <c r="O42" s="5">
        <f>M42/$M$3</f>
        <v>0.9269662921348315</v>
      </c>
      <c r="P42" s="5">
        <f>N42/$M$3</f>
        <v>0.9177732379979571</v>
      </c>
      <c r="Q42" s="7">
        <f>IFERROR(N42/M42-1,0)</f>
        <v>-0.00991735537190086</v>
      </c>
      <c r="R42" s="5">
        <f>SUM(IF(BM42="lease",BU42,0),IF(CH42="lease",CP42,0),IF(DC42="lease",DK42,0),IF(DX42="lease",EF42,0),IF(ES42="lease",FA42,0),IF(FN42="lease",FV42,0),IF(GI42="lease",GQ42,0),IF(HD42="lease",HL42,0),IF(HY42="lease",IG42,0),IF(IT42="lease",JB42,0))</f>
        <v>1.0710520685663074</v>
      </c>
      <c r="S42" s="5">
        <f>SUM(IF(BM42="lease",BV42,0),IF(CH42="lease",CQ42,0),IF(DC42="lease",DL42,0),IF(DX42="lease",EG42,0),IF(ES42="lease",FB42,0),IF(FN42="lease",FW42,0),IF(GI42="lease",GR42,0),IF(HD42="lease",HM42,0),IF(HY42="lease",IH42,0),IF(IT42="lease",JC42,0))</f>
        <v>1.1011507759282786</v>
      </c>
      <c r="T42" s="5">
        <f>SUM(IF(BM42="keep",BU42,0),IF(CH42="keep",CP42,0),IF(DC42="keep",DK42,0),IF(DX42="keep",EF42,0),IF(ES42="keep",FA42,0),IF(FN42="keep",FV42,0),IF(GI42="keep",GQ42,0),IF(HD42="keep",HL42,0),IF(HY42="keep",IG42,0),IF(IT42="keep",JB42,0))</f>
        <v>0</v>
      </c>
      <c r="U42" s="5">
        <f>SUM(IF(BM42="keep",BV42,0),IF(CH42="keep",CQ42,0),IF(DC42="keep",DL42,0),IF(DX42="keep",EG42,0),IF(ES42="keep",FB42,0),IF(FN42="keep",FW42,0),IF(GI42="keep",GR42,0),IF(HD42="keep",HM42,0),IF(HY42="keep",IH42,0),IF(IT42="keep",JC42,0))</f>
        <v>0</v>
      </c>
      <c r="V42" s="5">
        <f>R42/O42</f>
        <v>1.1554379891200164</v>
      </c>
      <c r="W42" s="5">
        <f>S42/P42</f>
        <v>1.199807022408219</v>
      </c>
      <c r="X42" s="5">
        <f>T42/O42</f>
        <v>0</v>
      </c>
      <c r="Y42" s="5">
        <f>U42/P42</f>
        <v>0</v>
      </c>
      <c r="Z42" s="5">
        <f>V42+X42</f>
        <v>1.1554379891200164</v>
      </c>
      <c r="AA42" s="7">
        <f>IFERROR(W42/V42-1,0)</f>
        <v>0.03840018564907499</v>
      </c>
      <c r="AB42" s="7">
        <f>IFERROR((W42-V42)/Z42,0)</f>
        <v>0.03840018564907499</v>
      </c>
      <c r="AC42" s="7">
        <f>IFERROR(Y42/X42-1,0)</f>
        <v>0</v>
      </c>
      <c r="AD42" s="7">
        <f>IFERROR((Y42-X42)/Z42,0)</f>
        <v>0</v>
      </c>
      <c r="AE42" s="7">
        <f>AB42+AD42</f>
        <v>0.03840018564907499</v>
      </c>
      <c r="AF42" s="7">
        <f>(1+Q42)*(1+AE42)-1</f>
        <v>0.02810200198974533</v>
      </c>
      <c r="AG42" s="7">
        <f>G42-AF42</f>
        <v>-1.4224732503009818e-16</v>
      </c>
      <c r="AH42" s="5">
        <f>SUM(IF(BM42="lease",BW42,0),IF(CH42="lease",CR42,0),IF(DC42="lease",DM42,0),IF(DX42="lease",EH42,0),IF(ES42="lease",FC42,0),IF(FN42="lease",FX42,0),IF(GI42="lease",GS42,0),IF(HD42="lease",HN42,0),IF(HY42="lease",II42,0),IF(IT42="lease",JD42,0))</f>
        <v>0.030098707361971077</v>
      </c>
      <c r="AI42" s="5">
        <f>SUM(IF(BM42="keep",BW42,0),IF(CH42="keep",CR42,0),IF(DC42="keep",DM42,0),IF(DX42="keep",EH42,0),IF(ES42="keep",FC42,0),IF(FN42="keep",FX42,0),IF(GI42="keep",GS42,0),IF(HD42="keep",HN42,0),IF(HY42="keep",II42,0),IF(IT42="keep",JD42,0))</f>
        <v>0</v>
      </c>
      <c r="AJ42" s="5">
        <f>SUM(IF(BM42="lease",BX42,0),IF(CH42="lease",CS42,0),IF(DC42="lease",DN42,0),IF(DX42="lease",EI42,0),IF(ES42="lease",FD42,0),IF(FN42="lease",FY42,0),IF(GI42="lease",GT42,0),IF(HD42="lease",HO42,0),IF(HY42="lease",IJ42,0),IF(IT42="lease",JE42,0))</f>
        <v>0</v>
      </c>
      <c r="AK42" s="5">
        <f>SUM(IF(BM42="keep",BX42,0),IF(CH42="keep",CS42,0),IF(DC42="keep",DN42,0),IF(DX42="keep",EI42,0),IF(ES42="keep",FD42,0),IF(FN42="keep",FY42,0),IF(GI42="keep",GT42,0),IF(HD42="keep",HO42,0),IF(HY42="keep",IJ42,0),IF(IT42="keep",JE42,0))</f>
        <v>0</v>
      </c>
      <c r="AL42" s="5">
        <f>R42-S41</f>
        <v>0</v>
      </c>
      <c r="AM42" s="5">
        <f>T42-U41</f>
        <v>0</v>
      </c>
      <c r="AN42" s="5">
        <f>AN41</f>
        <v>1</v>
      </c>
      <c r="AO42" s="5">
        <f>AO41+AH42</f>
        <v>0.10115077592827897</v>
      </c>
      <c r="AP42" s="5">
        <f>AP41+AL42</f>
        <v>-6.661338147750939e-16</v>
      </c>
      <c r="AQ42" s="5">
        <f>AN42+AO42+AP42</f>
        <v>1.1011507759282784</v>
      </c>
      <c r="AR42" s="5">
        <f>S42-AQ42</f>
        <v>2.220446049250313e-16</v>
      </c>
      <c r="AS42" s="5">
        <f>AS41</f>
        <v>0</v>
      </c>
      <c r="AT42" s="5">
        <f>AT41+AI42</f>
        <v>0</v>
      </c>
      <c r="AU42" s="5">
        <f>AU41+AM42</f>
        <v>0</v>
      </c>
      <c r="AV42" s="5">
        <f>AS42+AT42+AU42</f>
        <v>0</v>
      </c>
      <c r="AW42" s="5">
        <f>U42-AV42</f>
        <v>0</v>
      </c>
      <c r="AX42" s="4">
        <v>1.0710520685663074</v>
      </c>
      <c r="AY42" s="4">
        <v>1.1011507759282786</v>
      </c>
      <c r="AZ42" s="5">
        <f>S42-AY42</f>
        <v>0</v>
      </c>
      <c r="BA42" s="4">
        <v>0</v>
      </c>
      <c r="BB42" s="4">
        <v>0</v>
      </c>
      <c r="BC42" s="5">
        <f>U42-BB42</f>
        <v>0</v>
      </c>
      <c r="BD42" s="7">
        <f>SUM(IF(BL42="direct",CE42,0),IF(CG42="direct",CZ42,0),IF(DB42="direct",DU42,0),IF(DW42="direct",EP42,0),IF(ER42="direct",FK42,0),IF(FM42="direct",GF42,0),IF(GH42="direct",HA42,0),IF(HC42="direct",HV42,0),IF(HX42="direct",IQ42,0),IF(IS42="direct",JL42,0))</f>
        <v>0</v>
      </c>
      <c r="BE42" s="7">
        <f>SUM(IF(BL42="treasury",CE42,0),IF(CG42="treasury",CZ42,0),IF(DB42="treasury",DU42,0),IF(DW42="treasury",EP42,0),IF(ER42="treasury",FK42,0),IF(FM42="treasury",GF42,0),IF(GH42="treasury",HA42,0),IF(HC42="treasury",HV42,0),IF(HX42="treasury",IQ42,0),IF(IS42="treasury",JL42,0))</f>
        <v>0.00016904109589041096</v>
      </c>
      <c r="BF42" s="7">
        <f>SUM(IF(BL42="future",CE42,0),IF(CG42="future",CZ42,0),IF(DB42="future",DU42,0),IF(DW42="future",EP42,0),IF(ER42="future",FK42,0),IF(FM42="future",GF42,0),IF(GH42="future",HA42,0),IF(HC42="future",HV42,0),IF(HX42="future",IQ42,0),IF(IS42="future",JL42,0))</f>
        <v>0.027932960893854775</v>
      </c>
      <c r="BG42" s="7">
        <f>SUM(IF(BL42="cash",CE42,0),IF(CG42="cash",CZ42,0),IF(DB42="cash",DU42,0),IF(DW42="cash",EP42,0),IF(ER42="cash",FK42,0),IF(FM42="cash",GF42,0),IF(GH42="cash",HA42,0),IF(HC42="cash",HV42,0),IF(HX42="cash",IQ42,0),IF(IS42="cash",JL42,0))</f>
        <v>0</v>
      </c>
      <c r="BH42" s="7">
        <f>SUM(BD42:BG42)</f>
        <v>0.028102001989745187</v>
      </c>
      <c r="BI42" s="7">
        <f>G42-BH42</f>
        <v>0</v>
      </c>
      <c r="BJ42" s="9">
        <f>COUNTA(BK42,CF42,DA42,DV42,EQ42,FL42,GG42,HB42,HW42,IR42)</f>
        <v>4</v>
      </c>
      <c r="BK42" t="inlineStr">
        <is>
          <t xml:space="preserve">Treasury collateral</t>
        </is>
      </c>
      <c r="BL42" t="inlineStr">
        <is>
          <t xml:space="preserve">treasury</t>
        </is>
      </c>
      <c r="BM42" t="inlineStr">
        <is>
          <t xml:space="preserve">lease</t>
        </is>
      </c>
      <c r="BN42" t="inlineStr">
        <is>
          <t xml:space="preserve">long</t>
        </is>
      </c>
      <c r="BO42"/>
      <c r="BP42" s="4">
        <v>101.01252796448243</v>
      </c>
      <c r="BQ42" s="4">
        <v>101.02960323290819</v>
      </c>
      <c r="BR42" s="4">
        <v>0.01060316071827156</v>
      </c>
      <c r="BS42" s="6">
        <v>1</v>
      </c>
      <c r="BT42" s="4">
        <v>1.0710520685663076</v>
      </c>
      <c r="BU42" s="4">
        <v>1.0710520685663076</v>
      </c>
      <c r="BV42" s="4">
        <v>1.0712331203817336</v>
      </c>
      <c r="BW42" s="4">
        <v>0.00018105181542614024</v>
      </c>
      <c r="BX42" s="4">
        <v>-2.0361316799277773e-16</v>
      </c>
      <c r="BY42" s="4">
        <v>1.815</v>
      </c>
      <c r="BZ42" s="4">
        <v>1.797</v>
      </c>
      <c r="CA42" s="6"/>
      <c r="CB42" s="6"/>
      <c r="CC42" s="6"/>
      <c r="CD42" s="9">
        <v>24</v>
      </c>
      <c r="CE42" s="7">
        <f>IFERROR(BW42/F42,0)</f>
        <v>0.00016904109589041096</v>
      </c>
      <c r="CF42" t="inlineStr">
        <is>
          <t xml:space="preserve">SI69H</t>
        </is>
      </c>
      <c r="CG42" t="inlineStr">
        <is>
          <t xml:space="preserve">future</t>
        </is>
      </c>
      <c r="CH42" t="inlineStr">
        <is>
          <t xml:space="preserve">lease</t>
        </is>
      </c>
      <c r="CI42" t="inlineStr">
        <is>
          <t xml:space="preserve">long</t>
        </is>
      </c>
      <c r="CJ42" t="inlineStr">
        <is>
          <t xml:space="preserve">regular</t>
        </is>
      </c>
      <c r="CK42" s="4">
        <v>1.79</v>
      </c>
      <c r="CL42" s="4">
        <v>1.84</v>
      </c>
      <c r="CM42" s="4">
        <v>0.5983531109308982</v>
      </c>
      <c r="CN42" s="6">
        <v>1</v>
      </c>
      <c r="CO42" s="4">
        <v>1.0710520685663076</v>
      </c>
      <c r="CP42" s="4">
        <v>0</v>
      </c>
      <c r="CQ42" s="4">
        <v>0</v>
      </c>
      <c r="CR42" s="4">
        <v>0.029917655546544936</v>
      </c>
      <c r="CS42" s="4">
        <v>-0.029917655546544936</v>
      </c>
      <c r="CT42" s="4">
        <v>1.815</v>
      </c>
      <c r="CU42" s="4">
        <v>1.797</v>
      </c>
      <c r="CV42" s="6">
        <v>-0.01377410468319551</v>
      </c>
      <c r="CW42" s="6">
        <v>0.0617</v>
      </c>
      <c r="CX42" s="6">
        <v>0.27118117539026504</v>
      </c>
      <c r="CY42" s="9">
        <v>24</v>
      </c>
      <c r="CZ42" s="7">
        <f>IFERROR(CR42/F42,0)</f>
        <v>0.027932960893854775</v>
      </c>
      <c r="DA42" t="inlineStr">
        <is>
          <t xml:space="preserve">Lease cash / margin / financing</t>
        </is>
      </c>
      <c r="DB42" t="inlineStr">
        <is>
          <t xml:space="preserve">cash</t>
        </is>
      </c>
      <c r="DC42" t="inlineStr">
        <is>
          <t xml:space="preserve">lease</t>
        </is>
      </c>
      <c r="DD42" t="inlineStr">
        <is>
          <t xml:space="preserve">cash</t>
        </is>
      </c>
      <c r="DE42"/>
      <c r="DF42" s="4">
        <v>1</v>
      </c>
      <c r="DG42" s="4">
        <v>1</v>
      </c>
      <c r="DH42" s="4">
        <v>-2.220446049250313e-16</v>
      </c>
      <c r="DI42" s="6"/>
      <c r="DJ42" s="4">
        <v>-2.220446049250313e-16</v>
      </c>
      <c r="DK42" s="4">
        <v>-2.220446049250313e-16</v>
      </c>
      <c r="DL42" s="4">
        <v>0.02991765554654492</v>
      </c>
      <c r="DM42" s="4">
        <v>0</v>
      </c>
      <c r="DN42" s="4">
        <v>0.02991765554654514</v>
      </c>
      <c r="DO42" s="4">
        <v>1.815</v>
      </c>
      <c r="DP42" s="4">
        <v>1.797</v>
      </c>
      <c r="DQ42" s="6"/>
      <c r="DR42" s="6"/>
      <c r="DS42" s="6"/>
      <c r="DT42" s="9"/>
      <c r="DU42" s="7">
        <f>IFERROR(DM42/F42,0)</f>
        <v>0</v>
      </c>
      <c r="DV42" t="inlineStr">
        <is>
          <t xml:space="preserve">Keep cash / margin / financing</t>
        </is>
      </c>
      <c r="DW42" t="inlineStr">
        <is>
          <t xml:space="preserve">cash</t>
        </is>
      </c>
      <c r="DX42" t="inlineStr">
        <is>
          <t xml:space="preserve">keep</t>
        </is>
      </c>
      <c r="DY42" t="inlineStr">
        <is>
          <t xml:space="preserve">cash</t>
        </is>
      </c>
      <c r="DZ42"/>
      <c r="EA42" s="4">
        <v>1</v>
      </c>
      <c r="EB42" s="4">
        <v>1</v>
      </c>
      <c r="EC42" s="4">
        <v>0</v>
      </c>
      <c r="ED42" s="6"/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1.815</v>
      </c>
      <c r="EK42" s="4">
        <v>1.797</v>
      </c>
      <c r="EL42" s="6"/>
      <c r="EM42" s="6"/>
      <c r="EN42" s="6"/>
      <c r="EO42" s="9"/>
      <c r="EP42" s="7">
        <f>IFERROR(EH42/F42,0)</f>
        <v>0</v>
      </c>
      <c r="EQ42"/>
      <c r="ER42"/>
      <c r="ES42"/>
      <c r="ET42"/>
      <c r="EU42"/>
      <c r="EV42" s="4"/>
      <c r="EW42" s="4"/>
      <c r="EX42" s="4"/>
      <c r="EY42" s="6"/>
      <c r="EZ42" s="4"/>
      <c r="FA42" s="4"/>
      <c r="FB42" s="4"/>
      <c r="FC42" s="4"/>
      <c r="FD42" s="4"/>
      <c r="FE42" s="4"/>
      <c r="FF42" s="4"/>
      <c r="FG42" s="6"/>
      <c r="FH42" s="6"/>
      <c r="FI42" s="6"/>
      <c r="FJ42" s="9"/>
      <c r="FK42"/>
      <c r="FL42"/>
      <c r="FM42"/>
      <c r="FN42"/>
      <c r="FO42"/>
      <c r="FP42"/>
      <c r="FQ42" s="4"/>
      <c r="FR42" s="4"/>
      <c r="FS42" s="4"/>
      <c r="FT42" s="6"/>
      <c r="FU42" s="4"/>
      <c r="FV42" s="4"/>
      <c r="FW42" s="4"/>
      <c r="FX42" s="4"/>
      <c r="FY42" s="4"/>
      <c r="FZ42" s="4"/>
      <c r="GA42" s="4"/>
      <c r="GB42" s="6"/>
      <c r="GC42" s="6"/>
      <c r="GD42" s="6"/>
      <c r="GE42" s="9"/>
      <c r="GF42"/>
      <c r="GG42"/>
      <c r="GH42"/>
      <c r="GI42"/>
      <c r="GJ42"/>
      <c r="GK42"/>
      <c r="GL42" s="4"/>
      <c r="GM42" s="4"/>
      <c r="GN42" s="4"/>
      <c r="GO42" s="6"/>
      <c r="GP42" s="4"/>
      <c r="GQ42" s="4"/>
      <c r="GR42" s="4"/>
      <c r="GS42" s="4"/>
      <c r="GT42" s="4"/>
      <c r="GU42" s="4"/>
      <c r="GV42" s="4"/>
      <c r="GW42" s="6"/>
      <c r="GX42" s="6"/>
      <c r="GY42" s="6"/>
      <c r="GZ42" s="9"/>
      <c r="HA42"/>
      <c r="HB42"/>
      <c r="HC42"/>
      <c r="HD42"/>
      <c r="HE42"/>
      <c r="HF42"/>
      <c r="HG42" s="4"/>
      <c r="HH42" s="4"/>
      <c r="HI42" s="4"/>
      <c r="HJ42" s="6"/>
      <c r="HK42" s="4"/>
      <c r="HL42" s="4"/>
      <c r="HM42" s="4"/>
      <c r="HN42" s="4"/>
      <c r="HO42" s="4"/>
      <c r="HP42" s="4"/>
      <c r="HQ42" s="4"/>
      <c r="HR42" s="6"/>
      <c r="HS42" s="6"/>
      <c r="HT42" s="6"/>
      <c r="HU42" s="9"/>
      <c r="HV42"/>
      <c r="HW42"/>
      <c r="HX42"/>
      <c r="HY42"/>
      <c r="HZ42"/>
      <c r="IA42"/>
      <c r="IB42" s="4"/>
      <c r="IC42" s="4"/>
      <c r="ID42" s="4"/>
      <c r="IE42" s="6"/>
      <c r="IF42" s="4"/>
      <c r="IG42" s="4"/>
      <c r="IH42" s="4"/>
      <c r="II42" s="4"/>
      <c r="IJ42" s="4"/>
      <c r="IK42" s="4"/>
      <c r="IL42" s="4"/>
      <c r="IM42" s="6"/>
      <c r="IN42" s="6"/>
      <c r="IO42" s="6"/>
      <c r="IP42" s="9"/>
      <c r="IQ42"/>
      <c r="IR42"/>
      <c r="IS42"/>
      <c r="IT42"/>
      <c r="IU42"/>
      <c r="IV42"/>
      <c r="IW42" s="4"/>
      <c r="IX42" s="4"/>
      <c r="IY42" s="4"/>
      <c r="IZ42" s="6"/>
      <c r="JA42" s="4"/>
      <c r="JB42" s="4"/>
      <c r="JC42" s="4"/>
      <c r="JD42" s="4"/>
      <c r="JE42" s="4"/>
      <c r="JF42" s="4"/>
      <c r="JG42" s="4"/>
      <c r="JH42" s="6"/>
      <c r="JI42" s="6"/>
      <c r="JJ42" s="6"/>
      <c r="JK42" s="9"/>
      <c r="JL42"/>
    </row>
    <row r="43">
      <c r="A43" s="8">
        <v>25266</v>
      </c>
      <c r="B43" s="8">
        <v>25267</v>
      </c>
      <c r="C43" s="9">
        <f>B43-A43</f>
        <v>1</v>
      </c>
      <c r="D43" s="8">
        <v>25266</v>
      </c>
      <c r="E43" t="inlineStr">
        <is>
          <t xml:space="preserve">neutral</t>
        </is>
      </c>
      <c r="F43" s="4">
        <v>1.1011507759282786</v>
      </c>
      <c r="G43" s="6">
        <v>0.03616454745732995</v>
      </c>
      <c r="H43" s="7">
        <f>SUM(CE43,CZ43,DU43,EP43,FK43,GF43,HA43,HV43,IQ43,JL43)</f>
        <v>0.03616454745732995</v>
      </c>
      <c r="I43" s="7">
        <f>G43-H43</f>
        <v>0</v>
      </c>
      <c r="J43" s="5">
        <f>F43*(1+H43)</f>
        <v>1.1409733954220125</v>
      </c>
      <c r="K43" s="4">
        <v>1.1409733954220125</v>
      </c>
      <c r="L43" s="5">
        <f>K43-J43</f>
        <v>0</v>
      </c>
      <c r="M43" s="4">
        <v>1.797</v>
      </c>
      <c r="N43" s="4">
        <v>1.862</v>
      </c>
      <c r="O43" s="5">
        <f>M43/$M$3</f>
        <v>0.9177732379979571</v>
      </c>
      <c r="P43" s="5">
        <f>N43/$M$3</f>
        <v>0.9509703779366702</v>
      </c>
      <c r="Q43" s="7">
        <f>IFERROR(N43/M43-1,0)</f>
        <v>0.036171396772398445</v>
      </c>
      <c r="R43" s="5">
        <f>SUM(IF(BM43="lease",BU43,0),IF(CH43="lease",CP43,0),IF(DC43="lease",DK43,0),IF(DX43="lease",EF43,0),IF(ES43="lease",FA43,0),IF(FN43="lease",FV43,0),IF(GI43="lease",GQ43,0),IF(HD43="lease",HL43,0),IF(HY43="lease",IG43,0),IF(IT43="lease",JB43,0))</f>
        <v>1.1011507759282786</v>
      </c>
      <c r="S43" s="5">
        <f>SUM(IF(BM43="lease",BV43,0),IF(CH43="lease",CQ43,0),IF(DC43="lease",DL43,0),IF(DX43="lease",EG43,0),IF(ES43="lease",FB43,0),IF(FN43="lease",FW43,0),IF(GI43="lease",GR43,0),IF(HD43="lease",HM43,0),IF(HY43="lease",IH43,0),IF(IT43="lease",JC43,0))</f>
        <v>1.1409733954220125</v>
      </c>
      <c r="T43" s="5">
        <f>SUM(IF(BM43="keep",BU43,0),IF(CH43="keep",CP43,0),IF(DC43="keep",DK43,0),IF(DX43="keep",EF43,0),IF(ES43="keep",FA43,0),IF(FN43="keep",FV43,0),IF(GI43="keep",GQ43,0),IF(HD43="keep",HL43,0),IF(HY43="keep",IG43,0),IF(IT43="keep",JB43,0))</f>
        <v>0</v>
      </c>
      <c r="U43" s="5">
        <f>SUM(IF(BM43="keep",BV43,0),IF(CH43="keep",CQ43,0),IF(DC43="keep",DL43,0),IF(DX43="keep",EG43,0),IF(ES43="keep",FB43,0),IF(FN43="keep",FW43,0),IF(GI43="keep",GR43,0),IF(HD43="keep",HM43,0),IF(HY43="keep",IH43,0),IF(IT43="keep",JC43,0))</f>
        <v>0</v>
      </c>
      <c r="V43" s="5">
        <f>R43/O43</f>
        <v>1.199807022408219</v>
      </c>
      <c r="W43" s="5">
        <f>S43/P43</f>
        <v>1.1997990914265844</v>
      </c>
      <c r="X43" s="5">
        <f>T43/O43</f>
        <v>0</v>
      </c>
      <c r="Y43" s="5">
        <f>U43/P43</f>
        <v>0</v>
      </c>
      <c r="Z43" s="5">
        <f>V43+X43</f>
        <v>1.199807022408219</v>
      </c>
      <c r="AA43" s="7">
        <f>IFERROR(W43/V43-1,0)</f>
        <v>-0.0000066102143815305325</v>
      </c>
      <c r="AB43" s="7">
        <f>IFERROR((W43-V43)/Z43,0)</f>
        <v>-0.000006610214381494379</v>
      </c>
      <c r="AC43" s="7">
        <f>IFERROR(Y43/X43-1,0)</f>
        <v>0</v>
      </c>
      <c r="AD43" s="7">
        <f>IFERROR((Y43-X43)/Z43,0)</f>
        <v>0</v>
      </c>
      <c r="AE43" s="7">
        <f>AB43+AD43</f>
        <v>-0.000006610214381494379</v>
      </c>
      <c r="AF43" s="7">
        <f>(1+Q43)*(1+AE43)-1</f>
        <v>0.036164547457329776</v>
      </c>
      <c r="AG43" s="7">
        <f>G43-AF43</f>
        <v>1.734723475976807e-16</v>
      </c>
      <c r="AH43" s="5">
        <f>SUM(IF(BM43="lease",BW43,0),IF(CH43="lease",CR43,0),IF(DC43="lease",DM43,0),IF(DX43="lease",EH43,0),IF(ES43="lease",FC43,0),IF(FN43="lease",FX43,0),IF(GI43="lease",GS43,0),IF(HD43="lease",HN43,0),IF(HY43="lease",II43,0),IF(IT43="lease",JD43,0))</f>
        <v>0.03982261949373393</v>
      </c>
      <c r="AI43" s="5">
        <f>SUM(IF(BM43="keep",BW43,0),IF(CH43="keep",CR43,0),IF(DC43="keep",DM43,0),IF(DX43="keep",EH43,0),IF(ES43="keep",FC43,0),IF(FN43="keep",FX43,0),IF(GI43="keep",GS43,0),IF(HD43="keep",HN43,0),IF(HY43="keep",II43,0),IF(IT43="keep",JD43,0))</f>
        <v>0</v>
      </c>
      <c r="AJ43" s="5">
        <f>SUM(IF(BM43="lease",BX43,0),IF(CH43="lease",CS43,0),IF(DC43="lease",DN43,0),IF(DX43="lease",EI43,0),IF(ES43="lease",FD43,0),IF(FN43="lease",FY43,0),IF(GI43="lease",GT43,0),IF(HD43="lease",HO43,0),IF(HY43="lease",IJ43,0),IF(IT43="lease",JE43,0))</f>
        <v>0</v>
      </c>
      <c r="AK43" s="5">
        <f>SUM(IF(BM43="keep",BX43,0),IF(CH43="keep",CS43,0),IF(DC43="keep",DN43,0),IF(DX43="keep",EI43,0),IF(ES43="keep",FD43,0),IF(FN43="keep",FY43,0),IF(GI43="keep",GT43,0),IF(HD43="keep",HO43,0),IF(HY43="keep",IJ43,0),IF(IT43="keep",JE43,0))</f>
        <v>0</v>
      </c>
      <c r="AL43" s="5">
        <f>R43-S42</f>
        <v>0</v>
      </c>
      <c r="AM43" s="5">
        <f>T43-U42</f>
        <v>0</v>
      </c>
      <c r="AN43" s="5">
        <f>AN42</f>
        <v>1</v>
      </c>
      <c r="AO43" s="5">
        <f>AO42+AH43</f>
        <v>0.1409733954220129</v>
      </c>
      <c r="AP43" s="5">
        <f>AP42+AL43</f>
        <v>-6.661338147750939e-16</v>
      </c>
      <c r="AQ43" s="5">
        <f>AN43+AO43+AP43</f>
        <v>1.1409733954220123</v>
      </c>
      <c r="AR43" s="5">
        <f>S43-AQ43</f>
        <v>2.220446049250313e-16</v>
      </c>
      <c r="AS43" s="5">
        <f>AS42</f>
        <v>0</v>
      </c>
      <c r="AT43" s="5">
        <f>AT42+AI43</f>
        <v>0</v>
      </c>
      <c r="AU43" s="5">
        <f>AU42+AM43</f>
        <v>0</v>
      </c>
      <c r="AV43" s="5">
        <f>AS43+AT43+AU43</f>
        <v>0</v>
      </c>
      <c r="AW43" s="5">
        <f>U43-AV43</f>
        <v>0</v>
      </c>
      <c r="AX43" s="4">
        <v>1.1011507759282786</v>
      </c>
      <c r="AY43" s="4">
        <v>1.1409733954220125</v>
      </c>
      <c r="AZ43" s="5">
        <f>S43-AY43</f>
        <v>0</v>
      </c>
      <c r="BA43" s="4">
        <v>0</v>
      </c>
      <c r="BB43" s="4">
        <v>0</v>
      </c>
      <c r="BC43" s="5">
        <f>U43-BB43</f>
        <v>0</v>
      </c>
      <c r="BD43" s="7">
        <f>SUM(IF(BL43="direct",CE43,0),IF(CG43="direct",CZ43,0),IF(DB43="direct",DU43,0),IF(DW43="direct",EP43,0),IF(ER43="direct",FK43,0),IF(FM43="direct",GF43,0),IF(GH43="direct",HA43,0),IF(HC43="direct",HV43,0),IF(HX43="direct",IQ43,0),IF(IS43="direct",JL43,0))</f>
        <v>0.03616454745732995</v>
      </c>
      <c r="BE43" s="7">
        <f>SUM(IF(BL43="treasury",CE43,0),IF(CG43="treasury",CZ43,0),IF(DB43="treasury",DU43,0),IF(DW43="treasury",EP43,0),IF(ER43="treasury",FK43,0),IF(FM43="treasury",GF43,0),IF(GH43="treasury",HA43,0),IF(HC43="treasury",HV43,0),IF(HX43="treasury",IQ43,0),IF(IS43="treasury",JL43,0))</f>
        <v>0</v>
      </c>
      <c r="BF43" s="7">
        <f>SUM(IF(BL43="future",CE43,0),IF(CG43="future",CZ43,0),IF(DB43="future",DU43,0),IF(DW43="future",EP43,0),IF(ER43="future",FK43,0),IF(FM43="future",GF43,0),IF(GH43="future",HA43,0),IF(HC43="future",HV43,0),IF(HX43="future",IQ43,0),IF(IS43="future",JL43,0))</f>
        <v>0</v>
      </c>
      <c r="BG43" s="7">
        <f>SUM(IF(BL43="cash",CE43,0),IF(CG43="cash",CZ43,0),IF(DB43="cash",DU43,0),IF(DW43="cash",EP43,0),IF(ER43="cash",FK43,0),IF(FM43="cash",GF43,0),IF(GH43="cash",HA43,0),IF(HC43="cash",HV43,0),IF(HX43="cash",IQ43,0),IF(IS43="cash",JL43,0))</f>
        <v>0</v>
      </c>
      <c r="BH43" s="7">
        <f>SUM(BD43:BG43)</f>
        <v>0.03616454745732995</v>
      </c>
      <c r="BI43" s="7">
        <f>G43-BH43</f>
        <v>0</v>
      </c>
      <c r="BJ43" s="9">
        <f>COUNTA(BK43,CF43,DA43,DV43,EQ43,FL43,GG43,HB43,HW43,IR43)</f>
        <v>3</v>
      </c>
      <c r="BK43" t="inlineStr">
        <is>
          <t xml:space="preserve">Direct commodity holding</t>
        </is>
      </c>
      <c r="BL43" t="inlineStr">
        <is>
          <t xml:space="preserve">direct</t>
        </is>
      </c>
      <c r="BM43" t="inlineStr">
        <is>
          <t xml:space="preserve">lease</t>
        </is>
      </c>
      <c r="BN43" t="inlineStr">
        <is>
          <t xml:space="preserve">long</t>
        </is>
      </c>
      <c r="BO43"/>
      <c r="BP43" s="4">
        <v>1.797</v>
      </c>
      <c r="BQ43" s="4">
        <v>1.862</v>
      </c>
      <c r="BR43" s="4">
        <v>0.6127717172667104</v>
      </c>
      <c r="BS43" s="6">
        <v>1</v>
      </c>
      <c r="BT43" s="4">
        <v>1.1011507759282786</v>
      </c>
      <c r="BU43" s="4">
        <v>1.1011507759282786</v>
      </c>
      <c r="BV43" s="4">
        <v>1.1409809375506148</v>
      </c>
      <c r="BW43" s="4">
        <v>0.03982261949373393</v>
      </c>
      <c r="BX43" s="4">
        <v>0.000007542128602280873</v>
      </c>
      <c r="BY43" s="4">
        <v>1.797</v>
      </c>
      <c r="BZ43" s="4">
        <v>1.862</v>
      </c>
      <c r="CA43" s="6"/>
      <c r="CB43" s="6"/>
      <c r="CC43" s="6"/>
      <c r="CD43" s="9"/>
      <c r="CE43" s="7">
        <f>IFERROR(BW43/F43,0)</f>
        <v>0.03616454745732995</v>
      </c>
      <c r="CF43" t="inlineStr">
        <is>
          <t xml:space="preserve">Lease cash / margin / financing</t>
        </is>
      </c>
      <c r="CG43" t="inlineStr">
        <is>
          <t xml:space="preserve">cash</t>
        </is>
      </c>
      <c r="CH43" t="inlineStr">
        <is>
          <t xml:space="preserve">lease</t>
        </is>
      </c>
      <c r="CI43" t="inlineStr">
        <is>
          <t xml:space="preserve">cash</t>
        </is>
      </c>
      <c r="CJ43"/>
      <c r="CK43" s="4">
        <v>1</v>
      </c>
      <c r="CL43" s="4">
        <v>1</v>
      </c>
      <c r="CM43" s="4">
        <v>0</v>
      </c>
      <c r="CN43" s="6"/>
      <c r="CO43" s="4">
        <v>0</v>
      </c>
      <c r="CP43" s="4">
        <v>0</v>
      </c>
      <c r="CQ43" s="4">
        <v>-0.000007542128602280873</v>
      </c>
      <c r="CR43" s="4">
        <v>0</v>
      </c>
      <c r="CS43" s="4">
        <v>-0.000007542128602280873</v>
      </c>
      <c r="CT43" s="4">
        <v>1.797</v>
      </c>
      <c r="CU43" s="4">
        <v>1.862</v>
      </c>
      <c r="CV43" s="6"/>
      <c r="CW43" s="6"/>
      <c r="CX43" s="6"/>
      <c r="CY43" s="9"/>
      <c r="CZ43" s="7">
        <f>IFERROR(CR43/F43,0)</f>
        <v>0</v>
      </c>
      <c r="DA43" t="inlineStr">
        <is>
          <t xml:space="preserve">Keep cash / margin / financing</t>
        </is>
      </c>
      <c r="DB43" t="inlineStr">
        <is>
          <t xml:space="preserve">cash</t>
        </is>
      </c>
      <c r="DC43" t="inlineStr">
        <is>
          <t xml:space="preserve">keep</t>
        </is>
      </c>
      <c r="DD43" t="inlineStr">
        <is>
          <t xml:space="preserve">cash</t>
        </is>
      </c>
      <c r="DE43"/>
      <c r="DF43" s="4">
        <v>1</v>
      </c>
      <c r="DG43" s="4">
        <v>1</v>
      </c>
      <c r="DH43" s="4">
        <v>0</v>
      </c>
      <c r="DI43" s="6"/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1.797</v>
      </c>
      <c r="DP43" s="4">
        <v>1.862</v>
      </c>
      <c r="DQ43" s="6"/>
      <c r="DR43" s="6"/>
      <c r="DS43" s="6"/>
      <c r="DT43" s="9"/>
      <c r="DU43" s="7">
        <f>IFERROR(DM43/F43,0)</f>
        <v>0</v>
      </c>
      <c r="DV43"/>
      <c r="DW43"/>
      <c r="DX43"/>
      <c r="DY43"/>
      <c r="DZ43"/>
      <c r="EA43" s="4"/>
      <c r="EB43" s="4"/>
      <c r="EC43" s="4"/>
      <c r="ED43" s="6"/>
      <c r="EE43" s="4"/>
      <c r="EF43" s="4"/>
      <c r="EG43" s="4"/>
      <c r="EH43" s="4"/>
      <c r="EI43" s="4"/>
      <c r="EJ43" s="4"/>
      <c r="EK43" s="4"/>
      <c r="EL43" s="6"/>
      <c r="EM43" s="6"/>
      <c r="EN43" s="6"/>
      <c r="EO43" s="9"/>
      <c r="EP43"/>
      <c r="EQ43"/>
      <c r="ER43"/>
      <c r="ES43"/>
      <c r="ET43"/>
      <c r="EU43"/>
      <c r="EV43" s="4"/>
      <c r="EW43" s="4"/>
      <c r="EX43" s="4"/>
      <c r="EY43" s="6"/>
      <c r="EZ43" s="4"/>
      <c r="FA43" s="4"/>
      <c r="FB43" s="4"/>
      <c r="FC43" s="4"/>
      <c r="FD43" s="4"/>
      <c r="FE43" s="4"/>
      <c r="FF43" s="4"/>
      <c r="FG43" s="6"/>
      <c r="FH43" s="6"/>
      <c r="FI43" s="6"/>
      <c r="FJ43" s="9"/>
      <c r="FK43"/>
      <c r="FL43"/>
      <c r="FM43"/>
      <c r="FN43"/>
      <c r="FO43"/>
      <c r="FP43"/>
      <c r="FQ43" s="4"/>
      <c r="FR43" s="4"/>
      <c r="FS43" s="4"/>
      <c r="FT43" s="6"/>
      <c r="FU43" s="4"/>
      <c r="FV43" s="4"/>
      <c r="FW43" s="4"/>
      <c r="FX43" s="4"/>
      <c r="FY43" s="4"/>
      <c r="FZ43" s="4"/>
      <c r="GA43" s="4"/>
      <c r="GB43" s="6"/>
      <c r="GC43" s="6"/>
      <c r="GD43" s="6"/>
      <c r="GE43" s="9"/>
      <c r="GF43"/>
      <c r="GG43"/>
      <c r="GH43"/>
      <c r="GI43"/>
      <c r="GJ43"/>
      <c r="GK43"/>
      <c r="GL43" s="4"/>
      <c r="GM43" s="4"/>
      <c r="GN43" s="4"/>
      <c r="GO43" s="6"/>
      <c r="GP43" s="4"/>
      <c r="GQ43" s="4"/>
      <c r="GR43" s="4"/>
      <c r="GS43" s="4"/>
      <c r="GT43" s="4"/>
      <c r="GU43" s="4"/>
      <c r="GV43" s="4"/>
      <c r="GW43" s="6"/>
      <c r="GX43" s="6"/>
      <c r="GY43" s="6"/>
      <c r="GZ43" s="9"/>
      <c r="HA43"/>
      <c r="HB43"/>
      <c r="HC43"/>
      <c r="HD43"/>
      <c r="HE43"/>
      <c r="HF43"/>
      <c r="HG43" s="4"/>
      <c r="HH43" s="4"/>
      <c r="HI43" s="4"/>
      <c r="HJ43" s="6"/>
      <c r="HK43" s="4"/>
      <c r="HL43" s="4"/>
      <c r="HM43" s="4"/>
      <c r="HN43" s="4"/>
      <c r="HO43" s="4"/>
      <c r="HP43" s="4"/>
      <c r="HQ43" s="4"/>
      <c r="HR43" s="6"/>
      <c r="HS43" s="6"/>
      <c r="HT43" s="6"/>
      <c r="HU43" s="9"/>
      <c r="HV43"/>
      <c r="HW43"/>
      <c r="HX43"/>
      <c r="HY43"/>
      <c r="HZ43"/>
      <c r="IA43"/>
      <c r="IB43" s="4"/>
      <c r="IC43" s="4"/>
      <c r="ID43" s="4"/>
      <c r="IE43" s="6"/>
      <c r="IF43" s="4"/>
      <c r="IG43" s="4"/>
      <c r="IH43" s="4"/>
      <c r="II43" s="4"/>
      <c r="IJ43" s="4"/>
      <c r="IK43" s="4"/>
      <c r="IL43" s="4"/>
      <c r="IM43" s="6"/>
      <c r="IN43" s="6"/>
      <c r="IO43" s="6"/>
      <c r="IP43" s="9"/>
      <c r="IQ43"/>
      <c r="IR43"/>
      <c r="IS43"/>
      <c r="IT43"/>
      <c r="IU43"/>
      <c r="IV43"/>
      <c r="IW43" s="4"/>
      <c r="IX43" s="4"/>
      <c r="IY43" s="4"/>
      <c r="IZ43" s="6"/>
      <c r="JA43" s="4"/>
      <c r="JB43" s="4"/>
      <c r="JC43" s="4"/>
      <c r="JD43" s="4"/>
      <c r="JE43" s="4"/>
      <c r="JF43" s="4"/>
      <c r="JG43" s="4"/>
      <c r="JH43" s="6"/>
      <c r="JI43" s="6"/>
      <c r="JJ43" s="6"/>
      <c r="JK43" s="9"/>
      <c r="JL43"/>
    </row>
    <row r="44">
      <c r="A44" s="8">
        <v>25267</v>
      </c>
      <c r="B44" s="8">
        <v>25268</v>
      </c>
      <c r="C44" s="9">
        <f>B44-A44</f>
        <v>1</v>
      </c>
      <c r="D44" s="8">
        <v>25267</v>
      </c>
      <c r="E44" t="inlineStr">
        <is>
          <t xml:space="preserve">positive</t>
        </is>
      </c>
      <c r="F44" s="4">
        <v>1.1409733954220125</v>
      </c>
      <c r="G44" s="6">
        <v>0.021226671053592775</v>
      </c>
      <c r="H44" s="7">
        <f>SUM(CE44,CZ44,DU44,EP44,FK44,GF44,HA44,HV44,IQ44,JL44)</f>
        <v>0.02122667105359278</v>
      </c>
      <c r="I44" s="7">
        <f>G44-H44</f>
        <v>-3.469446951953614e-18</v>
      </c>
      <c r="J44" s="5">
        <f>F44*(1+H44)</f>
        <v>1.1651924623675365</v>
      </c>
      <c r="K44" s="4">
        <v>1.1651924623675365</v>
      </c>
      <c r="L44" s="5">
        <f>K44-J44</f>
        <v>0</v>
      </c>
      <c r="M44" s="4">
        <v>1.862</v>
      </c>
      <c r="N44" s="4">
        <v>1.886</v>
      </c>
      <c r="O44" s="5">
        <f>M44/$M$3</f>
        <v>0.9509703779366702</v>
      </c>
      <c r="P44" s="5">
        <f>N44/$M$3</f>
        <v>0.9632277834525025</v>
      </c>
      <c r="Q44" s="7">
        <f>IFERROR(N44/M44-1,0)</f>
        <v>0.012889366272824887</v>
      </c>
      <c r="R44" s="5">
        <f>SUM(IF(BM44="lease",BU44,0),IF(CH44="lease",CP44,0),IF(DC44="lease",DK44,0),IF(DX44="lease",EF44,0),IF(ES44="lease",FA44,0),IF(FN44="lease",FV44,0),IF(GI44="lease",GQ44,0),IF(HD44="lease",HL44,0),IF(HY44="lease",IG44,0),IF(IT44="lease",JB44,0))</f>
        <v>1.1409733954220125</v>
      </c>
      <c r="S44" s="5">
        <f>SUM(IF(BM44="lease",BV44,0),IF(CH44="lease",CQ44,0),IF(DC44="lease",DL44,0),IF(DX44="lease",EG44,0),IF(ES44="lease",FB44,0),IF(FN44="lease",FW44,0),IF(GI44="lease",GR44,0),IF(HD44="lease",HM44,0),IF(HY44="lease",IH44,0),IF(IT44="lease",JC44,0))</f>
        <v>1.1651924623675365</v>
      </c>
      <c r="T44" s="5">
        <f>SUM(IF(BM44="keep",BU44,0),IF(CH44="keep",CP44,0),IF(DC44="keep",DK44,0),IF(DX44="keep",EF44,0),IF(ES44="keep",FA44,0),IF(FN44="keep",FV44,0),IF(GI44="keep",GQ44,0),IF(HD44="keep",HL44,0),IF(HY44="keep",IG44,0),IF(IT44="keep",JB44,0))</f>
        <v>0</v>
      </c>
      <c r="U44" s="5">
        <f>SUM(IF(BM44="keep",BV44,0),IF(CH44="keep",CQ44,0),IF(DC44="keep",DL44,0),IF(DX44="keep",EG44,0),IF(ES44="keep",FB44,0),IF(FN44="keep",FW44,0),IF(GI44="keep",GR44,0),IF(HD44="keep",HM44,0),IF(HY44="keep",IH44,0),IF(IT44="keep",JC44,0))</f>
        <v>0</v>
      </c>
      <c r="V44" s="5">
        <f>R44/O44</f>
        <v>1.1997990914265844</v>
      </c>
      <c r="W44" s="5">
        <f>S44/P44</f>
        <v>1.2096748893508147</v>
      </c>
      <c r="X44" s="5">
        <f>T44/O44</f>
        <v>0</v>
      </c>
      <c r="Y44" s="5">
        <f>U44/P44</f>
        <v>0</v>
      </c>
      <c r="Z44" s="5">
        <f>V44+X44</f>
        <v>1.1997990914265844</v>
      </c>
      <c r="AA44" s="7">
        <f>IFERROR(W44/V44-1,0)</f>
        <v>0.008231209704024467</v>
      </c>
      <c r="AB44" s="7">
        <f>IFERROR((W44-V44)/Z44,0)</f>
        <v>0.008231209704024536</v>
      </c>
      <c r="AC44" s="7">
        <f>IFERROR(Y44/X44-1,0)</f>
        <v>0</v>
      </c>
      <c r="AD44" s="7">
        <f>IFERROR((Y44-X44)/Z44,0)</f>
        <v>0</v>
      </c>
      <c r="AE44" s="7">
        <f>AB44+AD44</f>
        <v>0.008231209704024536</v>
      </c>
      <c r="AF44" s="7">
        <f>(1+Q44)*(1+AE44)-1</f>
        <v>0.021226671053592883</v>
      </c>
      <c r="AG44" s="7">
        <f>G44-AF44</f>
        <v>-1.0755285551056204e-16</v>
      </c>
      <c r="AH44" s="5">
        <f>SUM(IF(BM44="lease",BW44,0),IF(CH44="lease",CR44,0),IF(DC44="lease",DM44,0),IF(DX44="lease",EH44,0),IF(ES44="lease",FC44,0),IF(FN44="lease",FX44,0),IF(GI44="lease",GS44,0),IF(HD44="lease",HN44,0),IF(HY44="lease",II44,0),IF(IT44="lease",JD44,0))</f>
        <v>0.0242190669455239</v>
      </c>
      <c r="AI44" s="5">
        <f>SUM(IF(BM44="keep",BW44,0),IF(CH44="keep",CR44,0),IF(DC44="keep",DM44,0),IF(DX44="keep",EH44,0),IF(ES44="keep",FC44,0),IF(FN44="keep",FX44,0),IF(GI44="keep",GS44,0),IF(HD44="keep",HN44,0),IF(HY44="keep",II44,0),IF(IT44="keep",JD44,0))</f>
        <v>0</v>
      </c>
      <c r="AJ44" s="5">
        <f>SUM(IF(BM44="lease",BX44,0),IF(CH44="lease",CS44,0),IF(DC44="lease",DN44,0),IF(DX44="lease",EI44,0),IF(ES44="lease",FD44,0),IF(FN44="lease",FY44,0),IF(GI44="lease",GT44,0),IF(HD44="lease",HO44,0),IF(HY44="lease",IJ44,0),IF(IT44="lease",JE44,0))</f>
        <v>0</v>
      </c>
      <c r="AK44" s="5">
        <f>SUM(IF(BM44="keep",BX44,0),IF(CH44="keep",CS44,0),IF(DC44="keep",DN44,0),IF(DX44="keep",EI44,0),IF(ES44="keep",FD44,0),IF(FN44="keep",FY44,0),IF(GI44="keep",GT44,0),IF(HD44="keep",HO44,0),IF(HY44="keep",IJ44,0),IF(IT44="keep",JE44,0))</f>
        <v>0</v>
      </c>
      <c r="AL44" s="5">
        <f>R44-S43</f>
        <v>0</v>
      </c>
      <c r="AM44" s="5">
        <f>T44-U43</f>
        <v>0</v>
      </c>
      <c r="AN44" s="5">
        <f>AN43</f>
        <v>1</v>
      </c>
      <c r="AO44" s="5">
        <f>AO43+AH44</f>
        <v>0.1651924623675368</v>
      </c>
      <c r="AP44" s="5">
        <f>AP43+AL44</f>
        <v>-6.661338147750939e-16</v>
      </c>
      <c r="AQ44" s="5">
        <f>AN44+AO44+AP44</f>
        <v>1.165192462367536</v>
      </c>
      <c r="AR44" s="5">
        <f>S44-AQ44</f>
        <v>4.440892098500626e-16</v>
      </c>
      <c r="AS44" s="5">
        <f>AS43</f>
        <v>0</v>
      </c>
      <c r="AT44" s="5">
        <f>AT43+AI44</f>
        <v>0</v>
      </c>
      <c r="AU44" s="5">
        <f>AU43+AM44</f>
        <v>0</v>
      </c>
      <c r="AV44" s="5">
        <f>AS44+AT44+AU44</f>
        <v>0</v>
      </c>
      <c r="AW44" s="5">
        <f>U44-AV44</f>
        <v>0</v>
      </c>
      <c r="AX44" s="4">
        <v>1.1409733954220125</v>
      </c>
      <c r="AY44" s="4">
        <v>1.1651924623675365</v>
      </c>
      <c r="AZ44" s="5">
        <f>S44-AY44</f>
        <v>0</v>
      </c>
      <c r="BA44" s="4">
        <v>0</v>
      </c>
      <c r="BB44" s="4">
        <v>0</v>
      </c>
      <c r="BC44" s="5">
        <f>U44-BB44</f>
        <v>0</v>
      </c>
      <c r="BD44" s="7">
        <f>SUM(IF(BL44="direct",CE44,0),IF(CG44="direct",CZ44,0),IF(DB44="direct",DU44,0),IF(DW44="direct",EP44,0),IF(ER44="direct",FK44,0),IF(FM44="direct",GF44,0),IF(GH44="direct",HA44,0),IF(HC44="direct",HV44,0),IF(HX44="direct",IQ44,0),IF(IS44="direct",JL44,0))</f>
        <v>0.0007650184765088898</v>
      </c>
      <c r="BE44" s="7">
        <f>SUM(IF(BL44="treasury",CE44,0),IF(CG44="treasury",CZ44,0),IF(DB44="treasury",DU44,0),IF(DW44="treasury",EP44,0),IF(ER44="treasury",FK44,0),IF(FM44="treasury",GF44,0),IF(GH44="treasury",HA44,0),IF(HC44="treasury",HV44,0),IF(HX44="treasury",IQ44,0),IF(IS44="treasury",JL44,0))</f>
        <v>0.00015694109532860773</v>
      </c>
      <c r="BF44" s="7">
        <f>SUM(IF(BL44="future",CE44,0),IF(CG44="future",CZ44,0),IF(DB44="future",DU44,0),IF(DW44="future",EP44,0),IF(ER44="future",FK44,0),IF(FM44="future",GF44,0),IF(GH44="future",HA44,0),IF(HC44="future",HV44,0),IF(HX44="future",IQ44,0),IF(IS44="future",JL44,0))</f>
        <v>0.02030471148175528</v>
      </c>
      <c r="BG44" s="7">
        <f>SUM(IF(BL44="cash",CE44,0),IF(CG44="cash",CZ44,0),IF(DB44="cash",DU44,0),IF(DW44="cash",EP44,0),IF(ER44="cash",FK44,0),IF(FM44="cash",GF44,0),IF(GH44="cash",HA44,0),IF(HC44="cash",HV44,0),IF(HX44="cash",IQ44,0),IF(IS44="cash",JL44,0))</f>
        <v>0</v>
      </c>
      <c r="BH44" s="7">
        <f>SUM(BD44:BG44)</f>
        <v>0.02122667105359278</v>
      </c>
      <c r="BI44" s="7">
        <f>G44-BH44</f>
        <v>-3.469446951953614e-18</v>
      </c>
      <c r="BJ44" s="9">
        <f>COUNTA(BK44,CF44,DA44,DV44,EQ44,FL44,GG44,HB44,HW44,IR44)</f>
        <v>6</v>
      </c>
      <c r="BK44" t="inlineStr">
        <is>
          <t xml:space="preserve">Direct commodity holding</t>
        </is>
      </c>
      <c r="BL44" t="inlineStr">
        <is>
          <t xml:space="preserve">direct</t>
        </is>
      </c>
      <c r="BM44" t="inlineStr">
        <is>
          <t xml:space="preserve">lease</t>
        </is>
      </c>
      <c r="BN44" t="inlineStr">
        <is>
          <t xml:space="preserve">long</t>
        </is>
      </c>
      <c r="BO44"/>
      <c r="BP44" s="4">
        <v>1.862</v>
      </c>
      <c r="BQ44" s="4">
        <v>1.886</v>
      </c>
      <c r="BR44" s="4">
        <v>0.03638874207430635</v>
      </c>
      <c r="BS44" s="6">
        <v>0.05938423982033125</v>
      </c>
      <c r="BT44" s="4">
        <v>0.06775583774235842</v>
      </c>
      <c r="BU44" s="4">
        <v>0.06775583774235842</v>
      </c>
      <c r="BV44" s="4">
        <v>0.06862916755214177</v>
      </c>
      <c r="BW44" s="4">
        <v>0.0008728657287029231</v>
      </c>
      <c r="BX44" s="4">
        <v>4.6408108042052254e-7</v>
      </c>
      <c r="BY44" s="4">
        <v>1.862</v>
      </c>
      <c r="BZ44" s="4">
        <v>1.886</v>
      </c>
      <c r="CA44" s="6"/>
      <c r="CB44" s="6"/>
      <c r="CC44" s="6"/>
      <c r="CD44" s="9"/>
      <c r="CE44" s="7">
        <f>IFERROR(BW44/F44,0)</f>
        <v>0.0007650184765088898</v>
      </c>
      <c r="CF44" t="inlineStr">
        <is>
          <t xml:space="preserve">Treasury collateral</t>
        </is>
      </c>
      <c r="CG44" t="inlineStr">
        <is>
          <t xml:space="preserve">treasury</t>
        </is>
      </c>
      <c r="CH44" t="inlineStr">
        <is>
          <t xml:space="preserve">lease</t>
        </is>
      </c>
      <c r="CI44" t="inlineStr">
        <is>
          <t xml:space="preserve">long</t>
        </is>
      </c>
      <c r="CJ44"/>
      <c r="CK44" s="4">
        <v>101.0466537084127</v>
      </c>
      <c r="CL44" s="4">
        <v>101.0635132733739</v>
      </c>
      <c r="CM44" s="4">
        <v>0.010621010377806333</v>
      </c>
      <c r="CN44" s="6">
        <v>0.9406157601796687</v>
      </c>
      <c r="CO44" s="4">
        <v>1.073217557679654</v>
      </c>
      <c r="CP44" s="4">
        <v>1.073217557679654</v>
      </c>
      <c r="CQ44" s="4">
        <v>1.0733966232940724</v>
      </c>
      <c r="CR44" s="4">
        <v>0.0001790656144183313</v>
      </c>
      <c r="CS44" s="4">
        <v>-5.900770323752358e-17</v>
      </c>
      <c r="CT44" s="4">
        <v>1.862</v>
      </c>
      <c r="CU44" s="4">
        <v>1.886</v>
      </c>
      <c r="CV44" s="6"/>
      <c r="CW44" s="6"/>
      <c r="CX44" s="6"/>
      <c r="CY44" s="9">
        <v>22</v>
      </c>
      <c r="CZ44" s="7">
        <f>IFERROR(CR44/F44,0)</f>
        <v>0.00015694109532860773</v>
      </c>
      <c r="DA44" t="inlineStr">
        <is>
          <t xml:space="preserve">SI69H</t>
        </is>
      </c>
      <c r="DB44" t="inlineStr">
        <is>
          <t xml:space="preserve">future</t>
        </is>
      </c>
      <c r="DC44" t="inlineStr">
        <is>
          <t xml:space="preserve">lease</t>
        </is>
      </c>
      <c r="DD44" t="inlineStr">
        <is>
          <t xml:space="preserve">long</t>
        </is>
      </c>
      <c r="DE44" t="inlineStr">
        <is>
          <t xml:space="preserve">regular</t>
        </is>
      </c>
      <c r="DF44" s="4">
        <v>1.8530000000000002</v>
      </c>
      <c r="DG44" s="4">
        <v>1.893</v>
      </c>
      <c r="DH44" s="4">
        <v>0.5791783619866333</v>
      </c>
      <c r="DI44" s="6">
        <v>0.9406157137996018</v>
      </c>
      <c r="DJ44" s="4">
        <v>1.0732175047612316</v>
      </c>
      <c r="DK44" s="4">
        <v>0</v>
      </c>
      <c r="DL44" s="4">
        <v>0</v>
      </c>
      <c r="DM44" s="4">
        <v>0.023167134479465296</v>
      </c>
      <c r="DN44" s="4">
        <v>-0.023167134479465296</v>
      </c>
      <c r="DO44" s="4">
        <v>1.862</v>
      </c>
      <c r="DP44" s="4">
        <v>1.886</v>
      </c>
      <c r="DQ44" s="6">
        <v>-0.004833512352309333</v>
      </c>
      <c r="DR44" s="6">
        <v>0.060899999999999996</v>
      </c>
      <c r="DS44" s="6">
        <v>0.1410923640269503</v>
      </c>
      <c r="DT44" s="9">
        <v>22</v>
      </c>
      <c r="DU44" s="7">
        <f>IFERROR(DM44/F44,0)</f>
        <v>0.020304710497562876</v>
      </c>
      <c r="DV44" t="inlineStr">
        <is>
          <t xml:space="preserve">SI69K</t>
        </is>
      </c>
      <c r="DW44" t="inlineStr">
        <is>
          <t xml:space="preserve">future</t>
        </is>
      </c>
      <c r="DX44" t="inlineStr">
        <is>
          <t xml:space="preserve">lease</t>
        </is>
      </c>
      <c r="DY44" t="inlineStr">
        <is>
          <t xml:space="preserve">long</t>
        </is>
      </c>
      <c r="DZ44" t="inlineStr">
        <is>
          <t xml:space="preserve">regular</t>
        </is>
      </c>
      <c r="EA44" s="4">
        <v>1.885</v>
      </c>
      <c r="EB44" s="4">
        <v>1.925</v>
      </c>
      <c r="EC44" s="4">
        <v>2.807343366343214e-8</v>
      </c>
      <c r="ED44" s="6">
        <v>4.638006693924411e-8</v>
      </c>
      <c r="EE44" s="4">
        <v>5.2918422455569583e-8</v>
      </c>
      <c r="EF44" s="4">
        <v>0</v>
      </c>
      <c r="EG44" s="4">
        <v>0</v>
      </c>
      <c r="EH44" s="4">
        <v>1.1229373465372824e-9</v>
      </c>
      <c r="EI44" s="4">
        <v>-1.1229373465372824e-9</v>
      </c>
      <c r="EJ44" s="4">
        <v>1.862</v>
      </c>
      <c r="EK44" s="4">
        <v>1.886</v>
      </c>
      <c r="EL44" s="6">
        <v>0.01235230934479059</v>
      </c>
      <c r="EM44" s="6">
        <v>0.060899999999999996</v>
      </c>
      <c r="EN44" s="6">
        <v>0.0072262748708504035</v>
      </c>
      <c r="EO44" s="9">
        <v>84</v>
      </c>
      <c r="EP44" s="7">
        <f>IFERROR(EH44/F44,0)</f>
        <v>9.841924018937715e-10</v>
      </c>
      <c r="EQ44" t="inlineStr">
        <is>
          <t xml:space="preserve">Lease cash / margin / financing</t>
        </is>
      </c>
      <c r="ER44" t="inlineStr">
        <is>
          <t xml:space="preserve">cash</t>
        </is>
      </c>
      <c r="ES44" t="inlineStr">
        <is>
          <t xml:space="preserve">lease</t>
        </is>
      </c>
      <c r="ET44" t="inlineStr">
        <is>
          <t xml:space="preserve">cash</t>
        </is>
      </c>
      <c r="EU44"/>
      <c r="EV44" s="4">
        <v>1</v>
      </c>
      <c r="EW44" s="4">
        <v>1</v>
      </c>
      <c r="EX44" s="4">
        <v>0</v>
      </c>
      <c r="EY44" s="6"/>
      <c r="EZ44" s="4">
        <v>0</v>
      </c>
      <c r="FA44" s="4">
        <v>0</v>
      </c>
      <c r="FB44" s="4">
        <v>0.023166671521322284</v>
      </c>
      <c r="FC44" s="4">
        <v>0</v>
      </c>
      <c r="FD44" s="4">
        <v>0.023166671521322284</v>
      </c>
      <c r="FE44" s="4">
        <v>1.862</v>
      </c>
      <c r="FF44" s="4">
        <v>1.886</v>
      </c>
      <c r="FG44" s="6"/>
      <c r="FH44" s="6"/>
      <c r="FI44" s="6"/>
      <c r="FJ44" s="9"/>
      <c r="FK44" s="7">
        <f>IFERROR(FC44/F44,0)</f>
        <v>0</v>
      </c>
      <c r="FL44" t="inlineStr">
        <is>
          <t xml:space="preserve">Keep cash / margin / financing</t>
        </is>
      </c>
      <c r="FM44" t="inlineStr">
        <is>
          <t xml:space="preserve">cash</t>
        </is>
      </c>
      <c r="FN44" t="inlineStr">
        <is>
          <t xml:space="preserve">keep</t>
        </is>
      </c>
      <c r="FO44" t="inlineStr">
        <is>
          <t xml:space="preserve">cash</t>
        </is>
      </c>
      <c r="FP44"/>
      <c r="FQ44" s="4">
        <v>1</v>
      </c>
      <c r="FR44" s="4">
        <v>1</v>
      </c>
      <c r="FS44" s="4">
        <v>0</v>
      </c>
      <c r="FT44" s="6"/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1.862</v>
      </c>
      <c r="GA44" s="4">
        <v>1.886</v>
      </c>
      <c r="GB44" s="6"/>
      <c r="GC44" s="6"/>
      <c r="GD44" s="6"/>
      <c r="GE44" s="9"/>
      <c r="GF44" s="7">
        <f>IFERROR(FX44/F44,0)</f>
        <v>0</v>
      </c>
      <c r="GG44"/>
      <c r="GH44"/>
      <c r="GI44"/>
      <c r="GJ44"/>
      <c r="GK44"/>
      <c r="GL44" s="4"/>
      <c r="GM44" s="4"/>
      <c r="GN44" s="4"/>
      <c r="GO44" s="6"/>
      <c r="GP44" s="4"/>
      <c r="GQ44" s="4"/>
      <c r="GR44" s="4"/>
      <c r="GS44" s="4"/>
      <c r="GT44" s="4"/>
      <c r="GU44" s="4"/>
      <c r="GV44" s="4"/>
      <c r="GW44" s="6"/>
      <c r="GX44" s="6"/>
      <c r="GY44" s="6"/>
      <c r="GZ44" s="9"/>
      <c r="HA44"/>
      <c r="HB44"/>
      <c r="HC44"/>
      <c r="HD44"/>
      <c r="HE44"/>
      <c r="HF44"/>
      <c r="HG44" s="4"/>
      <c r="HH44" s="4"/>
      <c r="HI44" s="4"/>
      <c r="HJ44" s="6"/>
      <c r="HK44" s="4"/>
      <c r="HL44" s="4"/>
      <c r="HM44" s="4"/>
      <c r="HN44" s="4"/>
      <c r="HO44" s="4"/>
      <c r="HP44" s="4"/>
      <c r="HQ44" s="4"/>
      <c r="HR44" s="6"/>
      <c r="HS44" s="6"/>
      <c r="HT44" s="6"/>
      <c r="HU44" s="9"/>
      <c r="HV44"/>
      <c r="HW44"/>
      <c r="HX44"/>
      <c r="HY44"/>
      <c r="HZ44"/>
      <c r="IA44"/>
      <c r="IB44" s="4"/>
      <c r="IC44" s="4"/>
      <c r="ID44" s="4"/>
      <c r="IE44" s="6"/>
      <c r="IF44" s="4"/>
      <c r="IG44" s="4"/>
      <c r="IH44" s="4"/>
      <c r="II44" s="4"/>
      <c r="IJ44" s="4"/>
      <c r="IK44" s="4"/>
      <c r="IL44" s="4"/>
      <c r="IM44" s="6"/>
      <c r="IN44" s="6"/>
      <c r="IO44" s="6"/>
      <c r="IP44" s="9"/>
      <c r="IQ44"/>
      <c r="IR44"/>
      <c r="IS44"/>
      <c r="IT44"/>
      <c r="IU44"/>
      <c r="IV44"/>
      <c r="IW44" s="4"/>
      <c r="IX44" s="4"/>
      <c r="IY44" s="4"/>
      <c r="IZ44" s="6"/>
      <c r="JA44" s="4"/>
      <c r="JB44" s="4"/>
      <c r="JC44" s="4"/>
      <c r="JD44" s="4"/>
      <c r="JE44" s="4"/>
      <c r="JF44" s="4"/>
      <c r="JG44" s="4"/>
      <c r="JH44" s="6"/>
      <c r="JI44" s="6"/>
      <c r="JJ44" s="6"/>
      <c r="JK44" s="9"/>
      <c r="JL44"/>
    </row>
    <row r="45">
      <c r="A45" s="8">
        <v>25268</v>
      </c>
      <c r="B45" s="8">
        <v>25269</v>
      </c>
      <c r="C45" s="9">
        <f>B45-A45</f>
        <v>1</v>
      </c>
      <c r="D45" s="8">
        <v>25268</v>
      </c>
      <c r="E45" t="inlineStr">
        <is>
          <t xml:space="preserve">neutral</t>
        </is>
      </c>
      <c r="F45" s="4">
        <v>1.1651924623675365</v>
      </c>
      <c r="G45" s="6">
        <v>0.020671835732651588</v>
      </c>
      <c r="H45" s="7">
        <f>SUM(CE45,CZ45,DU45,EP45,FK45,GF45,HA45,HV45,IQ45,JL45)</f>
        <v>0.020671835732651588</v>
      </c>
      <c r="I45" s="7">
        <f>G45-H45</f>
        <v>0</v>
      </c>
      <c r="J45" s="5">
        <f>F45*(1+H45)</f>
        <v>1.1892791295465222</v>
      </c>
      <c r="K45" s="4">
        <v>1.1892791295465222</v>
      </c>
      <c r="L45" s="5">
        <f>K45-J45</f>
        <v>0</v>
      </c>
      <c r="M45" s="4">
        <v>1.886</v>
      </c>
      <c r="N45" s="4">
        <v>1.925</v>
      </c>
      <c r="O45" s="5">
        <f>M45/$M$3</f>
        <v>0.9632277834525025</v>
      </c>
      <c r="P45" s="5">
        <f>N45/$M$3</f>
        <v>0.9831460674157304</v>
      </c>
      <c r="Q45" s="7">
        <f>IFERROR(N45/M45-1,0)</f>
        <v>0.02067868504772008</v>
      </c>
      <c r="R45" s="5">
        <f>SUM(IF(BM45="lease",BU45,0),IF(CH45="lease",CP45,0),IF(DC45="lease",DK45,0),IF(DX45="lease",EF45,0),IF(ES45="lease",FA45,0),IF(FN45="lease",FV45,0),IF(GI45="lease",GQ45,0),IF(HD45="lease",HL45,0),IF(HY45="lease",IG45,0),IF(IT45="lease",JB45,0))</f>
        <v>1.1651924623675365</v>
      </c>
      <c r="S45" s="5">
        <f>SUM(IF(BM45="lease",BV45,0),IF(CH45="lease",CQ45,0),IF(DC45="lease",DL45,0),IF(DX45="lease",EG45,0),IF(ES45="lease",FB45,0),IF(FN45="lease",FW45,0),IF(GI45="lease",GR45,0),IF(HD45="lease",HM45,0),IF(HY45="lease",IH45,0),IF(IT45="lease",JC45,0))</f>
        <v>1.189279129546522</v>
      </c>
      <c r="T45" s="5">
        <f>SUM(IF(BM45="keep",BU45,0),IF(CH45="keep",CP45,0),IF(DC45="keep",DK45,0),IF(DX45="keep",EF45,0),IF(ES45="keep",FA45,0),IF(FN45="keep",FV45,0),IF(GI45="keep",GQ45,0),IF(HD45="keep",HL45,0),IF(HY45="keep",IG45,0),IF(IT45="keep",JB45,0))</f>
        <v>0</v>
      </c>
      <c r="U45" s="5">
        <f>SUM(IF(BM45="keep",BV45,0),IF(CH45="keep",CQ45,0),IF(DC45="keep",DL45,0),IF(DX45="keep",EG45,0),IF(ES45="keep",FB45,0),IF(FN45="keep",FW45,0),IF(GI45="keep",GR45,0),IF(HD45="keep",HM45,0),IF(HY45="keep",IH45,0),IF(IT45="keep",JC45,0))</f>
        <v>0</v>
      </c>
      <c r="V45" s="5">
        <f>R45/O45</f>
        <v>1.2096748893508147</v>
      </c>
      <c r="W45" s="5">
        <f>S45/P45</f>
        <v>1.2096667717673193</v>
      </c>
      <c r="X45" s="5">
        <f>T45/O45</f>
        <v>0</v>
      </c>
      <c r="Y45" s="5">
        <f>U45/P45</f>
        <v>0</v>
      </c>
      <c r="Z45" s="5">
        <f>V45+X45</f>
        <v>1.2096748893508147</v>
      </c>
      <c r="AA45" s="7">
        <f>IFERROR(W45/V45-1,0)</f>
        <v>-0.000006710549724453507</v>
      </c>
      <c r="AB45" s="7">
        <f>IFERROR((W45-V45)/Z45,0)</f>
        <v>-0.000006710549724438119</v>
      </c>
      <c r="AC45" s="7">
        <f>IFERROR(Y45/X45-1,0)</f>
        <v>0</v>
      </c>
      <c r="AD45" s="7">
        <f>IFERROR((Y45-X45)/Z45,0)</f>
        <v>0</v>
      </c>
      <c r="AE45" s="7">
        <f>AB45+AD45</f>
        <v>-0.000006710549724438119</v>
      </c>
      <c r="AF45" s="7">
        <f>(1+Q45)*(1+AE45)-1</f>
        <v>0.02067183573265141</v>
      </c>
      <c r="AG45" s="7">
        <f>G45-AF45</f>
        <v>1.7694179454963432e-16</v>
      </c>
      <c r="AH45" s="5">
        <f>SUM(IF(BM45="lease",BW45,0),IF(CH45="lease",CR45,0),IF(DC45="lease",DM45,0),IF(DX45="lease",EH45,0),IF(ES45="lease",FC45,0),IF(FN45="lease",FX45,0),IF(GI45="lease",GS45,0),IF(HD45="lease",HN45,0),IF(HY45="lease",II45,0),IF(IT45="lease",JD45,0))</f>
        <v>0.02408666717898553</v>
      </c>
      <c r="AI45" s="5">
        <f>SUM(IF(BM45="keep",BW45,0),IF(CH45="keep",CR45,0),IF(DC45="keep",DM45,0),IF(DX45="keep",EH45,0),IF(ES45="keep",FC45,0),IF(FN45="keep",FX45,0),IF(GI45="keep",GS45,0),IF(HD45="keep",HN45,0),IF(HY45="keep",II45,0),IF(IT45="keep",JD45,0))</f>
        <v>0</v>
      </c>
      <c r="AJ45" s="5">
        <f>SUM(IF(BM45="lease",BX45,0),IF(CH45="lease",CS45,0),IF(DC45="lease",DN45,0),IF(DX45="lease",EI45,0),IF(ES45="lease",FD45,0),IF(FN45="lease",FY45,0),IF(GI45="lease",GT45,0),IF(HD45="lease",HO45,0),IF(HY45="lease",IJ45,0),IF(IT45="lease",JE45,0))</f>
        <v>0</v>
      </c>
      <c r="AK45" s="5">
        <f>SUM(IF(BM45="keep",BX45,0),IF(CH45="keep",CS45,0),IF(DC45="keep",DN45,0),IF(DX45="keep",EI45,0),IF(ES45="keep",FD45,0),IF(FN45="keep",FY45,0),IF(GI45="keep",GT45,0),IF(HD45="keep",HO45,0),IF(HY45="keep",IJ45,0),IF(IT45="keep",JE45,0))</f>
        <v>0</v>
      </c>
      <c r="AL45" s="5">
        <f>R45-S44</f>
        <v>0</v>
      </c>
      <c r="AM45" s="5">
        <f>T45-U44</f>
        <v>0</v>
      </c>
      <c r="AN45" s="5">
        <f>AN44</f>
        <v>1</v>
      </c>
      <c r="AO45" s="5">
        <f>AO44+AH45</f>
        <v>0.18927912954652232</v>
      </c>
      <c r="AP45" s="5">
        <f>AP44+AL45</f>
        <v>-6.661338147750939e-16</v>
      </c>
      <c r="AQ45" s="5">
        <f>AN45+AO45+AP45</f>
        <v>1.1892791295465217</v>
      </c>
      <c r="AR45" s="5">
        <f>S45-AQ45</f>
        <v>2.220446049250313e-16</v>
      </c>
      <c r="AS45" s="5">
        <f>AS44</f>
        <v>0</v>
      </c>
      <c r="AT45" s="5">
        <f>AT44+AI45</f>
        <v>0</v>
      </c>
      <c r="AU45" s="5">
        <f>AU44+AM45</f>
        <v>0</v>
      </c>
      <c r="AV45" s="5">
        <f>AS45+AT45+AU45</f>
        <v>0</v>
      </c>
      <c r="AW45" s="5">
        <f>U45-AV45</f>
        <v>0</v>
      </c>
      <c r="AX45" s="4">
        <v>1.1651924623675365</v>
      </c>
      <c r="AY45" s="4">
        <v>1.189279129546522</v>
      </c>
      <c r="AZ45" s="5">
        <f>S45-AY45</f>
        <v>0</v>
      </c>
      <c r="BA45" s="4">
        <v>0</v>
      </c>
      <c r="BB45" s="4">
        <v>0</v>
      </c>
      <c r="BC45" s="5">
        <f>U45-BB45</f>
        <v>0</v>
      </c>
      <c r="BD45" s="7">
        <f>SUM(IF(BL45="direct",CE45,0),IF(CG45="direct",CZ45,0),IF(DB45="direct",DU45,0),IF(DW45="direct",EP45,0),IF(ER45="direct",FK45,0),IF(FM45="direct",GF45,0),IF(GH45="direct",HA45,0),IF(HC45="direct",HV45,0),IF(HX45="direct",IQ45,0),IF(IS45="direct",JL45,0))</f>
        <v>0.020671835732651588</v>
      </c>
      <c r="BE45" s="7">
        <f>SUM(IF(BL45="treasury",CE45,0),IF(CG45="treasury",CZ45,0),IF(DB45="treasury",DU45,0),IF(DW45="treasury",EP45,0),IF(ER45="treasury",FK45,0),IF(FM45="treasury",GF45,0),IF(GH45="treasury",HA45,0),IF(HC45="treasury",HV45,0),IF(HX45="treasury",IQ45,0),IF(IS45="treasury",JL45,0))</f>
        <v>0</v>
      </c>
      <c r="BF45" s="7">
        <f>SUM(IF(BL45="future",CE45,0),IF(CG45="future",CZ45,0),IF(DB45="future",DU45,0),IF(DW45="future",EP45,0),IF(ER45="future",FK45,0),IF(FM45="future",GF45,0),IF(GH45="future",HA45,0),IF(HC45="future",HV45,0),IF(HX45="future",IQ45,0),IF(IS45="future",JL45,0))</f>
        <v>0</v>
      </c>
      <c r="BG45" s="7">
        <f>SUM(IF(BL45="cash",CE45,0),IF(CG45="cash",CZ45,0),IF(DB45="cash",DU45,0),IF(DW45="cash",EP45,0),IF(ER45="cash",FK45,0),IF(FM45="cash",GF45,0),IF(GH45="cash",HA45,0),IF(HC45="cash",HV45,0),IF(HX45="cash",IQ45,0),IF(IS45="cash",JL45,0))</f>
        <v>0</v>
      </c>
      <c r="BH45" s="7">
        <f>SUM(BD45:BG45)</f>
        <v>0.020671835732651588</v>
      </c>
      <c r="BI45" s="7">
        <f>G45-BH45</f>
        <v>0</v>
      </c>
      <c r="BJ45" s="9">
        <f>COUNTA(BK45,CF45,DA45,DV45,EQ45,FL45,GG45,HB45,HW45,IR45)</f>
        <v>3</v>
      </c>
      <c r="BK45" t="inlineStr">
        <is>
          <t xml:space="preserve">Direct commodity holding</t>
        </is>
      </c>
      <c r="BL45" t="inlineStr">
        <is>
          <t xml:space="preserve">direct</t>
        </is>
      </c>
      <c r="BM45" t="inlineStr">
        <is>
          <t xml:space="preserve">lease</t>
        </is>
      </c>
      <c r="BN45" t="inlineStr">
        <is>
          <t xml:space="preserve">long</t>
        </is>
      </c>
      <c r="BO45"/>
      <c r="BP45" s="4">
        <v>1.886</v>
      </c>
      <c r="BQ45" s="4">
        <v>1.925</v>
      </c>
      <c r="BR45" s="4">
        <v>0.6178114858788635</v>
      </c>
      <c r="BS45" s="6">
        <v>1</v>
      </c>
      <c r="BT45" s="4">
        <v>1.1651924623675365</v>
      </c>
      <c r="BU45" s="4">
        <v>1.1651924623675365</v>
      </c>
      <c r="BV45" s="4">
        <v>1.1892871103168121</v>
      </c>
      <c r="BW45" s="4">
        <v>0.02408666717898553</v>
      </c>
      <c r="BX45" s="4">
        <v>0.000007980770290096778</v>
      </c>
      <c r="BY45" s="4">
        <v>1.886</v>
      </c>
      <c r="BZ45" s="4">
        <v>1.925</v>
      </c>
      <c r="CA45" s="6"/>
      <c r="CB45" s="6"/>
      <c r="CC45" s="6"/>
      <c r="CD45" s="9"/>
      <c r="CE45" s="7">
        <f>IFERROR(BW45/F45,0)</f>
        <v>0.020671835732651588</v>
      </c>
      <c r="CF45" t="inlineStr">
        <is>
          <t xml:space="preserve">Lease cash / margin / financing</t>
        </is>
      </c>
      <c r="CG45" t="inlineStr">
        <is>
          <t xml:space="preserve">cash</t>
        </is>
      </c>
      <c r="CH45" t="inlineStr">
        <is>
          <t xml:space="preserve">lease</t>
        </is>
      </c>
      <c r="CI45" t="inlineStr">
        <is>
          <t xml:space="preserve">cash</t>
        </is>
      </c>
      <c r="CJ45"/>
      <c r="CK45" s="4">
        <v>1</v>
      </c>
      <c r="CL45" s="4">
        <v>1</v>
      </c>
      <c r="CM45" s="4">
        <v>0</v>
      </c>
      <c r="CN45" s="6"/>
      <c r="CO45" s="4">
        <v>0</v>
      </c>
      <c r="CP45" s="4">
        <v>0</v>
      </c>
      <c r="CQ45" s="4">
        <v>-0.000007980770290096778</v>
      </c>
      <c r="CR45" s="4">
        <v>0</v>
      </c>
      <c r="CS45" s="4">
        <v>-0.000007980770290096778</v>
      </c>
      <c r="CT45" s="4">
        <v>1.886</v>
      </c>
      <c r="CU45" s="4">
        <v>1.925</v>
      </c>
      <c r="CV45" s="6"/>
      <c r="CW45" s="6"/>
      <c r="CX45" s="6"/>
      <c r="CY45" s="9"/>
      <c r="CZ45" s="7">
        <f>IFERROR(CR45/F45,0)</f>
        <v>0</v>
      </c>
      <c r="DA45" t="inlineStr">
        <is>
          <t xml:space="preserve">Keep cash / margin / financing</t>
        </is>
      </c>
      <c r="DB45" t="inlineStr">
        <is>
          <t xml:space="preserve">cash</t>
        </is>
      </c>
      <c r="DC45" t="inlineStr">
        <is>
          <t xml:space="preserve">keep</t>
        </is>
      </c>
      <c r="DD45" t="inlineStr">
        <is>
          <t xml:space="preserve">cash</t>
        </is>
      </c>
      <c r="DE45"/>
      <c r="DF45" s="4">
        <v>1</v>
      </c>
      <c r="DG45" s="4">
        <v>1</v>
      </c>
      <c r="DH45" s="4">
        <v>0</v>
      </c>
      <c r="DI45" s="6"/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1.886</v>
      </c>
      <c r="DP45" s="4">
        <v>1.925</v>
      </c>
      <c r="DQ45" s="6"/>
      <c r="DR45" s="6"/>
      <c r="DS45" s="6"/>
      <c r="DT45" s="9"/>
      <c r="DU45" s="7">
        <f>IFERROR(DM45/F45,0)</f>
        <v>0</v>
      </c>
      <c r="DV45"/>
      <c r="DW45"/>
      <c r="DX45"/>
      <c r="DY45"/>
      <c r="DZ45"/>
      <c r="EA45" s="4"/>
      <c r="EB45" s="4"/>
      <c r="EC45" s="4"/>
      <c r="ED45" s="6"/>
      <c r="EE45" s="4"/>
      <c r="EF45" s="4"/>
      <c r="EG45" s="4"/>
      <c r="EH45" s="4"/>
      <c r="EI45" s="4"/>
      <c r="EJ45" s="4"/>
      <c r="EK45" s="4"/>
      <c r="EL45" s="6"/>
      <c r="EM45" s="6"/>
      <c r="EN45" s="6"/>
      <c r="EO45" s="9"/>
      <c r="EP45"/>
      <c r="EQ45"/>
      <c r="ER45"/>
      <c r="ES45"/>
      <c r="ET45"/>
      <c r="EU45"/>
      <c r="EV45" s="4"/>
      <c r="EW45" s="4"/>
      <c r="EX45" s="4"/>
      <c r="EY45" s="6"/>
      <c r="EZ45" s="4"/>
      <c r="FA45" s="4"/>
      <c r="FB45" s="4"/>
      <c r="FC45" s="4"/>
      <c r="FD45" s="4"/>
      <c r="FE45" s="4"/>
      <c r="FF45" s="4"/>
      <c r="FG45" s="6"/>
      <c r="FH45" s="6"/>
      <c r="FI45" s="6"/>
      <c r="FJ45" s="9"/>
      <c r="FK45"/>
      <c r="FL45"/>
      <c r="FM45"/>
      <c r="FN45"/>
      <c r="FO45"/>
      <c r="FP45"/>
      <c r="FQ45" s="4"/>
      <c r="FR45" s="4"/>
      <c r="FS45" s="4"/>
      <c r="FT45" s="6"/>
      <c r="FU45" s="4"/>
      <c r="FV45" s="4"/>
      <c r="FW45" s="4"/>
      <c r="FX45" s="4"/>
      <c r="FY45" s="4"/>
      <c r="FZ45" s="4"/>
      <c r="GA45" s="4"/>
      <c r="GB45" s="6"/>
      <c r="GC45" s="6"/>
      <c r="GD45" s="6"/>
      <c r="GE45" s="9"/>
      <c r="GF45"/>
      <c r="GG45"/>
      <c r="GH45"/>
      <c r="GI45"/>
      <c r="GJ45"/>
      <c r="GK45"/>
      <c r="GL45" s="4"/>
      <c r="GM45" s="4"/>
      <c r="GN45" s="4"/>
      <c r="GO45" s="6"/>
      <c r="GP45" s="4"/>
      <c r="GQ45" s="4"/>
      <c r="GR45" s="4"/>
      <c r="GS45" s="4"/>
      <c r="GT45" s="4"/>
      <c r="GU45" s="4"/>
      <c r="GV45" s="4"/>
      <c r="GW45" s="6"/>
      <c r="GX45" s="6"/>
      <c r="GY45" s="6"/>
      <c r="GZ45" s="9"/>
      <c r="HA45"/>
      <c r="HB45"/>
      <c r="HC45"/>
      <c r="HD45"/>
      <c r="HE45"/>
      <c r="HF45"/>
      <c r="HG45" s="4"/>
      <c r="HH45" s="4"/>
      <c r="HI45" s="4"/>
      <c r="HJ45" s="6"/>
      <c r="HK45" s="4"/>
      <c r="HL45" s="4"/>
      <c r="HM45" s="4"/>
      <c r="HN45" s="4"/>
      <c r="HO45" s="4"/>
      <c r="HP45" s="4"/>
      <c r="HQ45" s="4"/>
      <c r="HR45" s="6"/>
      <c r="HS45" s="6"/>
      <c r="HT45" s="6"/>
      <c r="HU45" s="9"/>
      <c r="HV45"/>
      <c r="HW45"/>
      <c r="HX45"/>
      <c r="HY45"/>
      <c r="HZ45"/>
      <c r="IA45"/>
      <c r="IB45" s="4"/>
      <c r="IC45" s="4"/>
      <c r="ID45" s="4"/>
      <c r="IE45" s="6"/>
      <c r="IF45" s="4"/>
      <c r="IG45" s="4"/>
      <c r="IH45" s="4"/>
      <c r="II45" s="4"/>
      <c r="IJ45" s="4"/>
      <c r="IK45" s="4"/>
      <c r="IL45" s="4"/>
      <c r="IM45" s="6"/>
      <c r="IN45" s="6"/>
      <c r="IO45" s="6"/>
      <c r="IP45" s="9"/>
      <c r="IQ45"/>
      <c r="IR45"/>
      <c r="IS45"/>
      <c r="IT45"/>
      <c r="IU45"/>
      <c r="IV45"/>
      <c r="IW45" s="4"/>
      <c r="IX45" s="4"/>
      <c r="IY45" s="4"/>
      <c r="IZ45" s="6"/>
      <c r="JA45" s="4"/>
      <c r="JB45" s="4"/>
      <c r="JC45" s="4"/>
      <c r="JD45" s="4"/>
      <c r="JE45" s="4"/>
      <c r="JF45" s="4"/>
      <c r="JG45" s="4"/>
      <c r="JH45" s="6"/>
      <c r="JI45" s="6"/>
      <c r="JJ45" s="6"/>
      <c r="JK45" s="9"/>
      <c r="JL45"/>
    </row>
    <row r="46">
      <c r="A46" s="8">
        <v>25269</v>
      </c>
      <c r="B46" s="8">
        <v>25272</v>
      </c>
      <c r="C46" s="9">
        <f>B46-A46</f>
        <v>3</v>
      </c>
      <c r="D46" s="8">
        <v>25269</v>
      </c>
      <c r="E46" t="inlineStr">
        <is>
          <t xml:space="preserve">positive</t>
        </is>
      </c>
      <c r="F46" s="4">
        <v>1.1892791295465222</v>
      </c>
      <c r="G46" s="6">
        <v>-0.0005771866254235005</v>
      </c>
      <c r="H46" s="7">
        <f>SUM(CE46,CZ46,DU46,EP46,FK46,GF46,HA46,HV46,IQ46,JL46)</f>
        <v>-0.0005771866254235006</v>
      </c>
      <c r="I46" s="7">
        <f>G46-H46</f>
        <v>1.0842021724855044e-19</v>
      </c>
      <c r="J46" s="5">
        <f>F46*(1+H46)</f>
        <v>1.1885926935390525</v>
      </c>
      <c r="K46" s="4">
        <v>1.1885926935390525</v>
      </c>
      <c r="L46" s="5">
        <f>K46-J46</f>
        <v>0</v>
      </c>
      <c r="M46" s="4">
        <v>1.925</v>
      </c>
      <c r="N46" s="4">
        <v>1.901</v>
      </c>
      <c r="O46" s="5">
        <f>M46/$M$3</f>
        <v>0.9831460674157304</v>
      </c>
      <c r="P46" s="5">
        <f>N46/$M$3</f>
        <v>0.9708886618998979</v>
      </c>
      <c r="Q46" s="7">
        <f>IFERROR(N46/M46-1,0)</f>
        <v>-0.012467532467532516</v>
      </c>
      <c r="R46" s="5">
        <f>SUM(IF(BM46="lease",BU46,0),IF(CH46="lease",CP46,0),IF(DC46="lease",DK46,0),IF(DX46="lease",EF46,0),IF(ES46="lease",FA46,0),IF(FN46="lease",FV46,0),IF(GI46="lease",GQ46,0),IF(HD46="lease",HL46,0),IF(HY46="lease",IG46,0),IF(IT46="lease",JB46,0))</f>
        <v>1.189279129546522</v>
      </c>
      <c r="S46" s="5">
        <f>SUM(IF(BM46="lease",BV46,0),IF(CH46="lease",CQ46,0),IF(DC46="lease",DL46,0),IF(DX46="lease",EG46,0),IF(ES46="lease",FB46,0),IF(FN46="lease",FW46,0),IF(GI46="lease",GR46,0),IF(HD46="lease",HM46,0),IF(HY46="lease",IH46,0),IF(IT46="lease",JC46,0))</f>
        <v>1.1885926935390523</v>
      </c>
      <c r="T46" s="5">
        <f>SUM(IF(BM46="keep",BU46,0),IF(CH46="keep",CP46,0),IF(DC46="keep",DK46,0),IF(DX46="keep",EF46,0),IF(ES46="keep",FA46,0),IF(FN46="keep",FV46,0),IF(GI46="keep",GQ46,0),IF(HD46="keep",HL46,0),IF(HY46="keep",IG46,0),IF(IT46="keep",JB46,0))</f>
        <v>0</v>
      </c>
      <c r="U46" s="5">
        <f>SUM(IF(BM46="keep",BV46,0),IF(CH46="keep",CQ46,0),IF(DC46="keep",DL46,0),IF(DX46="keep",EG46,0),IF(ES46="keep",FB46,0),IF(FN46="keep",FW46,0),IF(GI46="keep",GR46,0),IF(HD46="keep",HM46,0),IF(HY46="keep",IH46,0),IF(IT46="keep",JC46,0))</f>
        <v>0</v>
      </c>
      <c r="V46" s="5">
        <f>R46/O46</f>
        <v>1.2096667717673193</v>
      </c>
      <c r="W46" s="5">
        <f>S46/P46</f>
        <v>1.2242317169644736</v>
      </c>
      <c r="X46" s="5">
        <f>T46/O46</f>
        <v>0</v>
      </c>
      <c r="Y46" s="5">
        <f>U46/P46</f>
        <v>0</v>
      </c>
      <c r="Z46" s="5">
        <f>V46+X46</f>
        <v>1.2096667717673193</v>
      </c>
      <c r="AA46" s="7">
        <f>IFERROR(W46/V46-1,0)</f>
        <v>0.01204046067651765</v>
      </c>
      <c r="AB46" s="7">
        <f>IFERROR((W46-V46)/Z46,0)</f>
        <v>0.012040460676517555</v>
      </c>
      <c r="AC46" s="7">
        <f>IFERROR(Y46/X46-1,0)</f>
        <v>0</v>
      </c>
      <c r="AD46" s="7">
        <f>IFERROR((Y46-X46)/Z46,0)</f>
        <v>0</v>
      </c>
      <c r="AE46" s="7">
        <f>AB46+AD46</f>
        <v>0.012040460676517555</v>
      </c>
      <c r="AF46" s="7">
        <f>(1+Q46)*(1+AE46)-1</f>
        <v>-0.0005771866254233871</v>
      </c>
      <c r="AG46" s="7">
        <f>G46-AF46</f>
        <v>-1.1340754724198376e-16</v>
      </c>
      <c r="AH46" s="5">
        <f>SUM(IF(BM46="lease",BW46,0),IF(CH46="lease",CR46,0),IF(DC46="lease",DM46,0),IF(DX46="lease",EH46,0),IF(ES46="lease",FC46,0),IF(FN46="lease",FX46,0),IF(GI46="lease",GS46,0),IF(HD46="lease",HN46,0),IF(HY46="lease",II46,0),IF(IT46="lease",JD46,0))</f>
        <v>-0.0006864360074695553</v>
      </c>
      <c r="AI46" s="5">
        <f>SUM(IF(BM46="keep",BW46,0),IF(CH46="keep",CR46,0),IF(DC46="keep",DM46,0),IF(DX46="keep",EH46,0),IF(ES46="keep",FC46,0),IF(FN46="keep",FX46,0),IF(GI46="keep",GS46,0),IF(HD46="keep",HN46,0),IF(HY46="keep",II46,0),IF(IT46="keep",JD46,0))</f>
        <v>0</v>
      </c>
      <c r="AJ46" s="5">
        <f>SUM(IF(BM46="lease",BX46,0),IF(CH46="lease",CS46,0),IF(DC46="lease",DN46,0),IF(DX46="lease",EI46,0),IF(ES46="lease",FD46,0),IF(FN46="lease",FY46,0),IF(GI46="lease",GT46,0),IF(HD46="lease",HO46,0),IF(HY46="lease",IJ46,0),IF(IT46="lease",JE46,0))</f>
        <v>0</v>
      </c>
      <c r="AK46" s="5">
        <f>SUM(IF(BM46="keep",BX46,0),IF(CH46="keep",CS46,0),IF(DC46="keep",DN46,0),IF(DX46="keep",EI46,0),IF(ES46="keep",FD46,0),IF(FN46="keep",FY46,0),IF(GI46="keep",GT46,0),IF(HD46="keep",HO46,0),IF(HY46="keep",IJ46,0),IF(IT46="keep",JE46,0))</f>
        <v>0</v>
      </c>
      <c r="AL46" s="5">
        <f>R46-S45</f>
        <v>0</v>
      </c>
      <c r="AM46" s="5">
        <f>T46-U45</f>
        <v>0</v>
      </c>
      <c r="AN46" s="5">
        <f>AN45</f>
        <v>1</v>
      </c>
      <c r="AO46" s="5">
        <f>AO45+AH46</f>
        <v>0.18859269353905275</v>
      </c>
      <c r="AP46" s="5">
        <f>AP45+AL46</f>
        <v>-6.661338147750939e-16</v>
      </c>
      <c r="AQ46" s="5">
        <f>AN46+AO46+AP46</f>
        <v>1.188592693539052</v>
      </c>
      <c r="AR46" s="5">
        <f>S46-AQ46</f>
        <v>2.220446049250313e-16</v>
      </c>
      <c r="AS46" s="5">
        <f>AS45</f>
        <v>0</v>
      </c>
      <c r="AT46" s="5">
        <f>AT45+AI46</f>
        <v>0</v>
      </c>
      <c r="AU46" s="5">
        <f>AU45+AM46</f>
        <v>0</v>
      </c>
      <c r="AV46" s="5">
        <f>AS46+AT46+AU46</f>
        <v>0</v>
      </c>
      <c r="AW46" s="5">
        <f>U46-AV46</f>
        <v>0</v>
      </c>
      <c r="AX46" s="4">
        <v>1.189279129546522</v>
      </c>
      <c r="AY46" s="4">
        <v>1.1885926935390523</v>
      </c>
      <c r="AZ46" s="5">
        <f>S46-AY46</f>
        <v>0</v>
      </c>
      <c r="BA46" s="4">
        <v>0</v>
      </c>
      <c r="BB46" s="4">
        <v>0</v>
      </c>
      <c r="BC46" s="5">
        <f>U46-BB46</f>
        <v>0</v>
      </c>
      <c r="BD46" s="7">
        <f>SUM(IF(BL46="direct",CE46,0),IF(CG46="direct",CZ46,0),IF(DB46="direct",DU46,0),IF(DW46="direct",EP46,0),IF(ER46="direct",FK46,0),IF(FM46="direct",GF46,0),IF(GH46="direct",HA46,0),IF(HC46="direct",HV46,0),IF(HX46="direct",IQ46,0),IF(IS46="direct",JL46,0))</f>
        <v>0</v>
      </c>
      <c r="BE46" s="7">
        <f>SUM(IF(BL46="treasury",CE46,0),IF(CG46="treasury",CZ46,0),IF(DB46="treasury",DU46,0),IF(DW46="treasury",EP46,0),IF(ER46="treasury",FK46,0),IF(FM46="treasury",GF46,0),IF(GH46="treasury",HA46,0),IF(HC46="treasury",HV46,0),IF(HX46="treasury",IQ46,0),IF(IS46="treasury",JL46,0))</f>
        <v>0.0004980821917808219</v>
      </c>
      <c r="BF46" s="7">
        <f>SUM(IF(BL46="future",CE46,0),IF(CG46="future",CZ46,0),IF(DB46="future",DU46,0),IF(DW46="future",EP46,0),IF(ER46="future",FK46,0),IF(FM46="future",GF46,0),IF(GH46="future",HA46,0),IF(HC46="future",HV46,0),IF(HX46="future",IQ46,0),IF(IS46="future",JL46,0))</f>
        <v>-0.0010752688172043223</v>
      </c>
      <c r="BG46" s="7">
        <f>SUM(IF(BL46="cash",CE46,0),IF(CG46="cash",CZ46,0),IF(DB46="cash",DU46,0),IF(DW46="cash",EP46,0),IF(ER46="cash",FK46,0),IF(FM46="cash",GF46,0),IF(GH46="cash",HA46,0),IF(HC46="cash",HV46,0),IF(HX46="cash",IQ46,0),IF(IS46="cash",JL46,0))</f>
        <v>0</v>
      </c>
      <c r="BH46" s="7">
        <f>SUM(BD46:BG46)</f>
        <v>-0.0005771866254235005</v>
      </c>
      <c r="BI46" s="7">
        <f>G46-BH46</f>
        <v>0</v>
      </c>
      <c r="BJ46" s="9">
        <f>COUNTA(BK46,CF46,DA46,DV46,EQ46,FL46,GG46,HB46,HW46,IR46)</f>
        <v>4</v>
      </c>
      <c r="BK46" t="inlineStr">
        <is>
          <t xml:space="preserve">Treasury collateral</t>
        </is>
      </c>
      <c r="BL46" t="inlineStr">
        <is>
          <t xml:space="preserve">treasury</t>
        </is>
      </c>
      <c r="BM46" t="inlineStr">
        <is>
          <t xml:space="preserve">lease</t>
        </is>
      </c>
      <c r="BN46" t="inlineStr">
        <is>
          <t xml:space="preserve">long</t>
        </is>
      </c>
      <c r="BO46"/>
      <c r="BP46" s="4">
        <v>101.08034796270822</v>
      </c>
      <c r="BQ46" s="4">
        <v>101.13069428396746</v>
      </c>
      <c r="BR46" s="4">
        <v>0.011765681000477812</v>
      </c>
      <c r="BS46" s="6">
        <v>1</v>
      </c>
      <c r="BT46" s="4">
        <v>1.1892791295465222</v>
      </c>
      <c r="BU46" s="4">
        <v>1.1892791295465222</v>
      </c>
      <c r="BV46" s="4">
        <v>1.189871488302006</v>
      </c>
      <c r="BW46" s="4">
        <v>0.0005923587554837197</v>
      </c>
      <c r="BX46" s="4">
        <v>1.929879867024198e-16</v>
      </c>
      <c r="BY46" s="4">
        <v>1.925</v>
      </c>
      <c r="BZ46" s="4">
        <v>1.901</v>
      </c>
      <c r="CA46" s="6"/>
      <c r="CB46" s="6"/>
      <c r="CC46" s="6"/>
      <c r="CD46" s="9">
        <v>20</v>
      </c>
      <c r="CE46" s="7">
        <f>IFERROR(BW46/F46,0)</f>
        <v>0.0004980821917808219</v>
      </c>
      <c r="CF46" t="inlineStr">
        <is>
          <t xml:space="preserve">SI69H</t>
        </is>
      </c>
      <c r="CG46" t="inlineStr">
        <is>
          <t xml:space="preserve">future</t>
        </is>
      </c>
      <c r="CH46" t="inlineStr">
        <is>
          <t xml:space="preserve">lease</t>
        </is>
      </c>
      <c r="CI46" t="inlineStr">
        <is>
          <t xml:space="preserve">long</t>
        </is>
      </c>
      <c r="CJ46" t="inlineStr">
        <is>
          <t xml:space="preserve">regular</t>
        </is>
      </c>
      <c r="CK46" s="4">
        <v>1.86</v>
      </c>
      <c r="CL46" s="4">
        <v>1.858</v>
      </c>
      <c r="CM46" s="4">
        <v>0.6393973814766247</v>
      </c>
      <c r="CN46" s="6">
        <v>1</v>
      </c>
      <c r="CO46" s="4">
        <v>1.1892791295465222</v>
      </c>
      <c r="CP46" s="4">
        <v>0</v>
      </c>
      <c r="CQ46" s="4">
        <v>0</v>
      </c>
      <c r="CR46" s="4">
        <v>-0.001278794762953275</v>
      </c>
      <c r="CS46" s="4">
        <v>0.001278794762953275</v>
      </c>
      <c r="CT46" s="4">
        <v>1.925</v>
      </c>
      <c r="CU46" s="4">
        <v>1.901</v>
      </c>
      <c r="CV46" s="6">
        <v>-0.03376623376623378</v>
      </c>
      <c r="CW46" s="6">
        <v>0.06060000000000001</v>
      </c>
      <c r="CX46" s="6">
        <v>0.6768337662337665</v>
      </c>
      <c r="CY46" s="9">
        <v>20</v>
      </c>
      <c r="CZ46" s="7">
        <f>IFERROR(CR46/F46,0)</f>
        <v>-0.0010752688172043223</v>
      </c>
      <c r="DA46" t="inlineStr">
        <is>
          <t xml:space="preserve">Lease cash / margin / financing</t>
        </is>
      </c>
      <c r="DB46" t="inlineStr">
        <is>
          <t xml:space="preserve">cash</t>
        </is>
      </c>
      <c r="DC46" t="inlineStr">
        <is>
          <t xml:space="preserve">lease</t>
        </is>
      </c>
      <c r="DD46" t="inlineStr">
        <is>
          <t xml:space="preserve">cash</t>
        </is>
      </c>
      <c r="DE46"/>
      <c r="DF46" s="4">
        <v>1</v>
      </c>
      <c r="DG46" s="4">
        <v>1</v>
      </c>
      <c r="DH46" s="4">
        <v>-2.220446049250313e-16</v>
      </c>
      <c r="DI46" s="6"/>
      <c r="DJ46" s="4">
        <v>-2.220446049250313e-16</v>
      </c>
      <c r="DK46" s="4">
        <v>-2.220446049250313e-16</v>
      </c>
      <c r="DL46" s="4">
        <v>-0.00127879476295369</v>
      </c>
      <c r="DM46" s="4">
        <v>0</v>
      </c>
      <c r="DN46" s="4">
        <v>-0.001278794762953468</v>
      </c>
      <c r="DO46" s="4">
        <v>1.925</v>
      </c>
      <c r="DP46" s="4">
        <v>1.901</v>
      </c>
      <c r="DQ46" s="6"/>
      <c r="DR46" s="6"/>
      <c r="DS46" s="6"/>
      <c r="DT46" s="9"/>
      <c r="DU46" s="7">
        <f>IFERROR(DM46/F46,0)</f>
        <v>0</v>
      </c>
      <c r="DV46" t="inlineStr">
        <is>
          <t xml:space="preserve">Keep cash / margin / financing</t>
        </is>
      </c>
      <c r="DW46" t="inlineStr">
        <is>
          <t xml:space="preserve">cash</t>
        </is>
      </c>
      <c r="DX46" t="inlineStr">
        <is>
          <t xml:space="preserve">keep</t>
        </is>
      </c>
      <c r="DY46" t="inlineStr">
        <is>
          <t xml:space="preserve">cash</t>
        </is>
      </c>
      <c r="DZ46"/>
      <c r="EA46" s="4">
        <v>1</v>
      </c>
      <c r="EB46" s="4">
        <v>1</v>
      </c>
      <c r="EC46" s="4">
        <v>0</v>
      </c>
      <c r="ED46" s="6"/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1.925</v>
      </c>
      <c r="EK46" s="4">
        <v>1.901</v>
      </c>
      <c r="EL46" s="6"/>
      <c r="EM46" s="6"/>
      <c r="EN46" s="6"/>
      <c r="EO46" s="9"/>
      <c r="EP46" s="7">
        <f>IFERROR(EH46/F46,0)</f>
        <v>0</v>
      </c>
      <c r="EQ46"/>
      <c r="ER46"/>
      <c r="ES46"/>
      <c r="ET46"/>
      <c r="EU46"/>
      <c r="EV46" s="4"/>
      <c r="EW46" s="4"/>
      <c r="EX46" s="4"/>
      <c r="EY46" s="6"/>
      <c r="EZ46" s="4"/>
      <c r="FA46" s="4"/>
      <c r="FB46" s="4"/>
      <c r="FC46" s="4"/>
      <c r="FD46" s="4"/>
      <c r="FE46" s="4"/>
      <c r="FF46" s="4"/>
      <c r="FG46" s="6"/>
      <c r="FH46" s="6"/>
      <c r="FI46" s="6"/>
      <c r="FJ46" s="9"/>
      <c r="FK46"/>
      <c r="FL46"/>
      <c r="FM46"/>
      <c r="FN46"/>
      <c r="FO46"/>
      <c r="FP46"/>
      <c r="FQ46" s="4"/>
      <c r="FR46" s="4"/>
      <c r="FS46" s="4"/>
      <c r="FT46" s="6"/>
      <c r="FU46" s="4"/>
      <c r="FV46" s="4"/>
      <c r="FW46" s="4"/>
      <c r="FX46" s="4"/>
      <c r="FY46" s="4"/>
      <c r="FZ46" s="4"/>
      <c r="GA46" s="4"/>
      <c r="GB46" s="6"/>
      <c r="GC46" s="6"/>
      <c r="GD46" s="6"/>
      <c r="GE46" s="9"/>
      <c r="GF46"/>
      <c r="GG46"/>
      <c r="GH46"/>
      <c r="GI46"/>
      <c r="GJ46"/>
      <c r="GK46"/>
      <c r="GL46" s="4"/>
      <c r="GM46" s="4"/>
      <c r="GN46" s="4"/>
      <c r="GO46" s="6"/>
      <c r="GP46" s="4"/>
      <c r="GQ46" s="4"/>
      <c r="GR46" s="4"/>
      <c r="GS46" s="4"/>
      <c r="GT46" s="4"/>
      <c r="GU46" s="4"/>
      <c r="GV46" s="4"/>
      <c r="GW46" s="6"/>
      <c r="GX46" s="6"/>
      <c r="GY46" s="6"/>
      <c r="GZ46" s="9"/>
      <c r="HA46"/>
      <c r="HB46"/>
      <c r="HC46"/>
      <c r="HD46"/>
      <c r="HE46"/>
      <c r="HF46"/>
      <c r="HG46" s="4"/>
      <c r="HH46" s="4"/>
      <c r="HI46" s="4"/>
      <c r="HJ46" s="6"/>
      <c r="HK46" s="4"/>
      <c r="HL46" s="4"/>
      <c r="HM46" s="4"/>
      <c r="HN46" s="4"/>
      <c r="HO46" s="4"/>
      <c r="HP46" s="4"/>
      <c r="HQ46" s="4"/>
      <c r="HR46" s="6"/>
      <c r="HS46" s="6"/>
      <c r="HT46" s="6"/>
      <c r="HU46" s="9"/>
      <c r="HV46"/>
      <c r="HW46"/>
      <c r="HX46"/>
      <c r="HY46"/>
      <c r="HZ46"/>
      <c r="IA46"/>
      <c r="IB46" s="4"/>
      <c r="IC46" s="4"/>
      <c r="ID46" s="4"/>
      <c r="IE46" s="6"/>
      <c r="IF46" s="4"/>
      <c r="IG46" s="4"/>
      <c r="IH46" s="4"/>
      <c r="II46" s="4"/>
      <c r="IJ46" s="4"/>
      <c r="IK46" s="4"/>
      <c r="IL46" s="4"/>
      <c r="IM46" s="6"/>
      <c r="IN46" s="6"/>
      <c r="IO46" s="6"/>
      <c r="IP46" s="9"/>
      <c r="IQ46"/>
      <c r="IR46"/>
      <c r="IS46"/>
      <c r="IT46"/>
      <c r="IU46"/>
      <c r="IV46"/>
      <c r="IW46" s="4"/>
      <c r="IX46" s="4"/>
      <c r="IY46" s="4"/>
      <c r="IZ46" s="6"/>
      <c r="JA46" s="4"/>
      <c r="JB46" s="4"/>
      <c r="JC46" s="4"/>
      <c r="JD46" s="4"/>
      <c r="JE46" s="4"/>
      <c r="JF46" s="4"/>
      <c r="JG46" s="4"/>
      <c r="JH46" s="6"/>
      <c r="JI46" s="6"/>
      <c r="JJ46" s="6"/>
      <c r="JK46" s="9"/>
      <c r="JL46"/>
    </row>
    <row r="47">
      <c r="A47" s="8">
        <v>25272</v>
      </c>
      <c r="B47" s="8">
        <v>25273</v>
      </c>
      <c r="C47" s="9">
        <f>B47-A47</f>
        <v>1</v>
      </c>
      <c r="D47" s="8">
        <v>25272</v>
      </c>
      <c r="E47" t="inlineStr">
        <is>
          <t xml:space="preserve">positive</t>
        </is>
      </c>
      <c r="F47" s="4">
        <v>1.1885926935390525</v>
      </c>
      <c r="G47" s="6">
        <v>-0.022978507158972067</v>
      </c>
      <c r="H47" s="7">
        <f>SUM(CE47,CZ47,DU47,EP47,FK47,GF47,HA47,HV47,IQ47,JL47)</f>
        <v>-0.02297850715897207</v>
      </c>
      <c r="I47" s="7">
        <f>G47-H47</f>
        <v>3.469446951953614e-18</v>
      </c>
      <c r="J47" s="5">
        <f>F47*(1+H47)</f>
        <v>1.1612806078214635</v>
      </c>
      <c r="K47" s="4">
        <v>1.1612806078214635</v>
      </c>
      <c r="L47" s="5">
        <f>K47-J47</f>
        <v>0</v>
      </c>
      <c r="M47" s="4">
        <v>1.901</v>
      </c>
      <c r="N47" s="4">
        <v>1.879</v>
      </c>
      <c r="O47" s="5">
        <f>M47/$M$3</f>
        <v>0.9708886618998979</v>
      </c>
      <c r="P47" s="5">
        <f>N47/$M$3</f>
        <v>0.9596527068437181</v>
      </c>
      <c r="Q47" s="7">
        <f>IFERROR(N47/M47-1,0)</f>
        <v>-0.011572856391372954</v>
      </c>
      <c r="R47" s="5">
        <f>SUM(IF(BM47="lease",BU47,0),IF(CH47="lease",CP47,0),IF(DC47="lease",DK47,0),IF(DX47="lease",EF47,0),IF(ES47="lease",FA47,0),IF(FN47="lease",FV47,0),IF(GI47="lease",GQ47,0),IF(HD47="lease",HL47,0),IF(HY47="lease",IG47,0),IF(IT47="lease",JB47,0))</f>
        <v>1.1885926935390523</v>
      </c>
      <c r="S47" s="5">
        <f>SUM(IF(BM47="lease",BV47,0),IF(CH47="lease",CQ47,0),IF(DC47="lease",DL47,0),IF(DX47="lease",EG47,0),IF(ES47="lease",FB47,0),IF(FN47="lease",FW47,0),IF(GI47="lease",GR47,0),IF(HD47="lease",HM47,0),IF(HY47="lease",IH47,0),IF(IT47="lease",JC47,0))</f>
        <v>1.1612806078214633</v>
      </c>
      <c r="T47" s="5">
        <f>SUM(IF(BM47="keep",BU47,0),IF(CH47="keep",CP47,0),IF(DC47="keep",DK47,0),IF(DX47="keep",EF47,0),IF(ES47="keep",FA47,0),IF(FN47="keep",FV47,0),IF(GI47="keep",GQ47,0),IF(HD47="keep",HL47,0),IF(HY47="keep",IG47,0),IF(IT47="keep",JB47,0))</f>
        <v>0</v>
      </c>
      <c r="U47" s="5">
        <f>SUM(IF(BM47="keep",BV47,0),IF(CH47="keep",CQ47,0),IF(DC47="keep",DL47,0),IF(DX47="keep",EG47,0),IF(ES47="keep",FB47,0),IF(FN47="keep",FW47,0),IF(GI47="keep",GR47,0),IF(HD47="keep",HM47,0),IF(HY47="keep",IH47,0),IF(IT47="keep",JC47,0))</f>
        <v>0</v>
      </c>
      <c r="V47" s="5">
        <f>R47/O47</f>
        <v>1.2242317169644736</v>
      </c>
      <c r="W47" s="5">
        <f>S47/P47</f>
        <v>1.2101050719076238</v>
      </c>
      <c r="X47" s="5">
        <f>T47/O47</f>
        <v>0</v>
      </c>
      <c r="Y47" s="5">
        <f>U47/P47</f>
        <v>0</v>
      </c>
      <c r="Z47" s="5">
        <f>V47+X47</f>
        <v>1.2242317169644736</v>
      </c>
      <c r="AA47" s="7">
        <f>IFERROR(W47/V47-1,0)</f>
        <v>-0.011539192181589053</v>
      </c>
      <c r="AB47" s="7">
        <f>IFERROR((W47-V47)/Z47,0)</f>
        <v>-0.011539192181589053</v>
      </c>
      <c r="AC47" s="7">
        <f>IFERROR(Y47/X47-1,0)</f>
        <v>0</v>
      </c>
      <c r="AD47" s="7">
        <f>IFERROR((Y47-X47)/Z47,0)</f>
        <v>0</v>
      </c>
      <c r="AE47" s="7">
        <f>AB47+AD47</f>
        <v>-0.011539192181589053</v>
      </c>
      <c r="AF47" s="7">
        <f>(1+Q47)*(1+AE47)-1</f>
        <v>-0.022978507158971984</v>
      </c>
      <c r="AG47" s="7">
        <f>G47-AF47</f>
        <v>-8.326672684688674e-17</v>
      </c>
      <c r="AH47" s="5">
        <f>SUM(IF(BM47="lease",BW47,0),IF(CH47="lease",CR47,0),IF(DC47="lease",DM47,0),IF(DX47="lease",EH47,0),IF(ES47="lease",FC47,0),IF(FN47="lease",FX47,0),IF(GI47="lease",GS47,0),IF(HD47="lease",HN47,0),IF(HY47="lease",II47,0),IF(IT47="lease",JD47,0))</f>
        <v>-0.027312085717589012</v>
      </c>
      <c r="AI47" s="5">
        <f>SUM(IF(BM47="keep",BW47,0),IF(CH47="keep",CR47,0),IF(DC47="keep",DM47,0),IF(DX47="keep",EH47,0),IF(ES47="keep",FC47,0),IF(FN47="keep",FX47,0),IF(GI47="keep",GS47,0),IF(HD47="keep",HN47,0),IF(HY47="keep",II47,0),IF(IT47="keep",JD47,0))</f>
        <v>0</v>
      </c>
      <c r="AJ47" s="5">
        <f>SUM(IF(BM47="lease",BX47,0),IF(CH47="lease",CS47,0),IF(DC47="lease",DN47,0),IF(DX47="lease",EI47,0),IF(ES47="lease",FD47,0),IF(FN47="lease",FY47,0),IF(GI47="lease",GT47,0),IF(HD47="lease",HO47,0),IF(HY47="lease",IJ47,0),IF(IT47="lease",JE47,0))</f>
        <v>0</v>
      </c>
      <c r="AK47" s="5">
        <f>SUM(IF(BM47="keep",BX47,0),IF(CH47="keep",CS47,0),IF(DC47="keep",DN47,0),IF(DX47="keep",EI47,0),IF(ES47="keep",FD47,0),IF(FN47="keep",FY47,0),IF(GI47="keep",GT47,0),IF(HD47="keep",HO47,0),IF(HY47="keep",IJ47,0),IF(IT47="keep",JE47,0))</f>
        <v>0</v>
      </c>
      <c r="AL47" s="5">
        <f>R47-S46</f>
        <v>0</v>
      </c>
      <c r="AM47" s="5">
        <f>T47-U46</f>
        <v>0</v>
      </c>
      <c r="AN47" s="5">
        <f>AN46</f>
        <v>1</v>
      </c>
      <c r="AO47" s="5">
        <f>AO46+AH47</f>
        <v>0.16128060782146375</v>
      </c>
      <c r="AP47" s="5">
        <f>AP46+AL47</f>
        <v>-6.661338147750939e-16</v>
      </c>
      <c r="AQ47" s="5">
        <f>AN47+AO47+AP47</f>
        <v>1.161280607821463</v>
      </c>
      <c r="AR47" s="5">
        <f>S47-AQ47</f>
        <v>2.220446049250313e-16</v>
      </c>
      <c r="AS47" s="5">
        <f>AS46</f>
        <v>0</v>
      </c>
      <c r="AT47" s="5">
        <f>AT46+AI47</f>
        <v>0</v>
      </c>
      <c r="AU47" s="5">
        <f>AU46+AM47</f>
        <v>0</v>
      </c>
      <c r="AV47" s="5">
        <f>AS47+AT47+AU47</f>
        <v>0</v>
      </c>
      <c r="AW47" s="5">
        <f>U47-AV47</f>
        <v>0</v>
      </c>
      <c r="AX47" s="4">
        <v>1.1885926935390523</v>
      </c>
      <c r="AY47" s="4">
        <v>1.1612806078214633</v>
      </c>
      <c r="AZ47" s="5">
        <f>S47-AY47</f>
        <v>0</v>
      </c>
      <c r="BA47" s="4">
        <v>0</v>
      </c>
      <c r="BB47" s="4">
        <v>0</v>
      </c>
      <c r="BC47" s="5">
        <f>U47-BB47</f>
        <v>0</v>
      </c>
      <c r="BD47" s="7">
        <f>SUM(IF(BL47="direct",CE47,0),IF(CG47="direct",CZ47,0),IF(DB47="direct",DU47,0),IF(DW47="direct",EP47,0),IF(ER47="direct",FK47,0),IF(FM47="direct",GF47,0),IF(GH47="direct",HA47,0),IF(HC47="direct",HV47,0),IF(HX47="direct",IQ47,0),IF(IS47="direct",JL47,0))</f>
        <v>0</v>
      </c>
      <c r="BE47" s="7">
        <f>SUM(IF(BL47="treasury",CE47,0),IF(CG47="treasury",CZ47,0),IF(DB47="treasury",DU47,0),IF(DW47="treasury",EP47,0),IF(ER47="treasury",FK47,0),IF(FM47="treasury",GF47,0),IF(GH47="treasury",HA47,0),IF(HC47="treasury",HV47,0),IF(HX47="treasury",IQ47,0),IF(IS47="treasury",JL47,0))</f>
        <v>0.00016465753424657536</v>
      </c>
      <c r="BF47" s="7">
        <f>SUM(IF(BL47="future",CE47,0),IF(CG47="future",CZ47,0),IF(DB47="future",DU47,0),IF(DW47="future",EP47,0),IF(ER47="future",FK47,0),IF(FM47="future",GF47,0),IF(GH47="future",HA47,0),IF(HC47="future",HV47,0),IF(HX47="future",IQ47,0),IF(IS47="future",JL47,0))</f>
        <v>-0.023143164693218643</v>
      </c>
      <c r="BG47" s="7">
        <f>SUM(IF(BL47="cash",CE47,0),IF(CG47="cash",CZ47,0),IF(DB47="cash",DU47,0),IF(DW47="cash",EP47,0),IF(ER47="cash",FK47,0),IF(FM47="cash",GF47,0),IF(GH47="cash",HA47,0),IF(HC47="cash",HV47,0),IF(HX47="cash",IQ47,0),IF(IS47="cash",JL47,0))</f>
        <v>0</v>
      </c>
      <c r="BH47" s="7">
        <f>SUM(BD47:BG47)</f>
        <v>-0.022978507158972067</v>
      </c>
      <c r="BI47" s="7">
        <f>G47-BH47</f>
        <v>0</v>
      </c>
      <c r="BJ47" s="9">
        <f>COUNTA(BK47,CF47,DA47,DV47,EQ47,FL47,GG47,HB47,HW47,IR47)</f>
        <v>4</v>
      </c>
      <c r="BK47" t="inlineStr">
        <is>
          <t xml:space="preserve">Treasury collateral</t>
        </is>
      </c>
      <c r="BL47" t="inlineStr">
        <is>
          <t xml:space="preserve">treasury</t>
        </is>
      </c>
      <c r="BM47" t="inlineStr">
        <is>
          <t xml:space="preserve">lease</t>
        </is>
      </c>
      <c r="BN47" t="inlineStr">
        <is>
          <t xml:space="preserve">long</t>
        </is>
      </c>
      <c r="BO47"/>
      <c r="BP47" s="4">
        <v>101.13069428396746</v>
      </c>
      <c r="BQ47" s="4">
        <v>101.14734621472492</v>
      </c>
      <c r="BR47" s="4">
        <v>0.01175303602882002</v>
      </c>
      <c r="BS47" s="6">
        <v>1</v>
      </c>
      <c r="BT47" s="4">
        <v>1.1885926935390525</v>
      </c>
      <c r="BU47" s="4">
        <v>1.1885926935390525</v>
      </c>
      <c r="BV47" s="4">
        <v>1.1887884042811943</v>
      </c>
      <c r="BW47" s="4">
        <v>0.00019571074214163578</v>
      </c>
      <c r="BX47" s="4">
        <v>1.1676857397668883e-16</v>
      </c>
      <c r="BY47" s="4">
        <v>1.901</v>
      </c>
      <c r="BZ47" s="4">
        <v>1.879</v>
      </c>
      <c r="CA47" s="6"/>
      <c r="CB47" s="6"/>
      <c r="CC47" s="6"/>
      <c r="CD47" s="9">
        <v>17</v>
      </c>
      <c r="CE47" s="7">
        <f>IFERROR(BW47/F47,0)</f>
        <v>0.00016465753424657536</v>
      </c>
      <c r="CF47" t="inlineStr">
        <is>
          <t xml:space="preserve">SI69H</t>
        </is>
      </c>
      <c r="CG47" t="inlineStr">
        <is>
          <t xml:space="preserve">future</t>
        </is>
      </c>
      <c r="CH47" t="inlineStr">
        <is>
          <t xml:space="preserve">lease</t>
        </is>
      </c>
      <c r="CI47" t="inlineStr">
        <is>
          <t xml:space="preserve">long</t>
        </is>
      </c>
      <c r="CJ47" t="inlineStr">
        <is>
          <t xml:space="preserve">regular</t>
        </is>
      </c>
      <c r="CK47" s="4">
        <v>1.858</v>
      </c>
      <c r="CL47" s="4">
        <v>1.815</v>
      </c>
      <c r="CM47" s="4">
        <v>0.6397161967379185</v>
      </c>
      <c r="CN47" s="6">
        <v>1</v>
      </c>
      <c r="CO47" s="4">
        <v>1.1885926935390525</v>
      </c>
      <c r="CP47" s="4">
        <v>0</v>
      </c>
      <c r="CQ47" s="4">
        <v>0</v>
      </c>
      <c r="CR47" s="4">
        <v>-0.027507796459730647</v>
      </c>
      <c r="CS47" s="4">
        <v>0.027507796459730647</v>
      </c>
      <c r="CT47" s="4">
        <v>1.901</v>
      </c>
      <c r="CU47" s="4">
        <v>1.879</v>
      </c>
      <c r="CV47" s="6">
        <v>-0.022619673855865274</v>
      </c>
      <c r="CW47" s="6">
        <v>0.0601</v>
      </c>
      <c r="CX47" s="6">
        <v>0.5457577033759309</v>
      </c>
      <c r="CY47" s="9">
        <v>17</v>
      </c>
      <c r="CZ47" s="7">
        <f>IFERROR(CR47/F47,0)</f>
        <v>-0.023143164693218643</v>
      </c>
      <c r="DA47" t="inlineStr">
        <is>
          <t xml:space="preserve">Lease cash / margin / financing</t>
        </is>
      </c>
      <c r="DB47" t="inlineStr">
        <is>
          <t xml:space="preserve">cash</t>
        </is>
      </c>
      <c r="DC47" t="inlineStr">
        <is>
          <t xml:space="preserve">lease</t>
        </is>
      </c>
      <c r="DD47" t="inlineStr">
        <is>
          <t xml:space="preserve">cash</t>
        </is>
      </c>
      <c r="DE47"/>
      <c r="DF47" s="4">
        <v>1</v>
      </c>
      <c r="DG47" s="4">
        <v>1</v>
      </c>
      <c r="DH47" s="4">
        <v>-2.220446049250313e-16</v>
      </c>
      <c r="DI47" s="6"/>
      <c r="DJ47" s="4">
        <v>-2.220446049250313e-16</v>
      </c>
      <c r="DK47" s="4">
        <v>-2.220446049250313e-16</v>
      </c>
      <c r="DL47" s="4">
        <v>-0.027507796459730987</v>
      </c>
      <c r="DM47" s="4">
        <v>0</v>
      </c>
      <c r="DN47" s="4">
        <v>-0.027507796459730765</v>
      </c>
      <c r="DO47" s="4">
        <v>1.901</v>
      </c>
      <c r="DP47" s="4">
        <v>1.879</v>
      </c>
      <c r="DQ47" s="6"/>
      <c r="DR47" s="6"/>
      <c r="DS47" s="6"/>
      <c r="DT47" s="9"/>
      <c r="DU47" s="7">
        <f>IFERROR(DM47/F47,0)</f>
        <v>0</v>
      </c>
      <c r="DV47" t="inlineStr">
        <is>
          <t xml:space="preserve">Keep cash / margin / financing</t>
        </is>
      </c>
      <c r="DW47" t="inlineStr">
        <is>
          <t xml:space="preserve">cash</t>
        </is>
      </c>
      <c r="DX47" t="inlineStr">
        <is>
          <t xml:space="preserve">keep</t>
        </is>
      </c>
      <c r="DY47" t="inlineStr">
        <is>
          <t xml:space="preserve">cash</t>
        </is>
      </c>
      <c r="DZ47"/>
      <c r="EA47" s="4">
        <v>1</v>
      </c>
      <c r="EB47" s="4">
        <v>1</v>
      </c>
      <c r="EC47" s="4">
        <v>0</v>
      </c>
      <c r="ED47" s="6"/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1.901</v>
      </c>
      <c r="EK47" s="4">
        <v>1.879</v>
      </c>
      <c r="EL47" s="6"/>
      <c r="EM47" s="6"/>
      <c r="EN47" s="6"/>
      <c r="EO47" s="9"/>
      <c r="EP47" s="7">
        <f>IFERROR(EH47/F47,0)</f>
        <v>0</v>
      </c>
      <c r="EQ47"/>
      <c r="ER47"/>
      <c r="ES47"/>
      <c r="ET47"/>
      <c r="EU47"/>
      <c r="EV47" s="4"/>
      <c r="EW47" s="4"/>
      <c r="EX47" s="4"/>
      <c r="EY47" s="6"/>
      <c r="EZ47" s="4"/>
      <c r="FA47" s="4"/>
      <c r="FB47" s="4"/>
      <c r="FC47" s="4"/>
      <c r="FD47" s="4"/>
      <c r="FE47" s="4"/>
      <c r="FF47" s="4"/>
      <c r="FG47" s="6"/>
      <c r="FH47" s="6"/>
      <c r="FI47" s="6"/>
      <c r="FJ47" s="9"/>
      <c r="FK47"/>
      <c r="FL47"/>
      <c r="FM47"/>
      <c r="FN47"/>
      <c r="FO47"/>
      <c r="FP47"/>
      <c r="FQ47" s="4"/>
      <c r="FR47" s="4"/>
      <c r="FS47" s="4"/>
      <c r="FT47" s="6"/>
      <c r="FU47" s="4"/>
      <c r="FV47" s="4"/>
      <c r="FW47" s="4"/>
      <c r="FX47" s="4"/>
      <c r="FY47" s="4"/>
      <c r="FZ47" s="4"/>
      <c r="GA47" s="4"/>
      <c r="GB47" s="6"/>
      <c r="GC47" s="6"/>
      <c r="GD47" s="6"/>
      <c r="GE47" s="9"/>
      <c r="GF47"/>
      <c r="GG47"/>
      <c r="GH47"/>
      <c r="GI47"/>
      <c r="GJ47"/>
      <c r="GK47"/>
      <c r="GL47" s="4"/>
      <c r="GM47" s="4"/>
      <c r="GN47" s="4"/>
      <c r="GO47" s="6"/>
      <c r="GP47" s="4"/>
      <c r="GQ47" s="4"/>
      <c r="GR47" s="4"/>
      <c r="GS47" s="4"/>
      <c r="GT47" s="4"/>
      <c r="GU47" s="4"/>
      <c r="GV47" s="4"/>
      <c r="GW47" s="6"/>
      <c r="GX47" s="6"/>
      <c r="GY47" s="6"/>
      <c r="GZ47" s="9"/>
      <c r="HA47"/>
      <c r="HB47"/>
      <c r="HC47"/>
      <c r="HD47"/>
      <c r="HE47"/>
      <c r="HF47"/>
      <c r="HG47" s="4"/>
      <c r="HH47" s="4"/>
      <c r="HI47" s="4"/>
      <c r="HJ47" s="6"/>
      <c r="HK47" s="4"/>
      <c r="HL47" s="4"/>
      <c r="HM47" s="4"/>
      <c r="HN47" s="4"/>
      <c r="HO47" s="4"/>
      <c r="HP47" s="4"/>
      <c r="HQ47" s="4"/>
      <c r="HR47" s="6"/>
      <c r="HS47" s="6"/>
      <c r="HT47" s="6"/>
      <c r="HU47" s="9"/>
      <c r="HV47"/>
      <c r="HW47"/>
      <c r="HX47"/>
      <c r="HY47"/>
      <c r="HZ47"/>
      <c r="IA47"/>
      <c r="IB47" s="4"/>
      <c r="IC47" s="4"/>
      <c r="ID47" s="4"/>
      <c r="IE47" s="6"/>
      <c r="IF47" s="4"/>
      <c r="IG47" s="4"/>
      <c r="IH47" s="4"/>
      <c r="II47" s="4"/>
      <c r="IJ47" s="4"/>
      <c r="IK47" s="4"/>
      <c r="IL47" s="4"/>
      <c r="IM47" s="6"/>
      <c r="IN47" s="6"/>
      <c r="IO47" s="6"/>
      <c r="IP47" s="9"/>
      <c r="IQ47"/>
      <c r="IR47"/>
      <c r="IS47"/>
      <c r="IT47"/>
      <c r="IU47"/>
      <c r="IV47"/>
      <c r="IW47" s="4"/>
      <c r="IX47" s="4"/>
      <c r="IY47" s="4"/>
      <c r="IZ47" s="6"/>
      <c r="JA47" s="4"/>
      <c r="JB47" s="4"/>
      <c r="JC47" s="4"/>
      <c r="JD47" s="4"/>
      <c r="JE47" s="4"/>
      <c r="JF47" s="4"/>
      <c r="JG47" s="4"/>
      <c r="JH47" s="6"/>
      <c r="JI47" s="6"/>
      <c r="JJ47" s="6"/>
      <c r="JK47" s="9"/>
      <c r="JL47"/>
    </row>
    <row r="48">
      <c r="A48" s="8">
        <v>25273</v>
      </c>
      <c r="B48" s="8">
        <v>25274</v>
      </c>
      <c r="C48" s="9">
        <f>B48-A48</f>
        <v>1</v>
      </c>
      <c r="D48" s="8">
        <v>25273</v>
      </c>
      <c r="E48" t="inlineStr">
        <is>
          <t xml:space="preserve">positive</t>
        </is>
      </c>
      <c r="F48" s="4">
        <v>1.1612806078214635</v>
      </c>
      <c r="G48" s="6">
        <v>0.009531048718819518</v>
      </c>
      <c r="H48" s="7">
        <f>SUM(CE48,CZ48,DU48,EP48,FK48,GF48,HA48,HV48,IQ48,JL48)</f>
        <v>0.009531048718819516</v>
      </c>
      <c r="I48" s="7">
        <f>G48-H48</f>
        <v>1.734723475976807e-18</v>
      </c>
      <c r="J48" s="5">
        <f>F48*(1+H48)</f>
        <v>1.1723488298708302</v>
      </c>
      <c r="K48" s="4">
        <v>1.1723488298708302</v>
      </c>
      <c r="L48" s="5">
        <f>K48-J48</f>
        <v>0</v>
      </c>
      <c r="M48" s="4">
        <v>1.879</v>
      </c>
      <c r="N48" s="4">
        <v>1.833</v>
      </c>
      <c r="O48" s="5">
        <f>M48/$M$3</f>
        <v>0.9596527068437181</v>
      </c>
      <c r="P48" s="5">
        <f>N48/$M$3</f>
        <v>0.9361593462717058</v>
      </c>
      <c r="Q48" s="7">
        <f>IFERROR(N48/M48-1,0)</f>
        <v>-0.02448110697179351</v>
      </c>
      <c r="R48" s="5">
        <f>SUM(IF(BM48="lease",BU48,0),IF(CH48="lease",CP48,0),IF(DC48="lease",DK48,0),IF(DX48="lease",EF48,0),IF(ES48="lease",FA48,0),IF(FN48="lease",FV48,0),IF(GI48="lease",GQ48,0),IF(HD48="lease",HL48,0),IF(HY48="lease",IG48,0),IF(IT48="lease",JB48,0))</f>
        <v>1.1612806078214633</v>
      </c>
      <c r="S48" s="5">
        <f>SUM(IF(BM48="lease",BV48,0),IF(CH48="lease",CQ48,0),IF(DC48="lease",DL48,0),IF(DX48="lease",EG48,0),IF(ES48="lease",FB48,0),IF(FN48="lease",FW48,0),IF(GI48="lease",GR48,0),IF(HD48="lease",HM48,0),IF(HY48="lease",IH48,0),IF(IT48="lease",JC48,0))</f>
        <v>1.17234882987083</v>
      </c>
      <c r="T48" s="5">
        <f>SUM(IF(BM48="keep",BU48,0),IF(CH48="keep",CP48,0),IF(DC48="keep",DK48,0),IF(DX48="keep",EF48,0),IF(ES48="keep",FA48,0),IF(FN48="keep",FV48,0),IF(GI48="keep",GQ48,0),IF(HD48="keep",HL48,0),IF(HY48="keep",IG48,0),IF(IT48="keep",JB48,0))</f>
        <v>0</v>
      </c>
      <c r="U48" s="5">
        <f>SUM(IF(BM48="keep",BV48,0),IF(CH48="keep",CQ48,0),IF(DC48="keep",DL48,0),IF(DX48="keep",EG48,0),IF(ES48="keep",FB48,0),IF(FN48="keep",FW48,0),IF(GI48="keep",GR48,0),IF(HD48="keep",HM48,0),IF(HY48="keep",IH48,0),IF(IT48="keep",JC48,0))</f>
        <v>0</v>
      </c>
      <c r="V48" s="5">
        <f>R48/O48</f>
        <v>1.2101050719076238</v>
      </c>
      <c r="W48" s="5">
        <f>S48/P48</f>
        <v>1.2522962405275968</v>
      </c>
      <c r="X48" s="5">
        <f>T48/O48</f>
        <v>0</v>
      </c>
      <c r="Y48" s="5">
        <f>U48/P48</f>
        <v>0</v>
      </c>
      <c r="Z48" s="5">
        <f>V48+X48</f>
        <v>1.2101050719076238</v>
      </c>
      <c r="AA48" s="7">
        <f>IFERROR(W48/V48-1,0)</f>
        <v>0.034865706788140605</v>
      </c>
      <c r="AB48" s="7">
        <f>IFERROR((W48-V48)/Z48,0)</f>
        <v>0.03486570678814056</v>
      </c>
      <c r="AC48" s="7">
        <f>IFERROR(Y48/X48-1,0)</f>
        <v>0</v>
      </c>
      <c r="AD48" s="7">
        <f>IFERROR((Y48-X48)/Z48,0)</f>
        <v>0</v>
      </c>
      <c r="AE48" s="7">
        <f>AB48+AD48</f>
        <v>0.03486570678814056</v>
      </c>
      <c r="AF48" s="7">
        <f>(1+Q48)*(1+AE48)-1</f>
        <v>0.00953104871881938</v>
      </c>
      <c r="AG48" s="7">
        <f>G48-AF48</f>
        <v>1.3877787807814457e-16</v>
      </c>
      <c r="AH48" s="5">
        <f>SUM(IF(BM48="lease",BW48,0),IF(CH48="lease",CR48,0),IF(DC48="lease",DM48,0),IF(DX48="lease",EH48,0),IF(ES48="lease",FC48,0),IF(FN48="lease",FX48,0),IF(GI48="lease",GS48,0),IF(HD48="lease",HN48,0),IF(HY48="lease",II48,0),IF(IT48="lease",JD48,0))</f>
        <v>0.01106822204936671</v>
      </c>
      <c r="AI48" s="5">
        <f>SUM(IF(BM48="keep",BW48,0),IF(CH48="keep",CR48,0),IF(DC48="keep",DM48,0),IF(DX48="keep",EH48,0),IF(ES48="keep",FC48,0),IF(FN48="keep",FX48,0),IF(GI48="keep",GS48,0),IF(HD48="keep",HN48,0),IF(HY48="keep",II48,0),IF(IT48="keep",JD48,0))</f>
        <v>0</v>
      </c>
      <c r="AJ48" s="5">
        <f>SUM(IF(BM48="lease",BX48,0),IF(CH48="lease",CS48,0),IF(DC48="lease",DN48,0),IF(DX48="lease",EI48,0),IF(ES48="lease",FD48,0),IF(FN48="lease",FY48,0),IF(GI48="lease",GT48,0),IF(HD48="lease",HO48,0),IF(HY48="lease",IJ48,0),IF(IT48="lease",JE48,0))</f>
        <v>0</v>
      </c>
      <c r="AK48" s="5">
        <f>SUM(IF(BM48="keep",BX48,0),IF(CH48="keep",CS48,0),IF(DC48="keep",DN48,0),IF(DX48="keep",EI48,0),IF(ES48="keep",FD48,0),IF(FN48="keep",FY48,0),IF(GI48="keep",GT48,0),IF(HD48="keep",HO48,0),IF(HY48="keep",IJ48,0),IF(IT48="keep",JE48,0))</f>
        <v>0</v>
      </c>
      <c r="AL48" s="5">
        <f>R48-S47</f>
        <v>0</v>
      </c>
      <c r="AM48" s="5">
        <f>T48-U47</f>
        <v>0</v>
      </c>
      <c r="AN48" s="5">
        <f>AN47</f>
        <v>1</v>
      </c>
      <c r="AO48" s="5">
        <f>AO47+AH48</f>
        <v>0.17234882987083047</v>
      </c>
      <c r="AP48" s="5">
        <f>AP47+AL48</f>
        <v>-6.661338147750939e-16</v>
      </c>
      <c r="AQ48" s="5">
        <f>AN48+AO48+AP48</f>
        <v>1.1723488298708298</v>
      </c>
      <c r="AR48" s="5">
        <f>S48-AQ48</f>
        <v>2.220446049250313e-16</v>
      </c>
      <c r="AS48" s="5">
        <f>AS47</f>
        <v>0</v>
      </c>
      <c r="AT48" s="5">
        <f>AT47+AI48</f>
        <v>0</v>
      </c>
      <c r="AU48" s="5">
        <f>AU47+AM48</f>
        <v>0</v>
      </c>
      <c r="AV48" s="5">
        <f>AS48+AT48+AU48</f>
        <v>0</v>
      </c>
      <c r="AW48" s="5">
        <f>U48-AV48</f>
        <v>0</v>
      </c>
      <c r="AX48" s="4">
        <v>1.1612806078214633</v>
      </c>
      <c r="AY48" s="4">
        <v>1.17234882987083</v>
      </c>
      <c r="AZ48" s="5">
        <f>S48-AY48</f>
        <v>0</v>
      </c>
      <c r="BA48" s="4">
        <v>0</v>
      </c>
      <c r="BB48" s="4">
        <v>0</v>
      </c>
      <c r="BC48" s="5">
        <f>U48-BB48</f>
        <v>0</v>
      </c>
      <c r="BD48" s="7">
        <f>SUM(IF(BL48="direct",CE48,0),IF(CG48="direct",CZ48,0),IF(DB48="direct",DU48,0),IF(DW48="direct",EP48,0),IF(ER48="direct",FK48,0),IF(FM48="direct",GF48,0),IF(GH48="direct",HA48,0),IF(HC48="direct",HV48,0),IF(HX48="direct",IQ48,0),IF(IS48="direct",JL48,0))</f>
        <v>0</v>
      </c>
      <c r="BE48" s="7">
        <f>SUM(IF(BL48="treasury",CE48,0),IF(CG48="treasury",CZ48,0),IF(DB48="treasury",DU48,0),IF(DW48="treasury",EP48,0),IF(ER48="treasury",FK48,0),IF(FM48="treasury",GF48,0),IF(GH48="treasury",HA48,0),IF(HC48="treasury",HV48,0),IF(HX48="treasury",IQ48,0),IF(IS48="treasury",JL48,0))</f>
        <v>0.00016465753424657536</v>
      </c>
      <c r="BF48" s="7">
        <f>SUM(IF(BL48="future",CE48,0),IF(CG48="future",CZ48,0),IF(DB48="future",DU48,0),IF(DW48="future",EP48,0),IF(ER48="future",FK48,0),IF(FM48="future",GF48,0),IF(GH48="future",HA48,0),IF(HC48="future",HV48,0),IF(HX48="future",IQ48,0),IF(IS48="future",JL48,0))</f>
        <v>0.009366391184572942</v>
      </c>
      <c r="BG48" s="7">
        <f>SUM(IF(BL48="cash",CE48,0),IF(CG48="cash",CZ48,0),IF(DB48="cash",DU48,0),IF(DW48="cash",EP48,0),IF(ER48="cash",FK48,0),IF(FM48="cash",GF48,0),IF(GH48="cash",HA48,0),IF(HC48="cash",HV48,0),IF(HX48="cash",IQ48,0),IF(IS48="cash",JL48,0))</f>
        <v>0</v>
      </c>
      <c r="BH48" s="7">
        <f>SUM(BD48:BG48)</f>
        <v>0.009531048718819518</v>
      </c>
      <c r="BI48" s="7">
        <f>G48-BH48</f>
        <v>0</v>
      </c>
      <c r="BJ48" s="9">
        <f>COUNTA(BK48,CF48,DA48,DV48,EQ48,FL48,GG48,HB48,HW48,IR48)</f>
        <v>4</v>
      </c>
      <c r="BK48" t="inlineStr">
        <is>
          <t xml:space="preserve">Treasury collateral</t>
        </is>
      </c>
      <c r="BL48" t="inlineStr">
        <is>
          <t xml:space="preserve">treasury</t>
        </is>
      </c>
      <c r="BM48" t="inlineStr">
        <is>
          <t xml:space="preserve">lease</t>
        </is>
      </c>
      <c r="BN48" t="inlineStr">
        <is>
          <t xml:space="preserve">long</t>
        </is>
      </c>
      <c r="BO48"/>
      <c r="BP48" s="4">
        <v>101.14734621472492</v>
      </c>
      <c r="BQ48" s="4">
        <v>101.16400088734822</v>
      </c>
      <c r="BR48" s="4">
        <v>0.011481078360238832</v>
      </c>
      <c r="BS48" s="6">
        <v>1</v>
      </c>
      <c r="BT48" s="4">
        <v>1.1612806078214635</v>
      </c>
      <c r="BU48" s="4">
        <v>1.1612806078214635</v>
      </c>
      <c r="BV48" s="4">
        <v>1.1614718214229156</v>
      </c>
      <c r="BW48" s="4">
        <v>0.00019121360145224646</v>
      </c>
      <c r="BX48" s="4">
        <v>-1.1272992088418032e-16</v>
      </c>
      <c r="BY48" s="4">
        <v>1.879</v>
      </c>
      <c r="BZ48" s="4">
        <v>1.833</v>
      </c>
      <c r="CA48" s="6"/>
      <c r="CB48" s="6"/>
      <c r="CC48" s="6"/>
      <c r="CD48" s="9">
        <v>16</v>
      </c>
      <c r="CE48" s="7">
        <f>IFERROR(BW48/F48,0)</f>
        <v>0.00016465753424657536</v>
      </c>
      <c r="CF48" t="inlineStr">
        <is>
          <t xml:space="preserve">SI69H</t>
        </is>
      </c>
      <c r="CG48" t="inlineStr">
        <is>
          <t xml:space="preserve">future</t>
        </is>
      </c>
      <c r="CH48" t="inlineStr">
        <is>
          <t xml:space="preserve">lease</t>
        </is>
      </c>
      <c r="CI48" t="inlineStr">
        <is>
          <t xml:space="preserve">long</t>
        </is>
      </c>
      <c r="CJ48" t="inlineStr">
        <is>
          <t xml:space="preserve">regular</t>
        </is>
      </c>
      <c r="CK48" s="4">
        <v>1.815</v>
      </c>
      <c r="CL48" s="4">
        <v>1.8319999999999999</v>
      </c>
      <c r="CM48" s="4">
        <v>0.6398240263479138</v>
      </c>
      <c r="CN48" s="6">
        <v>1</v>
      </c>
      <c r="CO48" s="4">
        <v>1.1612806078214635</v>
      </c>
      <c r="CP48" s="4">
        <v>0</v>
      </c>
      <c r="CQ48" s="4">
        <v>0</v>
      </c>
      <c r="CR48" s="4">
        <v>0.010877008447914463</v>
      </c>
      <c r="CS48" s="4">
        <v>-0.010877008447914463</v>
      </c>
      <c r="CT48" s="4">
        <v>1.879</v>
      </c>
      <c r="CU48" s="4">
        <v>1.833</v>
      </c>
      <c r="CV48" s="6">
        <v>-0.034060670569451834</v>
      </c>
      <c r="CW48" s="6">
        <v>0.0601</v>
      </c>
      <c r="CX48" s="6">
        <v>0.83710904736562</v>
      </c>
      <c r="CY48" s="9">
        <v>16</v>
      </c>
      <c r="CZ48" s="7">
        <f>IFERROR(CR48/F48,0)</f>
        <v>0.009366391184572942</v>
      </c>
      <c r="DA48" t="inlineStr">
        <is>
          <t xml:space="preserve">Lease cash / margin / financing</t>
        </is>
      </c>
      <c r="DB48" t="inlineStr">
        <is>
          <t xml:space="preserve">cash</t>
        </is>
      </c>
      <c r="DC48" t="inlineStr">
        <is>
          <t xml:space="preserve">lease</t>
        </is>
      </c>
      <c r="DD48" t="inlineStr">
        <is>
          <t xml:space="preserve">cash</t>
        </is>
      </c>
      <c r="DE48"/>
      <c r="DF48" s="4">
        <v>1</v>
      </c>
      <c r="DG48" s="4">
        <v>1</v>
      </c>
      <c r="DH48" s="4">
        <v>-2.220446049250313e-16</v>
      </c>
      <c r="DI48" s="6"/>
      <c r="DJ48" s="4">
        <v>-2.220446049250313e-16</v>
      </c>
      <c r="DK48" s="4">
        <v>-2.220446049250313e-16</v>
      </c>
      <c r="DL48" s="4">
        <v>0.010877008447914354</v>
      </c>
      <c r="DM48" s="4">
        <v>0</v>
      </c>
      <c r="DN48" s="4">
        <v>0.010877008447914576</v>
      </c>
      <c r="DO48" s="4">
        <v>1.879</v>
      </c>
      <c r="DP48" s="4">
        <v>1.833</v>
      </c>
      <c r="DQ48" s="6"/>
      <c r="DR48" s="6"/>
      <c r="DS48" s="6"/>
      <c r="DT48" s="9"/>
      <c r="DU48" s="7">
        <f>IFERROR(DM48/F48,0)</f>
        <v>0</v>
      </c>
      <c r="DV48" t="inlineStr">
        <is>
          <t xml:space="preserve">Keep cash / margin / financing</t>
        </is>
      </c>
      <c r="DW48" t="inlineStr">
        <is>
          <t xml:space="preserve">cash</t>
        </is>
      </c>
      <c r="DX48" t="inlineStr">
        <is>
          <t xml:space="preserve">keep</t>
        </is>
      </c>
      <c r="DY48" t="inlineStr">
        <is>
          <t xml:space="preserve">cash</t>
        </is>
      </c>
      <c r="DZ48"/>
      <c r="EA48" s="4">
        <v>1</v>
      </c>
      <c r="EB48" s="4">
        <v>1</v>
      </c>
      <c r="EC48" s="4">
        <v>0</v>
      </c>
      <c r="ED48" s="6"/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1.879</v>
      </c>
      <c r="EK48" s="4">
        <v>1.833</v>
      </c>
      <c r="EL48" s="6"/>
      <c r="EM48" s="6"/>
      <c r="EN48" s="6"/>
      <c r="EO48" s="9"/>
      <c r="EP48" s="7">
        <f>IFERROR(EH48/F48,0)</f>
        <v>0</v>
      </c>
      <c r="EQ48"/>
      <c r="ER48"/>
      <c r="ES48"/>
      <c r="ET48"/>
      <c r="EU48"/>
      <c r="EV48" s="4"/>
      <c r="EW48" s="4"/>
      <c r="EX48" s="4"/>
      <c r="EY48" s="6"/>
      <c r="EZ48" s="4"/>
      <c r="FA48" s="4"/>
      <c r="FB48" s="4"/>
      <c r="FC48" s="4"/>
      <c r="FD48" s="4"/>
      <c r="FE48" s="4"/>
      <c r="FF48" s="4"/>
      <c r="FG48" s="6"/>
      <c r="FH48" s="6"/>
      <c r="FI48" s="6"/>
      <c r="FJ48" s="9"/>
      <c r="FK48"/>
      <c r="FL48"/>
      <c r="FM48"/>
      <c r="FN48"/>
      <c r="FO48"/>
      <c r="FP48"/>
      <c r="FQ48" s="4"/>
      <c r="FR48" s="4"/>
      <c r="FS48" s="4"/>
      <c r="FT48" s="6"/>
      <c r="FU48" s="4"/>
      <c r="FV48" s="4"/>
      <c r="FW48" s="4"/>
      <c r="FX48" s="4"/>
      <c r="FY48" s="4"/>
      <c r="FZ48" s="4"/>
      <c r="GA48" s="4"/>
      <c r="GB48" s="6"/>
      <c r="GC48" s="6"/>
      <c r="GD48" s="6"/>
      <c r="GE48" s="9"/>
      <c r="GF48"/>
      <c r="GG48"/>
      <c r="GH48"/>
      <c r="GI48"/>
      <c r="GJ48"/>
      <c r="GK48"/>
      <c r="GL48" s="4"/>
      <c r="GM48" s="4"/>
      <c r="GN48" s="4"/>
      <c r="GO48" s="6"/>
      <c r="GP48" s="4"/>
      <c r="GQ48" s="4"/>
      <c r="GR48" s="4"/>
      <c r="GS48" s="4"/>
      <c r="GT48" s="4"/>
      <c r="GU48" s="4"/>
      <c r="GV48" s="4"/>
      <c r="GW48" s="6"/>
      <c r="GX48" s="6"/>
      <c r="GY48" s="6"/>
      <c r="GZ48" s="9"/>
      <c r="HA48"/>
      <c r="HB48"/>
      <c r="HC48"/>
      <c r="HD48"/>
      <c r="HE48"/>
      <c r="HF48"/>
      <c r="HG48" s="4"/>
      <c r="HH48" s="4"/>
      <c r="HI48" s="4"/>
      <c r="HJ48" s="6"/>
      <c r="HK48" s="4"/>
      <c r="HL48" s="4"/>
      <c r="HM48" s="4"/>
      <c r="HN48" s="4"/>
      <c r="HO48" s="4"/>
      <c r="HP48" s="4"/>
      <c r="HQ48" s="4"/>
      <c r="HR48" s="6"/>
      <c r="HS48" s="6"/>
      <c r="HT48" s="6"/>
      <c r="HU48" s="9"/>
      <c r="HV48"/>
      <c r="HW48"/>
      <c r="HX48"/>
      <c r="HY48"/>
      <c r="HZ48"/>
      <c r="IA48"/>
      <c r="IB48" s="4"/>
      <c r="IC48" s="4"/>
      <c r="ID48" s="4"/>
      <c r="IE48" s="6"/>
      <c r="IF48" s="4"/>
      <c r="IG48" s="4"/>
      <c r="IH48" s="4"/>
      <c r="II48" s="4"/>
      <c r="IJ48" s="4"/>
      <c r="IK48" s="4"/>
      <c r="IL48" s="4"/>
      <c r="IM48" s="6"/>
      <c r="IN48" s="6"/>
      <c r="IO48" s="6"/>
      <c r="IP48" s="9"/>
      <c r="IQ48"/>
      <c r="IR48"/>
      <c r="IS48"/>
      <c r="IT48"/>
      <c r="IU48"/>
      <c r="IV48"/>
      <c r="IW48" s="4"/>
      <c r="IX48" s="4"/>
      <c r="IY48" s="4"/>
      <c r="IZ48" s="6"/>
      <c r="JA48" s="4"/>
      <c r="JB48" s="4"/>
      <c r="JC48" s="4"/>
      <c r="JD48" s="4"/>
      <c r="JE48" s="4"/>
      <c r="JF48" s="4"/>
      <c r="JG48" s="4"/>
      <c r="JH48" s="6"/>
      <c r="JI48" s="6"/>
      <c r="JJ48" s="6"/>
      <c r="JK48" s="9"/>
      <c r="JL48"/>
    </row>
    <row r="49">
      <c r="A49" s="8">
        <v>25274</v>
      </c>
      <c r="B49" s="8">
        <v>25275</v>
      </c>
      <c r="C49" s="9">
        <f>B49-A49</f>
        <v>1</v>
      </c>
      <c r="D49" s="8">
        <v>25274</v>
      </c>
      <c r="E49" t="inlineStr">
        <is>
          <t xml:space="preserve">positive</t>
        </is>
      </c>
      <c r="F49" s="4">
        <v>1.1723488298708302</v>
      </c>
      <c r="G49" s="6">
        <v>0.00084173141302739</v>
      </c>
      <c r="H49" s="7">
        <f>SUM(CE49,CZ49,DU49,EP49,FK49,GF49,HA49,HV49,IQ49,JL49)</f>
        <v>0.0008417314130273914</v>
      </c>
      <c r="I49" s="7">
        <f>G49-H49</f>
        <v>-1.4094628242311558e-18</v>
      </c>
      <c r="J49" s="5">
        <f>F49*(1+H49)</f>
        <v>1.1733356327079583</v>
      </c>
      <c r="K49" s="4">
        <v>1.1733356327079583</v>
      </c>
      <c r="L49" s="5">
        <f>K49-J49</f>
        <v>0</v>
      </c>
      <c r="M49" s="4">
        <v>1.833</v>
      </c>
      <c r="N49" s="4">
        <v>1.871</v>
      </c>
      <c r="O49" s="5">
        <f>M49/$M$3</f>
        <v>0.9361593462717058</v>
      </c>
      <c r="P49" s="5">
        <f>N49/$M$3</f>
        <v>0.9555669050051072</v>
      </c>
      <c r="Q49" s="7">
        <f>IFERROR(N49/M49-1,0)</f>
        <v>0.020731042007637868</v>
      </c>
      <c r="R49" s="5">
        <f>SUM(IF(BM49="lease",BU49,0),IF(CH49="lease",CP49,0),IF(DC49="lease",DK49,0),IF(DX49="lease",EF49,0),IF(ES49="lease",FA49,0),IF(FN49="lease",FV49,0),IF(GI49="lease",GQ49,0),IF(HD49="lease",HL49,0),IF(HY49="lease",IG49,0),IF(IT49="lease",JB49,0))</f>
        <v>1.17234882987083</v>
      </c>
      <c r="S49" s="5">
        <f>SUM(IF(BM49="lease",BV49,0),IF(CH49="lease",CQ49,0),IF(DC49="lease",DL49,0),IF(DX49="lease",EG49,0),IF(ES49="lease",FB49,0),IF(FN49="lease",FW49,0),IF(GI49="lease",GR49,0),IF(HD49="lease",HM49,0),IF(HY49="lease",IH49,0),IF(IT49="lease",JC49,0))</f>
        <v>1.1733356327079583</v>
      </c>
      <c r="T49" s="5">
        <f>SUM(IF(BM49="keep",BU49,0),IF(CH49="keep",CP49,0),IF(DC49="keep",DK49,0),IF(DX49="keep",EF49,0),IF(ES49="keep",FA49,0),IF(FN49="keep",FV49,0),IF(GI49="keep",GQ49,0),IF(HD49="keep",HL49,0),IF(HY49="keep",IG49,0),IF(IT49="keep",JB49,0))</f>
        <v>0</v>
      </c>
      <c r="U49" s="5">
        <f>SUM(IF(BM49="keep",BV49,0),IF(CH49="keep",CQ49,0),IF(DC49="keep",DL49,0),IF(DX49="keep",EG49,0),IF(ES49="keep",FB49,0),IF(FN49="keep",FW49,0),IF(GI49="keep",GR49,0),IF(HD49="keep",HM49,0),IF(HY49="keep",IH49,0),IF(IT49="keep",JC49,0))</f>
        <v>0</v>
      </c>
      <c r="V49" s="5">
        <f>R49/O49</f>
        <v>1.2522962405275968</v>
      </c>
      <c r="W49" s="5">
        <f>S49/P49</f>
        <v>1.2278947989535982</v>
      </c>
      <c r="X49" s="5">
        <f>T49/O49</f>
        <v>0</v>
      </c>
      <c r="Y49" s="5">
        <f>U49/P49</f>
        <v>0</v>
      </c>
      <c r="Z49" s="5">
        <f>V49+X49</f>
        <v>1.2522962405275968</v>
      </c>
      <c r="AA49" s="7">
        <f>IFERROR(W49/V49-1,0)</f>
        <v>-0.01948535880273683</v>
      </c>
      <c r="AB49" s="7">
        <f>IFERROR((W49-V49)/Z49,0)</f>
        <v>-0.019485358802736788</v>
      </c>
      <c r="AC49" s="7">
        <f>IFERROR(Y49/X49-1,0)</f>
        <v>0</v>
      </c>
      <c r="AD49" s="7">
        <f>IFERROR((Y49-X49)/Z49,0)</f>
        <v>0</v>
      </c>
      <c r="AE49" s="7">
        <f>AB49+AD49</f>
        <v>-0.019485358802736788</v>
      </c>
      <c r="AF49" s="7">
        <f>(1+Q49)*(1+AE49)-1</f>
        <v>0.0008417314130275688</v>
      </c>
      <c r="AG49" s="7">
        <f>G49-AF49</f>
        <v>-1.7878493824285968e-16</v>
      </c>
      <c r="AH49" s="5">
        <f>SUM(IF(BM49="lease",BW49,0),IF(CH49="lease",CR49,0),IF(DC49="lease",DM49,0),IF(DX49="lease",EH49,0),IF(ES49="lease",FC49,0),IF(FN49="lease",FX49,0),IF(GI49="lease",GS49,0),IF(HD49="lease",HN49,0),IF(HY49="lease",II49,0),IF(IT49="lease",JD49,0))</f>
        <v>0.000986802837128183</v>
      </c>
      <c r="AI49" s="5">
        <f>SUM(IF(BM49="keep",BW49,0),IF(CH49="keep",CR49,0),IF(DC49="keep",DM49,0),IF(DX49="keep",EH49,0),IF(ES49="keep",FC49,0),IF(FN49="keep",FX49,0),IF(GI49="keep",GS49,0),IF(HD49="keep",HN49,0),IF(HY49="keep",II49,0),IF(IT49="keep",JD49,0))</f>
        <v>0</v>
      </c>
      <c r="AJ49" s="5">
        <f>SUM(IF(BM49="lease",BX49,0),IF(CH49="lease",CS49,0),IF(DC49="lease",DN49,0),IF(DX49="lease",EI49,0),IF(ES49="lease",FD49,0),IF(FN49="lease",FY49,0),IF(GI49="lease",GT49,0),IF(HD49="lease",HO49,0),IF(HY49="lease",IJ49,0),IF(IT49="lease",JE49,0))</f>
        <v>0</v>
      </c>
      <c r="AK49" s="5">
        <f>SUM(IF(BM49="keep",BX49,0),IF(CH49="keep",CS49,0),IF(DC49="keep",DN49,0),IF(DX49="keep",EI49,0),IF(ES49="keep",FD49,0),IF(FN49="keep",FY49,0),IF(GI49="keep",GT49,0),IF(HD49="keep",HO49,0),IF(HY49="keep",IJ49,0),IF(IT49="keep",JE49,0))</f>
        <v>0</v>
      </c>
      <c r="AL49" s="5">
        <f>R49-S48</f>
        <v>0</v>
      </c>
      <c r="AM49" s="5">
        <f>T49-U48</f>
        <v>0</v>
      </c>
      <c r="AN49" s="5">
        <f>AN48</f>
        <v>1</v>
      </c>
      <c r="AO49" s="5">
        <f>AO48+AH49</f>
        <v>0.17333563270795865</v>
      </c>
      <c r="AP49" s="5">
        <f>AP48+AL49</f>
        <v>-6.661338147750939e-16</v>
      </c>
      <c r="AQ49" s="5">
        <f>AN49+AO49+AP49</f>
        <v>1.173335632707958</v>
      </c>
      <c r="AR49" s="5">
        <f>S49-AQ49</f>
        <v>2.220446049250313e-16</v>
      </c>
      <c r="AS49" s="5">
        <f>AS48</f>
        <v>0</v>
      </c>
      <c r="AT49" s="5">
        <f>AT48+AI49</f>
        <v>0</v>
      </c>
      <c r="AU49" s="5">
        <f>AU48+AM49</f>
        <v>0</v>
      </c>
      <c r="AV49" s="5">
        <f>AS49+AT49+AU49</f>
        <v>0</v>
      </c>
      <c r="AW49" s="5">
        <f>U49-AV49</f>
        <v>0</v>
      </c>
      <c r="AX49" s="4">
        <v>1.17234882987083</v>
      </c>
      <c r="AY49" s="4">
        <v>1.1733356327079583</v>
      </c>
      <c r="AZ49" s="5">
        <f>S49-AY49</f>
        <v>0</v>
      </c>
      <c r="BA49" s="4">
        <v>0</v>
      </c>
      <c r="BB49" s="4">
        <v>0</v>
      </c>
      <c r="BC49" s="5">
        <f>U49-BB49</f>
        <v>0</v>
      </c>
      <c r="BD49" s="7">
        <f>SUM(IF(BL49="direct",CE49,0),IF(CG49="direct",CZ49,0),IF(DB49="direct",DU49,0),IF(DW49="direct",EP49,0),IF(ER49="direct",FK49,0),IF(FM49="direct",GF49,0),IF(GH49="direct",HA49,0),IF(HC49="direct",HV49,0),IF(HX49="direct",IQ49,0),IF(IS49="direct",JL49,0))</f>
        <v>0.010614221218989531</v>
      </c>
      <c r="BE49" s="7">
        <f>SUM(IF(BL49="treasury",CE49,0),IF(CG49="treasury",CZ49,0),IF(DB49="treasury",DU49,0),IF(DW49="treasury",EP49,0),IF(ER49="treasury",FK49,0),IF(FM49="treasury",GF49,0),IF(GH49="treasury",HA49,0),IF(HC49="treasury",HV49,0),IF(HX49="treasury",IQ49,0),IF(IS49="treasury",JL49,0))</f>
        <v>0.00008005828204547017</v>
      </c>
      <c r="BF49" s="7">
        <f>SUM(IF(BL49="future",CE49,0),IF(CG49="future",CZ49,0),IF(DB49="future",DU49,0),IF(DW49="future",EP49,0),IF(ER49="future",FK49,0),IF(FM49="future",GF49,0),IF(GH49="future",HA49,0),IF(HC49="future",HV49,0),IF(HX49="future",IQ49,0),IF(IS49="future",JL49,0))</f>
        <v>-0.009852548088007609</v>
      </c>
      <c r="BG49" s="7">
        <f>SUM(IF(BL49="cash",CE49,0),IF(CG49="cash",CZ49,0),IF(DB49="cash",DU49,0),IF(DW49="cash",EP49,0),IF(ER49="cash",FK49,0),IF(FM49="cash",GF49,0),IF(GH49="cash",HA49,0),IF(HC49="cash",HV49,0),IF(HX49="cash",IQ49,0),IF(IS49="cash",JL49,0))</f>
        <v>0</v>
      </c>
      <c r="BH49" s="7">
        <f>SUM(BD49:BG49)</f>
        <v>0.0008417314130273919</v>
      </c>
      <c r="BI49" s="7">
        <f>G49-BH49</f>
        <v>-1.8431436932253575e-18</v>
      </c>
      <c r="BJ49" s="9">
        <f>COUNTA(BK49,CF49,DA49,DV49,EQ49,FL49,GG49,HB49,HW49,IR49)</f>
        <v>5</v>
      </c>
      <c r="BK49" t="inlineStr">
        <is>
          <t xml:space="preserve">Direct commodity holding</t>
        </is>
      </c>
      <c r="BL49" t="inlineStr">
        <is>
          <t xml:space="preserve">direct</t>
        </is>
      </c>
      <c r="BM49" t="inlineStr">
        <is>
          <t xml:space="preserve">lease</t>
        </is>
      </c>
      <c r="BN49" t="inlineStr">
        <is>
          <t xml:space="preserve">long</t>
        </is>
      </c>
      <c r="BO49"/>
      <c r="BP49" s="4">
        <v>1.833</v>
      </c>
      <c r="BQ49" s="4">
        <v>1.871</v>
      </c>
      <c r="BR49" s="4">
        <v>0.3275705896714933</v>
      </c>
      <c r="BS49" s="6">
        <v>0.5121657271018929</v>
      </c>
      <c r="BT49" s="4">
        <v>0.6004368908678471</v>
      </c>
      <c r="BU49" s="4">
        <v>0.6004368908678471</v>
      </c>
      <c r="BV49" s="4">
        <v>0.6128845732753639</v>
      </c>
      <c r="BW49" s="4">
        <v>0.012443569826072514</v>
      </c>
      <c r="BX49" s="4">
        <v>0.000004112581444299518</v>
      </c>
      <c r="BY49" s="4">
        <v>1.833</v>
      </c>
      <c r="BZ49" s="4">
        <v>1.871</v>
      </c>
      <c r="CA49" s="6"/>
      <c r="CB49" s="6"/>
      <c r="CC49" s="6"/>
      <c r="CD49" s="9"/>
      <c r="CE49" s="7">
        <f>IFERROR(BW49/F49,0)</f>
        <v>0.010614221218989531</v>
      </c>
      <c r="CF49" t="inlineStr">
        <is>
          <t xml:space="preserve">Treasury collateral</t>
        </is>
      </c>
      <c r="CG49" t="inlineStr">
        <is>
          <t xml:space="preserve">treasury</t>
        </is>
      </c>
      <c r="CH49" t="inlineStr">
        <is>
          <t xml:space="preserve">lease</t>
        </is>
      </c>
      <c r="CI49" t="inlineStr">
        <is>
          <t xml:space="preserve">long</t>
        </is>
      </c>
      <c r="CJ49"/>
      <c r="CK49" s="4">
        <v>101.16400088734822</v>
      </c>
      <c r="CL49" s="4">
        <v>101.1806028699596</v>
      </c>
      <c r="CM49" s="4">
        <v>0.00565331475610419</v>
      </c>
      <c r="CN49" s="6">
        <v>0.48783427289810705</v>
      </c>
      <c r="CO49" s="4">
        <v>0.5719119390029831</v>
      </c>
      <c r="CP49" s="4">
        <v>0.5719119390029831</v>
      </c>
      <c r="CQ49" s="4">
        <v>0.5720057952362606</v>
      </c>
      <c r="CR49" s="4">
        <v>0.00009385623327747586</v>
      </c>
      <c r="CS49" s="4">
        <v>3.583288180064592e-17</v>
      </c>
      <c r="CT49" s="4">
        <v>1.833</v>
      </c>
      <c r="CU49" s="4">
        <v>1.871</v>
      </c>
      <c r="CV49" s="6"/>
      <c r="CW49" s="6"/>
      <c r="CX49" s="6"/>
      <c r="CY49" s="9">
        <v>15</v>
      </c>
      <c r="CZ49" s="7">
        <f>IFERROR(CR49/F49,0)</f>
        <v>0.00008005828204547017</v>
      </c>
      <c r="DA49" t="inlineStr">
        <is>
          <t xml:space="preserve">SI69H</t>
        </is>
      </c>
      <c r="DB49" t="inlineStr">
        <is>
          <t xml:space="preserve">future</t>
        </is>
      </c>
      <c r="DC49" t="inlineStr">
        <is>
          <t xml:space="preserve">lease</t>
        </is>
      </c>
      <c r="DD49" t="inlineStr">
        <is>
          <t xml:space="preserve">long</t>
        </is>
      </c>
      <c r="DE49" t="inlineStr">
        <is>
          <t xml:space="preserve">regular</t>
        </is>
      </c>
      <c r="DF49" s="4">
        <v>1.8319999999999999</v>
      </c>
      <c r="DG49" s="4">
        <v>1.795</v>
      </c>
      <c r="DH49" s="4">
        <v>0.3121790060059952</v>
      </c>
      <c r="DI49" s="6">
        <v>0.48783427289810705</v>
      </c>
      <c r="DJ49" s="4">
        <v>0.5719119390029831</v>
      </c>
      <c r="DK49" s="4">
        <v>0</v>
      </c>
      <c r="DL49" s="4">
        <v>0</v>
      </c>
      <c r="DM49" s="4">
        <v>-0.011550623222221806</v>
      </c>
      <c r="DN49" s="4">
        <v>0.011550623222221806</v>
      </c>
      <c r="DO49" s="4">
        <v>1.833</v>
      </c>
      <c r="DP49" s="4">
        <v>1.871</v>
      </c>
      <c r="DQ49" s="6">
        <v>-0.0005455537370431252</v>
      </c>
      <c r="DR49" s="6">
        <v>0.0599</v>
      </c>
      <c r="DS49" s="6">
        <v>0.07317514093471605</v>
      </c>
      <c r="DT49" s="9">
        <v>15</v>
      </c>
      <c r="DU49" s="7">
        <f>IFERROR(DM49/F49,0)</f>
        <v>-0.009852548088007609</v>
      </c>
      <c r="DV49" t="inlineStr">
        <is>
          <t xml:space="preserve">Lease cash / margin / financing</t>
        </is>
      </c>
      <c r="DW49" t="inlineStr">
        <is>
          <t xml:space="preserve">cash</t>
        </is>
      </c>
      <c r="DX49" t="inlineStr">
        <is>
          <t xml:space="preserve">lease</t>
        </is>
      </c>
      <c r="DY49" t="inlineStr">
        <is>
          <t xml:space="preserve">cash</t>
        </is>
      </c>
      <c r="DZ49"/>
      <c r="EA49" s="4">
        <v>1</v>
      </c>
      <c r="EB49" s="4">
        <v>1</v>
      </c>
      <c r="EC49" s="4">
        <v>-2.220446049250313e-16</v>
      </c>
      <c r="ED49" s="6"/>
      <c r="EE49" s="4">
        <v>-2.220446049250313e-16</v>
      </c>
      <c r="EF49" s="4">
        <v>-2.220446049250313e-16</v>
      </c>
      <c r="EG49" s="4">
        <v>-0.011554735803666364</v>
      </c>
      <c r="EH49" s="4">
        <v>0</v>
      </c>
      <c r="EI49" s="4">
        <v>-0.011554735803666142</v>
      </c>
      <c r="EJ49" s="4">
        <v>1.833</v>
      </c>
      <c r="EK49" s="4">
        <v>1.871</v>
      </c>
      <c r="EL49" s="6"/>
      <c r="EM49" s="6"/>
      <c r="EN49" s="6"/>
      <c r="EO49" s="9"/>
      <c r="EP49" s="7">
        <f>IFERROR(EH49/F49,0)</f>
        <v>0</v>
      </c>
      <c r="EQ49" t="inlineStr">
        <is>
          <t xml:space="preserve">Keep cash / margin / financing</t>
        </is>
      </c>
      <c r="ER49" t="inlineStr">
        <is>
          <t xml:space="preserve">cash</t>
        </is>
      </c>
      <c r="ES49" t="inlineStr">
        <is>
          <t xml:space="preserve">keep</t>
        </is>
      </c>
      <c r="ET49" t="inlineStr">
        <is>
          <t xml:space="preserve">cash</t>
        </is>
      </c>
      <c r="EU49"/>
      <c r="EV49" s="4">
        <v>1</v>
      </c>
      <c r="EW49" s="4">
        <v>1</v>
      </c>
      <c r="EX49" s="4">
        <v>0</v>
      </c>
      <c r="EY49" s="6"/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1.833</v>
      </c>
      <c r="FF49" s="4">
        <v>1.871</v>
      </c>
      <c r="FG49" s="6"/>
      <c r="FH49" s="6"/>
      <c r="FI49" s="6"/>
      <c r="FJ49" s="9"/>
      <c r="FK49" s="7">
        <f>IFERROR(FC49/F49,0)</f>
        <v>0</v>
      </c>
      <c r="FL49"/>
      <c r="FM49"/>
      <c r="FN49"/>
      <c r="FO49"/>
      <c r="FP49"/>
      <c r="FQ49" s="4"/>
      <c r="FR49" s="4"/>
      <c r="FS49" s="4"/>
      <c r="FT49" s="6"/>
      <c r="FU49" s="4"/>
      <c r="FV49" s="4"/>
      <c r="FW49" s="4"/>
      <c r="FX49" s="4"/>
      <c r="FY49" s="4"/>
      <c r="FZ49" s="4"/>
      <c r="GA49" s="4"/>
      <c r="GB49" s="6"/>
      <c r="GC49" s="6"/>
      <c r="GD49" s="6"/>
      <c r="GE49" s="9"/>
      <c r="GF49"/>
      <c r="GG49"/>
      <c r="GH49"/>
      <c r="GI49"/>
      <c r="GJ49"/>
      <c r="GK49"/>
      <c r="GL49" s="4"/>
      <c r="GM49" s="4"/>
      <c r="GN49" s="4"/>
      <c r="GO49" s="6"/>
      <c r="GP49" s="4"/>
      <c r="GQ49" s="4"/>
      <c r="GR49" s="4"/>
      <c r="GS49" s="4"/>
      <c r="GT49" s="4"/>
      <c r="GU49" s="4"/>
      <c r="GV49" s="4"/>
      <c r="GW49" s="6"/>
      <c r="GX49" s="6"/>
      <c r="GY49" s="6"/>
      <c r="GZ49" s="9"/>
      <c r="HA49"/>
      <c r="HB49"/>
      <c r="HC49"/>
      <c r="HD49"/>
      <c r="HE49"/>
      <c r="HF49"/>
      <c r="HG49" s="4"/>
      <c r="HH49" s="4"/>
      <c r="HI49" s="4"/>
      <c r="HJ49" s="6"/>
      <c r="HK49" s="4"/>
      <c r="HL49" s="4"/>
      <c r="HM49" s="4"/>
      <c r="HN49" s="4"/>
      <c r="HO49" s="4"/>
      <c r="HP49" s="4"/>
      <c r="HQ49" s="4"/>
      <c r="HR49" s="6"/>
      <c r="HS49" s="6"/>
      <c r="HT49" s="6"/>
      <c r="HU49" s="9"/>
      <c r="HV49"/>
      <c r="HW49"/>
      <c r="HX49"/>
      <c r="HY49"/>
      <c r="HZ49"/>
      <c r="IA49"/>
      <c r="IB49" s="4"/>
      <c r="IC49" s="4"/>
      <c r="ID49" s="4"/>
      <c r="IE49" s="6"/>
      <c r="IF49" s="4"/>
      <c r="IG49" s="4"/>
      <c r="IH49" s="4"/>
      <c r="II49" s="4"/>
      <c r="IJ49" s="4"/>
      <c r="IK49" s="4"/>
      <c r="IL49" s="4"/>
      <c r="IM49" s="6"/>
      <c r="IN49" s="6"/>
      <c r="IO49" s="6"/>
      <c r="IP49" s="9"/>
      <c r="IQ49"/>
      <c r="IR49"/>
      <c r="IS49"/>
      <c r="IT49"/>
      <c r="IU49"/>
      <c r="IV49"/>
      <c r="IW49" s="4"/>
      <c r="IX49" s="4"/>
      <c r="IY49" s="4"/>
      <c r="IZ49" s="6"/>
      <c r="JA49" s="4"/>
      <c r="JB49" s="4"/>
      <c r="JC49" s="4"/>
      <c r="JD49" s="4"/>
      <c r="JE49" s="4"/>
      <c r="JF49" s="4"/>
      <c r="JG49" s="4"/>
      <c r="JH49" s="6"/>
      <c r="JI49" s="6"/>
      <c r="JJ49" s="6"/>
      <c r="JK49" s="9"/>
      <c r="JL49"/>
    </row>
    <row r="50">
      <c r="A50" s="8">
        <v>25275</v>
      </c>
      <c r="B50" s="8">
        <v>25276</v>
      </c>
      <c r="C50" s="9">
        <f>B50-A50</f>
        <v>1</v>
      </c>
      <c r="D50" s="8">
        <v>25275</v>
      </c>
      <c r="E50" t="inlineStr">
        <is>
          <t xml:space="preserve">positive</t>
        </is>
      </c>
      <c r="F50" s="4">
        <v>1.1733356327079583</v>
      </c>
      <c r="G50" s="6">
        <v>0.00796464837638818</v>
      </c>
      <c r="H50" s="7">
        <f>SUM(CE50,CZ50,DU50,EP50,FK50,GF50,HA50,HV50,IQ50,JL50)</f>
        <v>0.00796464837638818</v>
      </c>
      <c r="I50" s="7">
        <f>G50-H50</f>
        <v>0</v>
      </c>
      <c r="J50" s="5">
        <f>F50*(1+H50)</f>
        <v>1.182680838449964</v>
      </c>
      <c r="K50" s="4">
        <v>1.182680838449964</v>
      </c>
      <c r="L50" s="5">
        <f>K50-J50</f>
        <v>0</v>
      </c>
      <c r="M50" s="4">
        <v>1.871</v>
      </c>
      <c r="N50" s="4">
        <v>1.836</v>
      </c>
      <c r="O50" s="5">
        <f>M50/$M$3</f>
        <v>0.9555669050051072</v>
      </c>
      <c r="P50" s="5">
        <f>N50/$M$3</f>
        <v>0.937691521961185</v>
      </c>
      <c r="Q50" s="7">
        <f>IFERROR(N50/M50-1,0)</f>
        <v>-0.018706574024585754</v>
      </c>
      <c r="R50" s="5">
        <f>SUM(IF(BM50="lease",BU50,0),IF(CH50="lease",CP50,0),IF(DC50="lease",DK50,0),IF(DX50="lease",EF50,0),IF(ES50="lease",FA50,0),IF(FN50="lease",FV50,0),IF(GI50="lease",GQ50,0),IF(HD50="lease",HL50,0),IF(HY50="lease",IG50,0),IF(IT50="lease",JB50,0))</f>
        <v>1.1733356327079583</v>
      </c>
      <c r="S50" s="5">
        <f>SUM(IF(BM50="lease",BV50,0),IF(CH50="lease",CQ50,0),IF(DC50="lease",DL50,0),IF(DX50="lease",EG50,0),IF(ES50="lease",FB50,0),IF(FN50="lease",FW50,0),IF(GI50="lease",GR50,0),IF(HD50="lease",HM50,0),IF(HY50="lease",IH50,0),IF(IT50="lease",JC50,0))</f>
        <v>1.182680838449964</v>
      </c>
      <c r="T50" s="5">
        <f>SUM(IF(BM50="keep",BU50,0),IF(CH50="keep",CP50,0),IF(DC50="keep",DK50,0),IF(DX50="keep",EF50,0),IF(ES50="keep",FA50,0),IF(FN50="keep",FV50,0),IF(GI50="keep",GQ50,0),IF(HD50="keep",HL50,0),IF(HY50="keep",IG50,0),IF(IT50="keep",JB50,0))</f>
        <v>0</v>
      </c>
      <c r="U50" s="5">
        <f>SUM(IF(BM50="keep",BV50,0),IF(CH50="keep",CQ50,0),IF(DC50="keep",DL50,0),IF(DX50="keep",EG50,0),IF(ES50="keep",FB50,0),IF(FN50="keep",FW50,0),IF(GI50="keep",GR50,0),IF(HD50="keep",HM50,0),IF(HY50="keep",IH50,0),IF(IT50="keep",JC50,0))</f>
        <v>0</v>
      </c>
      <c r="V50" s="5">
        <f>R50/O50</f>
        <v>1.2278947989535982</v>
      </c>
      <c r="W50" s="5">
        <f>S50/P50</f>
        <v>1.2612685630092753</v>
      </c>
      <c r="X50" s="5">
        <f>T50/O50</f>
        <v>0</v>
      </c>
      <c r="Y50" s="5">
        <f>U50/P50</f>
        <v>0</v>
      </c>
      <c r="Z50" s="5">
        <f>V50+X50</f>
        <v>1.2278947989535982</v>
      </c>
      <c r="AA50" s="7">
        <f>IFERROR(W50/V50-1,0)</f>
        <v>0.027179660736504463</v>
      </c>
      <c r="AB50" s="7">
        <f>IFERROR((W50-V50)/Z50,0)</f>
        <v>0.027179660736504376</v>
      </c>
      <c r="AC50" s="7">
        <f>IFERROR(Y50/X50-1,0)</f>
        <v>0</v>
      </c>
      <c r="AD50" s="7">
        <f>IFERROR((Y50-X50)/Z50,0)</f>
        <v>0</v>
      </c>
      <c r="AE50" s="7">
        <f>AB50+AD50</f>
        <v>0.027179660736504376</v>
      </c>
      <c r="AF50" s="7">
        <f>(1+Q50)*(1+AE50)-1</f>
        <v>0.007964648376388217</v>
      </c>
      <c r="AG50" s="7">
        <f>G50-AF50</f>
        <v>-3.642919299551295e-17</v>
      </c>
      <c r="AH50" s="5">
        <f>SUM(IF(BM50="lease",BW50,0),IF(CH50="lease",CR50,0),IF(DC50="lease",DM50,0),IF(DX50="lease",EH50,0),IF(ES50="lease",FC50,0),IF(FN50="lease",FX50,0),IF(GI50="lease",GS50,0),IF(HD50="lease",HN50,0),IF(HY50="lease",II50,0),IF(IT50="lease",JD50,0))</f>
        <v>0.00934520574200584</v>
      </c>
      <c r="AI50" s="5">
        <f>SUM(IF(BM50="keep",BW50,0),IF(CH50="keep",CR50,0),IF(DC50="keep",DM50,0),IF(DX50="keep",EH50,0),IF(ES50="keep",FC50,0),IF(FN50="keep",FX50,0),IF(GI50="keep",GS50,0),IF(HD50="keep",HN50,0),IF(HY50="keep",II50,0),IF(IT50="keep",JD50,0))</f>
        <v>0</v>
      </c>
      <c r="AJ50" s="5">
        <f>SUM(IF(BM50="lease",BX50,0),IF(CH50="lease",CS50,0),IF(DC50="lease",DN50,0),IF(DX50="lease",EI50,0),IF(ES50="lease",FD50,0),IF(FN50="lease",FY50,0),IF(GI50="lease",GT50,0),IF(HD50="lease",HO50,0),IF(HY50="lease",IJ50,0),IF(IT50="lease",JE50,0))</f>
        <v>0</v>
      </c>
      <c r="AK50" s="5">
        <f>SUM(IF(BM50="keep",BX50,0),IF(CH50="keep",CS50,0),IF(DC50="keep",DN50,0),IF(DX50="keep",EI50,0),IF(ES50="keep",FD50,0),IF(FN50="keep",FY50,0),IF(GI50="keep",GT50,0),IF(HD50="keep",HO50,0),IF(HY50="keep",IJ50,0),IF(IT50="keep",JE50,0))</f>
        <v>0</v>
      </c>
      <c r="AL50" s="5">
        <f>R50-S49</f>
        <v>0</v>
      </c>
      <c r="AM50" s="5">
        <f>T50-U49</f>
        <v>0</v>
      </c>
      <c r="AN50" s="5">
        <f>AN49</f>
        <v>1</v>
      </c>
      <c r="AO50" s="5">
        <f>AO49+AH50</f>
        <v>0.1826808384499645</v>
      </c>
      <c r="AP50" s="5">
        <f>AP49+AL50</f>
        <v>-6.661338147750939e-16</v>
      </c>
      <c r="AQ50" s="5">
        <f>AN50+AO50+AP50</f>
        <v>1.1826808384499639</v>
      </c>
      <c r="AR50" s="5">
        <f>S50-AQ50</f>
        <v>2.220446049250313e-16</v>
      </c>
      <c r="AS50" s="5">
        <f>AS49</f>
        <v>0</v>
      </c>
      <c r="AT50" s="5">
        <f>AT49+AI50</f>
        <v>0</v>
      </c>
      <c r="AU50" s="5">
        <f>AU49+AM50</f>
        <v>0</v>
      </c>
      <c r="AV50" s="5">
        <f>AS50+AT50+AU50</f>
        <v>0</v>
      </c>
      <c r="AW50" s="5">
        <f>U50-AV50</f>
        <v>0</v>
      </c>
      <c r="AX50" s="4">
        <v>1.1733356327079583</v>
      </c>
      <c r="AY50" s="4">
        <v>1.182680838449964</v>
      </c>
      <c r="AZ50" s="5">
        <f>S50-AY50</f>
        <v>0</v>
      </c>
      <c r="BA50" s="4">
        <v>0</v>
      </c>
      <c r="BB50" s="4">
        <v>0</v>
      </c>
      <c r="BC50" s="5">
        <f>U50-BB50</f>
        <v>0</v>
      </c>
      <c r="BD50" s="7">
        <f>SUM(IF(BL50="direct",CE50,0),IF(CG50="direct",CZ50,0),IF(DB50="direct",DU50,0),IF(DW50="direct",EP50,0),IF(ER50="direct",FK50,0),IF(FM50="direct",GF50,0),IF(GH50="direct",HA50,0),IF(HC50="direct",HV50,0),IF(HX50="direct",IQ50,0),IF(IS50="direct",JL50,0))</f>
        <v>0</v>
      </c>
      <c r="BE50" s="7">
        <f>SUM(IF(BL50="treasury",CE50,0),IF(CG50="treasury",CZ50,0),IF(DB50="treasury",DU50,0),IF(DW50="treasury",EP50,0),IF(ER50="treasury",FK50,0),IF(FM50="treasury",GF50,0),IF(GH50="treasury",HA50,0),IF(HC50="treasury",HV50,0),IF(HX50="treasury",IQ50,0),IF(IS50="treasury",JL50,0))</f>
        <v>0.0001652054794520548</v>
      </c>
      <c r="BF50" s="7">
        <f>SUM(IF(BL50="future",CE50,0),IF(CG50="future",CZ50,0),IF(DB50="future",DU50,0),IF(DW50="future",EP50,0),IF(ER50="future",FK50,0),IF(FM50="future",GF50,0),IF(GH50="future",HA50,0),IF(HC50="future",HV50,0),IF(HX50="future",IQ50,0),IF(IS50="future",JL50,0))</f>
        <v>0.007799442896936125</v>
      </c>
      <c r="BG50" s="7">
        <f>SUM(IF(BL50="cash",CE50,0),IF(CG50="cash",CZ50,0),IF(DB50="cash",DU50,0),IF(DW50="cash",EP50,0),IF(ER50="cash",FK50,0),IF(FM50="cash",GF50,0),IF(GH50="cash",HA50,0),IF(HC50="cash",HV50,0),IF(HX50="cash",IQ50,0),IF(IS50="cash",JL50,0))</f>
        <v>0</v>
      </c>
      <c r="BH50" s="7">
        <f>SUM(BD50:BG50)</f>
        <v>0.00796464837638818</v>
      </c>
      <c r="BI50" s="7">
        <f>G50-BH50</f>
        <v>0</v>
      </c>
      <c r="BJ50" s="9">
        <f>COUNTA(BK50,CF50,DA50,DV50,EQ50,FL50,GG50,HB50,HW50,IR50)</f>
        <v>4</v>
      </c>
      <c r="BK50" t="inlineStr">
        <is>
          <t xml:space="preserve">Treasury collateral</t>
        </is>
      </c>
      <c r="BL50" t="inlineStr">
        <is>
          <t xml:space="preserve">treasury</t>
        </is>
      </c>
      <c r="BM50" t="inlineStr">
        <is>
          <t xml:space="preserve">lease</t>
        </is>
      </c>
      <c r="BN50" t="inlineStr">
        <is>
          <t xml:space="preserve">long</t>
        </is>
      </c>
      <c r="BO50"/>
      <c r="BP50" s="4">
        <v>101.1806028699596</v>
      </c>
      <c r="BQ50" s="4">
        <v>101.19731845996797</v>
      </c>
      <c r="BR50" s="4">
        <v>0.011596448325337268</v>
      </c>
      <c r="BS50" s="6">
        <v>1</v>
      </c>
      <c r="BT50" s="4">
        <v>1.1733356327079583</v>
      </c>
      <c r="BU50" s="4">
        <v>1.1733356327079583</v>
      </c>
      <c r="BV50" s="4">
        <v>1.173529474183718</v>
      </c>
      <c r="BW50" s="4">
        <v>0.0001938414757596983</v>
      </c>
      <c r="BX50" s="4">
        <v>-7.201812930734963e-17</v>
      </c>
      <c r="BY50" s="4">
        <v>1.871</v>
      </c>
      <c r="BZ50" s="4">
        <v>1.836</v>
      </c>
      <c r="CA50" s="6"/>
      <c r="CB50" s="6"/>
      <c r="CC50" s="6"/>
      <c r="CD50" s="9">
        <v>14</v>
      </c>
      <c r="CE50" s="7">
        <f>IFERROR(BW50/F50,0)</f>
        <v>0.0001652054794520548</v>
      </c>
      <c r="CF50" t="inlineStr">
        <is>
          <t xml:space="preserve">SI69H</t>
        </is>
      </c>
      <c r="CG50" t="inlineStr">
        <is>
          <t xml:space="preserve">future</t>
        </is>
      </c>
      <c r="CH50" t="inlineStr">
        <is>
          <t xml:space="preserve">lease</t>
        </is>
      </c>
      <c r="CI50" t="inlineStr">
        <is>
          <t xml:space="preserve">long</t>
        </is>
      </c>
      <c r="CJ50" t="inlineStr">
        <is>
          <t xml:space="preserve">regular</t>
        </is>
      </c>
      <c r="CK50" s="4">
        <v>1.795</v>
      </c>
      <c r="CL50" s="4">
        <v>1.8090000000000002</v>
      </c>
      <c r="CM50" s="4">
        <v>0.6536688761604225</v>
      </c>
      <c r="CN50" s="6">
        <v>1</v>
      </c>
      <c r="CO50" s="4">
        <v>1.1733356327079583</v>
      </c>
      <c r="CP50" s="4">
        <v>0</v>
      </c>
      <c r="CQ50" s="4">
        <v>0</v>
      </c>
      <c r="CR50" s="4">
        <v>0.00915136426624614</v>
      </c>
      <c r="CS50" s="4">
        <v>-0.00915136426624614</v>
      </c>
      <c r="CT50" s="4">
        <v>1.871</v>
      </c>
      <c r="CU50" s="4">
        <v>1.836</v>
      </c>
      <c r="CV50" s="6">
        <v>-0.04061998931052912</v>
      </c>
      <c r="CW50" s="6">
        <v>0.0603</v>
      </c>
      <c r="CX50" s="6">
        <v>1.1193211498816522</v>
      </c>
      <c r="CY50" s="9">
        <v>14</v>
      </c>
      <c r="CZ50" s="7">
        <f>IFERROR(CR50/F50,0)</f>
        <v>0.007799442896936125</v>
      </c>
      <c r="DA50" t="inlineStr">
        <is>
          <t xml:space="preserve">Lease cash / margin / financing</t>
        </is>
      </c>
      <c r="DB50" t="inlineStr">
        <is>
          <t xml:space="preserve">cash</t>
        </is>
      </c>
      <c r="DC50" t="inlineStr">
        <is>
          <t xml:space="preserve">lease</t>
        </is>
      </c>
      <c r="DD50" t="inlineStr">
        <is>
          <t xml:space="preserve">cash</t>
        </is>
      </c>
      <c r="DE50"/>
      <c r="DF50" s="4">
        <v>1</v>
      </c>
      <c r="DG50" s="4">
        <v>1</v>
      </c>
      <c r="DH50" s="4">
        <v>0</v>
      </c>
      <c r="DI50" s="6"/>
      <c r="DJ50" s="4">
        <v>0</v>
      </c>
      <c r="DK50" s="4">
        <v>0</v>
      </c>
      <c r="DL50" s="4">
        <v>0.009151364266246213</v>
      </c>
      <c r="DM50" s="4">
        <v>0</v>
      </c>
      <c r="DN50" s="4">
        <v>0.009151364266246213</v>
      </c>
      <c r="DO50" s="4">
        <v>1.871</v>
      </c>
      <c r="DP50" s="4">
        <v>1.836</v>
      </c>
      <c r="DQ50" s="6"/>
      <c r="DR50" s="6"/>
      <c r="DS50" s="6"/>
      <c r="DT50" s="9"/>
      <c r="DU50" s="7">
        <f>IFERROR(DM50/F50,0)</f>
        <v>0</v>
      </c>
      <c r="DV50" t="inlineStr">
        <is>
          <t xml:space="preserve">Keep cash / margin / financing</t>
        </is>
      </c>
      <c r="DW50" t="inlineStr">
        <is>
          <t xml:space="preserve">cash</t>
        </is>
      </c>
      <c r="DX50" t="inlineStr">
        <is>
          <t xml:space="preserve">keep</t>
        </is>
      </c>
      <c r="DY50" t="inlineStr">
        <is>
          <t xml:space="preserve">cash</t>
        </is>
      </c>
      <c r="DZ50"/>
      <c r="EA50" s="4">
        <v>1</v>
      </c>
      <c r="EB50" s="4">
        <v>1</v>
      </c>
      <c r="EC50" s="4">
        <v>0</v>
      </c>
      <c r="ED50" s="6"/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1.871</v>
      </c>
      <c r="EK50" s="4">
        <v>1.836</v>
      </c>
      <c r="EL50" s="6"/>
      <c r="EM50" s="6"/>
      <c r="EN50" s="6"/>
      <c r="EO50" s="9"/>
      <c r="EP50" s="7">
        <f>IFERROR(EH50/F50,0)</f>
        <v>0</v>
      </c>
      <c r="EQ50"/>
      <c r="ER50"/>
      <c r="ES50"/>
      <c r="ET50"/>
      <c r="EU50"/>
      <c r="EV50" s="4"/>
      <c r="EW50" s="4"/>
      <c r="EX50" s="4"/>
      <c r="EY50" s="6"/>
      <c r="EZ50" s="4"/>
      <c r="FA50" s="4"/>
      <c r="FB50" s="4"/>
      <c r="FC50" s="4"/>
      <c r="FD50" s="4"/>
      <c r="FE50" s="4"/>
      <c r="FF50" s="4"/>
      <c r="FG50" s="6"/>
      <c r="FH50" s="6"/>
      <c r="FI50" s="6"/>
      <c r="FJ50" s="9"/>
      <c r="FK50"/>
      <c r="FL50"/>
      <c r="FM50"/>
      <c r="FN50"/>
      <c r="FO50"/>
      <c r="FP50"/>
      <c r="FQ50" s="4"/>
      <c r="FR50" s="4"/>
      <c r="FS50" s="4"/>
      <c r="FT50" s="6"/>
      <c r="FU50" s="4"/>
      <c r="FV50" s="4"/>
      <c r="FW50" s="4"/>
      <c r="FX50" s="4"/>
      <c r="FY50" s="4"/>
      <c r="FZ50" s="4"/>
      <c r="GA50" s="4"/>
      <c r="GB50" s="6"/>
      <c r="GC50" s="6"/>
      <c r="GD50" s="6"/>
      <c r="GE50" s="9"/>
      <c r="GF50"/>
      <c r="GG50"/>
      <c r="GH50"/>
      <c r="GI50"/>
      <c r="GJ50"/>
      <c r="GK50"/>
      <c r="GL50" s="4"/>
      <c r="GM50" s="4"/>
      <c r="GN50" s="4"/>
      <c r="GO50" s="6"/>
      <c r="GP50" s="4"/>
      <c r="GQ50" s="4"/>
      <c r="GR50" s="4"/>
      <c r="GS50" s="4"/>
      <c r="GT50" s="4"/>
      <c r="GU50" s="4"/>
      <c r="GV50" s="4"/>
      <c r="GW50" s="6"/>
      <c r="GX50" s="6"/>
      <c r="GY50" s="6"/>
      <c r="GZ50" s="9"/>
      <c r="HA50"/>
      <c r="HB50"/>
      <c r="HC50"/>
      <c r="HD50"/>
      <c r="HE50"/>
      <c r="HF50"/>
      <c r="HG50" s="4"/>
      <c r="HH50" s="4"/>
      <c r="HI50" s="4"/>
      <c r="HJ50" s="6"/>
      <c r="HK50" s="4"/>
      <c r="HL50" s="4"/>
      <c r="HM50" s="4"/>
      <c r="HN50" s="4"/>
      <c r="HO50" s="4"/>
      <c r="HP50" s="4"/>
      <c r="HQ50" s="4"/>
      <c r="HR50" s="6"/>
      <c r="HS50" s="6"/>
      <c r="HT50" s="6"/>
      <c r="HU50" s="9"/>
      <c r="HV50"/>
      <c r="HW50"/>
      <c r="HX50"/>
      <c r="HY50"/>
      <c r="HZ50"/>
      <c r="IA50"/>
      <c r="IB50" s="4"/>
      <c r="IC50" s="4"/>
      <c r="ID50" s="4"/>
      <c r="IE50" s="6"/>
      <c r="IF50" s="4"/>
      <c r="IG50" s="4"/>
      <c r="IH50" s="4"/>
      <c r="II50" s="4"/>
      <c r="IJ50" s="4"/>
      <c r="IK50" s="4"/>
      <c r="IL50" s="4"/>
      <c r="IM50" s="6"/>
      <c r="IN50" s="6"/>
      <c r="IO50" s="6"/>
      <c r="IP50" s="9"/>
      <c r="IQ50"/>
      <c r="IR50"/>
      <c r="IS50"/>
      <c r="IT50"/>
      <c r="IU50"/>
      <c r="IV50"/>
      <c r="IW50" s="4"/>
      <c r="IX50" s="4"/>
      <c r="IY50" s="4"/>
      <c r="IZ50" s="6"/>
      <c r="JA50" s="4"/>
      <c r="JB50" s="4"/>
      <c r="JC50" s="4"/>
      <c r="JD50" s="4"/>
      <c r="JE50" s="4"/>
      <c r="JF50" s="4"/>
      <c r="JG50" s="4"/>
      <c r="JH50" s="6"/>
      <c r="JI50" s="6"/>
      <c r="JJ50" s="6"/>
      <c r="JK50" s="9"/>
      <c r="JL50"/>
    </row>
    <row r="51">
      <c r="A51" s="8">
        <v>25276</v>
      </c>
      <c r="B51" s="8">
        <v>25279</v>
      </c>
      <c r="C51" s="9">
        <f>B51-A51</f>
        <v>3</v>
      </c>
      <c r="D51" s="8">
        <v>25276</v>
      </c>
      <c r="E51" t="inlineStr">
        <is>
          <t xml:space="preserve">positive</t>
        </is>
      </c>
      <c r="F51" s="4">
        <v>1.182680838449964</v>
      </c>
      <c r="G51" s="6">
        <v>-0.002269163467290738</v>
      </c>
      <c r="H51" s="7">
        <f>SUM(CE51,CZ51,DU51,EP51,FK51,GF51,HA51,HV51,IQ51,JL51)</f>
        <v>-0.002269163467290738</v>
      </c>
      <c r="I51" s="7">
        <f>G51-H51</f>
        <v>0</v>
      </c>
      <c r="J51" s="5">
        <f>F51*(1+H51)</f>
        <v>1.1799971422978885</v>
      </c>
      <c r="K51" s="4">
        <v>1.1799971422978885</v>
      </c>
      <c r="L51" s="5">
        <f>K51-J51</f>
        <v>0</v>
      </c>
      <c r="M51" s="4">
        <v>1.836</v>
      </c>
      <c r="N51" s="4">
        <v>1.831</v>
      </c>
      <c r="O51" s="5">
        <f>M51/$M$3</f>
        <v>0.937691521961185</v>
      </c>
      <c r="P51" s="5">
        <f>N51/$M$3</f>
        <v>0.9351378958120531</v>
      </c>
      <c r="Q51" s="7">
        <f>IFERROR(N51/M51-1,0)</f>
        <v>-0.002723311546841023</v>
      </c>
      <c r="R51" s="5">
        <f>SUM(IF(BM51="lease",BU51,0),IF(CH51="lease",CP51,0),IF(DC51="lease",DK51,0),IF(DX51="lease",EF51,0),IF(ES51="lease",FA51,0),IF(FN51="lease",FV51,0),IF(GI51="lease",GQ51,0),IF(HD51="lease",HL51,0),IF(HY51="lease",IG51,0),IF(IT51="lease",JB51,0))</f>
        <v>1.182680838449964</v>
      </c>
      <c r="S51" s="5">
        <f>SUM(IF(BM51="lease",BV51,0),IF(CH51="lease",CQ51,0),IF(DC51="lease",DL51,0),IF(DX51="lease",EG51,0),IF(ES51="lease",FB51,0),IF(FN51="lease",FW51,0),IF(GI51="lease",GR51,0),IF(HD51="lease",HM51,0),IF(HY51="lease",IH51,0),IF(IT51="lease",JC51,0))</f>
        <v>1.1799971422978885</v>
      </c>
      <c r="T51" s="5">
        <f>SUM(IF(BM51="keep",BU51,0),IF(CH51="keep",CP51,0),IF(DC51="keep",DK51,0),IF(DX51="keep",EF51,0),IF(ES51="keep",FA51,0),IF(FN51="keep",FV51,0),IF(GI51="keep",GQ51,0),IF(HD51="keep",HL51,0),IF(HY51="keep",IG51,0),IF(IT51="keep",JB51,0))</f>
        <v>0</v>
      </c>
      <c r="U51" s="5">
        <f>SUM(IF(BM51="keep",BV51,0),IF(CH51="keep",CQ51,0),IF(DC51="keep",DL51,0),IF(DX51="keep",EG51,0),IF(ES51="keep",FB51,0),IF(FN51="keep",FW51,0),IF(GI51="keep",GR51,0),IF(HD51="keep",HM51,0),IF(HY51="keep",IH51,0),IF(IT51="keep",JC51,0))</f>
        <v>0</v>
      </c>
      <c r="V51" s="5">
        <f>R51/O51</f>
        <v>1.2612685630092753</v>
      </c>
      <c r="W51" s="5">
        <f>S51/P51</f>
        <v>1.2618429298849076</v>
      </c>
      <c r="X51" s="5">
        <f>T51/O51</f>
        <v>0</v>
      </c>
      <c r="Y51" s="5">
        <f>U51/P51</f>
        <v>0</v>
      </c>
      <c r="Z51" s="5">
        <f>V51+X51</f>
        <v>1.2612685630092753</v>
      </c>
      <c r="AA51" s="7">
        <f>IFERROR(W51/V51-1,0)</f>
        <v>0.00045538824361246455</v>
      </c>
      <c r="AB51" s="7">
        <f>IFERROR((W51-V51)/Z51,0)</f>
        <v>0.00045538824361245013</v>
      </c>
      <c r="AC51" s="7">
        <f>IFERROR(Y51/X51-1,0)</f>
        <v>0</v>
      </c>
      <c r="AD51" s="7">
        <f>IFERROR((Y51-X51)/Z51,0)</f>
        <v>0</v>
      </c>
      <c r="AE51" s="7">
        <f>AB51+AD51</f>
        <v>0.00045538824361245013</v>
      </c>
      <c r="AF51" s="7">
        <f>(1+Q51)*(1+AE51)-1</f>
        <v>-0.002269163467290669</v>
      </c>
      <c r="AG51" s="7">
        <f>G51-AF51</f>
        <v>-6.895525817007808e-17</v>
      </c>
      <c r="AH51" s="5">
        <f>SUM(IF(BM51="lease",BW51,0),IF(CH51="lease",CR51,0),IF(DC51="lease",DM51,0),IF(DX51="lease",EH51,0),IF(ES51="lease",FC51,0),IF(FN51="lease",FX51,0),IF(GI51="lease",GS51,0),IF(HD51="lease",HN51,0),IF(HY51="lease",II51,0),IF(IT51="lease",JD51,0))</f>
        <v>-0.0026836961520754375</v>
      </c>
      <c r="AI51" s="5">
        <f>SUM(IF(BM51="keep",BW51,0),IF(CH51="keep",CR51,0),IF(DC51="keep",DM51,0),IF(DX51="keep",EH51,0),IF(ES51="keep",FC51,0),IF(FN51="keep",FX51,0),IF(GI51="keep",GS51,0),IF(HD51="keep",HN51,0),IF(HY51="keep",II51,0),IF(IT51="keep",JD51,0))</f>
        <v>0</v>
      </c>
      <c r="AJ51" s="5">
        <f>SUM(IF(BM51="lease",BX51,0),IF(CH51="lease",CS51,0),IF(DC51="lease",DN51,0),IF(DX51="lease",EI51,0),IF(ES51="lease",FD51,0),IF(FN51="lease",FY51,0),IF(GI51="lease",GT51,0),IF(HD51="lease",HO51,0),IF(HY51="lease",IJ51,0),IF(IT51="lease",JE51,0))</f>
        <v>0</v>
      </c>
      <c r="AK51" s="5">
        <f>SUM(IF(BM51="keep",BX51,0),IF(CH51="keep",CS51,0),IF(DC51="keep",DN51,0),IF(DX51="keep",EI51,0),IF(ES51="keep",FD51,0),IF(FN51="keep",FY51,0),IF(GI51="keep",GT51,0),IF(HD51="keep",HO51,0),IF(HY51="keep",IJ51,0),IF(IT51="keep",JE51,0))</f>
        <v>0</v>
      </c>
      <c r="AL51" s="5">
        <f>R51-S50</f>
        <v>0</v>
      </c>
      <c r="AM51" s="5">
        <f>T51-U50</f>
        <v>0</v>
      </c>
      <c r="AN51" s="5">
        <f>AN50</f>
        <v>1</v>
      </c>
      <c r="AO51" s="5">
        <f>AO50+AH51</f>
        <v>0.17999714229788905</v>
      </c>
      <c r="AP51" s="5">
        <f>AP50+AL51</f>
        <v>-6.661338147750939e-16</v>
      </c>
      <c r="AQ51" s="5">
        <f>AN51+AO51+AP51</f>
        <v>1.1799971422978883</v>
      </c>
      <c r="AR51" s="5">
        <f>S51-AQ51</f>
        <v>2.220446049250313e-16</v>
      </c>
      <c r="AS51" s="5">
        <f>AS50</f>
        <v>0</v>
      </c>
      <c r="AT51" s="5">
        <f>AT50+AI51</f>
        <v>0</v>
      </c>
      <c r="AU51" s="5">
        <f>AU50+AM51</f>
        <v>0</v>
      </c>
      <c r="AV51" s="5">
        <f>AS51+AT51+AU51</f>
        <v>0</v>
      </c>
      <c r="AW51" s="5">
        <f>U51-AV51</f>
        <v>0</v>
      </c>
      <c r="AX51" s="4">
        <v>1.182680838449964</v>
      </c>
      <c r="AY51" s="4">
        <v>1.1799971422978885</v>
      </c>
      <c r="AZ51" s="5">
        <f>S51-AY51</f>
        <v>0</v>
      </c>
      <c r="BA51" s="4">
        <v>0</v>
      </c>
      <c r="BB51" s="4">
        <v>0</v>
      </c>
      <c r="BC51" s="5">
        <f>U51-BB51</f>
        <v>0</v>
      </c>
      <c r="BD51" s="7">
        <f>SUM(IF(BL51="direct",CE51,0),IF(CG51="direct",CZ51,0),IF(DB51="direct",DU51,0),IF(DW51="direct",EP51,0),IF(ER51="direct",FK51,0),IF(FM51="direct",GF51,0),IF(GH51="direct",HA51,0),IF(HC51="direct",HV51,0),IF(HX51="direct",IQ51,0),IF(IS51="direct",JL51,0))</f>
        <v>0</v>
      </c>
      <c r="BE51" s="7">
        <f>SUM(IF(BL51="treasury",CE51,0),IF(CG51="treasury",CZ51,0),IF(DB51="treasury",DU51,0),IF(DW51="treasury",EP51,0),IF(ER51="treasury",FK51,0),IF(FM51="treasury",GF51,0),IF(GH51="treasury",HA51,0),IF(HC51="treasury",HV51,0),IF(HX51="treasury",IQ51,0),IF(IS51="treasury",JL51,0))</f>
        <v>0.0004947945205479451</v>
      </c>
      <c r="BF51" s="7">
        <f>SUM(IF(BL51="future",CE51,0),IF(CG51="future",CZ51,0),IF(DB51="future",DU51,0),IF(DW51="future",EP51,0),IF(ER51="future",FK51,0),IF(FM51="future",GF51,0),IF(GH51="future",HA51,0),IF(HC51="future",HV51,0),IF(HX51="future",IQ51,0),IF(IS51="future",JL51,0))</f>
        <v>-0.0027639579878386833</v>
      </c>
      <c r="BG51" s="7">
        <f>SUM(IF(BL51="cash",CE51,0),IF(CG51="cash",CZ51,0),IF(DB51="cash",DU51,0),IF(DW51="cash",EP51,0),IF(ER51="cash",FK51,0),IF(FM51="cash",GF51,0),IF(GH51="cash",HA51,0),IF(HC51="cash",HV51,0),IF(HX51="cash",IQ51,0),IF(IS51="cash",JL51,0))</f>
        <v>0</v>
      </c>
      <c r="BH51" s="7">
        <f>SUM(BD51:BG51)</f>
        <v>-0.002269163467290738</v>
      </c>
      <c r="BI51" s="7">
        <f>G51-BH51</f>
        <v>0</v>
      </c>
      <c r="BJ51" s="9">
        <f>COUNTA(BK51,CF51,DA51,DV51,EQ51,FL51,GG51,HB51,HW51,IR51)</f>
        <v>4</v>
      </c>
      <c r="BK51" t="inlineStr">
        <is>
          <t xml:space="preserve">Treasury collateral</t>
        </is>
      </c>
      <c r="BL51" t="inlineStr">
        <is>
          <t xml:space="preserve">treasury</t>
        </is>
      </c>
      <c r="BM51" t="inlineStr">
        <is>
          <t xml:space="preserve">lease</t>
        </is>
      </c>
      <c r="BN51" t="inlineStr">
        <is>
          <t xml:space="preserve">long</t>
        </is>
      </c>
      <c r="BO51"/>
      <c r="BP51" s="4">
        <v>101.19731845996797</v>
      </c>
      <c r="BQ51" s="4">
        <v>101.24739033863612</v>
      </c>
      <c r="BR51" s="4">
        <v>0.011686879222178337</v>
      </c>
      <c r="BS51" s="6">
        <v>1</v>
      </c>
      <c r="BT51" s="4">
        <v>1.182680838449964</v>
      </c>
      <c r="BU51" s="4">
        <v>1.182680838449964</v>
      </c>
      <c r="BV51" s="4">
        <v>1.1832660224483862</v>
      </c>
      <c r="BW51" s="4">
        <v>0.0005851839984220917</v>
      </c>
      <c r="BX51" s="4">
        <v>2.0166160408230382e-17</v>
      </c>
      <c r="BY51" s="4">
        <v>1.836</v>
      </c>
      <c r="BZ51" s="4">
        <v>1.831</v>
      </c>
      <c r="CA51" s="6"/>
      <c r="CB51" s="6"/>
      <c r="CC51" s="6"/>
      <c r="CD51" s="9">
        <v>13</v>
      </c>
      <c r="CE51" s="7">
        <f>IFERROR(BW51/F51,0)</f>
        <v>0.0004947945205479451</v>
      </c>
      <c r="CF51" t="inlineStr">
        <is>
          <t xml:space="preserve">SI69H</t>
        </is>
      </c>
      <c r="CG51" t="inlineStr">
        <is>
          <t xml:space="preserve">future</t>
        </is>
      </c>
      <c r="CH51" t="inlineStr">
        <is>
          <t xml:space="preserve">lease</t>
        </is>
      </c>
      <c r="CI51" t="inlineStr">
        <is>
          <t xml:space="preserve">long</t>
        </is>
      </c>
      <c r="CJ51" t="inlineStr">
        <is>
          <t xml:space="preserve">regular</t>
        </is>
      </c>
      <c r="CK51" s="4">
        <v>1.8090000000000002</v>
      </c>
      <c r="CL51" s="4">
        <v>1.804</v>
      </c>
      <c r="CM51" s="4">
        <v>0.6537760300994826</v>
      </c>
      <c r="CN51" s="6">
        <v>1</v>
      </c>
      <c r="CO51" s="4">
        <v>1.182680838449964</v>
      </c>
      <c r="CP51" s="4">
        <v>0</v>
      </c>
      <c r="CQ51" s="4">
        <v>0</v>
      </c>
      <c r="CR51" s="4">
        <v>-0.0032688801504975294</v>
      </c>
      <c r="CS51" s="4">
        <v>0.0032688801504975294</v>
      </c>
      <c r="CT51" s="4">
        <v>1.836</v>
      </c>
      <c r="CU51" s="4">
        <v>1.831</v>
      </c>
      <c r="CV51" s="6">
        <v>-0.014705882352941124</v>
      </c>
      <c r="CW51" s="6">
        <v>0.0602</v>
      </c>
      <c r="CX51" s="6">
        <v>0.47309592760180846</v>
      </c>
      <c r="CY51" s="9">
        <v>13</v>
      </c>
      <c r="CZ51" s="7">
        <f>IFERROR(CR51/F51,0)</f>
        <v>-0.0027639579878386833</v>
      </c>
      <c r="DA51" t="inlineStr">
        <is>
          <t xml:space="preserve">Lease cash / margin / financing</t>
        </is>
      </c>
      <c r="DB51" t="inlineStr">
        <is>
          <t xml:space="preserve">cash</t>
        </is>
      </c>
      <c r="DC51" t="inlineStr">
        <is>
          <t xml:space="preserve">lease</t>
        </is>
      </c>
      <c r="DD51" t="inlineStr">
        <is>
          <t xml:space="preserve">cash</t>
        </is>
      </c>
      <c r="DE51"/>
      <c r="DF51" s="4">
        <v>1</v>
      </c>
      <c r="DG51" s="4">
        <v>1</v>
      </c>
      <c r="DH51" s="4">
        <v>0</v>
      </c>
      <c r="DI51" s="6"/>
      <c r="DJ51" s="4">
        <v>0</v>
      </c>
      <c r="DK51" s="4">
        <v>0</v>
      </c>
      <c r="DL51" s="4">
        <v>-0.0032688801504975494</v>
      </c>
      <c r="DM51" s="4">
        <v>0</v>
      </c>
      <c r="DN51" s="4">
        <v>-0.0032688801504975494</v>
      </c>
      <c r="DO51" s="4">
        <v>1.836</v>
      </c>
      <c r="DP51" s="4">
        <v>1.831</v>
      </c>
      <c r="DQ51" s="6"/>
      <c r="DR51" s="6"/>
      <c r="DS51" s="6"/>
      <c r="DT51" s="9"/>
      <c r="DU51" s="7">
        <f>IFERROR(DM51/F51,0)</f>
        <v>0</v>
      </c>
      <c r="DV51" t="inlineStr">
        <is>
          <t xml:space="preserve">Keep cash / margin / financing</t>
        </is>
      </c>
      <c r="DW51" t="inlineStr">
        <is>
          <t xml:space="preserve">cash</t>
        </is>
      </c>
      <c r="DX51" t="inlineStr">
        <is>
          <t xml:space="preserve">keep</t>
        </is>
      </c>
      <c r="DY51" t="inlineStr">
        <is>
          <t xml:space="preserve">cash</t>
        </is>
      </c>
      <c r="DZ51"/>
      <c r="EA51" s="4">
        <v>1</v>
      </c>
      <c r="EB51" s="4">
        <v>1</v>
      </c>
      <c r="EC51" s="4">
        <v>0</v>
      </c>
      <c r="ED51" s="6"/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1.836</v>
      </c>
      <c r="EK51" s="4">
        <v>1.831</v>
      </c>
      <c r="EL51" s="6"/>
      <c r="EM51" s="6"/>
      <c r="EN51" s="6"/>
      <c r="EO51" s="9"/>
      <c r="EP51" s="7">
        <f>IFERROR(EH51/F51,0)</f>
        <v>0</v>
      </c>
      <c r="EQ51"/>
      <c r="ER51"/>
      <c r="ES51"/>
      <c r="ET51"/>
      <c r="EU51"/>
      <c r="EV51" s="4"/>
      <c r="EW51" s="4"/>
      <c r="EX51" s="4"/>
      <c r="EY51" s="6"/>
      <c r="EZ51" s="4"/>
      <c r="FA51" s="4"/>
      <c r="FB51" s="4"/>
      <c r="FC51" s="4"/>
      <c r="FD51" s="4"/>
      <c r="FE51" s="4"/>
      <c r="FF51" s="4"/>
      <c r="FG51" s="6"/>
      <c r="FH51" s="6"/>
      <c r="FI51" s="6"/>
      <c r="FJ51" s="9"/>
      <c r="FK51"/>
      <c r="FL51"/>
      <c r="FM51"/>
      <c r="FN51"/>
      <c r="FO51"/>
      <c r="FP51"/>
      <c r="FQ51" s="4"/>
      <c r="FR51" s="4"/>
      <c r="FS51" s="4"/>
      <c r="FT51" s="6"/>
      <c r="FU51" s="4"/>
      <c r="FV51" s="4"/>
      <c r="FW51" s="4"/>
      <c r="FX51" s="4"/>
      <c r="FY51" s="4"/>
      <c r="FZ51" s="4"/>
      <c r="GA51" s="4"/>
      <c r="GB51" s="6"/>
      <c r="GC51" s="6"/>
      <c r="GD51" s="6"/>
      <c r="GE51" s="9"/>
      <c r="GF51"/>
      <c r="GG51"/>
      <c r="GH51"/>
      <c r="GI51"/>
      <c r="GJ51"/>
      <c r="GK51"/>
      <c r="GL51" s="4"/>
      <c r="GM51" s="4"/>
      <c r="GN51" s="4"/>
      <c r="GO51" s="6"/>
      <c r="GP51" s="4"/>
      <c r="GQ51" s="4"/>
      <c r="GR51" s="4"/>
      <c r="GS51" s="4"/>
      <c r="GT51" s="4"/>
      <c r="GU51" s="4"/>
      <c r="GV51" s="4"/>
      <c r="GW51" s="6"/>
      <c r="GX51" s="6"/>
      <c r="GY51" s="6"/>
      <c r="GZ51" s="9"/>
      <c r="HA51"/>
      <c r="HB51"/>
      <c r="HC51"/>
      <c r="HD51"/>
      <c r="HE51"/>
      <c r="HF51"/>
      <c r="HG51" s="4"/>
      <c r="HH51" s="4"/>
      <c r="HI51" s="4"/>
      <c r="HJ51" s="6"/>
      <c r="HK51" s="4"/>
      <c r="HL51" s="4"/>
      <c r="HM51" s="4"/>
      <c r="HN51" s="4"/>
      <c r="HO51" s="4"/>
      <c r="HP51" s="4"/>
      <c r="HQ51" s="4"/>
      <c r="HR51" s="6"/>
      <c r="HS51" s="6"/>
      <c r="HT51" s="6"/>
      <c r="HU51" s="9"/>
      <c r="HV51"/>
      <c r="HW51"/>
      <c r="HX51"/>
      <c r="HY51"/>
      <c r="HZ51"/>
      <c r="IA51"/>
      <c r="IB51" s="4"/>
      <c r="IC51" s="4"/>
      <c r="ID51" s="4"/>
      <c r="IE51" s="6"/>
      <c r="IF51" s="4"/>
      <c r="IG51" s="4"/>
      <c r="IH51" s="4"/>
      <c r="II51" s="4"/>
      <c r="IJ51" s="4"/>
      <c r="IK51" s="4"/>
      <c r="IL51" s="4"/>
      <c r="IM51" s="6"/>
      <c r="IN51" s="6"/>
      <c r="IO51" s="6"/>
      <c r="IP51" s="9"/>
      <c r="IQ51"/>
      <c r="IR51"/>
      <c r="IS51"/>
      <c r="IT51"/>
      <c r="IU51"/>
      <c r="IV51"/>
      <c r="IW51" s="4"/>
      <c r="IX51" s="4"/>
      <c r="IY51" s="4"/>
      <c r="IZ51" s="6"/>
      <c r="JA51" s="4"/>
      <c r="JB51" s="4"/>
      <c r="JC51" s="4"/>
      <c r="JD51" s="4"/>
      <c r="JE51" s="4"/>
      <c r="JF51" s="4"/>
      <c r="JG51" s="4"/>
      <c r="JH51" s="6"/>
      <c r="JI51" s="6"/>
      <c r="JJ51" s="6"/>
      <c r="JK51" s="9"/>
      <c r="JL51"/>
    </row>
    <row r="52">
      <c r="A52" s="8">
        <v>25279</v>
      </c>
      <c r="B52" s="8">
        <v>25280</v>
      </c>
      <c r="C52" s="9">
        <f>B52-A52</f>
        <v>1</v>
      </c>
      <c r="D52" s="8">
        <v>25279</v>
      </c>
      <c r="E52" t="inlineStr">
        <is>
          <t xml:space="preserve">positive</t>
        </is>
      </c>
      <c r="F52" s="4">
        <v>1.1799971422978885</v>
      </c>
      <c r="G52" s="6">
        <v>0.011807373568629683</v>
      </c>
      <c r="H52" s="7">
        <f>SUM(CE52,CZ52,DU52,EP52,FK52,GF52,HA52,HV52,IQ52,JL52)</f>
        <v>0.011807373568629681</v>
      </c>
      <c r="I52" s="7">
        <f>G52-H52</f>
        <v>1.734723475976807e-18</v>
      </c>
      <c r="J52" s="5">
        <f>F52*(1+H52)</f>
        <v>1.1939298093669153</v>
      </c>
      <c r="K52" s="4">
        <v>1.1939298093669153</v>
      </c>
      <c r="L52" s="5">
        <f>K52-J52</f>
        <v>0</v>
      </c>
      <c r="M52" s="4">
        <v>1.831</v>
      </c>
      <c r="N52" s="4">
        <v>1.813</v>
      </c>
      <c r="O52" s="5">
        <f>M52/$M$3</f>
        <v>0.9351378958120531</v>
      </c>
      <c r="P52" s="5">
        <f>N52/$M$3</f>
        <v>0.9259448416751788</v>
      </c>
      <c r="Q52" s="7">
        <f>IFERROR(N52/M52-1,0)</f>
        <v>-0.00983069361004918</v>
      </c>
      <c r="R52" s="5">
        <f>SUM(IF(BM52="lease",BU52,0),IF(CH52="lease",CP52,0),IF(DC52="lease",DK52,0),IF(DX52="lease",EF52,0),IF(ES52="lease",FA52,0),IF(FN52="lease",FV52,0),IF(GI52="lease",GQ52,0),IF(HD52="lease",HL52,0),IF(HY52="lease",IG52,0),IF(IT52="lease",JB52,0))</f>
        <v>1.1799971422978885</v>
      </c>
      <c r="S52" s="5">
        <f>SUM(IF(BM52="lease",BV52,0),IF(CH52="lease",CQ52,0),IF(DC52="lease",DL52,0),IF(DX52="lease",EG52,0),IF(ES52="lease",FB52,0),IF(FN52="lease",FW52,0),IF(GI52="lease",GR52,0),IF(HD52="lease",HM52,0),IF(HY52="lease",IH52,0),IF(IT52="lease",JC52,0))</f>
        <v>1.1939298093669153</v>
      </c>
      <c r="T52" s="5">
        <f>SUM(IF(BM52="keep",BU52,0),IF(CH52="keep",CP52,0),IF(DC52="keep",DK52,0),IF(DX52="keep",EF52,0),IF(ES52="keep",FA52,0),IF(FN52="keep",FV52,0),IF(GI52="keep",GQ52,0),IF(HD52="keep",HL52,0),IF(HY52="keep",IG52,0),IF(IT52="keep",JB52,0))</f>
        <v>0</v>
      </c>
      <c r="U52" s="5">
        <f>SUM(IF(BM52="keep",BV52,0),IF(CH52="keep",CQ52,0),IF(DC52="keep",DL52,0),IF(DX52="keep",EG52,0),IF(ES52="keep",FB52,0),IF(FN52="keep",FW52,0),IF(GI52="keep",GR52,0),IF(HD52="keep",HM52,0),IF(HY52="keep",IH52,0),IF(IT52="keep",JC52,0))</f>
        <v>0</v>
      </c>
      <c r="V52" s="5">
        <f>R52/O52</f>
        <v>1.2618429298849076</v>
      </c>
      <c r="W52" s="5">
        <f>S52/P52</f>
        <v>1.2894178525871043</v>
      </c>
      <c r="X52" s="5">
        <f>T52/O52</f>
        <v>0</v>
      </c>
      <c r="Y52" s="5">
        <f>U52/P52</f>
        <v>0</v>
      </c>
      <c r="Z52" s="5">
        <f>V52+X52</f>
        <v>1.2618429298849076</v>
      </c>
      <c r="AA52" s="7">
        <f>IFERROR(W52/V52-1,0)</f>
        <v>0.021852896306762792</v>
      </c>
      <c r="AB52" s="7">
        <f>IFERROR((W52-V52)/Z52,0)</f>
        <v>0.02185289630676279</v>
      </c>
      <c r="AC52" s="7">
        <f>IFERROR(Y52/X52-1,0)</f>
        <v>0</v>
      </c>
      <c r="AD52" s="7">
        <f>IFERROR((Y52-X52)/Z52,0)</f>
        <v>0</v>
      </c>
      <c r="AE52" s="7">
        <f>AB52+AD52</f>
        <v>0.02185289630676279</v>
      </c>
      <c r="AF52" s="7">
        <f>(1+Q52)*(1+AE52)-1</f>
        <v>0.011807373568629709</v>
      </c>
      <c r="AG52" s="7">
        <f>G52-AF52</f>
        <v>-2.6020852139652106e-17</v>
      </c>
      <c r="AH52" s="5">
        <f>SUM(IF(BM52="lease",BW52,0),IF(CH52="lease",CR52,0),IF(DC52="lease",DM52,0),IF(DX52="lease",EH52,0),IF(ES52="lease",FC52,0),IF(FN52="lease",FX52,0),IF(GI52="lease",GS52,0),IF(HD52="lease",HN52,0),IF(HY52="lease",II52,0),IF(IT52="lease",JD52,0))</f>
        <v>0.013932667069026647</v>
      </c>
      <c r="AI52" s="5">
        <f>SUM(IF(BM52="keep",BW52,0),IF(CH52="keep",CR52,0),IF(DC52="keep",DM52,0),IF(DX52="keep",EH52,0),IF(ES52="keep",FC52,0),IF(FN52="keep",FX52,0),IF(GI52="keep",GS52,0),IF(HD52="keep",HN52,0),IF(HY52="keep",II52,0),IF(IT52="keep",JD52,0))</f>
        <v>0</v>
      </c>
      <c r="AJ52" s="5">
        <f>SUM(IF(BM52="lease",BX52,0),IF(CH52="lease",CS52,0),IF(DC52="lease",DN52,0),IF(DX52="lease",EI52,0),IF(ES52="lease",FD52,0),IF(FN52="lease",FY52,0),IF(GI52="lease",GT52,0),IF(HD52="lease",HO52,0),IF(HY52="lease",IJ52,0),IF(IT52="lease",JE52,0))</f>
        <v>0</v>
      </c>
      <c r="AK52" s="5">
        <f>SUM(IF(BM52="keep",BX52,0),IF(CH52="keep",CS52,0),IF(DC52="keep",DN52,0),IF(DX52="keep",EI52,0),IF(ES52="keep",FD52,0),IF(FN52="keep",FY52,0),IF(GI52="keep",GT52,0),IF(HD52="keep",HO52,0),IF(HY52="keep",IJ52,0),IF(IT52="keep",JE52,0))</f>
        <v>0</v>
      </c>
      <c r="AL52" s="5">
        <f>R52-S51</f>
        <v>0</v>
      </c>
      <c r="AM52" s="5">
        <f>T52-U51</f>
        <v>0</v>
      </c>
      <c r="AN52" s="5">
        <f>AN51</f>
        <v>1</v>
      </c>
      <c r="AO52" s="5">
        <f>AO51+AH52</f>
        <v>0.1939298093669157</v>
      </c>
      <c r="AP52" s="5">
        <f>AP51+AL52</f>
        <v>-6.661338147750939e-16</v>
      </c>
      <c r="AQ52" s="5">
        <f>AN52+AO52+AP52</f>
        <v>1.193929809366915</v>
      </c>
      <c r="AR52" s="5">
        <f>S52-AQ52</f>
        <v>2.220446049250313e-16</v>
      </c>
      <c r="AS52" s="5">
        <f>AS51</f>
        <v>0</v>
      </c>
      <c r="AT52" s="5">
        <f>AT51+AI52</f>
        <v>0</v>
      </c>
      <c r="AU52" s="5">
        <f>AU51+AM52</f>
        <v>0</v>
      </c>
      <c r="AV52" s="5">
        <f>AS52+AT52+AU52</f>
        <v>0</v>
      </c>
      <c r="AW52" s="5">
        <f>U52-AV52</f>
        <v>0</v>
      </c>
      <c r="AX52" s="4">
        <v>1.1799971422978885</v>
      </c>
      <c r="AY52" s="4">
        <v>1.1939298093669153</v>
      </c>
      <c r="AZ52" s="5">
        <f>S52-AY52</f>
        <v>0</v>
      </c>
      <c r="BA52" s="4">
        <v>0</v>
      </c>
      <c r="BB52" s="4">
        <v>0</v>
      </c>
      <c r="BC52" s="5">
        <f>U52-BB52</f>
        <v>0</v>
      </c>
      <c r="BD52" s="7">
        <f>SUM(IF(BL52="direct",CE52,0),IF(CG52="direct",CZ52,0),IF(DB52="direct",DU52,0),IF(DW52="direct",EP52,0),IF(ER52="direct",FK52,0),IF(FM52="direct",GF52,0),IF(GH52="direct",HA52,0),IF(HC52="direct",HV52,0),IF(HX52="direct",IQ52,0),IF(IS52="direct",JL52,0))</f>
        <v>0</v>
      </c>
      <c r="BE52" s="7">
        <f>SUM(IF(BL52="treasury",CE52,0),IF(CG52="treasury",CZ52,0),IF(DB52="treasury",DU52,0),IF(DW52="treasury",EP52,0),IF(ER52="treasury",FK52,0),IF(FM52="treasury",GF52,0),IF(GH52="treasury",HA52,0),IF(HC52="treasury",HV52,0),IF(HX52="treasury",IQ52,0),IF(IS52="treasury",JL52,0))</f>
        <v>0.00016657534246575342</v>
      </c>
      <c r="BF52" s="7">
        <f>SUM(IF(BL52="future",CE52,0),IF(CG52="future",CZ52,0),IF(DB52="future",DU52,0),IF(DW52="future",EP52,0),IF(ER52="future",FK52,0),IF(FM52="future",GF52,0),IF(GH52="future",HA52,0),IF(HC52="future",HV52,0),IF(HX52="future",IQ52,0),IF(IS52="future",JL52,0))</f>
        <v>0.011640798226163929</v>
      </c>
      <c r="BG52" s="7">
        <f>SUM(IF(BL52="cash",CE52,0),IF(CG52="cash",CZ52,0),IF(DB52="cash",DU52,0),IF(DW52="cash",EP52,0),IF(ER52="cash",FK52,0),IF(FM52="cash",GF52,0),IF(GH52="cash",HA52,0),IF(HC52="cash",HV52,0),IF(HX52="cash",IQ52,0),IF(IS52="cash",JL52,0))</f>
        <v>0</v>
      </c>
      <c r="BH52" s="7">
        <f>SUM(BD52:BG52)</f>
        <v>0.011807373568629683</v>
      </c>
      <c r="BI52" s="7">
        <f>G52-BH52</f>
        <v>0</v>
      </c>
      <c r="BJ52" s="9">
        <f>COUNTA(BK52,CF52,DA52,DV52,EQ52,FL52,GG52,HB52,HW52,IR52)</f>
        <v>4</v>
      </c>
      <c r="BK52" t="inlineStr">
        <is>
          <t xml:space="preserve">Treasury collateral</t>
        </is>
      </c>
      <c r="BL52" t="inlineStr">
        <is>
          <t xml:space="preserve">treasury</t>
        </is>
      </c>
      <c r="BM52" t="inlineStr">
        <is>
          <t xml:space="preserve">lease</t>
        </is>
      </c>
      <c r="BN52" t="inlineStr">
        <is>
          <t xml:space="preserve">long</t>
        </is>
      </c>
      <c r="BO52"/>
      <c r="BP52" s="4">
        <v>101.24739033863612</v>
      </c>
      <c r="BQ52" s="4">
        <v>101.26425565735555</v>
      </c>
      <c r="BR52" s="4">
        <v>0.01165459315396893</v>
      </c>
      <c r="BS52" s="6">
        <v>1</v>
      </c>
      <c r="BT52" s="4">
        <v>1.1799971422978885</v>
      </c>
      <c r="BU52" s="4">
        <v>1.1799971422978885</v>
      </c>
      <c r="BV52" s="4">
        <v>1.1801937007259753</v>
      </c>
      <c r="BW52" s="4">
        <v>0.00019655842808688115</v>
      </c>
      <c r="BX52" s="4">
        <v>-1.3509159069169385e-16</v>
      </c>
      <c r="BY52" s="4">
        <v>1.831</v>
      </c>
      <c r="BZ52" s="4">
        <v>1.813</v>
      </c>
      <c r="CA52" s="6"/>
      <c r="CB52" s="6"/>
      <c r="CC52" s="6"/>
      <c r="CD52" s="9">
        <v>10</v>
      </c>
      <c r="CE52" s="7">
        <f>IFERROR(BW52/F52,0)</f>
        <v>0.00016657534246575342</v>
      </c>
      <c r="CF52" t="inlineStr">
        <is>
          <t xml:space="preserve">SI69H</t>
        </is>
      </c>
      <c r="CG52" t="inlineStr">
        <is>
          <t xml:space="preserve">future</t>
        </is>
      </c>
      <c r="CH52" t="inlineStr">
        <is>
          <t xml:space="preserve">lease</t>
        </is>
      </c>
      <c r="CI52" t="inlineStr">
        <is>
          <t xml:space="preserve">long</t>
        </is>
      </c>
      <c r="CJ52" t="inlineStr">
        <is>
          <t xml:space="preserve">regular</t>
        </is>
      </c>
      <c r="CK52" s="4">
        <v>1.804</v>
      </c>
      <c r="CL52" s="4">
        <v>1.825</v>
      </c>
      <c r="CM52" s="4">
        <v>0.6541004114733306</v>
      </c>
      <c r="CN52" s="6">
        <v>1</v>
      </c>
      <c r="CO52" s="4">
        <v>1.1799971422978885</v>
      </c>
      <c r="CP52" s="4">
        <v>0</v>
      </c>
      <c r="CQ52" s="4">
        <v>0</v>
      </c>
      <c r="CR52" s="4">
        <v>0.013736108640939765</v>
      </c>
      <c r="CS52" s="4">
        <v>-0.013736108640939765</v>
      </c>
      <c r="CT52" s="4">
        <v>1.831</v>
      </c>
      <c r="CU52" s="4">
        <v>1.813</v>
      </c>
      <c r="CV52" s="6">
        <v>-0.014746040415073658</v>
      </c>
      <c r="CW52" s="6">
        <v>0.0608</v>
      </c>
      <c r="CX52" s="6">
        <v>0.5990304751501885</v>
      </c>
      <c r="CY52" s="9">
        <v>10</v>
      </c>
      <c r="CZ52" s="7">
        <f>IFERROR(CR52/F52,0)</f>
        <v>0.011640798226163929</v>
      </c>
      <c r="DA52" t="inlineStr">
        <is>
          <t xml:space="preserve">Lease cash / margin / financing</t>
        </is>
      </c>
      <c r="DB52" t="inlineStr">
        <is>
          <t xml:space="preserve">cash</t>
        </is>
      </c>
      <c r="DC52" t="inlineStr">
        <is>
          <t xml:space="preserve">lease</t>
        </is>
      </c>
      <c r="DD52" t="inlineStr">
        <is>
          <t xml:space="preserve">cash</t>
        </is>
      </c>
      <c r="DE52"/>
      <c r="DF52" s="4">
        <v>1</v>
      </c>
      <c r="DG52" s="4">
        <v>1</v>
      </c>
      <c r="DH52" s="4">
        <v>0</v>
      </c>
      <c r="DI52" s="6"/>
      <c r="DJ52" s="4">
        <v>0</v>
      </c>
      <c r="DK52" s="4">
        <v>0</v>
      </c>
      <c r="DL52" s="4">
        <v>0.0137361086409399</v>
      </c>
      <c r="DM52" s="4">
        <v>0</v>
      </c>
      <c r="DN52" s="4">
        <v>0.0137361086409399</v>
      </c>
      <c r="DO52" s="4">
        <v>1.831</v>
      </c>
      <c r="DP52" s="4">
        <v>1.813</v>
      </c>
      <c r="DQ52" s="6"/>
      <c r="DR52" s="6"/>
      <c r="DS52" s="6"/>
      <c r="DT52" s="9"/>
      <c r="DU52" s="7">
        <f>IFERROR(DM52/F52,0)</f>
        <v>0</v>
      </c>
      <c r="DV52" t="inlineStr">
        <is>
          <t xml:space="preserve">Keep cash / margin / financing</t>
        </is>
      </c>
      <c r="DW52" t="inlineStr">
        <is>
          <t xml:space="preserve">cash</t>
        </is>
      </c>
      <c r="DX52" t="inlineStr">
        <is>
          <t xml:space="preserve">keep</t>
        </is>
      </c>
      <c r="DY52" t="inlineStr">
        <is>
          <t xml:space="preserve">cash</t>
        </is>
      </c>
      <c r="DZ52"/>
      <c r="EA52" s="4">
        <v>1</v>
      </c>
      <c r="EB52" s="4">
        <v>1</v>
      </c>
      <c r="EC52" s="4">
        <v>0</v>
      </c>
      <c r="ED52" s="6"/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1.831</v>
      </c>
      <c r="EK52" s="4">
        <v>1.813</v>
      </c>
      <c r="EL52" s="6"/>
      <c r="EM52" s="6"/>
      <c r="EN52" s="6"/>
      <c r="EO52" s="9"/>
      <c r="EP52" s="7">
        <f>IFERROR(EH52/F52,0)</f>
        <v>0</v>
      </c>
      <c r="EQ52"/>
      <c r="ER52"/>
      <c r="ES52"/>
      <c r="ET52"/>
      <c r="EU52"/>
      <c r="EV52" s="4"/>
      <c r="EW52" s="4"/>
      <c r="EX52" s="4"/>
      <c r="EY52" s="6"/>
      <c r="EZ52" s="4"/>
      <c r="FA52" s="4"/>
      <c r="FB52" s="4"/>
      <c r="FC52" s="4"/>
      <c r="FD52" s="4"/>
      <c r="FE52" s="4"/>
      <c r="FF52" s="4"/>
      <c r="FG52" s="6"/>
      <c r="FH52" s="6"/>
      <c r="FI52" s="6"/>
      <c r="FJ52" s="9"/>
      <c r="FK52"/>
      <c r="FL52"/>
      <c r="FM52"/>
      <c r="FN52"/>
      <c r="FO52"/>
      <c r="FP52"/>
      <c r="FQ52" s="4"/>
      <c r="FR52" s="4"/>
      <c r="FS52" s="4"/>
      <c r="FT52" s="6"/>
      <c r="FU52" s="4"/>
      <c r="FV52" s="4"/>
      <c r="FW52" s="4"/>
      <c r="FX52" s="4"/>
      <c r="FY52" s="4"/>
      <c r="FZ52" s="4"/>
      <c r="GA52" s="4"/>
      <c r="GB52" s="6"/>
      <c r="GC52" s="6"/>
      <c r="GD52" s="6"/>
      <c r="GE52" s="9"/>
      <c r="GF52"/>
      <c r="GG52"/>
      <c r="GH52"/>
      <c r="GI52"/>
      <c r="GJ52"/>
      <c r="GK52"/>
      <c r="GL52" s="4"/>
      <c r="GM52" s="4"/>
      <c r="GN52" s="4"/>
      <c r="GO52" s="6"/>
      <c r="GP52" s="4"/>
      <c r="GQ52" s="4"/>
      <c r="GR52" s="4"/>
      <c r="GS52" s="4"/>
      <c r="GT52" s="4"/>
      <c r="GU52" s="4"/>
      <c r="GV52" s="4"/>
      <c r="GW52" s="6"/>
      <c r="GX52" s="6"/>
      <c r="GY52" s="6"/>
      <c r="GZ52" s="9"/>
      <c r="HA52"/>
      <c r="HB52"/>
      <c r="HC52"/>
      <c r="HD52"/>
      <c r="HE52"/>
      <c r="HF52"/>
      <c r="HG52" s="4"/>
      <c r="HH52" s="4"/>
      <c r="HI52" s="4"/>
      <c r="HJ52" s="6"/>
      <c r="HK52" s="4"/>
      <c r="HL52" s="4"/>
      <c r="HM52" s="4"/>
      <c r="HN52" s="4"/>
      <c r="HO52" s="4"/>
      <c r="HP52" s="4"/>
      <c r="HQ52" s="4"/>
      <c r="HR52" s="6"/>
      <c r="HS52" s="6"/>
      <c r="HT52" s="6"/>
      <c r="HU52" s="9"/>
      <c r="HV52"/>
      <c r="HW52"/>
      <c r="HX52"/>
      <c r="HY52"/>
      <c r="HZ52"/>
      <c r="IA52"/>
      <c r="IB52" s="4"/>
      <c r="IC52" s="4"/>
      <c r="ID52" s="4"/>
      <c r="IE52" s="6"/>
      <c r="IF52" s="4"/>
      <c r="IG52" s="4"/>
      <c r="IH52" s="4"/>
      <c r="II52" s="4"/>
      <c r="IJ52" s="4"/>
      <c r="IK52" s="4"/>
      <c r="IL52" s="4"/>
      <c r="IM52" s="6"/>
      <c r="IN52" s="6"/>
      <c r="IO52" s="6"/>
      <c r="IP52" s="9"/>
      <c r="IQ52"/>
      <c r="IR52"/>
      <c r="IS52"/>
      <c r="IT52"/>
      <c r="IU52"/>
      <c r="IV52"/>
      <c r="IW52" s="4"/>
      <c r="IX52" s="4"/>
      <c r="IY52" s="4"/>
      <c r="IZ52" s="6"/>
      <c r="JA52" s="4"/>
      <c r="JB52" s="4"/>
      <c r="JC52" s="4"/>
      <c r="JD52" s="4"/>
      <c r="JE52" s="4"/>
      <c r="JF52" s="4"/>
      <c r="JG52" s="4"/>
      <c r="JH52" s="6"/>
      <c r="JI52" s="6"/>
      <c r="JJ52" s="6"/>
      <c r="JK52" s="9"/>
      <c r="JL52"/>
    </row>
    <row r="53">
      <c r="A53" s="8">
        <v>25280</v>
      </c>
      <c r="B53" s="8">
        <v>25281</v>
      </c>
      <c r="C53" s="9">
        <f>B53-A53</f>
        <v>1</v>
      </c>
      <c r="D53" s="8">
        <v>25280</v>
      </c>
      <c r="E53" t="inlineStr">
        <is>
          <t xml:space="preserve">neutral</t>
        </is>
      </c>
      <c r="F53" s="4">
        <v>1.1939298093669153</v>
      </c>
      <c r="G53" s="6">
        <v>0.006060442466509119</v>
      </c>
      <c r="H53" s="7">
        <f>SUM(CE53,CZ53,DU53,EP53,FK53,GF53,HA53,HV53,IQ53,JL53)</f>
        <v>0.006060442466509118</v>
      </c>
      <c r="I53" s="7">
        <f>G53-H53</f>
        <v>8.673617379884035e-19</v>
      </c>
      <c r="J53" s="5">
        <f>F53*(1+H53)</f>
        <v>1.2011655522856337</v>
      </c>
      <c r="K53" s="4">
        <v>1.2011655522856337</v>
      </c>
      <c r="L53" s="5">
        <f>K53-J53</f>
        <v>0</v>
      </c>
      <c r="M53" s="4">
        <v>1.813</v>
      </c>
      <c r="N53" s="4">
        <v>1.824</v>
      </c>
      <c r="O53" s="5">
        <f>M53/$M$3</f>
        <v>0.9259448416751788</v>
      </c>
      <c r="P53" s="5">
        <f>N53/$M$3</f>
        <v>0.9315628192032687</v>
      </c>
      <c r="Q53" s="7">
        <f>IFERROR(N53/M53-1,0)</f>
        <v>0.006067291781577611</v>
      </c>
      <c r="R53" s="5">
        <f>SUM(IF(BM53="lease",BU53,0),IF(CH53="lease",CP53,0),IF(DC53="lease",DK53,0),IF(DX53="lease",EF53,0),IF(ES53="lease",FA53,0),IF(FN53="lease",FV53,0),IF(GI53="lease",GQ53,0),IF(HD53="lease",HL53,0),IF(HY53="lease",IG53,0),IF(IT53="lease",JB53,0))</f>
        <v>1.1939298093669153</v>
      </c>
      <c r="S53" s="5">
        <f>SUM(IF(BM53="lease",BV53,0),IF(CH53="lease",CQ53,0),IF(DC53="lease",DL53,0),IF(DX53="lease",EG53,0),IF(ES53="lease",FB53,0),IF(FN53="lease",FW53,0),IF(GI53="lease",GR53,0),IF(HD53="lease",HM53,0),IF(HY53="lease",IH53,0),IF(IT53="lease",JC53,0))</f>
        <v>1.2011655522856337</v>
      </c>
      <c r="T53" s="5">
        <f>SUM(IF(BM53="keep",BU53,0),IF(CH53="keep",CP53,0),IF(DC53="keep",DK53,0),IF(DX53="keep",EF53,0),IF(ES53="keep",FA53,0),IF(FN53="keep",FV53,0),IF(GI53="keep",GQ53,0),IF(HD53="keep",HL53,0),IF(HY53="keep",IG53,0),IF(IT53="keep",JB53,0))</f>
        <v>0</v>
      </c>
      <c r="U53" s="5">
        <f>SUM(IF(BM53="keep",BV53,0),IF(CH53="keep",CQ53,0),IF(DC53="keep",DL53,0),IF(DX53="keep",EG53,0),IF(ES53="keep",FB53,0),IF(FN53="keep",FW53,0),IF(GI53="keep",GR53,0),IF(HD53="keep",HM53,0),IF(HY53="keep",IH53,0),IF(IT53="keep",JC53,0))</f>
        <v>0</v>
      </c>
      <c r="V53" s="5">
        <f>R53/O53</f>
        <v>1.2894178525871043</v>
      </c>
      <c r="W53" s="5">
        <f>S53/P53</f>
        <v>1.2894090742188984</v>
      </c>
      <c r="X53" s="5">
        <f>T53/O53</f>
        <v>0</v>
      </c>
      <c r="Y53" s="5">
        <f>U53/P53</f>
        <v>0</v>
      </c>
      <c r="Z53" s="5">
        <f>V53+X53</f>
        <v>1.2894178525871043</v>
      </c>
      <c r="AA53" s="7">
        <f>IFERROR(W53/V53-1,0)</f>
        <v>-0.000006808008891967532</v>
      </c>
      <c r="AB53" s="7">
        <f>IFERROR((W53-V53)/Z53,0)</f>
        <v>-0.0000068080088919850545</v>
      </c>
      <c r="AC53" s="7">
        <f>IFERROR(Y53/X53-1,0)</f>
        <v>0</v>
      </c>
      <c r="AD53" s="7">
        <f>IFERROR((Y53-X53)/Z53,0)</f>
        <v>0</v>
      </c>
      <c r="AE53" s="7">
        <f>AB53+AD53</f>
        <v>-0.0000068080088919850545</v>
      </c>
      <c r="AF53" s="7">
        <f>(1+Q53)*(1+AE53)-1</f>
        <v>0.006060442466509164</v>
      </c>
      <c r="AG53" s="7">
        <f>G53-AF53</f>
        <v>-4.5102810375396984e-17</v>
      </c>
      <c r="AH53" s="5">
        <f>SUM(IF(BM53="lease",BW53,0),IF(CH53="lease",CR53,0),IF(DC53="lease",DM53,0),IF(DX53="lease",EH53,0),IF(ES53="lease",FC53,0),IF(FN53="lease",FX53,0),IF(GI53="lease",GS53,0),IF(HD53="lease",HN53,0),IF(HY53="lease",II53,0),IF(IT53="lease",JD53,0))</f>
        <v>0.0072357429187183886</v>
      </c>
      <c r="AI53" s="5">
        <f>SUM(IF(BM53="keep",BW53,0),IF(CH53="keep",CR53,0),IF(DC53="keep",DM53,0),IF(DX53="keep",EH53,0),IF(ES53="keep",FC53,0),IF(FN53="keep",FX53,0),IF(GI53="keep",GS53,0),IF(HD53="keep",HN53,0),IF(HY53="keep",II53,0),IF(IT53="keep",JD53,0))</f>
        <v>0</v>
      </c>
      <c r="AJ53" s="5">
        <f>SUM(IF(BM53="lease",BX53,0),IF(CH53="lease",CS53,0),IF(DC53="lease",DN53,0),IF(DX53="lease",EI53,0),IF(ES53="lease",FD53,0),IF(FN53="lease",FY53,0),IF(GI53="lease",GT53,0),IF(HD53="lease",HO53,0),IF(HY53="lease",IJ53,0),IF(IT53="lease",JE53,0))</f>
        <v>0</v>
      </c>
      <c r="AK53" s="5">
        <f>SUM(IF(BM53="keep",BX53,0),IF(CH53="keep",CS53,0),IF(DC53="keep",DN53,0),IF(DX53="keep",EI53,0),IF(ES53="keep",FD53,0),IF(FN53="keep",FY53,0),IF(GI53="keep",GT53,0),IF(HD53="keep",HO53,0),IF(HY53="keep",IJ53,0),IF(IT53="keep",JE53,0))</f>
        <v>0</v>
      </c>
      <c r="AL53" s="5">
        <f>R53-S52</f>
        <v>0</v>
      </c>
      <c r="AM53" s="5">
        <f>T53-U52</f>
        <v>0</v>
      </c>
      <c r="AN53" s="5">
        <f>AN52</f>
        <v>1</v>
      </c>
      <c r="AO53" s="5">
        <f>AO52+AH53</f>
        <v>0.2011655522856341</v>
      </c>
      <c r="AP53" s="5">
        <f>AP52+AL53</f>
        <v>-6.661338147750939e-16</v>
      </c>
      <c r="AQ53" s="5">
        <f>AN53+AO53+AP53</f>
        <v>1.2011655522856335</v>
      </c>
      <c r="AR53" s="5">
        <f>S53-AQ53</f>
        <v>2.220446049250313e-16</v>
      </c>
      <c r="AS53" s="5">
        <f>AS52</f>
        <v>0</v>
      </c>
      <c r="AT53" s="5">
        <f>AT52+AI53</f>
        <v>0</v>
      </c>
      <c r="AU53" s="5">
        <f>AU52+AM53</f>
        <v>0</v>
      </c>
      <c r="AV53" s="5">
        <f>AS53+AT53+AU53</f>
        <v>0</v>
      </c>
      <c r="AW53" s="5">
        <f>U53-AV53</f>
        <v>0</v>
      </c>
      <c r="AX53" s="4">
        <v>1.1939298093669153</v>
      </c>
      <c r="AY53" s="4">
        <v>1.2011655522856337</v>
      </c>
      <c r="AZ53" s="5">
        <f>S53-AY53</f>
        <v>0</v>
      </c>
      <c r="BA53" s="4">
        <v>0</v>
      </c>
      <c r="BB53" s="4">
        <v>0</v>
      </c>
      <c r="BC53" s="5">
        <f>U53-BB53</f>
        <v>0</v>
      </c>
      <c r="BD53" s="7">
        <f>SUM(IF(BL53="direct",CE53,0),IF(CG53="direct",CZ53,0),IF(DB53="direct",DU53,0),IF(DW53="direct",EP53,0),IF(ER53="direct",FK53,0),IF(FM53="direct",GF53,0),IF(GH53="direct",HA53,0),IF(HC53="direct",HV53,0),IF(HX53="direct",IQ53,0),IF(IS53="direct",JL53,0))</f>
        <v>0.006060442466509118</v>
      </c>
      <c r="BE53" s="7">
        <f>SUM(IF(BL53="treasury",CE53,0),IF(CG53="treasury",CZ53,0),IF(DB53="treasury",DU53,0),IF(DW53="treasury",EP53,0),IF(ER53="treasury",FK53,0),IF(FM53="treasury",GF53,0),IF(GH53="treasury",HA53,0),IF(HC53="treasury",HV53,0),IF(HX53="treasury",IQ53,0),IF(IS53="treasury",JL53,0))</f>
        <v>0</v>
      </c>
      <c r="BF53" s="7">
        <f>SUM(IF(BL53="future",CE53,0),IF(CG53="future",CZ53,0),IF(DB53="future",DU53,0),IF(DW53="future",EP53,0),IF(ER53="future",FK53,0),IF(FM53="future",GF53,0),IF(GH53="future",HA53,0),IF(HC53="future",HV53,0),IF(HX53="future",IQ53,0),IF(IS53="future",JL53,0))</f>
        <v>0</v>
      </c>
      <c r="BG53" s="7">
        <f>SUM(IF(BL53="cash",CE53,0),IF(CG53="cash",CZ53,0),IF(DB53="cash",DU53,0),IF(DW53="cash",EP53,0),IF(ER53="cash",FK53,0),IF(FM53="cash",GF53,0),IF(GH53="cash",HA53,0),IF(HC53="cash",HV53,0),IF(HX53="cash",IQ53,0),IF(IS53="cash",JL53,0))</f>
        <v>0</v>
      </c>
      <c r="BH53" s="7">
        <f>SUM(BD53:BG53)</f>
        <v>0.006060442466509118</v>
      </c>
      <c r="BI53" s="7">
        <f>G53-BH53</f>
        <v>8.673617379884035e-19</v>
      </c>
      <c r="BJ53" s="9">
        <f>COUNTA(BK53,CF53,DA53,DV53,EQ53,FL53,GG53,HB53,HW53,IR53)</f>
        <v>3</v>
      </c>
      <c r="BK53" t="inlineStr">
        <is>
          <t xml:space="preserve">Direct commodity holding</t>
        </is>
      </c>
      <c r="BL53" t="inlineStr">
        <is>
          <t xml:space="preserve">direct</t>
        </is>
      </c>
      <c r="BM53" t="inlineStr">
        <is>
          <t xml:space="preserve">lease</t>
        </is>
      </c>
      <c r="BN53" t="inlineStr">
        <is>
          <t xml:space="preserve">long</t>
        </is>
      </c>
      <c r="BO53"/>
      <c r="BP53" s="4">
        <v>1.813</v>
      </c>
      <c r="BQ53" s="4">
        <v>1.824</v>
      </c>
      <c r="BR53" s="4">
        <v>0.658538229104752</v>
      </c>
      <c r="BS53" s="6">
        <v>1</v>
      </c>
      <c r="BT53" s="4">
        <v>1.1939298093669153</v>
      </c>
      <c r="BU53" s="4">
        <v>1.1939298093669153</v>
      </c>
      <c r="BV53" s="4">
        <v>1.2011737298870677</v>
      </c>
      <c r="BW53" s="4">
        <v>0.0072357429187183886</v>
      </c>
      <c r="BX53" s="4">
        <v>0.000008177601434047367</v>
      </c>
      <c r="BY53" s="4">
        <v>1.813</v>
      </c>
      <c r="BZ53" s="4">
        <v>1.824</v>
      </c>
      <c r="CA53" s="6"/>
      <c r="CB53" s="6"/>
      <c r="CC53" s="6"/>
      <c r="CD53" s="9"/>
      <c r="CE53" s="7">
        <f>IFERROR(BW53/F53,0)</f>
        <v>0.006060442466509118</v>
      </c>
      <c r="CF53" t="inlineStr">
        <is>
          <t xml:space="preserve">Lease cash / margin / financing</t>
        </is>
      </c>
      <c r="CG53" t="inlineStr">
        <is>
          <t xml:space="preserve">cash</t>
        </is>
      </c>
      <c r="CH53" t="inlineStr">
        <is>
          <t xml:space="preserve">lease</t>
        </is>
      </c>
      <c r="CI53" t="inlineStr">
        <is>
          <t xml:space="preserve">cash</t>
        </is>
      </c>
      <c r="CJ53"/>
      <c r="CK53" s="4">
        <v>1</v>
      </c>
      <c r="CL53" s="4">
        <v>1</v>
      </c>
      <c r="CM53" s="4">
        <v>0</v>
      </c>
      <c r="CN53" s="6"/>
      <c r="CO53" s="4">
        <v>0</v>
      </c>
      <c r="CP53" s="4">
        <v>0</v>
      </c>
      <c r="CQ53" s="4">
        <v>-0.000008177601434047367</v>
      </c>
      <c r="CR53" s="4">
        <v>0</v>
      </c>
      <c r="CS53" s="4">
        <v>-0.000008177601434047367</v>
      </c>
      <c r="CT53" s="4">
        <v>1.813</v>
      </c>
      <c r="CU53" s="4">
        <v>1.824</v>
      </c>
      <c r="CV53" s="6"/>
      <c r="CW53" s="6"/>
      <c r="CX53" s="6"/>
      <c r="CY53" s="9"/>
      <c r="CZ53" s="7">
        <f>IFERROR(CR53/F53,0)</f>
        <v>0</v>
      </c>
      <c r="DA53" t="inlineStr">
        <is>
          <t xml:space="preserve">Keep cash / margin / financing</t>
        </is>
      </c>
      <c r="DB53" t="inlineStr">
        <is>
          <t xml:space="preserve">cash</t>
        </is>
      </c>
      <c r="DC53" t="inlineStr">
        <is>
          <t xml:space="preserve">keep</t>
        </is>
      </c>
      <c r="DD53" t="inlineStr">
        <is>
          <t xml:space="preserve">cash</t>
        </is>
      </c>
      <c r="DE53"/>
      <c r="DF53" s="4">
        <v>1</v>
      </c>
      <c r="DG53" s="4">
        <v>1</v>
      </c>
      <c r="DH53" s="4">
        <v>0</v>
      </c>
      <c r="DI53" s="6"/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1.813</v>
      </c>
      <c r="DP53" s="4">
        <v>1.824</v>
      </c>
      <c r="DQ53" s="6"/>
      <c r="DR53" s="6"/>
      <c r="DS53" s="6"/>
      <c r="DT53" s="9"/>
      <c r="DU53" s="7">
        <f>IFERROR(DM53/F53,0)</f>
        <v>0</v>
      </c>
      <c r="DV53"/>
      <c r="DW53"/>
      <c r="DX53"/>
      <c r="DY53"/>
      <c r="DZ53"/>
      <c r="EA53" s="4"/>
      <c r="EB53" s="4"/>
      <c r="EC53" s="4"/>
      <c r="ED53" s="6"/>
      <c r="EE53" s="4"/>
      <c r="EF53" s="4"/>
      <c r="EG53" s="4"/>
      <c r="EH53" s="4"/>
      <c r="EI53" s="4"/>
      <c r="EJ53" s="4"/>
      <c r="EK53" s="4"/>
      <c r="EL53" s="6"/>
      <c r="EM53" s="6"/>
      <c r="EN53" s="6"/>
      <c r="EO53" s="9"/>
      <c r="EP53"/>
      <c r="EQ53"/>
      <c r="ER53"/>
      <c r="ES53"/>
      <c r="ET53"/>
      <c r="EU53"/>
      <c r="EV53" s="4"/>
      <c r="EW53" s="4"/>
      <c r="EX53" s="4"/>
      <c r="EY53" s="6"/>
      <c r="EZ53" s="4"/>
      <c r="FA53" s="4"/>
      <c r="FB53" s="4"/>
      <c r="FC53" s="4"/>
      <c r="FD53" s="4"/>
      <c r="FE53" s="4"/>
      <c r="FF53" s="4"/>
      <c r="FG53" s="6"/>
      <c r="FH53" s="6"/>
      <c r="FI53" s="6"/>
      <c r="FJ53" s="9"/>
      <c r="FK53"/>
      <c r="FL53"/>
      <c r="FM53"/>
      <c r="FN53"/>
      <c r="FO53"/>
      <c r="FP53"/>
      <c r="FQ53" s="4"/>
      <c r="FR53" s="4"/>
      <c r="FS53" s="4"/>
      <c r="FT53" s="6"/>
      <c r="FU53" s="4"/>
      <c r="FV53" s="4"/>
      <c r="FW53" s="4"/>
      <c r="FX53" s="4"/>
      <c r="FY53" s="4"/>
      <c r="FZ53" s="4"/>
      <c r="GA53" s="4"/>
      <c r="GB53" s="6"/>
      <c r="GC53" s="6"/>
      <c r="GD53" s="6"/>
      <c r="GE53" s="9"/>
      <c r="GF53"/>
      <c r="GG53"/>
      <c r="GH53"/>
      <c r="GI53"/>
      <c r="GJ53"/>
      <c r="GK53"/>
      <c r="GL53" s="4"/>
      <c r="GM53" s="4"/>
      <c r="GN53" s="4"/>
      <c r="GO53" s="6"/>
      <c r="GP53" s="4"/>
      <c r="GQ53" s="4"/>
      <c r="GR53" s="4"/>
      <c r="GS53" s="4"/>
      <c r="GT53" s="4"/>
      <c r="GU53" s="4"/>
      <c r="GV53" s="4"/>
      <c r="GW53" s="6"/>
      <c r="GX53" s="6"/>
      <c r="GY53" s="6"/>
      <c r="GZ53" s="9"/>
      <c r="HA53"/>
      <c r="HB53"/>
      <c r="HC53"/>
      <c r="HD53"/>
      <c r="HE53"/>
      <c r="HF53"/>
      <c r="HG53" s="4"/>
      <c r="HH53" s="4"/>
      <c r="HI53" s="4"/>
      <c r="HJ53" s="6"/>
      <c r="HK53" s="4"/>
      <c r="HL53" s="4"/>
      <c r="HM53" s="4"/>
      <c r="HN53" s="4"/>
      <c r="HO53" s="4"/>
      <c r="HP53" s="4"/>
      <c r="HQ53" s="4"/>
      <c r="HR53" s="6"/>
      <c r="HS53" s="6"/>
      <c r="HT53" s="6"/>
      <c r="HU53" s="9"/>
      <c r="HV53"/>
      <c r="HW53"/>
      <c r="HX53"/>
      <c r="HY53"/>
      <c r="HZ53"/>
      <c r="IA53"/>
      <c r="IB53" s="4"/>
      <c r="IC53" s="4"/>
      <c r="ID53" s="4"/>
      <c r="IE53" s="6"/>
      <c r="IF53" s="4"/>
      <c r="IG53" s="4"/>
      <c r="IH53" s="4"/>
      <c r="II53" s="4"/>
      <c r="IJ53" s="4"/>
      <c r="IK53" s="4"/>
      <c r="IL53" s="4"/>
      <c r="IM53" s="6"/>
      <c r="IN53" s="6"/>
      <c r="IO53" s="6"/>
      <c r="IP53" s="9"/>
      <c r="IQ53"/>
      <c r="IR53"/>
      <c r="IS53"/>
      <c r="IT53"/>
      <c r="IU53"/>
      <c r="IV53"/>
      <c r="IW53" s="4"/>
      <c r="IX53" s="4"/>
      <c r="IY53" s="4"/>
      <c r="IZ53" s="6"/>
      <c r="JA53" s="4"/>
      <c r="JB53" s="4"/>
      <c r="JC53" s="4"/>
      <c r="JD53" s="4"/>
      <c r="JE53" s="4"/>
      <c r="JF53" s="4"/>
      <c r="JG53" s="4"/>
      <c r="JH53" s="6"/>
      <c r="JI53" s="6"/>
      <c r="JJ53" s="6"/>
      <c r="JK53" s="9"/>
      <c r="JL53"/>
    </row>
    <row r="54">
      <c r="A54" s="8">
        <v>25281</v>
      </c>
      <c r="B54" s="8">
        <v>25282</v>
      </c>
      <c r="C54" s="9">
        <f>B54-A54</f>
        <v>1</v>
      </c>
      <c r="D54" s="8">
        <v>25281</v>
      </c>
      <c r="E54" t="inlineStr">
        <is>
          <t xml:space="preserve">positive</t>
        </is>
      </c>
      <c r="F54" s="4">
        <v>1.2011655522856337</v>
      </c>
      <c r="G54" s="6">
        <v>-0.002266294958433307</v>
      </c>
      <c r="H54" s="7">
        <f>SUM(CE54,CZ54,DU54,EP54,FK54,GF54,HA54,HV54,IQ54,JL54)</f>
        <v>-0.0022662949584333065</v>
      </c>
      <c r="I54" s="7">
        <f>G54-H54</f>
        <v>-4.336808689942018e-19</v>
      </c>
      <c r="J54" s="5">
        <f>F54*(1+H54)</f>
        <v>1.198443356850245</v>
      </c>
      <c r="K54" s="4">
        <v>1.198443356850245</v>
      </c>
      <c r="L54" s="5">
        <f>K54-J54</f>
        <v>0</v>
      </c>
      <c r="M54" s="4">
        <v>1.824</v>
      </c>
      <c r="N54" s="4">
        <v>1.813</v>
      </c>
      <c r="O54" s="5">
        <f>M54/$M$3</f>
        <v>0.9315628192032687</v>
      </c>
      <c r="P54" s="5">
        <f>N54/$M$3</f>
        <v>0.9259448416751788</v>
      </c>
      <c r="Q54" s="7">
        <f>IFERROR(N54/M54-1,0)</f>
        <v>-0.006030701754386025</v>
      </c>
      <c r="R54" s="5">
        <f>SUM(IF(BM54="lease",BU54,0),IF(CH54="lease",CP54,0),IF(DC54="lease",DK54,0),IF(DX54="lease",EF54,0),IF(ES54="lease",FA54,0),IF(FN54="lease",FV54,0),IF(GI54="lease",GQ54,0),IF(HD54="lease",HL54,0),IF(HY54="lease",IG54,0),IF(IT54="lease",JB54,0))</f>
        <v>1.2011655522856337</v>
      </c>
      <c r="S54" s="5">
        <f>SUM(IF(BM54="lease",BV54,0),IF(CH54="lease",CQ54,0),IF(DC54="lease",DL54,0),IF(DX54="lease",EG54,0),IF(ES54="lease",FB54,0),IF(FN54="lease",FW54,0),IF(GI54="lease",GR54,0),IF(HD54="lease",HM54,0),IF(HY54="lease",IH54,0),IF(IT54="lease",JC54,0))</f>
        <v>1.198443356850245</v>
      </c>
      <c r="T54" s="5">
        <f>SUM(IF(BM54="keep",BU54,0),IF(CH54="keep",CP54,0),IF(DC54="keep",DK54,0),IF(DX54="keep",EF54,0),IF(ES54="keep",FA54,0),IF(FN54="keep",FV54,0),IF(GI54="keep",GQ54,0),IF(HD54="keep",HL54,0),IF(HY54="keep",IG54,0),IF(IT54="keep",JB54,0))</f>
        <v>0</v>
      </c>
      <c r="U54" s="5">
        <f>SUM(IF(BM54="keep",BV54,0),IF(CH54="keep",CQ54,0),IF(DC54="keep",DL54,0),IF(DX54="keep",EG54,0),IF(ES54="keep",FB54,0),IF(FN54="keep",FW54,0),IF(GI54="keep",GR54,0),IF(HD54="keep",HM54,0),IF(HY54="keep",IH54,0),IF(IT54="keep",JC54,0))</f>
        <v>0</v>
      </c>
      <c r="V54" s="5">
        <f>R54/O54</f>
        <v>1.2894090742188984</v>
      </c>
      <c r="W54" s="5">
        <f>S54/P54</f>
        <v>1.2942923842872476</v>
      </c>
      <c r="X54" s="5">
        <f>T54/O54</f>
        <v>0</v>
      </c>
      <c r="Y54" s="5">
        <f>U54/P54</f>
        <v>0</v>
      </c>
      <c r="Z54" s="5">
        <f>V54+X54</f>
        <v>1.2894090742188984</v>
      </c>
      <c r="AA54" s="7">
        <f>IFERROR(W54/V54-1,0)</f>
        <v>0.0037872465503683284</v>
      </c>
      <c r="AB54" s="7">
        <f>IFERROR((W54-V54)/Z54,0)</f>
        <v>0.0037872465503683644</v>
      </c>
      <c r="AC54" s="7">
        <f>IFERROR(Y54/X54-1,0)</f>
        <v>0</v>
      </c>
      <c r="AD54" s="7">
        <f>IFERROR((Y54-X54)/Z54,0)</f>
        <v>0</v>
      </c>
      <c r="AE54" s="7">
        <f>AB54+AD54</f>
        <v>0.0037872465503683644</v>
      </c>
      <c r="AF54" s="7">
        <f>(1+Q54)*(1+AE54)-1</f>
        <v>-0.0022662949584333347</v>
      </c>
      <c r="AG54" s="7">
        <f>G54-AF54</f>
        <v>2.7755575615628914e-17</v>
      </c>
      <c r="AH54" s="5">
        <f>SUM(IF(BM54="lease",BW54,0),IF(CH54="lease",CR54,0),IF(DC54="lease",DM54,0),IF(DX54="lease",EH54,0),IF(ES54="lease",FC54,0),IF(FN54="lease",FX54,0),IF(GI54="lease",GS54,0),IF(HD54="lease",HN54,0),IF(HY54="lease",II54,0),IF(IT54="lease",JD54,0))</f>
        <v>-0.0027221954353886897</v>
      </c>
      <c r="AI54" s="5">
        <f>SUM(IF(BM54="keep",BW54,0),IF(CH54="keep",CR54,0),IF(DC54="keep",DM54,0),IF(DX54="keep",EH54,0),IF(ES54="keep",FC54,0),IF(FN54="keep",FX54,0),IF(GI54="keep",GS54,0),IF(HD54="keep",HN54,0),IF(HY54="keep",II54,0),IF(IT54="keep",JD54,0))</f>
        <v>0</v>
      </c>
      <c r="AJ54" s="5">
        <f>SUM(IF(BM54="lease",BX54,0),IF(CH54="lease",CS54,0),IF(DC54="lease",DN54,0),IF(DX54="lease",EI54,0),IF(ES54="lease",FD54,0),IF(FN54="lease",FY54,0),IF(GI54="lease",GT54,0),IF(HD54="lease",HO54,0),IF(HY54="lease",IJ54,0),IF(IT54="lease",JE54,0))</f>
        <v>0</v>
      </c>
      <c r="AK54" s="5">
        <f>SUM(IF(BM54="keep",BX54,0),IF(CH54="keep",CS54,0),IF(DC54="keep",DN54,0),IF(DX54="keep",EI54,0),IF(ES54="keep",FD54,0),IF(FN54="keep",FY54,0),IF(GI54="keep",GT54,0),IF(HD54="keep",HO54,0),IF(HY54="keep",IJ54,0),IF(IT54="keep",JE54,0))</f>
        <v>0</v>
      </c>
      <c r="AL54" s="5">
        <f>R54-S53</f>
        <v>0</v>
      </c>
      <c r="AM54" s="5">
        <f>T54-U53</f>
        <v>0</v>
      </c>
      <c r="AN54" s="5">
        <f>AN53</f>
        <v>1</v>
      </c>
      <c r="AO54" s="5">
        <f>AO53+AH54</f>
        <v>0.19844335685024542</v>
      </c>
      <c r="AP54" s="5">
        <f>AP53+AL54</f>
        <v>-6.661338147750939e-16</v>
      </c>
      <c r="AQ54" s="5">
        <f>AN54+AO54+AP54</f>
        <v>1.1984433568502448</v>
      </c>
      <c r="AR54" s="5">
        <f>S54-AQ54</f>
        <v>2.220446049250313e-16</v>
      </c>
      <c r="AS54" s="5">
        <f>AS53</f>
        <v>0</v>
      </c>
      <c r="AT54" s="5">
        <f>AT53+AI54</f>
        <v>0</v>
      </c>
      <c r="AU54" s="5">
        <f>AU53+AM54</f>
        <v>0</v>
      </c>
      <c r="AV54" s="5">
        <f>AS54+AT54+AU54</f>
        <v>0</v>
      </c>
      <c r="AW54" s="5">
        <f>U54-AV54</f>
        <v>0</v>
      </c>
      <c r="AX54" s="4">
        <v>1.2011655522856337</v>
      </c>
      <c r="AY54" s="4">
        <v>1.198443356850245</v>
      </c>
      <c r="AZ54" s="5">
        <f>S54-AY54</f>
        <v>0</v>
      </c>
      <c r="BA54" s="4">
        <v>0</v>
      </c>
      <c r="BB54" s="4">
        <v>0</v>
      </c>
      <c r="BC54" s="5">
        <f>U54-BB54</f>
        <v>0</v>
      </c>
      <c r="BD54" s="7">
        <f>SUM(IF(BL54="direct",CE54,0),IF(CG54="direct",CZ54,0),IF(DB54="direct",DU54,0),IF(DW54="direct",EP54,0),IF(ER54="direct",FK54,0),IF(FM54="direct",GF54,0),IF(GH54="direct",HA54,0),IF(HC54="direct",HV54,0),IF(HX54="direct",IQ54,0),IF(IS54="direct",JL54,0))</f>
        <v>-0.0040868117618407685</v>
      </c>
      <c r="BE54" s="7">
        <f>SUM(IF(BL54="treasury",CE54,0),IF(CG54="treasury",CZ54,0),IF(DB54="treasury",DU54,0),IF(DW54="treasury",EP54,0),IF(ER54="treasury",FK54,0),IF(FM54="treasury",GF54,0),IF(GH54="treasury",HA54,0),IF(HC54="treasury",HV54,0),IF(HX54="treasury",IQ54,0),IF(IS54="treasury",JL54,0))</f>
        <v>0.000053023986450143274</v>
      </c>
      <c r="BF54" s="7">
        <f>SUM(IF(BL54="future",CE54,0),IF(CG54="future",CZ54,0),IF(DB54="future",DU54,0),IF(DW54="future",EP54,0),IF(ER54="future",FK54,0),IF(FM54="future",GF54,0),IF(GH54="future",HA54,0),IF(HC54="future",HV54,0),IF(HX54="future",IQ54,0),IF(IS54="future",JL54,0))</f>
        <v>0.0017674928169573185</v>
      </c>
      <c r="BG54" s="7">
        <f>SUM(IF(BL54="cash",CE54,0),IF(CG54="cash",CZ54,0),IF(DB54="cash",DU54,0),IF(DW54="cash",EP54,0),IF(ER54="cash",FK54,0),IF(FM54="cash",GF54,0),IF(GH54="cash",HA54,0),IF(HC54="cash",HV54,0),IF(HX54="cash",IQ54,0),IF(IS54="cash",JL54,0))</f>
        <v>0</v>
      </c>
      <c r="BH54" s="7">
        <f>SUM(BD54:BG54)</f>
        <v>-0.002266294958433307</v>
      </c>
      <c r="BI54" s="7">
        <f>G54-BH54</f>
        <v>0</v>
      </c>
      <c r="BJ54" s="9">
        <f>COUNTA(BK54,CF54,DA54,DV54,EQ54,FL54,GG54,HB54,HW54,IR54)</f>
        <v>6</v>
      </c>
      <c r="BK54" t="inlineStr">
        <is>
          <t xml:space="preserve">Direct commodity holding</t>
        </is>
      </c>
      <c r="BL54" t="inlineStr">
        <is>
          <t xml:space="preserve">direct</t>
        </is>
      </c>
      <c r="BM54" t="inlineStr">
        <is>
          <t xml:space="preserve">lease</t>
        </is>
      </c>
      <c r="BN54" t="inlineStr">
        <is>
          <t xml:space="preserve">long</t>
        </is>
      </c>
      <c r="BO54"/>
      <c r="BP54" s="4">
        <v>1.824</v>
      </c>
      <c r="BQ54" s="4">
        <v>1.813</v>
      </c>
      <c r="BR54" s="4">
        <v>0.44576077731258573</v>
      </c>
      <c r="BS54" s="6">
        <v>0.6768989139515476</v>
      </c>
      <c r="BT54" s="4">
        <v>0.8130676578181564</v>
      </c>
      <c r="BU54" s="4">
        <v>0.8130676578181564</v>
      </c>
      <c r="BV54" s="4">
        <v>0.8081642892677179</v>
      </c>
      <c r="BW54" s="4">
        <v>-0.00490893750699889</v>
      </c>
      <c r="BX54" s="4">
        <v>0.000005568956560398665</v>
      </c>
      <c r="BY54" s="4">
        <v>1.824</v>
      </c>
      <c r="BZ54" s="4">
        <v>1.813</v>
      </c>
      <c r="CA54" s="6"/>
      <c r="CB54" s="6"/>
      <c r="CC54" s="6"/>
      <c r="CD54" s="9"/>
      <c r="CE54" s="7">
        <f>IFERROR(BW54/F54,0)</f>
        <v>-0.0040868117618407685</v>
      </c>
      <c r="CF54" t="inlineStr">
        <is>
          <t xml:space="preserve">Treasury collateral</t>
        </is>
      </c>
      <c r="CG54" t="inlineStr">
        <is>
          <t xml:space="preserve">treasury</t>
        </is>
      </c>
      <c r="CH54" t="inlineStr">
        <is>
          <t xml:space="preserve">lease</t>
        </is>
      </c>
      <c r="CI54" t="inlineStr">
        <is>
          <t xml:space="preserve">long</t>
        </is>
      </c>
      <c r="CJ54"/>
      <c r="CK54" s="4">
        <v>101.28087409273603</v>
      </c>
      <c r="CL54" s="4">
        <v>101.2974952553611</v>
      </c>
      <c r="CM54" s="4">
        <v>0.003831897166607413</v>
      </c>
      <c r="CN54" s="6">
        <v>0.32310108604845234</v>
      </c>
      <c r="CO54" s="4">
        <v>0.38809789446747733</v>
      </c>
      <c r="CP54" s="4">
        <v>0.38809789446747733</v>
      </c>
      <c r="CQ54" s="4">
        <v>0.38816158505344606</v>
      </c>
      <c r="CR54" s="4">
        <v>0.0000636905859687723</v>
      </c>
      <c r="CS54" s="4">
        <v>-4.9182121049373695e-17</v>
      </c>
      <c r="CT54" s="4">
        <v>1.824</v>
      </c>
      <c r="CU54" s="4">
        <v>1.813</v>
      </c>
      <c r="CV54" s="6"/>
      <c r="CW54" s="6"/>
      <c r="CX54" s="6"/>
      <c r="CY54" s="9">
        <v>70</v>
      </c>
      <c r="CZ54" s="7">
        <f>IFERROR(CR54/F54,0)</f>
        <v>0.000053023986450143274</v>
      </c>
      <c r="DA54" t="inlineStr">
        <is>
          <t xml:space="preserve">SI69K</t>
        </is>
      </c>
      <c r="DB54" t="inlineStr">
        <is>
          <t xml:space="preserve">future</t>
        </is>
      </c>
      <c r="DC54" t="inlineStr">
        <is>
          <t xml:space="preserve">lease</t>
        </is>
      </c>
      <c r="DD54" t="inlineStr">
        <is>
          <t xml:space="preserve">long</t>
        </is>
      </c>
      <c r="DE54" t="inlineStr">
        <is>
          <t xml:space="preserve">regular</t>
        </is>
      </c>
      <c r="DF54" s="4">
        <v>1.828</v>
      </c>
      <c r="DG54" s="4">
        <v>1.838</v>
      </c>
      <c r="DH54" s="4">
        <v>0.21216905215686532</v>
      </c>
      <c r="DI54" s="6">
        <v>0.32289056791941817</v>
      </c>
      <c r="DJ54" s="4">
        <v>0.38784502734274984</v>
      </c>
      <c r="DK54" s="4">
        <v>0</v>
      </c>
      <c r="DL54" s="4">
        <v>0</v>
      </c>
      <c r="DM54" s="4">
        <v>0.0021216905215686215</v>
      </c>
      <c r="DN54" s="4">
        <v>-0.0021216905215686215</v>
      </c>
      <c r="DO54" s="4">
        <v>1.824</v>
      </c>
      <c r="DP54" s="4">
        <v>1.813</v>
      </c>
      <c r="DQ54" s="6">
        <v>0.002192982456140413</v>
      </c>
      <c r="DR54" s="6">
        <v>0.0599</v>
      </c>
      <c r="DS54" s="6">
        <v>0.04846516290726785</v>
      </c>
      <c r="DT54" s="9">
        <v>70</v>
      </c>
      <c r="DU54" s="7">
        <f>IFERROR(DM54/F54,0)</f>
        <v>0.001766359780740773</v>
      </c>
      <c r="DV54" t="inlineStr">
        <is>
          <t xml:space="preserve">SI69N</t>
        </is>
      </c>
      <c r="DW54" t="inlineStr">
        <is>
          <t xml:space="preserve">future</t>
        </is>
      </c>
      <c r="DX54" t="inlineStr">
        <is>
          <t xml:space="preserve">lease</t>
        </is>
      </c>
      <c r="DY54" t="inlineStr">
        <is>
          <t xml:space="preserve">long</t>
        </is>
      </c>
      <c r="DZ54" t="inlineStr">
        <is>
          <t xml:space="preserve">regular</t>
        </is>
      </c>
      <c r="EA54" s="4">
        <v>1.858</v>
      </c>
      <c r="EB54" s="4">
        <v>1.868</v>
      </c>
      <c r="EC54" s="4">
        <v>0.00013609640728066898</v>
      </c>
      <c r="ED54" s="6">
        <v>0.00021051812903418322</v>
      </c>
      <c r="EE54" s="4">
        <v>0.000252867124727483</v>
      </c>
      <c r="EF54" s="4">
        <v>0</v>
      </c>
      <c r="EG54" s="4">
        <v>0</v>
      </c>
      <c r="EH54" s="4">
        <v>0.0000013609640728066973</v>
      </c>
      <c r="EI54" s="4">
        <v>-0.0000013609640728066973</v>
      </c>
      <c r="EJ54" s="4">
        <v>1.824</v>
      </c>
      <c r="EK54" s="4">
        <v>1.813</v>
      </c>
      <c r="EL54" s="6">
        <v>0.018640350877193068</v>
      </c>
      <c r="EM54" s="6">
        <v>0.060620879120879136</v>
      </c>
      <c r="EN54" s="6">
        <v>0.009077484649852828</v>
      </c>
      <c r="EO54" s="9">
        <v>132</v>
      </c>
      <c r="EP54" s="7">
        <f>IFERROR(EH54/F54,0)</f>
        <v>0.000001133036216545664</v>
      </c>
      <c r="EQ54" t="inlineStr">
        <is>
          <t xml:space="preserve">Lease cash / margin / financing</t>
        </is>
      </c>
      <c r="ER54" t="inlineStr">
        <is>
          <t xml:space="preserve">cash</t>
        </is>
      </c>
      <c r="ES54" t="inlineStr">
        <is>
          <t xml:space="preserve">lease</t>
        </is>
      </c>
      <c r="ET54" t="inlineStr">
        <is>
          <t xml:space="preserve">cash</t>
        </is>
      </c>
      <c r="EU54"/>
      <c r="EV54" s="4">
        <v>1</v>
      </c>
      <c r="EW54" s="4">
        <v>1</v>
      </c>
      <c r="EX54" s="4">
        <v>0</v>
      </c>
      <c r="EY54" s="6"/>
      <c r="EZ54" s="4">
        <v>0</v>
      </c>
      <c r="FA54" s="4">
        <v>0</v>
      </c>
      <c r="FB54" s="4">
        <v>0.0021174825290810784</v>
      </c>
      <c r="FC54" s="4">
        <v>0</v>
      </c>
      <c r="FD54" s="4">
        <v>0.0021174825290810784</v>
      </c>
      <c r="FE54" s="4">
        <v>1.824</v>
      </c>
      <c r="FF54" s="4">
        <v>1.813</v>
      </c>
      <c r="FG54" s="6"/>
      <c r="FH54" s="6"/>
      <c r="FI54" s="6"/>
      <c r="FJ54" s="9"/>
      <c r="FK54" s="7">
        <f>IFERROR(FC54/F54,0)</f>
        <v>0</v>
      </c>
      <c r="FL54" t="inlineStr">
        <is>
          <t xml:space="preserve">Keep cash / margin / financing</t>
        </is>
      </c>
      <c r="FM54" t="inlineStr">
        <is>
          <t xml:space="preserve">cash</t>
        </is>
      </c>
      <c r="FN54" t="inlineStr">
        <is>
          <t xml:space="preserve">keep</t>
        </is>
      </c>
      <c r="FO54" t="inlineStr">
        <is>
          <t xml:space="preserve">cash</t>
        </is>
      </c>
      <c r="FP54"/>
      <c r="FQ54" s="4">
        <v>1</v>
      </c>
      <c r="FR54" s="4">
        <v>1</v>
      </c>
      <c r="FS54" s="4">
        <v>0</v>
      </c>
      <c r="FT54" s="6"/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1.824</v>
      </c>
      <c r="GA54" s="4">
        <v>1.813</v>
      </c>
      <c r="GB54" s="6"/>
      <c r="GC54" s="6"/>
      <c r="GD54" s="6"/>
      <c r="GE54" s="9"/>
      <c r="GF54" s="7">
        <f>IFERROR(FX54/F54,0)</f>
        <v>0</v>
      </c>
      <c r="GG54"/>
      <c r="GH54"/>
      <c r="GI54"/>
      <c r="GJ54"/>
      <c r="GK54"/>
      <c r="GL54" s="4"/>
      <c r="GM54" s="4"/>
      <c r="GN54" s="4"/>
      <c r="GO54" s="6"/>
      <c r="GP54" s="4"/>
      <c r="GQ54" s="4"/>
      <c r="GR54" s="4"/>
      <c r="GS54" s="4"/>
      <c r="GT54" s="4"/>
      <c r="GU54" s="4"/>
      <c r="GV54" s="4"/>
      <c r="GW54" s="6"/>
      <c r="GX54" s="6"/>
      <c r="GY54" s="6"/>
      <c r="GZ54" s="9"/>
      <c r="HA54"/>
      <c r="HB54"/>
      <c r="HC54"/>
      <c r="HD54"/>
      <c r="HE54"/>
      <c r="HF54"/>
      <c r="HG54" s="4"/>
      <c r="HH54" s="4"/>
      <c r="HI54" s="4"/>
      <c r="HJ54" s="6"/>
      <c r="HK54" s="4"/>
      <c r="HL54" s="4"/>
      <c r="HM54" s="4"/>
      <c r="HN54" s="4"/>
      <c r="HO54" s="4"/>
      <c r="HP54" s="4"/>
      <c r="HQ54" s="4"/>
      <c r="HR54" s="6"/>
      <c r="HS54" s="6"/>
      <c r="HT54" s="6"/>
      <c r="HU54" s="9"/>
      <c r="HV54"/>
      <c r="HW54"/>
      <c r="HX54"/>
      <c r="HY54"/>
      <c r="HZ54"/>
      <c r="IA54"/>
      <c r="IB54" s="4"/>
      <c r="IC54" s="4"/>
      <c r="ID54" s="4"/>
      <c r="IE54" s="6"/>
      <c r="IF54" s="4"/>
      <c r="IG54" s="4"/>
      <c r="IH54" s="4"/>
      <c r="II54" s="4"/>
      <c r="IJ54" s="4"/>
      <c r="IK54" s="4"/>
      <c r="IL54" s="4"/>
      <c r="IM54" s="6"/>
      <c r="IN54" s="6"/>
      <c r="IO54" s="6"/>
      <c r="IP54" s="9"/>
      <c r="IQ54"/>
      <c r="IR54"/>
      <c r="IS54"/>
      <c r="IT54"/>
      <c r="IU54"/>
      <c r="IV54"/>
      <c r="IW54" s="4"/>
      <c r="IX54" s="4"/>
      <c r="IY54" s="4"/>
      <c r="IZ54" s="6"/>
      <c r="JA54" s="4"/>
      <c r="JB54" s="4"/>
      <c r="JC54" s="4"/>
      <c r="JD54" s="4"/>
      <c r="JE54" s="4"/>
      <c r="JF54" s="4"/>
      <c r="JG54" s="4"/>
      <c r="JH54" s="6"/>
      <c r="JI54" s="6"/>
      <c r="JJ54" s="6"/>
      <c r="JK54" s="9"/>
      <c r="JL54"/>
    </row>
    <row r="55">
      <c r="A55" s="8">
        <v>25282</v>
      </c>
      <c r="B55" s="8">
        <v>25283</v>
      </c>
      <c r="C55" s="9">
        <f>B55-A55</f>
        <v>1</v>
      </c>
      <c r="D55" s="8">
        <v>25282</v>
      </c>
      <c r="E55" t="inlineStr">
        <is>
          <t xml:space="preserve">neutral</t>
        </is>
      </c>
      <c r="F55" s="4">
        <v>1.198443356850245</v>
      </c>
      <c r="G55" s="6">
        <v>0.011024590287799627</v>
      </c>
      <c r="H55" s="7">
        <f>SUM(CE55,CZ55,DU55,EP55,FK55,GF55,HA55,HV55,IQ55,JL55)</f>
        <v>0.011024590287799627</v>
      </c>
      <c r="I55" s="7">
        <f>G55-H55</f>
        <v>0</v>
      </c>
      <c r="J55" s="5">
        <f>F55*(1+H55)</f>
        <v>1.2116557038426543</v>
      </c>
      <c r="K55" s="4">
        <v>1.2116557038426543</v>
      </c>
      <c r="L55" s="5">
        <f>K55-J55</f>
        <v>0</v>
      </c>
      <c r="M55" s="4">
        <v>1.813</v>
      </c>
      <c r="N55" s="4">
        <v>1.833</v>
      </c>
      <c r="O55" s="5">
        <f>M55/$M$3</f>
        <v>0.9259448416751788</v>
      </c>
      <c r="P55" s="5">
        <f>N55/$M$3</f>
        <v>0.9361593462717058</v>
      </c>
      <c r="Q55" s="7">
        <f>IFERROR(N55/M55-1,0)</f>
        <v>0.01103143960286812</v>
      </c>
      <c r="R55" s="5">
        <f>SUM(IF(BM55="lease",BU55,0),IF(CH55="lease",CP55,0),IF(DC55="lease",DK55,0),IF(DX55="lease",EF55,0),IF(ES55="lease",FA55,0),IF(FN55="lease",FV55,0),IF(GI55="lease",GQ55,0),IF(HD55="lease",HL55,0),IF(HY55="lease",IG55,0),IF(IT55="lease",JB55,0))</f>
        <v>1.198443356850245</v>
      </c>
      <c r="S55" s="5">
        <f>SUM(IF(BM55="lease",BV55,0),IF(CH55="lease",CQ55,0),IF(DC55="lease",DL55,0),IF(DX55="lease",EG55,0),IF(ES55="lease",FB55,0),IF(FN55="lease",FW55,0),IF(GI55="lease",GR55,0),IF(HD55="lease",HM55,0),IF(HY55="lease",IH55,0),IF(IT55="lease",JC55,0))</f>
        <v>1.2116557038426543</v>
      </c>
      <c r="T55" s="5">
        <f>SUM(IF(BM55="keep",BU55,0),IF(CH55="keep",CP55,0),IF(DC55="keep",DK55,0),IF(DX55="keep",EF55,0),IF(ES55="keep",FA55,0),IF(FN55="keep",FV55,0),IF(GI55="keep",GQ55,0),IF(HD55="keep",HL55,0),IF(HY55="keep",IG55,0),IF(IT55="keep",JB55,0))</f>
        <v>0</v>
      </c>
      <c r="U55" s="5">
        <f>SUM(IF(BM55="keep",BV55,0),IF(CH55="keep",CQ55,0),IF(DC55="keep",DL55,0),IF(DX55="keep",EG55,0),IF(ES55="keep",FB55,0),IF(FN55="keep",FW55,0),IF(GI55="keep",GR55,0),IF(HD55="keep",HM55,0),IF(HY55="keep",IH55,0),IF(IT55="keep",JC55,0))</f>
        <v>0</v>
      </c>
      <c r="V55" s="5">
        <f>R55/O55</f>
        <v>1.2942923842872476</v>
      </c>
      <c r="W55" s="5">
        <f>S55/P55</f>
        <v>1.2942836159977726</v>
      </c>
      <c r="X55" s="5">
        <f>T55/O55</f>
        <v>0</v>
      </c>
      <c r="Y55" s="5">
        <f>U55/P55</f>
        <v>0</v>
      </c>
      <c r="Z55" s="5">
        <f>V55+X55</f>
        <v>1.2942923842872476</v>
      </c>
      <c r="AA55" s="7">
        <f>IFERROR(W55/V55-1,0)</f>
        <v>-0.000006774581679858116</v>
      </c>
      <c r="AB55" s="7">
        <f>IFERROR((W55-V55)/Z55,0)</f>
        <v>-0.000006774581679830367</v>
      </c>
      <c r="AC55" s="7">
        <f>IFERROR(Y55/X55-1,0)</f>
        <v>0</v>
      </c>
      <c r="AD55" s="7">
        <f>IFERROR((Y55-X55)/Z55,0)</f>
        <v>0</v>
      </c>
      <c r="AE55" s="7">
        <f>AB55+AD55</f>
        <v>-0.000006774581679830367</v>
      </c>
      <c r="AF55" s="7">
        <f>(1+Q55)*(1+AE55)-1</f>
        <v>0.011024590287799674</v>
      </c>
      <c r="AG55" s="7">
        <f>G55-AF55</f>
        <v>-4.683753385137379e-17</v>
      </c>
      <c r="AH55" s="5">
        <f>SUM(IF(BM55="lease",BW55,0),IF(CH55="lease",CR55,0),IF(DC55="lease",DM55,0),IF(DX55="lease",EH55,0),IF(ES55="lease",FC55,0),IF(FN55="lease",FX55,0),IF(GI55="lease",GS55,0),IF(HD55="lease",HN55,0),IF(HY55="lease",II55,0),IF(IT55="lease",JD55,0))</f>
        <v>0.013212346992409195</v>
      </c>
      <c r="AI55" s="5">
        <f>SUM(IF(BM55="keep",BW55,0),IF(CH55="keep",CR55,0),IF(DC55="keep",DM55,0),IF(DX55="keep",EH55,0),IF(ES55="keep",FC55,0),IF(FN55="keep",FX55,0),IF(GI55="keep",GS55,0),IF(HD55="keep",HN55,0),IF(HY55="keep",II55,0),IF(IT55="keep",JD55,0))</f>
        <v>0</v>
      </c>
      <c r="AJ55" s="5">
        <f>SUM(IF(BM55="lease",BX55,0),IF(CH55="lease",CS55,0),IF(DC55="lease",DN55,0),IF(DX55="lease",EI55,0),IF(ES55="lease",FD55,0),IF(FN55="lease",FY55,0),IF(GI55="lease",GT55,0),IF(HD55="lease",HO55,0),IF(HY55="lease",IJ55,0),IF(IT55="lease",JE55,0))</f>
        <v>0</v>
      </c>
      <c r="AK55" s="5">
        <f>SUM(IF(BM55="keep",BX55,0),IF(CH55="keep",CS55,0),IF(DC55="keep",DN55,0),IF(DX55="keep",EI55,0),IF(ES55="keep",FD55,0),IF(FN55="keep",FY55,0),IF(GI55="keep",GT55,0),IF(HD55="keep",HO55,0),IF(HY55="keep",IJ55,0),IF(IT55="keep",JE55,0))</f>
        <v>0</v>
      </c>
      <c r="AL55" s="5">
        <f>R55-S54</f>
        <v>0</v>
      </c>
      <c r="AM55" s="5">
        <f>T55-U54</f>
        <v>0</v>
      </c>
      <c r="AN55" s="5">
        <f>AN54</f>
        <v>1</v>
      </c>
      <c r="AO55" s="5">
        <f>AO54+AH55</f>
        <v>0.2116557038426546</v>
      </c>
      <c r="AP55" s="5">
        <f>AP54+AL55</f>
        <v>-6.661338147750939e-16</v>
      </c>
      <c r="AQ55" s="5">
        <f>AN55+AO55+AP55</f>
        <v>1.2116557038426539</v>
      </c>
      <c r="AR55" s="5">
        <f>S55-AQ55</f>
        <v>4.440892098500626e-16</v>
      </c>
      <c r="AS55" s="5">
        <f>AS54</f>
        <v>0</v>
      </c>
      <c r="AT55" s="5">
        <f>AT54+AI55</f>
        <v>0</v>
      </c>
      <c r="AU55" s="5">
        <f>AU54+AM55</f>
        <v>0</v>
      </c>
      <c r="AV55" s="5">
        <f>AS55+AT55+AU55</f>
        <v>0</v>
      </c>
      <c r="AW55" s="5">
        <f>U55-AV55</f>
        <v>0</v>
      </c>
      <c r="AX55" s="4">
        <v>1.198443356850245</v>
      </c>
      <c r="AY55" s="4">
        <v>1.2116557038426543</v>
      </c>
      <c r="AZ55" s="5">
        <f>S55-AY55</f>
        <v>0</v>
      </c>
      <c r="BA55" s="4">
        <v>0</v>
      </c>
      <c r="BB55" s="4">
        <v>0</v>
      </c>
      <c r="BC55" s="5">
        <f>U55-BB55</f>
        <v>0</v>
      </c>
      <c r="BD55" s="7">
        <f>SUM(IF(BL55="direct",CE55,0),IF(CG55="direct",CZ55,0),IF(DB55="direct",DU55,0),IF(DW55="direct",EP55,0),IF(ER55="direct",FK55,0),IF(FM55="direct",GF55,0),IF(GH55="direct",HA55,0),IF(HC55="direct",HV55,0),IF(HX55="direct",IQ55,0),IF(IS55="direct",JL55,0))</f>
        <v>0.011024590287799627</v>
      </c>
      <c r="BE55" s="7">
        <f>SUM(IF(BL55="treasury",CE55,0),IF(CG55="treasury",CZ55,0),IF(DB55="treasury",DU55,0),IF(DW55="treasury",EP55,0),IF(ER55="treasury",FK55,0),IF(FM55="treasury",GF55,0),IF(GH55="treasury",HA55,0),IF(HC55="treasury",HV55,0),IF(HX55="treasury",IQ55,0),IF(IS55="treasury",JL55,0))</f>
        <v>0</v>
      </c>
      <c r="BF55" s="7">
        <f>SUM(IF(BL55="future",CE55,0),IF(CG55="future",CZ55,0),IF(DB55="future",DU55,0),IF(DW55="future",EP55,0),IF(ER55="future",FK55,0),IF(FM55="future",GF55,0),IF(GH55="future",HA55,0),IF(HC55="future",HV55,0),IF(HX55="future",IQ55,0),IF(IS55="future",JL55,0))</f>
        <v>0</v>
      </c>
      <c r="BG55" s="7">
        <f>SUM(IF(BL55="cash",CE55,0),IF(CG55="cash",CZ55,0),IF(DB55="cash",DU55,0),IF(DW55="cash",EP55,0),IF(ER55="cash",FK55,0),IF(FM55="cash",GF55,0),IF(GH55="cash",HA55,0),IF(HC55="cash",HV55,0),IF(HX55="cash",IQ55,0),IF(IS55="cash",JL55,0))</f>
        <v>0</v>
      </c>
      <c r="BH55" s="7">
        <f>SUM(BD55:BG55)</f>
        <v>0.011024590287799627</v>
      </c>
      <c r="BI55" s="7">
        <f>G55-BH55</f>
        <v>0</v>
      </c>
      <c r="BJ55" s="9">
        <f>COUNTA(BK55,CF55,DA55,DV55,EQ55,FL55,GG55,HB55,HW55,IR55)</f>
        <v>3</v>
      </c>
      <c r="BK55" t="inlineStr">
        <is>
          <t xml:space="preserve">Direct commodity holding</t>
        </is>
      </c>
      <c r="BL55" t="inlineStr">
        <is>
          <t xml:space="preserve">direct</t>
        </is>
      </c>
      <c r="BM55" t="inlineStr">
        <is>
          <t xml:space="preserve">lease</t>
        </is>
      </c>
      <c r="BN55" t="inlineStr">
        <is>
          <t xml:space="preserve">long</t>
        </is>
      </c>
      <c r="BO55"/>
      <c r="BP55" s="4">
        <v>1.813</v>
      </c>
      <c r="BQ55" s="4">
        <v>1.833</v>
      </c>
      <c r="BR55" s="4">
        <v>0.6610277754276035</v>
      </c>
      <c r="BS55" s="6">
        <v>1</v>
      </c>
      <c r="BT55" s="4">
        <v>1.198443356850245</v>
      </c>
      <c r="BU55" s="4">
        <v>1.198443356850245</v>
      </c>
      <c r="BV55" s="4">
        <v>1.2116639123587971</v>
      </c>
      <c r="BW55" s="4">
        <v>0.013212346992409195</v>
      </c>
      <c r="BX55" s="4">
        <v>0.000008208516142861957</v>
      </c>
      <c r="BY55" s="4">
        <v>1.813</v>
      </c>
      <c r="BZ55" s="4">
        <v>1.833</v>
      </c>
      <c r="CA55" s="6"/>
      <c r="CB55" s="6"/>
      <c r="CC55" s="6"/>
      <c r="CD55" s="9"/>
      <c r="CE55" s="7">
        <f>IFERROR(BW55/F55,0)</f>
        <v>0.011024590287799627</v>
      </c>
      <c r="CF55" t="inlineStr">
        <is>
          <t xml:space="preserve">Lease cash / margin / financing</t>
        </is>
      </c>
      <c r="CG55" t="inlineStr">
        <is>
          <t xml:space="preserve">cash</t>
        </is>
      </c>
      <c r="CH55" t="inlineStr">
        <is>
          <t xml:space="preserve">lease</t>
        </is>
      </c>
      <c r="CI55" t="inlineStr">
        <is>
          <t xml:space="preserve">cash</t>
        </is>
      </c>
      <c r="CJ55"/>
      <c r="CK55" s="4">
        <v>1</v>
      </c>
      <c r="CL55" s="4">
        <v>1</v>
      </c>
      <c r="CM55" s="4">
        <v>0</v>
      </c>
      <c r="CN55" s="6"/>
      <c r="CO55" s="4">
        <v>0</v>
      </c>
      <c r="CP55" s="4">
        <v>0</v>
      </c>
      <c r="CQ55" s="4">
        <v>-0.000008208516142861957</v>
      </c>
      <c r="CR55" s="4">
        <v>0</v>
      </c>
      <c r="CS55" s="4">
        <v>-0.000008208516142861957</v>
      </c>
      <c r="CT55" s="4">
        <v>1.813</v>
      </c>
      <c r="CU55" s="4">
        <v>1.833</v>
      </c>
      <c r="CV55" s="6"/>
      <c r="CW55" s="6"/>
      <c r="CX55" s="6"/>
      <c r="CY55" s="9"/>
      <c r="CZ55" s="7">
        <f>IFERROR(CR55/F55,0)</f>
        <v>0</v>
      </c>
      <c r="DA55" t="inlineStr">
        <is>
          <t xml:space="preserve">Keep cash / margin / financing</t>
        </is>
      </c>
      <c r="DB55" t="inlineStr">
        <is>
          <t xml:space="preserve">cash</t>
        </is>
      </c>
      <c r="DC55" t="inlineStr">
        <is>
          <t xml:space="preserve">keep</t>
        </is>
      </c>
      <c r="DD55" t="inlineStr">
        <is>
          <t xml:space="preserve">cash</t>
        </is>
      </c>
      <c r="DE55"/>
      <c r="DF55" s="4">
        <v>1</v>
      </c>
      <c r="DG55" s="4">
        <v>1</v>
      </c>
      <c r="DH55" s="4">
        <v>0</v>
      </c>
      <c r="DI55" s="6"/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1.813</v>
      </c>
      <c r="DP55" s="4">
        <v>1.833</v>
      </c>
      <c r="DQ55" s="6"/>
      <c r="DR55" s="6"/>
      <c r="DS55" s="6"/>
      <c r="DT55" s="9"/>
      <c r="DU55" s="7">
        <f>IFERROR(DM55/F55,0)</f>
        <v>0</v>
      </c>
      <c r="DV55"/>
      <c r="DW55"/>
      <c r="DX55"/>
      <c r="DY55"/>
      <c r="DZ55"/>
      <c r="EA55" s="4"/>
      <c r="EB55" s="4"/>
      <c r="EC55" s="4"/>
      <c r="ED55" s="6"/>
      <c r="EE55" s="4"/>
      <c r="EF55" s="4"/>
      <c r="EG55" s="4"/>
      <c r="EH55" s="4"/>
      <c r="EI55" s="4"/>
      <c r="EJ55" s="4"/>
      <c r="EK55" s="4"/>
      <c r="EL55" s="6"/>
      <c r="EM55" s="6"/>
      <c r="EN55" s="6"/>
      <c r="EO55" s="9"/>
      <c r="EP55"/>
      <c r="EQ55"/>
      <c r="ER55"/>
      <c r="ES55"/>
      <c r="ET55"/>
      <c r="EU55"/>
      <c r="EV55" s="4"/>
      <c r="EW55" s="4"/>
      <c r="EX55" s="4"/>
      <c r="EY55" s="6"/>
      <c r="EZ55" s="4"/>
      <c r="FA55" s="4"/>
      <c r="FB55" s="4"/>
      <c r="FC55" s="4"/>
      <c r="FD55" s="4"/>
      <c r="FE55" s="4"/>
      <c r="FF55" s="4"/>
      <c r="FG55" s="6"/>
      <c r="FH55" s="6"/>
      <c r="FI55" s="6"/>
      <c r="FJ55" s="9"/>
      <c r="FK55"/>
      <c r="FL55"/>
      <c r="FM55"/>
      <c r="FN55"/>
      <c r="FO55"/>
      <c r="FP55"/>
      <c r="FQ55" s="4"/>
      <c r="FR55" s="4"/>
      <c r="FS55" s="4"/>
      <c r="FT55" s="6"/>
      <c r="FU55" s="4"/>
      <c r="FV55" s="4"/>
      <c r="FW55" s="4"/>
      <c r="FX55" s="4"/>
      <c r="FY55" s="4"/>
      <c r="FZ55" s="4"/>
      <c r="GA55" s="4"/>
      <c r="GB55" s="6"/>
      <c r="GC55" s="6"/>
      <c r="GD55" s="6"/>
      <c r="GE55" s="9"/>
      <c r="GF55"/>
      <c r="GG55"/>
      <c r="GH55"/>
      <c r="GI55"/>
      <c r="GJ55"/>
      <c r="GK55"/>
      <c r="GL55" s="4"/>
      <c r="GM55" s="4"/>
      <c r="GN55" s="4"/>
      <c r="GO55" s="6"/>
      <c r="GP55" s="4"/>
      <c r="GQ55" s="4"/>
      <c r="GR55" s="4"/>
      <c r="GS55" s="4"/>
      <c r="GT55" s="4"/>
      <c r="GU55" s="4"/>
      <c r="GV55" s="4"/>
      <c r="GW55" s="6"/>
      <c r="GX55" s="6"/>
      <c r="GY55" s="6"/>
      <c r="GZ55" s="9"/>
      <c r="HA55"/>
      <c r="HB55"/>
      <c r="HC55"/>
      <c r="HD55"/>
      <c r="HE55"/>
      <c r="HF55"/>
      <c r="HG55" s="4"/>
      <c r="HH55" s="4"/>
      <c r="HI55" s="4"/>
      <c r="HJ55" s="6"/>
      <c r="HK55" s="4"/>
      <c r="HL55" s="4"/>
      <c r="HM55" s="4"/>
      <c r="HN55" s="4"/>
      <c r="HO55" s="4"/>
      <c r="HP55" s="4"/>
      <c r="HQ55" s="4"/>
      <c r="HR55" s="6"/>
      <c r="HS55" s="6"/>
      <c r="HT55" s="6"/>
      <c r="HU55" s="9"/>
      <c r="HV55"/>
      <c r="HW55"/>
      <c r="HX55"/>
      <c r="HY55"/>
      <c r="HZ55"/>
      <c r="IA55"/>
      <c r="IB55" s="4"/>
      <c r="IC55" s="4"/>
      <c r="ID55" s="4"/>
      <c r="IE55" s="6"/>
      <c r="IF55" s="4"/>
      <c r="IG55" s="4"/>
      <c r="IH55" s="4"/>
      <c r="II55" s="4"/>
      <c r="IJ55" s="4"/>
      <c r="IK55" s="4"/>
      <c r="IL55" s="4"/>
      <c r="IM55" s="6"/>
      <c r="IN55" s="6"/>
      <c r="IO55" s="6"/>
      <c r="IP55" s="9"/>
      <c r="IQ55"/>
      <c r="IR55"/>
      <c r="IS55"/>
      <c r="IT55"/>
      <c r="IU55"/>
      <c r="IV55"/>
      <c r="IW55" s="4"/>
      <c r="IX55" s="4"/>
      <c r="IY55" s="4"/>
      <c r="IZ55" s="6"/>
      <c r="JA55" s="4"/>
      <c r="JB55" s="4"/>
      <c r="JC55" s="4"/>
      <c r="JD55" s="4"/>
      <c r="JE55" s="4"/>
      <c r="JF55" s="4"/>
      <c r="JG55" s="4"/>
      <c r="JH55" s="6"/>
      <c r="JI55" s="6"/>
      <c r="JJ55" s="6"/>
      <c r="JK55" s="9"/>
      <c r="JL55"/>
    </row>
    <row r="56">
      <c r="A56" s="8">
        <v>25283</v>
      </c>
      <c r="B56" s="8">
        <v>25286</v>
      </c>
      <c r="C56" s="9">
        <f>B56-A56</f>
        <v>3</v>
      </c>
      <c r="D56" s="8">
        <v>25283</v>
      </c>
      <c r="E56" t="inlineStr">
        <is>
          <t xml:space="preserve">positive</t>
        </is>
      </c>
      <c r="F56" s="4">
        <v>1.2116557038426543</v>
      </c>
      <c r="G56" s="6">
        <v>0.006204634753119233</v>
      </c>
      <c r="H56" s="7">
        <f>SUM(CE56,CZ56,DU56,EP56,FK56,GF56,HA56,HV56,IQ56,JL56)</f>
        <v>0.006204634753119233</v>
      </c>
      <c r="I56" s="7">
        <f>G56-H56</f>
        <v>0</v>
      </c>
      <c r="J56" s="5">
        <f>F56*(1+H56)</f>
        <v>1.2191735849315317</v>
      </c>
      <c r="K56" s="4">
        <v>1.2191735849315317</v>
      </c>
      <c r="L56" s="5">
        <f>K56-J56</f>
        <v>0</v>
      </c>
      <c r="M56" s="4">
        <v>1.833</v>
      </c>
      <c r="N56" s="4">
        <v>1.846</v>
      </c>
      <c r="O56" s="5">
        <f>M56/$M$3</f>
        <v>0.9361593462717058</v>
      </c>
      <c r="P56" s="5">
        <f>N56/$M$3</f>
        <v>0.9427987742594485</v>
      </c>
      <c r="Q56" s="7">
        <f>IFERROR(N56/M56-1,0)</f>
        <v>0.007092198581560405</v>
      </c>
      <c r="R56" s="5">
        <f>SUM(IF(BM56="lease",BU56,0),IF(CH56="lease",CP56,0),IF(DC56="lease",DK56,0),IF(DX56="lease",EF56,0),IF(ES56="lease",FA56,0),IF(FN56="lease",FV56,0),IF(GI56="lease",GQ56,0),IF(HD56="lease",HL56,0),IF(HY56="lease",IG56,0),IF(IT56="lease",JB56,0))</f>
        <v>1.2116557038426543</v>
      </c>
      <c r="S56" s="5">
        <f>SUM(IF(BM56="lease",BV56,0),IF(CH56="lease",CQ56,0),IF(DC56="lease",DL56,0),IF(DX56="lease",EG56,0),IF(ES56="lease",FB56,0),IF(FN56="lease",FW56,0),IF(GI56="lease",GR56,0),IF(HD56="lease",HM56,0),IF(HY56="lease",IH56,0),IF(IT56="lease",JC56,0))</f>
        <v>1.2191735849315315</v>
      </c>
      <c r="T56" s="5">
        <f>SUM(IF(BM56="keep",BU56,0),IF(CH56="keep",CP56,0),IF(DC56="keep",DK56,0),IF(DX56="keep",EF56,0),IF(ES56="keep",FA56,0),IF(FN56="keep",FV56,0),IF(GI56="keep",GQ56,0),IF(HD56="keep",HL56,0),IF(HY56="keep",IG56,0),IF(IT56="keep",JB56,0))</f>
        <v>0</v>
      </c>
      <c r="U56" s="5">
        <f>SUM(IF(BM56="keep",BV56,0),IF(CH56="keep",CQ56,0),IF(DC56="keep",DL56,0),IF(DX56="keep",EG56,0),IF(ES56="keep",FB56,0),IF(FN56="keep",FW56,0),IF(GI56="keep",GR56,0),IF(HD56="keep",HM56,0),IF(HY56="keep",IH56,0),IF(IT56="keep",JC56,0))</f>
        <v>0</v>
      </c>
      <c r="V56" s="5">
        <f>R56/O56</f>
        <v>1.2942836159977726</v>
      </c>
      <c r="W56" s="5">
        <f>S56/P56</f>
        <v>1.2931429465308444</v>
      </c>
      <c r="X56" s="5">
        <f>T56/O56</f>
        <v>0</v>
      </c>
      <c r="Y56" s="5">
        <f>U56/P56</f>
        <v>0</v>
      </c>
      <c r="Z56" s="5">
        <f>V56+X56</f>
        <v>1.2942836159977726</v>
      </c>
      <c r="AA56" s="7">
        <f>IFERROR(W56/V56-1,0)</f>
        <v>-0.0008813133789450367</v>
      </c>
      <c r="AB56" s="7">
        <f>IFERROR((W56-V56)/Z56,0)</f>
        <v>-0.0008813133789450827</v>
      </c>
      <c r="AC56" s="7">
        <f>IFERROR(Y56/X56-1,0)</f>
        <v>0</v>
      </c>
      <c r="AD56" s="7">
        <f>IFERROR((Y56-X56)/Z56,0)</f>
        <v>0</v>
      </c>
      <c r="AE56" s="7">
        <f>AB56+AD56</f>
        <v>-0.0008813133789450827</v>
      </c>
      <c r="AF56" s="7">
        <f>(1+Q56)*(1+AE56)-1</f>
        <v>0.006204634753119276</v>
      </c>
      <c r="AG56" s="7">
        <f>G56-AF56</f>
        <v>-4.2500725161431774e-17</v>
      </c>
      <c r="AH56" s="5">
        <f>SUM(IF(BM56="lease",BW56,0),IF(CH56="lease",CR56,0),IF(DC56="lease",DM56,0),IF(DX56="lease",EH56,0),IF(ES56="lease",FC56,0),IF(FN56="lease",FX56,0),IF(GI56="lease",GS56,0),IF(HD56="lease",HN56,0),IF(HY56="lease",II56,0),IF(IT56="lease",JD56,0))</f>
        <v>0.0075178810888772785</v>
      </c>
      <c r="AI56" s="5">
        <f>SUM(IF(BM56="keep",BW56,0),IF(CH56="keep",CR56,0),IF(DC56="keep",DM56,0),IF(DX56="keep",EH56,0),IF(ES56="keep",FC56,0),IF(FN56="keep",FX56,0),IF(GI56="keep",GS56,0),IF(HD56="keep",HN56,0),IF(HY56="keep",II56,0),IF(IT56="keep",JD56,0))</f>
        <v>0</v>
      </c>
      <c r="AJ56" s="5">
        <f>SUM(IF(BM56="lease",BX56,0),IF(CH56="lease",CS56,0),IF(DC56="lease",DN56,0),IF(DX56="lease",EI56,0),IF(ES56="lease",FD56,0),IF(FN56="lease",FY56,0),IF(GI56="lease",GT56,0),IF(HD56="lease",HO56,0),IF(HY56="lease",IJ56,0),IF(IT56="lease",JE56,0))</f>
        <v>0</v>
      </c>
      <c r="AK56" s="5">
        <f>SUM(IF(BM56="keep",BX56,0),IF(CH56="keep",CS56,0),IF(DC56="keep",DN56,0),IF(DX56="keep",EI56,0),IF(ES56="keep",FD56,0),IF(FN56="keep",FY56,0),IF(GI56="keep",GT56,0),IF(HD56="keep",HO56,0),IF(HY56="keep",IJ56,0),IF(IT56="keep",JE56,0))</f>
        <v>0</v>
      </c>
      <c r="AL56" s="5">
        <f>R56-S55</f>
        <v>0</v>
      </c>
      <c r="AM56" s="5">
        <f>T56-U55</f>
        <v>0</v>
      </c>
      <c r="AN56" s="5">
        <f>AN55</f>
        <v>1</v>
      </c>
      <c r="AO56" s="5">
        <f>AO55+AH56</f>
        <v>0.21917358493153188</v>
      </c>
      <c r="AP56" s="5">
        <f>AP55+AL56</f>
        <v>-6.661338147750939e-16</v>
      </c>
      <c r="AQ56" s="5">
        <f>AN56+AO56+AP56</f>
        <v>1.2191735849315313</v>
      </c>
      <c r="AR56" s="5">
        <f>S56-AQ56</f>
        <v>2.220446049250313e-16</v>
      </c>
      <c r="AS56" s="5">
        <f>AS55</f>
        <v>0</v>
      </c>
      <c r="AT56" s="5">
        <f>AT55+AI56</f>
        <v>0</v>
      </c>
      <c r="AU56" s="5">
        <f>AU55+AM56</f>
        <v>0</v>
      </c>
      <c r="AV56" s="5">
        <f>AS56+AT56+AU56</f>
        <v>0</v>
      </c>
      <c r="AW56" s="5">
        <f>U56-AV56</f>
        <v>0</v>
      </c>
      <c r="AX56" s="4">
        <v>1.2116557038426543</v>
      </c>
      <c r="AY56" s="4">
        <v>1.2191735849315315</v>
      </c>
      <c r="AZ56" s="5">
        <f>S56-AY56</f>
        <v>0</v>
      </c>
      <c r="BA56" s="4">
        <v>0</v>
      </c>
      <c r="BB56" s="4">
        <v>0</v>
      </c>
      <c r="BC56" s="5">
        <f>U56-BB56</f>
        <v>0</v>
      </c>
      <c r="BD56" s="7">
        <f>SUM(IF(BL56="direct",CE56,0),IF(CG56="direct",CZ56,0),IF(DB56="direct",DU56,0),IF(DW56="direct",EP56,0),IF(ER56="direct",FK56,0),IF(FM56="direct",GF56,0),IF(GH56="direct",HA56,0),IF(HC56="direct",HV56,0),IF(HX56="direct",IQ56,0),IF(IS56="direct",JL56,0))</f>
        <v>0.006056558506406239</v>
      </c>
      <c r="BE56" s="7">
        <f>SUM(IF(BL56="treasury",CE56,0),IF(CG56="treasury",CZ56,0),IF(DB56="treasury",DU56,0),IF(DW56="treasury",EP56,0),IF(ER56="treasury",FK56,0),IF(FM56="treasury",GF56,0),IF(GH56="treasury",HA56,0),IF(HC56="treasury",HV56,0),IF(HX56="treasury",IQ56,0),IF(IS56="treasury",JL56,0))</f>
        <v>0.00007031683485635761</v>
      </c>
      <c r="BF56" s="7">
        <f>SUM(IF(BL56="future",CE56,0),IF(CG56="future",CZ56,0),IF(DB56="future",DU56,0),IF(DW56="future",EP56,0),IF(ER56="future",FK56,0),IF(FM56="future",GF56,0),IF(GH56="future",HA56,0),IF(HC56="future",HV56,0),IF(HX56="future",IQ56,0),IF(IS56="future",JL56,0))</f>
        <v>0.0000777594118566372</v>
      </c>
      <c r="BG56" s="7">
        <f>SUM(IF(BL56="cash",CE56,0),IF(CG56="cash",CZ56,0),IF(DB56="cash",DU56,0),IF(DW56="cash",EP56,0),IF(ER56="cash",FK56,0),IF(FM56="cash",GF56,0),IF(GH56="cash",HA56,0),IF(HC56="cash",HV56,0),IF(HX56="cash",IQ56,0),IF(IS56="cash",JL56,0))</f>
        <v>0</v>
      </c>
      <c r="BH56" s="7">
        <f>SUM(BD56:BG56)</f>
        <v>0.006204634753119234</v>
      </c>
      <c r="BI56" s="7">
        <f>G56-BH56</f>
        <v>-8.673617379884035e-19</v>
      </c>
      <c r="BJ56" s="9">
        <f>COUNTA(BK56,CF56,DA56,DV56,EQ56,FL56,GG56,HB56,HW56,IR56)</f>
        <v>5</v>
      </c>
      <c r="BK56" t="inlineStr">
        <is>
          <t xml:space="preserve">Direct commodity holding</t>
        </is>
      </c>
      <c r="BL56" t="inlineStr">
        <is>
          <t xml:space="preserve">direct</t>
        </is>
      </c>
      <c r="BM56" t="inlineStr">
        <is>
          <t xml:space="preserve">lease</t>
        </is>
      </c>
      <c r="BN56" t="inlineStr">
        <is>
          <t xml:space="preserve">long</t>
        </is>
      </c>
      <c r="BO56"/>
      <c r="BP56" s="4">
        <v>1.833</v>
      </c>
      <c r="BQ56" s="4">
        <v>1.846</v>
      </c>
      <c r="BR56" s="4">
        <v>0.5661374521608106</v>
      </c>
      <c r="BS56" s="6">
        <v>0.8564561257126928</v>
      </c>
      <c r="BT56" s="4">
        <v>1.0377299498107657</v>
      </c>
      <c r="BU56" s="4">
        <v>1.0377299498107657</v>
      </c>
      <c r="BV56" s="4">
        <v>1.0450897366888563</v>
      </c>
      <c r="BW56" s="4">
        <v>0.007338463659943867</v>
      </c>
      <c r="BX56" s="4">
        <v>0.000021323218146712675</v>
      </c>
      <c r="BY56" s="4">
        <v>1.833</v>
      </c>
      <c r="BZ56" s="4">
        <v>1.846</v>
      </c>
      <c r="CA56" s="6"/>
      <c r="CB56" s="6"/>
      <c r="CC56" s="6"/>
      <c r="CD56" s="9"/>
      <c r="CE56" s="7">
        <f>IFERROR(BW56/F56,0)</f>
        <v>0.006056558506406239</v>
      </c>
      <c r="CF56" t="inlineStr">
        <is>
          <t xml:space="preserve">Treasury collateral</t>
        </is>
      </c>
      <c r="CG56" t="inlineStr">
        <is>
          <t xml:space="preserve">treasury</t>
        </is>
      </c>
      <c r="CH56" t="inlineStr">
        <is>
          <t xml:space="preserve">lease</t>
        </is>
      </c>
      <c r="CI56" t="inlineStr">
        <is>
          <t xml:space="preserve">long</t>
        </is>
      </c>
      <c r="CJ56"/>
      <c r="CK56" s="4">
        <v>101.31411914567833</v>
      </c>
      <c r="CL56" s="4">
        <v>101.36374918541327</v>
      </c>
      <c r="CM56" s="4">
        <v>0.0017166980821478885</v>
      </c>
      <c r="CN56" s="6">
        <v>0.1435438742873072</v>
      </c>
      <c r="CO56" s="4">
        <v>0.17392575403188867</v>
      </c>
      <c r="CP56" s="4">
        <v>0.17392575403188867</v>
      </c>
      <c r="CQ56" s="4">
        <v>0.17401095382591855</v>
      </c>
      <c r="CR56" s="4">
        <v>0.00008519979402986768</v>
      </c>
      <c r="CS56" s="4">
        <v>9.974659986866641e-18</v>
      </c>
      <c r="CT56" s="4">
        <v>1.833</v>
      </c>
      <c r="CU56" s="4">
        <v>1.846</v>
      </c>
      <c r="CV56" s="6"/>
      <c r="CW56" s="6"/>
      <c r="CX56" s="6"/>
      <c r="CY56" s="9">
        <v>68</v>
      </c>
      <c r="CZ56" s="7">
        <f>IFERROR(CR56/F56,0)</f>
        <v>0.00007031683485635761</v>
      </c>
      <c r="DA56" t="inlineStr">
        <is>
          <t xml:space="preserve">SI69K</t>
        </is>
      </c>
      <c r="DB56" t="inlineStr">
        <is>
          <t xml:space="preserve">future</t>
        </is>
      </c>
      <c r="DC56" t="inlineStr">
        <is>
          <t xml:space="preserve">lease</t>
        </is>
      </c>
      <c r="DD56" t="inlineStr">
        <is>
          <t xml:space="preserve">long</t>
        </is>
      </c>
      <c r="DE56" t="inlineStr">
        <is>
          <t xml:space="preserve">regular</t>
        </is>
      </c>
      <c r="DF56" s="4">
        <v>1.8459999999999999</v>
      </c>
      <c r="DG56" s="4">
        <v>1.847</v>
      </c>
      <c r="DH56" s="4">
        <v>0.094217634903515</v>
      </c>
      <c r="DI56" s="6">
        <v>0.1435438742873072</v>
      </c>
      <c r="DJ56" s="4">
        <v>0.17392575403188867</v>
      </c>
      <c r="DK56" s="4">
        <v>0</v>
      </c>
      <c r="DL56" s="4">
        <v>0</v>
      </c>
      <c r="DM56" s="4">
        <v>0.00009421763490354458</v>
      </c>
      <c r="DN56" s="4">
        <v>-0.00009421763490354458</v>
      </c>
      <c r="DO56" s="4">
        <v>1.833</v>
      </c>
      <c r="DP56" s="4">
        <v>1.846</v>
      </c>
      <c r="DQ56" s="6">
        <v>0.007092198581560183</v>
      </c>
      <c r="DR56" s="6">
        <v>0.0596</v>
      </c>
      <c r="DS56" s="6">
        <v>0.021531581143096078</v>
      </c>
      <c r="DT56" s="9">
        <v>68</v>
      </c>
      <c r="DU56" s="7">
        <f>IFERROR(DM56/F56,0)</f>
        <v>0.0000777594118566372</v>
      </c>
      <c r="DV56" t="inlineStr">
        <is>
          <t xml:space="preserve">Lease cash / margin / financing</t>
        </is>
      </c>
      <c r="DW56" t="inlineStr">
        <is>
          <t xml:space="preserve">cash</t>
        </is>
      </c>
      <c r="DX56" t="inlineStr">
        <is>
          <t xml:space="preserve">lease</t>
        </is>
      </c>
      <c r="DY56" t="inlineStr">
        <is>
          <t xml:space="preserve">cash</t>
        </is>
      </c>
      <c r="DZ56"/>
      <c r="EA56" s="4">
        <v>1</v>
      </c>
      <c r="EB56" s="4">
        <v>1</v>
      </c>
      <c r="EC56" s="4">
        <v>0</v>
      </c>
      <c r="ED56" s="6"/>
      <c r="EE56" s="4">
        <v>0</v>
      </c>
      <c r="EF56" s="4">
        <v>0</v>
      </c>
      <c r="EG56" s="4">
        <v>0.00007289441675682193</v>
      </c>
      <c r="EH56" s="4">
        <v>0</v>
      </c>
      <c r="EI56" s="4">
        <v>0.00007289441675682193</v>
      </c>
      <c r="EJ56" s="4">
        <v>1.833</v>
      </c>
      <c r="EK56" s="4">
        <v>1.846</v>
      </c>
      <c r="EL56" s="6"/>
      <c r="EM56" s="6"/>
      <c r="EN56" s="6"/>
      <c r="EO56" s="9"/>
      <c r="EP56" s="7">
        <f>IFERROR(EH56/F56,0)</f>
        <v>0</v>
      </c>
      <c r="EQ56" t="inlineStr">
        <is>
          <t xml:space="preserve">Keep cash / margin / financing</t>
        </is>
      </c>
      <c r="ER56" t="inlineStr">
        <is>
          <t xml:space="preserve">cash</t>
        </is>
      </c>
      <c r="ES56" t="inlineStr">
        <is>
          <t xml:space="preserve">keep</t>
        </is>
      </c>
      <c r="ET56" t="inlineStr">
        <is>
          <t xml:space="preserve">cash</t>
        </is>
      </c>
      <c r="EU56"/>
      <c r="EV56" s="4">
        <v>1</v>
      </c>
      <c r="EW56" s="4">
        <v>1</v>
      </c>
      <c r="EX56" s="4">
        <v>0</v>
      </c>
      <c r="EY56" s="6"/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1.833</v>
      </c>
      <c r="FF56" s="4">
        <v>1.846</v>
      </c>
      <c r="FG56" s="6"/>
      <c r="FH56" s="6"/>
      <c r="FI56" s="6"/>
      <c r="FJ56" s="9"/>
      <c r="FK56" s="7">
        <f>IFERROR(FC56/F56,0)</f>
        <v>0</v>
      </c>
      <c r="FL56"/>
      <c r="FM56"/>
      <c r="FN56"/>
      <c r="FO56"/>
      <c r="FP56"/>
      <c r="FQ56" s="4"/>
      <c r="FR56" s="4"/>
      <c r="FS56" s="4"/>
      <c r="FT56" s="6"/>
      <c r="FU56" s="4"/>
      <c r="FV56" s="4"/>
      <c r="FW56" s="4"/>
      <c r="FX56" s="4"/>
      <c r="FY56" s="4"/>
      <c r="FZ56" s="4"/>
      <c r="GA56" s="4"/>
      <c r="GB56" s="6"/>
      <c r="GC56" s="6"/>
      <c r="GD56" s="6"/>
      <c r="GE56" s="9"/>
      <c r="GF56"/>
      <c r="GG56"/>
      <c r="GH56"/>
      <c r="GI56"/>
      <c r="GJ56"/>
      <c r="GK56"/>
      <c r="GL56" s="4"/>
      <c r="GM56" s="4"/>
      <c r="GN56" s="4"/>
      <c r="GO56" s="6"/>
      <c r="GP56" s="4"/>
      <c r="GQ56" s="4"/>
      <c r="GR56" s="4"/>
      <c r="GS56" s="4"/>
      <c r="GT56" s="4"/>
      <c r="GU56" s="4"/>
      <c r="GV56" s="4"/>
      <c r="GW56" s="6"/>
      <c r="GX56" s="6"/>
      <c r="GY56" s="6"/>
      <c r="GZ56" s="9"/>
      <c r="HA56"/>
      <c r="HB56"/>
      <c r="HC56"/>
      <c r="HD56"/>
      <c r="HE56"/>
      <c r="HF56"/>
      <c r="HG56" s="4"/>
      <c r="HH56" s="4"/>
      <c r="HI56" s="4"/>
      <c r="HJ56" s="6"/>
      <c r="HK56" s="4"/>
      <c r="HL56" s="4"/>
      <c r="HM56" s="4"/>
      <c r="HN56" s="4"/>
      <c r="HO56" s="4"/>
      <c r="HP56" s="4"/>
      <c r="HQ56" s="4"/>
      <c r="HR56" s="6"/>
      <c r="HS56" s="6"/>
      <c r="HT56" s="6"/>
      <c r="HU56" s="9"/>
      <c r="HV56"/>
      <c r="HW56"/>
      <c r="HX56"/>
      <c r="HY56"/>
      <c r="HZ56"/>
      <c r="IA56"/>
      <c r="IB56" s="4"/>
      <c r="IC56" s="4"/>
      <c r="ID56" s="4"/>
      <c r="IE56" s="6"/>
      <c r="IF56" s="4"/>
      <c r="IG56" s="4"/>
      <c r="IH56" s="4"/>
      <c r="II56" s="4"/>
      <c r="IJ56" s="4"/>
      <c r="IK56" s="4"/>
      <c r="IL56" s="4"/>
      <c r="IM56" s="6"/>
      <c r="IN56" s="6"/>
      <c r="IO56" s="6"/>
      <c r="IP56" s="9"/>
      <c r="IQ56"/>
      <c r="IR56"/>
      <c r="IS56"/>
      <c r="IT56"/>
      <c r="IU56"/>
      <c r="IV56"/>
      <c r="IW56" s="4"/>
      <c r="IX56" s="4"/>
      <c r="IY56" s="4"/>
      <c r="IZ56" s="6"/>
      <c r="JA56" s="4"/>
      <c r="JB56" s="4"/>
      <c r="JC56" s="4"/>
      <c r="JD56" s="4"/>
      <c r="JE56" s="4"/>
      <c r="JF56" s="4"/>
      <c r="JG56" s="4"/>
      <c r="JH56" s="6"/>
      <c r="JI56" s="6"/>
      <c r="JJ56" s="6"/>
      <c r="JK56" s="9"/>
      <c r="JL56"/>
    </row>
    <row r="57">
      <c r="A57" s="8">
        <v>25286</v>
      </c>
      <c r="B57" s="8">
        <v>25287</v>
      </c>
      <c r="C57" s="9">
        <f>B57-A57</f>
        <v>1</v>
      </c>
      <c r="D57" s="8">
        <v>25286</v>
      </c>
      <c r="E57" t="inlineStr">
        <is>
          <t xml:space="preserve">positive</t>
        </is>
      </c>
      <c r="F57" s="4">
        <v>1.2191735849315317</v>
      </c>
      <c r="G57" s="6">
        <v>-0.012180010344685466</v>
      </c>
      <c r="H57" s="7">
        <f>SUM(CE57,CZ57,DU57,EP57,FK57,GF57,HA57,HV57,IQ57,JL57)</f>
        <v>-0.012180010344685466</v>
      </c>
      <c r="I57" s="7">
        <f>G57-H57</f>
        <v>0</v>
      </c>
      <c r="J57" s="5">
        <f>F57*(1+H57)</f>
        <v>1.2043240380550984</v>
      </c>
      <c r="K57" s="4">
        <v>1.2043240380550984</v>
      </c>
      <c r="L57" s="5">
        <f>K57-J57</f>
        <v>0</v>
      </c>
      <c r="M57" s="4">
        <v>1.846</v>
      </c>
      <c r="N57" s="4">
        <v>1.832</v>
      </c>
      <c r="O57" s="5">
        <f>M57/$M$3</f>
        <v>0.9427987742594485</v>
      </c>
      <c r="P57" s="5">
        <f>N57/$M$3</f>
        <v>0.9356486210418795</v>
      </c>
      <c r="Q57" s="7">
        <f>IFERROR(N57/M57-1,0)</f>
        <v>-0.007583965330444253</v>
      </c>
      <c r="R57" s="5">
        <f>SUM(IF(BM57="lease",BU57,0),IF(CH57="lease",CP57,0),IF(DC57="lease",DK57,0),IF(DX57="lease",EF57,0),IF(ES57="lease",FA57,0),IF(FN57="lease",FV57,0),IF(GI57="lease",GQ57,0),IF(HD57="lease",HL57,0),IF(HY57="lease",IG57,0),IF(IT57="lease",JB57,0))</f>
        <v>1.2191735849315315</v>
      </c>
      <c r="S57" s="5">
        <f>SUM(IF(BM57="lease",BV57,0),IF(CH57="lease",CQ57,0),IF(DC57="lease",DL57,0),IF(DX57="lease",EG57,0),IF(ES57="lease",FB57,0),IF(FN57="lease",FW57,0),IF(GI57="lease",GR57,0),IF(HD57="lease",HM57,0),IF(HY57="lease",IH57,0),IF(IT57="lease",JC57,0))</f>
        <v>1.2043240380550981</v>
      </c>
      <c r="T57" s="5">
        <f>SUM(IF(BM57="keep",BU57,0),IF(CH57="keep",CP57,0),IF(DC57="keep",DK57,0),IF(DX57="keep",EF57,0),IF(ES57="keep",FA57,0),IF(FN57="keep",FV57,0),IF(GI57="keep",GQ57,0),IF(HD57="keep",HL57,0),IF(HY57="keep",IG57,0),IF(IT57="keep",JB57,0))</f>
        <v>0</v>
      </c>
      <c r="U57" s="5">
        <f>SUM(IF(BM57="keep",BV57,0),IF(CH57="keep",CQ57,0),IF(DC57="keep",DL57,0),IF(DX57="keep",EG57,0),IF(ES57="keep",FB57,0),IF(FN57="keep",FW57,0),IF(GI57="keep",GR57,0),IF(HD57="keep",HM57,0),IF(HY57="keep",IH57,0),IF(IT57="keep",JC57,0))</f>
        <v>0</v>
      </c>
      <c r="V57" s="5">
        <f>R57/O57</f>
        <v>1.2931429465308444</v>
      </c>
      <c r="W57" s="5">
        <f>S57/P57</f>
        <v>1.287154184777228</v>
      </c>
      <c r="X57" s="5">
        <f>T57/O57</f>
        <v>0</v>
      </c>
      <c r="Y57" s="5">
        <f>U57/P57</f>
        <v>0</v>
      </c>
      <c r="Z57" s="5">
        <f>V57+X57</f>
        <v>1.2931429465308444</v>
      </c>
      <c r="AA57" s="7">
        <f>IFERROR(W57/V57-1,0)</f>
        <v>-0.004631167628979083</v>
      </c>
      <c r="AB57" s="7">
        <f>IFERROR((W57-V57)/Z57,0)</f>
        <v>-0.004631167628979094</v>
      </c>
      <c r="AC57" s="7">
        <f>IFERROR(Y57/X57-1,0)</f>
        <v>0</v>
      </c>
      <c r="AD57" s="7">
        <f>IFERROR((Y57-X57)/Z57,0)</f>
        <v>0</v>
      </c>
      <c r="AE57" s="7">
        <f>AB57+AD57</f>
        <v>-0.004631167628979094</v>
      </c>
      <c r="AF57" s="7">
        <f>(1+Q57)*(1+AE57)-1</f>
        <v>-0.012180010344685632</v>
      </c>
      <c r="AG57" s="7">
        <f>G57-AF57</f>
        <v>1.6653345369377348e-16</v>
      </c>
      <c r="AH57" s="5">
        <f>SUM(IF(BM57="lease",BW57,0),IF(CH57="lease",CR57,0),IF(DC57="lease",DM57,0),IF(DX57="lease",EH57,0),IF(ES57="lease",FC57,0),IF(FN57="lease",FX57,0),IF(GI57="lease",GS57,0),IF(HD57="lease",HN57,0),IF(HY57="lease",II57,0),IF(IT57="lease",JD57,0))</f>
        <v>-0.01484954687643332</v>
      </c>
      <c r="AI57" s="5">
        <f>SUM(IF(BM57="keep",BW57,0),IF(CH57="keep",CR57,0),IF(DC57="keep",DM57,0),IF(DX57="keep",EH57,0),IF(ES57="keep",FC57,0),IF(FN57="keep",FX57,0),IF(GI57="keep",GS57,0),IF(HD57="keep",HN57,0),IF(HY57="keep",II57,0),IF(IT57="keep",JD57,0))</f>
        <v>0</v>
      </c>
      <c r="AJ57" s="5">
        <f>SUM(IF(BM57="lease",BX57,0),IF(CH57="lease",CS57,0),IF(DC57="lease",DN57,0),IF(DX57="lease",EI57,0),IF(ES57="lease",FD57,0),IF(FN57="lease",FY57,0),IF(GI57="lease",GT57,0),IF(HD57="lease",HO57,0),IF(HY57="lease",IJ57,0),IF(IT57="lease",JE57,0))</f>
        <v>0</v>
      </c>
      <c r="AK57" s="5">
        <f>SUM(IF(BM57="keep",BX57,0),IF(CH57="keep",CS57,0),IF(DC57="keep",DN57,0),IF(DX57="keep",EI57,0),IF(ES57="keep",FD57,0),IF(FN57="keep",FY57,0),IF(GI57="keep",GT57,0),IF(HD57="keep",HO57,0),IF(HY57="keep",IJ57,0),IF(IT57="keep",JE57,0))</f>
        <v>0</v>
      </c>
      <c r="AL57" s="5">
        <f>R57-S56</f>
        <v>0</v>
      </c>
      <c r="AM57" s="5">
        <f>T57-U56</f>
        <v>0</v>
      </c>
      <c r="AN57" s="5">
        <f>AN56</f>
        <v>1</v>
      </c>
      <c r="AO57" s="5">
        <f>AO56+AH57</f>
        <v>0.20432403805509858</v>
      </c>
      <c r="AP57" s="5">
        <f>AP56+AL57</f>
        <v>-6.661338147750939e-16</v>
      </c>
      <c r="AQ57" s="5">
        <f>AN57+AO57+AP57</f>
        <v>1.204324038055098</v>
      </c>
      <c r="AR57" s="5">
        <f>S57-AQ57</f>
        <v>2.220446049250313e-16</v>
      </c>
      <c r="AS57" s="5">
        <f>AS56</f>
        <v>0</v>
      </c>
      <c r="AT57" s="5">
        <f>AT56+AI57</f>
        <v>0</v>
      </c>
      <c r="AU57" s="5">
        <f>AU56+AM57</f>
        <v>0</v>
      </c>
      <c r="AV57" s="5">
        <f>AS57+AT57+AU57</f>
        <v>0</v>
      </c>
      <c r="AW57" s="5">
        <f>U57-AV57</f>
        <v>0</v>
      </c>
      <c r="AX57" s="4">
        <v>1.2191735849315315</v>
      </c>
      <c r="AY57" s="4">
        <v>1.2043240380550981</v>
      </c>
      <c r="AZ57" s="5">
        <f>S57-AY57</f>
        <v>0</v>
      </c>
      <c r="BA57" s="4">
        <v>0</v>
      </c>
      <c r="BB57" s="4">
        <v>0</v>
      </c>
      <c r="BC57" s="5">
        <f>U57-BB57</f>
        <v>0</v>
      </c>
      <c r="BD57" s="7">
        <f>SUM(IF(BL57="direct",CE57,0),IF(CG57="direct",CZ57,0),IF(DB57="direct",DU57,0),IF(DW57="direct",EP57,0),IF(ER57="direct",FK57,0),IF(FM57="direct",GF57,0),IF(GH57="direct",HA57,0),IF(HC57="direct",HV57,0),IF(HX57="direct",IQ57,0),IF(IS57="direct",JL57,0))</f>
        <v>-0.004753971355854774</v>
      </c>
      <c r="BE57" s="7">
        <f>SUM(IF(BL57="treasury",CE57,0),IF(CG57="treasury",CZ57,0),IF(DB57="treasury",DU57,0),IF(DW57="treasury",EP57,0),IF(ER57="treasury",FK57,0),IF(FM57="treasury",GF57,0),IF(GH57="treasury",HA57,0),IF(HC57="treasury",HV57,0),IF(HX57="treasury",IQ57,0),IF(IS57="treasury",JL57,0))</f>
        <v>0.00006051200947110921</v>
      </c>
      <c r="BF57" s="7">
        <f>SUM(IF(BL57="future",CE57,0),IF(CG57="future",CZ57,0),IF(DB57="future",DU57,0),IF(DW57="future",EP57,0),IF(ER57="future",FK57,0),IF(FM57="future",GF57,0),IF(GH57="future",HA57,0),IF(HC57="future",HV57,0),IF(HX57="future",IQ57,0),IF(IS57="future",JL57,0))</f>
        <v>-0.007486550998301801</v>
      </c>
      <c r="BG57" s="7">
        <f>SUM(IF(BL57="cash",CE57,0),IF(CG57="cash",CZ57,0),IF(DB57="cash",DU57,0),IF(DW57="cash",EP57,0),IF(ER57="cash",FK57,0),IF(FM57="cash",GF57,0),IF(GH57="cash",HA57,0),IF(HC57="cash",HV57,0),IF(HX57="cash",IQ57,0),IF(IS57="cash",JL57,0))</f>
        <v>0</v>
      </c>
      <c r="BH57" s="7">
        <f>SUM(BD57:BG57)</f>
        <v>-0.012180010344685466</v>
      </c>
      <c r="BI57" s="7">
        <f>G57-BH57</f>
        <v>0</v>
      </c>
      <c r="BJ57" s="9">
        <f>COUNTA(BK57,CF57,DA57,DV57,EQ57,FL57,GG57,HB57,HW57,IR57)</f>
        <v>5</v>
      </c>
      <c r="BK57" t="inlineStr">
        <is>
          <t xml:space="preserve">Direct commodity holding</t>
        </is>
      </c>
      <c r="BL57" t="inlineStr">
        <is>
          <t xml:space="preserve">direct</t>
        </is>
      </c>
      <c r="BM57" t="inlineStr">
        <is>
          <t xml:space="preserve">lease</t>
        </is>
      </c>
      <c r="BN57" t="inlineStr">
        <is>
          <t xml:space="preserve">long</t>
        </is>
      </c>
      <c r="BO57"/>
      <c r="BP57" s="4">
        <v>1.846</v>
      </c>
      <c r="BQ57" s="4">
        <v>1.832</v>
      </c>
      <c r="BR57" s="4">
        <v>0.41362046795534424</v>
      </c>
      <c r="BS57" s="6">
        <v>0.6262794677334202</v>
      </c>
      <c r="BT57" s="4">
        <v>0.7635433838455655</v>
      </c>
      <c r="BU57" s="4">
        <v>0.7635433838455655</v>
      </c>
      <c r="BV57" s="4">
        <v>0.7577526972941907</v>
      </c>
      <c r="BW57" s="4">
        <v>-0.005795916300579279</v>
      </c>
      <c r="BX57" s="4">
        <v>0.000005229749204455243</v>
      </c>
      <c r="BY57" s="4">
        <v>1.846</v>
      </c>
      <c r="BZ57" s="4">
        <v>1.832</v>
      </c>
      <c r="CA57" s="6"/>
      <c r="CB57" s="6"/>
      <c r="CC57" s="6"/>
      <c r="CD57" s="9"/>
      <c r="CE57" s="7">
        <f>IFERROR(BW57/F57,0)</f>
        <v>-0.004753971355854774</v>
      </c>
      <c r="CF57" t="inlineStr">
        <is>
          <t xml:space="preserve">Treasury collateral</t>
        </is>
      </c>
      <c r="CG57" t="inlineStr">
        <is>
          <t xml:space="preserve">treasury</t>
        </is>
      </c>
      <c r="CH57" t="inlineStr">
        <is>
          <t xml:space="preserve">lease</t>
        </is>
      </c>
      <c r="CI57" t="inlineStr">
        <is>
          <t xml:space="preserve">long</t>
        </is>
      </c>
      <c r="CJ57"/>
      <c r="CK57" s="4">
        <v>101.36374918541327</v>
      </c>
      <c r="CL57" s="4">
        <v>101.38016178151426</v>
      </c>
      <c r="CM57" s="4">
        <v>0.004495001464996458</v>
      </c>
      <c r="CN57" s="6">
        <v>0.37372053226657975</v>
      </c>
      <c r="CO57" s="4">
        <v>0.4556302010859662</v>
      </c>
      <c r="CP57" s="4">
        <v>0.4556302010859662</v>
      </c>
      <c r="CQ57" s="4">
        <v>0.45570397572948457</v>
      </c>
      <c r="CR57" s="4">
        <v>0.00007377464351830302</v>
      </c>
      <c r="CS57" s="4">
        <v>7.312943653414727e-17</v>
      </c>
      <c r="CT57" s="4">
        <v>1.846</v>
      </c>
      <c r="CU57" s="4">
        <v>1.832</v>
      </c>
      <c r="CV57" s="6"/>
      <c r="CW57" s="6"/>
      <c r="CX57" s="6"/>
      <c r="CY57" s="9">
        <v>65</v>
      </c>
      <c r="CZ57" s="7">
        <f>IFERROR(CR57/F57,0)</f>
        <v>0.00006051200947110921</v>
      </c>
      <c r="DA57" t="inlineStr">
        <is>
          <t xml:space="preserve">SI69K</t>
        </is>
      </c>
      <c r="DB57" t="inlineStr">
        <is>
          <t xml:space="preserve">future</t>
        </is>
      </c>
      <c r="DC57" t="inlineStr">
        <is>
          <t xml:space="preserve">lease</t>
        </is>
      </c>
      <c r="DD57" t="inlineStr">
        <is>
          <t xml:space="preserve">long</t>
        </is>
      </c>
      <c r="DE57" t="inlineStr">
        <is>
          <t xml:space="preserve">regular</t>
        </is>
      </c>
      <c r="DF57" s="4">
        <v>1.847</v>
      </c>
      <c r="DG57" s="4">
        <v>1.81</v>
      </c>
      <c r="DH57" s="4">
        <v>0.24668662755060433</v>
      </c>
      <c r="DI57" s="6">
        <v>0.37372053226657975</v>
      </c>
      <c r="DJ57" s="4">
        <v>0.4556302010859662</v>
      </c>
      <c r="DK57" s="4">
        <v>0</v>
      </c>
      <c r="DL57" s="4">
        <v>0</v>
      </c>
      <c r="DM57" s="4">
        <v>-0.009127405219372345</v>
      </c>
      <c r="DN57" s="4">
        <v>0.009127405219372345</v>
      </c>
      <c r="DO57" s="4">
        <v>1.846</v>
      </c>
      <c r="DP57" s="4">
        <v>1.832</v>
      </c>
      <c r="DQ57" s="6">
        <v>0.0005417118093173912</v>
      </c>
      <c r="DR57" s="6">
        <v>0.0591</v>
      </c>
      <c r="DS57" s="6">
        <v>0.056058079839986966</v>
      </c>
      <c r="DT57" s="9">
        <v>65</v>
      </c>
      <c r="DU57" s="7">
        <f>IFERROR(DM57/F57,0)</f>
        <v>-0.007486550998301801</v>
      </c>
      <c r="DV57" t="inlineStr">
        <is>
          <t xml:space="preserve">Lease cash / margin / financing</t>
        </is>
      </c>
      <c r="DW57" t="inlineStr">
        <is>
          <t xml:space="preserve">cash</t>
        </is>
      </c>
      <c r="DX57" t="inlineStr">
        <is>
          <t xml:space="preserve">lease</t>
        </is>
      </c>
      <c r="DY57" t="inlineStr">
        <is>
          <t xml:space="preserve">cash</t>
        </is>
      </c>
      <c r="DZ57"/>
      <c r="EA57" s="4">
        <v>1</v>
      </c>
      <c r="EB57" s="4">
        <v>1</v>
      </c>
      <c r="EC57" s="4">
        <v>-2.220446049250313e-16</v>
      </c>
      <c r="ED57" s="6"/>
      <c r="EE57" s="4">
        <v>-2.220446049250313e-16</v>
      </c>
      <c r="EF57" s="4">
        <v>-2.220446049250313e-16</v>
      </c>
      <c r="EG57" s="4">
        <v>-0.009132634968577096</v>
      </c>
      <c r="EH57" s="4">
        <v>0</v>
      </c>
      <c r="EI57" s="4">
        <v>-0.009132634968576874</v>
      </c>
      <c r="EJ57" s="4">
        <v>1.846</v>
      </c>
      <c r="EK57" s="4">
        <v>1.832</v>
      </c>
      <c r="EL57" s="6"/>
      <c r="EM57" s="6"/>
      <c r="EN57" s="6"/>
      <c r="EO57" s="9"/>
      <c r="EP57" s="7">
        <f>IFERROR(EH57/F57,0)</f>
        <v>0</v>
      </c>
      <c r="EQ57" t="inlineStr">
        <is>
          <t xml:space="preserve">Keep cash / margin / financing</t>
        </is>
      </c>
      <c r="ER57" t="inlineStr">
        <is>
          <t xml:space="preserve">cash</t>
        </is>
      </c>
      <c r="ES57" t="inlineStr">
        <is>
          <t xml:space="preserve">keep</t>
        </is>
      </c>
      <c r="ET57" t="inlineStr">
        <is>
          <t xml:space="preserve">cash</t>
        </is>
      </c>
      <c r="EU57"/>
      <c r="EV57" s="4">
        <v>1</v>
      </c>
      <c r="EW57" s="4">
        <v>1</v>
      </c>
      <c r="EX57" s="4">
        <v>0</v>
      </c>
      <c r="EY57" s="6"/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1.846</v>
      </c>
      <c r="FF57" s="4">
        <v>1.832</v>
      </c>
      <c r="FG57" s="6"/>
      <c r="FH57" s="6"/>
      <c r="FI57" s="6"/>
      <c r="FJ57" s="9"/>
      <c r="FK57" s="7">
        <f>IFERROR(FC57/F57,0)</f>
        <v>0</v>
      </c>
      <c r="FL57"/>
      <c r="FM57"/>
      <c r="FN57"/>
      <c r="FO57"/>
      <c r="FP57"/>
      <c r="FQ57" s="4"/>
      <c r="FR57" s="4"/>
      <c r="FS57" s="4"/>
      <c r="FT57" s="6"/>
      <c r="FU57" s="4"/>
      <c r="FV57" s="4"/>
      <c r="FW57" s="4"/>
      <c r="FX57" s="4"/>
      <c r="FY57" s="4"/>
      <c r="FZ57" s="4"/>
      <c r="GA57" s="4"/>
      <c r="GB57" s="6"/>
      <c r="GC57" s="6"/>
      <c r="GD57" s="6"/>
      <c r="GE57" s="9"/>
      <c r="GF57"/>
      <c r="GG57"/>
      <c r="GH57"/>
      <c r="GI57"/>
      <c r="GJ57"/>
      <c r="GK57"/>
      <c r="GL57" s="4"/>
      <c r="GM57" s="4"/>
      <c r="GN57" s="4"/>
      <c r="GO57" s="6"/>
      <c r="GP57" s="4"/>
      <c r="GQ57" s="4"/>
      <c r="GR57" s="4"/>
      <c r="GS57" s="4"/>
      <c r="GT57" s="4"/>
      <c r="GU57" s="4"/>
      <c r="GV57" s="4"/>
      <c r="GW57" s="6"/>
      <c r="GX57" s="6"/>
      <c r="GY57" s="6"/>
      <c r="GZ57" s="9"/>
      <c r="HA57"/>
      <c r="HB57"/>
      <c r="HC57"/>
      <c r="HD57"/>
      <c r="HE57"/>
      <c r="HF57"/>
      <c r="HG57" s="4"/>
      <c r="HH57" s="4"/>
      <c r="HI57" s="4"/>
      <c r="HJ57" s="6"/>
      <c r="HK57" s="4"/>
      <c r="HL57" s="4"/>
      <c r="HM57" s="4"/>
      <c r="HN57" s="4"/>
      <c r="HO57" s="4"/>
      <c r="HP57" s="4"/>
      <c r="HQ57" s="4"/>
      <c r="HR57" s="6"/>
      <c r="HS57" s="6"/>
      <c r="HT57" s="6"/>
      <c r="HU57" s="9"/>
      <c r="HV57"/>
      <c r="HW57"/>
      <c r="HX57"/>
      <c r="HY57"/>
      <c r="HZ57"/>
      <c r="IA57"/>
      <c r="IB57" s="4"/>
      <c r="IC57" s="4"/>
      <c r="ID57" s="4"/>
      <c r="IE57" s="6"/>
      <c r="IF57" s="4"/>
      <c r="IG57" s="4"/>
      <c r="IH57" s="4"/>
      <c r="II57" s="4"/>
      <c r="IJ57" s="4"/>
      <c r="IK57" s="4"/>
      <c r="IL57" s="4"/>
      <c r="IM57" s="6"/>
      <c r="IN57" s="6"/>
      <c r="IO57" s="6"/>
      <c r="IP57" s="9"/>
      <c r="IQ57"/>
      <c r="IR57"/>
      <c r="IS57"/>
      <c r="IT57"/>
      <c r="IU57"/>
      <c r="IV57"/>
      <c r="IW57" s="4"/>
      <c r="IX57" s="4"/>
      <c r="IY57" s="4"/>
      <c r="IZ57" s="6"/>
      <c r="JA57" s="4"/>
      <c r="JB57" s="4"/>
      <c r="JC57" s="4"/>
      <c r="JD57" s="4"/>
      <c r="JE57" s="4"/>
      <c r="JF57" s="4"/>
      <c r="JG57" s="4"/>
      <c r="JH57" s="6"/>
      <c r="JI57" s="6"/>
      <c r="JJ57" s="6"/>
      <c r="JK57" s="9"/>
      <c r="JL57"/>
    </row>
    <row r="58">
      <c r="A58" s="8">
        <v>25287</v>
      </c>
      <c r="B58" s="8">
        <v>25288</v>
      </c>
      <c r="C58" s="9">
        <f>B58-A58</f>
        <v>1</v>
      </c>
      <c r="D58" s="8">
        <v>25287</v>
      </c>
      <c r="E58" t="inlineStr">
        <is>
          <t xml:space="preserve">positive</t>
        </is>
      </c>
      <c r="F58" s="4">
        <v>1.2043240380550984</v>
      </c>
      <c r="G58" s="6">
        <v>-0.007421550910548842</v>
      </c>
      <c r="H58" s="7">
        <f>SUM(CE58,CZ58,DU58,EP58,FK58,GF58,HA58,HV58,IQ58,JL58)</f>
        <v>-0.007421550910548841</v>
      </c>
      <c r="I58" s="7">
        <f>G58-H58</f>
        <v>-8.673617379884035e-19</v>
      </c>
      <c r="J58" s="5">
        <f>F58*(1+H58)</f>
        <v>1.1953860858938747</v>
      </c>
      <c r="K58" s="4">
        <v>1.1953860858938747</v>
      </c>
      <c r="L58" s="5">
        <f>K58-J58</f>
        <v>0</v>
      </c>
      <c r="M58" s="4">
        <v>1.832</v>
      </c>
      <c r="N58" s="4">
        <v>1.82</v>
      </c>
      <c r="O58" s="5">
        <f>M58/$M$3</f>
        <v>0.9356486210418795</v>
      </c>
      <c r="P58" s="5">
        <f>N58/$M$3</f>
        <v>0.9295199182839633</v>
      </c>
      <c r="Q58" s="7">
        <f>IFERROR(N58/M58-1,0)</f>
        <v>-0.0065502183406113135</v>
      </c>
      <c r="R58" s="5">
        <f>SUM(IF(BM58="lease",BU58,0),IF(CH58="lease",CP58,0),IF(DC58="lease",DK58,0),IF(DX58="lease",EF58,0),IF(ES58="lease",FA58,0),IF(FN58="lease",FV58,0),IF(GI58="lease",GQ58,0),IF(HD58="lease",HL58,0),IF(HY58="lease",IG58,0),IF(IT58="lease",JB58,0))</f>
        <v>1.2043240380550981</v>
      </c>
      <c r="S58" s="5">
        <f>SUM(IF(BM58="lease",BV58,0),IF(CH58="lease",CQ58,0),IF(DC58="lease",DL58,0),IF(DX58="lease",EG58,0),IF(ES58="lease",FB58,0),IF(FN58="lease",FW58,0),IF(GI58="lease",GR58,0),IF(HD58="lease",HM58,0),IF(HY58="lease",IH58,0),IF(IT58="lease",JC58,0))</f>
        <v>1.1953860858938743</v>
      </c>
      <c r="T58" s="5">
        <f>SUM(IF(BM58="keep",BU58,0),IF(CH58="keep",CP58,0),IF(DC58="keep",DK58,0),IF(DX58="keep",EF58,0),IF(ES58="keep",FA58,0),IF(FN58="keep",FV58,0),IF(GI58="keep",GQ58,0),IF(HD58="keep",HL58,0),IF(HY58="keep",IG58,0),IF(IT58="keep",JB58,0))</f>
        <v>0</v>
      </c>
      <c r="U58" s="5">
        <f>SUM(IF(BM58="keep",BV58,0),IF(CH58="keep",CQ58,0),IF(DC58="keep",DL58,0),IF(DX58="keep",EG58,0),IF(ES58="keep",FB58,0),IF(FN58="keep",FW58,0),IF(GI58="keep",GR58,0),IF(HD58="keep",HM58,0),IF(HY58="keep",IH58,0),IF(IT58="keep",JC58,0))</f>
        <v>0</v>
      </c>
      <c r="V58" s="5">
        <f>R58/O58</f>
        <v>1.287154184777228</v>
      </c>
      <c r="W58" s="5">
        <f>S58/P58</f>
        <v>1.2860252506484646</v>
      </c>
      <c r="X58" s="5">
        <f>T58/O58</f>
        <v>0</v>
      </c>
      <c r="Y58" s="5">
        <f>U58/P58</f>
        <v>0</v>
      </c>
      <c r="Z58" s="5">
        <f>V58+X58</f>
        <v>1.287154184777228</v>
      </c>
      <c r="AA58" s="7">
        <f>IFERROR(W58/V58-1,0)</f>
        <v>-0.0008770776198493424</v>
      </c>
      <c r="AB58" s="7">
        <f>IFERROR((W58-V58)/Z58,0)</f>
        <v>-0.0008770776198492945</v>
      </c>
      <c r="AC58" s="7">
        <f>IFERROR(Y58/X58-1,0)</f>
        <v>0</v>
      </c>
      <c r="AD58" s="7">
        <f>IFERROR((Y58-X58)/Z58,0)</f>
        <v>0</v>
      </c>
      <c r="AE58" s="7">
        <f>AB58+AD58</f>
        <v>-0.0008770776198492945</v>
      </c>
      <c r="AF58" s="7">
        <f>(1+Q58)*(1+AE58)-1</f>
        <v>-0.0074215509105489685</v>
      </c>
      <c r="AG58" s="7">
        <f>G58-AF58</f>
        <v>1.2663481374630692e-16</v>
      </c>
      <c r="AH58" s="5">
        <f>SUM(IF(BM58="lease",BW58,0),IF(CH58="lease",CR58,0),IF(DC58="lease",DM58,0),IF(DX58="lease",EH58,0),IF(ES58="lease",FC58,0),IF(FN58="lease",FX58,0),IF(GI58="lease",GS58,0),IF(HD58="lease",HN58,0),IF(HY58="lease",II58,0),IF(IT58="lease",JD58,0))</f>
        <v>-0.008937952161223672</v>
      </c>
      <c r="AI58" s="5">
        <f>SUM(IF(BM58="keep",BW58,0),IF(CH58="keep",CR58,0),IF(DC58="keep",DM58,0),IF(DX58="keep",EH58,0),IF(ES58="keep",FC58,0),IF(FN58="keep",FX58,0),IF(GI58="keep",GS58,0),IF(HD58="keep",HN58,0),IF(HY58="keep",II58,0),IF(IT58="keep",JD58,0))</f>
        <v>0</v>
      </c>
      <c r="AJ58" s="5">
        <f>SUM(IF(BM58="lease",BX58,0),IF(CH58="lease",CS58,0),IF(DC58="lease",DN58,0),IF(DX58="lease",EI58,0),IF(ES58="lease",FD58,0),IF(FN58="lease",FY58,0),IF(GI58="lease",GT58,0),IF(HD58="lease",HO58,0),IF(HY58="lease",IJ58,0),IF(IT58="lease",JE58,0))</f>
        <v>0</v>
      </c>
      <c r="AK58" s="5">
        <f>SUM(IF(BM58="keep",BX58,0),IF(CH58="keep",CS58,0),IF(DC58="keep",DN58,0),IF(DX58="keep",EI58,0),IF(ES58="keep",FD58,0),IF(FN58="keep",FY58,0),IF(GI58="keep",GT58,0),IF(HD58="keep",HO58,0),IF(HY58="keep",IJ58,0),IF(IT58="keep",JE58,0))</f>
        <v>0</v>
      </c>
      <c r="AL58" s="5">
        <f>R58-S57</f>
        <v>0</v>
      </c>
      <c r="AM58" s="5">
        <f>T58-U57</f>
        <v>0</v>
      </c>
      <c r="AN58" s="5">
        <f>AN57</f>
        <v>1</v>
      </c>
      <c r="AO58" s="5">
        <f>AO57+AH58</f>
        <v>0.1953860858938749</v>
      </c>
      <c r="AP58" s="5">
        <f>AP57+AL58</f>
        <v>-6.661338147750939e-16</v>
      </c>
      <c r="AQ58" s="5">
        <f>AN58+AO58+AP58</f>
        <v>1.1953860858938743</v>
      </c>
      <c r="AR58" s="5">
        <f>S58-AQ58</f>
        <v>0</v>
      </c>
      <c r="AS58" s="5">
        <f>AS57</f>
        <v>0</v>
      </c>
      <c r="AT58" s="5">
        <f>AT57+AI58</f>
        <v>0</v>
      </c>
      <c r="AU58" s="5">
        <f>AU57+AM58</f>
        <v>0</v>
      </c>
      <c r="AV58" s="5">
        <f>AS58+AT58+AU58</f>
        <v>0</v>
      </c>
      <c r="AW58" s="5">
        <f>U58-AV58</f>
        <v>0</v>
      </c>
      <c r="AX58" s="4">
        <v>1.2043240380550981</v>
      </c>
      <c r="AY58" s="4">
        <v>1.1953860858938745</v>
      </c>
      <c r="AZ58" s="5">
        <f>S58-AY58</f>
        <v>-2.220446049250313e-16</v>
      </c>
      <c r="BA58" s="4">
        <v>0</v>
      </c>
      <c r="BB58" s="4">
        <v>0</v>
      </c>
      <c r="BC58" s="5">
        <f>U58-BB58</f>
        <v>0</v>
      </c>
      <c r="BD58" s="7">
        <f>SUM(IF(BL58="direct",CE58,0),IF(CG58="direct",CZ58,0),IF(DB58="direct",DU58,0),IF(DW58="direct",EP58,0),IF(ER58="direct",FK58,0),IF(FM58="direct",GF58,0),IF(GH58="direct",HA58,0),IF(HC58="direct",HV58,0),IF(HX58="direct",IQ58,0),IF(IS58="direct",JL58,0))</f>
        <v>-0.0009753721652149602</v>
      </c>
      <c r="BE58" s="7">
        <f>SUM(IF(BL58="treasury",CE58,0),IF(CG58="treasury",CZ58,0),IF(DB58="treasury",DU58,0),IF(DW58="treasury",EP58,0),IF(ER58="treasury",FK58,0),IF(FM58="treasury",GF58,0),IF(GH58="treasury",HA58,0),IF(HC58="treasury",HV58,0),IF(HX58="treasury",IQ58,0),IF(IS58="treasury",JL58,0))</f>
        <v>0.00013806554684851784</v>
      </c>
      <c r="BF58" s="7">
        <f>SUM(IF(BL58="future",CE58,0),IF(CG58="future",CZ58,0),IF(DB58="future",DU58,0),IF(DW58="future",EP58,0),IF(ER58="future",FK58,0),IF(FM58="future",GF58,0),IF(GH58="future",HA58,0),IF(HC58="future",HV58,0),IF(HX58="future",IQ58,0),IF(IS58="future",JL58,0))</f>
        <v>-0.006584244292182399</v>
      </c>
      <c r="BG58" s="7">
        <f>SUM(IF(BL58="cash",CE58,0),IF(CG58="cash",CZ58,0),IF(DB58="cash",DU58,0),IF(DW58="cash",EP58,0),IF(ER58="cash",FK58,0),IF(FM58="cash",GF58,0),IF(GH58="cash",HA58,0),IF(HC58="cash",HV58,0),IF(HX58="cash",IQ58,0),IF(IS58="cash",JL58,0))</f>
        <v>0</v>
      </c>
      <c r="BH58" s="7">
        <f>SUM(BD58:BG58)</f>
        <v>-0.007421550910548842</v>
      </c>
      <c r="BI58" s="7">
        <f>G58-BH58</f>
        <v>0</v>
      </c>
      <c r="BJ58" s="9">
        <f>COUNTA(BK58,CF58,DA58,DV58,EQ58,FL58,GG58,HB58,HW58,IR58)</f>
        <v>5</v>
      </c>
      <c r="BK58" t="inlineStr">
        <is>
          <t xml:space="preserve">Direct commodity holding</t>
        </is>
      </c>
      <c r="BL58" t="inlineStr">
        <is>
          <t xml:space="preserve">direct</t>
        </is>
      </c>
      <c r="BM58" t="inlineStr">
        <is>
          <t xml:space="preserve">lease</t>
        </is>
      </c>
      <c r="BN58" t="inlineStr">
        <is>
          <t xml:space="preserve">long</t>
        </is>
      </c>
      <c r="BO58"/>
      <c r="BP58" s="4">
        <v>1.832</v>
      </c>
      <c r="BQ58" s="4">
        <v>1.82</v>
      </c>
      <c r="BR58" s="4">
        <v>0.09778642715736853</v>
      </c>
      <c r="BS58" s="6">
        <v>0.148751273653564</v>
      </c>
      <c r="BT58" s="4">
        <v>0.17914473455229915</v>
      </c>
      <c r="BU58" s="4">
        <v>0.17914473455229915</v>
      </c>
      <c r="BV58" s="4">
        <v>0.17797129742641074</v>
      </c>
      <c r="BW58" s="4">
        <v>-0.0011746641446182253</v>
      </c>
      <c r="BX58" s="4">
        <v>0.000001227018729815137</v>
      </c>
      <c r="BY58" s="4">
        <v>1.832</v>
      </c>
      <c r="BZ58" s="4">
        <v>1.82</v>
      </c>
      <c r="CA58" s="6"/>
      <c r="CB58" s="6"/>
      <c r="CC58" s="6"/>
      <c r="CD58" s="9"/>
      <c r="CE58" s="7">
        <f>IFERROR(BW58/F58,0)</f>
        <v>-0.0009753721652149602</v>
      </c>
      <c r="CF58" t="inlineStr">
        <is>
          <t xml:space="preserve">Treasury collateral</t>
        </is>
      </c>
      <c r="CG58" t="inlineStr">
        <is>
          <t xml:space="preserve">treasury</t>
        </is>
      </c>
      <c r="CH58" t="inlineStr">
        <is>
          <t xml:space="preserve">lease</t>
        </is>
      </c>
      <c r="CI58" t="inlineStr">
        <is>
          <t xml:space="preserve">long</t>
        </is>
      </c>
      <c r="CJ58"/>
      <c r="CK58" s="4">
        <v>101.38016178151426</v>
      </c>
      <c r="CL58" s="4">
        <v>101.39660481049361</v>
      </c>
      <c r="CM58" s="4">
        <v>0.010112227929880174</v>
      </c>
      <c r="CN58" s="6">
        <v>0.8512487263464359</v>
      </c>
      <c r="CO58" s="4">
        <v>1.0251793035027992</v>
      </c>
      <c r="CP58" s="4">
        <v>1.0251793035027992</v>
      </c>
      <c r="CQ58" s="4">
        <v>1.025345579159696</v>
      </c>
      <c r="CR58" s="4">
        <v>0.00016627565689689237</v>
      </c>
      <c r="CS58" s="4">
        <v>-1.3964523981613297e-16</v>
      </c>
      <c r="CT58" s="4">
        <v>1.832</v>
      </c>
      <c r="CU58" s="4">
        <v>1.82</v>
      </c>
      <c r="CV58" s="6"/>
      <c r="CW58" s="6"/>
      <c r="CX58" s="6"/>
      <c r="CY58" s="9">
        <v>64</v>
      </c>
      <c r="CZ58" s="7">
        <f>IFERROR(CR58/F58,0)</f>
        <v>0.00013806554684851784</v>
      </c>
      <c r="DA58" t="inlineStr">
        <is>
          <t xml:space="preserve">SI69K</t>
        </is>
      </c>
      <c r="DB58" t="inlineStr">
        <is>
          <t xml:space="preserve">future</t>
        </is>
      </c>
      <c r="DC58" t="inlineStr">
        <is>
          <t xml:space="preserve">lease</t>
        </is>
      </c>
      <c r="DD58" t="inlineStr">
        <is>
          <t xml:space="preserve">long</t>
        </is>
      </c>
      <c r="DE58" t="inlineStr">
        <is>
          <t xml:space="preserve">regular</t>
        </is>
      </c>
      <c r="DF58" s="4">
        <v>1.81</v>
      </c>
      <c r="DG58" s="4">
        <v>1.796</v>
      </c>
      <c r="DH58" s="4">
        <v>0.5663974052501652</v>
      </c>
      <c r="DI58" s="6">
        <v>0.8512487263464359</v>
      </c>
      <c r="DJ58" s="4">
        <v>1.0251793035027992</v>
      </c>
      <c r="DK58" s="4">
        <v>0</v>
      </c>
      <c r="DL58" s="4">
        <v>0</v>
      </c>
      <c r="DM58" s="4">
        <v>-0.00792956367350234</v>
      </c>
      <c r="DN58" s="4">
        <v>0.00792956367350234</v>
      </c>
      <c r="DO58" s="4">
        <v>1.832</v>
      </c>
      <c r="DP58" s="4">
        <v>1.82</v>
      </c>
      <c r="DQ58" s="6">
        <v>-0.012008733624454204</v>
      </c>
      <c r="DR58" s="6">
        <v>0.0592</v>
      </c>
      <c r="DS58" s="6">
        <v>0.1276873089519654</v>
      </c>
      <c r="DT58" s="9">
        <v>64</v>
      </c>
      <c r="DU58" s="7">
        <f>IFERROR(DM58/F58,0)</f>
        <v>-0.006584244292182399</v>
      </c>
      <c r="DV58" t="inlineStr">
        <is>
          <t xml:space="preserve">Lease cash / margin / financing</t>
        </is>
      </c>
      <c r="DW58" t="inlineStr">
        <is>
          <t xml:space="preserve">cash</t>
        </is>
      </c>
      <c r="DX58" t="inlineStr">
        <is>
          <t xml:space="preserve">lease</t>
        </is>
      </c>
      <c r="DY58" t="inlineStr">
        <is>
          <t xml:space="preserve">cash</t>
        </is>
      </c>
      <c r="DZ58"/>
      <c r="EA58" s="4">
        <v>1</v>
      </c>
      <c r="EB58" s="4">
        <v>1</v>
      </c>
      <c r="EC58" s="4">
        <v>-2.220446049250313e-16</v>
      </c>
      <c r="ED58" s="6"/>
      <c r="EE58" s="4">
        <v>-2.220446049250313e-16</v>
      </c>
      <c r="EF58" s="4">
        <v>-2.220446049250313e-16</v>
      </c>
      <c r="EG58" s="4">
        <v>-0.007930790692232237</v>
      </c>
      <c r="EH58" s="4">
        <v>0</v>
      </c>
      <c r="EI58" s="4">
        <v>-0.007930790692232015</v>
      </c>
      <c r="EJ58" s="4">
        <v>1.832</v>
      </c>
      <c r="EK58" s="4">
        <v>1.82</v>
      </c>
      <c r="EL58" s="6"/>
      <c r="EM58" s="6"/>
      <c r="EN58" s="6"/>
      <c r="EO58" s="9"/>
      <c r="EP58" s="7">
        <f>IFERROR(EH58/F58,0)</f>
        <v>0</v>
      </c>
      <c r="EQ58" t="inlineStr">
        <is>
          <t xml:space="preserve">Keep cash / margin / financing</t>
        </is>
      </c>
      <c r="ER58" t="inlineStr">
        <is>
          <t xml:space="preserve">cash</t>
        </is>
      </c>
      <c r="ES58" t="inlineStr">
        <is>
          <t xml:space="preserve">keep</t>
        </is>
      </c>
      <c r="ET58" t="inlineStr">
        <is>
          <t xml:space="preserve">cash</t>
        </is>
      </c>
      <c r="EU58"/>
      <c r="EV58" s="4">
        <v>1</v>
      </c>
      <c r="EW58" s="4">
        <v>1</v>
      </c>
      <c r="EX58" s="4">
        <v>0</v>
      </c>
      <c r="EY58" s="6"/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1.832</v>
      </c>
      <c r="FF58" s="4">
        <v>1.82</v>
      </c>
      <c r="FG58" s="6"/>
      <c r="FH58" s="6"/>
      <c r="FI58" s="6"/>
      <c r="FJ58" s="9"/>
      <c r="FK58" s="7">
        <f>IFERROR(FC58/F58,0)</f>
        <v>0</v>
      </c>
      <c r="FL58"/>
      <c r="FM58"/>
      <c r="FN58"/>
      <c r="FO58"/>
      <c r="FP58"/>
      <c r="FQ58" s="4"/>
      <c r="FR58" s="4"/>
      <c r="FS58" s="4"/>
      <c r="FT58" s="6"/>
      <c r="FU58" s="4"/>
      <c r="FV58" s="4"/>
      <c r="FW58" s="4"/>
      <c r="FX58" s="4"/>
      <c r="FY58" s="4"/>
      <c r="FZ58" s="4"/>
      <c r="GA58" s="4"/>
      <c r="GB58" s="6"/>
      <c r="GC58" s="6"/>
      <c r="GD58" s="6"/>
      <c r="GE58" s="9"/>
      <c r="GF58"/>
      <c r="GG58"/>
      <c r="GH58"/>
      <c r="GI58"/>
      <c r="GJ58"/>
      <c r="GK58"/>
      <c r="GL58" s="4"/>
      <c r="GM58" s="4"/>
      <c r="GN58" s="4"/>
      <c r="GO58" s="6"/>
      <c r="GP58" s="4"/>
      <c r="GQ58" s="4"/>
      <c r="GR58" s="4"/>
      <c r="GS58" s="4"/>
      <c r="GT58" s="4"/>
      <c r="GU58" s="4"/>
      <c r="GV58" s="4"/>
      <c r="GW58" s="6"/>
      <c r="GX58" s="6"/>
      <c r="GY58" s="6"/>
      <c r="GZ58" s="9"/>
      <c r="HA58"/>
      <c r="HB58"/>
      <c r="HC58"/>
      <c r="HD58"/>
      <c r="HE58"/>
      <c r="HF58"/>
      <c r="HG58" s="4"/>
      <c r="HH58" s="4"/>
      <c r="HI58" s="4"/>
      <c r="HJ58" s="6"/>
      <c r="HK58" s="4"/>
      <c r="HL58" s="4"/>
      <c r="HM58" s="4"/>
      <c r="HN58" s="4"/>
      <c r="HO58" s="4"/>
      <c r="HP58" s="4"/>
      <c r="HQ58" s="4"/>
      <c r="HR58" s="6"/>
      <c r="HS58" s="6"/>
      <c r="HT58" s="6"/>
      <c r="HU58" s="9"/>
      <c r="HV58"/>
      <c r="HW58"/>
      <c r="HX58"/>
      <c r="HY58"/>
      <c r="HZ58"/>
      <c r="IA58"/>
      <c r="IB58" s="4"/>
      <c r="IC58" s="4"/>
      <c r="ID58" s="4"/>
      <c r="IE58" s="6"/>
      <c r="IF58" s="4"/>
      <c r="IG58" s="4"/>
      <c r="IH58" s="4"/>
      <c r="II58" s="4"/>
      <c r="IJ58" s="4"/>
      <c r="IK58" s="4"/>
      <c r="IL58" s="4"/>
      <c r="IM58" s="6"/>
      <c r="IN58" s="6"/>
      <c r="IO58" s="6"/>
      <c r="IP58" s="9"/>
      <c r="IQ58"/>
      <c r="IR58"/>
      <c r="IS58"/>
      <c r="IT58"/>
      <c r="IU58"/>
      <c r="IV58"/>
      <c r="IW58" s="4"/>
      <c r="IX58" s="4"/>
      <c r="IY58" s="4"/>
      <c r="IZ58" s="6"/>
      <c r="JA58" s="4"/>
      <c r="JB58" s="4"/>
      <c r="JC58" s="4"/>
      <c r="JD58" s="4"/>
      <c r="JE58" s="4"/>
      <c r="JF58" s="4"/>
      <c r="JG58" s="4"/>
      <c r="JH58" s="6"/>
      <c r="JI58" s="6"/>
      <c r="JJ58" s="6"/>
      <c r="JK58" s="9"/>
      <c r="JL58"/>
    </row>
    <row r="59">
      <c r="A59" s="8">
        <v>25288</v>
      </c>
      <c r="B59" s="8">
        <v>25289</v>
      </c>
      <c r="C59" s="9">
        <f>B59-A59</f>
        <v>1</v>
      </c>
      <c r="D59" s="8">
        <v>25288</v>
      </c>
      <c r="E59" t="inlineStr">
        <is>
          <t xml:space="preserve">positive</t>
        </is>
      </c>
      <c r="F59" s="4">
        <v>1.1953860858938747</v>
      </c>
      <c r="G59" s="6">
        <v>0.015965228412395466</v>
      </c>
      <c r="H59" s="7">
        <f>SUM(CE59,CZ59,DU59,EP59,FK59,GF59,HA59,HV59,IQ59,JL59)</f>
        <v>0.015965228412395466</v>
      </c>
      <c r="I59" s="7">
        <f>G59-H59</f>
        <v>0</v>
      </c>
      <c r="J59" s="5">
        <f>F59*(1+H59)</f>
        <v>1.21447069779617</v>
      </c>
      <c r="K59" s="4">
        <v>1.21447069779617</v>
      </c>
      <c r="L59" s="5">
        <f>K59-J59</f>
        <v>0</v>
      </c>
      <c r="M59" s="4">
        <v>1.82</v>
      </c>
      <c r="N59" s="4">
        <v>1.814</v>
      </c>
      <c r="O59" s="5">
        <f>M59/$M$3</f>
        <v>0.9295199182839633</v>
      </c>
      <c r="P59" s="5">
        <f>N59/$M$3</f>
        <v>0.9264555669050052</v>
      </c>
      <c r="Q59" s="7">
        <f>IFERROR(N59/M59-1,0)</f>
        <v>-0.003296703296703285</v>
      </c>
      <c r="R59" s="5">
        <f>SUM(IF(BM59="lease",BU59,0),IF(CH59="lease",CP59,0),IF(DC59="lease",DK59,0),IF(DX59="lease",EF59,0),IF(ES59="lease",FA59,0),IF(FN59="lease",FV59,0),IF(GI59="lease",GQ59,0),IF(HD59="lease",HL59,0),IF(HY59="lease",IG59,0),IF(IT59="lease",JB59,0))</f>
        <v>1.1953860858938745</v>
      </c>
      <c r="S59" s="5">
        <f>SUM(IF(BM59="lease",BV59,0),IF(CH59="lease",CQ59,0),IF(DC59="lease",DL59,0),IF(DX59="lease",EG59,0),IF(ES59="lease",FB59,0),IF(FN59="lease",FW59,0),IF(GI59="lease",GR59,0),IF(HD59="lease",HM59,0),IF(HY59="lease",IH59,0),IF(IT59="lease",JC59,0))</f>
        <v>1.2144706977961697</v>
      </c>
      <c r="T59" s="5">
        <f>SUM(IF(BM59="keep",BU59,0),IF(CH59="keep",CP59,0),IF(DC59="keep",DK59,0),IF(DX59="keep",EF59,0),IF(ES59="keep",FA59,0),IF(FN59="keep",FV59,0),IF(GI59="keep",GQ59,0),IF(HD59="keep",HL59,0),IF(HY59="keep",IG59,0),IF(IT59="keep",JB59,0))</f>
        <v>0</v>
      </c>
      <c r="U59" s="5">
        <f>SUM(IF(BM59="keep",BV59,0),IF(CH59="keep",CQ59,0),IF(DC59="keep",DL59,0),IF(DX59="keep",EG59,0),IF(ES59="keep",FB59,0),IF(FN59="keep",FW59,0),IF(GI59="keep",GR59,0),IF(HD59="keep",HM59,0),IF(HY59="keep",IH59,0),IF(IT59="keep",JC59,0))</f>
        <v>0</v>
      </c>
      <c r="V59" s="5">
        <f>R59/O59</f>
        <v>1.2860252506484648</v>
      </c>
      <c r="W59" s="5">
        <f>S59/P59</f>
        <v>1.31087851504129</v>
      </c>
      <c r="X59" s="5">
        <f>T59/O59</f>
        <v>0</v>
      </c>
      <c r="Y59" s="5">
        <f>U59/P59</f>
        <v>0</v>
      </c>
      <c r="Z59" s="5">
        <f>V59+X59</f>
        <v>1.2860252506484648</v>
      </c>
      <c r="AA59" s="7">
        <f>IFERROR(W59/V59-1,0)</f>
        <v>0.019325642618831296</v>
      </c>
      <c r="AB59" s="7">
        <f>IFERROR((W59-V59)/Z59,0)</f>
        <v>0.01932564261883132</v>
      </c>
      <c r="AC59" s="7">
        <f>IFERROR(Y59/X59-1,0)</f>
        <v>0</v>
      </c>
      <c r="AD59" s="7">
        <f>IFERROR((Y59-X59)/Z59,0)</f>
        <v>0</v>
      </c>
      <c r="AE59" s="7">
        <f>AB59+AD59</f>
        <v>0.01932564261883132</v>
      </c>
      <c r="AF59" s="7">
        <f>(1+Q59)*(1+AE59)-1</f>
        <v>0.01596522841239567</v>
      </c>
      <c r="AG59" s="7">
        <f>G59-AF59</f>
        <v>-2.0469737016526324e-16</v>
      </c>
      <c r="AH59" s="5">
        <f>SUM(IF(BM59="lease",BW59,0),IF(CH59="lease",CR59,0),IF(DC59="lease",DM59,0),IF(DX59="lease",EH59,0),IF(ES59="lease",FC59,0),IF(FN59="lease",FX59,0),IF(GI59="lease",GS59,0),IF(HD59="lease",HN59,0),IF(HY59="lease",II59,0),IF(IT59="lease",JD59,0))</f>
        <v>0.019084611902295098</v>
      </c>
      <c r="AI59" s="5">
        <f>SUM(IF(BM59="keep",BW59,0),IF(CH59="keep",CR59,0),IF(DC59="keep",DM59,0),IF(DX59="keep",EH59,0),IF(ES59="keep",FC59,0),IF(FN59="keep",FX59,0),IF(GI59="keep",GS59,0),IF(HD59="keep",HN59,0),IF(HY59="keep",II59,0),IF(IT59="keep",JD59,0))</f>
        <v>0</v>
      </c>
      <c r="AJ59" s="5">
        <f>SUM(IF(BM59="lease",BX59,0),IF(CH59="lease",CS59,0),IF(DC59="lease",DN59,0),IF(DX59="lease",EI59,0),IF(ES59="lease",FD59,0),IF(FN59="lease",FY59,0),IF(GI59="lease",GT59,0),IF(HD59="lease",HO59,0),IF(HY59="lease",IJ59,0),IF(IT59="lease",JE59,0))</f>
        <v>0</v>
      </c>
      <c r="AK59" s="5">
        <f>SUM(IF(BM59="keep",BX59,0),IF(CH59="keep",CS59,0),IF(DC59="keep",DN59,0),IF(DX59="keep",EI59,0),IF(ES59="keep",FD59,0),IF(FN59="keep",FY59,0),IF(GI59="keep",GT59,0),IF(HD59="keep",HO59,0),IF(HY59="keep",IJ59,0),IF(IT59="keep",JE59,0))</f>
        <v>0</v>
      </c>
      <c r="AL59" s="5">
        <f>R59-S58</f>
        <v>2.220446049250313e-16</v>
      </c>
      <c r="AM59" s="5">
        <f>T59-U58</f>
        <v>0</v>
      </c>
      <c r="AN59" s="5">
        <f>AN58</f>
        <v>1</v>
      </c>
      <c r="AO59" s="5">
        <f>AO58+AH59</f>
        <v>0.21447069779617</v>
      </c>
      <c r="AP59" s="5">
        <f>AP58+AL59</f>
        <v>-4.440892098500626e-16</v>
      </c>
      <c r="AQ59" s="5">
        <f>AN59+AO59+AP59</f>
        <v>1.2144706977961697</v>
      </c>
      <c r="AR59" s="5">
        <f>S59-AQ59</f>
        <v>0</v>
      </c>
      <c r="AS59" s="5">
        <f>AS58</f>
        <v>0</v>
      </c>
      <c r="AT59" s="5">
        <f>AT58+AI59</f>
        <v>0</v>
      </c>
      <c r="AU59" s="5">
        <f>AU58+AM59</f>
        <v>0</v>
      </c>
      <c r="AV59" s="5">
        <f>AS59+AT59+AU59</f>
        <v>0</v>
      </c>
      <c r="AW59" s="5">
        <f>U59-AV59</f>
        <v>0</v>
      </c>
      <c r="AX59" s="4">
        <v>1.1953860858938745</v>
      </c>
      <c r="AY59" s="4">
        <v>1.2144706977961697</v>
      </c>
      <c r="AZ59" s="5">
        <f>S59-AY59</f>
        <v>0</v>
      </c>
      <c r="BA59" s="4">
        <v>0</v>
      </c>
      <c r="BB59" s="4">
        <v>0</v>
      </c>
      <c r="BC59" s="5">
        <f>U59-BB59</f>
        <v>0</v>
      </c>
      <c r="BD59" s="7">
        <f>SUM(IF(BL59="direct",CE59,0),IF(CG59="direct",CZ59,0),IF(DB59="direct",DU59,0),IF(DW59="direct",EP59,0),IF(ER59="direct",FK59,0),IF(FM59="direct",GF59,0),IF(GH59="direct",HA59,0),IF(HC59="direct",HV59,0),IF(HX59="direct",IQ59,0),IF(IS59="direct",JL59,0))</f>
        <v>-0.00031274092379069795</v>
      </c>
      <c r="BE59" s="7">
        <f>SUM(IF(BL59="treasury",CE59,0),IF(CG59="treasury",CZ59,0),IF(DB59="treasury",DU59,0),IF(DW59="treasury",EP59,0),IF(ER59="treasury",FK59,0),IF(FM59="treasury",GF59,0),IF(GH59="treasury",HA59,0),IF(HC59="treasury",HV59,0),IF(HX59="treasury",IQ59,0),IF(IS59="treasury",JL59,0))</f>
        <v>0.0001473334715382469</v>
      </c>
      <c r="BF59" s="7">
        <f>SUM(IF(BL59="future",CE59,0),IF(CG59="future",CZ59,0),IF(DB59="future",DU59,0),IF(DW59="future",EP59,0),IF(ER59="future",FK59,0),IF(FM59="future",GF59,0),IF(GH59="future",HA59,0),IF(HC59="future",HV59,0),IF(HX59="future",IQ59,0),IF(IS59="future",JL59,0))</f>
        <v>0.016130635864647917</v>
      </c>
      <c r="BG59" s="7">
        <f>SUM(IF(BL59="cash",CE59,0),IF(CG59="cash",CZ59,0),IF(DB59="cash",DU59,0),IF(DW59="cash",EP59,0),IF(ER59="cash",FK59,0),IF(FM59="cash",GF59,0),IF(GH59="cash",HA59,0),IF(HC59="cash",HV59,0),IF(HX59="cash",IQ59,0),IF(IS59="cash",JL59,0))</f>
        <v>0</v>
      </c>
      <c r="BH59" s="7">
        <f>SUM(BD59:BG59)</f>
        <v>0.015965228412395466</v>
      </c>
      <c r="BI59" s="7">
        <f>G59-BH59</f>
        <v>0</v>
      </c>
      <c r="BJ59" s="9">
        <f>COUNTA(BK59,CF59,DA59,DV59,EQ59,FL59,GG59,HB59,HW59,IR59)</f>
        <v>5</v>
      </c>
      <c r="BK59" t="inlineStr">
        <is>
          <t xml:space="preserve">Direct commodity holding</t>
        </is>
      </c>
      <c r="BL59" t="inlineStr">
        <is>
          <t xml:space="preserve">direct</t>
        </is>
      </c>
      <c r="BM59" t="inlineStr">
        <is>
          <t xml:space="preserve">lease</t>
        </is>
      </c>
      <c r="BN59" t="inlineStr">
        <is>
          <t xml:space="preserve">long</t>
        </is>
      </c>
      <c r="BO59"/>
      <c r="BP59" s="4">
        <v>1.82</v>
      </c>
      <c r="BQ59" s="4">
        <v>1.814</v>
      </c>
      <c r="BR59" s="4">
        <v>0.06217850780706039</v>
      </c>
      <c r="BS59" s="6">
        <v>0.09466806209663092</v>
      </c>
      <c r="BT59" s="4">
        <v>0.11316488420884992</v>
      </c>
      <c r="BU59" s="4">
        <v>0.11316488420884992</v>
      </c>
      <c r="BV59" s="4">
        <v>0.11279181316200755</v>
      </c>
      <c r="BW59" s="4">
        <v>-0.000373846148788997</v>
      </c>
      <c r="BX59" s="4">
        <v>7.75101946631101e-7</v>
      </c>
      <c r="BY59" s="4">
        <v>1.82</v>
      </c>
      <c r="BZ59" s="4">
        <v>1.814</v>
      </c>
      <c r="CA59" s="6"/>
      <c r="CB59" s="6"/>
      <c r="CC59" s="6"/>
      <c r="CD59" s="9"/>
      <c r="CE59" s="7">
        <f>IFERROR(BW59/F59,0)</f>
        <v>-0.00031274092379069795</v>
      </c>
      <c r="CF59" t="inlineStr">
        <is>
          <t xml:space="preserve">Treasury collateral</t>
        </is>
      </c>
      <c r="CG59" t="inlineStr">
        <is>
          <t xml:space="preserve">treasury</t>
        </is>
      </c>
      <c r="CH59" t="inlineStr">
        <is>
          <t xml:space="preserve">lease</t>
        </is>
      </c>
      <c r="CI59" t="inlineStr">
        <is>
          <t xml:space="preserve">long</t>
        </is>
      </c>
      <c r="CJ59"/>
      <c r="CK59" s="4">
        <v>101.39660481049361</v>
      </c>
      <c r="CL59" s="4">
        <v>101.41310606618057</v>
      </c>
      <c r="CM59" s="4">
        <v>0.010673150286517531</v>
      </c>
      <c r="CN59" s="6">
        <v>0.9053319379033691</v>
      </c>
      <c r="CO59" s="4">
        <v>1.0822212016850248</v>
      </c>
      <c r="CP59" s="4">
        <v>1.0822212016850248</v>
      </c>
      <c r="CQ59" s="4">
        <v>1.0823973220668879</v>
      </c>
      <c r="CR59" s="4">
        <v>0.00017612038186326157</v>
      </c>
      <c r="CS59" s="4">
        <v>-1.6303690168750773e-16</v>
      </c>
      <c r="CT59" s="4">
        <v>1.82</v>
      </c>
      <c r="CU59" s="4">
        <v>1.814</v>
      </c>
      <c r="CV59" s="6"/>
      <c r="CW59" s="6"/>
      <c r="CX59" s="6"/>
      <c r="CY59" s="9">
        <v>63</v>
      </c>
      <c r="CZ59" s="7">
        <f>IFERROR(CR59/F59,0)</f>
        <v>0.0001473334715382469</v>
      </c>
      <c r="DA59" t="inlineStr">
        <is>
          <t xml:space="preserve">SI69K</t>
        </is>
      </c>
      <c r="DB59" t="inlineStr">
        <is>
          <t xml:space="preserve">future</t>
        </is>
      </c>
      <c r="DC59" t="inlineStr">
        <is>
          <t xml:space="preserve">lease</t>
        </is>
      </c>
      <c r="DD59" t="inlineStr">
        <is>
          <t xml:space="preserve">long</t>
        </is>
      </c>
      <c r="DE59" t="inlineStr">
        <is>
          <t xml:space="preserve">regular</t>
        </is>
      </c>
      <c r="DF59" s="4">
        <v>1.796</v>
      </c>
      <c r="DG59" s="4">
        <v>1.828</v>
      </c>
      <c r="DH59" s="4">
        <v>0.602573052163154</v>
      </c>
      <c r="DI59" s="6">
        <v>0.9053319379033691</v>
      </c>
      <c r="DJ59" s="4">
        <v>1.0822212016850248</v>
      </c>
      <c r="DK59" s="4">
        <v>0</v>
      </c>
      <c r="DL59" s="4">
        <v>0</v>
      </c>
      <c r="DM59" s="4">
        <v>0.01928233766922083</v>
      </c>
      <c r="DN59" s="4">
        <v>-0.01928233766922083</v>
      </c>
      <c r="DO59" s="4">
        <v>1.82</v>
      </c>
      <c r="DP59" s="4">
        <v>1.814</v>
      </c>
      <c r="DQ59" s="6">
        <v>-0.013186813186813251</v>
      </c>
      <c r="DR59" s="6">
        <v>0.0594</v>
      </c>
      <c r="DS59" s="6">
        <v>0.13579979068550535</v>
      </c>
      <c r="DT59" s="9">
        <v>63</v>
      </c>
      <c r="DU59" s="7">
        <f>IFERROR(DM59/F59,0)</f>
        <v>0.016130635864647917</v>
      </c>
      <c r="DV59" t="inlineStr">
        <is>
          <t xml:space="preserve">Lease cash / margin / financing</t>
        </is>
      </c>
      <c r="DW59" t="inlineStr">
        <is>
          <t xml:space="preserve">cash</t>
        </is>
      </c>
      <c r="DX59" t="inlineStr">
        <is>
          <t xml:space="preserve">lease</t>
        </is>
      </c>
      <c r="DY59" t="inlineStr">
        <is>
          <t xml:space="preserve">cash</t>
        </is>
      </c>
      <c r="DZ59"/>
      <c r="EA59" s="4">
        <v>1</v>
      </c>
      <c r="EB59" s="4">
        <v>1</v>
      </c>
      <c r="EC59" s="4">
        <v>-2.220446049250313e-16</v>
      </c>
      <c r="ED59" s="6"/>
      <c r="EE59" s="4">
        <v>-2.220446049250313e-16</v>
      </c>
      <c r="EF59" s="4">
        <v>-2.220446049250313e-16</v>
      </c>
      <c r="EG59" s="4">
        <v>0.019281562567274143</v>
      </c>
      <c r="EH59" s="4">
        <v>0</v>
      </c>
      <c r="EI59" s="4">
        <v>0.019281562567274365</v>
      </c>
      <c r="EJ59" s="4">
        <v>1.82</v>
      </c>
      <c r="EK59" s="4">
        <v>1.814</v>
      </c>
      <c r="EL59" s="6"/>
      <c r="EM59" s="6"/>
      <c r="EN59" s="6"/>
      <c r="EO59" s="9"/>
      <c r="EP59" s="7">
        <f>IFERROR(EH59/F59,0)</f>
        <v>0</v>
      </c>
      <c r="EQ59" t="inlineStr">
        <is>
          <t xml:space="preserve">Keep cash / margin / financing</t>
        </is>
      </c>
      <c r="ER59" t="inlineStr">
        <is>
          <t xml:space="preserve">cash</t>
        </is>
      </c>
      <c r="ES59" t="inlineStr">
        <is>
          <t xml:space="preserve">keep</t>
        </is>
      </c>
      <c r="ET59" t="inlineStr">
        <is>
          <t xml:space="preserve">cash</t>
        </is>
      </c>
      <c r="EU59"/>
      <c r="EV59" s="4">
        <v>1</v>
      </c>
      <c r="EW59" s="4">
        <v>1</v>
      </c>
      <c r="EX59" s="4">
        <v>0</v>
      </c>
      <c r="EY59" s="6"/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1.82</v>
      </c>
      <c r="FF59" s="4">
        <v>1.814</v>
      </c>
      <c r="FG59" s="6"/>
      <c r="FH59" s="6"/>
      <c r="FI59" s="6"/>
      <c r="FJ59" s="9"/>
      <c r="FK59" s="7">
        <f>IFERROR(FC59/F59,0)</f>
        <v>0</v>
      </c>
      <c r="FL59"/>
      <c r="FM59"/>
      <c r="FN59"/>
      <c r="FO59"/>
      <c r="FP59"/>
      <c r="FQ59" s="4"/>
      <c r="FR59" s="4"/>
      <c r="FS59" s="4"/>
      <c r="FT59" s="6"/>
      <c r="FU59" s="4"/>
      <c r="FV59" s="4"/>
      <c r="FW59" s="4"/>
      <c r="FX59" s="4"/>
      <c r="FY59" s="4"/>
      <c r="FZ59" s="4"/>
      <c r="GA59" s="4"/>
      <c r="GB59" s="6"/>
      <c r="GC59" s="6"/>
      <c r="GD59" s="6"/>
      <c r="GE59" s="9"/>
      <c r="GF59"/>
      <c r="GG59"/>
      <c r="GH59"/>
      <c r="GI59"/>
      <c r="GJ59"/>
      <c r="GK59"/>
      <c r="GL59" s="4"/>
      <c r="GM59" s="4"/>
      <c r="GN59" s="4"/>
      <c r="GO59" s="6"/>
      <c r="GP59" s="4"/>
      <c r="GQ59" s="4"/>
      <c r="GR59" s="4"/>
      <c r="GS59" s="4"/>
      <c r="GT59" s="4"/>
      <c r="GU59" s="4"/>
      <c r="GV59" s="4"/>
      <c r="GW59" s="6"/>
      <c r="GX59" s="6"/>
      <c r="GY59" s="6"/>
      <c r="GZ59" s="9"/>
      <c r="HA59"/>
      <c r="HB59"/>
      <c r="HC59"/>
      <c r="HD59"/>
      <c r="HE59"/>
      <c r="HF59"/>
      <c r="HG59" s="4"/>
      <c r="HH59" s="4"/>
      <c r="HI59" s="4"/>
      <c r="HJ59" s="6"/>
      <c r="HK59" s="4"/>
      <c r="HL59" s="4"/>
      <c r="HM59" s="4"/>
      <c r="HN59" s="4"/>
      <c r="HO59" s="4"/>
      <c r="HP59" s="4"/>
      <c r="HQ59" s="4"/>
      <c r="HR59" s="6"/>
      <c r="HS59" s="6"/>
      <c r="HT59" s="6"/>
      <c r="HU59" s="9"/>
      <c r="HV59"/>
      <c r="HW59"/>
      <c r="HX59"/>
      <c r="HY59"/>
      <c r="HZ59"/>
      <c r="IA59"/>
      <c r="IB59" s="4"/>
      <c r="IC59" s="4"/>
      <c r="ID59" s="4"/>
      <c r="IE59" s="6"/>
      <c r="IF59" s="4"/>
      <c r="IG59" s="4"/>
      <c r="IH59" s="4"/>
      <c r="II59" s="4"/>
      <c r="IJ59" s="4"/>
      <c r="IK59" s="4"/>
      <c r="IL59" s="4"/>
      <c r="IM59" s="6"/>
      <c r="IN59" s="6"/>
      <c r="IO59" s="6"/>
      <c r="IP59" s="9"/>
      <c r="IQ59"/>
      <c r="IR59"/>
      <c r="IS59"/>
      <c r="IT59"/>
      <c r="IU59"/>
      <c r="IV59"/>
      <c r="IW59" s="4"/>
      <c r="IX59" s="4"/>
      <c r="IY59" s="4"/>
      <c r="IZ59" s="6"/>
      <c r="JA59" s="4"/>
      <c r="JB59" s="4"/>
      <c r="JC59" s="4"/>
      <c r="JD59" s="4"/>
      <c r="JE59" s="4"/>
      <c r="JF59" s="4"/>
      <c r="JG59" s="4"/>
      <c r="JH59" s="6"/>
      <c r="JI59" s="6"/>
      <c r="JJ59" s="6"/>
      <c r="JK59" s="9"/>
      <c r="JL59"/>
    </row>
    <row r="60">
      <c r="A60" s="8">
        <v>25289</v>
      </c>
      <c r="B60" s="8">
        <v>25290</v>
      </c>
      <c r="C60" s="9">
        <f>B60-A60</f>
        <v>1</v>
      </c>
      <c r="D60" s="8">
        <v>25289</v>
      </c>
      <c r="E60" t="inlineStr">
        <is>
          <t xml:space="preserve">positive</t>
        </is>
      </c>
      <c r="F60" s="4">
        <v>1.21447069779617</v>
      </c>
      <c r="G60" s="6">
        <v>0.008109924707177174</v>
      </c>
      <c r="H60" s="7">
        <f>SUM(CE60,CZ60,DU60,EP60,FK60,GF60,HA60,HV60,IQ60,JL60)</f>
        <v>0.008109924707177174</v>
      </c>
      <c r="I60" s="7">
        <f>G60-H60</f>
        <v>0</v>
      </c>
      <c r="J60" s="5">
        <f>F60*(1+H60)</f>
        <v>1.2243199637143698</v>
      </c>
      <c r="K60" s="4">
        <v>1.2243199637143698</v>
      </c>
      <c r="L60" s="5">
        <f>K60-J60</f>
        <v>0</v>
      </c>
      <c r="M60" s="4">
        <v>1.814</v>
      </c>
      <c r="N60" s="4">
        <v>1.83</v>
      </c>
      <c r="O60" s="5">
        <f>M60/$M$3</f>
        <v>0.9264555669050052</v>
      </c>
      <c r="P60" s="5">
        <f>N60/$M$3</f>
        <v>0.9346271705822268</v>
      </c>
      <c r="Q60" s="7">
        <f>IFERROR(N60/M60-1,0)</f>
        <v>0.008820286659316334</v>
      </c>
      <c r="R60" s="5">
        <f>SUM(IF(BM60="lease",BU60,0),IF(CH60="lease",CP60,0),IF(DC60="lease",DK60,0),IF(DX60="lease",EF60,0),IF(ES60="lease",FA60,0),IF(FN60="lease",FV60,0),IF(GI60="lease",GQ60,0),IF(HD60="lease",HL60,0),IF(HY60="lease",IG60,0),IF(IT60="lease",JB60,0))</f>
        <v>1.2144706977961697</v>
      </c>
      <c r="S60" s="5">
        <f>SUM(IF(BM60="lease",BV60,0),IF(CH60="lease",CQ60,0),IF(DC60="lease",DL60,0),IF(DX60="lease",EG60,0),IF(ES60="lease",FB60,0),IF(FN60="lease",FW60,0),IF(GI60="lease",GR60,0),IF(HD60="lease",HM60,0),IF(HY60="lease",IH60,0),IF(IT60="lease",JC60,0))</f>
        <v>1.2243199637143696</v>
      </c>
      <c r="T60" s="5">
        <f>SUM(IF(BM60="keep",BU60,0),IF(CH60="keep",CP60,0),IF(DC60="keep",DK60,0),IF(DX60="keep",EF60,0),IF(ES60="keep",FA60,0),IF(FN60="keep",FV60,0),IF(GI60="keep",GQ60,0),IF(HD60="keep",HL60,0),IF(HY60="keep",IG60,0),IF(IT60="keep",JB60,0))</f>
        <v>0</v>
      </c>
      <c r="U60" s="5">
        <f>SUM(IF(BM60="keep",BV60,0),IF(CH60="keep",CQ60,0),IF(DC60="keep",DL60,0),IF(DX60="keep",EG60,0),IF(ES60="keep",FB60,0),IF(FN60="keep",FW60,0),IF(GI60="keep",GR60,0),IF(HD60="keep",HM60,0),IF(HY60="keep",IH60,0),IF(IT60="keep",JC60,0))</f>
        <v>0</v>
      </c>
      <c r="V60" s="5">
        <f>R60/O60</f>
        <v>1.31087851504129</v>
      </c>
      <c r="W60" s="5">
        <f>S60/P60</f>
        <v>1.3099554584441178</v>
      </c>
      <c r="X60" s="5">
        <f>T60/O60</f>
        <v>0</v>
      </c>
      <c r="Y60" s="5">
        <f>U60/P60</f>
        <v>0</v>
      </c>
      <c r="Z60" s="5">
        <f>V60+X60</f>
        <v>1.31087851504129</v>
      </c>
      <c r="AA60" s="7">
        <f>IFERROR(W60/V60-1,0)</f>
        <v>-0.0007041511372571918</v>
      </c>
      <c r="AB60" s="7">
        <f>IFERROR((W60-V60)/Z60,0)</f>
        <v>-0.0007041511372571507</v>
      </c>
      <c r="AC60" s="7">
        <f>IFERROR(Y60/X60-1,0)</f>
        <v>0</v>
      </c>
      <c r="AD60" s="7">
        <f>IFERROR((Y60-X60)/Z60,0)</f>
        <v>0</v>
      </c>
      <c r="AE60" s="7">
        <f>AB60+AD60</f>
        <v>-0.0007041511372571507</v>
      </c>
      <c r="AF60" s="7">
        <f>(1+Q60)*(1+AE60)-1</f>
        <v>0.008109924707176974</v>
      </c>
      <c r="AG60" s="7">
        <f>G60-AF60</f>
        <v>1.9949319973733282e-16</v>
      </c>
      <c r="AH60" s="5">
        <f>SUM(IF(BM60="lease",BW60,0),IF(CH60="lease",CR60,0),IF(DC60="lease",DM60,0),IF(DX60="lease",EH60,0),IF(ES60="lease",FC60,0),IF(FN60="lease",FX60,0),IF(GI60="lease",GS60,0),IF(HD60="lease",HN60,0),IF(HY60="lease",II60,0),IF(IT60="lease",JD60,0))</f>
        <v>0.009849265918199861</v>
      </c>
      <c r="AI60" s="5">
        <f>SUM(IF(BM60="keep",BW60,0),IF(CH60="keep",CR60,0),IF(DC60="keep",DM60,0),IF(DX60="keep",EH60,0),IF(ES60="keep",FC60,0),IF(FN60="keep",FX60,0),IF(GI60="keep",GS60,0),IF(HD60="keep",HN60,0),IF(HY60="keep",II60,0),IF(IT60="keep",JD60,0))</f>
        <v>0</v>
      </c>
      <c r="AJ60" s="5">
        <f>SUM(IF(BM60="lease",BX60,0),IF(CH60="lease",CS60,0),IF(DC60="lease",DN60,0),IF(DX60="lease",EI60,0),IF(ES60="lease",FD60,0),IF(FN60="lease",FY60,0),IF(GI60="lease",GT60,0),IF(HD60="lease",HO60,0),IF(HY60="lease",IJ60,0),IF(IT60="lease",JE60,0))</f>
        <v>0</v>
      </c>
      <c r="AK60" s="5">
        <f>SUM(IF(BM60="keep",BX60,0),IF(CH60="keep",CS60,0),IF(DC60="keep",DN60,0),IF(DX60="keep",EI60,0),IF(ES60="keep",FD60,0),IF(FN60="keep",FY60,0),IF(GI60="keep",GT60,0),IF(HD60="keep",HO60,0),IF(HY60="keep",IJ60,0),IF(IT60="keep",JE60,0))</f>
        <v>0</v>
      </c>
      <c r="AL60" s="5">
        <f>R60-S59</f>
        <v>0</v>
      </c>
      <c r="AM60" s="5">
        <f>T60-U59</f>
        <v>0</v>
      </c>
      <c r="AN60" s="5">
        <f>AN59</f>
        <v>1</v>
      </c>
      <c r="AO60" s="5">
        <f>AO59+AH60</f>
        <v>0.22431996371436988</v>
      </c>
      <c r="AP60" s="5">
        <f>AP59+AL60</f>
        <v>-4.440892098500626e-16</v>
      </c>
      <c r="AQ60" s="5">
        <f>AN60+AO60+AP60</f>
        <v>1.2243199637143694</v>
      </c>
      <c r="AR60" s="5">
        <f>S60-AQ60</f>
        <v>2.220446049250313e-16</v>
      </c>
      <c r="AS60" s="5">
        <f>AS59</f>
        <v>0</v>
      </c>
      <c r="AT60" s="5">
        <f>AT59+AI60</f>
        <v>0</v>
      </c>
      <c r="AU60" s="5">
        <f>AU59+AM60</f>
        <v>0</v>
      </c>
      <c r="AV60" s="5">
        <f>AS60+AT60+AU60</f>
        <v>0</v>
      </c>
      <c r="AW60" s="5">
        <f>U60-AV60</f>
        <v>0</v>
      </c>
      <c r="AX60" s="4">
        <v>1.2144706977961697</v>
      </c>
      <c r="AY60" s="4">
        <v>1.2243199637143696</v>
      </c>
      <c r="AZ60" s="5">
        <f>S60-AY60</f>
        <v>0</v>
      </c>
      <c r="BA60" s="4">
        <v>0</v>
      </c>
      <c r="BB60" s="4">
        <v>0</v>
      </c>
      <c r="BC60" s="5">
        <f>U60-BB60</f>
        <v>0</v>
      </c>
      <c r="BD60" s="7">
        <f>SUM(IF(BL60="direct",CE60,0),IF(CG60="direct",CZ60,0),IF(DB60="direct",DU60,0),IF(DW60="direct",EP60,0),IF(ER60="direct",FK60,0),IF(FM60="direct",GF60,0),IF(GH60="direct",HA60,0),IF(HC60="direct",HV60,0),IF(HX60="direct",IQ60,0),IF(IS60="direct",JL60,0))</f>
        <v>0.007992914905739388</v>
      </c>
      <c r="BE60" s="7">
        <f>SUM(IF(BL60="treasury",CE60,0),IF(CG60="treasury",CZ60,0),IF(DB60="treasury",DU60,0),IF(DW60="treasury",EP60,0),IF(ER60="treasury",FK60,0),IF(FM60="treasury",GF60,0),IF(GH60="treasury",HA60,0),IF(HC60="treasury",HV60,0),IF(HX60="treasury",IQ60,0),IF(IS60="treasury",JL60,0))</f>
        <v>0.000015150910096314224</v>
      </c>
      <c r="BF60" s="7">
        <f>SUM(IF(BL60="future",CE60,0),IF(CG60="future",CZ60,0),IF(DB60="future",DU60,0),IF(DW60="future",EP60,0),IF(ER60="future",FK60,0),IF(FM60="future",GF60,0),IF(GH60="future",HA60,0),IF(HC60="future",HV60,0),IF(HX60="future",IQ60,0),IF(IS60="future",JL60,0))</f>
        <v>0.00010185889134147102</v>
      </c>
      <c r="BG60" s="7">
        <f>SUM(IF(BL60="cash",CE60,0),IF(CG60="cash",CZ60,0),IF(DB60="cash",DU60,0),IF(DW60="cash",EP60,0),IF(ER60="cash",FK60,0),IF(FM60="cash",GF60,0),IF(GH60="cash",HA60,0),IF(HC60="cash",HV60,0),IF(HX60="cash",IQ60,0),IF(IS60="cash",JL60,0))</f>
        <v>0</v>
      </c>
      <c r="BH60" s="7">
        <f>SUM(BD60:BG60)</f>
        <v>0.008109924707177174</v>
      </c>
      <c r="BI60" s="7">
        <f>G60-BH60</f>
        <v>0</v>
      </c>
      <c r="BJ60" s="9">
        <f>COUNTA(BK60,CF60,DA60,DV60,EQ60,FL60,GG60,HB60,HW60,IR60)</f>
        <v>5</v>
      </c>
      <c r="BK60" t="inlineStr">
        <is>
          <t xml:space="preserve">Direct commodity holding</t>
        </is>
      </c>
      <c r="BL60" t="inlineStr">
        <is>
          <t xml:space="preserve">direct</t>
        </is>
      </c>
      <c r="BM60" t="inlineStr">
        <is>
          <t xml:space="preserve">lease</t>
        </is>
      </c>
      <c r="BN60" t="inlineStr">
        <is>
          <t xml:space="preserve">long</t>
        </is>
      </c>
      <c r="BO60"/>
      <c r="BP60" s="4">
        <v>1.814</v>
      </c>
      <c r="BQ60" s="4">
        <v>1.83</v>
      </c>
      <c r="BR60" s="4">
        <v>0.6071690506574148</v>
      </c>
      <c r="BS60" s="6">
        <v>0.9069009733138941</v>
      </c>
      <c r="BT60" s="4">
        <v>1.1014046578925505</v>
      </c>
      <c r="BU60" s="4">
        <v>1.1014046578925505</v>
      </c>
      <c r="BV60" s="4">
        <v>1.111119362703069</v>
      </c>
      <c r="BW60" s="4">
        <v>0.009707160942998722</v>
      </c>
      <c r="BX60" s="4">
        <v>0.000007543867519893208</v>
      </c>
      <c r="BY60" s="4">
        <v>1.814</v>
      </c>
      <c r="BZ60" s="4">
        <v>1.83</v>
      </c>
      <c r="CA60" s="6"/>
      <c r="CB60" s="6"/>
      <c r="CC60" s="6"/>
      <c r="CD60" s="9"/>
      <c r="CE60" s="7">
        <f>IFERROR(BW60/F60,0)</f>
        <v>0.007992914905739388</v>
      </c>
      <c r="CF60" t="inlineStr">
        <is>
          <t xml:space="preserve">Treasury collateral</t>
        </is>
      </c>
      <c r="CG60" t="inlineStr">
        <is>
          <t xml:space="preserve">treasury</t>
        </is>
      </c>
      <c r="CH60" t="inlineStr">
        <is>
          <t xml:space="preserve">lease</t>
        </is>
      </c>
      <c r="CI60" t="inlineStr">
        <is>
          <t xml:space="preserve">long</t>
        </is>
      </c>
      <c r="CJ60"/>
      <c r="CK60" s="4">
        <v>101.41310606618057</v>
      </c>
      <c r="CL60" s="4">
        <v>101.42961000727735</v>
      </c>
      <c r="CM60" s="4">
        <v>0.0011149056003652447</v>
      </c>
      <c r="CN60" s="6">
        <v>0.09309902668610592</v>
      </c>
      <c r="CO60" s="4">
        <v>0.1130660399036193</v>
      </c>
      <c r="CP60" s="4">
        <v>0.1130660399036193</v>
      </c>
      <c r="CQ60" s="4">
        <v>0.11308444023997619</v>
      </c>
      <c r="CR60" s="4">
        <v>0.000018400336356917772</v>
      </c>
      <c r="CS60" s="4">
        <v>-2.923618920742943e-17</v>
      </c>
      <c r="CT60" s="4">
        <v>1.814</v>
      </c>
      <c r="CU60" s="4">
        <v>1.83</v>
      </c>
      <c r="CV60" s="6"/>
      <c r="CW60" s="6"/>
      <c r="CX60" s="6"/>
      <c r="CY60" s="9">
        <v>62</v>
      </c>
      <c r="CZ60" s="7">
        <f>IFERROR(CR60/F60,0)</f>
        <v>0.000015150910096314224</v>
      </c>
      <c r="DA60" t="inlineStr">
        <is>
          <t xml:space="preserve">SI69K</t>
        </is>
      </c>
      <c r="DB60" t="inlineStr">
        <is>
          <t xml:space="preserve">future</t>
        </is>
      </c>
      <c r="DC60" t="inlineStr">
        <is>
          <t xml:space="preserve">lease</t>
        </is>
      </c>
      <c r="DD60" t="inlineStr">
        <is>
          <t xml:space="preserve">long</t>
        </is>
      </c>
      <c r="DE60" t="inlineStr">
        <is>
          <t xml:space="preserve">regular</t>
        </is>
      </c>
      <c r="DF60" s="4">
        <v>1.828</v>
      </c>
      <c r="DG60" s="4">
        <v>1.83</v>
      </c>
      <c r="DH60" s="4">
        <v>0.06185231942211121</v>
      </c>
      <c r="DI60" s="6">
        <v>0.09309902668610592</v>
      </c>
      <c r="DJ60" s="4">
        <v>0.1130660399036193</v>
      </c>
      <c r="DK60" s="4">
        <v>0</v>
      </c>
      <c r="DL60" s="4">
        <v>0</v>
      </c>
      <c r="DM60" s="4">
        <v>0.00012370463884422056</v>
      </c>
      <c r="DN60" s="4">
        <v>-0.00012370463884422056</v>
      </c>
      <c r="DO60" s="4">
        <v>1.814</v>
      </c>
      <c r="DP60" s="4">
        <v>1.83</v>
      </c>
      <c r="DQ60" s="6">
        <v>0.007717750826901959</v>
      </c>
      <c r="DR60" s="6">
        <v>0.0594</v>
      </c>
      <c r="DS60" s="6">
        <v>0.01396485400291589</v>
      </c>
      <c r="DT60" s="9">
        <v>62</v>
      </c>
      <c r="DU60" s="7">
        <f>IFERROR(DM60/F60,0)</f>
        <v>0.00010185889134147102</v>
      </c>
      <c r="DV60" t="inlineStr">
        <is>
          <t xml:space="preserve">Lease cash / margin / financing</t>
        </is>
      </c>
      <c r="DW60" t="inlineStr">
        <is>
          <t xml:space="preserve">cash</t>
        </is>
      </c>
      <c r="DX60" t="inlineStr">
        <is>
          <t xml:space="preserve">lease</t>
        </is>
      </c>
      <c r="DY60" t="inlineStr">
        <is>
          <t xml:space="preserve">cash</t>
        </is>
      </c>
      <c r="DZ60"/>
      <c r="EA60" s="4">
        <v>1</v>
      </c>
      <c r="EB60" s="4">
        <v>1</v>
      </c>
      <c r="EC60" s="4">
        <v>0</v>
      </c>
      <c r="ED60" s="6"/>
      <c r="EE60" s="4">
        <v>0</v>
      </c>
      <c r="EF60" s="4">
        <v>0</v>
      </c>
      <c r="EG60" s="4">
        <v>0.00011616077132435658</v>
      </c>
      <c r="EH60" s="4">
        <v>0</v>
      </c>
      <c r="EI60" s="4">
        <v>0.00011616077132435658</v>
      </c>
      <c r="EJ60" s="4">
        <v>1.814</v>
      </c>
      <c r="EK60" s="4">
        <v>1.83</v>
      </c>
      <c r="EL60" s="6"/>
      <c r="EM60" s="6"/>
      <c r="EN60" s="6"/>
      <c r="EO60" s="9"/>
      <c r="EP60" s="7">
        <f>IFERROR(EH60/F60,0)</f>
        <v>0</v>
      </c>
      <c r="EQ60" t="inlineStr">
        <is>
          <t xml:space="preserve">Keep cash / margin / financing</t>
        </is>
      </c>
      <c r="ER60" t="inlineStr">
        <is>
          <t xml:space="preserve">cash</t>
        </is>
      </c>
      <c r="ES60" t="inlineStr">
        <is>
          <t xml:space="preserve">keep</t>
        </is>
      </c>
      <c r="ET60" t="inlineStr">
        <is>
          <t xml:space="preserve">cash</t>
        </is>
      </c>
      <c r="EU60"/>
      <c r="EV60" s="4">
        <v>1</v>
      </c>
      <c r="EW60" s="4">
        <v>1</v>
      </c>
      <c r="EX60" s="4">
        <v>0</v>
      </c>
      <c r="EY60" s="6"/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1.814</v>
      </c>
      <c r="FF60" s="4">
        <v>1.83</v>
      </c>
      <c r="FG60" s="6"/>
      <c r="FH60" s="6"/>
      <c r="FI60" s="6"/>
      <c r="FJ60" s="9"/>
      <c r="FK60" s="7">
        <f>IFERROR(FC60/F60,0)</f>
        <v>0</v>
      </c>
      <c r="FL60"/>
      <c r="FM60"/>
      <c r="FN60"/>
      <c r="FO60"/>
      <c r="FP60"/>
      <c r="FQ60" s="4"/>
      <c r="FR60" s="4"/>
      <c r="FS60" s="4"/>
      <c r="FT60" s="6"/>
      <c r="FU60" s="4"/>
      <c r="FV60" s="4"/>
      <c r="FW60" s="4"/>
      <c r="FX60" s="4"/>
      <c r="FY60" s="4"/>
      <c r="FZ60" s="4"/>
      <c r="GA60" s="4"/>
      <c r="GB60" s="6"/>
      <c r="GC60" s="6"/>
      <c r="GD60" s="6"/>
      <c r="GE60" s="9"/>
      <c r="GF60"/>
      <c r="GG60"/>
      <c r="GH60"/>
      <c r="GI60"/>
      <c r="GJ60"/>
      <c r="GK60"/>
      <c r="GL60" s="4"/>
      <c r="GM60" s="4"/>
      <c r="GN60" s="4"/>
      <c r="GO60" s="6"/>
      <c r="GP60" s="4"/>
      <c r="GQ60" s="4"/>
      <c r="GR60" s="4"/>
      <c r="GS60" s="4"/>
      <c r="GT60" s="4"/>
      <c r="GU60" s="4"/>
      <c r="GV60" s="4"/>
      <c r="GW60" s="6"/>
      <c r="GX60" s="6"/>
      <c r="GY60" s="6"/>
      <c r="GZ60" s="9"/>
      <c r="HA60"/>
      <c r="HB60"/>
      <c r="HC60"/>
      <c r="HD60"/>
      <c r="HE60"/>
      <c r="HF60"/>
      <c r="HG60" s="4"/>
      <c r="HH60" s="4"/>
      <c r="HI60" s="4"/>
      <c r="HJ60" s="6"/>
      <c r="HK60" s="4"/>
      <c r="HL60" s="4"/>
      <c r="HM60" s="4"/>
      <c r="HN60" s="4"/>
      <c r="HO60" s="4"/>
      <c r="HP60" s="4"/>
      <c r="HQ60" s="4"/>
      <c r="HR60" s="6"/>
      <c r="HS60" s="6"/>
      <c r="HT60" s="6"/>
      <c r="HU60" s="9"/>
      <c r="HV60"/>
      <c r="HW60"/>
      <c r="HX60"/>
      <c r="HY60"/>
      <c r="HZ60"/>
      <c r="IA60"/>
      <c r="IB60" s="4"/>
      <c r="IC60" s="4"/>
      <c r="ID60" s="4"/>
      <c r="IE60" s="6"/>
      <c r="IF60" s="4"/>
      <c r="IG60" s="4"/>
      <c r="IH60" s="4"/>
      <c r="II60" s="4"/>
      <c r="IJ60" s="4"/>
      <c r="IK60" s="4"/>
      <c r="IL60" s="4"/>
      <c r="IM60" s="6"/>
      <c r="IN60" s="6"/>
      <c r="IO60" s="6"/>
      <c r="IP60" s="9"/>
      <c r="IQ60"/>
      <c r="IR60"/>
      <c r="IS60"/>
      <c r="IT60"/>
      <c r="IU60"/>
      <c r="IV60"/>
      <c r="IW60" s="4"/>
      <c r="IX60" s="4"/>
      <c r="IY60" s="4"/>
      <c r="IZ60" s="6"/>
      <c r="JA60" s="4"/>
      <c r="JB60" s="4"/>
      <c r="JC60" s="4"/>
      <c r="JD60" s="4"/>
      <c r="JE60" s="4"/>
      <c r="JF60" s="4"/>
      <c r="JG60" s="4"/>
      <c r="JH60" s="6"/>
      <c r="JI60" s="6"/>
      <c r="JJ60" s="6"/>
      <c r="JK60" s="9"/>
      <c r="JL60"/>
    </row>
    <row r="61">
      <c r="A61" s="8">
        <v>25290</v>
      </c>
      <c r="B61" s="8">
        <v>25294</v>
      </c>
      <c r="C61" s="9">
        <f>B61-A61</f>
        <v>4</v>
      </c>
      <c r="D61" s="8">
        <v>25290</v>
      </c>
      <c r="E61" t="inlineStr">
        <is>
          <t xml:space="preserve">positive</t>
        </is>
      </c>
      <c r="F61" s="4">
        <v>1.2243199637143698</v>
      </c>
      <c r="G61" s="6">
        <v>-0.013952861709209743</v>
      </c>
      <c r="H61" s="7">
        <f>SUM(CE61,CZ61,DU61,EP61,FK61,GF61,HA61,HV61,IQ61,JL61)</f>
        <v>-0.013952861709209743</v>
      </c>
      <c r="I61" s="7">
        <f>G61-H61</f>
        <v>0</v>
      </c>
      <c r="J61" s="5">
        <f>F61*(1+H61)</f>
        <v>1.2072371965728386</v>
      </c>
      <c r="K61" s="4">
        <v>1.2072371965728386</v>
      </c>
      <c r="L61" s="5">
        <f>K61-J61</f>
        <v>0</v>
      </c>
      <c r="M61" s="4">
        <v>1.83</v>
      </c>
      <c r="N61" s="4">
        <v>1.814</v>
      </c>
      <c r="O61" s="5">
        <f>M61/$M$3</f>
        <v>0.9346271705822268</v>
      </c>
      <c r="P61" s="5">
        <f>N61/$M$3</f>
        <v>0.9264555669050052</v>
      </c>
      <c r="Q61" s="7">
        <f>IFERROR(N61/M61-1,0)</f>
        <v>-0.008743169398907069</v>
      </c>
      <c r="R61" s="5">
        <f>SUM(IF(BM61="lease",BU61,0),IF(CH61="lease",CP61,0),IF(DC61="lease",DK61,0),IF(DX61="lease",EF61,0),IF(ES61="lease",FA61,0),IF(FN61="lease",FV61,0),IF(GI61="lease",GQ61,0),IF(HD61="lease",HL61,0),IF(HY61="lease",IG61,0),IF(IT61="lease",JB61,0))</f>
        <v>1.2243199637143696</v>
      </c>
      <c r="S61" s="5">
        <f>SUM(IF(BM61="lease",BV61,0),IF(CH61="lease",CQ61,0),IF(DC61="lease",DL61,0),IF(DX61="lease",EG61,0),IF(ES61="lease",FB61,0),IF(FN61="lease",FW61,0),IF(GI61="lease",GR61,0),IF(HD61="lease",HM61,0),IF(HY61="lease",IH61,0),IF(IT61="lease",JC61,0))</f>
        <v>1.2072371965728383</v>
      </c>
      <c r="T61" s="5">
        <f>SUM(IF(BM61="keep",BU61,0),IF(CH61="keep",CP61,0),IF(DC61="keep",DK61,0),IF(DX61="keep",EF61,0),IF(ES61="keep",FA61,0),IF(FN61="keep",FV61,0),IF(GI61="keep",GQ61,0),IF(HD61="keep",HL61,0),IF(HY61="keep",IG61,0),IF(IT61="keep",JB61,0))</f>
        <v>0</v>
      </c>
      <c r="U61" s="5">
        <f>SUM(IF(BM61="keep",BV61,0),IF(CH61="keep",CQ61,0),IF(DC61="keep",DL61,0),IF(DX61="keep",EG61,0),IF(ES61="keep",FB61,0),IF(FN61="keep",FW61,0),IF(GI61="keep",GR61,0),IF(HD61="keep",HM61,0),IF(HY61="keep",IH61,0),IF(IT61="keep",JC61,0))</f>
        <v>0</v>
      </c>
      <c r="V61" s="5">
        <f>R61/O61</f>
        <v>1.3099554584441178</v>
      </c>
      <c r="W61" s="5">
        <f>S61/P61</f>
        <v>1.303070799828896</v>
      </c>
      <c r="X61" s="5">
        <f>T61/O61</f>
        <v>0</v>
      </c>
      <c r="Y61" s="5">
        <f>U61/P61</f>
        <v>0</v>
      </c>
      <c r="Z61" s="5">
        <f>V61+X61</f>
        <v>1.3099554584441178</v>
      </c>
      <c r="AA61" s="7">
        <f>IFERROR(W61/V61-1,0)</f>
        <v>-0.005255643289886369</v>
      </c>
      <c r="AB61" s="7">
        <f>IFERROR((W61-V61)/Z61,0)</f>
        <v>-0.005255643289886335</v>
      </c>
      <c r="AC61" s="7">
        <f>IFERROR(Y61/X61-1,0)</f>
        <v>0</v>
      </c>
      <c r="AD61" s="7">
        <f>IFERROR((Y61-X61)/Z61,0)</f>
        <v>0</v>
      </c>
      <c r="AE61" s="7">
        <f>AB61+AD61</f>
        <v>-0.005255643289886335</v>
      </c>
      <c r="AF61" s="7">
        <f>(1+Q61)*(1+AE61)-1</f>
        <v>-0.01395286170920973</v>
      </c>
      <c r="AG61" s="7">
        <f>G61-AF61</f>
        <v>-1.3877787807814457e-17</v>
      </c>
      <c r="AH61" s="5">
        <f>SUM(IF(BM61="lease",BW61,0),IF(CH61="lease",CR61,0),IF(DC61="lease",DM61,0),IF(DX61="lease",EH61,0),IF(ES61="lease",FC61,0),IF(FN61="lease",FX61,0),IF(GI61="lease",GS61,0),IF(HD61="lease",HN61,0),IF(HY61="lease",II61,0),IF(IT61="lease",JD61,0))</f>
        <v>-0.017082767141531292</v>
      </c>
      <c r="AI61" s="5">
        <f>SUM(IF(BM61="keep",BW61,0),IF(CH61="keep",CR61,0),IF(DC61="keep",DM61,0),IF(DX61="keep",EH61,0),IF(ES61="keep",FC61,0),IF(FN61="keep",FX61,0),IF(GI61="keep",GS61,0),IF(HD61="keep",HN61,0),IF(HY61="keep",II61,0),IF(IT61="keep",JD61,0))</f>
        <v>0</v>
      </c>
      <c r="AJ61" s="5">
        <f>SUM(IF(BM61="lease",BX61,0),IF(CH61="lease",CS61,0),IF(DC61="lease",DN61,0),IF(DX61="lease",EI61,0),IF(ES61="lease",FD61,0),IF(FN61="lease",FY61,0),IF(GI61="lease",GT61,0),IF(HD61="lease",HO61,0),IF(HY61="lease",IJ61,0),IF(IT61="lease",JE61,0))</f>
        <v>0</v>
      </c>
      <c r="AK61" s="5">
        <f>SUM(IF(BM61="keep",BX61,0),IF(CH61="keep",CS61,0),IF(DC61="keep",DN61,0),IF(DX61="keep",EI61,0),IF(ES61="keep",FD61,0),IF(FN61="keep",FY61,0),IF(GI61="keep",GT61,0),IF(HD61="keep",HO61,0),IF(HY61="keep",IJ61,0),IF(IT61="keep",JE61,0))</f>
        <v>0</v>
      </c>
      <c r="AL61" s="5">
        <f>R61-S60</f>
        <v>0</v>
      </c>
      <c r="AM61" s="5">
        <f>T61-U60</f>
        <v>0</v>
      </c>
      <c r="AN61" s="5">
        <f>AN60</f>
        <v>1</v>
      </c>
      <c r="AO61" s="5">
        <f>AO60+AH61</f>
        <v>0.2072371965728386</v>
      </c>
      <c r="AP61" s="5">
        <f>AP60+AL61</f>
        <v>-4.440892098500626e-16</v>
      </c>
      <c r="AQ61" s="5">
        <f>AN61+AO61+AP61</f>
        <v>1.2072371965728381</v>
      </c>
      <c r="AR61" s="5">
        <f>S61-AQ61</f>
        <v>2.220446049250313e-16</v>
      </c>
      <c r="AS61" s="5">
        <f>AS60</f>
        <v>0</v>
      </c>
      <c r="AT61" s="5">
        <f>AT60+AI61</f>
        <v>0</v>
      </c>
      <c r="AU61" s="5">
        <f>AU60+AM61</f>
        <v>0</v>
      </c>
      <c r="AV61" s="5">
        <f>AS61+AT61+AU61</f>
        <v>0</v>
      </c>
      <c r="AW61" s="5">
        <f>U61-AV61</f>
        <v>0</v>
      </c>
      <c r="AX61" s="4">
        <v>1.2243199637143696</v>
      </c>
      <c r="AY61" s="4">
        <v>1.2072371965728383</v>
      </c>
      <c r="AZ61" s="5">
        <f>S61-AY61</f>
        <v>0</v>
      </c>
      <c r="BA61" s="4">
        <v>0</v>
      </c>
      <c r="BB61" s="4">
        <v>0</v>
      </c>
      <c r="BC61" s="5">
        <f>U61-BB61</f>
        <v>0</v>
      </c>
      <c r="BD61" s="7">
        <f>SUM(IF(BL61="direct",CE61,0),IF(CG61="direct",CZ61,0),IF(DB61="direct",DU61,0),IF(DW61="direct",EP61,0),IF(ER61="direct",FK61,0),IF(FM61="direct",GF61,0),IF(GH61="direct",HA61,0),IF(HC61="direct",HV61,0),IF(HX61="direct",IQ61,0),IF(IS61="direct",JL61,0))</f>
        <v>-0.005268187039948079</v>
      </c>
      <c r="BE61" s="7">
        <f>SUM(IF(BL61="treasury",CE61,0),IF(CG61="treasury",CZ61,0),IF(DB61="treasury",DU61,0),IF(DW61="treasury",EP61,0),IF(ER61="treasury",FK61,0),IF(FM61="treasury",GF61,0),IF(GH61="treasury",HA61,0),IF(HC61="treasury",HV61,0),IF(HX61="treasury",IQ61,0),IF(IS61="treasury",JL61,0))</f>
        <v>0.0002621377168949772</v>
      </c>
      <c r="BF61" s="7">
        <f>SUM(IF(BL61="future",CE61,0),IF(CG61="future",CZ61,0),IF(DB61="future",DU61,0),IF(DW61="future",EP61,0),IF(ER61="future",FK61,0),IF(FM61="future",GF61,0),IF(GH61="future",HA61,0),IF(HC61="future",HV61,0),IF(HX61="future",IQ61,0),IF(IS61="future",JL61,0))</f>
        <v>-0.008946812386156642</v>
      </c>
      <c r="BG61" s="7">
        <f>SUM(IF(BL61="cash",CE61,0),IF(CG61="cash",CZ61,0),IF(DB61="cash",DU61,0),IF(DW61="cash",EP61,0),IF(ER61="cash",FK61,0),IF(FM61="cash",GF61,0),IF(GH61="cash",HA61,0),IF(HC61="cash",HV61,0),IF(HX61="cash",IQ61,0),IF(IS61="cash",JL61,0))</f>
        <v>0</v>
      </c>
      <c r="BH61" s="7">
        <f>SUM(BD61:BG61)</f>
        <v>-0.013952861709209743</v>
      </c>
      <c r="BI61" s="7">
        <f>G61-BH61</f>
        <v>0</v>
      </c>
      <c r="BJ61" s="9">
        <f>COUNTA(BK61,CF61,DA61,DV61,EQ61,FL61,GG61,HB61,HW61,IR61)</f>
        <v>5</v>
      </c>
      <c r="BK61" t="inlineStr">
        <is>
          <t xml:space="preserve">Direct commodity holding</t>
        </is>
      </c>
      <c r="BL61" t="inlineStr">
        <is>
          <t xml:space="preserve">direct</t>
        </is>
      </c>
      <c r="BM61" t="inlineStr">
        <is>
          <t xml:space="preserve">lease</t>
        </is>
      </c>
      <c r="BN61" t="inlineStr">
        <is>
          <t xml:space="preserve">long</t>
        </is>
      </c>
      <c r="BO61"/>
      <c r="BP61" s="4">
        <v>1.83</v>
      </c>
      <c r="BQ61" s="4">
        <v>1.814</v>
      </c>
      <c r="BR61" s="4">
        <v>0.40186239974741245</v>
      </c>
      <c r="BS61" s="6">
        <v>0.6006666666666667</v>
      </c>
      <c r="BT61" s="4">
        <v>0.7354081915377648</v>
      </c>
      <c r="BU61" s="4">
        <v>0.7354081915377648</v>
      </c>
      <c r="BV61" s="4">
        <v>0.7289783931418062</v>
      </c>
      <c r="BW61" s="4">
        <v>-0.006449946565589746</v>
      </c>
      <c r="BX61" s="4">
        <v>0.000020148169631160028</v>
      </c>
      <c r="BY61" s="4">
        <v>1.83</v>
      </c>
      <c r="BZ61" s="4">
        <v>1.814</v>
      </c>
      <c r="CA61" s="6"/>
      <c r="CB61" s="6"/>
      <c r="CC61" s="6"/>
      <c r="CD61" s="9"/>
      <c r="CE61" s="7">
        <f>IFERROR(BW61/F61,0)</f>
        <v>-0.005268187039948079</v>
      </c>
      <c r="CF61" t="inlineStr">
        <is>
          <t xml:space="preserve">Treasury collateral</t>
        </is>
      </c>
      <c r="CG61" t="inlineStr">
        <is>
          <t xml:space="preserve">treasury</t>
        </is>
      </c>
      <c r="CH61" t="inlineStr">
        <is>
          <t xml:space="preserve">lease</t>
        </is>
      </c>
      <c r="CI61" t="inlineStr">
        <is>
          <t xml:space="preserve">long</t>
        </is>
      </c>
      <c r="CJ61"/>
      <c r="CK61" s="4">
        <v>101.42961000727735</v>
      </c>
      <c r="CL61" s="4">
        <v>101.49619229373693</v>
      </c>
      <c r="CM61" s="4">
        <v>0.004820207552227862</v>
      </c>
      <c r="CN61" s="6">
        <v>0.3993333333333334</v>
      </c>
      <c r="CO61" s="4">
        <v>0.48891177217660503</v>
      </c>
      <c r="CP61" s="4">
        <v>0.48891177217660503</v>
      </c>
      <c r="CQ61" s="4">
        <v>0.4892327126166421</v>
      </c>
      <c r="CR61" s="4">
        <v>0.0003209404400370262</v>
      </c>
      <c r="CS61" s="4">
        <v>2.791820594150174e-17</v>
      </c>
      <c r="CT61" s="4">
        <v>1.83</v>
      </c>
      <c r="CU61" s="4">
        <v>1.814</v>
      </c>
      <c r="CV61" s="6"/>
      <c r="CW61" s="6"/>
      <c r="CX61" s="6"/>
      <c r="CY61" s="9">
        <v>61</v>
      </c>
      <c r="CZ61" s="7">
        <f>IFERROR(CR61/F61,0)</f>
        <v>0.0002621377168949772</v>
      </c>
      <c r="DA61" t="inlineStr">
        <is>
          <t xml:space="preserve">SI69K</t>
        </is>
      </c>
      <c r="DB61" t="inlineStr">
        <is>
          <t xml:space="preserve">future</t>
        </is>
      </c>
      <c r="DC61" t="inlineStr">
        <is>
          <t xml:space="preserve">lease</t>
        </is>
      </c>
      <c r="DD61" t="inlineStr">
        <is>
          <t xml:space="preserve">long</t>
        </is>
      </c>
      <c r="DE61" t="inlineStr">
        <is>
          <t xml:space="preserve">regular</t>
        </is>
      </c>
      <c r="DF61" s="4">
        <v>1.83</v>
      </c>
      <c r="DG61" s="4">
        <v>1.7890000000000001</v>
      </c>
      <c r="DH61" s="4">
        <v>0.2671649028287459</v>
      </c>
      <c r="DI61" s="6">
        <v>0.3993333333333334</v>
      </c>
      <c r="DJ61" s="4">
        <v>0.48891177217660503</v>
      </c>
      <c r="DK61" s="4">
        <v>0</v>
      </c>
      <c r="DL61" s="4">
        <v>0</v>
      </c>
      <c r="DM61" s="4">
        <v>-0.010953761015978574</v>
      </c>
      <c r="DN61" s="4">
        <v>0.010953761015978574</v>
      </c>
      <c r="DO61" s="4">
        <v>1.83</v>
      </c>
      <c r="DP61" s="4">
        <v>1.814</v>
      </c>
      <c r="DQ61" s="6">
        <v>0</v>
      </c>
      <c r="DR61" s="6">
        <v>0.0599</v>
      </c>
      <c r="DS61" s="6">
        <v>0.0599</v>
      </c>
      <c r="DT61" s="9">
        <v>61</v>
      </c>
      <c r="DU61" s="7">
        <f>IFERROR(DM61/F61,0)</f>
        <v>-0.008946812386156642</v>
      </c>
      <c r="DV61" t="inlineStr">
        <is>
          <t xml:space="preserve">Lease cash / margin / financing</t>
        </is>
      </c>
      <c r="DW61" t="inlineStr">
        <is>
          <t xml:space="preserve">cash</t>
        </is>
      </c>
      <c r="DX61" t="inlineStr">
        <is>
          <t xml:space="preserve">lease</t>
        </is>
      </c>
      <c r="DY61" t="inlineStr">
        <is>
          <t xml:space="preserve">cash</t>
        </is>
      </c>
      <c r="DZ61"/>
      <c r="EA61" s="4">
        <v>1</v>
      </c>
      <c r="EB61" s="4">
        <v>1</v>
      </c>
      <c r="EC61" s="4">
        <v>-2.220446049250313e-16</v>
      </c>
      <c r="ED61" s="6"/>
      <c r="EE61" s="4">
        <v>-2.220446049250313e-16</v>
      </c>
      <c r="EF61" s="4">
        <v>-2.220446049250313e-16</v>
      </c>
      <c r="EG61" s="4">
        <v>-0.010973909185609984</v>
      </c>
      <c r="EH61" s="4">
        <v>0</v>
      </c>
      <c r="EI61" s="4">
        <v>-0.010973909185609762</v>
      </c>
      <c r="EJ61" s="4">
        <v>1.83</v>
      </c>
      <c r="EK61" s="4">
        <v>1.814</v>
      </c>
      <c r="EL61" s="6"/>
      <c r="EM61" s="6"/>
      <c r="EN61" s="6"/>
      <c r="EO61" s="9"/>
      <c r="EP61" s="7">
        <f>IFERROR(EH61/F61,0)</f>
        <v>0</v>
      </c>
      <c r="EQ61" t="inlineStr">
        <is>
          <t xml:space="preserve">Keep cash / margin / financing</t>
        </is>
      </c>
      <c r="ER61" t="inlineStr">
        <is>
          <t xml:space="preserve">cash</t>
        </is>
      </c>
      <c r="ES61" t="inlineStr">
        <is>
          <t xml:space="preserve">keep</t>
        </is>
      </c>
      <c r="ET61" t="inlineStr">
        <is>
          <t xml:space="preserve">cash</t>
        </is>
      </c>
      <c r="EU61"/>
      <c r="EV61" s="4">
        <v>1</v>
      </c>
      <c r="EW61" s="4">
        <v>1</v>
      </c>
      <c r="EX61" s="4">
        <v>0</v>
      </c>
      <c r="EY61" s="6"/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1.83</v>
      </c>
      <c r="FF61" s="4">
        <v>1.814</v>
      </c>
      <c r="FG61" s="6"/>
      <c r="FH61" s="6"/>
      <c r="FI61" s="6"/>
      <c r="FJ61" s="9"/>
      <c r="FK61" s="7">
        <f>IFERROR(FC61/F61,0)</f>
        <v>0</v>
      </c>
      <c r="FL61"/>
      <c r="FM61"/>
      <c r="FN61"/>
      <c r="FO61"/>
      <c r="FP61"/>
      <c r="FQ61" s="4"/>
      <c r="FR61" s="4"/>
      <c r="FS61" s="4"/>
      <c r="FT61" s="6"/>
      <c r="FU61" s="4"/>
      <c r="FV61" s="4"/>
      <c r="FW61" s="4"/>
      <c r="FX61" s="4"/>
      <c r="FY61" s="4"/>
      <c r="FZ61" s="4"/>
      <c r="GA61" s="4"/>
      <c r="GB61" s="6"/>
      <c r="GC61" s="6"/>
      <c r="GD61" s="6"/>
      <c r="GE61" s="9"/>
      <c r="GF61"/>
      <c r="GG61"/>
      <c r="GH61"/>
      <c r="GI61"/>
      <c r="GJ61"/>
      <c r="GK61"/>
      <c r="GL61" s="4"/>
      <c r="GM61" s="4"/>
      <c r="GN61" s="4"/>
      <c r="GO61" s="6"/>
      <c r="GP61" s="4"/>
      <c r="GQ61" s="4"/>
      <c r="GR61" s="4"/>
      <c r="GS61" s="4"/>
      <c r="GT61" s="4"/>
      <c r="GU61" s="4"/>
      <c r="GV61" s="4"/>
      <c r="GW61" s="6"/>
      <c r="GX61" s="6"/>
      <c r="GY61" s="6"/>
      <c r="GZ61" s="9"/>
      <c r="HA61"/>
      <c r="HB61"/>
      <c r="HC61"/>
      <c r="HD61"/>
      <c r="HE61"/>
      <c r="HF61"/>
      <c r="HG61" s="4"/>
      <c r="HH61" s="4"/>
      <c r="HI61" s="4"/>
      <c r="HJ61" s="6"/>
      <c r="HK61" s="4"/>
      <c r="HL61" s="4"/>
      <c r="HM61" s="4"/>
      <c r="HN61" s="4"/>
      <c r="HO61" s="4"/>
      <c r="HP61" s="4"/>
      <c r="HQ61" s="4"/>
      <c r="HR61" s="6"/>
      <c r="HS61" s="6"/>
      <c r="HT61" s="6"/>
      <c r="HU61" s="9"/>
      <c r="HV61"/>
      <c r="HW61"/>
      <c r="HX61"/>
      <c r="HY61"/>
      <c r="HZ61"/>
      <c r="IA61"/>
      <c r="IB61" s="4"/>
      <c r="IC61" s="4"/>
      <c r="ID61" s="4"/>
      <c r="IE61" s="6"/>
      <c r="IF61" s="4"/>
      <c r="IG61" s="4"/>
      <c r="IH61" s="4"/>
      <c r="II61" s="4"/>
      <c r="IJ61" s="4"/>
      <c r="IK61" s="4"/>
      <c r="IL61" s="4"/>
      <c r="IM61" s="6"/>
      <c r="IN61" s="6"/>
      <c r="IO61" s="6"/>
      <c r="IP61" s="9"/>
      <c r="IQ61"/>
      <c r="IR61"/>
      <c r="IS61"/>
      <c r="IT61"/>
      <c r="IU61"/>
      <c r="IV61"/>
      <c r="IW61" s="4"/>
      <c r="IX61" s="4"/>
      <c r="IY61" s="4"/>
      <c r="IZ61" s="6"/>
      <c r="JA61" s="4"/>
      <c r="JB61" s="4"/>
      <c r="JC61" s="4"/>
      <c r="JD61" s="4"/>
      <c r="JE61" s="4"/>
      <c r="JF61" s="4"/>
      <c r="JG61" s="4"/>
      <c r="JH61" s="6"/>
      <c r="JI61" s="6"/>
      <c r="JJ61" s="6"/>
      <c r="JK61" s="9"/>
      <c r="JL61"/>
    </row>
    <row r="62">
      <c r="A62" s="8">
        <v>25294</v>
      </c>
      <c r="B62" s="8">
        <v>25295</v>
      </c>
      <c r="C62" s="9">
        <f>B62-A62</f>
        <v>1</v>
      </c>
      <c r="D62" s="8">
        <v>25294</v>
      </c>
      <c r="E62" t="inlineStr">
        <is>
          <t xml:space="preserve">positive</t>
        </is>
      </c>
      <c r="F62" s="4">
        <v>1.2072371965728386</v>
      </c>
      <c r="G62" s="6">
        <v>0.01883087574225198</v>
      </c>
      <c r="H62" s="7">
        <f>SUM(CE62,CZ62,DU62,EP62,FK62,GF62,HA62,HV62,IQ62,JL62)</f>
        <v>0.01883087574225198</v>
      </c>
      <c r="I62" s="7">
        <f>G62-H62</f>
        <v>0</v>
      </c>
      <c r="J62" s="5">
        <f>F62*(1+H62)</f>
        <v>1.2299705302129262</v>
      </c>
      <c r="K62" s="4">
        <v>1.2299705302129262</v>
      </c>
      <c r="L62" s="5">
        <f>K62-J62</f>
        <v>0</v>
      </c>
      <c r="M62" s="4">
        <v>1.814</v>
      </c>
      <c r="N62" s="4">
        <v>1.799</v>
      </c>
      <c r="O62" s="5">
        <f>M62/$M$3</f>
        <v>0.9264555669050052</v>
      </c>
      <c r="P62" s="5">
        <f>N62/$M$3</f>
        <v>0.9187946884576098</v>
      </c>
      <c r="Q62" s="7">
        <f>IFERROR(N62/M62-1,0)</f>
        <v>-0.008269018743109258</v>
      </c>
      <c r="R62" s="5">
        <f>SUM(IF(BM62="lease",BU62,0),IF(CH62="lease",CP62,0),IF(DC62="lease",DK62,0),IF(DX62="lease",EF62,0),IF(ES62="lease",FA62,0),IF(FN62="lease",FV62,0),IF(GI62="lease",GQ62,0),IF(HD62="lease",HL62,0),IF(HY62="lease",IG62,0),IF(IT62="lease",JB62,0))</f>
        <v>1.2072371965728383</v>
      </c>
      <c r="S62" s="5">
        <f>SUM(IF(BM62="lease",BV62,0),IF(CH62="lease",CQ62,0),IF(DC62="lease",DL62,0),IF(DX62="lease",EG62,0),IF(ES62="lease",FB62,0),IF(FN62="lease",FW62,0),IF(GI62="lease",GR62,0),IF(HD62="lease",HM62,0),IF(HY62="lease",IH62,0),IF(IT62="lease",JC62,0))</f>
        <v>1.229970530212926</v>
      </c>
      <c r="T62" s="5">
        <f>SUM(IF(BM62="keep",BU62,0),IF(CH62="keep",CP62,0),IF(DC62="keep",DK62,0),IF(DX62="keep",EF62,0),IF(ES62="keep",FA62,0),IF(FN62="keep",FV62,0),IF(GI62="keep",GQ62,0),IF(HD62="keep",HL62,0),IF(HY62="keep",IG62,0),IF(IT62="keep",JB62,0))</f>
        <v>0</v>
      </c>
      <c r="U62" s="5">
        <f>SUM(IF(BM62="keep",BV62,0),IF(CH62="keep",CQ62,0),IF(DC62="keep",DL62,0),IF(DX62="keep",EG62,0),IF(ES62="keep",FB62,0),IF(FN62="keep",FW62,0),IF(GI62="keep",GR62,0),IF(HD62="keep",HM62,0),IF(HY62="keep",IH62,0),IF(IT62="keep",JC62,0))</f>
        <v>0</v>
      </c>
      <c r="V62" s="5">
        <f>R62/O62</f>
        <v>1.303070799828896</v>
      </c>
      <c r="W62" s="5">
        <f>S62/P62</f>
        <v>1.3386783202650967</v>
      </c>
      <c r="X62" s="5">
        <f>T62/O62</f>
        <v>0</v>
      </c>
      <c r="Y62" s="5">
        <f>U62/P62</f>
        <v>0</v>
      </c>
      <c r="Z62" s="5">
        <f>V62+X62</f>
        <v>1.303070799828896</v>
      </c>
      <c r="AA62" s="7">
        <f>IFERROR(W62/V62-1,0)</f>
        <v>0.02732585247162045</v>
      </c>
      <c r="AB62" s="7">
        <f>IFERROR((W62-V62)/Z62,0)</f>
        <v>0.02732585247162035</v>
      </c>
      <c r="AC62" s="7">
        <f>IFERROR(Y62/X62-1,0)</f>
        <v>0</v>
      </c>
      <c r="AD62" s="7">
        <f>IFERROR((Y62-X62)/Z62,0)</f>
        <v>0</v>
      </c>
      <c r="AE62" s="7">
        <f>AB62+AD62</f>
        <v>0.02732585247162035</v>
      </c>
      <c r="AF62" s="7">
        <f>(1+Q62)*(1+AE62)-1</f>
        <v>0.01883087574225195</v>
      </c>
      <c r="AG62" s="7">
        <f>G62-AF62</f>
        <v>2.7755575615628914e-17</v>
      </c>
      <c r="AH62" s="5">
        <f>SUM(IF(BM62="lease",BW62,0),IF(CH62="lease",CR62,0),IF(DC62="lease",DM62,0),IF(DX62="lease",EH62,0),IF(ES62="lease",FC62,0),IF(FN62="lease",FX62,0),IF(GI62="lease",GS62,0),IF(HD62="lease",HN62,0),IF(HY62="lease",II62,0),IF(IT62="lease",JD62,0))</f>
        <v>0.02273333364008775</v>
      </c>
      <c r="AI62" s="5">
        <f>SUM(IF(BM62="keep",BW62,0),IF(CH62="keep",CR62,0),IF(DC62="keep",DM62,0),IF(DX62="keep",EH62,0),IF(ES62="keep",FC62,0),IF(FN62="keep",FX62,0),IF(GI62="keep",GS62,0),IF(HD62="keep",HN62,0),IF(HY62="keep",II62,0),IF(IT62="keep",JD62,0))</f>
        <v>0</v>
      </c>
      <c r="AJ62" s="5">
        <f>SUM(IF(BM62="lease",BX62,0),IF(CH62="lease",CS62,0),IF(DC62="lease",DN62,0),IF(DX62="lease",EI62,0),IF(ES62="lease",FD62,0),IF(FN62="lease",FY62,0),IF(GI62="lease",GT62,0),IF(HD62="lease",HO62,0),IF(HY62="lease",IJ62,0),IF(IT62="lease",JE62,0))</f>
        <v>0</v>
      </c>
      <c r="AK62" s="5">
        <f>SUM(IF(BM62="keep",BX62,0),IF(CH62="keep",CS62,0),IF(DC62="keep",DN62,0),IF(DX62="keep",EI62,0),IF(ES62="keep",FD62,0),IF(FN62="keep",FY62,0),IF(GI62="keep",GT62,0),IF(HD62="keep",HO62,0),IF(HY62="keep",IJ62,0),IF(IT62="keep",JE62,0))</f>
        <v>0</v>
      </c>
      <c r="AL62" s="5">
        <f>R62-S61</f>
        <v>0</v>
      </c>
      <c r="AM62" s="5">
        <f>T62-U61</f>
        <v>0</v>
      </c>
      <c r="AN62" s="5">
        <f>AN61</f>
        <v>1</v>
      </c>
      <c r="AO62" s="5">
        <f>AO61+AH62</f>
        <v>0.22997053021292635</v>
      </c>
      <c r="AP62" s="5">
        <f>AP61+AL62</f>
        <v>-4.440892098500626e-16</v>
      </c>
      <c r="AQ62" s="5">
        <f>AN62+AO62+AP62</f>
        <v>1.2299705302129258</v>
      </c>
      <c r="AR62" s="5">
        <f>S62-AQ62</f>
        <v>2.220446049250313e-16</v>
      </c>
      <c r="AS62" s="5">
        <f>AS61</f>
        <v>0</v>
      </c>
      <c r="AT62" s="5">
        <f>AT61+AI62</f>
        <v>0</v>
      </c>
      <c r="AU62" s="5">
        <f>AU61+AM62</f>
        <v>0</v>
      </c>
      <c r="AV62" s="5">
        <f>AS62+AT62+AU62</f>
        <v>0</v>
      </c>
      <c r="AW62" s="5">
        <f>U62-AV62</f>
        <v>0</v>
      </c>
      <c r="AX62" s="4">
        <v>1.2072371965728383</v>
      </c>
      <c r="AY62" s="4">
        <v>1.229970530212926</v>
      </c>
      <c r="AZ62" s="5">
        <f>S62-AY62</f>
        <v>0</v>
      </c>
      <c r="BA62" s="4">
        <v>0</v>
      </c>
      <c r="BB62" s="4">
        <v>0</v>
      </c>
      <c r="BC62" s="5">
        <f>U62-BB62</f>
        <v>0</v>
      </c>
      <c r="BD62" s="7">
        <f>SUM(IF(BL62="direct",CE62,0),IF(CG62="direct",CZ62,0),IF(DB62="direct",DU62,0),IF(DW62="direct",EP62,0),IF(ER62="direct",FK62,0),IF(FM62="direct",GF62,0),IF(GH62="direct",HA62,0),IF(HC62="direct",HV62,0),IF(HX62="direct",IQ62,0),IF(IS62="direct",JL62,0))</f>
        <v>-0.0001020015398639357</v>
      </c>
      <c r="BE62" s="7">
        <f>SUM(IF(BL62="treasury",CE62,0),IF(CG62="treasury",CZ62,0),IF(DB62="treasury",DU62,0),IF(DW62="treasury",EP62,0),IF(ER62="treasury",FK62,0),IF(FM62="treasury",GF62,0),IF(GH62="treasury",HA62,0),IF(HC62="treasury",HV62,0),IF(HX62="treasury",IQ62,0),IF(IS62="treasury",JL62,0))</f>
        <v>0.0001620869092846094</v>
      </c>
      <c r="BF62" s="7">
        <f>SUM(IF(BL62="future",CE62,0),IF(CG62="future",CZ62,0),IF(DB62="future",DU62,0),IF(DW62="future",EP62,0),IF(ER62="future",FK62,0),IF(FM62="future",GF62,0),IF(GH62="future",HA62,0),IF(HC62="future",HV62,0),IF(HX62="future",IQ62,0),IF(IS62="future",JL62,0))</f>
        <v>0.018770790372831306</v>
      </c>
      <c r="BG62" s="7">
        <f>SUM(IF(BL62="cash",CE62,0),IF(CG62="cash",CZ62,0),IF(DB62="cash",DU62,0),IF(DW62="cash",EP62,0),IF(ER62="cash",FK62,0),IF(FM62="cash",GF62,0),IF(GH62="cash",HA62,0),IF(HC62="cash",HV62,0),IF(HX62="cash",IQ62,0),IF(IS62="cash",JL62,0))</f>
        <v>0</v>
      </c>
      <c r="BH62" s="7">
        <f>SUM(BD62:BG62)</f>
        <v>0.01883087574225198</v>
      </c>
      <c r="BI62" s="7">
        <f>G62-BH62</f>
        <v>0</v>
      </c>
      <c r="BJ62" s="9">
        <f>COUNTA(BK62,CF62,DA62,DV62,EQ62,FL62,GG62,HB62,HW62,IR62)</f>
        <v>5</v>
      </c>
      <c r="BK62" t="inlineStr">
        <is>
          <t xml:space="preserve">Direct commodity holding</t>
        </is>
      </c>
      <c r="BL62" t="inlineStr">
        <is>
          <t xml:space="preserve">direct</t>
        </is>
      </c>
      <c r="BM62" t="inlineStr">
        <is>
          <t xml:space="preserve">lease</t>
        </is>
      </c>
      <c r="BN62" t="inlineStr">
        <is>
          <t xml:space="preserve">long</t>
        </is>
      </c>
      <c r="BO62"/>
      <c r="BP62" s="4">
        <v>1.814</v>
      </c>
      <c r="BQ62" s="4">
        <v>1.799</v>
      </c>
      <c r="BR62" s="4">
        <v>0.008202542616568524</v>
      </c>
      <c r="BS62" s="6">
        <v>0.012325177147204935</v>
      </c>
      <c r="BT62" s="4">
        <v>0.014879412306455302</v>
      </c>
      <c r="BU62" s="4">
        <v>0.014879412306455302</v>
      </c>
      <c r="BV62" s="4">
        <v>0.014756374167206774</v>
      </c>
      <c r="BW62" s="4">
        <v>-0.00012314005303145037</v>
      </c>
      <c r="BX62" s="4">
        <v>1.019137829220691e-7</v>
      </c>
      <c r="BY62" s="4">
        <v>1.814</v>
      </c>
      <c r="BZ62" s="4">
        <v>1.799</v>
      </c>
      <c r="CA62" s="6"/>
      <c r="CB62" s="6"/>
      <c r="CC62" s="6"/>
      <c r="CD62" s="9"/>
      <c r="CE62" s="7">
        <f>IFERROR(BW62/F62,0)</f>
        <v>-0.0001020015398639357</v>
      </c>
      <c r="CF62" t="inlineStr">
        <is>
          <t xml:space="preserve">Treasury collateral</t>
        </is>
      </c>
      <c r="CG62" t="inlineStr">
        <is>
          <t xml:space="preserve">treasury</t>
        </is>
      </c>
      <c r="CH62" t="inlineStr">
        <is>
          <t xml:space="preserve">lease</t>
        </is>
      </c>
      <c r="CI62" t="inlineStr">
        <is>
          <t xml:space="preserve">long</t>
        </is>
      </c>
      <c r="CJ62"/>
      <c r="CK62" s="4">
        <v>101.49619229373693</v>
      </c>
      <c r="CL62" s="4">
        <v>101.51284879214346</v>
      </c>
      <c r="CM62" s="4">
        <v>0.011747808044026108</v>
      </c>
      <c r="CN62" s="6">
        <v>0.9876748228527952</v>
      </c>
      <c r="CO62" s="4">
        <v>1.1923577842663833</v>
      </c>
      <c r="CP62" s="4">
        <v>1.1923577842663833</v>
      </c>
      <c r="CQ62" s="4">
        <v>1.1925534616123488</v>
      </c>
      <c r="CR62" s="4">
        <v>0.00019567734596590784</v>
      </c>
      <c r="CS62" s="4">
        <v>-4.2413988987632933e-16</v>
      </c>
      <c r="CT62" s="4">
        <v>1.814</v>
      </c>
      <c r="CU62" s="4">
        <v>1.799</v>
      </c>
      <c r="CV62" s="6"/>
      <c r="CW62" s="6"/>
      <c r="CX62" s="6"/>
      <c r="CY62" s="9">
        <v>57</v>
      </c>
      <c r="CZ62" s="7">
        <f>IFERROR(CR62/F62,0)</f>
        <v>0.0001620869092846094</v>
      </c>
      <c r="DA62" t="inlineStr">
        <is>
          <t xml:space="preserve">SI69K</t>
        </is>
      </c>
      <c r="DB62" t="inlineStr">
        <is>
          <t xml:space="preserve">future</t>
        </is>
      </c>
      <c r="DC62" t="inlineStr">
        <is>
          <t xml:space="preserve">lease</t>
        </is>
      </c>
      <c r="DD62" t="inlineStr">
        <is>
          <t xml:space="preserve">long</t>
        </is>
      </c>
      <c r="DE62" t="inlineStr">
        <is>
          <t xml:space="preserve">regular</t>
        </is>
      </c>
      <c r="DF62" s="4">
        <v>1.7890000000000001</v>
      </c>
      <c r="DG62" s="4">
        <v>1.8230000000000002</v>
      </c>
      <c r="DH62" s="4">
        <v>0.6664940102103875</v>
      </c>
      <c r="DI62" s="6">
        <v>0.9876748228527952</v>
      </c>
      <c r="DJ62" s="4">
        <v>1.1923577842663833</v>
      </c>
      <c r="DK62" s="4">
        <v>0</v>
      </c>
      <c r="DL62" s="4">
        <v>0</v>
      </c>
      <c r="DM62" s="4">
        <v>0.022660796347153293</v>
      </c>
      <c r="DN62" s="4">
        <v>-0.022660796347153293</v>
      </c>
      <c r="DO62" s="4">
        <v>1.814</v>
      </c>
      <c r="DP62" s="4">
        <v>1.799</v>
      </c>
      <c r="DQ62" s="6">
        <v>-0.013781697905181911</v>
      </c>
      <c r="DR62" s="6">
        <v>0.0599</v>
      </c>
      <c r="DS62" s="6">
        <v>0.14815122342791925</v>
      </c>
      <c r="DT62" s="9">
        <v>57</v>
      </c>
      <c r="DU62" s="7">
        <f>IFERROR(DM62/F62,0)</f>
        <v>0.018770790372831306</v>
      </c>
      <c r="DV62" t="inlineStr">
        <is>
          <t xml:space="preserve">Lease cash / margin / financing</t>
        </is>
      </c>
      <c r="DW62" t="inlineStr">
        <is>
          <t xml:space="preserve">cash</t>
        </is>
      </c>
      <c r="DX62" t="inlineStr">
        <is>
          <t xml:space="preserve">lease</t>
        </is>
      </c>
      <c r="DY62" t="inlineStr">
        <is>
          <t xml:space="preserve">cash</t>
        </is>
      </c>
      <c r="DZ62"/>
      <c r="EA62" s="4">
        <v>1</v>
      </c>
      <c r="EB62" s="4">
        <v>1</v>
      </c>
      <c r="EC62" s="4">
        <v>-2.220446049250313e-16</v>
      </c>
      <c r="ED62" s="6"/>
      <c r="EE62" s="4">
        <v>-2.220446049250313e-16</v>
      </c>
      <c r="EF62" s="4">
        <v>-2.220446049250313e-16</v>
      </c>
      <c r="EG62" s="4">
        <v>0.022660694433370574</v>
      </c>
      <c r="EH62" s="4">
        <v>0</v>
      </c>
      <c r="EI62" s="4">
        <v>0.022660694433370796</v>
      </c>
      <c r="EJ62" s="4">
        <v>1.814</v>
      </c>
      <c r="EK62" s="4">
        <v>1.799</v>
      </c>
      <c r="EL62" s="6"/>
      <c r="EM62" s="6"/>
      <c r="EN62" s="6"/>
      <c r="EO62" s="9"/>
      <c r="EP62" s="7">
        <f>IFERROR(EH62/F62,0)</f>
        <v>0</v>
      </c>
      <c r="EQ62" t="inlineStr">
        <is>
          <t xml:space="preserve">Keep cash / margin / financing</t>
        </is>
      </c>
      <c r="ER62" t="inlineStr">
        <is>
          <t xml:space="preserve">cash</t>
        </is>
      </c>
      <c r="ES62" t="inlineStr">
        <is>
          <t xml:space="preserve">keep</t>
        </is>
      </c>
      <c r="ET62" t="inlineStr">
        <is>
          <t xml:space="preserve">cash</t>
        </is>
      </c>
      <c r="EU62"/>
      <c r="EV62" s="4">
        <v>1</v>
      </c>
      <c r="EW62" s="4">
        <v>1</v>
      </c>
      <c r="EX62" s="4">
        <v>0</v>
      </c>
      <c r="EY62" s="6"/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1.814</v>
      </c>
      <c r="FF62" s="4">
        <v>1.799</v>
      </c>
      <c r="FG62" s="6"/>
      <c r="FH62" s="6"/>
      <c r="FI62" s="6"/>
      <c r="FJ62" s="9"/>
      <c r="FK62" s="7">
        <f>IFERROR(FC62/F62,0)</f>
        <v>0</v>
      </c>
      <c r="FL62"/>
      <c r="FM62"/>
      <c r="FN62"/>
      <c r="FO62"/>
      <c r="FP62"/>
      <c r="FQ62" s="4"/>
      <c r="FR62" s="4"/>
      <c r="FS62" s="4"/>
      <c r="FT62" s="6"/>
      <c r="FU62" s="4"/>
      <c r="FV62" s="4"/>
      <c r="FW62" s="4"/>
      <c r="FX62" s="4"/>
      <c r="FY62" s="4"/>
      <c r="FZ62" s="4"/>
      <c r="GA62" s="4"/>
      <c r="GB62" s="6"/>
      <c r="GC62" s="6"/>
      <c r="GD62" s="6"/>
      <c r="GE62" s="9"/>
      <c r="GF62"/>
      <c r="GG62"/>
      <c r="GH62"/>
      <c r="GI62"/>
      <c r="GJ62"/>
      <c r="GK62"/>
      <c r="GL62" s="4"/>
      <c r="GM62" s="4"/>
      <c r="GN62" s="4"/>
      <c r="GO62" s="6"/>
      <c r="GP62" s="4"/>
      <c r="GQ62" s="4"/>
      <c r="GR62" s="4"/>
      <c r="GS62" s="4"/>
      <c r="GT62" s="4"/>
      <c r="GU62" s="4"/>
      <c r="GV62" s="4"/>
      <c r="GW62" s="6"/>
      <c r="GX62" s="6"/>
      <c r="GY62" s="6"/>
      <c r="GZ62" s="9"/>
      <c r="HA62"/>
      <c r="HB62"/>
      <c r="HC62"/>
      <c r="HD62"/>
      <c r="HE62"/>
      <c r="HF62"/>
      <c r="HG62" s="4"/>
      <c r="HH62" s="4"/>
      <c r="HI62" s="4"/>
      <c r="HJ62" s="6"/>
      <c r="HK62" s="4"/>
      <c r="HL62" s="4"/>
      <c r="HM62" s="4"/>
      <c r="HN62" s="4"/>
      <c r="HO62" s="4"/>
      <c r="HP62" s="4"/>
      <c r="HQ62" s="4"/>
      <c r="HR62" s="6"/>
      <c r="HS62" s="6"/>
      <c r="HT62" s="6"/>
      <c r="HU62" s="9"/>
      <c r="HV62"/>
      <c r="HW62"/>
      <c r="HX62"/>
      <c r="HY62"/>
      <c r="HZ62"/>
      <c r="IA62"/>
      <c r="IB62" s="4"/>
      <c r="IC62" s="4"/>
      <c r="ID62" s="4"/>
      <c r="IE62" s="6"/>
      <c r="IF62" s="4"/>
      <c r="IG62" s="4"/>
      <c r="IH62" s="4"/>
      <c r="II62" s="4"/>
      <c r="IJ62" s="4"/>
      <c r="IK62" s="4"/>
      <c r="IL62" s="4"/>
      <c r="IM62" s="6"/>
      <c r="IN62" s="6"/>
      <c r="IO62" s="6"/>
      <c r="IP62" s="9"/>
      <c r="IQ62"/>
      <c r="IR62"/>
      <c r="IS62"/>
      <c r="IT62"/>
      <c r="IU62"/>
      <c r="IV62"/>
      <c r="IW62" s="4"/>
      <c r="IX62" s="4"/>
      <c r="IY62" s="4"/>
      <c r="IZ62" s="6"/>
      <c r="JA62" s="4"/>
      <c r="JB62" s="4"/>
      <c r="JC62" s="4"/>
      <c r="JD62" s="4"/>
      <c r="JE62" s="4"/>
      <c r="JF62" s="4"/>
      <c r="JG62" s="4"/>
      <c r="JH62" s="6"/>
      <c r="JI62" s="6"/>
      <c r="JJ62" s="6"/>
      <c r="JK62" s="9"/>
      <c r="JL62"/>
    </row>
    <row r="63">
      <c r="A63" s="8">
        <v>25295</v>
      </c>
      <c r="B63" s="8">
        <v>25296</v>
      </c>
      <c r="C63" s="9">
        <f>B63-A63</f>
        <v>1</v>
      </c>
      <c r="D63" s="8">
        <v>25295</v>
      </c>
      <c r="E63" t="inlineStr">
        <is>
          <t xml:space="preserve">neutral</t>
        </is>
      </c>
      <c r="F63" s="4">
        <v>1.2299705302129262</v>
      </c>
      <c r="G63" s="6">
        <v>0.020004267972313316</v>
      </c>
      <c r="H63" s="7">
        <f>SUM(CE63,CZ63,DU63,EP63,FK63,GF63,HA63,HV63,IQ63,JL63)</f>
        <v>0.020004267972313316</v>
      </c>
      <c r="I63" s="7">
        <f>G63-H63</f>
        <v>0</v>
      </c>
      <c r="J63" s="5">
        <f>F63*(1+H63)</f>
        <v>1.2545751902973539</v>
      </c>
      <c r="K63" s="4">
        <v>1.2545751902973539</v>
      </c>
      <c r="L63" s="5">
        <f>K63-J63</f>
        <v>0</v>
      </c>
      <c r="M63" s="4">
        <v>1.799</v>
      </c>
      <c r="N63" s="4">
        <v>1.835</v>
      </c>
      <c r="O63" s="5">
        <f>M63/$M$3</f>
        <v>0.9187946884576098</v>
      </c>
      <c r="P63" s="5">
        <f>N63/$M$3</f>
        <v>0.9371807967313586</v>
      </c>
      <c r="Q63" s="7">
        <f>IFERROR(N63/M63-1,0)</f>
        <v>0.020011117287381808</v>
      </c>
      <c r="R63" s="5">
        <f>SUM(IF(BM63="lease",BU63,0),IF(CH63="lease",CP63,0),IF(DC63="lease",DK63,0),IF(DX63="lease",EF63,0),IF(ES63="lease",FA63,0),IF(FN63="lease",FV63,0),IF(GI63="lease",GQ63,0),IF(HD63="lease",HL63,0),IF(HY63="lease",IG63,0),IF(IT63="lease",JB63,0))</f>
        <v>1.229970530212926</v>
      </c>
      <c r="S63" s="5">
        <f>SUM(IF(BM63="lease",BV63,0),IF(CH63="lease",CQ63,0),IF(DC63="lease",DL63,0),IF(DX63="lease",EG63,0),IF(ES63="lease",FB63,0),IF(FN63="lease",FW63,0),IF(GI63="lease",GR63,0),IF(HD63="lease",HM63,0),IF(HY63="lease",IH63,0),IF(IT63="lease",JC63,0))</f>
        <v>1.2545751902973536</v>
      </c>
      <c r="T63" s="5">
        <f>SUM(IF(BM63="keep",BU63,0),IF(CH63="keep",CP63,0),IF(DC63="keep",DK63,0),IF(DX63="keep",EF63,0),IF(ES63="keep",FA63,0),IF(FN63="keep",FV63,0),IF(GI63="keep",GQ63,0),IF(HD63="keep",HL63,0),IF(HY63="keep",IG63,0),IF(IT63="keep",JB63,0))</f>
        <v>0</v>
      </c>
      <c r="U63" s="5">
        <f>SUM(IF(BM63="keep",BV63,0),IF(CH63="keep",CQ63,0),IF(DC63="keep",DL63,0),IF(DX63="keep",EG63,0),IF(ES63="keep",FB63,0),IF(FN63="keep",FW63,0),IF(GI63="keep",GR63,0),IF(HD63="keep",HM63,0),IF(HY63="keep",IH63,0),IF(IT63="keep",JC63,0))</f>
        <v>0</v>
      </c>
      <c r="V63" s="5">
        <f>R63/O63</f>
        <v>1.3386783202650967</v>
      </c>
      <c r="W63" s="5">
        <f>S63/P63</f>
        <v>1.338669331118375</v>
      </c>
      <c r="X63" s="5">
        <f>T63/O63</f>
        <v>0</v>
      </c>
      <c r="Y63" s="5">
        <f>U63/P63</f>
        <v>0</v>
      </c>
      <c r="Z63" s="5">
        <f>V63+X63</f>
        <v>1.3386783202650967</v>
      </c>
      <c r="AA63" s="7">
        <f>IFERROR(W63/V63-1,0)</f>
        <v>-0.000006714941584995415</v>
      </c>
      <c r="AB63" s="7">
        <f>IFERROR((W63-V63)/Z63,0)</f>
        <v>-0.000006714941584972799</v>
      </c>
      <c r="AC63" s="7">
        <f>IFERROR(Y63/X63-1,0)</f>
        <v>0</v>
      </c>
      <c r="AD63" s="7">
        <f>IFERROR((Y63-X63)/Z63,0)</f>
        <v>0</v>
      </c>
      <c r="AE63" s="7">
        <f>AB63+AD63</f>
        <v>-0.000006714941584972799</v>
      </c>
      <c r="AF63" s="7">
        <f>(1+Q63)*(1+AE63)-1</f>
        <v>0.02000426797231314</v>
      </c>
      <c r="AG63" s="7">
        <f>G63-AF63</f>
        <v>1.7694179454963432e-16</v>
      </c>
      <c r="AH63" s="5">
        <f>SUM(IF(BM63="lease",BW63,0),IF(CH63="lease",CR63,0),IF(DC63="lease",DM63,0),IF(DX63="lease",EH63,0),IF(ES63="lease",FC63,0),IF(FN63="lease",FX63,0),IF(GI63="lease",GS63,0),IF(HD63="lease",HN63,0),IF(HY63="lease",II63,0),IF(IT63="lease",JD63,0))</f>
        <v>0.024604660084427667</v>
      </c>
      <c r="AI63" s="5">
        <f>SUM(IF(BM63="keep",BW63,0),IF(CH63="keep",CR63,0),IF(DC63="keep",DM63,0),IF(DX63="keep",EH63,0),IF(ES63="keep",FC63,0),IF(FN63="keep",FX63,0),IF(GI63="keep",GS63,0),IF(HD63="keep",HN63,0),IF(HY63="keep",II63,0),IF(IT63="keep",JD63,0))</f>
        <v>0</v>
      </c>
      <c r="AJ63" s="5">
        <f>SUM(IF(BM63="lease",BX63,0),IF(CH63="lease",CS63,0),IF(DC63="lease",DN63,0),IF(DX63="lease",EI63,0),IF(ES63="lease",FD63,0),IF(FN63="lease",FY63,0),IF(GI63="lease",GT63,0),IF(HD63="lease",HO63,0),IF(HY63="lease",IJ63,0),IF(IT63="lease",JE63,0))</f>
        <v>0</v>
      </c>
      <c r="AK63" s="5">
        <f>SUM(IF(BM63="keep",BX63,0),IF(CH63="keep",CS63,0),IF(DC63="keep",DN63,0),IF(DX63="keep",EI63,0),IF(ES63="keep",FD63,0),IF(FN63="keep",FY63,0),IF(GI63="keep",GT63,0),IF(HD63="keep",HO63,0),IF(HY63="keep",IJ63,0),IF(IT63="keep",JE63,0))</f>
        <v>0</v>
      </c>
      <c r="AL63" s="5">
        <f>R63-S62</f>
        <v>0</v>
      </c>
      <c r="AM63" s="5">
        <f>T63-U62</f>
        <v>0</v>
      </c>
      <c r="AN63" s="5">
        <f>AN62</f>
        <v>1</v>
      </c>
      <c r="AO63" s="5">
        <f>AO62+AH63</f>
        <v>0.25457519029735404</v>
      </c>
      <c r="AP63" s="5">
        <f>AP62+AL63</f>
        <v>-4.440892098500626e-16</v>
      </c>
      <c r="AQ63" s="5">
        <f>AN63+AO63+AP63</f>
        <v>1.2545751902973536</v>
      </c>
      <c r="AR63" s="5">
        <f>S63-AQ63</f>
        <v>0</v>
      </c>
      <c r="AS63" s="5">
        <f>AS62</f>
        <v>0</v>
      </c>
      <c r="AT63" s="5">
        <f>AT62+AI63</f>
        <v>0</v>
      </c>
      <c r="AU63" s="5">
        <f>AU62+AM63</f>
        <v>0</v>
      </c>
      <c r="AV63" s="5">
        <f>AS63+AT63+AU63</f>
        <v>0</v>
      </c>
      <c r="AW63" s="5">
        <f>U63-AV63</f>
        <v>0</v>
      </c>
      <c r="AX63" s="4">
        <v>1.229970530212926</v>
      </c>
      <c r="AY63" s="4">
        <v>1.2545751902973536</v>
      </c>
      <c r="AZ63" s="5">
        <f>S63-AY63</f>
        <v>0</v>
      </c>
      <c r="BA63" s="4">
        <v>0</v>
      </c>
      <c r="BB63" s="4">
        <v>0</v>
      </c>
      <c r="BC63" s="5">
        <f>U63-BB63</f>
        <v>0</v>
      </c>
      <c r="BD63" s="7">
        <f>SUM(IF(BL63="direct",CE63,0),IF(CG63="direct",CZ63,0),IF(DB63="direct",DU63,0),IF(DW63="direct",EP63,0),IF(ER63="direct",FK63,0),IF(FM63="direct",GF63,0),IF(GH63="direct",HA63,0),IF(HC63="direct",HV63,0),IF(HX63="direct",IQ63,0),IF(IS63="direct",JL63,0))</f>
        <v>0.020004267972313316</v>
      </c>
      <c r="BE63" s="7">
        <f>SUM(IF(BL63="treasury",CE63,0),IF(CG63="treasury",CZ63,0),IF(DB63="treasury",DU63,0),IF(DW63="treasury",EP63,0),IF(ER63="treasury",FK63,0),IF(FM63="treasury",GF63,0),IF(GH63="treasury",HA63,0),IF(HC63="treasury",HV63,0),IF(HX63="treasury",IQ63,0),IF(IS63="treasury",JL63,0))</f>
        <v>0</v>
      </c>
      <c r="BF63" s="7">
        <f>SUM(IF(BL63="future",CE63,0),IF(CG63="future",CZ63,0),IF(DB63="future",DU63,0),IF(DW63="future",EP63,0),IF(ER63="future",FK63,0),IF(FM63="future",GF63,0),IF(GH63="future",HA63,0),IF(HC63="future",HV63,0),IF(HX63="future",IQ63,0),IF(IS63="future",JL63,0))</f>
        <v>0</v>
      </c>
      <c r="BG63" s="7">
        <f>SUM(IF(BL63="cash",CE63,0),IF(CG63="cash",CZ63,0),IF(DB63="cash",DU63,0),IF(DW63="cash",EP63,0),IF(ER63="cash",FK63,0),IF(FM63="cash",GF63,0),IF(GH63="cash",HA63,0),IF(HC63="cash",HV63,0),IF(HX63="cash",IQ63,0),IF(IS63="cash",JL63,0))</f>
        <v>0</v>
      </c>
      <c r="BH63" s="7">
        <f>SUM(BD63:BG63)</f>
        <v>0.020004267972313316</v>
      </c>
      <c r="BI63" s="7">
        <f>G63-BH63</f>
        <v>0</v>
      </c>
      <c r="BJ63" s="9">
        <f>COUNTA(BK63,CF63,DA63,DV63,EQ63,FL63,GG63,HB63,HW63,IR63)</f>
        <v>3</v>
      </c>
      <c r="BK63" t="inlineStr">
        <is>
          <t xml:space="preserve">Direct commodity holding</t>
        </is>
      </c>
      <c r="BL63" t="inlineStr">
        <is>
          <t xml:space="preserve">direct</t>
        </is>
      </c>
      <c r="BM63" t="inlineStr">
        <is>
          <t xml:space="preserve">lease</t>
        </is>
      </c>
      <c r="BN63" t="inlineStr">
        <is>
          <t xml:space="preserve">long</t>
        </is>
      </c>
      <c r="BO63"/>
      <c r="BP63" s="4">
        <v>1.799</v>
      </c>
      <c r="BQ63" s="4">
        <v>1.835</v>
      </c>
      <c r="BR63" s="4">
        <v>0.6836967927809484</v>
      </c>
      <c r="BS63" s="6">
        <v>1</v>
      </c>
      <c r="BT63" s="4">
        <v>1.2299705302129262</v>
      </c>
      <c r="BU63" s="4">
        <v>1.2299705302129262</v>
      </c>
      <c r="BV63" s="4">
        <v>1.2545836147530403</v>
      </c>
      <c r="BW63" s="4">
        <v>0.024604660084427667</v>
      </c>
      <c r="BX63" s="4">
        <v>0.000008424455686349697</v>
      </c>
      <c r="BY63" s="4">
        <v>1.799</v>
      </c>
      <c r="BZ63" s="4">
        <v>1.835</v>
      </c>
      <c r="CA63" s="6"/>
      <c r="CB63" s="6"/>
      <c r="CC63" s="6"/>
      <c r="CD63" s="9"/>
      <c r="CE63" s="7">
        <f>IFERROR(BW63/F63,0)</f>
        <v>0.020004267972313316</v>
      </c>
      <c r="CF63" t="inlineStr">
        <is>
          <t xml:space="preserve">Lease cash / margin / financing</t>
        </is>
      </c>
      <c r="CG63" t="inlineStr">
        <is>
          <t xml:space="preserve">cash</t>
        </is>
      </c>
      <c r="CH63" t="inlineStr">
        <is>
          <t xml:space="preserve">lease</t>
        </is>
      </c>
      <c r="CI63" t="inlineStr">
        <is>
          <t xml:space="preserve">cash</t>
        </is>
      </c>
      <c r="CJ63"/>
      <c r="CK63" s="4">
        <v>1</v>
      </c>
      <c r="CL63" s="4">
        <v>1</v>
      </c>
      <c r="CM63" s="4">
        <v>-2.220446049250313e-16</v>
      </c>
      <c r="CN63" s="6"/>
      <c r="CO63" s="4">
        <v>-2.220446049250313e-16</v>
      </c>
      <c r="CP63" s="4">
        <v>-2.220446049250313e-16</v>
      </c>
      <c r="CQ63" s="4">
        <v>-0.000008424455686571741</v>
      </c>
      <c r="CR63" s="4">
        <v>0</v>
      </c>
      <c r="CS63" s="4">
        <v>-0.000008424455686349697</v>
      </c>
      <c r="CT63" s="4">
        <v>1.799</v>
      </c>
      <c r="CU63" s="4">
        <v>1.835</v>
      </c>
      <c r="CV63" s="6"/>
      <c r="CW63" s="6"/>
      <c r="CX63" s="6"/>
      <c r="CY63" s="9"/>
      <c r="CZ63" s="7">
        <f>IFERROR(CR63/F63,0)</f>
        <v>0</v>
      </c>
      <c r="DA63" t="inlineStr">
        <is>
          <t xml:space="preserve">Keep cash / margin / financing</t>
        </is>
      </c>
      <c r="DB63" t="inlineStr">
        <is>
          <t xml:space="preserve">cash</t>
        </is>
      </c>
      <c r="DC63" t="inlineStr">
        <is>
          <t xml:space="preserve">keep</t>
        </is>
      </c>
      <c r="DD63" t="inlineStr">
        <is>
          <t xml:space="preserve">cash</t>
        </is>
      </c>
      <c r="DE63"/>
      <c r="DF63" s="4">
        <v>1</v>
      </c>
      <c r="DG63" s="4">
        <v>1</v>
      </c>
      <c r="DH63" s="4">
        <v>0</v>
      </c>
      <c r="DI63" s="6"/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1.799</v>
      </c>
      <c r="DP63" s="4">
        <v>1.835</v>
      </c>
      <c r="DQ63" s="6"/>
      <c r="DR63" s="6"/>
      <c r="DS63" s="6"/>
      <c r="DT63" s="9"/>
      <c r="DU63" s="7">
        <f>IFERROR(DM63/F63,0)</f>
        <v>0</v>
      </c>
      <c r="DV63"/>
      <c r="DW63"/>
      <c r="DX63"/>
      <c r="DY63"/>
      <c r="DZ63"/>
      <c r="EA63" s="4"/>
      <c r="EB63" s="4"/>
      <c r="EC63" s="4"/>
      <c r="ED63" s="6"/>
      <c r="EE63" s="4"/>
      <c r="EF63" s="4"/>
      <c r="EG63" s="4"/>
      <c r="EH63" s="4"/>
      <c r="EI63" s="4"/>
      <c r="EJ63" s="4"/>
      <c r="EK63" s="4"/>
      <c r="EL63" s="6"/>
      <c r="EM63" s="6"/>
      <c r="EN63" s="6"/>
      <c r="EO63" s="9"/>
      <c r="EP63"/>
      <c r="EQ63"/>
      <c r="ER63"/>
      <c r="ES63"/>
      <c r="ET63"/>
      <c r="EU63"/>
      <c r="EV63" s="4"/>
      <c r="EW63" s="4"/>
      <c r="EX63" s="4"/>
      <c r="EY63" s="6"/>
      <c r="EZ63" s="4"/>
      <c r="FA63" s="4"/>
      <c r="FB63" s="4"/>
      <c r="FC63" s="4"/>
      <c r="FD63" s="4"/>
      <c r="FE63" s="4"/>
      <c r="FF63" s="4"/>
      <c r="FG63" s="6"/>
      <c r="FH63" s="6"/>
      <c r="FI63" s="6"/>
      <c r="FJ63" s="9"/>
      <c r="FK63"/>
      <c r="FL63"/>
      <c r="FM63"/>
      <c r="FN63"/>
      <c r="FO63"/>
      <c r="FP63"/>
      <c r="FQ63" s="4"/>
      <c r="FR63" s="4"/>
      <c r="FS63" s="4"/>
      <c r="FT63" s="6"/>
      <c r="FU63" s="4"/>
      <c r="FV63" s="4"/>
      <c r="FW63" s="4"/>
      <c r="FX63" s="4"/>
      <c r="FY63" s="4"/>
      <c r="FZ63" s="4"/>
      <c r="GA63" s="4"/>
      <c r="GB63" s="6"/>
      <c r="GC63" s="6"/>
      <c r="GD63" s="6"/>
      <c r="GE63" s="9"/>
      <c r="GF63"/>
      <c r="GG63"/>
      <c r="GH63"/>
      <c r="GI63"/>
      <c r="GJ63"/>
      <c r="GK63"/>
      <c r="GL63" s="4"/>
      <c r="GM63" s="4"/>
      <c r="GN63" s="4"/>
      <c r="GO63" s="6"/>
      <c r="GP63" s="4"/>
      <c r="GQ63" s="4"/>
      <c r="GR63" s="4"/>
      <c r="GS63" s="4"/>
      <c r="GT63" s="4"/>
      <c r="GU63" s="4"/>
      <c r="GV63" s="4"/>
      <c r="GW63" s="6"/>
      <c r="GX63" s="6"/>
      <c r="GY63" s="6"/>
      <c r="GZ63" s="9"/>
      <c r="HA63"/>
      <c r="HB63"/>
      <c r="HC63"/>
      <c r="HD63"/>
      <c r="HE63"/>
      <c r="HF63"/>
      <c r="HG63" s="4"/>
      <c r="HH63" s="4"/>
      <c r="HI63" s="4"/>
      <c r="HJ63" s="6"/>
      <c r="HK63" s="4"/>
      <c r="HL63" s="4"/>
      <c r="HM63" s="4"/>
      <c r="HN63" s="4"/>
      <c r="HO63" s="4"/>
      <c r="HP63" s="4"/>
      <c r="HQ63" s="4"/>
      <c r="HR63" s="6"/>
      <c r="HS63" s="6"/>
      <c r="HT63" s="6"/>
      <c r="HU63" s="9"/>
      <c r="HV63"/>
      <c r="HW63"/>
      <c r="HX63"/>
      <c r="HY63"/>
      <c r="HZ63"/>
      <c r="IA63"/>
      <c r="IB63" s="4"/>
      <c r="IC63" s="4"/>
      <c r="ID63" s="4"/>
      <c r="IE63" s="6"/>
      <c r="IF63" s="4"/>
      <c r="IG63" s="4"/>
      <c r="IH63" s="4"/>
      <c r="II63" s="4"/>
      <c r="IJ63" s="4"/>
      <c r="IK63" s="4"/>
      <c r="IL63" s="4"/>
      <c r="IM63" s="6"/>
      <c r="IN63" s="6"/>
      <c r="IO63" s="6"/>
      <c r="IP63" s="9"/>
      <c r="IQ63"/>
      <c r="IR63"/>
      <c r="IS63"/>
      <c r="IT63"/>
      <c r="IU63"/>
      <c r="IV63"/>
      <c r="IW63" s="4"/>
      <c r="IX63" s="4"/>
      <c r="IY63" s="4"/>
      <c r="IZ63" s="6"/>
      <c r="JA63" s="4"/>
      <c r="JB63" s="4"/>
      <c r="JC63" s="4"/>
      <c r="JD63" s="4"/>
      <c r="JE63" s="4"/>
      <c r="JF63" s="4"/>
      <c r="JG63" s="4"/>
      <c r="JH63" s="6"/>
      <c r="JI63" s="6"/>
      <c r="JJ63" s="6"/>
      <c r="JK63" s="9"/>
      <c r="JL63"/>
    </row>
    <row r="64">
      <c r="A64" s="8">
        <v>25296</v>
      </c>
      <c r="B64" s="8">
        <v>25301</v>
      </c>
      <c r="C64" s="9">
        <f>B64-A64</f>
        <v>5</v>
      </c>
      <c r="D64" s="8">
        <v>25296</v>
      </c>
      <c r="E64" t="inlineStr">
        <is>
          <t xml:space="preserve">positive</t>
        </is>
      </c>
      <c r="F64" s="4">
        <v>1.2545751902973539</v>
      </c>
      <c r="G64" s="6">
        <v>-0.012317166217148203</v>
      </c>
      <c r="H64" s="7">
        <f>SUM(CE64,CZ64,DU64,EP64,FK64,GF64,HA64,HV64,IQ64,JL64)</f>
        <v>-0.012317166217148203</v>
      </c>
      <c r="I64" s="7">
        <f>G64-H64</f>
        <v>0</v>
      </c>
      <c r="J64" s="5">
        <f>F64*(1+H64)</f>
        <v>1.239122379146551</v>
      </c>
      <c r="K64" s="4">
        <v>1.239122379146551</v>
      </c>
      <c r="L64" s="5">
        <f>K64-J64</f>
        <v>0</v>
      </c>
      <c r="M64" s="4">
        <v>1.835</v>
      </c>
      <c r="N64" s="4">
        <v>1.826</v>
      </c>
      <c r="O64" s="5">
        <f>M64/$M$3</f>
        <v>0.9371807967313586</v>
      </c>
      <c r="P64" s="5">
        <f>N64/$M$3</f>
        <v>0.9325842696629214</v>
      </c>
      <c r="Q64" s="7">
        <f>IFERROR(N64/M64-1,0)</f>
        <v>-0.004904632152588517</v>
      </c>
      <c r="R64" s="5">
        <f>SUM(IF(BM64="lease",BU64,0),IF(CH64="lease",CP64,0),IF(DC64="lease",DK64,0),IF(DX64="lease",EF64,0),IF(ES64="lease",FA64,0),IF(FN64="lease",FV64,0),IF(GI64="lease",GQ64,0),IF(HD64="lease",HL64,0),IF(HY64="lease",IG64,0),IF(IT64="lease",JB64,0))</f>
        <v>1.2545751902973536</v>
      </c>
      <c r="S64" s="5">
        <f>SUM(IF(BM64="lease",BV64,0),IF(CH64="lease",CQ64,0),IF(DC64="lease",DL64,0),IF(DX64="lease",EG64,0),IF(ES64="lease",FB64,0),IF(FN64="lease",FW64,0),IF(GI64="lease",GR64,0),IF(HD64="lease",HM64,0),IF(HY64="lease",IH64,0),IF(IT64="lease",JC64,0))</f>
        <v>1.2391223791465507</v>
      </c>
      <c r="T64" s="5">
        <f>SUM(IF(BM64="keep",BU64,0),IF(CH64="keep",CP64,0),IF(DC64="keep",DK64,0),IF(DX64="keep",EF64,0),IF(ES64="keep",FA64,0),IF(FN64="keep",FV64,0),IF(GI64="keep",GQ64,0),IF(HD64="keep",HL64,0),IF(HY64="keep",IG64,0),IF(IT64="keep",JB64,0))</f>
        <v>0</v>
      </c>
      <c r="U64" s="5">
        <f>SUM(IF(BM64="keep",BV64,0),IF(CH64="keep",CQ64,0),IF(DC64="keep",DL64,0),IF(DX64="keep",EG64,0),IF(ES64="keep",FB64,0),IF(FN64="keep",FW64,0),IF(GI64="keep",GR64,0),IF(HD64="keep",HM64,0),IF(HY64="keep",IH64,0),IF(IT64="keep",JC64,0))</f>
        <v>0</v>
      </c>
      <c r="V64" s="5">
        <f>R64/O64</f>
        <v>1.338669331118375</v>
      </c>
      <c r="W64" s="5">
        <f>S64/P64</f>
        <v>1.3286974908920843</v>
      </c>
      <c r="X64" s="5">
        <f>T64/O64</f>
        <v>0</v>
      </c>
      <c r="Y64" s="5">
        <f>U64/P64</f>
        <v>0</v>
      </c>
      <c r="Z64" s="5">
        <f>V64+X64</f>
        <v>1.338669331118375</v>
      </c>
      <c r="AA64" s="7">
        <f>IFERROR(W64/V64-1,0)</f>
        <v>-0.007449069007922859</v>
      </c>
      <c r="AB64" s="7">
        <f>IFERROR((W64-V64)/Z64,0)</f>
        <v>-0.007449069007922864</v>
      </c>
      <c r="AC64" s="7">
        <f>IFERROR(Y64/X64-1,0)</f>
        <v>0</v>
      </c>
      <c r="AD64" s="7">
        <f>IFERROR((Y64-X64)/Z64,0)</f>
        <v>0</v>
      </c>
      <c r="AE64" s="7">
        <f>AB64+AD64</f>
        <v>-0.007449069007922864</v>
      </c>
      <c r="AF64" s="7">
        <f>(1+Q64)*(1+AE64)-1</f>
        <v>-0.01231716621714829</v>
      </c>
      <c r="AG64" s="7">
        <f>G64-AF64</f>
        <v>8.673617379884035e-17</v>
      </c>
      <c r="AH64" s="5">
        <f>SUM(IF(BM64="lease",BW64,0),IF(CH64="lease",CR64,0),IF(DC64="lease",DM64,0),IF(DX64="lease",EH64,0),IF(ES64="lease",FC64,0),IF(FN64="lease",FX64,0),IF(GI64="lease",GS64,0),IF(HD64="lease",HN64,0),IF(HY64="lease",II64,0),IF(IT64="lease",JD64,0))</f>
        <v>-0.015452811150802846</v>
      </c>
      <c r="AI64" s="5">
        <f>SUM(IF(BM64="keep",BW64,0),IF(CH64="keep",CR64,0),IF(DC64="keep",DM64,0),IF(DX64="keep",EH64,0),IF(ES64="keep",FC64,0),IF(FN64="keep",FX64,0),IF(GI64="keep",GS64,0),IF(HD64="keep",HN64,0),IF(HY64="keep",II64,0),IF(IT64="keep",JD64,0))</f>
        <v>0</v>
      </c>
      <c r="AJ64" s="5">
        <f>SUM(IF(BM64="lease",BX64,0),IF(CH64="lease",CS64,0),IF(DC64="lease",DN64,0),IF(DX64="lease",EI64,0),IF(ES64="lease",FD64,0),IF(FN64="lease",FY64,0),IF(GI64="lease",GT64,0),IF(HD64="lease",HO64,0),IF(HY64="lease",IJ64,0),IF(IT64="lease",JE64,0))</f>
        <v>0</v>
      </c>
      <c r="AK64" s="5">
        <f>SUM(IF(BM64="keep",BX64,0),IF(CH64="keep",CS64,0),IF(DC64="keep",DN64,0),IF(DX64="keep",EI64,0),IF(ES64="keep",FD64,0),IF(FN64="keep",FY64,0),IF(GI64="keep",GT64,0),IF(HD64="keep",HO64,0),IF(HY64="keep",IJ64,0),IF(IT64="keep",JE64,0))</f>
        <v>0</v>
      </c>
      <c r="AL64" s="5">
        <f>R64-S63</f>
        <v>0</v>
      </c>
      <c r="AM64" s="5">
        <f>T64-U63</f>
        <v>0</v>
      </c>
      <c r="AN64" s="5">
        <f>AN63</f>
        <v>1</v>
      </c>
      <c r="AO64" s="5">
        <f>AO63+AH64</f>
        <v>0.23912237914655118</v>
      </c>
      <c r="AP64" s="5">
        <f>AP63+AL64</f>
        <v>-4.440892098500626e-16</v>
      </c>
      <c r="AQ64" s="5">
        <f>AN64+AO64+AP64</f>
        <v>1.2391223791465507</v>
      </c>
      <c r="AR64" s="5">
        <f>S64-AQ64</f>
        <v>0</v>
      </c>
      <c r="AS64" s="5">
        <f>AS63</f>
        <v>0</v>
      </c>
      <c r="AT64" s="5">
        <f>AT63+AI64</f>
        <v>0</v>
      </c>
      <c r="AU64" s="5">
        <f>AU63+AM64</f>
        <v>0</v>
      </c>
      <c r="AV64" s="5">
        <f>AS64+AT64+AU64</f>
        <v>0</v>
      </c>
      <c r="AW64" s="5">
        <f>U64-AV64</f>
        <v>0</v>
      </c>
      <c r="AX64" s="4">
        <v>1.2545751902973536</v>
      </c>
      <c r="AY64" s="4">
        <v>1.2391223791465509</v>
      </c>
      <c r="AZ64" s="5">
        <f>S64-AY64</f>
        <v>-2.220446049250313e-16</v>
      </c>
      <c r="BA64" s="4">
        <v>0</v>
      </c>
      <c r="BB64" s="4">
        <v>0</v>
      </c>
      <c r="BC64" s="5">
        <f>U64-BB64</f>
        <v>0</v>
      </c>
      <c r="BD64" s="7">
        <f>SUM(IF(BL64="direct",CE64,0),IF(CG64="direct",CZ64,0),IF(DB64="direct",DU64,0),IF(DW64="direct",EP64,0),IF(ER64="direct",FK64,0),IF(FM64="direct",GF64,0),IF(GH64="direct",HA64,0),IF(HC64="direct",HV64,0),IF(HX64="direct",IQ64,0),IF(IS64="direct",JL64,0))</f>
        <v>-0.0011475252889441006</v>
      </c>
      <c r="BE64" s="7">
        <f>SUM(IF(BL64="treasury",CE64,0),IF(CG64="treasury",CZ64,0),IF(DB64="treasury",DU64,0),IF(DW64="treasury",EP64,0),IF(ER64="treasury",FK64,0),IF(FM64="treasury",GF64,0),IF(GH64="treasury",HA64,0),IF(HC64="treasury",HV64,0),IF(HX64="treasury",IQ64,0),IF(IS64="treasury",JL64,0))</f>
        <v>0.0006404132995816061</v>
      </c>
      <c r="BF64" s="7">
        <f>SUM(IF(BL64="future",CE64,0),IF(CG64="future",CZ64,0),IF(DB64="future",DU64,0),IF(DW64="future",EP64,0),IF(ER64="future",FK64,0),IF(FM64="future",GF64,0),IF(GH64="future",HA64,0),IF(HC64="future",HV64,0),IF(HX64="future",IQ64,0),IF(IS64="future",JL64,0))</f>
        <v>-0.011810054227785709</v>
      </c>
      <c r="BG64" s="7">
        <f>SUM(IF(BL64="cash",CE64,0),IF(CG64="cash",CZ64,0),IF(DB64="cash",DU64,0),IF(DW64="cash",EP64,0),IF(ER64="cash",FK64,0),IF(FM64="cash",GF64,0),IF(GH64="cash",HA64,0),IF(HC64="cash",HV64,0),IF(HX64="cash",IQ64,0),IF(IS64="cash",JL64,0))</f>
        <v>0</v>
      </c>
      <c r="BH64" s="7">
        <f>SUM(BD64:BG64)</f>
        <v>-0.012317166217148203</v>
      </c>
      <c r="BI64" s="7">
        <f>G64-BH64</f>
        <v>0</v>
      </c>
      <c r="BJ64" s="9">
        <f>COUNTA(BK64,CF64,DA64,DV64,EQ64,FL64,GG64,HB64,HW64,IR64)</f>
        <v>7</v>
      </c>
      <c r="BK64" t="inlineStr">
        <is>
          <t xml:space="preserve">Direct commodity holding</t>
        </is>
      </c>
      <c r="BL64" t="inlineStr">
        <is>
          <t xml:space="preserve">direct</t>
        </is>
      </c>
      <c r="BM64" t="inlineStr">
        <is>
          <t xml:space="preserve">lease</t>
        </is>
      </c>
      <c r="BN64" t="inlineStr">
        <is>
          <t xml:space="preserve">long</t>
        </is>
      </c>
      <c r="BO64"/>
      <c r="BP64" s="4">
        <v>1.835</v>
      </c>
      <c r="BQ64" s="4">
        <v>1.826</v>
      </c>
      <c r="BR64" s="4">
        <v>0.15885267378179005</v>
      </c>
      <c r="BS64" s="6">
        <v>0.23234530592024216</v>
      </c>
      <c r="BT64" s="4">
        <v>0.2914946563895847</v>
      </c>
      <c r="BU64" s="4">
        <v>0.2914946563895847</v>
      </c>
      <c r="BV64" s="4">
        <v>0.2900649823255486</v>
      </c>
      <c r="BW64" s="4">
        <v>-0.001439656757748071</v>
      </c>
      <c r="BX64" s="4">
        <v>0.000009982693711969338</v>
      </c>
      <c r="BY64" s="4">
        <v>1.835</v>
      </c>
      <c r="BZ64" s="4">
        <v>1.826</v>
      </c>
      <c r="CA64" s="6"/>
      <c r="CB64" s="6"/>
      <c r="CC64" s="6"/>
      <c r="CD64" s="9"/>
      <c r="CE64" s="7">
        <f>IFERROR(BW64/F64,0)</f>
        <v>-0.0011475252889441006</v>
      </c>
      <c r="CF64" t="inlineStr">
        <is>
          <t xml:space="preserve">Treasury collateral</t>
        </is>
      </c>
      <c r="CG64" t="inlineStr">
        <is>
          <t xml:space="preserve">treasury</t>
        </is>
      </c>
      <c r="CH64" t="inlineStr">
        <is>
          <t xml:space="preserve">lease</t>
        </is>
      </c>
      <c r="CI64" t="inlineStr">
        <is>
          <t xml:space="preserve">long</t>
        </is>
      </c>
      <c r="CJ64"/>
      <c r="CK64" s="4">
        <v>101.52975832969568</v>
      </c>
      <c r="CL64" s="4">
        <v>101.61445918287757</v>
      </c>
      <c r="CM64" s="4">
        <v>0.009485697097597492</v>
      </c>
      <c r="CN64" s="6">
        <v>0.7676546940797578</v>
      </c>
      <c r="CO64" s="4">
        <v>0.9630805339077692</v>
      </c>
      <c r="CP64" s="4">
        <v>0.9630805339077692</v>
      </c>
      <c r="CQ64" s="4">
        <v>0.9638839805449606</v>
      </c>
      <c r="CR64" s="4">
        <v>0.0008034466371915498</v>
      </c>
      <c r="CS64" s="4">
        <v>-9.812029660993815e-17</v>
      </c>
      <c r="CT64" s="4">
        <v>1.835</v>
      </c>
      <c r="CU64" s="4">
        <v>1.826</v>
      </c>
      <c r="CV64" s="6"/>
      <c r="CW64" s="6"/>
      <c r="CX64" s="6"/>
      <c r="CY64" s="9">
        <v>55</v>
      </c>
      <c r="CZ64" s="7">
        <f>IFERROR(CR64/F64,0)</f>
        <v>0.0006404132995816061</v>
      </c>
      <c r="DA64" t="inlineStr">
        <is>
          <t xml:space="preserve">SI69K</t>
        </is>
      </c>
      <c r="DB64" t="inlineStr">
        <is>
          <t xml:space="preserve">future</t>
        </is>
      </c>
      <c r="DC64" t="inlineStr">
        <is>
          <t xml:space="preserve">lease</t>
        </is>
      </c>
      <c r="DD64" t="inlineStr">
        <is>
          <t xml:space="preserve">long</t>
        </is>
      </c>
      <c r="DE64" t="inlineStr">
        <is>
          <t xml:space="preserve">regular</t>
        </is>
      </c>
      <c r="DF64" s="4">
        <v>1.82</v>
      </c>
      <c r="DG64" s="4">
        <v>1.7919999999999998</v>
      </c>
      <c r="DH64" s="4">
        <v>0.5291192148678622</v>
      </c>
      <c r="DI64" s="6">
        <v>0.7675880875910386</v>
      </c>
      <c r="DJ64" s="4">
        <v>0.9629969710595092</v>
      </c>
      <c r="DK64" s="4">
        <v>0</v>
      </c>
      <c r="DL64" s="4">
        <v>0</v>
      </c>
      <c r="DM64" s="4">
        <v>-0.014815338016300302</v>
      </c>
      <c r="DN64" s="4">
        <v>0.014815338016300302</v>
      </c>
      <c r="DO64" s="4">
        <v>1.835</v>
      </c>
      <c r="DP64" s="4">
        <v>1.826</v>
      </c>
      <c r="DQ64" s="6">
        <v>-0.008174386920980825</v>
      </c>
      <c r="DR64" s="6">
        <v>0.060899999999999996</v>
      </c>
      <c r="DS64" s="6">
        <v>0.11514820411196366</v>
      </c>
      <c r="DT64" s="9">
        <v>55</v>
      </c>
      <c r="DU64" s="7">
        <f>IFERROR(DM64/F64,0)</f>
        <v>-0.011809047501400723</v>
      </c>
      <c r="DV64" t="inlineStr">
        <is>
          <t xml:space="preserve">SI69N</t>
        </is>
      </c>
      <c r="DW64" t="inlineStr">
        <is>
          <t xml:space="preserve">future</t>
        </is>
      </c>
      <c r="DX64" t="inlineStr">
        <is>
          <t xml:space="preserve">lease</t>
        </is>
      </c>
      <c r="DY64" t="inlineStr">
        <is>
          <t xml:space="preserve">long</t>
        </is>
      </c>
      <c r="DZ64" t="inlineStr">
        <is>
          <t xml:space="preserve">regular</t>
        </is>
      </c>
      <c r="EA64" s="4">
        <v>1.8519999999999999</v>
      </c>
      <c r="EB64" s="4">
        <v>1.824</v>
      </c>
      <c r="EC64" s="4">
        <v>0.00004487439607996445</v>
      </c>
      <c r="ED64" s="6">
        <v>0.0000662434441417548</v>
      </c>
      <c r="EE64" s="4">
        <v>0.00008310738154009416</v>
      </c>
      <c r="EF64" s="4">
        <v>0</v>
      </c>
      <c r="EG64" s="4">
        <v>0</v>
      </c>
      <c r="EH64" s="4">
        <v>-0.0000012564830902389933</v>
      </c>
      <c r="EI64" s="4">
        <v>0.0000012564830902389933</v>
      </c>
      <c r="EJ64" s="4">
        <v>1.835</v>
      </c>
      <c r="EK64" s="4">
        <v>1.826</v>
      </c>
      <c r="EL64" s="6">
        <v>0.009264305177111742</v>
      </c>
      <c r="EM64" s="6">
        <v>0.06098571428571428</v>
      </c>
      <c r="EN64" s="6">
        <v>0.032084249416946875</v>
      </c>
      <c r="EO64" s="9">
        <v>117</v>
      </c>
      <c r="EP64" s="7">
        <f>IFERROR(EH64/F64,0)</f>
        <v>-0.0000010015207537630226</v>
      </c>
      <c r="EQ64" t="inlineStr">
        <is>
          <t xml:space="preserve">SI69U</t>
        </is>
      </c>
      <c r="ER64" t="inlineStr">
        <is>
          <t xml:space="preserve">future</t>
        </is>
      </c>
      <c r="ES64" t="inlineStr">
        <is>
          <t xml:space="preserve">lease</t>
        </is>
      </c>
      <c r="ET64" t="inlineStr">
        <is>
          <t xml:space="preserve">long</t>
        </is>
      </c>
      <c r="EU64" t="inlineStr">
        <is>
          <t xml:space="preserve">regular</t>
        </is>
      </c>
      <c r="EV64" s="4">
        <v>1.883</v>
      </c>
      <c r="EW64" s="4">
        <v>1.8559999999999999</v>
      </c>
      <c r="EX64" s="4">
        <v>2.4188354750885816e-7</v>
      </c>
      <c r="EY64" s="6">
        <v>3.630445775443935e-7</v>
      </c>
      <c r="EZ64" s="4">
        <v>4.5546671995917995e-7</v>
      </c>
      <c r="FA64" s="4">
        <v>0</v>
      </c>
      <c r="FB64" s="4">
        <v>0</v>
      </c>
      <c r="FC64" s="4">
        <v>-6.53085578273922e-9</v>
      </c>
      <c r="FD64" s="4">
        <v>6.53085578273922e-9</v>
      </c>
      <c r="FE64" s="4">
        <v>1.835</v>
      </c>
      <c r="FF64" s="4">
        <v>1.826</v>
      </c>
      <c r="FG64" s="6">
        <v>0.026158038147138907</v>
      </c>
      <c r="FH64" s="6">
        <v>0.06118021978021979</v>
      </c>
      <c r="FI64" s="6">
        <v>0.006932015668255576</v>
      </c>
      <c r="FJ64" s="9">
        <v>176</v>
      </c>
      <c r="FK64" s="7">
        <f>IFERROR(FC64/F64,0)</f>
        <v>-5.2056312234193835e-9</v>
      </c>
      <c r="FL64" t="inlineStr">
        <is>
          <t xml:space="preserve">Lease cash / margin / financing</t>
        </is>
      </c>
      <c r="FM64" t="inlineStr">
        <is>
          <t xml:space="preserve">cash</t>
        </is>
      </c>
      <c r="FN64" t="inlineStr">
        <is>
          <t xml:space="preserve">lease</t>
        </is>
      </c>
      <c r="FO64" t="inlineStr">
        <is>
          <t xml:space="preserve">cash</t>
        </is>
      </c>
      <c r="FP64"/>
      <c r="FQ64" s="4">
        <v>1</v>
      </c>
      <c r="FR64" s="4">
        <v>1</v>
      </c>
      <c r="FS64" s="4">
        <v>-2.220446049250313e-16</v>
      </c>
      <c r="FT64" s="6"/>
      <c r="FU64" s="4">
        <v>-2.220446049250313e-16</v>
      </c>
      <c r="FV64" s="4">
        <v>-2.220446049250313e-16</v>
      </c>
      <c r="FW64" s="4">
        <v>-0.014826583723958418</v>
      </c>
      <c r="FX64" s="4">
        <v>0</v>
      </c>
      <c r="FY64" s="4">
        <v>-0.014826583723958196</v>
      </c>
      <c r="FZ64" s="4">
        <v>1.835</v>
      </c>
      <c r="GA64" s="4">
        <v>1.826</v>
      </c>
      <c r="GB64" s="6"/>
      <c r="GC64" s="6"/>
      <c r="GD64" s="6"/>
      <c r="GE64" s="9"/>
      <c r="GF64" s="7">
        <f>IFERROR(FX64/F64,0)</f>
        <v>0</v>
      </c>
      <c r="GG64" t="inlineStr">
        <is>
          <t xml:space="preserve">Keep cash / margin / financing</t>
        </is>
      </c>
      <c r="GH64" t="inlineStr">
        <is>
          <t xml:space="preserve">cash</t>
        </is>
      </c>
      <c r="GI64" t="inlineStr">
        <is>
          <t xml:space="preserve">keep</t>
        </is>
      </c>
      <c r="GJ64" t="inlineStr">
        <is>
          <t xml:space="preserve">cash</t>
        </is>
      </c>
      <c r="GK64"/>
      <c r="GL64" s="4">
        <v>1</v>
      </c>
      <c r="GM64" s="4">
        <v>1</v>
      </c>
      <c r="GN64" s="4">
        <v>0</v>
      </c>
      <c r="GO64" s="6"/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1.835</v>
      </c>
      <c r="GV64" s="4">
        <v>1.826</v>
      </c>
      <c r="GW64" s="6"/>
      <c r="GX64" s="6"/>
      <c r="GY64" s="6"/>
      <c r="GZ64" s="9"/>
      <c r="HA64" s="7">
        <f>IFERROR(GS64/F64,0)</f>
        <v>0</v>
      </c>
      <c r="HB64"/>
      <c r="HC64"/>
      <c r="HD64"/>
      <c r="HE64"/>
      <c r="HF64"/>
      <c r="HG64" s="4"/>
      <c r="HH64" s="4"/>
      <c r="HI64" s="4"/>
      <c r="HJ64" s="6"/>
      <c r="HK64" s="4"/>
      <c r="HL64" s="4"/>
      <c r="HM64" s="4"/>
      <c r="HN64" s="4"/>
      <c r="HO64" s="4"/>
      <c r="HP64" s="4"/>
      <c r="HQ64" s="4"/>
      <c r="HR64" s="6"/>
      <c r="HS64" s="6"/>
      <c r="HT64" s="6"/>
      <c r="HU64" s="9"/>
      <c r="HV64"/>
      <c r="HW64"/>
      <c r="HX64"/>
      <c r="HY64"/>
      <c r="HZ64"/>
      <c r="IA64"/>
      <c r="IB64" s="4"/>
      <c r="IC64" s="4"/>
      <c r="ID64" s="4"/>
      <c r="IE64" s="6"/>
      <c r="IF64" s="4"/>
      <c r="IG64" s="4"/>
      <c r="IH64" s="4"/>
      <c r="II64" s="4"/>
      <c r="IJ64" s="4"/>
      <c r="IK64" s="4"/>
      <c r="IL64" s="4"/>
      <c r="IM64" s="6"/>
      <c r="IN64" s="6"/>
      <c r="IO64" s="6"/>
      <c r="IP64" s="9"/>
      <c r="IQ64"/>
      <c r="IR64"/>
      <c r="IS64"/>
      <c r="IT64"/>
      <c r="IU64"/>
      <c r="IV64"/>
      <c r="IW64" s="4"/>
      <c r="IX64" s="4"/>
      <c r="IY64" s="4"/>
      <c r="IZ64" s="6"/>
      <c r="JA64" s="4"/>
      <c r="JB64" s="4"/>
      <c r="JC64" s="4"/>
      <c r="JD64" s="4"/>
      <c r="JE64" s="4"/>
      <c r="JF64" s="4"/>
      <c r="JG64" s="4"/>
      <c r="JH64" s="6"/>
      <c r="JI64" s="6"/>
      <c r="JJ64" s="6"/>
      <c r="JK64" s="9"/>
      <c r="JL64"/>
    </row>
    <row r="65">
      <c r="A65" s="8">
        <v>25301</v>
      </c>
      <c r="B65" s="8">
        <v>25302</v>
      </c>
      <c r="C65" s="9">
        <f>B65-A65</f>
        <v>1</v>
      </c>
      <c r="D65" s="8">
        <v>25301</v>
      </c>
      <c r="E65" t="inlineStr">
        <is>
          <t xml:space="preserve">positive</t>
        </is>
      </c>
      <c r="F65" s="4">
        <v>1.239122379146551</v>
      </c>
      <c r="G65" s="6">
        <v>0.015235729957889597</v>
      </c>
      <c r="H65" s="7">
        <f>SUM(CE65,CZ65,DU65,EP65,FK65,GF65,HA65,HV65,IQ65,JL65)</f>
        <v>0.015235729957889596</v>
      </c>
      <c r="I65" s="7">
        <f>G65-H65</f>
        <v>1.734723475976807e-18</v>
      </c>
      <c r="J65" s="5">
        <f>F65*(1+H65)</f>
        <v>1.2580013131000056</v>
      </c>
      <c r="K65" s="4">
        <v>1.2580013131000056</v>
      </c>
      <c r="L65" s="5">
        <f>K65-J65</f>
        <v>0</v>
      </c>
      <c r="M65" s="4">
        <v>1.826</v>
      </c>
      <c r="N65" s="4">
        <v>1.802</v>
      </c>
      <c r="O65" s="5">
        <f>M65/$M$3</f>
        <v>0.9325842696629214</v>
      </c>
      <c r="P65" s="5">
        <f>N65/$M$3</f>
        <v>0.9203268641470889</v>
      </c>
      <c r="Q65" s="7">
        <f>IFERROR(N65/M65-1,0)</f>
        <v>-0.013143483023001057</v>
      </c>
      <c r="R65" s="5">
        <f>SUM(IF(BM65="lease",BU65,0),IF(CH65="lease",CP65,0),IF(DC65="lease",DK65,0),IF(DX65="lease",EF65,0),IF(ES65="lease",FA65,0),IF(FN65="lease",FV65,0),IF(GI65="lease",GQ65,0),IF(HD65="lease",HL65,0),IF(HY65="lease",IG65,0),IF(IT65="lease",JB65,0))</f>
        <v>1.2391223791465509</v>
      </c>
      <c r="S65" s="5">
        <f>SUM(IF(BM65="lease",BV65,0),IF(CH65="lease",CQ65,0),IF(DC65="lease",DL65,0),IF(DX65="lease",EG65,0),IF(ES65="lease",FB65,0),IF(FN65="lease",FW65,0),IF(GI65="lease",GR65,0),IF(HD65="lease",HM65,0),IF(HY65="lease",IH65,0),IF(IT65="lease",JC65,0))</f>
        <v>1.2580013131000054</v>
      </c>
      <c r="T65" s="5">
        <f>SUM(IF(BM65="keep",BU65,0),IF(CH65="keep",CP65,0),IF(DC65="keep",DK65,0),IF(DX65="keep",EF65,0),IF(ES65="keep",FA65,0),IF(FN65="keep",FV65,0),IF(GI65="keep",GQ65,0),IF(HD65="keep",HL65,0),IF(HY65="keep",IG65,0),IF(IT65="keep",JB65,0))</f>
        <v>0</v>
      </c>
      <c r="U65" s="5">
        <f>SUM(IF(BM65="keep",BV65,0),IF(CH65="keep",CQ65,0),IF(DC65="keep",DL65,0),IF(DX65="keep",EG65,0),IF(ES65="keep",FB65,0),IF(FN65="keep",FW65,0),IF(GI65="keep",GR65,0),IF(HD65="keep",HM65,0),IF(HY65="keep",IH65,0),IF(IT65="keep",JC65,0))</f>
        <v>0</v>
      </c>
      <c r="V65" s="5">
        <f>R65/O65</f>
        <v>1.3286974908920846</v>
      </c>
      <c r="W65" s="5">
        <f>S65/P65</f>
        <v>1.366907087153058</v>
      </c>
      <c r="X65" s="5">
        <f>T65/O65</f>
        <v>0</v>
      </c>
      <c r="Y65" s="5">
        <f>U65/P65</f>
        <v>0</v>
      </c>
      <c r="Z65" s="5">
        <f>V65+X65</f>
        <v>1.3286974908920846</v>
      </c>
      <c r="AA65" s="7">
        <f>IFERROR(W65/V65-1,0)</f>
        <v>0.028757182521146785</v>
      </c>
      <c r="AB65" s="7">
        <f>IFERROR((W65-V65)/Z65,0)</f>
        <v>0.028757182521146767</v>
      </c>
      <c r="AC65" s="7">
        <f>IFERROR(Y65/X65-1,0)</f>
        <v>0</v>
      </c>
      <c r="AD65" s="7">
        <f>IFERROR((Y65-X65)/Z65,0)</f>
        <v>0</v>
      </c>
      <c r="AE65" s="7">
        <f>AB65+AD65</f>
        <v>0.028757182521146767</v>
      </c>
      <c r="AF65" s="7">
        <f>(1+Q65)*(1+AE65)-1</f>
        <v>0.015235729957889799</v>
      </c>
      <c r="AG65" s="7">
        <f>G65-AF65</f>
        <v>-2.0122792321330962e-16</v>
      </c>
      <c r="AH65" s="5">
        <f>SUM(IF(BM65="lease",BW65,0),IF(CH65="lease",CR65,0),IF(DC65="lease",DM65,0),IF(DX65="lease",EH65,0),IF(ES65="lease",FC65,0),IF(FN65="lease",FX65,0),IF(GI65="lease",GS65,0),IF(HD65="lease",HN65,0),IF(HY65="lease",II65,0),IF(IT65="lease",JD65,0))</f>
        <v>0.018878933953454538</v>
      </c>
      <c r="AI65" s="5">
        <f>SUM(IF(BM65="keep",BW65,0),IF(CH65="keep",CR65,0),IF(DC65="keep",DM65,0),IF(DX65="keep",EH65,0),IF(ES65="keep",FC65,0),IF(FN65="keep",FX65,0),IF(GI65="keep",GS65,0),IF(HD65="keep",HN65,0),IF(HY65="keep",II65,0),IF(IT65="keep",JD65,0))</f>
        <v>0</v>
      </c>
      <c r="AJ65" s="5">
        <f>SUM(IF(BM65="lease",BX65,0),IF(CH65="lease",CS65,0),IF(DC65="lease",DN65,0),IF(DX65="lease",EI65,0),IF(ES65="lease",FD65,0),IF(FN65="lease",FY65,0),IF(GI65="lease",GT65,0),IF(HD65="lease",HO65,0),IF(HY65="lease",IJ65,0),IF(IT65="lease",JE65,0))</f>
        <v>0</v>
      </c>
      <c r="AK65" s="5">
        <f>SUM(IF(BM65="keep",BX65,0),IF(CH65="keep",CS65,0),IF(DC65="keep",DN65,0),IF(DX65="keep",EI65,0),IF(ES65="keep",FD65,0),IF(FN65="keep",FY65,0),IF(GI65="keep",GT65,0),IF(HD65="keep",HO65,0),IF(HY65="keep",IJ65,0),IF(IT65="keep",JE65,0))</f>
        <v>0</v>
      </c>
      <c r="AL65" s="5">
        <f>R65-S64</f>
        <v>2.220446049250313e-16</v>
      </c>
      <c r="AM65" s="5">
        <f>T65-U64</f>
        <v>0</v>
      </c>
      <c r="AN65" s="5">
        <f>AN64</f>
        <v>1</v>
      </c>
      <c r="AO65" s="5">
        <f>AO64+AH65</f>
        <v>0.25800131310000574</v>
      </c>
      <c r="AP65" s="5">
        <f>AP64+AL65</f>
        <v>-2.220446049250313e-16</v>
      </c>
      <c r="AQ65" s="5">
        <f>AN65+AO65+AP65</f>
        <v>1.2580013131000054</v>
      </c>
      <c r="AR65" s="5">
        <f>S65-AQ65</f>
        <v>0</v>
      </c>
      <c r="AS65" s="5">
        <f>AS64</f>
        <v>0</v>
      </c>
      <c r="AT65" s="5">
        <f>AT64+AI65</f>
        <v>0</v>
      </c>
      <c r="AU65" s="5">
        <f>AU64+AM65</f>
        <v>0</v>
      </c>
      <c r="AV65" s="5">
        <f>AS65+AT65+AU65</f>
        <v>0</v>
      </c>
      <c r="AW65" s="5">
        <f>U65-AV65</f>
        <v>0</v>
      </c>
      <c r="AX65" s="4">
        <v>1.2391223791465509</v>
      </c>
      <c r="AY65" s="4">
        <v>1.2580013131000054</v>
      </c>
      <c r="AZ65" s="5">
        <f>S65-AY65</f>
        <v>0</v>
      </c>
      <c r="BA65" s="4">
        <v>0</v>
      </c>
      <c r="BB65" s="4">
        <v>0</v>
      </c>
      <c r="BC65" s="5">
        <f>U65-BB65</f>
        <v>0</v>
      </c>
      <c r="BD65" s="7">
        <f>SUM(IF(BL65="direct",CE65,0),IF(CG65="direct",CZ65,0),IF(DB65="direct",DU65,0),IF(DW65="direct",EP65,0),IF(ER65="direct",FK65,0),IF(FM65="direct",GF65,0),IF(GH65="direct",HA65,0),IF(HC65="direct",HV65,0),IF(HX65="direct",IQ65,0),IF(IS65="direct",JL65,0))</f>
        <v>0</v>
      </c>
      <c r="BE65" s="7">
        <f>SUM(IF(BL65="treasury",CE65,0),IF(CG65="treasury",CZ65,0),IF(DB65="treasury",DU65,0),IF(DW65="treasury",EP65,0),IF(ER65="treasury",FK65,0),IF(FM65="treasury",GF65,0),IF(GH65="treasury",HA65,0),IF(HC65="treasury",HV65,0),IF(HX65="treasury",IQ65,0),IF(IS65="treasury",JL65,0))</f>
        <v>0.00016876712328767123</v>
      </c>
      <c r="BF65" s="7">
        <f>SUM(IF(BL65="future",CE65,0),IF(CG65="future",CZ65,0),IF(DB65="future",DU65,0),IF(DW65="future",EP65,0),IF(ER65="future",FK65,0),IF(FM65="future",GF65,0),IF(GH65="future",HA65,0),IF(HC65="future",HV65,0),IF(HX65="future",IQ65,0),IF(IS65="future",JL65,0))</f>
        <v>0.015066962834601925</v>
      </c>
      <c r="BG65" s="7">
        <f>SUM(IF(BL65="cash",CE65,0),IF(CG65="cash",CZ65,0),IF(DB65="cash",DU65,0),IF(DW65="cash",EP65,0),IF(ER65="cash",FK65,0),IF(FM65="cash",GF65,0),IF(GH65="cash",HA65,0),IF(HC65="cash",HV65,0),IF(HX65="cash",IQ65,0),IF(IS65="cash",JL65,0))</f>
        <v>0</v>
      </c>
      <c r="BH65" s="7">
        <f>SUM(BD65:BG65)</f>
        <v>0.015235729957889597</v>
      </c>
      <c r="BI65" s="7">
        <f>G65-BH65</f>
        <v>0</v>
      </c>
      <c r="BJ65" s="9">
        <f>COUNTA(BK65,CF65,DA65,DV65,EQ65,FL65,GG65,HB65,HW65,IR65)</f>
        <v>7</v>
      </c>
      <c r="BK65" t="inlineStr">
        <is>
          <t xml:space="preserve">Treasury collateral</t>
        </is>
      </c>
      <c r="BL65" t="inlineStr">
        <is>
          <t xml:space="preserve">treasury</t>
        </is>
      </c>
      <c r="BM65" t="inlineStr">
        <is>
          <t xml:space="preserve">lease</t>
        </is>
      </c>
      <c r="BN65" t="inlineStr">
        <is>
          <t xml:space="preserve">long</t>
        </is>
      </c>
      <c r="BO65"/>
      <c r="BP65" s="4">
        <v>101.61445918287757</v>
      </c>
      <c r="BQ65" s="4">
        <v>101.6316083628383</v>
      </c>
      <c r="BR65" s="4">
        <v>0.012194350972399291</v>
      </c>
      <c r="BS65" s="6">
        <v>1</v>
      </c>
      <c r="BT65" s="4">
        <v>1.239122379146551</v>
      </c>
      <c r="BU65" s="4">
        <v>1.239122379146551</v>
      </c>
      <c r="BV65" s="4">
        <v>1.2393315022658813</v>
      </c>
      <c r="BW65" s="4">
        <v>0.00020912311932993848</v>
      </c>
      <c r="BX65" s="4">
        <v>2.516433242338856e-16</v>
      </c>
      <c r="BY65" s="4">
        <v>1.826</v>
      </c>
      <c r="BZ65" s="4">
        <v>1.802</v>
      </c>
      <c r="CA65" s="6"/>
      <c r="CB65" s="6"/>
      <c r="CC65" s="6"/>
      <c r="CD65" s="9">
        <v>50</v>
      </c>
      <c r="CE65" s="7">
        <f>IFERROR(BW65/F65,0)</f>
        <v>0.00016876712328767123</v>
      </c>
      <c r="CF65" t="inlineStr">
        <is>
          <t xml:space="preserve">SI69K</t>
        </is>
      </c>
      <c r="CG65" t="inlineStr">
        <is>
          <t xml:space="preserve">future</t>
        </is>
      </c>
      <c r="CH65" t="inlineStr">
        <is>
          <t xml:space="preserve">lease</t>
        </is>
      </c>
      <c r="CI65" t="inlineStr">
        <is>
          <t xml:space="preserve">long</t>
        </is>
      </c>
      <c r="CJ65" t="inlineStr">
        <is>
          <t xml:space="preserve">regular</t>
        </is>
      </c>
      <c r="CK65" s="4">
        <v>1.7919999999999998</v>
      </c>
      <c r="CL65" s="4">
        <v>1.819</v>
      </c>
      <c r="CM65" s="4">
        <v>0.691473305525462</v>
      </c>
      <c r="CN65" s="6">
        <v>0.9999982119240517</v>
      </c>
      <c r="CO65" s="4">
        <v>1.2391201635016278</v>
      </c>
      <c r="CP65" s="4">
        <v>0</v>
      </c>
      <c r="CQ65" s="4">
        <v>0</v>
      </c>
      <c r="CR65" s="4">
        <v>0.01866977924918763</v>
      </c>
      <c r="CS65" s="4">
        <v>-0.01866977924918763</v>
      </c>
      <c r="CT65" s="4">
        <v>1.826</v>
      </c>
      <c r="CU65" s="4">
        <v>1.802</v>
      </c>
      <c r="CV65" s="6">
        <v>-0.018619934282585016</v>
      </c>
      <c r="CW65" s="6">
        <v>0.0616</v>
      </c>
      <c r="CX65" s="6">
        <v>0.19752552026287062</v>
      </c>
      <c r="CY65" s="9">
        <v>50</v>
      </c>
      <c r="CZ65" s="7">
        <f>IFERROR(CR65/F65,0)</f>
        <v>0.015066937344837958</v>
      </c>
      <c r="DA65" t="inlineStr">
        <is>
          <t xml:space="preserve">SI69N</t>
        </is>
      </c>
      <c r="DB65" t="inlineStr">
        <is>
          <t xml:space="preserve">future</t>
        </is>
      </c>
      <c r="DC65" t="inlineStr">
        <is>
          <t xml:space="preserve">lease</t>
        </is>
      </c>
      <c r="DD65" t="inlineStr">
        <is>
          <t xml:space="preserve">long</t>
        </is>
      </c>
      <c r="DE65" t="inlineStr">
        <is>
          <t xml:space="preserve">regular</t>
        </is>
      </c>
      <c r="DF65" s="4">
        <v>1.824</v>
      </c>
      <c r="DG65" s="4">
        <v>1.85</v>
      </c>
      <c r="DH65" s="4">
        <v>0.00000121042047533638</v>
      </c>
      <c r="DI65" s="6">
        <v>0.0000017817505229259037</v>
      </c>
      <c r="DJ65" s="4">
        <v>0.0000022078069470135574</v>
      </c>
      <c r="DK65" s="4">
        <v>0</v>
      </c>
      <c r="DL65" s="4">
        <v>0</v>
      </c>
      <c r="DM65" s="4">
        <v>3.147093235874579e-8</v>
      </c>
      <c r="DN65" s="4">
        <v>-3.147093235874579e-8</v>
      </c>
      <c r="DO65" s="4">
        <v>1.826</v>
      </c>
      <c r="DP65" s="4">
        <v>1.802</v>
      </c>
      <c r="DQ65" s="6">
        <v>-0.0010952902519167917</v>
      </c>
      <c r="DR65" s="6">
        <v>0.06157692307692307</v>
      </c>
      <c r="DS65" s="6">
        <v>0.0651463957729019</v>
      </c>
      <c r="DT65" s="9">
        <v>112</v>
      </c>
      <c r="DU65" s="7">
        <f>IFERROR(DM65/F65,0)</f>
        <v>2.5397759646970045e-8</v>
      </c>
      <c r="DV65" t="inlineStr">
        <is>
          <t xml:space="preserve">SI69U</t>
        </is>
      </c>
      <c r="DW65" t="inlineStr">
        <is>
          <t xml:space="preserve">future</t>
        </is>
      </c>
      <c r="DX65" t="inlineStr">
        <is>
          <t xml:space="preserve">lease</t>
        </is>
      </c>
      <c r="DY65" t="inlineStr">
        <is>
          <t xml:space="preserve">long</t>
        </is>
      </c>
      <c r="DZ65" t="inlineStr">
        <is>
          <t xml:space="preserve">regular</t>
        </is>
      </c>
      <c r="EA65" s="4">
        <v>1.8559999999999999</v>
      </c>
      <c r="EB65" s="4">
        <v>1.883</v>
      </c>
      <c r="EC65" s="4">
        <v>4.197600626212844e-9</v>
      </c>
      <c r="ED65" s="6">
        <v>6.287310190957035e-9</v>
      </c>
      <c r="EE65" s="4">
        <v>7.790746762251037e-9</v>
      </c>
      <c r="EF65" s="4">
        <v>0</v>
      </c>
      <c r="EG65" s="4">
        <v>0</v>
      </c>
      <c r="EH65" s="4">
        <v>1.1333521690774659e-10</v>
      </c>
      <c r="EI65" s="4">
        <v>-1.1333521690774659e-10</v>
      </c>
      <c r="EJ65" s="4">
        <v>1.826</v>
      </c>
      <c r="EK65" s="4">
        <v>1.802</v>
      </c>
      <c r="EL65" s="6">
        <v>0.01642935377875121</v>
      </c>
      <c r="EM65" s="6">
        <v>0.061512087912087926</v>
      </c>
      <c r="EN65" s="6">
        <v>0.026443584232297326</v>
      </c>
      <c r="EO65" s="9">
        <v>171</v>
      </c>
      <c r="EP65" s="7">
        <f>IFERROR(EH65/F65,0)</f>
        <v>9.146410299344809e-11</v>
      </c>
      <c r="EQ65" t="inlineStr">
        <is>
          <t xml:space="preserve">SI69Z</t>
        </is>
      </c>
      <c r="ER65" t="inlineStr">
        <is>
          <t xml:space="preserve">future</t>
        </is>
      </c>
      <c r="ES65" t="inlineStr">
        <is>
          <t xml:space="preserve">lease</t>
        </is>
      </c>
      <c r="ET65" t="inlineStr">
        <is>
          <t xml:space="preserve">long</t>
        </is>
      </c>
      <c r="EU65" t="inlineStr">
        <is>
          <t xml:space="preserve">regular</t>
        </is>
      </c>
      <c r="EV65" s="4">
        <v>1.905</v>
      </c>
      <c r="EW65" s="4">
        <v>1.932</v>
      </c>
      <c r="EX65" s="4">
        <v>2.4792410500669817e-11</v>
      </c>
      <c r="EY65" s="6">
        <v>3.811531677468813e-11</v>
      </c>
      <c r="EZ65" s="4">
        <v>4.7229542003776004e-11</v>
      </c>
      <c r="FA65" s="4">
        <v>0</v>
      </c>
      <c r="FB65" s="4">
        <v>0</v>
      </c>
      <c r="FC65" s="4">
        <v>6.693950835180818e-13</v>
      </c>
      <c r="FD65" s="4">
        <v>-6.693950835180818e-13</v>
      </c>
      <c r="FE65" s="4">
        <v>1.826</v>
      </c>
      <c r="FF65" s="4">
        <v>1.802</v>
      </c>
      <c r="FG65" s="6">
        <v>0.04326396495071183</v>
      </c>
      <c r="FH65" s="6">
        <v>0.06190819672131147</v>
      </c>
      <c r="FI65" s="6">
        <v>0.0023182072608970775</v>
      </c>
      <c r="FJ65" s="9">
        <v>265</v>
      </c>
      <c r="FK65" s="7">
        <f>IFERROR(FC65/F65,0)</f>
        <v>5.402170881451834e-13</v>
      </c>
      <c r="FL65" t="inlineStr">
        <is>
          <t xml:space="preserve">Lease cash / margin / financing</t>
        </is>
      </c>
      <c r="FM65" t="inlineStr">
        <is>
          <t xml:space="preserve">cash</t>
        </is>
      </c>
      <c r="FN65" t="inlineStr">
        <is>
          <t xml:space="preserve">lease</t>
        </is>
      </c>
      <c r="FO65" t="inlineStr">
        <is>
          <t xml:space="preserve">cash</t>
        </is>
      </c>
      <c r="FP65"/>
      <c r="FQ65" s="4">
        <v>1</v>
      </c>
      <c r="FR65" s="4">
        <v>1</v>
      </c>
      <c r="FS65" s="4">
        <v>-2.220446049250313e-16</v>
      </c>
      <c r="FT65" s="6"/>
      <c r="FU65" s="4">
        <v>-2.220446049250313e-16</v>
      </c>
      <c r="FV65" s="4">
        <v>-2.220446049250313e-16</v>
      </c>
      <c r="FW65" s="4">
        <v>0.018669810834124126</v>
      </c>
      <c r="FX65" s="4">
        <v>0</v>
      </c>
      <c r="FY65" s="4">
        <v>0.018669810834124348</v>
      </c>
      <c r="FZ65" s="4">
        <v>1.826</v>
      </c>
      <c r="GA65" s="4">
        <v>1.802</v>
      </c>
      <c r="GB65" s="6"/>
      <c r="GC65" s="6"/>
      <c r="GD65" s="6"/>
      <c r="GE65" s="9"/>
      <c r="GF65" s="7">
        <f>IFERROR(FX65/F65,0)</f>
        <v>0</v>
      </c>
      <c r="GG65" t="inlineStr">
        <is>
          <t xml:space="preserve">Keep cash / margin / financing</t>
        </is>
      </c>
      <c r="GH65" t="inlineStr">
        <is>
          <t xml:space="preserve">cash</t>
        </is>
      </c>
      <c r="GI65" t="inlineStr">
        <is>
          <t xml:space="preserve">keep</t>
        </is>
      </c>
      <c r="GJ65" t="inlineStr">
        <is>
          <t xml:space="preserve">cash</t>
        </is>
      </c>
      <c r="GK65"/>
      <c r="GL65" s="4">
        <v>1</v>
      </c>
      <c r="GM65" s="4">
        <v>1</v>
      </c>
      <c r="GN65" s="4">
        <v>0</v>
      </c>
      <c r="GO65" s="6"/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1.826</v>
      </c>
      <c r="GV65" s="4">
        <v>1.802</v>
      </c>
      <c r="GW65" s="6"/>
      <c r="GX65" s="6"/>
      <c r="GY65" s="6"/>
      <c r="GZ65" s="9"/>
      <c r="HA65" s="7">
        <f>IFERROR(GS65/F65,0)</f>
        <v>0</v>
      </c>
      <c r="HB65"/>
      <c r="HC65"/>
      <c r="HD65"/>
      <c r="HE65"/>
      <c r="HF65"/>
      <c r="HG65" s="4"/>
      <c r="HH65" s="4"/>
      <c r="HI65" s="4"/>
      <c r="HJ65" s="6"/>
      <c r="HK65" s="4"/>
      <c r="HL65" s="4"/>
      <c r="HM65" s="4"/>
      <c r="HN65" s="4"/>
      <c r="HO65" s="4"/>
      <c r="HP65" s="4"/>
      <c r="HQ65" s="4"/>
      <c r="HR65" s="6"/>
      <c r="HS65" s="6"/>
      <c r="HT65" s="6"/>
      <c r="HU65" s="9"/>
      <c r="HV65"/>
      <c r="HW65"/>
      <c r="HX65"/>
      <c r="HY65"/>
      <c r="HZ65"/>
      <c r="IA65"/>
      <c r="IB65" s="4"/>
      <c r="IC65" s="4"/>
      <c r="ID65" s="4"/>
      <c r="IE65" s="6"/>
      <c r="IF65" s="4"/>
      <c r="IG65" s="4"/>
      <c r="IH65" s="4"/>
      <c r="II65" s="4"/>
      <c r="IJ65" s="4"/>
      <c r="IK65" s="4"/>
      <c r="IL65" s="4"/>
      <c r="IM65" s="6"/>
      <c r="IN65" s="6"/>
      <c r="IO65" s="6"/>
      <c r="IP65" s="9"/>
      <c r="IQ65"/>
      <c r="IR65"/>
      <c r="IS65"/>
      <c r="IT65"/>
      <c r="IU65"/>
      <c r="IV65"/>
      <c r="IW65" s="4"/>
      <c r="IX65" s="4"/>
      <c r="IY65" s="4"/>
      <c r="IZ65" s="6"/>
      <c r="JA65" s="4"/>
      <c r="JB65" s="4"/>
      <c r="JC65" s="4"/>
      <c r="JD65" s="4"/>
      <c r="JE65" s="4"/>
      <c r="JF65" s="4"/>
      <c r="JG65" s="4"/>
      <c r="JH65" s="6"/>
      <c r="JI65" s="6"/>
      <c r="JJ65" s="6"/>
      <c r="JK65" s="9"/>
      <c r="JL65"/>
    </row>
    <row r="66">
      <c r="A66" s="8">
        <v>25302</v>
      </c>
      <c r="B66" s="8">
        <v>25303</v>
      </c>
      <c r="C66" s="9">
        <f>B66-A66</f>
        <v>1</v>
      </c>
      <c r="D66" s="8">
        <v>25302</v>
      </c>
      <c r="E66" t="inlineStr">
        <is>
          <t xml:space="preserve">neutral</t>
        </is>
      </c>
      <c r="F66" s="4">
        <v>1.2580013131000056</v>
      </c>
      <c r="G66" s="6">
        <v>0.0066524181655087215</v>
      </c>
      <c r="H66" s="7">
        <f>SUM(CE66,CZ66,DU66,EP66,FK66,GF66,HA66,HV66,IQ66,JL66)</f>
        <v>0.00665241816550872</v>
      </c>
      <c r="I66" s="7">
        <f>G66-H66</f>
        <v>1.734723475976807e-18</v>
      </c>
      <c r="J66" s="5">
        <f>F66*(1+H66)</f>
        <v>1.266370063887506</v>
      </c>
      <c r="K66" s="4">
        <v>1.266370063887506</v>
      </c>
      <c r="L66" s="5">
        <f>K66-J66</f>
        <v>0</v>
      </c>
      <c r="M66" s="4">
        <v>1.802</v>
      </c>
      <c r="N66" s="4">
        <v>1.814</v>
      </c>
      <c r="O66" s="5">
        <f>M66/$M$3</f>
        <v>0.9203268641470889</v>
      </c>
      <c r="P66" s="5">
        <f>N66/$M$3</f>
        <v>0.9264555669050052</v>
      </c>
      <c r="Q66" s="7">
        <f>IFERROR(N66/M66-1,0)</f>
        <v>0.006659267480577213</v>
      </c>
      <c r="R66" s="5">
        <f>SUM(IF(BM66="lease",BU66,0),IF(CH66="lease",CP66,0),IF(DC66="lease",DK66,0),IF(DX66="lease",EF66,0),IF(ES66="lease",FA66,0),IF(FN66="lease",FV66,0),IF(GI66="lease",GQ66,0),IF(HD66="lease",HL66,0),IF(HY66="lease",IG66,0),IF(IT66="lease",JB66,0))</f>
        <v>1.2580013131000054</v>
      </c>
      <c r="S66" s="5">
        <f>SUM(IF(BM66="lease",BV66,0),IF(CH66="lease",CQ66,0),IF(DC66="lease",DL66,0),IF(DX66="lease",EG66,0),IF(ES66="lease",FB66,0),IF(FN66="lease",FW66,0),IF(GI66="lease",GR66,0),IF(HD66="lease",HM66,0),IF(HY66="lease",IH66,0),IF(IT66="lease",JC66,0))</f>
        <v>1.2663700638875057</v>
      </c>
      <c r="T66" s="5">
        <f>SUM(IF(BM66="keep",BU66,0),IF(CH66="keep",CP66,0),IF(DC66="keep",DK66,0),IF(DX66="keep",EF66,0),IF(ES66="keep",FA66,0),IF(FN66="keep",FV66,0),IF(GI66="keep",GQ66,0),IF(HD66="keep",HL66,0),IF(HY66="keep",IG66,0),IF(IT66="keep",JB66,0))</f>
        <v>0</v>
      </c>
      <c r="U66" s="5">
        <f>SUM(IF(BM66="keep",BV66,0),IF(CH66="keep",CQ66,0),IF(DC66="keep",DL66,0),IF(DX66="keep",EG66,0),IF(ES66="keep",FB66,0),IF(FN66="keep",FW66,0),IF(GI66="keep",GR66,0),IF(HD66="keep",HM66,0),IF(HY66="keep",IH66,0),IF(IT66="keep",JC66,0))</f>
        <v>0</v>
      </c>
      <c r="V66" s="5">
        <f>R66/O66</f>
        <v>1.366907087153058</v>
      </c>
      <c r="W66" s="5">
        <f>S66/P66</f>
        <v>1.3668977867098875</v>
      </c>
      <c r="X66" s="5">
        <f>T66/O66</f>
        <v>0</v>
      </c>
      <c r="Y66" s="5">
        <f>U66/P66</f>
        <v>0</v>
      </c>
      <c r="Z66" s="5">
        <f>V66+X66</f>
        <v>1.366907087153058</v>
      </c>
      <c r="AA66" s="7">
        <f>IFERROR(W66/V66-1,0)</f>
        <v>-0.000006804005376781497</v>
      </c>
      <c r="AB66" s="7">
        <f>IFERROR((W66-V66)/Z66,0)</f>
        <v>-0.000006804005376737623</v>
      </c>
      <c r="AC66" s="7">
        <f>IFERROR(Y66/X66-1,0)</f>
        <v>0</v>
      </c>
      <c r="AD66" s="7">
        <f>IFERROR((Y66-X66)/Z66,0)</f>
        <v>0</v>
      </c>
      <c r="AE66" s="7">
        <f>AB66+AD66</f>
        <v>-0.000006804005376737623</v>
      </c>
      <c r="AF66" s="7">
        <f>(1+Q66)*(1+AE66)-1</f>
        <v>0.006652418165508767</v>
      </c>
      <c r="AG66" s="7">
        <f>G66-AF66</f>
        <v>-4.5102810375396984e-17</v>
      </c>
      <c r="AH66" s="5">
        <f>SUM(IF(BM66="lease",BW66,0),IF(CH66="lease",CR66,0),IF(DC66="lease",DM66,0),IF(DX66="lease",EH66,0),IF(ES66="lease",FC66,0),IF(FN66="lease",FX66,0),IF(GI66="lease",GS66,0),IF(HD66="lease",HN66,0),IF(HY66="lease",II66,0),IF(IT66="lease",JD66,0))</f>
        <v>0.0083687507875003</v>
      </c>
      <c r="AI66" s="5">
        <f>SUM(IF(BM66="keep",BW66,0),IF(CH66="keep",CR66,0),IF(DC66="keep",DM66,0),IF(DX66="keep",EH66,0),IF(ES66="keep",FC66,0),IF(FN66="keep",FX66,0),IF(GI66="keep",GS66,0),IF(HD66="keep",HN66,0),IF(HY66="keep",II66,0),IF(IT66="keep",JD66,0))</f>
        <v>0</v>
      </c>
      <c r="AJ66" s="5">
        <f>SUM(IF(BM66="lease",BX66,0),IF(CH66="lease",CS66,0),IF(DC66="lease",DN66,0),IF(DX66="lease",EI66,0),IF(ES66="lease",FD66,0),IF(FN66="lease",FY66,0),IF(GI66="lease",GT66,0),IF(HD66="lease",HO66,0),IF(HY66="lease",IJ66,0),IF(IT66="lease",JE66,0))</f>
        <v>0</v>
      </c>
      <c r="AK66" s="5">
        <f>SUM(IF(BM66="keep",BX66,0),IF(CH66="keep",CS66,0),IF(DC66="keep",DN66,0),IF(DX66="keep",EI66,0),IF(ES66="keep",FD66,0),IF(FN66="keep",FY66,0),IF(GI66="keep",GT66,0),IF(HD66="keep",HO66,0),IF(HY66="keep",IJ66,0),IF(IT66="keep",JE66,0))</f>
        <v>0</v>
      </c>
      <c r="AL66" s="5">
        <f>R66-S65</f>
        <v>0</v>
      </c>
      <c r="AM66" s="5">
        <f>T66-U65</f>
        <v>0</v>
      </c>
      <c r="AN66" s="5">
        <f>AN65</f>
        <v>1</v>
      </c>
      <c r="AO66" s="5">
        <f>AO65+AH66</f>
        <v>0.26637006388750606</v>
      </c>
      <c r="AP66" s="5">
        <f>AP65+AL66</f>
        <v>-2.220446049250313e-16</v>
      </c>
      <c r="AQ66" s="5">
        <f>AN66+AO66+AP66</f>
        <v>1.266370063887506</v>
      </c>
      <c r="AR66" s="5">
        <f>S66-AQ66</f>
        <v>-2.220446049250313e-16</v>
      </c>
      <c r="AS66" s="5">
        <f>AS65</f>
        <v>0</v>
      </c>
      <c r="AT66" s="5">
        <f>AT65+AI66</f>
        <v>0</v>
      </c>
      <c r="AU66" s="5">
        <f>AU65+AM66</f>
        <v>0</v>
      </c>
      <c r="AV66" s="5">
        <f>AS66+AT66+AU66</f>
        <v>0</v>
      </c>
      <c r="AW66" s="5">
        <f>U66-AV66</f>
        <v>0</v>
      </c>
      <c r="AX66" s="4">
        <v>1.2580013131000054</v>
      </c>
      <c r="AY66" s="4">
        <v>1.2663700638875057</v>
      </c>
      <c r="AZ66" s="5">
        <f>S66-AY66</f>
        <v>0</v>
      </c>
      <c r="BA66" s="4">
        <v>0</v>
      </c>
      <c r="BB66" s="4">
        <v>0</v>
      </c>
      <c r="BC66" s="5">
        <f>U66-BB66</f>
        <v>0</v>
      </c>
      <c r="BD66" s="7">
        <f>SUM(IF(BL66="direct",CE66,0),IF(CG66="direct",CZ66,0),IF(DB66="direct",DU66,0),IF(DW66="direct",EP66,0),IF(ER66="direct",FK66,0),IF(FM66="direct",GF66,0),IF(GH66="direct",HA66,0),IF(HC66="direct",HV66,0),IF(HX66="direct",IQ66,0),IF(IS66="direct",JL66,0))</f>
        <v>0.00665241816550872</v>
      </c>
      <c r="BE66" s="7">
        <f>SUM(IF(BL66="treasury",CE66,0),IF(CG66="treasury",CZ66,0),IF(DB66="treasury",DU66,0),IF(DW66="treasury",EP66,0),IF(ER66="treasury",FK66,0),IF(FM66="treasury",GF66,0),IF(GH66="treasury",HA66,0),IF(HC66="treasury",HV66,0),IF(HX66="treasury",IQ66,0),IF(IS66="treasury",JL66,0))</f>
        <v>0</v>
      </c>
      <c r="BF66" s="7">
        <f>SUM(IF(BL66="future",CE66,0),IF(CG66="future",CZ66,0),IF(DB66="future",DU66,0),IF(DW66="future",EP66,0),IF(ER66="future",FK66,0),IF(FM66="future",GF66,0),IF(GH66="future",HA66,0),IF(HC66="future",HV66,0),IF(HX66="future",IQ66,0),IF(IS66="future",JL66,0))</f>
        <v>0</v>
      </c>
      <c r="BG66" s="7">
        <f>SUM(IF(BL66="cash",CE66,0),IF(CG66="cash",CZ66,0),IF(DB66="cash",DU66,0),IF(DW66="cash",EP66,0),IF(ER66="cash",FK66,0),IF(FM66="cash",GF66,0),IF(GH66="cash",HA66,0),IF(HC66="cash",HV66,0),IF(HX66="cash",IQ66,0),IF(IS66="cash",JL66,0))</f>
        <v>0</v>
      </c>
      <c r="BH66" s="7">
        <f>SUM(BD66:BG66)</f>
        <v>0.00665241816550872</v>
      </c>
      <c r="BI66" s="7">
        <f>G66-BH66</f>
        <v>1.734723475976807e-18</v>
      </c>
      <c r="BJ66" s="9">
        <f>COUNTA(BK66,CF66,DA66,DV66,EQ66,FL66,GG66,HB66,HW66,IR66)</f>
        <v>3</v>
      </c>
      <c r="BK66" t="inlineStr">
        <is>
          <t xml:space="preserve">Direct commodity holding</t>
        </is>
      </c>
      <c r="BL66" t="inlineStr">
        <is>
          <t xml:space="preserve">direct</t>
        </is>
      </c>
      <c r="BM66" t="inlineStr">
        <is>
          <t xml:space="preserve">lease</t>
        </is>
      </c>
      <c r="BN66" t="inlineStr">
        <is>
          <t xml:space="preserve">long</t>
        </is>
      </c>
      <c r="BO66"/>
      <c r="BP66" s="4">
        <v>1.802</v>
      </c>
      <c r="BQ66" s="4">
        <v>1.814</v>
      </c>
      <c r="BR66" s="4">
        <v>0.6981139362375169</v>
      </c>
      <c r="BS66" s="6">
        <v>1</v>
      </c>
      <c r="BT66" s="4">
        <v>1.2580013131000056</v>
      </c>
      <c r="BU66" s="4">
        <v>1.2580013131000056</v>
      </c>
      <c r="BV66" s="4">
        <v>1.2663786803348558</v>
      </c>
      <c r="BW66" s="4">
        <v>0.0083687507875003</v>
      </c>
      <c r="BX66" s="4">
        <v>0.000008616447349863235</v>
      </c>
      <c r="BY66" s="4">
        <v>1.802</v>
      </c>
      <c r="BZ66" s="4">
        <v>1.814</v>
      </c>
      <c r="CA66" s="6"/>
      <c r="CB66" s="6"/>
      <c r="CC66" s="6"/>
      <c r="CD66" s="9"/>
      <c r="CE66" s="7">
        <f>IFERROR(BW66/F66,0)</f>
        <v>0.00665241816550872</v>
      </c>
      <c r="CF66" t="inlineStr">
        <is>
          <t xml:space="preserve">Lease cash / margin / financing</t>
        </is>
      </c>
      <c r="CG66" t="inlineStr">
        <is>
          <t xml:space="preserve">cash</t>
        </is>
      </c>
      <c r="CH66" t="inlineStr">
        <is>
          <t xml:space="preserve">lease</t>
        </is>
      </c>
      <c r="CI66" t="inlineStr">
        <is>
          <t xml:space="preserve">cash</t>
        </is>
      </c>
      <c r="CJ66"/>
      <c r="CK66" s="4">
        <v>1</v>
      </c>
      <c r="CL66" s="4">
        <v>1</v>
      </c>
      <c r="CM66" s="4">
        <v>-2.220446049250313e-16</v>
      </c>
      <c r="CN66" s="6"/>
      <c r="CO66" s="4">
        <v>-2.220446049250313e-16</v>
      </c>
      <c r="CP66" s="4">
        <v>-2.220446049250313e-16</v>
      </c>
      <c r="CQ66" s="4">
        <v>-0.00000861644735008528</v>
      </c>
      <c r="CR66" s="4">
        <v>0</v>
      </c>
      <c r="CS66" s="4">
        <v>-0.000008616447349863235</v>
      </c>
      <c r="CT66" s="4">
        <v>1.802</v>
      </c>
      <c r="CU66" s="4">
        <v>1.814</v>
      </c>
      <c r="CV66" s="6"/>
      <c r="CW66" s="6"/>
      <c r="CX66" s="6"/>
      <c r="CY66" s="9"/>
      <c r="CZ66" s="7">
        <f>IFERROR(CR66/F66,0)</f>
        <v>0</v>
      </c>
      <c r="DA66" t="inlineStr">
        <is>
          <t xml:space="preserve">Keep cash / margin / financing</t>
        </is>
      </c>
      <c r="DB66" t="inlineStr">
        <is>
          <t xml:space="preserve">cash</t>
        </is>
      </c>
      <c r="DC66" t="inlineStr">
        <is>
          <t xml:space="preserve">keep</t>
        </is>
      </c>
      <c r="DD66" t="inlineStr">
        <is>
          <t xml:space="preserve">cash</t>
        </is>
      </c>
      <c r="DE66"/>
      <c r="DF66" s="4">
        <v>1</v>
      </c>
      <c r="DG66" s="4">
        <v>1</v>
      </c>
      <c r="DH66" s="4">
        <v>0</v>
      </c>
      <c r="DI66" s="6"/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1.802</v>
      </c>
      <c r="DP66" s="4">
        <v>1.814</v>
      </c>
      <c r="DQ66" s="6"/>
      <c r="DR66" s="6"/>
      <c r="DS66" s="6"/>
      <c r="DT66" s="9"/>
      <c r="DU66" s="7">
        <f>IFERROR(DM66/F66,0)</f>
        <v>0</v>
      </c>
      <c r="DV66"/>
      <c r="DW66"/>
      <c r="DX66"/>
      <c r="DY66"/>
      <c r="DZ66"/>
      <c r="EA66" s="4"/>
      <c r="EB66" s="4"/>
      <c r="EC66" s="4"/>
      <c r="ED66" s="6"/>
      <c r="EE66" s="4"/>
      <c r="EF66" s="4"/>
      <c r="EG66" s="4"/>
      <c r="EH66" s="4"/>
      <c r="EI66" s="4"/>
      <c r="EJ66" s="4"/>
      <c r="EK66" s="4"/>
      <c r="EL66" s="6"/>
      <c r="EM66" s="6"/>
      <c r="EN66" s="6"/>
      <c r="EO66" s="9"/>
      <c r="EP66"/>
      <c r="EQ66"/>
      <c r="ER66"/>
      <c r="ES66"/>
      <c r="ET66"/>
      <c r="EU66"/>
      <c r="EV66" s="4"/>
      <c r="EW66" s="4"/>
      <c r="EX66" s="4"/>
      <c r="EY66" s="6"/>
      <c r="EZ66" s="4"/>
      <c r="FA66" s="4"/>
      <c r="FB66" s="4"/>
      <c r="FC66" s="4"/>
      <c r="FD66" s="4"/>
      <c r="FE66" s="4"/>
      <c r="FF66" s="4"/>
      <c r="FG66" s="6"/>
      <c r="FH66" s="6"/>
      <c r="FI66" s="6"/>
      <c r="FJ66" s="9"/>
      <c r="FK66"/>
      <c r="FL66"/>
      <c r="FM66"/>
      <c r="FN66"/>
      <c r="FO66"/>
      <c r="FP66"/>
      <c r="FQ66" s="4"/>
      <c r="FR66" s="4"/>
      <c r="FS66" s="4"/>
      <c r="FT66" s="6"/>
      <c r="FU66" s="4"/>
      <c r="FV66" s="4"/>
      <c r="FW66" s="4"/>
      <c r="FX66" s="4"/>
      <c r="FY66" s="4"/>
      <c r="FZ66" s="4"/>
      <c r="GA66" s="4"/>
      <c r="GB66" s="6"/>
      <c r="GC66" s="6"/>
      <c r="GD66" s="6"/>
      <c r="GE66" s="9"/>
      <c r="GF66"/>
      <c r="GG66"/>
      <c r="GH66"/>
      <c r="GI66"/>
      <c r="GJ66"/>
      <c r="GK66"/>
      <c r="GL66" s="4"/>
      <c r="GM66" s="4"/>
      <c r="GN66" s="4"/>
      <c r="GO66" s="6"/>
      <c r="GP66" s="4"/>
      <c r="GQ66" s="4"/>
      <c r="GR66" s="4"/>
      <c r="GS66" s="4"/>
      <c r="GT66" s="4"/>
      <c r="GU66" s="4"/>
      <c r="GV66" s="4"/>
      <c r="GW66" s="6"/>
      <c r="GX66" s="6"/>
      <c r="GY66" s="6"/>
      <c r="GZ66" s="9"/>
      <c r="HA66"/>
      <c r="HB66"/>
      <c r="HC66"/>
      <c r="HD66"/>
      <c r="HE66"/>
      <c r="HF66"/>
      <c r="HG66" s="4"/>
      <c r="HH66" s="4"/>
      <c r="HI66" s="4"/>
      <c r="HJ66" s="6"/>
      <c r="HK66" s="4"/>
      <c r="HL66" s="4"/>
      <c r="HM66" s="4"/>
      <c r="HN66" s="4"/>
      <c r="HO66" s="4"/>
      <c r="HP66" s="4"/>
      <c r="HQ66" s="4"/>
      <c r="HR66" s="6"/>
      <c r="HS66" s="6"/>
      <c r="HT66" s="6"/>
      <c r="HU66" s="9"/>
      <c r="HV66"/>
      <c r="HW66"/>
      <c r="HX66"/>
      <c r="HY66"/>
      <c r="HZ66"/>
      <c r="IA66"/>
      <c r="IB66" s="4"/>
      <c r="IC66" s="4"/>
      <c r="ID66" s="4"/>
      <c r="IE66" s="6"/>
      <c r="IF66" s="4"/>
      <c r="IG66" s="4"/>
      <c r="IH66" s="4"/>
      <c r="II66" s="4"/>
      <c r="IJ66" s="4"/>
      <c r="IK66" s="4"/>
      <c r="IL66" s="4"/>
      <c r="IM66" s="6"/>
      <c r="IN66" s="6"/>
      <c r="IO66" s="6"/>
      <c r="IP66" s="9"/>
      <c r="IQ66"/>
      <c r="IR66"/>
      <c r="IS66"/>
      <c r="IT66"/>
      <c r="IU66"/>
      <c r="IV66"/>
      <c r="IW66" s="4"/>
      <c r="IX66" s="4"/>
      <c r="IY66" s="4"/>
      <c r="IZ66" s="6"/>
      <c r="JA66" s="4"/>
      <c r="JB66" s="4"/>
      <c r="JC66" s="4"/>
      <c r="JD66" s="4"/>
      <c r="JE66" s="4"/>
      <c r="JF66" s="4"/>
      <c r="JG66" s="4"/>
      <c r="JH66" s="6"/>
      <c r="JI66" s="6"/>
      <c r="JJ66" s="6"/>
      <c r="JK66" s="9"/>
      <c r="JL66"/>
    </row>
    <row r="67">
      <c r="A67" s="8">
        <v>25303</v>
      </c>
      <c r="B67" s="8">
        <v>25304</v>
      </c>
      <c r="C67" s="9">
        <f>B67-A67</f>
        <v>1</v>
      </c>
      <c r="D67" s="8">
        <v>25303</v>
      </c>
      <c r="E67" t="inlineStr">
        <is>
          <t xml:space="preserve">positive</t>
        </is>
      </c>
      <c r="F67" s="4">
        <v>1.266370063887506</v>
      </c>
      <c r="G67" s="6">
        <v>-0.0008440987927475109</v>
      </c>
      <c r="H67" s="7">
        <f>SUM(CE67,CZ67,DU67,EP67,FK67,GF67,HA67,HV67,IQ67,JL67)</f>
        <v>-0.0008440987927475112</v>
      </c>
      <c r="I67" s="7">
        <f>G67-H67</f>
        <v>3.2526065174565133e-19</v>
      </c>
      <c r="J67" s="5">
        <f>F67*(1+H67)</f>
        <v>1.265301122445407</v>
      </c>
      <c r="K67" s="4">
        <v>1.265301122445407</v>
      </c>
      <c r="L67" s="5">
        <f>K67-J67</f>
        <v>0</v>
      </c>
      <c r="M67" s="4">
        <v>1.814</v>
      </c>
      <c r="N67" s="4">
        <v>1.801</v>
      </c>
      <c r="O67" s="5">
        <f>M67/$M$3</f>
        <v>0.9264555669050052</v>
      </c>
      <c r="P67" s="5">
        <f>N67/$M$3</f>
        <v>0.9198161389172625</v>
      </c>
      <c r="Q67" s="7">
        <f>IFERROR(N67/M67-1,0)</f>
        <v>-0.00716648291069466</v>
      </c>
      <c r="R67" s="5">
        <f>SUM(IF(BM67="lease",BU67,0),IF(CH67="lease",CP67,0),IF(DC67="lease",DK67,0),IF(DX67="lease",EF67,0),IF(ES67="lease",FA67,0),IF(FN67="lease",FV67,0),IF(GI67="lease",GQ67,0),IF(HD67="lease",HL67,0),IF(HY67="lease",IG67,0),IF(IT67="lease",JB67,0))</f>
        <v>1.2663700638875057</v>
      </c>
      <c r="S67" s="5">
        <f>SUM(IF(BM67="lease",BV67,0),IF(CH67="lease",CQ67,0),IF(DC67="lease",DL67,0),IF(DX67="lease",EG67,0),IF(ES67="lease",FB67,0),IF(FN67="lease",FW67,0),IF(GI67="lease",GR67,0),IF(HD67="lease",HM67,0),IF(HY67="lease",IH67,0),IF(IT67="lease",JC67,0))</f>
        <v>1.2653011224454067</v>
      </c>
      <c r="T67" s="5">
        <f>SUM(IF(BM67="keep",BU67,0),IF(CH67="keep",CP67,0),IF(DC67="keep",DK67,0),IF(DX67="keep",EF67,0),IF(ES67="keep",FA67,0),IF(FN67="keep",FV67,0),IF(GI67="keep",GQ67,0),IF(HD67="keep",HL67,0),IF(HY67="keep",IG67,0),IF(IT67="keep",JB67,0))</f>
        <v>0</v>
      </c>
      <c r="U67" s="5">
        <f>SUM(IF(BM67="keep",BV67,0),IF(CH67="keep",CQ67,0),IF(DC67="keep",DL67,0),IF(DX67="keep",EG67,0),IF(ES67="keep",FB67,0),IF(FN67="keep",FW67,0),IF(GI67="keep",GR67,0),IF(HD67="keep",HM67,0),IF(HY67="keep",IH67,0),IF(IT67="keep",JC67,0))</f>
        <v>0</v>
      </c>
      <c r="V67" s="5">
        <f>R67/O67</f>
        <v>1.3668977867098875</v>
      </c>
      <c r="W67" s="5">
        <f>S67/P67</f>
        <v>1.3756022197379825</v>
      </c>
      <c r="X67" s="5">
        <f>T67/O67</f>
        <v>0</v>
      </c>
      <c r="Y67" s="5">
        <f>U67/P67</f>
        <v>0</v>
      </c>
      <c r="Z67" s="5">
        <f>V67+X67</f>
        <v>1.3668977867098875</v>
      </c>
      <c r="AA67" s="7">
        <f>IFERROR(W67/V67-1,0)</f>
        <v>0.006368020427516052</v>
      </c>
      <c r="AB67" s="7">
        <f>IFERROR((W67-V67)/Z67,0)</f>
        <v>0.006368020427516007</v>
      </c>
      <c r="AC67" s="7">
        <f>IFERROR(Y67/X67-1,0)</f>
        <v>0</v>
      </c>
      <c r="AD67" s="7">
        <f>IFERROR((Y67-X67)/Z67,0)</f>
        <v>0</v>
      </c>
      <c r="AE67" s="7">
        <f>AB67+AD67</f>
        <v>0.006368020427516007</v>
      </c>
      <c r="AF67" s="7">
        <f>(1+Q67)*(1+AE67)-1</f>
        <v>-0.0008440987927473831</v>
      </c>
      <c r="AG67" s="7">
        <f>G67-AF67</f>
        <v>-1.2782743613604097e-16</v>
      </c>
      <c r="AH67" s="5">
        <f>SUM(IF(BM67="lease",BW67,0),IF(CH67="lease",CR67,0),IF(DC67="lease",DM67,0),IF(DX67="lease",EH67,0),IF(ES67="lease",FC67,0),IF(FN67="lease",FX67,0),IF(GI67="lease",GS67,0),IF(HD67="lease",HN67,0),IF(HY67="lease",II67,0),IF(IT67="lease",JD67,0))</f>
        <v>-0.0010689414420990324</v>
      </c>
      <c r="AI67" s="5">
        <f>SUM(IF(BM67="keep",BW67,0),IF(CH67="keep",CR67,0),IF(DC67="keep",DM67,0),IF(DX67="keep",EH67,0),IF(ES67="keep",FC67,0),IF(FN67="keep",FX67,0),IF(GI67="keep",GS67,0),IF(HD67="keep",HN67,0),IF(HY67="keep",II67,0),IF(IT67="keep",JD67,0))</f>
        <v>0</v>
      </c>
      <c r="AJ67" s="5">
        <f>SUM(IF(BM67="lease",BX67,0),IF(CH67="lease",CS67,0),IF(DC67="lease",DN67,0),IF(DX67="lease",EI67,0),IF(ES67="lease",FD67,0),IF(FN67="lease",FY67,0),IF(GI67="lease",GT67,0),IF(HD67="lease",HO67,0),IF(HY67="lease",IJ67,0),IF(IT67="lease",JE67,0))</f>
        <v>0</v>
      </c>
      <c r="AK67" s="5">
        <f>SUM(IF(BM67="keep",BX67,0),IF(CH67="keep",CS67,0),IF(DC67="keep",DN67,0),IF(DX67="keep",EI67,0),IF(ES67="keep",FD67,0),IF(FN67="keep",FY67,0),IF(GI67="keep",GT67,0),IF(HD67="keep",HO67,0),IF(HY67="keep",IJ67,0),IF(IT67="keep",JE67,0))</f>
        <v>0</v>
      </c>
      <c r="AL67" s="5">
        <f>R67-S66</f>
        <v>0</v>
      </c>
      <c r="AM67" s="5">
        <f>T67-U66</f>
        <v>0</v>
      </c>
      <c r="AN67" s="5">
        <f>AN66</f>
        <v>1</v>
      </c>
      <c r="AO67" s="5">
        <f>AO66+AH67</f>
        <v>0.26530112244540704</v>
      </c>
      <c r="AP67" s="5">
        <f>AP66+AL67</f>
        <v>-2.220446049250313e-16</v>
      </c>
      <c r="AQ67" s="5">
        <f>AN67+AO67+AP67</f>
        <v>1.265301122445407</v>
      </c>
      <c r="AR67" s="5">
        <f>S67-AQ67</f>
        <v>-2.220446049250313e-16</v>
      </c>
      <c r="AS67" s="5">
        <f>AS66</f>
        <v>0</v>
      </c>
      <c r="AT67" s="5">
        <f>AT66+AI67</f>
        <v>0</v>
      </c>
      <c r="AU67" s="5">
        <f>AU66+AM67</f>
        <v>0</v>
      </c>
      <c r="AV67" s="5">
        <f>AS67+AT67+AU67</f>
        <v>0</v>
      </c>
      <c r="AW67" s="5">
        <f>U67-AV67</f>
        <v>0</v>
      </c>
      <c r="AX67" s="4">
        <v>1.2663700638875057</v>
      </c>
      <c r="AY67" s="4">
        <v>1.2653011224454067</v>
      </c>
      <c r="AZ67" s="5">
        <f>S67-AY67</f>
        <v>0</v>
      </c>
      <c r="BA67" s="4">
        <v>0</v>
      </c>
      <c r="BB67" s="4">
        <v>0</v>
      </c>
      <c r="BC67" s="5">
        <f>U67-BB67</f>
        <v>0</v>
      </c>
      <c r="BD67" s="7">
        <f>SUM(IF(BL67="direct",CE67,0),IF(CG67="direct",CZ67,0),IF(DB67="direct",DU67,0),IF(DW67="direct",EP67,0),IF(ER67="direct",FK67,0),IF(FM67="direct",GF67,0),IF(GH67="direct",HA67,0),IF(HC67="direct",HV67,0),IF(HX67="direct",IQ67,0),IF(IS67="direct",JL67,0))</f>
        <v>-0.0024232760585276105</v>
      </c>
      <c r="BE67" s="7">
        <f>SUM(IF(BL67="treasury",CE67,0),IF(CG67="treasury",CZ67,0),IF(DB67="treasury",DU67,0),IF(DW67="treasury",EP67,0),IF(ER67="treasury",FK67,0),IF(FM67="treasury",GF67,0),IF(GH67="treasury",HA67,0),IF(HC67="treasury",HV67,0),IF(HX67="treasury",IQ67,0),IF(IS67="treasury",JL67,0))</f>
        <v>0.00011175466151143138</v>
      </c>
      <c r="BF67" s="7">
        <f>SUM(IF(BL67="future",CE67,0),IF(CG67="future",CZ67,0),IF(DB67="future",DU67,0),IF(DW67="future",EP67,0),IF(ER67="future",FK67,0),IF(FM67="future",GF67,0),IF(GH67="future",HA67,0),IF(HC67="future",HV67,0),IF(HX67="future",IQ67,0),IF(IS67="future",JL67,0))</f>
        <v>0.001467422604268668</v>
      </c>
      <c r="BG67" s="7">
        <f>SUM(IF(BL67="cash",CE67,0),IF(CG67="cash",CZ67,0),IF(DB67="cash",DU67,0),IF(DW67="cash",EP67,0),IF(ER67="cash",FK67,0),IF(FM67="cash",GF67,0),IF(GH67="cash",HA67,0),IF(HC67="cash",HV67,0),IF(HX67="cash",IQ67,0),IF(IS67="cash",JL67,0))</f>
        <v>0</v>
      </c>
      <c r="BH67" s="7">
        <f>SUM(BD67:BG67)</f>
        <v>-0.000844098792747511</v>
      </c>
      <c r="BI67" s="7">
        <f>G67-BH67</f>
        <v>1.0842021724855044e-19</v>
      </c>
      <c r="BJ67" s="9">
        <f>COUNTA(BK67,CF67,DA67,DV67,EQ67,FL67,GG67,HB67,HW67,IR67)</f>
        <v>6</v>
      </c>
      <c r="BK67" t="inlineStr">
        <is>
          <t xml:space="preserve">Direct commodity holding</t>
        </is>
      </c>
      <c r="BL67" t="inlineStr">
        <is>
          <t xml:space="preserve">direct</t>
        </is>
      </c>
      <c r="BM67" t="inlineStr">
        <is>
          <t xml:space="preserve">lease</t>
        </is>
      </c>
      <c r="BN67" t="inlineStr">
        <is>
          <t xml:space="preserve">long</t>
        </is>
      </c>
      <c r="BO67"/>
      <c r="BP67" s="4">
        <v>1.814</v>
      </c>
      <c r="BQ67" s="4">
        <v>1.801</v>
      </c>
      <c r="BR67" s="4">
        <v>0.23583339291634783</v>
      </c>
      <c r="BS67" s="6">
        <v>0.33781734656375884</v>
      </c>
      <c r="BT67" s="4">
        <v>0.427801774750255</v>
      </c>
      <c r="BU67" s="4">
        <v>0.427801774750255</v>
      </c>
      <c r="BV67" s="4">
        <v>0.42473594064234244</v>
      </c>
      <c r="BW67" s="4">
        <v>-0.003068764257054674</v>
      </c>
      <c r="BX67" s="4">
        <v>0.000002930149142116572</v>
      </c>
      <c r="BY67" s="4">
        <v>1.814</v>
      </c>
      <c r="BZ67" s="4">
        <v>1.801</v>
      </c>
      <c r="CA67" s="6"/>
      <c r="CB67" s="6"/>
      <c r="CC67" s="6"/>
      <c r="CD67" s="9"/>
      <c r="CE67" s="7">
        <f>IFERROR(BW67/F67,0)</f>
        <v>-0.0024232760585276105</v>
      </c>
      <c r="CF67" t="inlineStr">
        <is>
          <t xml:space="preserve">Treasury collateral</t>
        </is>
      </c>
      <c r="CG67" t="inlineStr">
        <is>
          <t xml:space="preserve">treasury</t>
        </is>
      </c>
      <c r="CH67" t="inlineStr">
        <is>
          <t xml:space="preserve">lease</t>
        </is>
      </c>
      <c r="CI67" t="inlineStr">
        <is>
          <t xml:space="preserve">long</t>
        </is>
      </c>
      <c r="CJ67"/>
      <c r="CK67" s="4">
        <v>101.64867690418802</v>
      </c>
      <c r="CL67" s="4">
        <v>101.66583185897512</v>
      </c>
      <c r="CM67" s="4">
        <v>0.00824967244706656</v>
      </c>
      <c r="CN67" s="6">
        <v>0.6621826534362412</v>
      </c>
      <c r="CO67" s="4">
        <v>0.8385682891372509</v>
      </c>
      <c r="CP67" s="4">
        <v>0.8385682891372509</v>
      </c>
      <c r="CQ67" s="4">
        <v>0.8387098118950888</v>
      </c>
      <c r="CR67" s="4">
        <v>0.00014152275783795796</v>
      </c>
      <c r="CS67" s="4">
        <v>-1.0489656018797255e-16</v>
      </c>
      <c r="CT67" s="4">
        <v>1.814</v>
      </c>
      <c r="CU67" s="4">
        <v>1.801</v>
      </c>
      <c r="CV67" s="6"/>
      <c r="CW67" s="6"/>
      <c r="CX67" s="6"/>
      <c r="CY67" s="9">
        <v>48</v>
      </c>
      <c r="CZ67" s="7">
        <f>IFERROR(CR67/F67,0)</f>
        <v>0.00011175466151143138</v>
      </c>
      <c r="DA67" t="inlineStr">
        <is>
          <t xml:space="preserve">SI69K</t>
        </is>
      </c>
      <c r="DB67" t="inlineStr">
        <is>
          <t xml:space="preserve">future</t>
        </is>
      </c>
      <c r="DC67" t="inlineStr">
        <is>
          <t xml:space="preserve">lease</t>
        </is>
      </c>
      <c r="DD67" t="inlineStr">
        <is>
          <t xml:space="preserve">long</t>
        </is>
      </c>
      <c r="DE67" t="inlineStr">
        <is>
          <t xml:space="preserve">regular</t>
        </is>
      </c>
      <c r="DF67" s="4">
        <v>1.805</v>
      </c>
      <c r="DG67" s="4">
        <v>1.8090000000000002</v>
      </c>
      <c r="DH67" s="4">
        <v>0.46456946197424576</v>
      </c>
      <c r="DI67" s="6">
        <v>0.6621665362882452</v>
      </c>
      <c r="DJ67" s="4">
        <v>0.8385478788635136</v>
      </c>
      <c r="DK67" s="4">
        <v>0</v>
      </c>
      <c r="DL67" s="4">
        <v>0</v>
      </c>
      <c r="DM67" s="4">
        <v>0.001858277847897077</v>
      </c>
      <c r="DN67" s="4">
        <v>-0.001858277847897077</v>
      </c>
      <c r="DO67" s="4">
        <v>1.814</v>
      </c>
      <c r="DP67" s="4">
        <v>1.801</v>
      </c>
      <c r="DQ67" s="6">
        <v>-0.004961411245865577</v>
      </c>
      <c r="DR67" s="6">
        <v>0.0616</v>
      </c>
      <c r="DS67" s="6">
        <v>0.09932739801543616</v>
      </c>
      <c r="DT67" s="9">
        <v>48</v>
      </c>
      <c r="DU67" s="7">
        <f>IFERROR(DM67/F67,0)</f>
        <v>0.0014674050665668226</v>
      </c>
      <c r="DV67" t="inlineStr">
        <is>
          <t xml:space="preserve">SI69N</t>
        </is>
      </c>
      <c r="DW67" t="inlineStr">
        <is>
          <t xml:space="preserve">future</t>
        </is>
      </c>
      <c r="DX67" t="inlineStr">
        <is>
          <t xml:space="preserve">lease</t>
        </is>
      </c>
      <c r="DY67" t="inlineStr">
        <is>
          <t xml:space="preserve">long</t>
        </is>
      </c>
      <c r="DZ67" t="inlineStr">
        <is>
          <t xml:space="preserve">regular</t>
        </is>
      </c>
      <c r="EA67" s="4">
        <v>1.838</v>
      </c>
      <c r="EB67" s="4">
        <v>1.84</v>
      </c>
      <c r="EC67" s="4">
        <v>0.000011104610303268857</v>
      </c>
      <c r="ED67" s="6">
        <v>0.0000161171479960231</v>
      </c>
      <c r="EE67" s="4">
        <v>0.00002041027373740816</v>
      </c>
      <c r="EF67" s="4">
        <v>0</v>
      </c>
      <c r="EG67" s="4">
        <v>0</v>
      </c>
      <c r="EH67" s="4">
        <v>2.2209220606537203e-8</v>
      </c>
      <c r="EI67" s="4">
        <v>-2.2209220606537203e-8</v>
      </c>
      <c r="EJ67" s="4">
        <v>1.814</v>
      </c>
      <c r="EK67" s="4">
        <v>1.801</v>
      </c>
      <c r="EL67" s="6">
        <v>0.013230429988974723</v>
      </c>
      <c r="EM67" s="6">
        <v>0.06164175824175824</v>
      </c>
      <c r="EN67" s="6">
        <v>0.017740786005614843</v>
      </c>
      <c r="EO67" s="9">
        <v>110</v>
      </c>
      <c r="EP67" s="7">
        <f>IFERROR(EH67/F67,0)</f>
        <v>1.753770184550895e-8</v>
      </c>
      <c r="EQ67" t="inlineStr">
        <is>
          <t xml:space="preserve">Lease cash / margin / financing</t>
        </is>
      </c>
      <c r="ER67" t="inlineStr">
        <is>
          <t xml:space="preserve">cash</t>
        </is>
      </c>
      <c r="ES67" t="inlineStr">
        <is>
          <t xml:space="preserve">lease</t>
        </is>
      </c>
      <c r="ET67" t="inlineStr">
        <is>
          <t xml:space="preserve">cash</t>
        </is>
      </c>
      <c r="EU67"/>
      <c r="EV67" s="4">
        <v>1</v>
      </c>
      <c r="EW67" s="4">
        <v>1</v>
      </c>
      <c r="EX67" s="4">
        <v>-2.220446049250313e-16</v>
      </c>
      <c r="EY67" s="6"/>
      <c r="EZ67" s="4">
        <v>-2.220446049250313e-16</v>
      </c>
      <c r="FA67" s="4">
        <v>-2.220446049250313e-16</v>
      </c>
      <c r="FB67" s="4">
        <v>0.0018553699079754498</v>
      </c>
      <c r="FC67" s="4">
        <v>0</v>
      </c>
      <c r="FD67" s="4">
        <v>0.0018553699079756718</v>
      </c>
      <c r="FE67" s="4">
        <v>1.814</v>
      </c>
      <c r="FF67" s="4">
        <v>1.801</v>
      </c>
      <c r="FG67" s="6"/>
      <c r="FH67" s="6"/>
      <c r="FI67" s="6"/>
      <c r="FJ67" s="9"/>
      <c r="FK67" s="7">
        <f>IFERROR(FC67/F67,0)</f>
        <v>0</v>
      </c>
      <c r="FL67" t="inlineStr">
        <is>
          <t xml:space="preserve">Keep cash / margin / financing</t>
        </is>
      </c>
      <c r="FM67" t="inlineStr">
        <is>
          <t xml:space="preserve">cash</t>
        </is>
      </c>
      <c r="FN67" t="inlineStr">
        <is>
          <t xml:space="preserve">keep</t>
        </is>
      </c>
      <c r="FO67" t="inlineStr">
        <is>
          <t xml:space="preserve">cash</t>
        </is>
      </c>
      <c r="FP67"/>
      <c r="FQ67" s="4">
        <v>1</v>
      </c>
      <c r="FR67" s="4">
        <v>1</v>
      </c>
      <c r="FS67" s="4">
        <v>0</v>
      </c>
      <c r="FT67" s="6"/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1.814</v>
      </c>
      <c r="GA67" s="4">
        <v>1.801</v>
      </c>
      <c r="GB67" s="6"/>
      <c r="GC67" s="6"/>
      <c r="GD67" s="6"/>
      <c r="GE67" s="9"/>
      <c r="GF67" s="7">
        <f>IFERROR(FX67/F67,0)</f>
        <v>0</v>
      </c>
      <c r="GG67"/>
      <c r="GH67"/>
      <c r="GI67"/>
      <c r="GJ67"/>
      <c r="GK67"/>
      <c r="GL67" s="4"/>
      <c r="GM67" s="4"/>
      <c r="GN67" s="4"/>
      <c r="GO67" s="6"/>
      <c r="GP67" s="4"/>
      <c r="GQ67" s="4"/>
      <c r="GR67" s="4"/>
      <c r="GS67" s="4"/>
      <c r="GT67" s="4"/>
      <c r="GU67" s="4"/>
      <c r="GV67" s="4"/>
      <c r="GW67" s="6"/>
      <c r="GX67" s="6"/>
      <c r="GY67" s="6"/>
      <c r="GZ67" s="9"/>
      <c r="HA67"/>
      <c r="HB67"/>
      <c r="HC67"/>
      <c r="HD67"/>
      <c r="HE67"/>
      <c r="HF67"/>
      <c r="HG67" s="4"/>
      <c r="HH67" s="4"/>
      <c r="HI67" s="4"/>
      <c r="HJ67" s="6"/>
      <c r="HK67" s="4"/>
      <c r="HL67" s="4"/>
      <c r="HM67" s="4"/>
      <c r="HN67" s="4"/>
      <c r="HO67" s="4"/>
      <c r="HP67" s="4"/>
      <c r="HQ67" s="4"/>
      <c r="HR67" s="6"/>
      <c r="HS67" s="6"/>
      <c r="HT67" s="6"/>
      <c r="HU67" s="9"/>
      <c r="HV67"/>
      <c r="HW67"/>
      <c r="HX67"/>
      <c r="HY67"/>
      <c r="HZ67"/>
      <c r="IA67"/>
      <c r="IB67" s="4"/>
      <c r="IC67" s="4"/>
      <c r="ID67" s="4"/>
      <c r="IE67" s="6"/>
      <c r="IF67" s="4"/>
      <c r="IG67" s="4"/>
      <c r="IH67" s="4"/>
      <c r="II67" s="4"/>
      <c r="IJ67" s="4"/>
      <c r="IK67" s="4"/>
      <c r="IL67" s="4"/>
      <c r="IM67" s="6"/>
      <c r="IN67" s="6"/>
      <c r="IO67" s="6"/>
      <c r="IP67" s="9"/>
      <c r="IQ67"/>
      <c r="IR67"/>
      <c r="IS67"/>
      <c r="IT67"/>
      <c r="IU67"/>
      <c r="IV67"/>
      <c r="IW67" s="4"/>
      <c r="IX67" s="4"/>
      <c r="IY67" s="4"/>
      <c r="IZ67" s="6"/>
      <c r="JA67" s="4"/>
      <c r="JB67" s="4"/>
      <c r="JC67" s="4"/>
      <c r="JD67" s="4"/>
      <c r="JE67" s="4"/>
      <c r="JF67" s="4"/>
      <c r="JG67" s="4"/>
      <c r="JH67" s="6"/>
      <c r="JI67" s="6"/>
      <c r="JJ67" s="6"/>
      <c r="JK67" s="9"/>
      <c r="JL67"/>
    </row>
    <row r="68">
      <c r="A68" s="8">
        <v>25304</v>
      </c>
      <c r="B68" s="8">
        <v>25307</v>
      </c>
      <c r="C68" s="9">
        <f>B68-A68</f>
        <v>3</v>
      </c>
      <c r="D68" s="8">
        <v>25304</v>
      </c>
      <c r="E68" t="inlineStr">
        <is>
          <t xml:space="preserve">positive</t>
        </is>
      </c>
      <c r="F68" s="4">
        <v>1.265301122445407</v>
      </c>
      <c r="G68" s="6">
        <v>-0.0018832015240712022</v>
      </c>
      <c r="H68" s="7">
        <f>SUM(CE68,CZ68,DU68,EP68,FK68,GF68,HA68,HV68,IQ68,JL68)</f>
        <v>-0.0018832015240712022</v>
      </c>
      <c r="I68" s="7">
        <f>G68-H68</f>
        <v>0</v>
      </c>
      <c r="J68" s="5">
        <f>F68*(1+H68)</f>
        <v>1.2629183054432087</v>
      </c>
      <c r="K68" s="4">
        <v>1.2629183054432087</v>
      </c>
      <c r="L68" s="5">
        <f>K68-J68</f>
        <v>0</v>
      </c>
      <c r="M68" s="4">
        <v>1.801</v>
      </c>
      <c r="N68" s="4">
        <v>1.8</v>
      </c>
      <c r="O68" s="5">
        <f>M68/$M$3</f>
        <v>0.9198161389172625</v>
      </c>
      <c r="P68" s="5">
        <f>N68/$M$3</f>
        <v>0.9193054136874362</v>
      </c>
      <c r="Q68" s="7">
        <f>IFERROR(N68/M68-1,0)</f>
        <v>-0.0005552470849526925</v>
      </c>
      <c r="R68" s="5">
        <f>SUM(IF(BM68="lease",BU68,0),IF(CH68="lease",CP68,0),IF(DC68="lease",DK68,0),IF(DX68="lease",EF68,0),IF(ES68="lease",FA68,0),IF(FN68="lease",FV68,0),IF(GI68="lease",GQ68,0),IF(HD68="lease",HL68,0),IF(HY68="lease",IG68,0),IF(IT68="lease",JB68,0))</f>
        <v>1.2653011224454067</v>
      </c>
      <c r="S68" s="5">
        <f>SUM(IF(BM68="lease",BV68,0),IF(CH68="lease",CQ68,0),IF(DC68="lease",DL68,0),IF(DX68="lease",EG68,0),IF(ES68="lease",FB68,0),IF(FN68="lease",FW68,0),IF(GI68="lease",GR68,0),IF(HD68="lease",HM68,0),IF(HY68="lease",IH68,0),IF(IT68="lease",JC68,0))</f>
        <v>1.2629183054432087</v>
      </c>
      <c r="T68" s="5">
        <f>SUM(IF(BM68="keep",BU68,0),IF(CH68="keep",CP68,0),IF(DC68="keep",DK68,0),IF(DX68="keep",EF68,0),IF(ES68="keep",FA68,0),IF(FN68="keep",FV68,0),IF(GI68="keep",GQ68,0),IF(HD68="keep",HL68,0),IF(HY68="keep",IG68,0),IF(IT68="keep",JB68,0))</f>
        <v>0</v>
      </c>
      <c r="U68" s="5">
        <f>SUM(IF(BM68="keep",BV68,0),IF(CH68="keep",CQ68,0),IF(DC68="keep",DL68,0),IF(DX68="keep",EG68,0),IF(ES68="keep",FB68,0),IF(FN68="keep",FW68,0),IF(GI68="keep",GR68,0),IF(HD68="keep",HM68,0),IF(HY68="keep",IH68,0),IF(IT68="keep",JC68,0))</f>
        <v>0</v>
      </c>
      <c r="V68" s="5">
        <f>R68/O68</f>
        <v>1.3756022197379825</v>
      </c>
      <c r="W68" s="5">
        <f>S68/P68</f>
        <v>1.3737744678098902</v>
      </c>
      <c r="X68" s="5">
        <f>T68/O68</f>
        <v>0</v>
      </c>
      <c r="Y68" s="5">
        <f>U68/P68</f>
        <v>0</v>
      </c>
      <c r="Z68" s="5">
        <f>V68+X68</f>
        <v>1.3756022197379825</v>
      </c>
      <c r="AA68" s="7">
        <f>IFERROR(W68/V68-1,0)</f>
        <v>-0.0013286921915846017</v>
      </c>
      <c r="AB68" s="7">
        <f>IFERROR((W68-V68)/Z68,0)</f>
        <v>-0.0013286921915845694</v>
      </c>
      <c r="AC68" s="7">
        <f>IFERROR(Y68/X68-1,0)</f>
        <v>0</v>
      </c>
      <c r="AD68" s="7">
        <f>IFERROR((Y68-X68)/Z68,0)</f>
        <v>0</v>
      </c>
      <c r="AE68" s="7">
        <f>AB68+AD68</f>
        <v>-0.0013286921915845694</v>
      </c>
      <c r="AF68" s="7">
        <f>(1+Q68)*(1+AE68)-1</f>
        <v>-0.0018832015240710653</v>
      </c>
      <c r="AG68" s="7">
        <f>G68-AF68</f>
        <v>-1.3682631416767066e-16</v>
      </c>
      <c r="AH68" s="5">
        <f>SUM(IF(BM68="lease",BW68,0),IF(CH68="lease",CR68,0),IF(DC68="lease",DM68,0),IF(DX68="lease",EH68,0),IF(ES68="lease",FC68,0),IF(FN68="lease",FX68,0),IF(GI68="lease",GS68,0),IF(HD68="lease",HN68,0),IF(HY68="lease",II68,0),IF(IT68="lease",JD68,0))</f>
        <v>-0.002382817002198193</v>
      </c>
      <c r="AI68" s="5">
        <f>SUM(IF(BM68="keep",BW68,0),IF(CH68="keep",CR68,0),IF(DC68="keep",DM68,0),IF(DX68="keep",EH68,0),IF(ES68="keep",FC68,0),IF(FN68="keep",FX68,0),IF(GI68="keep",GS68,0),IF(HD68="keep",HN68,0),IF(HY68="keep",II68,0),IF(IT68="keep",JD68,0))</f>
        <v>0</v>
      </c>
      <c r="AJ68" s="5">
        <f>SUM(IF(BM68="lease",BX68,0),IF(CH68="lease",CS68,0),IF(DC68="lease",DN68,0),IF(DX68="lease",EI68,0),IF(ES68="lease",FD68,0),IF(FN68="lease",FY68,0),IF(GI68="lease",GT68,0),IF(HD68="lease",HO68,0),IF(HY68="lease",IJ68,0),IF(IT68="lease",JE68,0))</f>
        <v>0</v>
      </c>
      <c r="AK68" s="5">
        <f>SUM(IF(BM68="keep",BX68,0),IF(CH68="keep",CS68,0),IF(DC68="keep",DN68,0),IF(DX68="keep",EI68,0),IF(ES68="keep",FD68,0),IF(FN68="keep",FY68,0),IF(GI68="keep",GT68,0),IF(HD68="keep",HO68,0),IF(HY68="keep",IJ68,0),IF(IT68="keep",JE68,0))</f>
        <v>0</v>
      </c>
      <c r="AL68" s="5">
        <f>R68-S67</f>
        <v>0</v>
      </c>
      <c r="AM68" s="5">
        <f>T68-U67</f>
        <v>0</v>
      </c>
      <c r="AN68" s="5">
        <f>AN67</f>
        <v>1</v>
      </c>
      <c r="AO68" s="5">
        <f>AO67+AH68</f>
        <v>0.2629183054432089</v>
      </c>
      <c r="AP68" s="5">
        <f>AP67+AL68</f>
        <v>-2.220446049250313e-16</v>
      </c>
      <c r="AQ68" s="5">
        <f>AN68+AO68+AP68</f>
        <v>1.2629183054432087</v>
      </c>
      <c r="AR68" s="5">
        <f>S68-AQ68</f>
        <v>0</v>
      </c>
      <c r="AS68" s="5">
        <f>AS67</f>
        <v>0</v>
      </c>
      <c r="AT68" s="5">
        <f>AT67+AI68</f>
        <v>0</v>
      </c>
      <c r="AU68" s="5">
        <f>AU67+AM68</f>
        <v>0</v>
      </c>
      <c r="AV68" s="5">
        <f>AS68+AT68+AU68</f>
        <v>0</v>
      </c>
      <c r="AW68" s="5">
        <f>U68-AV68</f>
        <v>0</v>
      </c>
      <c r="AX68" s="4">
        <v>1.2653011224454067</v>
      </c>
      <c r="AY68" s="4">
        <v>1.2629183054432085</v>
      </c>
      <c r="AZ68" s="5">
        <f>S68-AY68</f>
        <v>2.220446049250313e-16</v>
      </c>
      <c r="BA68" s="4">
        <v>0</v>
      </c>
      <c r="BB68" s="4">
        <v>0</v>
      </c>
      <c r="BC68" s="5">
        <f>U68-BB68</f>
        <v>0</v>
      </c>
      <c r="BD68" s="7">
        <f>SUM(IF(BL68="direct",CE68,0),IF(CG68="direct",CZ68,0),IF(DB68="direct",DU68,0),IF(DW68="direct",EP68,0),IF(ER68="direct",FK68,0),IF(FM68="direct",GF68,0),IF(GH68="direct",HA68,0),IF(HC68="direct",HV68,0),IF(HX68="direct",IQ68,0),IF(IS68="direct",JL68,0))</f>
        <v>-0.00047136961840770695</v>
      </c>
      <c r="BE68" s="7">
        <f>SUM(IF(BL68="treasury",CE68,0),IF(CG68="treasury",CZ68,0),IF(DB68="treasury",DU68,0),IF(DW68="treasury",EP68,0),IF(ER68="treasury",FK68,0),IF(FM68="treasury",GF68,0),IF(GH68="treasury",HA68,0),IF(HC68="treasury",HV68,0),IF(HX68="treasury",IQ68,0),IF(IS68="treasury",JL68,0))</f>
        <v>0.00009197119695314263</v>
      </c>
      <c r="BF68" s="7">
        <f>SUM(IF(BL68="future",CE68,0),IF(CG68="future",CZ68,0),IF(DB68="future",DU68,0),IF(DW68="future",EP68,0),IF(ER68="future",FK68,0),IF(FM68="future",GF68,0),IF(GH68="future",HA68,0),IF(HC68="future",HV68,0),IF(HX68="future",IQ68,0),IF(IS68="future",JL68,0))</f>
        <v>-0.0015038031026166378</v>
      </c>
      <c r="BG68" s="7">
        <f>SUM(IF(BL68="cash",CE68,0),IF(CG68="cash",CZ68,0),IF(DB68="cash",DU68,0),IF(DW68="cash",EP68,0),IF(ER68="cash",FK68,0),IF(FM68="cash",GF68,0),IF(GH68="cash",HA68,0),IF(HC68="cash",HV68,0),IF(HX68="cash",IQ68,0),IF(IS68="cash",JL68,0))</f>
        <v>0</v>
      </c>
      <c r="BH68" s="7">
        <f>SUM(BD68:BG68)</f>
        <v>-0.0018832015240712022</v>
      </c>
      <c r="BI68" s="7">
        <f>G68-BH68</f>
        <v>0</v>
      </c>
      <c r="BJ68" s="9">
        <f>COUNTA(BK68,CF68,DA68,DV68,EQ68,FL68,GG68,HB68,HW68,IR68)</f>
        <v>5</v>
      </c>
      <c r="BK68" t="inlineStr">
        <is>
          <t xml:space="preserve">Direct commodity holding</t>
        </is>
      </c>
      <c r="BL68" t="inlineStr">
        <is>
          <t xml:space="preserve">direct</t>
        </is>
      </c>
      <c r="BM68" t="inlineStr">
        <is>
          <t xml:space="preserve">lease</t>
        </is>
      </c>
      <c r="BN68" t="inlineStr">
        <is>
          <t xml:space="preserve">long</t>
        </is>
      </c>
      <c r="BO68"/>
      <c r="BP68" s="4">
        <v>1.801</v>
      </c>
      <c r="BQ68" s="4">
        <v>1.8</v>
      </c>
      <c r="BR68" s="4">
        <v>0.5751403740987653</v>
      </c>
      <c r="BS68" s="6">
        <v>0.8186413458244349</v>
      </c>
      <c r="BT68" s="4">
        <v>1.0358278137518762</v>
      </c>
      <c r="BU68" s="4">
        <v>1.0358278137518762</v>
      </c>
      <c r="BV68" s="4">
        <v>1.0352526733777776</v>
      </c>
      <c r="BW68" s="4">
        <v>-0.0005964245072579348</v>
      </c>
      <c r="BX68" s="4">
        <v>0.00002128413315937534</v>
      </c>
      <c r="BY68" s="4">
        <v>1.801</v>
      </c>
      <c r="BZ68" s="4">
        <v>1.8</v>
      </c>
      <c r="CA68" s="6"/>
      <c r="CB68" s="6"/>
      <c r="CC68" s="6"/>
      <c r="CD68" s="9"/>
      <c r="CE68" s="7">
        <f>IFERROR(BW68/F68,0)</f>
        <v>-0.00047136961840770695</v>
      </c>
      <c r="CF68" t="inlineStr">
        <is>
          <t xml:space="preserve">Treasury collateral</t>
        </is>
      </c>
      <c r="CG68" t="inlineStr">
        <is>
          <t xml:space="preserve">treasury</t>
        </is>
      </c>
      <c r="CH68" t="inlineStr">
        <is>
          <t xml:space="preserve">lease</t>
        </is>
      </c>
      <c r="CI68" t="inlineStr">
        <is>
          <t xml:space="preserve">long</t>
        </is>
      </c>
      <c r="CJ68"/>
      <c r="CK68" s="4">
        <v>101.66583185897512</v>
      </c>
      <c r="CL68" s="4">
        <v>101.71738896987128</v>
      </c>
      <c r="CM68" s="4">
        <v>0.002257133045562865</v>
      </c>
      <c r="CN68" s="6">
        <v>0.1813586541755649</v>
      </c>
      <c r="CO68" s="4">
        <v>0.22947330869353066</v>
      </c>
      <c r="CP68" s="4">
        <v>0.22947330869353066</v>
      </c>
      <c r="CQ68" s="4">
        <v>0.22958967995226812</v>
      </c>
      <c r="CR68" s="4">
        <v>0.00011637125873745896</v>
      </c>
      <c r="CS68" s="4">
        <v>-6.830473686658678e-18</v>
      </c>
      <c r="CT68" s="4">
        <v>1.801</v>
      </c>
      <c r="CU68" s="4">
        <v>1.8</v>
      </c>
      <c r="CV68" s="6"/>
      <c r="CW68" s="6"/>
      <c r="CX68" s="6"/>
      <c r="CY68" s="9">
        <v>47</v>
      </c>
      <c r="CZ68" s="7">
        <f>IFERROR(CR68/F68,0)</f>
        <v>0.00009197119695314263</v>
      </c>
      <c r="DA68" t="inlineStr">
        <is>
          <t xml:space="preserve">SI69K</t>
        </is>
      </c>
      <c r="DB68" t="inlineStr">
        <is>
          <t xml:space="preserve">future</t>
        </is>
      </c>
      <c r="DC68" t="inlineStr">
        <is>
          <t xml:space="preserve">lease</t>
        </is>
      </c>
      <c r="DD68" t="inlineStr">
        <is>
          <t xml:space="preserve">long</t>
        </is>
      </c>
      <c r="DE68" t="inlineStr">
        <is>
          <t xml:space="preserve">regular</t>
        </is>
      </c>
      <c r="DF68" s="4">
        <v>1.8090000000000002</v>
      </c>
      <c r="DG68" s="4">
        <v>1.794</v>
      </c>
      <c r="DH68" s="4">
        <v>0.1268509169118467</v>
      </c>
      <c r="DI68" s="6">
        <v>0.1813586541755649</v>
      </c>
      <c r="DJ68" s="4">
        <v>0.22947330869353066</v>
      </c>
      <c r="DK68" s="4">
        <v>0</v>
      </c>
      <c r="DL68" s="4">
        <v>0</v>
      </c>
      <c r="DM68" s="4">
        <v>-0.0019027637536777173</v>
      </c>
      <c r="DN68" s="4">
        <v>0.0019027637536777173</v>
      </c>
      <c r="DO68" s="4">
        <v>1.801</v>
      </c>
      <c r="DP68" s="4">
        <v>1.8</v>
      </c>
      <c r="DQ68" s="6">
        <v>0.00444197667962265</v>
      </c>
      <c r="DR68" s="6">
        <v>0.0617</v>
      </c>
      <c r="DS68" s="6">
        <v>0.027203798126334736</v>
      </c>
      <c r="DT68" s="9">
        <v>47</v>
      </c>
      <c r="DU68" s="7">
        <f>IFERROR(DM68/F68,0)</f>
        <v>-0.0015038031026166378</v>
      </c>
      <c r="DV68" t="inlineStr">
        <is>
          <t xml:space="preserve">Lease cash / margin / financing</t>
        </is>
      </c>
      <c r="DW68" t="inlineStr">
        <is>
          <t xml:space="preserve">cash</t>
        </is>
      </c>
      <c r="DX68" t="inlineStr">
        <is>
          <t xml:space="preserve">lease</t>
        </is>
      </c>
      <c r="DY68" t="inlineStr">
        <is>
          <t xml:space="preserve">cash</t>
        </is>
      </c>
      <c r="DZ68"/>
      <c r="EA68" s="4">
        <v>1</v>
      </c>
      <c r="EB68" s="4">
        <v>1</v>
      </c>
      <c r="EC68" s="4">
        <v>0</v>
      </c>
      <c r="ED68" s="6"/>
      <c r="EE68" s="4">
        <v>0</v>
      </c>
      <c r="EF68" s="4">
        <v>0</v>
      </c>
      <c r="EG68" s="4">
        <v>-0.0019240478868370859</v>
      </c>
      <c r="EH68" s="4">
        <v>0</v>
      </c>
      <c r="EI68" s="4">
        <v>-0.0019240478868370859</v>
      </c>
      <c r="EJ68" s="4">
        <v>1.801</v>
      </c>
      <c r="EK68" s="4">
        <v>1.8</v>
      </c>
      <c r="EL68" s="6"/>
      <c r="EM68" s="6"/>
      <c r="EN68" s="6"/>
      <c r="EO68" s="9"/>
      <c r="EP68" s="7">
        <f>IFERROR(EH68/F68,0)</f>
        <v>0</v>
      </c>
      <c r="EQ68" t="inlineStr">
        <is>
          <t xml:space="preserve">Keep cash / margin / financing</t>
        </is>
      </c>
      <c r="ER68" t="inlineStr">
        <is>
          <t xml:space="preserve">cash</t>
        </is>
      </c>
      <c r="ES68" t="inlineStr">
        <is>
          <t xml:space="preserve">keep</t>
        </is>
      </c>
      <c r="ET68" t="inlineStr">
        <is>
          <t xml:space="preserve">cash</t>
        </is>
      </c>
      <c r="EU68"/>
      <c r="EV68" s="4">
        <v>1</v>
      </c>
      <c r="EW68" s="4">
        <v>1</v>
      </c>
      <c r="EX68" s="4">
        <v>0</v>
      </c>
      <c r="EY68" s="6"/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1.801</v>
      </c>
      <c r="FF68" s="4">
        <v>1.8</v>
      </c>
      <c r="FG68" s="6"/>
      <c r="FH68" s="6"/>
      <c r="FI68" s="6"/>
      <c r="FJ68" s="9"/>
      <c r="FK68" s="7">
        <f>IFERROR(FC68/F68,0)</f>
        <v>0</v>
      </c>
      <c r="FL68"/>
      <c r="FM68"/>
      <c r="FN68"/>
      <c r="FO68"/>
      <c r="FP68"/>
      <c r="FQ68" s="4"/>
      <c r="FR68" s="4"/>
      <c r="FS68" s="4"/>
      <c r="FT68" s="6"/>
      <c r="FU68" s="4"/>
      <c r="FV68" s="4"/>
      <c r="FW68" s="4"/>
      <c r="FX68" s="4"/>
      <c r="FY68" s="4"/>
      <c r="FZ68" s="4"/>
      <c r="GA68" s="4"/>
      <c r="GB68" s="6"/>
      <c r="GC68" s="6"/>
      <c r="GD68" s="6"/>
      <c r="GE68" s="9"/>
      <c r="GF68"/>
      <c r="GG68"/>
      <c r="GH68"/>
      <c r="GI68"/>
      <c r="GJ68"/>
      <c r="GK68"/>
      <c r="GL68" s="4"/>
      <c r="GM68" s="4"/>
      <c r="GN68" s="4"/>
      <c r="GO68" s="6"/>
      <c r="GP68" s="4"/>
      <c r="GQ68" s="4"/>
      <c r="GR68" s="4"/>
      <c r="GS68" s="4"/>
      <c r="GT68" s="4"/>
      <c r="GU68" s="4"/>
      <c r="GV68" s="4"/>
      <c r="GW68" s="6"/>
      <c r="GX68" s="6"/>
      <c r="GY68" s="6"/>
      <c r="GZ68" s="9"/>
      <c r="HA68"/>
      <c r="HB68"/>
      <c r="HC68"/>
      <c r="HD68"/>
      <c r="HE68"/>
      <c r="HF68"/>
      <c r="HG68" s="4"/>
      <c r="HH68" s="4"/>
      <c r="HI68" s="4"/>
      <c r="HJ68" s="6"/>
      <c r="HK68" s="4"/>
      <c r="HL68" s="4"/>
      <c r="HM68" s="4"/>
      <c r="HN68" s="4"/>
      <c r="HO68" s="4"/>
      <c r="HP68" s="4"/>
      <c r="HQ68" s="4"/>
      <c r="HR68" s="6"/>
      <c r="HS68" s="6"/>
      <c r="HT68" s="6"/>
      <c r="HU68" s="9"/>
      <c r="HV68"/>
      <c r="HW68"/>
      <c r="HX68"/>
      <c r="HY68"/>
      <c r="HZ68"/>
      <c r="IA68"/>
      <c r="IB68" s="4"/>
      <c r="IC68" s="4"/>
      <c r="ID68" s="4"/>
      <c r="IE68" s="6"/>
      <c r="IF68" s="4"/>
      <c r="IG68" s="4"/>
      <c r="IH68" s="4"/>
      <c r="II68" s="4"/>
      <c r="IJ68" s="4"/>
      <c r="IK68" s="4"/>
      <c r="IL68" s="4"/>
      <c r="IM68" s="6"/>
      <c r="IN68" s="6"/>
      <c r="IO68" s="6"/>
      <c r="IP68" s="9"/>
      <c r="IQ68"/>
      <c r="IR68"/>
      <c r="IS68"/>
      <c r="IT68"/>
      <c r="IU68"/>
      <c r="IV68"/>
      <c r="IW68" s="4"/>
      <c r="IX68" s="4"/>
      <c r="IY68" s="4"/>
      <c r="IZ68" s="6"/>
      <c r="JA68" s="4"/>
      <c r="JB68" s="4"/>
      <c r="JC68" s="4"/>
      <c r="JD68" s="4"/>
      <c r="JE68" s="4"/>
      <c r="JF68" s="4"/>
      <c r="JG68" s="4"/>
      <c r="JH68" s="6"/>
      <c r="JI68" s="6"/>
      <c r="JJ68" s="6"/>
      <c r="JK68" s="9"/>
      <c r="JL68"/>
    </row>
    <row r="69">
      <c r="A69" s="8">
        <v>25307</v>
      </c>
      <c r="B69" s="8">
        <v>25308</v>
      </c>
      <c r="C69" s="9">
        <f>B69-A69</f>
        <v>1</v>
      </c>
      <c r="D69" s="8">
        <v>25307</v>
      </c>
      <c r="E69" t="inlineStr">
        <is>
          <t xml:space="preserve">positive</t>
        </is>
      </c>
      <c r="F69" s="4">
        <v>1.2629183054432087</v>
      </c>
      <c r="G69" s="6">
        <v>-0.0038940061550370593</v>
      </c>
      <c r="H69" s="7">
        <f>SUM(CE69,CZ69,DU69,EP69,FK69,GF69,HA69,HV69,IQ69,JL69)</f>
        <v>-0.0038940061550370593</v>
      </c>
      <c r="I69" s="7">
        <f>G69-H69</f>
        <v>0</v>
      </c>
      <c r="J69" s="5">
        <f>F69*(1+H69)</f>
        <v>1.2580004937885039</v>
      </c>
      <c r="K69" s="4">
        <v>1.2580004937885039</v>
      </c>
      <c r="L69" s="5">
        <f>K69-J69</f>
        <v>0</v>
      </c>
      <c r="M69" s="4">
        <v>1.8</v>
      </c>
      <c r="N69" s="4">
        <v>1.797</v>
      </c>
      <c r="O69" s="5">
        <f>M69/$M$3</f>
        <v>0.9193054136874362</v>
      </c>
      <c r="P69" s="5">
        <f>N69/$M$3</f>
        <v>0.9177732379979571</v>
      </c>
      <c r="Q69" s="7">
        <f>IFERROR(N69/M69-1,0)</f>
        <v>-0.0016666666666667052</v>
      </c>
      <c r="R69" s="5">
        <f>SUM(IF(BM69="lease",BU69,0),IF(CH69="lease",CP69,0),IF(DC69="lease",DK69,0),IF(DX69="lease",EF69,0),IF(ES69="lease",FA69,0),IF(FN69="lease",FV69,0),IF(GI69="lease",GQ69,0),IF(HD69="lease",HL69,0),IF(HY69="lease",IG69,0),IF(IT69="lease",JB69,0))</f>
        <v>1.2629183054432085</v>
      </c>
      <c r="S69" s="5">
        <f>SUM(IF(BM69="lease",BV69,0),IF(CH69="lease",CQ69,0),IF(DC69="lease",DL69,0),IF(DX69="lease",EG69,0),IF(ES69="lease",FB69,0),IF(FN69="lease",FW69,0),IF(GI69="lease",GR69,0),IF(HD69="lease",HM69,0),IF(HY69="lease",IH69,0),IF(IT69="lease",JC69,0))</f>
        <v>1.2580004937885036</v>
      </c>
      <c r="T69" s="5">
        <f>SUM(IF(BM69="keep",BU69,0),IF(CH69="keep",CP69,0),IF(DC69="keep",DK69,0),IF(DX69="keep",EF69,0),IF(ES69="keep",FA69,0),IF(FN69="keep",FV69,0),IF(GI69="keep",GQ69,0),IF(HD69="keep",HL69,0),IF(HY69="keep",IG69,0),IF(IT69="keep",JB69,0))</f>
        <v>0</v>
      </c>
      <c r="U69" s="5">
        <f>SUM(IF(BM69="keep",BV69,0),IF(CH69="keep",CQ69,0),IF(DC69="keep",DL69,0),IF(DX69="keep",EG69,0),IF(ES69="keep",FB69,0),IF(FN69="keep",FW69,0),IF(GI69="keep",GR69,0),IF(HD69="keep",HM69,0),IF(HY69="keep",IH69,0),IF(IT69="keep",JC69,0))</f>
        <v>0</v>
      </c>
      <c r="V69" s="5">
        <f>R69/O69</f>
        <v>1.37377446780989</v>
      </c>
      <c r="W69" s="5">
        <f>S69/P69</f>
        <v>1.370709497405615</v>
      </c>
      <c r="X69" s="5">
        <f>T69/O69</f>
        <v>0</v>
      </c>
      <c r="Y69" s="5">
        <f>U69/P69</f>
        <v>0</v>
      </c>
      <c r="Z69" s="5">
        <f>V69+X69</f>
        <v>1.37377446780989</v>
      </c>
      <c r="AA69" s="7">
        <f>IFERROR(W69/V69-1,0)</f>
        <v>-0.0022310579182339696</v>
      </c>
      <c r="AB69" s="7">
        <f>IFERROR((W69-V69)/Z69,0)</f>
        <v>-0.0022310579182339544</v>
      </c>
      <c r="AC69" s="7">
        <f>IFERROR(Y69/X69-1,0)</f>
        <v>0</v>
      </c>
      <c r="AD69" s="7">
        <f>IFERROR((Y69-X69)/Z69,0)</f>
        <v>0</v>
      </c>
      <c r="AE69" s="7">
        <f>AB69+AD69</f>
        <v>-0.0022310579182339544</v>
      </c>
      <c r="AF69" s="7">
        <f>(1+Q69)*(1+AE69)-1</f>
        <v>-0.0038940061550369887</v>
      </c>
      <c r="AG69" s="7">
        <f>G69-AF69</f>
        <v>-7.068998164605489e-17</v>
      </c>
      <c r="AH69" s="5">
        <f>SUM(IF(BM69="lease",BW69,0),IF(CH69="lease",CR69,0),IF(DC69="lease",DM69,0),IF(DX69="lease",EH69,0),IF(ES69="lease",FC69,0),IF(FN69="lease",FX69,0),IF(GI69="lease",GS69,0),IF(HD69="lease",HN69,0),IF(HY69="lease",II69,0),IF(IT69="lease",JD69,0))</f>
        <v>-0.004917811654704828</v>
      </c>
      <c r="AI69" s="5">
        <f>SUM(IF(BM69="keep",BW69,0),IF(CH69="keep",CR69,0),IF(DC69="keep",DM69,0),IF(DX69="keep",EH69,0),IF(ES69="keep",FC69,0),IF(FN69="keep",FX69,0),IF(GI69="keep",GS69,0),IF(HD69="keep",HN69,0),IF(HY69="keep",II69,0),IF(IT69="keep",JD69,0))</f>
        <v>0</v>
      </c>
      <c r="AJ69" s="5">
        <f>SUM(IF(BM69="lease",BX69,0),IF(CH69="lease",CS69,0),IF(DC69="lease",DN69,0),IF(DX69="lease",EI69,0),IF(ES69="lease",FD69,0),IF(FN69="lease",FY69,0),IF(GI69="lease",GT69,0),IF(HD69="lease",HO69,0),IF(HY69="lease",IJ69,0),IF(IT69="lease",JE69,0))</f>
        <v>0</v>
      </c>
      <c r="AK69" s="5">
        <f>SUM(IF(BM69="keep",BX69,0),IF(CH69="keep",CS69,0),IF(DC69="keep",DN69,0),IF(DX69="keep",EI69,0),IF(ES69="keep",FD69,0),IF(FN69="keep",FY69,0),IF(GI69="keep",GT69,0),IF(HD69="keep",HO69,0),IF(HY69="keep",IJ69,0),IF(IT69="keep",JE69,0))</f>
        <v>0</v>
      </c>
      <c r="AL69" s="5">
        <f>R69-S68</f>
        <v>-2.220446049250313e-16</v>
      </c>
      <c r="AM69" s="5">
        <f>T69-U68</f>
        <v>0</v>
      </c>
      <c r="AN69" s="5">
        <f>AN68</f>
        <v>1</v>
      </c>
      <c r="AO69" s="5">
        <f>AO68+AH69</f>
        <v>0.25800049378850404</v>
      </c>
      <c r="AP69" s="5">
        <f>AP68+AL69</f>
        <v>-4.440892098500626e-16</v>
      </c>
      <c r="AQ69" s="5">
        <f>AN69+AO69+AP69</f>
        <v>1.2580004937885036</v>
      </c>
      <c r="AR69" s="5">
        <f>S69-AQ69</f>
        <v>0</v>
      </c>
      <c r="AS69" s="5">
        <f>AS68</f>
        <v>0</v>
      </c>
      <c r="AT69" s="5">
        <f>AT68+AI69</f>
        <v>0</v>
      </c>
      <c r="AU69" s="5">
        <f>AU68+AM69</f>
        <v>0</v>
      </c>
      <c r="AV69" s="5">
        <f>AS69+AT69+AU69</f>
        <v>0</v>
      </c>
      <c r="AW69" s="5">
        <f>U69-AV69</f>
        <v>0</v>
      </c>
      <c r="AX69" s="4">
        <v>1.2629183054432085</v>
      </c>
      <c r="AY69" s="4">
        <v>1.2580004937885036</v>
      </c>
      <c r="AZ69" s="5">
        <f>S69-AY69</f>
        <v>0</v>
      </c>
      <c r="BA69" s="4">
        <v>0</v>
      </c>
      <c r="BB69" s="4">
        <v>0</v>
      </c>
      <c r="BC69" s="5">
        <f>U69-BB69</f>
        <v>0</v>
      </c>
      <c r="BD69" s="7">
        <f>SUM(IF(BL69="direct",CE69,0),IF(CG69="direct",CZ69,0),IF(DB69="direct",DU69,0),IF(DW69="direct",EP69,0),IF(ER69="direct",FK69,0),IF(FM69="direct",GF69,0),IF(GH69="direct",HA69,0),IF(HC69="direct",HV69,0),IF(HX69="direct",IQ69,0),IF(IS69="direct",JL69,0))</f>
        <v>-0.0006777570684009227</v>
      </c>
      <c r="BE69" s="7">
        <f>SUM(IF(BL69="treasury",CE69,0),IF(CG69="treasury",CZ69,0),IF(DB69="treasury",DU69,0),IF(DW69="treasury",EP69,0),IF(ER69="treasury",FK69,0),IF(FM69="treasury",GF69,0),IF(GH69="treasury",HA69,0),IF(HC69="treasury",HV69,0),IF(HX69="treasury",IQ69,0),IF(IS69="treasury",JL69,0))</f>
        <v>0.00010041814307458111</v>
      </c>
      <c r="BF69" s="7">
        <f>SUM(IF(BL69="future",CE69,0),IF(CG69="future",CZ69,0),IF(DB69="future",DU69,0),IF(DW69="future",EP69,0),IF(ER69="future",FK69,0),IF(FM69="future",GF69,0),IF(GH69="future",HA69,0),IF(HC69="future",HV69,0),IF(HX69="future",IQ69,0),IF(IS69="future",JL69,0))</f>
        <v>-0.003316667229710718</v>
      </c>
      <c r="BG69" s="7">
        <f>SUM(IF(BL69="cash",CE69,0),IF(CG69="cash",CZ69,0),IF(DB69="cash",DU69,0),IF(DW69="cash",EP69,0),IF(ER69="cash",FK69,0),IF(FM69="cash",GF69,0),IF(GH69="cash",HA69,0),IF(HC69="cash",HV69,0),IF(HX69="cash",IQ69,0),IF(IS69="cash",JL69,0))</f>
        <v>0</v>
      </c>
      <c r="BH69" s="7">
        <f>SUM(BD69:BG69)</f>
        <v>-0.0038940061550370598</v>
      </c>
      <c r="BI69" s="7">
        <f>G69-BH69</f>
        <v>4.336808689942018e-19</v>
      </c>
      <c r="BJ69" s="9">
        <f>COUNTA(BK69,CF69,DA69,DV69,EQ69,FL69,GG69,HB69,HW69,IR69)</f>
        <v>5</v>
      </c>
      <c r="BK69" t="inlineStr">
        <is>
          <t xml:space="preserve">Direct commodity holding</t>
        </is>
      </c>
      <c r="BL69" t="inlineStr">
        <is>
          <t xml:space="preserve">direct</t>
        </is>
      </c>
      <c r="BM69" t="inlineStr">
        <is>
          <t xml:space="preserve">lease</t>
        </is>
      </c>
      <c r="BN69" t="inlineStr">
        <is>
          <t xml:space="preserve">long</t>
        </is>
      </c>
      <c r="BO69"/>
      <c r="BP69" s="4">
        <v>1.8</v>
      </c>
      <c r="BQ69" s="4">
        <v>1.797</v>
      </c>
      <c r="BR69" s="4">
        <v>0.28414953164107876</v>
      </c>
      <c r="BS69" s="6">
        <v>0.40498989898990073</v>
      </c>
      <c r="BT69" s="4">
        <v>0.5114691569539418</v>
      </c>
      <c r="BU69" s="4">
        <v>0.5114691569539418</v>
      </c>
      <c r="BV69" s="4">
        <v>0.5106167083590185</v>
      </c>
      <c r="BW69" s="4">
        <v>-0.0008559518083270501</v>
      </c>
      <c r="BX69" s="4">
        <v>0.000003503213403767175</v>
      </c>
      <c r="BY69" s="4">
        <v>1.8</v>
      </c>
      <c r="BZ69" s="4">
        <v>1.797</v>
      </c>
      <c r="CA69" s="6"/>
      <c r="CB69" s="6"/>
      <c r="CC69" s="6"/>
      <c r="CD69" s="9"/>
      <c r="CE69" s="7">
        <f>IFERROR(BW69/F69,0)</f>
        <v>-0.0006777570684009227</v>
      </c>
      <c r="CF69" t="inlineStr">
        <is>
          <t xml:space="preserve">Treasury collateral</t>
        </is>
      </c>
      <c r="CG69" t="inlineStr">
        <is>
          <t xml:space="preserve">treasury</t>
        </is>
      </c>
      <c r="CH69" t="inlineStr">
        <is>
          <t xml:space="preserve">lease</t>
        </is>
      </c>
      <c r="CI69" t="inlineStr">
        <is>
          <t xml:space="preserve">long</t>
        </is>
      </c>
      <c r="CJ69"/>
      <c r="CK69" s="4">
        <v>101.71738896987128</v>
      </c>
      <c r="CL69" s="4">
        <v>101.73455552099607</v>
      </c>
      <c r="CM69" s="4">
        <v>0.007387617359228975</v>
      </c>
      <c r="CN69" s="6">
        <v>0.5950101010100992</v>
      </c>
      <c r="CO69" s="4">
        <v>0.7514491484892669</v>
      </c>
      <c r="CP69" s="4">
        <v>0.7514491484892669</v>
      </c>
      <c r="CQ69" s="4">
        <v>0.7515759684003545</v>
      </c>
      <c r="CR69" s="4">
        <v>0.00012681991108750367</v>
      </c>
      <c r="CS69" s="4">
        <v>3.531788576871531e-17</v>
      </c>
      <c r="CT69" s="4">
        <v>1.8</v>
      </c>
      <c r="CU69" s="4">
        <v>1.797</v>
      </c>
      <c r="CV69" s="6"/>
      <c r="CW69" s="6"/>
      <c r="CX69" s="6"/>
      <c r="CY69" s="9">
        <v>44</v>
      </c>
      <c r="CZ69" s="7">
        <f>IFERROR(CR69/F69,0)</f>
        <v>0.00010041814307458111</v>
      </c>
      <c r="DA69" t="inlineStr">
        <is>
          <t xml:space="preserve">SI69K</t>
        </is>
      </c>
      <c r="DB69" t="inlineStr">
        <is>
          <t xml:space="preserve">future</t>
        </is>
      </c>
      <c r="DC69" t="inlineStr">
        <is>
          <t xml:space="preserve">lease</t>
        </is>
      </c>
      <c r="DD69" t="inlineStr">
        <is>
          <t xml:space="preserve">long</t>
        </is>
      </c>
      <c r="DE69" t="inlineStr">
        <is>
          <t xml:space="preserve">regular</t>
        </is>
      </c>
      <c r="DF69" s="4">
        <v>1.794</v>
      </c>
      <c r="DG69" s="4">
        <v>1.784</v>
      </c>
      <c r="DH69" s="4">
        <v>0.41886797574652557</v>
      </c>
      <c r="DI69" s="6">
        <v>0.5950101010100992</v>
      </c>
      <c r="DJ69" s="4">
        <v>0.7514491484892669</v>
      </c>
      <c r="DK69" s="4">
        <v>0</v>
      </c>
      <c r="DL69" s="4">
        <v>0</v>
      </c>
      <c r="DM69" s="4">
        <v>-0.004188679757465281</v>
      </c>
      <c r="DN69" s="4">
        <v>0.004188679757465281</v>
      </c>
      <c r="DO69" s="4">
        <v>1.8</v>
      </c>
      <c r="DP69" s="4">
        <v>1.797</v>
      </c>
      <c r="DQ69" s="6">
        <v>-0.0033333333333332993</v>
      </c>
      <c r="DR69" s="6">
        <v>0.0616</v>
      </c>
      <c r="DS69" s="6">
        <v>0.08925151515151487</v>
      </c>
      <c r="DT69" s="9">
        <v>44</v>
      </c>
      <c r="DU69" s="7">
        <f>IFERROR(DM69/F69,0)</f>
        <v>-0.003316667229710718</v>
      </c>
      <c r="DV69" t="inlineStr">
        <is>
          <t xml:space="preserve">Lease cash / margin / financing</t>
        </is>
      </c>
      <c r="DW69" t="inlineStr">
        <is>
          <t xml:space="preserve">cash</t>
        </is>
      </c>
      <c r="DX69" t="inlineStr">
        <is>
          <t xml:space="preserve">lease</t>
        </is>
      </c>
      <c r="DY69" t="inlineStr">
        <is>
          <t xml:space="preserve">cash</t>
        </is>
      </c>
      <c r="DZ69"/>
      <c r="EA69" s="4">
        <v>1</v>
      </c>
      <c r="EB69" s="4">
        <v>1</v>
      </c>
      <c r="EC69" s="4">
        <v>-2.220446049250313e-16</v>
      </c>
      <c r="ED69" s="6"/>
      <c r="EE69" s="4">
        <v>-2.220446049250313e-16</v>
      </c>
      <c r="EF69" s="4">
        <v>-2.220446049250313e-16</v>
      </c>
      <c r="EG69" s="4">
        <v>-0.004192182970869306</v>
      </c>
      <c r="EH69" s="4">
        <v>0</v>
      </c>
      <c r="EI69" s="4">
        <v>-0.004192182970869084</v>
      </c>
      <c r="EJ69" s="4">
        <v>1.8</v>
      </c>
      <c r="EK69" s="4">
        <v>1.797</v>
      </c>
      <c r="EL69" s="6"/>
      <c r="EM69" s="6"/>
      <c r="EN69" s="6"/>
      <c r="EO69" s="9"/>
      <c r="EP69" s="7">
        <f>IFERROR(EH69/F69,0)</f>
        <v>0</v>
      </c>
      <c r="EQ69" t="inlineStr">
        <is>
          <t xml:space="preserve">Keep cash / margin / financing</t>
        </is>
      </c>
      <c r="ER69" t="inlineStr">
        <is>
          <t xml:space="preserve">cash</t>
        </is>
      </c>
      <c r="ES69" t="inlineStr">
        <is>
          <t xml:space="preserve">keep</t>
        </is>
      </c>
      <c r="ET69" t="inlineStr">
        <is>
          <t xml:space="preserve">cash</t>
        </is>
      </c>
      <c r="EU69"/>
      <c r="EV69" s="4">
        <v>1</v>
      </c>
      <c r="EW69" s="4">
        <v>1</v>
      </c>
      <c r="EX69" s="4">
        <v>0</v>
      </c>
      <c r="EY69" s="6"/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1.8</v>
      </c>
      <c r="FF69" s="4">
        <v>1.797</v>
      </c>
      <c r="FG69" s="6"/>
      <c r="FH69" s="6"/>
      <c r="FI69" s="6"/>
      <c r="FJ69" s="9"/>
      <c r="FK69" s="7">
        <f>IFERROR(FC69/F69,0)</f>
        <v>0</v>
      </c>
      <c r="FL69"/>
      <c r="FM69"/>
      <c r="FN69"/>
      <c r="FO69"/>
      <c r="FP69"/>
      <c r="FQ69" s="4"/>
      <c r="FR69" s="4"/>
      <c r="FS69" s="4"/>
      <c r="FT69" s="6"/>
      <c r="FU69" s="4"/>
      <c r="FV69" s="4"/>
      <c r="FW69" s="4"/>
      <c r="FX69" s="4"/>
      <c r="FY69" s="4"/>
      <c r="FZ69" s="4"/>
      <c r="GA69" s="4"/>
      <c r="GB69" s="6"/>
      <c r="GC69" s="6"/>
      <c r="GD69" s="6"/>
      <c r="GE69" s="9"/>
      <c r="GF69"/>
      <c r="GG69"/>
      <c r="GH69"/>
      <c r="GI69"/>
      <c r="GJ69"/>
      <c r="GK69"/>
      <c r="GL69" s="4"/>
      <c r="GM69" s="4"/>
      <c r="GN69" s="4"/>
      <c r="GO69" s="6"/>
      <c r="GP69" s="4"/>
      <c r="GQ69" s="4"/>
      <c r="GR69" s="4"/>
      <c r="GS69" s="4"/>
      <c r="GT69" s="4"/>
      <c r="GU69" s="4"/>
      <c r="GV69" s="4"/>
      <c r="GW69" s="6"/>
      <c r="GX69" s="6"/>
      <c r="GY69" s="6"/>
      <c r="GZ69" s="9"/>
      <c r="HA69"/>
      <c r="HB69"/>
      <c r="HC69"/>
      <c r="HD69"/>
      <c r="HE69"/>
      <c r="HF69"/>
      <c r="HG69" s="4"/>
      <c r="HH69" s="4"/>
      <c r="HI69" s="4"/>
      <c r="HJ69" s="6"/>
      <c r="HK69" s="4"/>
      <c r="HL69" s="4"/>
      <c r="HM69" s="4"/>
      <c r="HN69" s="4"/>
      <c r="HO69" s="4"/>
      <c r="HP69" s="4"/>
      <c r="HQ69" s="4"/>
      <c r="HR69" s="6"/>
      <c r="HS69" s="6"/>
      <c r="HT69" s="6"/>
      <c r="HU69" s="9"/>
      <c r="HV69"/>
      <c r="HW69"/>
      <c r="HX69"/>
      <c r="HY69"/>
      <c r="HZ69"/>
      <c r="IA69"/>
      <c r="IB69" s="4"/>
      <c r="IC69" s="4"/>
      <c r="ID69" s="4"/>
      <c r="IE69" s="6"/>
      <c r="IF69" s="4"/>
      <c r="IG69" s="4"/>
      <c r="IH69" s="4"/>
      <c r="II69" s="4"/>
      <c r="IJ69" s="4"/>
      <c r="IK69" s="4"/>
      <c r="IL69" s="4"/>
      <c r="IM69" s="6"/>
      <c r="IN69" s="6"/>
      <c r="IO69" s="6"/>
      <c r="IP69" s="9"/>
      <c r="IQ69"/>
      <c r="IR69"/>
      <c r="IS69"/>
      <c r="IT69"/>
      <c r="IU69"/>
      <c r="IV69"/>
      <c r="IW69" s="4"/>
      <c r="IX69" s="4"/>
      <c r="IY69" s="4"/>
      <c r="IZ69" s="6"/>
      <c r="JA69" s="4"/>
      <c r="JB69" s="4"/>
      <c r="JC69" s="4"/>
      <c r="JD69" s="4"/>
      <c r="JE69" s="4"/>
      <c r="JF69" s="4"/>
      <c r="JG69" s="4"/>
      <c r="JH69" s="6"/>
      <c r="JI69" s="6"/>
      <c r="JJ69" s="6"/>
      <c r="JK69" s="9"/>
      <c r="JL69"/>
    </row>
    <row r="70">
      <c r="A70" s="8">
        <v>25308</v>
      </c>
      <c r="B70" s="8">
        <v>25309</v>
      </c>
      <c r="C70" s="9">
        <f>B70-A70</f>
        <v>1</v>
      </c>
      <c r="D70" s="8">
        <v>25308</v>
      </c>
      <c r="E70" t="inlineStr">
        <is>
          <t xml:space="preserve">positive</t>
        </is>
      </c>
      <c r="F70" s="4">
        <v>1.2580004937885039</v>
      </c>
      <c r="G70" s="6">
        <v>0.005686976384471995</v>
      </c>
      <c r="H70" s="7">
        <f>SUM(CE70,CZ70,DU70,EP70,FK70,GF70,HA70,HV70,IQ70,JL70)</f>
        <v>0.005686976384471995</v>
      </c>
      <c r="I70" s="7">
        <f>G70-H70</f>
        <v>0</v>
      </c>
      <c r="J70" s="5">
        <f>F70*(1+H70)</f>
        <v>1.2651547128883331</v>
      </c>
      <c r="K70" s="4">
        <v>1.2651547128883331</v>
      </c>
      <c r="L70" s="5">
        <f>K70-J70</f>
        <v>0</v>
      </c>
      <c r="M70" s="4">
        <v>1.797</v>
      </c>
      <c r="N70" s="4">
        <v>1.797</v>
      </c>
      <c r="O70" s="5">
        <f>M70/$M$3</f>
        <v>0.9177732379979571</v>
      </c>
      <c r="P70" s="5">
        <f>N70/$M$3</f>
        <v>0.9177732379979571</v>
      </c>
      <c r="Q70" s="7">
        <f>IFERROR(N70/M70-1,0)</f>
        <v>0</v>
      </c>
      <c r="R70" s="5">
        <f>SUM(IF(BM70="lease",BU70,0),IF(CH70="lease",CP70,0),IF(DC70="lease",DK70,0),IF(DX70="lease",EF70,0),IF(ES70="lease",FA70,0),IF(FN70="lease",FV70,0),IF(GI70="lease",GQ70,0),IF(HD70="lease",HL70,0),IF(HY70="lease",IG70,0),IF(IT70="lease",JB70,0))</f>
        <v>1.2580004937885036</v>
      </c>
      <c r="S70" s="5">
        <f>SUM(IF(BM70="lease",BV70,0),IF(CH70="lease",CQ70,0),IF(DC70="lease",DL70,0),IF(DX70="lease",EG70,0),IF(ES70="lease",FB70,0),IF(FN70="lease",FW70,0),IF(GI70="lease",GR70,0),IF(HD70="lease",HM70,0),IF(HY70="lease",IH70,0),IF(IT70="lease",JC70,0))</f>
        <v>1.265154712888333</v>
      </c>
      <c r="T70" s="5">
        <f>SUM(IF(BM70="keep",BU70,0),IF(CH70="keep",CP70,0),IF(DC70="keep",DK70,0),IF(DX70="keep",EF70,0),IF(ES70="keep",FA70,0),IF(FN70="keep",FV70,0),IF(GI70="keep",GQ70,0),IF(HD70="keep",HL70,0),IF(HY70="keep",IG70,0),IF(IT70="keep",JB70,0))</f>
        <v>0</v>
      </c>
      <c r="U70" s="5">
        <f>SUM(IF(BM70="keep",BV70,0),IF(CH70="keep",CQ70,0),IF(DC70="keep",DL70,0),IF(DX70="keep",EG70,0),IF(ES70="keep",FB70,0),IF(FN70="keep",FW70,0),IF(GI70="keep",GR70,0),IF(HD70="keep",HM70,0),IF(HY70="keep",IH70,0),IF(IT70="keep",JC70,0))</f>
        <v>0</v>
      </c>
      <c r="V70" s="5">
        <f>R70/O70</f>
        <v>1.370709497405615</v>
      </c>
      <c r="W70" s="5">
        <f>S70/P70</f>
        <v>1.378504689947332</v>
      </c>
      <c r="X70" s="5">
        <f>T70/O70</f>
        <v>0</v>
      </c>
      <c r="Y70" s="5">
        <f>U70/P70</f>
        <v>0</v>
      </c>
      <c r="Z70" s="5">
        <f>V70+X70</f>
        <v>1.370709497405615</v>
      </c>
      <c r="AA70" s="7">
        <f>IFERROR(W70/V70-1,0)</f>
        <v>0.005686976384471798</v>
      </c>
      <c r="AB70" s="7">
        <f>IFERROR((W70-V70)/Z70,0)</f>
        <v>0.005686976384471849</v>
      </c>
      <c r="AC70" s="7">
        <f>IFERROR(Y70/X70-1,0)</f>
        <v>0</v>
      </c>
      <c r="AD70" s="7">
        <f>IFERROR((Y70-X70)/Z70,0)</f>
        <v>0</v>
      </c>
      <c r="AE70" s="7">
        <f>AB70+AD70</f>
        <v>0.005686976384471849</v>
      </c>
      <c r="AF70" s="7">
        <f>(1+Q70)*(1+AE70)-1</f>
        <v>0.005686976384471798</v>
      </c>
      <c r="AG70" s="7">
        <f>G70-AF70</f>
        <v>1.968911145233676e-16</v>
      </c>
      <c r="AH70" s="5">
        <f>SUM(IF(BM70="lease",BW70,0),IF(CH70="lease",CR70,0),IF(DC70="lease",DM70,0),IF(DX70="lease",EH70,0),IF(ES70="lease",FC70,0),IF(FN70="lease",FX70,0),IF(GI70="lease",GS70,0),IF(HD70="lease",HN70,0),IF(HY70="lease",II70,0),IF(IT70="lease",JD70,0))</f>
        <v>0.00715421909982933</v>
      </c>
      <c r="AI70" s="5">
        <f>SUM(IF(BM70="keep",BW70,0),IF(CH70="keep",CR70,0),IF(DC70="keep",DM70,0),IF(DX70="keep",EH70,0),IF(ES70="keep",FC70,0),IF(FN70="keep",FX70,0),IF(GI70="keep",GS70,0),IF(HD70="keep",HN70,0),IF(HY70="keep",II70,0),IF(IT70="keep",JD70,0))</f>
        <v>0</v>
      </c>
      <c r="AJ70" s="5">
        <f>SUM(IF(BM70="lease",BX70,0),IF(CH70="lease",CS70,0),IF(DC70="lease",DN70,0),IF(DX70="lease",EI70,0),IF(ES70="lease",FD70,0),IF(FN70="lease",FY70,0),IF(GI70="lease",GT70,0),IF(HD70="lease",HO70,0),IF(HY70="lease",IJ70,0),IF(IT70="lease",JE70,0))</f>
        <v>0</v>
      </c>
      <c r="AK70" s="5">
        <f>SUM(IF(BM70="keep",BX70,0),IF(CH70="keep",CS70,0),IF(DC70="keep",DN70,0),IF(DX70="keep",EI70,0),IF(ES70="keep",FD70,0),IF(FN70="keep",FY70,0),IF(GI70="keep",GT70,0),IF(HD70="keep",HO70,0),IF(HY70="keep",IJ70,0),IF(IT70="keep",JE70,0))</f>
        <v>0</v>
      </c>
      <c r="AL70" s="5">
        <f>R70-S69</f>
        <v>0</v>
      </c>
      <c r="AM70" s="5">
        <f>T70-U69</f>
        <v>0</v>
      </c>
      <c r="AN70" s="5">
        <f>AN69</f>
        <v>1</v>
      </c>
      <c r="AO70" s="5">
        <f>AO69+AH70</f>
        <v>0.26515471288833337</v>
      </c>
      <c r="AP70" s="5">
        <f>AP69+AL70</f>
        <v>-4.440892098500626e-16</v>
      </c>
      <c r="AQ70" s="5">
        <f>AN70+AO70+AP70</f>
        <v>1.265154712888333</v>
      </c>
      <c r="AR70" s="5">
        <f>S70-AQ70</f>
        <v>0</v>
      </c>
      <c r="AS70" s="5">
        <f>AS69</f>
        <v>0</v>
      </c>
      <c r="AT70" s="5">
        <f>AT69+AI70</f>
        <v>0</v>
      </c>
      <c r="AU70" s="5">
        <f>AU69+AM70</f>
        <v>0</v>
      </c>
      <c r="AV70" s="5">
        <f>AS70+AT70+AU70</f>
        <v>0</v>
      </c>
      <c r="AW70" s="5">
        <f>U70-AV70</f>
        <v>0</v>
      </c>
      <c r="AX70" s="4">
        <v>1.2580004937885036</v>
      </c>
      <c r="AY70" s="4">
        <v>1.265154712888333</v>
      </c>
      <c r="AZ70" s="5">
        <f>S70-AY70</f>
        <v>0</v>
      </c>
      <c r="BA70" s="4">
        <v>0</v>
      </c>
      <c r="BB70" s="4">
        <v>0</v>
      </c>
      <c r="BC70" s="5">
        <f>U70-BB70</f>
        <v>0</v>
      </c>
      <c r="BD70" s="7">
        <f>SUM(IF(BL70="direct",CE70,0),IF(CG70="direct",CZ70,0),IF(DB70="direct",DU70,0),IF(DW70="direct",EP70,0),IF(ER70="direct",FK70,0),IF(FM70="direct",GF70,0),IF(GH70="direct",HA70,0),IF(HC70="direct",HV70,0),IF(HX70="direct",IQ70,0),IF(IS70="direct",JL70,0))</f>
        <v>-0.0000012005819641233271</v>
      </c>
      <c r="BE70" s="7">
        <f>SUM(IF(BL70="treasury",CE70,0),IF(CG70="treasury",CZ70,0),IF(DB70="treasury",DU70,0),IF(DW70="treasury",EP70,0),IF(ER70="treasury",FK70,0),IF(FM70="treasury",GF70,0),IF(GH70="treasury",HA70,0),IF(HC70="treasury",HV70,0),IF(HX70="treasury",IQ70,0),IF(IS70="treasury",JL70,0))</f>
        <v>0.000140766428960896</v>
      </c>
      <c r="BF70" s="7">
        <f>SUM(IF(BL70="future",CE70,0),IF(CG70="future",CZ70,0),IF(DB70="future",DU70,0),IF(DW70="future",EP70,0),IF(ER70="future",FK70,0),IF(FM70="future",GF70,0),IF(GH70="future",HA70,0),IF(HC70="future",HV70,0),IF(HX70="future",IQ70,0),IF(IS70="future",JL70,0))</f>
        <v>0.005547410537475222</v>
      </c>
      <c r="BG70" s="7">
        <f>SUM(IF(BL70="cash",CE70,0),IF(CG70="cash",CZ70,0),IF(DB70="cash",DU70,0),IF(DW70="cash",EP70,0),IF(ER70="cash",FK70,0),IF(FM70="cash",GF70,0),IF(GH70="cash",HA70,0),IF(HC70="cash",HV70,0),IF(HX70="cash",IQ70,0),IF(IS70="cash",JL70,0))</f>
        <v>0</v>
      </c>
      <c r="BH70" s="7">
        <f>SUM(BD70:BG70)</f>
        <v>0.005686976384471995</v>
      </c>
      <c r="BI70" s="7">
        <f>G70-BH70</f>
        <v>0</v>
      </c>
      <c r="BJ70" s="9">
        <f>COUNTA(BK70,CF70,DA70,DV70,EQ70,FL70,GG70,HB70,HW70,IR70)</f>
        <v>5</v>
      </c>
      <c r="BK70" t="inlineStr">
        <is>
          <t xml:space="preserve">Direct commodity holding</t>
        </is>
      </c>
      <c r="BL70" t="inlineStr">
        <is>
          <t xml:space="preserve">direct</t>
        </is>
      </c>
      <c r="BM70" t="inlineStr">
        <is>
          <t xml:space="preserve">lease</t>
        </is>
      </c>
      <c r="BN70" t="inlineStr">
        <is>
          <t xml:space="preserve">long</t>
        </is>
      </c>
      <c r="BO70"/>
      <c r="BP70" s="4">
        <v>1.797</v>
      </c>
      <c r="BQ70" s="4">
        <v>1.797</v>
      </c>
      <c r="BR70" s="4">
        <v>0.12270927920996369</v>
      </c>
      <c r="BS70" s="6">
        <v>0.17528496676200578</v>
      </c>
      <c r="BT70" s="4">
        <v>0.22050857474030475</v>
      </c>
      <c r="BU70" s="4">
        <v>0.22050857474030475</v>
      </c>
      <c r="BV70" s="4">
        <v>0.22050857474030475</v>
      </c>
      <c r="BW70" s="4">
        <v>-0.0000015103327037007174</v>
      </c>
      <c r="BX70" s="4">
        <v>0.0000015103327037007174</v>
      </c>
      <c r="BY70" s="4">
        <v>1.797</v>
      </c>
      <c r="BZ70" s="4">
        <v>1.797</v>
      </c>
      <c r="CA70" s="6"/>
      <c r="CB70" s="6"/>
      <c r="CC70" s="6"/>
      <c r="CD70" s="9"/>
      <c r="CE70" s="7">
        <f>IFERROR(BW70/F70,0)</f>
        <v>-0.0000012005819641233271</v>
      </c>
      <c r="CF70" t="inlineStr">
        <is>
          <t xml:space="preserve">Treasury collateral</t>
        </is>
      </c>
      <c r="CG70" t="inlineStr">
        <is>
          <t xml:space="preserve">treasury</t>
        </is>
      </c>
      <c r="CH70" t="inlineStr">
        <is>
          <t xml:space="preserve">lease</t>
        </is>
      </c>
      <c r="CI70" t="inlineStr">
        <is>
          <t xml:space="preserve">long</t>
        </is>
      </c>
      <c r="CJ70"/>
      <c r="CK70" s="4">
        <v>101.73455552099607</v>
      </c>
      <c r="CL70" s="4">
        <v>101.75192007663705</v>
      </c>
      <c r="CM70" s="4">
        <v>0.010198028720281582</v>
      </c>
      <c r="CN70" s="6">
        <v>0.8247150332379942</v>
      </c>
      <c r="CO70" s="4">
        <v>1.037491919048199</v>
      </c>
      <c r="CP70" s="4">
        <v>1.037491919048199</v>
      </c>
      <c r="CQ70" s="4">
        <v>1.0376690032853408</v>
      </c>
      <c r="CR70" s="4">
        <v>0.00017708423714165152</v>
      </c>
      <c r="CS70" s="4">
        <v>1.4869832795638693e-16</v>
      </c>
      <c r="CT70" s="4">
        <v>1.797</v>
      </c>
      <c r="CU70" s="4">
        <v>1.797</v>
      </c>
      <c r="CV70" s="6"/>
      <c r="CW70" s="6"/>
      <c r="CX70" s="6"/>
      <c r="CY70" s="9">
        <v>43</v>
      </c>
      <c r="CZ70" s="7">
        <f>IFERROR(CR70/F70,0)</f>
        <v>0.000140766428960896</v>
      </c>
      <c r="DA70" t="inlineStr">
        <is>
          <t xml:space="preserve">SI69K</t>
        </is>
      </c>
      <c r="DB70" t="inlineStr">
        <is>
          <t xml:space="preserve">future</t>
        </is>
      </c>
      <c r="DC70" t="inlineStr">
        <is>
          <t xml:space="preserve">lease</t>
        </is>
      </c>
      <c r="DD70" t="inlineStr">
        <is>
          <t xml:space="preserve">long</t>
        </is>
      </c>
      <c r="DE70" t="inlineStr">
        <is>
          <t xml:space="preserve">regular</t>
        </is>
      </c>
      <c r="DF70" s="4">
        <v>1.784</v>
      </c>
      <c r="DG70" s="4">
        <v>1.796</v>
      </c>
      <c r="DH70" s="4">
        <v>0.5815537662826228</v>
      </c>
      <c r="DI70" s="6">
        <v>0.8247150332379942</v>
      </c>
      <c r="DJ70" s="4">
        <v>1.037491919048199</v>
      </c>
      <c r="DK70" s="4">
        <v>0</v>
      </c>
      <c r="DL70" s="4">
        <v>0</v>
      </c>
      <c r="DM70" s="4">
        <v>0.00697864519539138</v>
      </c>
      <c r="DN70" s="4">
        <v>-0.00697864519539138</v>
      </c>
      <c r="DO70" s="4">
        <v>1.797</v>
      </c>
      <c r="DP70" s="4">
        <v>1.797</v>
      </c>
      <c r="DQ70" s="6">
        <v>-0.0072342793544796224</v>
      </c>
      <c r="DR70" s="6">
        <v>0.0623</v>
      </c>
      <c r="DS70" s="6">
        <v>0.12370725498569912</v>
      </c>
      <c r="DT70" s="9">
        <v>43</v>
      </c>
      <c r="DU70" s="7">
        <f>IFERROR(DM70/F70,0)</f>
        <v>0.005547410537475222</v>
      </c>
      <c r="DV70" t="inlineStr">
        <is>
          <t xml:space="preserve">Lease cash / margin / financing</t>
        </is>
      </c>
      <c r="DW70" t="inlineStr">
        <is>
          <t xml:space="preserve">cash</t>
        </is>
      </c>
      <c r="DX70" t="inlineStr">
        <is>
          <t xml:space="preserve">lease</t>
        </is>
      </c>
      <c r="DY70" t="inlineStr">
        <is>
          <t xml:space="preserve">cash</t>
        </is>
      </c>
      <c r="DZ70"/>
      <c r="EA70" s="4">
        <v>1</v>
      </c>
      <c r="EB70" s="4">
        <v>1</v>
      </c>
      <c r="EC70" s="4">
        <v>-2.220446049250313e-16</v>
      </c>
      <c r="ED70" s="6"/>
      <c r="EE70" s="4">
        <v>-2.220446049250313e-16</v>
      </c>
      <c r="EF70" s="4">
        <v>-2.220446049250313e-16</v>
      </c>
      <c r="EG70" s="4">
        <v>0.006977134862687308</v>
      </c>
      <c r="EH70" s="4">
        <v>0</v>
      </c>
      <c r="EI70" s="4">
        <v>0.00697713486268753</v>
      </c>
      <c r="EJ70" s="4">
        <v>1.797</v>
      </c>
      <c r="EK70" s="4">
        <v>1.797</v>
      </c>
      <c r="EL70" s="6"/>
      <c r="EM70" s="6"/>
      <c r="EN70" s="6"/>
      <c r="EO70" s="9"/>
      <c r="EP70" s="7">
        <f>IFERROR(EH70/F70,0)</f>
        <v>0</v>
      </c>
      <c r="EQ70" t="inlineStr">
        <is>
          <t xml:space="preserve">Keep cash / margin / financing</t>
        </is>
      </c>
      <c r="ER70" t="inlineStr">
        <is>
          <t xml:space="preserve">cash</t>
        </is>
      </c>
      <c r="ES70" t="inlineStr">
        <is>
          <t xml:space="preserve">keep</t>
        </is>
      </c>
      <c r="ET70" t="inlineStr">
        <is>
          <t xml:space="preserve">cash</t>
        </is>
      </c>
      <c r="EU70"/>
      <c r="EV70" s="4">
        <v>1</v>
      </c>
      <c r="EW70" s="4">
        <v>1</v>
      </c>
      <c r="EX70" s="4">
        <v>0</v>
      </c>
      <c r="EY70" s="6"/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1.797</v>
      </c>
      <c r="FF70" s="4">
        <v>1.797</v>
      </c>
      <c r="FG70" s="6"/>
      <c r="FH70" s="6"/>
      <c r="FI70" s="6"/>
      <c r="FJ70" s="9"/>
      <c r="FK70" s="7">
        <f>IFERROR(FC70/F70,0)</f>
        <v>0</v>
      </c>
      <c r="FL70"/>
      <c r="FM70"/>
      <c r="FN70"/>
      <c r="FO70"/>
      <c r="FP70"/>
      <c r="FQ70" s="4"/>
      <c r="FR70" s="4"/>
      <c r="FS70" s="4"/>
      <c r="FT70" s="6"/>
      <c r="FU70" s="4"/>
      <c r="FV70" s="4"/>
      <c r="FW70" s="4"/>
      <c r="FX70" s="4"/>
      <c r="FY70" s="4"/>
      <c r="FZ70" s="4"/>
      <c r="GA70" s="4"/>
      <c r="GB70" s="6"/>
      <c r="GC70" s="6"/>
      <c r="GD70" s="6"/>
      <c r="GE70" s="9"/>
      <c r="GF70"/>
      <c r="GG70"/>
      <c r="GH70"/>
      <c r="GI70"/>
      <c r="GJ70"/>
      <c r="GK70"/>
      <c r="GL70" s="4"/>
      <c r="GM70" s="4"/>
      <c r="GN70" s="4"/>
      <c r="GO70" s="6"/>
      <c r="GP70" s="4"/>
      <c r="GQ70" s="4"/>
      <c r="GR70" s="4"/>
      <c r="GS70" s="4"/>
      <c r="GT70" s="4"/>
      <c r="GU70" s="4"/>
      <c r="GV70" s="4"/>
      <c r="GW70" s="6"/>
      <c r="GX70" s="6"/>
      <c r="GY70" s="6"/>
      <c r="GZ70" s="9"/>
      <c r="HA70"/>
      <c r="HB70"/>
      <c r="HC70"/>
      <c r="HD70"/>
      <c r="HE70"/>
      <c r="HF70"/>
      <c r="HG70" s="4"/>
      <c r="HH70" s="4"/>
      <c r="HI70" s="4"/>
      <c r="HJ70" s="6"/>
      <c r="HK70" s="4"/>
      <c r="HL70" s="4"/>
      <c r="HM70" s="4"/>
      <c r="HN70" s="4"/>
      <c r="HO70" s="4"/>
      <c r="HP70" s="4"/>
      <c r="HQ70" s="4"/>
      <c r="HR70" s="6"/>
      <c r="HS70" s="6"/>
      <c r="HT70" s="6"/>
      <c r="HU70" s="9"/>
      <c r="HV70"/>
      <c r="HW70"/>
      <c r="HX70"/>
      <c r="HY70"/>
      <c r="HZ70"/>
      <c r="IA70"/>
      <c r="IB70" s="4"/>
      <c r="IC70" s="4"/>
      <c r="ID70" s="4"/>
      <c r="IE70" s="6"/>
      <c r="IF70" s="4"/>
      <c r="IG70" s="4"/>
      <c r="IH70" s="4"/>
      <c r="II70" s="4"/>
      <c r="IJ70" s="4"/>
      <c r="IK70" s="4"/>
      <c r="IL70" s="4"/>
      <c r="IM70" s="6"/>
      <c r="IN70" s="6"/>
      <c r="IO70" s="6"/>
      <c r="IP70" s="9"/>
      <c r="IQ70"/>
      <c r="IR70"/>
      <c r="IS70"/>
      <c r="IT70"/>
      <c r="IU70"/>
      <c r="IV70"/>
      <c r="IW70" s="4"/>
      <c r="IX70" s="4"/>
      <c r="IY70" s="4"/>
      <c r="IZ70" s="6"/>
      <c r="JA70" s="4"/>
      <c r="JB70" s="4"/>
      <c r="JC70" s="4"/>
      <c r="JD70" s="4"/>
      <c r="JE70" s="4"/>
      <c r="JF70" s="4"/>
      <c r="JG70" s="4"/>
      <c r="JH70" s="6"/>
      <c r="JI70" s="6"/>
      <c r="JJ70" s="6"/>
      <c r="JK70" s="9"/>
      <c r="JL70"/>
    </row>
    <row r="71">
      <c r="A71" s="8">
        <v>25309</v>
      </c>
      <c r="B71" s="8">
        <v>25310</v>
      </c>
      <c r="C71" s="9">
        <f>B71-A71</f>
        <v>1</v>
      </c>
      <c r="D71" s="8">
        <v>25309</v>
      </c>
      <c r="E71" t="inlineStr">
        <is>
          <t xml:space="preserve">positive</t>
        </is>
      </c>
      <c r="F71" s="4">
        <v>1.2651547128883331</v>
      </c>
      <c r="G71" s="6">
        <v>0.000413053225297983</v>
      </c>
      <c r="H71" s="7">
        <f>SUM(CE71,CZ71,DU71,EP71,FK71,GF71,HA71,HV71,IQ71,JL71)</f>
        <v>0.000413053225297983</v>
      </c>
      <c r="I71" s="7">
        <f>G71-H71</f>
        <v>0</v>
      </c>
      <c r="J71" s="5">
        <f>F71*(1+H71)</f>
        <v>1.2656772891229926</v>
      </c>
      <c r="K71" s="4">
        <v>1.2656772891229926</v>
      </c>
      <c r="L71" s="5">
        <f>K71-J71</f>
        <v>0</v>
      </c>
      <c r="M71" s="4">
        <v>1.797</v>
      </c>
      <c r="N71" s="4">
        <v>1.807</v>
      </c>
      <c r="O71" s="5">
        <f>M71/$M$3</f>
        <v>0.9177732379979571</v>
      </c>
      <c r="P71" s="5">
        <f>N71/$M$3</f>
        <v>0.9228804902962207</v>
      </c>
      <c r="Q71" s="7">
        <f>IFERROR(N71/M71-1,0)</f>
        <v>0.005564830272676735</v>
      </c>
      <c r="R71" s="5">
        <f>SUM(IF(BM71="lease",BU71,0),IF(CH71="lease",CP71,0),IF(DC71="lease",DK71,0),IF(DX71="lease",EF71,0),IF(ES71="lease",FA71,0),IF(FN71="lease",FV71,0),IF(GI71="lease",GQ71,0),IF(HD71="lease",HL71,0),IF(HY71="lease",IG71,0),IF(IT71="lease",JB71,0))</f>
        <v>1.265154712888333</v>
      </c>
      <c r="S71" s="5">
        <f>SUM(IF(BM71="lease",BV71,0),IF(CH71="lease",CQ71,0),IF(DC71="lease",DL71,0),IF(DX71="lease",EG71,0),IF(ES71="lease",FB71,0),IF(FN71="lease",FW71,0),IF(GI71="lease",GR71,0),IF(HD71="lease",HM71,0),IF(HY71="lease",IH71,0),IF(IT71="lease",JC71,0))</f>
        <v>1.2656772891229926</v>
      </c>
      <c r="T71" s="5">
        <f>SUM(IF(BM71="keep",BU71,0),IF(CH71="keep",CP71,0),IF(DC71="keep",DK71,0),IF(DX71="keep",EF71,0),IF(ES71="keep",FA71,0),IF(FN71="keep",FV71,0),IF(GI71="keep",GQ71,0),IF(HD71="keep",HL71,0),IF(HY71="keep",IG71,0),IF(IT71="keep",JB71,0))</f>
        <v>0</v>
      </c>
      <c r="U71" s="5">
        <f>SUM(IF(BM71="keep",BV71,0),IF(CH71="keep",CQ71,0),IF(DC71="keep",DL71,0),IF(DX71="keep",EG71,0),IF(ES71="keep",FB71,0),IF(FN71="keep",FW71,0),IF(GI71="keep",GR71,0),IF(HD71="keep",HM71,0),IF(HY71="keep",IH71,0),IF(IT71="keep",JC71,0))</f>
        <v>0</v>
      </c>
      <c r="V71" s="5">
        <f>R71/O71</f>
        <v>1.378504689947332</v>
      </c>
      <c r="W71" s="5">
        <f>S71/P71</f>
        <v>1.3714422424476034</v>
      </c>
      <c r="X71" s="5">
        <f>T71/O71</f>
        <v>0</v>
      </c>
      <c r="Y71" s="5">
        <f>U71/P71</f>
        <v>0</v>
      </c>
      <c r="Z71" s="5">
        <f>V71+X71</f>
        <v>1.378504689947332</v>
      </c>
      <c r="AA71" s="7">
        <f>IFERROR(W71/V71-1,0)</f>
        <v>-0.005123266936435722</v>
      </c>
      <c r="AB71" s="7">
        <f>IFERROR((W71-V71)/Z71,0)</f>
        <v>-0.005123266936435712</v>
      </c>
      <c r="AC71" s="7">
        <f>IFERROR(Y71/X71-1,0)</f>
        <v>0</v>
      </c>
      <c r="AD71" s="7">
        <f>IFERROR((Y71-X71)/Z71,0)</f>
        <v>0</v>
      </c>
      <c r="AE71" s="7">
        <f>AB71+AD71</f>
        <v>-0.005123266936435712</v>
      </c>
      <c r="AF71" s="7">
        <f>(1+Q71)*(1+AE71)-1</f>
        <v>0.00041305322529816557</v>
      </c>
      <c r="AG71" s="7">
        <f>G71-AF71</f>
        <v>-1.8257964584655895e-16</v>
      </c>
      <c r="AH71" s="5">
        <f>SUM(IF(BM71="lease",BW71,0),IF(CH71="lease",CR71,0),IF(DC71="lease",DM71,0),IF(DX71="lease",EH71,0),IF(ES71="lease",FC71,0),IF(FN71="lease",FX71,0),IF(GI71="lease",GS71,0),IF(HD71="lease",HN71,0),IF(HY71="lease",II71,0),IF(IT71="lease",JD71,0))</f>
        <v>0.0005225762346594697</v>
      </c>
      <c r="AI71" s="5">
        <f>SUM(IF(BM71="keep",BW71,0),IF(CH71="keep",CR71,0),IF(DC71="keep",DM71,0),IF(DX71="keep",EH71,0),IF(ES71="keep",FC71,0),IF(FN71="keep",FX71,0),IF(GI71="keep",GS71,0),IF(HD71="keep",HN71,0),IF(HY71="keep",II71,0),IF(IT71="keep",JD71,0))</f>
        <v>0</v>
      </c>
      <c r="AJ71" s="5">
        <f>SUM(IF(BM71="lease",BX71,0),IF(CH71="lease",CS71,0),IF(DC71="lease",DN71,0),IF(DX71="lease",EI71,0),IF(ES71="lease",FD71,0),IF(FN71="lease",FY71,0),IF(GI71="lease",GT71,0),IF(HD71="lease",HO71,0),IF(HY71="lease",IJ71,0),IF(IT71="lease",JE71,0))</f>
        <v>0</v>
      </c>
      <c r="AK71" s="5">
        <f>SUM(IF(BM71="keep",BX71,0),IF(CH71="keep",CS71,0),IF(DC71="keep",DN71,0),IF(DX71="keep",EI71,0),IF(ES71="keep",FD71,0),IF(FN71="keep",FY71,0),IF(GI71="keep",GT71,0),IF(HD71="keep",HO71,0),IF(HY71="keep",IJ71,0),IF(IT71="keep",JE71,0))</f>
        <v>0</v>
      </c>
      <c r="AL71" s="5">
        <f>R71-S70</f>
        <v>0</v>
      </c>
      <c r="AM71" s="5">
        <f>T71-U70</f>
        <v>0</v>
      </c>
      <c r="AN71" s="5">
        <f>AN70</f>
        <v>1</v>
      </c>
      <c r="AO71" s="5">
        <f>AO70+AH71</f>
        <v>0.2656772891229928</v>
      </c>
      <c r="AP71" s="5">
        <f>AP70+AL71</f>
        <v>-4.440892098500626e-16</v>
      </c>
      <c r="AQ71" s="5">
        <f>AN71+AO71+AP71</f>
        <v>1.2656772891229924</v>
      </c>
      <c r="AR71" s="5">
        <f>S71-AQ71</f>
        <v>2.220446049250313e-16</v>
      </c>
      <c r="AS71" s="5">
        <f>AS70</f>
        <v>0</v>
      </c>
      <c r="AT71" s="5">
        <f>AT70+AI71</f>
        <v>0</v>
      </c>
      <c r="AU71" s="5">
        <f>AU70+AM71</f>
        <v>0</v>
      </c>
      <c r="AV71" s="5">
        <f>AS71+AT71+AU71</f>
        <v>0</v>
      </c>
      <c r="AW71" s="5">
        <f>U71-AV71</f>
        <v>0</v>
      </c>
      <c r="AX71" s="4">
        <v>1.265154712888333</v>
      </c>
      <c r="AY71" s="4">
        <v>1.2656772891229924</v>
      </c>
      <c r="AZ71" s="5">
        <f>S71-AY71</f>
        <v>2.220446049250313e-16</v>
      </c>
      <c r="BA71" s="4">
        <v>0</v>
      </c>
      <c r="BB71" s="4">
        <v>0</v>
      </c>
      <c r="BC71" s="5">
        <f>U71-BB71</f>
        <v>0</v>
      </c>
      <c r="BD71" s="7">
        <f>SUM(IF(BL71="direct",CE71,0),IF(CG71="direct",CZ71,0),IF(DB71="direct",DU71,0),IF(DW71="direct",EP71,0),IF(ER71="direct",FK71,0),IF(FM71="direct",GF71,0),IF(GH71="direct",HA71,0),IF(HC71="direct",HV71,0),IF(HX71="direct",IQ71,0),IF(IS71="direct",JL71,0))</f>
        <v>0.003074078416534823</v>
      </c>
      <c r="BE71" s="7">
        <f>SUM(IF(BL71="treasury",CE71,0),IF(CG71="treasury",CZ71,0),IF(DB71="treasury",DU71,0),IF(DW71="treasury",EP71,0),IF(ER71="treasury",FK71,0),IF(FM71="treasury",GF71,0),IF(GH71="treasury",HA71,0),IF(HC71="treasury",HV71,0),IF(HX71="treasury",IQ71,0),IF(IS71="treasury",JL71,0))</f>
        <v>0.00007615791005351468</v>
      </c>
      <c r="BF71" s="7">
        <f>SUM(IF(BL71="future",CE71,0),IF(CG71="future",CZ71,0),IF(DB71="future",DU71,0),IF(DW71="future",EP71,0),IF(ER71="future",FK71,0),IF(FM71="future",GF71,0),IF(GH71="future",HA71,0),IF(HC71="future",HV71,0),IF(HX71="future",IQ71,0),IF(IS71="future",JL71,0))</f>
        <v>-0.002737183101290355</v>
      </c>
      <c r="BG71" s="7">
        <f>SUM(IF(BL71="cash",CE71,0),IF(CG71="cash",CZ71,0),IF(DB71="cash",DU71,0),IF(DW71="cash",EP71,0),IF(ER71="cash",FK71,0),IF(FM71="cash",GF71,0),IF(GH71="cash",HA71,0),IF(HC71="cash",HV71,0),IF(HX71="cash",IQ71,0),IF(IS71="cash",JL71,0))</f>
        <v>0</v>
      </c>
      <c r="BH71" s="7">
        <f>SUM(BD71:BG71)</f>
        <v>0.000413053225297983</v>
      </c>
      <c r="BI71" s="7">
        <f>G71-BH71</f>
        <v>0</v>
      </c>
      <c r="BJ71" s="9">
        <f>COUNTA(BK71,CF71,DA71,DV71,EQ71,FL71,GG71,HB71,HW71,IR71)</f>
        <v>5</v>
      </c>
      <c r="BK71" t="inlineStr">
        <is>
          <t xml:space="preserve">Direct commodity holding</t>
        </is>
      </c>
      <c r="BL71" t="inlineStr">
        <is>
          <t xml:space="preserve">direct</t>
        </is>
      </c>
      <c r="BM71" t="inlineStr">
        <is>
          <t xml:space="preserve">lease</t>
        </is>
      </c>
      <c r="BN71" t="inlineStr">
        <is>
          <t xml:space="preserve">long</t>
        </is>
      </c>
      <c r="BO71"/>
      <c r="BP71" s="4">
        <v>1.797</v>
      </c>
      <c r="BQ71" s="4">
        <v>1.807</v>
      </c>
      <c r="BR71" s="4">
        <v>0.3893977589431826</v>
      </c>
      <c r="BS71" s="6">
        <v>0.5530926500075104</v>
      </c>
      <c r="BT71" s="4">
        <v>0.6997477728208992</v>
      </c>
      <c r="BU71" s="4">
        <v>0.6997477728208992</v>
      </c>
      <c r="BV71" s="4">
        <v>0.703641750410331</v>
      </c>
      <c r="BW71" s="4">
        <v>0.003889184796467336</v>
      </c>
      <c r="BX71" s="4">
        <v>0.0000047927929644380265</v>
      </c>
      <c r="BY71" s="4">
        <v>1.797</v>
      </c>
      <c r="BZ71" s="4">
        <v>1.807</v>
      </c>
      <c r="CA71" s="6"/>
      <c r="CB71" s="6"/>
      <c r="CC71" s="6"/>
      <c r="CD71" s="9"/>
      <c r="CE71" s="7">
        <f>IFERROR(BW71/F71,0)</f>
        <v>0.003074078416534823</v>
      </c>
      <c r="CF71" t="inlineStr">
        <is>
          <t xml:space="preserve">Treasury collateral</t>
        </is>
      </c>
      <c r="CG71" t="inlineStr">
        <is>
          <t xml:space="preserve">treasury</t>
        </is>
      </c>
      <c r="CH71" t="inlineStr">
        <is>
          <t xml:space="preserve">lease</t>
        </is>
      </c>
      <c r="CI71" t="inlineStr">
        <is>
          <t xml:space="preserve">long</t>
        </is>
      </c>
      <c r="CJ71"/>
      <c r="CK71" s="4">
        <v>101.75192007663705</v>
      </c>
      <c r="CL71" s="4">
        <v>101.76925971890762</v>
      </c>
      <c r="CM71" s="4">
        <v>0.005556720105542809</v>
      </c>
      <c r="CN71" s="6">
        <v>0.44690734999248966</v>
      </c>
      <c r="CO71" s="4">
        <v>0.5654069400674341</v>
      </c>
      <c r="CP71" s="4">
        <v>0.5654069400674341</v>
      </c>
      <c r="CQ71" s="4">
        <v>0.5655032916062619</v>
      </c>
      <c r="CR71" s="4">
        <v>0.00009635153882792987</v>
      </c>
      <c r="CS71" s="4">
        <v>-1.1964170973377541e-16</v>
      </c>
      <c r="CT71" s="4">
        <v>1.797</v>
      </c>
      <c r="CU71" s="4">
        <v>1.807</v>
      </c>
      <c r="CV71" s="6"/>
      <c r="CW71" s="6"/>
      <c r="CX71" s="6"/>
      <c r="CY71" s="9">
        <v>42</v>
      </c>
      <c r="CZ71" s="7">
        <f>IFERROR(CR71/F71,0)</f>
        <v>0.00007615791005351468</v>
      </c>
      <c r="DA71" t="inlineStr">
        <is>
          <t xml:space="preserve">SI69K</t>
        </is>
      </c>
      <c r="DB71" t="inlineStr">
        <is>
          <t xml:space="preserve">future</t>
        </is>
      </c>
      <c r="DC71" t="inlineStr">
        <is>
          <t xml:space="preserve">lease</t>
        </is>
      </c>
      <c r="DD71" t="inlineStr">
        <is>
          <t xml:space="preserve">long</t>
        </is>
      </c>
      <c r="DE71" t="inlineStr">
        <is>
          <t xml:space="preserve">regular</t>
        </is>
      </c>
      <c r="DF71" s="4">
        <v>1.796</v>
      </c>
      <c r="DG71" s="4">
        <v>1.785</v>
      </c>
      <c r="DH71" s="4">
        <v>0.31481455460324836</v>
      </c>
      <c r="DI71" s="6">
        <v>0.44690734999248966</v>
      </c>
      <c r="DJ71" s="4">
        <v>0.5654069400674341</v>
      </c>
      <c r="DK71" s="4">
        <v>0</v>
      </c>
      <c r="DL71" s="4">
        <v>0</v>
      </c>
      <c r="DM71" s="4">
        <v>-0.0034629601006357963</v>
      </c>
      <c r="DN71" s="4">
        <v>0.0034629601006357963</v>
      </c>
      <c r="DO71" s="4">
        <v>1.797</v>
      </c>
      <c r="DP71" s="4">
        <v>1.807</v>
      </c>
      <c r="DQ71" s="6">
        <v>-0.0005564830272676291</v>
      </c>
      <c r="DR71" s="6">
        <v>0.0622</v>
      </c>
      <c r="DS71" s="6">
        <v>0.06703610249887344</v>
      </c>
      <c r="DT71" s="9">
        <v>42</v>
      </c>
      <c r="DU71" s="7">
        <f>IFERROR(DM71/F71,0)</f>
        <v>-0.002737183101290355</v>
      </c>
      <c r="DV71" t="inlineStr">
        <is>
          <t xml:space="preserve">Lease cash / margin / financing</t>
        </is>
      </c>
      <c r="DW71" t="inlineStr">
        <is>
          <t xml:space="preserve">cash</t>
        </is>
      </c>
      <c r="DX71" t="inlineStr">
        <is>
          <t xml:space="preserve">lease</t>
        </is>
      </c>
      <c r="DY71" t="inlineStr">
        <is>
          <t xml:space="preserve">cash</t>
        </is>
      </c>
      <c r="DZ71"/>
      <c r="EA71" s="4">
        <v>1</v>
      </c>
      <c r="EB71" s="4">
        <v>1</v>
      </c>
      <c r="EC71" s="4">
        <v>-2.220446049250313e-16</v>
      </c>
      <c r="ED71" s="6"/>
      <c r="EE71" s="4">
        <v>-2.220446049250313e-16</v>
      </c>
      <c r="EF71" s="4">
        <v>-2.220446049250313e-16</v>
      </c>
      <c r="EG71" s="4">
        <v>-0.0034677528936003367</v>
      </c>
      <c r="EH71" s="4">
        <v>0</v>
      </c>
      <c r="EI71" s="4">
        <v>-0.0034677528936001146</v>
      </c>
      <c r="EJ71" s="4">
        <v>1.797</v>
      </c>
      <c r="EK71" s="4">
        <v>1.807</v>
      </c>
      <c r="EL71" s="6"/>
      <c r="EM71" s="6"/>
      <c r="EN71" s="6"/>
      <c r="EO71" s="9"/>
      <c r="EP71" s="7">
        <f>IFERROR(EH71/F71,0)</f>
        <v>0</v>
      </c>
      <c r="EQ71" t="inlineStr">
        <is>
          <t xml:space="preserve">Keep cash / margin / financing</t>
        </is>
      </c>
      <c r="ER71" t="inlineStr">
        <is>
          <t xml:space="preserve">cash</t>
        </is>
      </c>
      <c r="ES71" t="inlineStr">
        <is>
          <t xml:space="preserve">keep</t>
        </is>
      </c>
      <c r="ET71" t="inlineStr">
        <is>
          <t xml:space="preserve">cash</t>
        </is>
      </c>
      <c r="EU71"/>
      <c r="EV71" s="4">
        <v>1</v>
      </c>
      <c r="EW71" s="4">
        <v>1</v>
      </c>
      <c r="EX71" s="4">
        <v>0</v>
      </c>
      <c r="EY71" s="6"/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1.797</v>
      </c>
      <c r="FF71" s="4">
        <v>1.807</v>
      </c>
      <c r="FG71" s="6"/>
      <c r="FH71" s="6"/>
      <c r="FI71" s="6"/>
      <c r="FJ71" s="9"/>
      <c r="FK71" s="7">
        <f>IFERROR(FC71/F71,0)</f>
        <v>0</v>
      </c>
      <c r="FL71"/>
      <c r="FM71"/>
      <c r="FN71"/>
      <c r="FO71"/>
      <c r="FP71"/>
      <c r="FQ71" s="4"/>
      <c r="FR71" s="4"/>
      <c r="FS71" s="4"/>
      <c r="FT71" s="6"/>
      <c r="FU71" s="4"/>
      <c r="FV71" s="4"/>
      <c r="FW71" s="4"/>
      <c r="FX71" s="4"/>
      <c r="FY71" s="4"/>
      <c r="FZ71" s="4"/>
      <c r="GA71" s="4"/>
      <c r="GB71" s="6"/>
      <c r="GC71" s="6"/>
      <c r="GD71" s="6"/>
      <c r="GE71" s="9"/>
      <c r="GF71"/>
      <c r="GG71"/>
      <c r="GH71"/>
      <c r="GI71"/>
      <c r="GJ71"/>
      <c r="GK71"/>
      <c r="GL71" s="4"/>
      <c r="GM71" s="4"/>
      <c r="GN71" s="4"/>
      <c r="GO71" s="6"/>
      <c r="GP71" s="4"/>
      <c r="GQ71" s="4"/>
      <c r="GR71" s="4"/>
      <c r="GS71" s="4"/>
      <c r="GT71" s="4"/>
      <c r="GU71" s="4"/>
      <c r="GV71" s="4"/>
      <c r="GW71" s="6"/>
      <c r="GX71" s="6"/>
      <c r="GY71" s="6"/>
      <c r="GZ71" s="9"/>
      <c r="HA71"/>
      <c r="HB71"/>
      <c r="HC71"/>
      <c r="HD71"/>
      <c r="HE71"/>
      <c r="HF71"/>
      <c r="HG71" s="4"/>
      <c r="HH71" s="4"/>
      <c r="HI71" s="4"/>
      <c r="HJ71" s="6"/>
      <c r="HK71" s="4"/>
      <c r="HL71" s="4"/>
      <c r="HM71" s="4"/>
      <c r="HN71" s="4"/>
      <c r="HO71" s="4"/>
      <c r="HP71" s="4"/>
      <c r="HQ71" s="4"/>
      <c r="HR71" s="6"/>
      <c r="HS71" s="6"/>
      <c r="HT71" s="6"/>
      <c r="HU71" s="9"/>
      <c r="HV71"/>
      <c r="HW71"/>
      <c r="HX71"/>
      <c r="HY71"/>
      <c r="HZ71"/>
      <c r="IA71"/>
      <c r="IB71" s="4"/>
      <c r="IC71" s="4"/>
      <c r="ID71" s="4"/>
      <c r="IE71" s="6"/>
      <c r="IF71" s="4"/>
      <c r="IG71" s="4"/>
      <c r="IH71" s="4"/>
      <c r="II71" s="4"/>
      <c r="IJ71" s="4"/>
      <c r="IK71" s="4"/>
      <c r="IL71" s="4"/>
      <c r="IM71" s="6"/>
      <c r="IN71" s="6"/>
      <c r="IO71" s="6"/>
      <c r="IP71" s="9"/>
      <c r="IQ71"/>
      <c r="IR71"/>
      <c r="IS71"/>
      <c r="IT71"/>
      <c r="IU71"/>
      <c r="IV71"/>
      <c r="IW71" s="4"/>
      <c r="IX71" s="4"/>
      <c r="IY71" s="4"/>
      <c r="IZ71" s="6"/>
      <c r="JA71" s="4"/>
      <c r="JB71" s="4"/>
      <c r="JC71" s="4"/>
      <c r="JD71" s="4"/>
      <c r="JE71" s="4"/>
      <c r="JF71" s="4"/>
      <c r="JG71" s="4"/>
      <c r="JH71" s="6"/>
      <c r="JI71" s="6"/>
      <c r="JJ71" s="6"/>
      <c r="JK71" s="9"/>
      <c r="JL71"/>
    </row>
    <row r="72">
      <c r="A72" s="8">
        <v>25310</v>
      </c>
      <c r="B72" s="8">
        <v>25311</v>
      </c>
      <c r="C72" s="9">
        <f>B72-A72</f>
        <v>1</v>
      </c>
      <c r="D72" s="8">
        <v>25310</v>
      </c>
      <c r="E72" t="inlineStr">
        <is>
          <t xml:space="preserve">positive</t>
        </is>
      </c>
      <c r="F72" s="4">
        <v>1.2656772891229926</v>
      </c>
      <c r="G72" s="6">
        <v>-0.0009505851655729635</v>
      </c>
      <c r="H72" s="7">
        <f>SUM(CE72,CZ72,DU72,EP72,FK72,GF72,HA72,HV72,IQ72,JL72)</f>
        <v>-0.0009505851655729635</v>
      </c>
      <c r="I72" s="7">
        <f>G72-H72</f>
        <v>0</v>
      </c>
      <c r="J72" s="5">
        <f>F72*(1+H72)</f>
        <v>1.2644741550675496</v>
      </c>
      <c r="K72" s="4">
        <v>1.2644741550675496</v>
      </c>
      <c r="L72" s="5">
        <f>K72-J72</f>
        <v>0</v>
      </c>
      <c r="M72" s="4">
        <v>1.807</v>
      </c>
      <c r="N72" s="4">
        <v>1.802</v>
      </c>
      <c r="O72" s="5">
        <f>M72/$M$3</f>
        <v>0.9228804902962207</v>
      </c>
      <c r="P72" s="5">
        <f>N72/$M$3</f>
        <v>0.9203268641470889</v>
      </c>
      <c r="Q72" s="7">
        <f>IFERROR(N72/M72-1,0)</f>
        <v>-0.0027670171555063128</v>
      </c>
      <c r="R72" s="5">
        <f>SUM(IF(BM72="lease",BU72,0),IF(CH72="lease",CP72,0),IF(DC72="lease",DK72,0),IF(DX72="lease",EF72,0),IF(ES72="lease",FA72,0),IF(FN72="lease",FV72,0),IF(GI72="lease",GQ72,0),IF(HD72="lease",HL72,0),IF(HY72="lease",IG72,0),IF(IT72="lease",JB72,0))</f>
        <v>1.2656772891229924</v>
      </c>
      <c r="S72" s="5">
        <f>SUM(IF(BM72="lease",BV72,0),IF(CH72="lease",CQ72,0),IF(DC72="lease",DL72,0),IF(DX72="lease",EG72,0),IF(ES72="lease",FB72,0),IF(FN72="lease",FW72,0),IF(GI72="lease",GR72,0),IF(HD72="lease",HM72,0),IF(HY72="lease",IH72,0),IF(IT72="lease",JC72,0))</f>
        <v>1.2644741550675496</v>
      </c>
      <c r="T72" s="5">
        <f>SUM(IF(BM72="keep",BU72,0),IF(CH72="keep",CP72,0),IF(DC72="keep",DK72,0),IF(DX72="keep",EF72,0),IF(ES72="keep",FA72,0),IF(FN72="keep",FV72,0),IF(GI72="keep",GQ72,0),IF(HD72="keep",HL72,0),IF(HY72="keep",IG72,0),IF(IT72="keep",JB72,0))</f>
        <v>0</v>
      </c>
      <c r="U72" s="5">
        <f>SUM(IF(BM72="keep",BV72,0),IF(CH72="keep",CQ72,0),IF(DC72="keep",DL72,0),IF(DX72="keep",EG72,0),IF(ES72="keep",FB72,0),IF(FN72="keep",FW72,0),IF(GI72="keep",GR72,0),IF(HD72="keep",HM72,0),IF(HY72="keep",IH72,0),IF(IT72="keep",JC72,0))</f>
        <v>0</v>
      </c>
      <c r="V72" s="5">
        <f>R72/O72</f>
        <v>1.3714422424476032</v>
      </c>
      <c r="W72" s="5">
        <f>S72/P72</f>
        <v>1.37394028613888</v>
      </c>
      <c r="X72" s="5">
        <f>T72/O72</f>
        <v>0</v>
      </c>
      <c r="Y72" s="5">
        <f>U72/P72</f>
        <v>0</v>
      </c>
      <c r="Z72" s="5">
        <f>V72+X72</f>
        <v>1.3714422424476032</v>
      </c>
      <c r="AA72" s="7">
        <f>IFERROR(W72/V72-1,0)</f>
        <v>0.0018214720343006086</v>
      </c>
      <c r="AB72" s="7">
        <f>IFERROR((W72-V72)/Z72,0)</f>
        <v>0.0018214720343006858</v>
      </c>
      <c r="AC72" s="7">
        <f>IFERROR(Y72/X72-1,0)</f>
        <v>0</v>
      </c>
      <c r="AD72" s="7">
        <f>IFERROR((Y72-X72)/Z72,0)</f>
        <v>0</v>
      </c>
      <c r="AE72" s="7">
        <f>AB72+AD72</f>
        <v>0.0018214720343006858</v>
      </c>
      <c r="AF72" s="7">
        <f>(1+Q72)*(1+AE72)-1</f>
        <v>-0.0009505851655728925</v>
      </c>
      <c r="AG72" s="7">
        <f>G72-AF72</f>
        <v>-7.101524229780054e-17</v>
      </c>
      <c r="AH72" s="5">
        <f>SUM(IF(BM72="lease",BW72,0),IF(CH72="lease",CR72,0),IF(DC72="lease",DM72,0),IF(DX72="lease",EH72,0),IF(ES72="lease",FC72,0),IF(FN72="lease",FX72,0),IF(GI72="lease",GS72,0),IF(HD72="lease",HN72,0),IF(HY72="lease",II72,0),IF(IT72="lease",JD72,0))</f>
        <v>-0.0012031340554429196</v>
      </c>
      <c r="AI72" s="5">
        <f>SUM(IF(BM72="keep",BW72,0),IF(CH72="keep",CR72,0),IF(DC72="keep",DM72,0),IF(DX72="keep",EH72,0),IF(ES72="keep",FC72,0),IF(FN72="keep",FX72,0),IF(GI72="keep",GS72,0),IF(HD72="keep",HN72,0),IF(HY72="keep",II72,0),IF(IT72="keep",JD72,0))</f>
        <v>0</v>
      </c>
      <c r="AJ72" s="5">
        <f>SUM(IF(BM72="lease",BX72,0),IF(CH72="lease",CS72,0),IF(DC72="lease",DN72,0),IF(DX72="lease",EI72,0),IF(ES72="lease",FD72,0),IF(FN72="lease",FY72,0),IF(GI72="lease",GT72,0),IF(HD72="lease",HO72,0),IF(HY72="lease",IJ72,0),IF(IT72="lease",JE72,0))</f>
        <v>0</v>
      </c>
      <c r="AK72" s="5">
        <f>SUM(IF(BM72="keep",BX72,0),IF(CH72="keep",CS72,0),IF(DC72="keep",DN72,0),IF(DX72="keep",EI72,0),IF(ES72="keep",FD72,0),IF(FN72="keep",FY72,0),IF(GI72="keep",GT72,0),IF(HD72="keep",HO72,0),IF(HY72="keep",IJ72,0),IF(IT72="keep",JE72,0))</f>
        <v>0</v>
      </c>
      <c r="AL72" s="5">
        <f>R72-S71</f>
        <v>-2.220446049250313e-16</v>
      </c>
      <c r="AM72" s="5">
        <f>T72-U71</f>
        <v>0</v>
      </c>
      <c r="AN72" s="5">
        <f>AN71</f>
        <v>1</v>
      </c>
      <c r="AO72" s="5">
        <f>AO71+AH72</f>
        <v>0.2644741550675499</v>
      </c>
      <c r="AP72" s="5">
        <f>AP71+AL72</f>
        <v>-6.661338147750939e-16</v>
      </c>
      <c r="AQ72" s="5">
        <f>AN72+AO72+AP72</f>
        <v>1.2644741550675491</v>
      </c>
      <c r="AR72" s="5">
        <f>S72-AQ72</f>
        <v>4.440892098500626e-16</v>
      </c>
      <c r="AS72" s="5">
        <f>AS71</f>
        <v>0</v>
      </c>
      <c r="AT72" s="5">
        <f>AT71+AI72</f>
        <v>0</v>
      </c>
      <c r="AU72" s="5">
        <f>AU71+AM72</f>
        <v>0</v>
      </c>
      <c r="AV72" s="5">
        <f>AS72+AT72+AU72</f>
        <v>0</v>
      </c>
      <c r="AW72" s="5">
        <f>U72-AV72</f>
        <v>0</v>
      </c>
      <c r="AX72" s="4">
        <v>1.2656772891229924</v>
      </c>
      <c r="AY72" s="4">
        <v>1.2644741550675496</v>
      </c>
      <c r="AZ72" s="5">
        <f>S72-AY72</f>
        <v>0</v>
      </c>
      <c r="BA72" s="4">
        <v>0</v>
      </c>
      <c r="BB72" s="4">
        <v>0</v>
      </c>
      <c r="BC72" s="5">
        <f>U72-BB72</f>
        <v>0</v>
      </c>
      <c r="BD72" s="7">
        <f>SUM(IF(BL72="direct",CE72,0),IF(CG72="direct",CZ72,0),IF(DB72="direct",DU72,0),IF(DW72="direct",EP72,0),IF(ER72="direct",FK72,0),IF(FM72="direct",GF72,0),IF(GH72="direct",HA72,0),IF(HC72="direct",HV72,0),IF(HX72="direct",IQ72,0),IF(IS72="direct",JL72,0))</f>
        <v>0</v>
      </c>
      <c r="BE72" s="7">
        <f>SUM(IF(BL72="treasury",CE72,0),IF(CG72="treasury",CZ72,0),IF(DB72="treasury",DU72,0),IF(DW72="treasury",EP72,0),IF(ER72="treasury",FK72,0),IF(FM72="treasury",GF72,0),IF(GH72="treasury",HA72,0),IF(HC72="treasury",HV72,0),IF(HX72="treasury",IQ72,0),IF(IS72="treasury",JL72,0))</f>
        <v>0.00016986301369863014</v>
      </c>
      <c r="BF72" s="7">
        <f>SUM(IF(BL72="future",CE72,0),IF(CG72="future",CZ72,0),IF(DB72="future",DU72,0),IF(DW72="future",EP72,0),IF(ER72="future",FK72,0),IF(FM72="future",GF72,0),IF(GH72="future",HA72,0),IF(HC72="future",HV72,0),IF(HX72="future",IQ72,0),IF(IS72="future",JL72,0))</f>
        <v>-0.0011204481792715937</v>
      </c>
      <c r="BG72" s="7">
        <f>SUM(IF(BL72="cash",CE72,0),IF(CG72="cash",CZ72,0),IF(DB72="cash",DU72,0),IF(DW72="cash",EP72,0),IF(ER72="cash",FK72,0),IF(FM72="cash",GF72,0),IF(GH72="cash",HA72,0),IF(HC72="cash",HV72,0),IF(HX72="cash",IQ72,0),IF(IS72="cash",JL72,0))</f>
        <v>0</v>
      </c>
      <c r="BH72" s="7">
        <f>SUM(BD72:BG72)</f>
        <v>-0.0009505851655729635</v>
      </c>
      <c r="BI72" s="7">
        <f>G72-BH72</f>
        <v>0</v>
      </c>
      <c r="BJ72" s="9">
        <f>COUNTA(BK72,CF72,DA72,DV72,EQ72,FL72,GG72,HB72,HW72,IR72)</f>
        <v>4</v>
      </c>
      <c r="BK72" t="inlineStr">
        <is>
          <t xml:space="preserve">Treasury collateral</t>
        </is>
      </c>
      <c r="BL72" t="inlineStr">
        <is>
          <t xml:space="preserve">treasury</t>
        </is>
      </c>
      <c r="BM72" t="inlineStr">
        <is>
          <t xml:space="preserve">lease</t>
        </is>
      </c>
      <c r="BN72" t="inlineStr">
        <is>
          <t xml:space="preserve">long</t>
        </is>
      </c>
      <c r="BO72"/>
      <c r="BP72" s="4">
        <v>101.76925971890762</v>
      </c>
      <c r="BQ72" s="4">
        <v>101.78654655206536</v>
      </c>
      <c r="BR72" s="4">
        <v>0.01243673475289949</v>
      </c>
      <c r="BS72" s="6">
        <v>1</v>
      </c>
      <c r="BT72" s="4">
        <v>1.2656772891229926</v>
      </c>
      <c r="BU72" s="4">
        <v>1.2656772891229926</v>
      </c>
      <c r="BV72" s="4">
        <v>1.265892280881693</v>
      </c>
      <c r="BW72" s="4">
        <v>0.00021499175870034397</v>
      </c>
      <c r="BX72" s="4">
        <v>8.955509944730267e-17</v>
      </c>
      <c r="BY72" s="4">
        <v>1.807</v>
      </c>
      <c r="BZ72" s="4">
        <v>1.802</v>
      </c>
      <c r="CA72" s="6"/>
      <c r="CB72" s="6"/>
      <c r="CC72" s="6"/>
      <c r="CD72" s="9">
        <v>41</v>
      </c>
      <c r="CE72" s="7">
        <f>IFERROR(BW72/F72,0)</f>
        <v>0.00016986301369863014</v>
      </c>
      <c r="CF72" t="inlineStr">
        <is>
          <t xml:space="preserve">SI69K</t>
        </is>
      </c>
      <c r="CG72" t="inlineStr">
        <is>
          <t xml:space="preserve">future</t>
        </is>
      </c>
      <c r="CH72" t="inlineStr">
        <is>
          <t xml:space="preserve">lease</t>
        </is>
      </c>
      <c r="CI72" t="inlineStr">
        <is>
          <t xml:space="preserve">long</t>
        </is>
      </c>
      <c r="CJ72" t="inlineStr">
        <is>
          <t xml:space="preserve">regular</t>
        </is>
      </c>
      <c r="CK72" s="4">
        <v>1.785</v>
      </c>
      <c r="CL72" s="4">
        <v>1.7830000000000001</v>
      </c>
      <c r="CM72" s="4">
        <v>0.7090629070717046</v>
      </c>
      <c r="CN72" s="6">
        <v>1</v>
      </c>
      <c r="CO72" s="4">
        <v>1.2656772891229926</v>
      </c>
      <c r="CP72" s="4">
        <v>0</v>
      </c>
      <c r="CQ72" s="4">
        <v>0</v>
      </c>
      <c r="CR72" s="4">
        <v>-0.0014181258141432636</v>
      </c>
      <c r="CS72" s="4">
        <v>0.0014181258141432636</v>
      </c>
      <c r="CT72" s="4">
        <v>1.807</v>
      </c>
      <c r="CU72" s="4">
        <v>1.802</v>
      </c>
      <c r="CV72" s="6">
        <v>-0.01217487548422802</v>
      </c>
      <c r="CW72" s="6">
        <v>0.062</v>
      </c>
      <c r="CX72" s="6">
        <v>0.17038608662788357</v>
      </c>
      <c r="CY72" s="9">
        <v>41</v>
      </c>
      <c r="CZ72" s="7">
        <f>IFERROR(CR72/F72,0)</f>
        <v>-0.0011204481792715937</v>
      </c>
      <c r="DA72" t="inlineStr">
        <is>
          <t xml:space="preserve">Lease cash / margin / financing</t>
        </is>
      </c>
      <c r="DB72" t="inlineStr">
        <is>
          <t xml:space="preserve">cash</t>
        </is>
      </c>
      <c r="DC72" t="inlineStr">
        <is>
          <t xml:space="preserve">lease</t>
        </is>
      </c>
      <c r="DD72" t="inlineStr">
        <is>
          <t xml:space="preserve">cash</t>
        </is>
      </c>
      <c r="DE72"/>
      <c r="DF72" s="4">
        <v>1</v>
      </c>
      <c r="DG72" s="4">
        <v>1</v>
      </c>
      <c r="DH72" s="4">
        <v>-2.220446049250313e-16</v>
      </c>
      <c r="DI72" s="6"/>
      <c r="DJ72" s="4">
        <v>-2.220446049250313e-16</v>
      </c>
      <c r="DK72" s="4">
        <v>-2.220446049250313e-16</v>
      </c>
      <c r="DL72" s="4">
        <v>-0.0014181258141435752</v>
      </c>
      <c r="DM72" s="4">
        <v>0</v>
      </c>
      <c r="DN72" s="4">
        <v>-0.0014181258141433531</v>
      </c>
      <c r="DO72" s="4">
        <v>1.807</v>
      </c>
      <c r="DP72" s="4">
        <v>1.802</v>
      </c>
      <c r="DQ72" s="6"/>
      <c r="DR72" s="6"/>
      <c r="DS72" s="6"/>
      <c r="DT72" s="9"/>
      <c r="DU72" s="7">
        <f>IFERROR(DM72/F72,0)</f>
        <v>0</v>
      </c>
      <c r="DV72" t="inlineStr">
        <is>
          <t xml:space="preserve">Keep cash / margin / financing</t>
        </is>
      </c>
      <c r="DW72" t="inlineStr">
        <is>
          <t xml:space="preserve">cash</t>
        </is>
      </c>
      <c r="DX72" t="inlineStr">
        <is>
          <t xml:space="preserve">keep</t>
        </is>
      </c>
      <c r="DY72" t="inlineStr">
        <is>
          <t xml:space="preserve">cash</t>
        </is>
      </c>
      <c r="DZ72"/>
      <c r="EA72" s="4">
        <v>1</v>
      </c>
      <c r="EB72" s="4">
        <v>1</v>
      </c>
      <c r="EC72" s="4">
        <v>0</v>
      </c>
      <c r="ED72" s="6"/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1.807</v>
      </c>
      <c r="EK72" s="4">
        <v>1.802</v>
      </c>
      <c r="EL72" s="6"/>
      <c r="EM72" s="6"/>
      <c r="EN72" s="6"/>
      <c r="EO72" s="9"/>
      <c r="EP72" s="7">
        <f>IFERROR(EH72/F72,0)</f>
        <v>0</v>
      </c>
      <c r="EQ72"/>
      <c r="ER72"/>
      <c r="ES72"/>
      <c r="ET72"/>
      <c r="EU72"/>
      <c r="EV72" s="4"/>
      <c r="EW72" s="4"/>
      <c r="EX72" s="4"/>
      <c r="EY72" s="6"/>
      <c r="EZ72" s="4"/>
      <c r="FA72" s="4"/>
      <c r="FB72" s="4"/>
      <c r="FC72" s="4"/>
      <c r="FD72" s="4"/>
      <c r="FE72" s="4"/>
      <c r="FF72" s="4"/>
      <c r="FG72" s="6"/>
      <c r="FH72" s="6"/>
      <c r="FI72" s="6"/>
      <c r="FJ72" s="9"/>
      <c r="FK72"/>
      <c r="FL72"/>
      <c r="FM72"/>
      <c r="FN72"/>
      <c r="FO72"/>
      <c r="FP72"/>
      <c r="FQ72" s="4"/>
      <c r="FR72" s="4"/>
      <c r="FS72" s="4"/>
      <c r="FT72" s="6"/>
      <c r="FU72" s="4"/>
      <c r="FV72" s="4"/>
      <c r="FW72" s="4"/>
      <c r="FX72" s="4"/>
      <c r="FY72" s="4"/>
      <c r="FZ72" s="4"/>
      <c r="GA72" s="4"/>
      <c r="GB72" s="6"/>
      <c r="GC72" s="6"/>
      <c r="GD72" s="6"/>
      <c r="GE72" s="9"/>
      <c r="GF72"/>
      <c r="GG72"/>
      <c r="GH72"/>
      <c r="GI72"/>
      <c r="GJ72"/>
      <c r="GK72"/>
      <c r="GL72" s="4"/>
      <c r="GM72" s="4"/>
      <c r="GN72" s="4"/>
      <c r="GO72" s="6"/>
      <c r="GP72" s="4"/>
      <c r="GQ72" s="4"/>
      <c r="GR72" s="4"/>
      <c r="GS72" s="4"/>
      <c r="GT72" s="4"/>
      <c r="GU72" s="4"/>
      <c r="GV72" s="4"/>
      <c r="GW72" s="6"/>
      <c r="GX72" s="6"/>
      <c r="GY72" s="6"/>
      <c r="GZ72" s="9"/>
      <c r="HA72"/>
      <c r="HB72"/>
      <c r="HC72"/>
      <c r="HD72"/>
      <c r="HE72"/>
      <c r="HF72"/>
      <c r="HG72" s="4"/>
      <c r="HH72" s="4"/>
      <c r="HI72" s="4"/>
      <c r="HJ72" s="6"/>
      <c r="HK72" s="4"/>
      <c r="HL72" s="4"/>
      <c r="HM72" s="4"/>
      <c r="HN72" s="4"/>
      <c r="HO72" s="4"/>
      <c r="HP72" s="4"/>
      <c r="HQ72" s="4"/>
      <c r="HR72" s="6"/>
      <c r="HS72" s="6"/>
      <c r="HT72" s="6"/>
      <c r="HU72" s="9"/>
      <c r="HV72"/>
      <c r="HW72"/>
      <c r="HX72"/>
      <c r="HY72"/>
      <c r="HZ72"/>
      <c r="IA72"/>
      <c r="IB72" s="4"/>
      <c r="IC72" s="4"/>
      <c r="ID72" s="4"/>
      <c r="IE72" s="6"/>
      <c r="IF72" s="4"/>
      <c r="IG72" s="4"/>
      <c r="IH72" s="4"/>
      <c r="II72" s="4"/>
      <c r="IJ72" s="4"/>
      <c r="IK72" s="4"/>
      <c r="IL72" s="4"/>
      <c r="IM72" s="6"/>
      <c r="IN72" s="6"/>
      <c r="IO72" s="6"/>
      <c r="IP72" s="9"/>
      <c r="IQ72"/>
      <c r="IR72"/>
      <c r="IS72"/>
      <c r="IT72"/>
      <c r="IU72"/>
      <c r="IV72"/>
      <c r="IW72" s="4"/>
      <c r="IX72" s="4"/>
      <c r="IY72" s="4"/>
      <c r="IZ72" s="6"/>
      <c r="JA72" s="4"/>
      <c r="JB72" s="4"/>
      <c r="JC72" s="4"/>
      <c r="JD72" s="4"/>
      <c r="JE72" s="4"/>
      <c r="JF72" s="4"/>
      <c r="JG72" s="4"/>
      <c r="JH72" s="6"/>
      <c r="JI72" s="6"/>
      <c r="JJ72" s="6"/>
      <c r="JK72" s="9"/>
      <c r="JL72"/>
    </row>
    <row r="73">
      <c r="A73" s="8">
        <v>25311</v>
      </c>
      <c r="B73" s="8">
        <v>25314</v>
      </c>
      <c r="C73" s="9">
        <f>B73-A73</f>
        <v>3</v>
      </c>
      <c r="D73" s="8">
        <v>25311</v>
      </c>
      <c r="E73" t="inlineStr">
        <is>
          <t xml:space="preserve">positive</t>
        </is>
      </c>
      <c r="F73" s="4">
        <v>1.2644741550675496</v>
      </c>
      <c r="G73" s="6">
        <v>-0.029216415153773552</v>
      </c>
      <c r="H73" s="7">
        <f>SUM(CE73,CZ73,DU73,EP73,FK73,GF73,HA73,HV73,IQ73,JL73)</f>
        <v>-0.029216415153773552</v>
      </c>
      <c r="I73" s="7">
        <f>G73-H73</f>
        <v>0</v>
      </c>
      <c r="J73" s="5">
        <f>F73*(1+H73)</f>
        <v>1.2275307532018789</v>
      </c>
      <c r="K73" s="4">
        <v>1.2275307532018789</v>
      </c>
      <c r="L73" s="5">
        <f>K73-J73</f>
        <v>0</v>
      </c>
      <c r="M73" s="4">
        <v>1.802</v>
      </c>
      <c r="N73" s="4">
        <v>1.8</v>
      </c>
      <c r="O73" s="5">
        <f>M73/$M$3</f>
        <v>0.9203268641470889</v>
      </c>
      <c r="P73" s="5">
        <f>N73/$M$3</f>
        <v>0.9193054136874362</v>
      </c>
      <c r="Q73" s="7">
        <f>IFERROR(N73/M73-1,0)</f>
        <v>-0.0011098779134295356</v>
      </c>
      <c r="R73" s="5">
        <f>SUM(IF(BM73="lease",BU73,0),IF(CH73="lease",CP73,0),IF(DC73="lease",DK73,0),IF(DX73="lease",EF73,0),IF(ES73="lease",FA73,0),IF(FN73="lease",FV73,0),IF(GI73="lease",GQ73,0),IF(HD73="lease",HL73,0),IF(HY73="lease",IG73,0),IF(IT73="lease",JB73,0))</f>
        <v>1.2644741550675496</v>
      </c>
      <c r="S73" s="5">
        <f>SUM(IF(BM73="lease",BV73,0),IF(CH73="lease",CQ73,0),IF(DC73="lease",DL73,0),IF(DX73="lease",EG73,0),IF(ES73="lease",FB73,0),IF(FN73="lease",FW73,0),IF(GI73="lease",GR73,0),IF(HD73="lease",HM73,0),IF(HY73="lease",IH73,0),IF(IT73="lease",JC73,0))</f>
        <v>1.227530753201879</v>
      </c>
      <c r="T73" s="5">
        <f>SUM(IF(BM73="keep",BU73,0),IF(CH73="keep",CP73,0),IF(DC73="keep",DK73,0),IF(DX73="keep",EF73,0),IF(ES73="keep",FA73,0),IF(FN73="keep",FV73,0),IF(GI73="keep",GQ73,0),IF(HD73="keep",HL73,0),IF(HY73="keep",IG73,0),IF(IT73="keep",JB73,0))</f>
        <v>0</v>
      </c>
      <c r="U73" s="5">
        <f>SUM(IF(BM73="keep",BV73,0),IF(CH73="keep",CQ73,0),IF(DC73="keep",DL73,0),IF(DX73="keep",EG73,0),IF(ES73="keep",FB73,0),IF(FN73="keep",FW73,0),IF(GI73="keep",GR73,0),IF(HD73="keep",HM73,0),IF(HY73="keep",IH73,0),IF(IT73="keep",JC73,0))</f>
        <v>0</v>
      </c>
      <c r="V73" s="5">
        <f>R73/O73</f>
        <v>1.37394028613888</v>
      </c>
      <c r="W73" s="5">
        <f>S73/P73</f>
        <v>1.3352806748718218</v>
      </c>
      <c r="X73" s="5">
        <f>T73/O73</f>
        <v>0</v>
      </c>
      <c r="Y73" s="5">
        <f>U73/P73</f>
        <v>0</v>
      </c>
      <c r="Z73" s="5">
        <f>V73+X73</f>
        <v>1.37394028613888</v>
      </c>
      <c r="AA73" s="7">
        <f>IFERROR(W73/V73-1,0)</f>
        <v>-0.028137766726166524</v>
      </c>
      <c r="AB73" s="7">
        <f>IFERROR((W73-V73)/Z73,0)</f>
        <v>-0.02813776672616653</v>
      </c>
      <c r="AC73" s="7">
        <f>IFERROR(Y73/X73-1,0)</f>
        <v>0</v>
      </c>
      <c r="AD73" s="7">
        <f>IFERROR((Y73-X73)/Z73,0)</f>
        <v>0</v>
      </c>
      <c r="AE73" s="7">
        <f>AB73+AD73</f>
        <v>-0.02813776672616653</v>
      </c>
      <c r="AF73" s="7">
        <f>(1+Q73)*(1+AE73)-1</f>
        <v>-0.02921641515377349</v>
      </c>
      <c r="AG73" s="7">
        <f>G73-AF73</f>
        <v>-6.245004513516506e-17</v>
      </c>
      <c r="AH73" s="5">
        <f>SUM(IF(BM73="lease",BW73,0),IF(CH73="lease",CR73,0),IF(DC73="lease",DM73,0),IF(DX73="lease",EH73,0),IF(ES73="lease",FC73,0),IF(FN73="lease",FX73,0),IF(GI73="lease",GS73,0),IF(HD73="lease",HN73,0),IF(HY73="lease",II73,0),IF(IT73="lease",JD73,0))</f>
        <v>-0.036943401865670564</v>
      </c>
      <c r="AI73" s="5">
        <f>SUM(IF(BM73="keep",BW73,0),IF(CH73="keep",CR73,0),IF(DC73="keep",DM73,0),IF(DX73="keep",EH73,0),IF(ES73="keep",FC73,0),IF(FN73="keep",FX73,0),IF(GI73="keep",GS73,0),IF(HD73="keep",HN73,0),IF(HY73="keep",II73,0),IF(IT73="keep",JD73,0))</f>
        <v>0</v>
      </c>
      <c r="AJ73" s="5">
        <f>SUM(IF(BM73="lease",BX73,0),IF(CH73="lease",CS73,0),IF(DC73="lease",DN73,0),IF(DX73="lease",EI73,0),IF(ES73="lease",FD73,0),IF(FN73="lease",FY73,0),IF(GI73="lease",GT73,0),IF(HD73="lease",HO73,0),IF(HY73="lease",IJ73,0),IF(IT73="lease",JE73,0))</f>
        <v>0</v>
      </c>
      <c r="AK73" s="5">
        <f>SUM(IF(BM73="keep",BX73,0),IF(CH73="keep",CS73,0),IF(DC73="keep",DN73,0),IF(DX73="keep",EI73,0),IF(ES73="keep",FD73,0),IF(FN73="keep",FY73,0),IF(GI73="keep",GT73,0),IF(HD73="keep",HO73,0),IF(HY73="keep",IJ73,0),IF(IT73="keep",JE73,0))</f>
        <v>0</v>
      </c>
      <c r="AL73" s="5">
        <f>R73-S72</f>
        <v>0</v>
      </c>
      <c r="AM73" s="5">
        <f>T73-U72</f>
        <v>0</v>
      </c>
      <c r="AN73" s="5">
        <f>AN72</f>
        <v>1</v>
      </c>
      <c r="AO73" s="5">
        <f>AO72+AH73</f>
        <v>0.22753075320187932</v>
      </c>
      <c r="AP73" s="5">
        <f>AP72+AL73</f>
        <v>-6.661338147750939e-16</v>
      </c>
      <c r="AQ73" s="5">
        <f>AN73+AO73+AP73</f>
        <v>1.2275307532018787</v>
      </c>
      <c r="AR73" s="5">
        <f>S73-AQ73</f>
        <v>4.440892098500626e-16</v>
      </c>
      <c r="AS73" s="5">
        <f>AS72</f>
        <v>0</v>
      </c>
      <c r="AT73" s="5">
        <f>AT72+AI73</f>
        <v>0</v>
      </c>
      <c r="AU73" s="5">
        <f>AU72+AM73</f>
        <v>0</v>
      </c>
      <c r="AV73" s="5">
        <f>AS73+AT73+AU73</f>
        <v>0</v>
      </c>
      <c r="AW73" s="5">
        <f>U73-AV73</f>
        <v>0</v>
      </c>
      <c r="AX73" s="4">
        <v>1.2644741550675496</v>
      </c>
      <c r="AY73" s="4">
        <v>1.227530753201879</v>
      </c>
      <c r="AZ73" s="5">
        <f>S73-AY73</f>
        <v>0</v>
      </c>
      <c r="BA73" s="4">
        <v>0</v>
      </c>
      <c r="BB73" s="4">
        <v>0</v>
      </c>
      <c r="BC73" s="5">
        <f>U73-BB73</f>
        <v>0</v>
      </c>
      <c r="BD73" s="7">
        <f>SUM(IF(BL73="direct",CE73,0),IF(CG73="direct",CZ73,0),IF(DB73="direct",DU73,0),IF(DW73="direct",EP73,0),IF(ER73="direct",FK73,0),IF(FM73="direct",GF73,0),IF(GH73="direct",HA73,0),IF(HC73="direct",HV73,0),IF(HX73="direct",IQ73,0),IF(IS73="direct",JL73,0))</f>
        <v>0</v>
      </c>
      <c r="BE73" s="7">
        <f>SUM(IF(BL73="treasury",CE73,0),IF(CG73="treasury",CZ73,0),IF(DB73="treasury",DU73,0),IF(DW73="treasury",EP73,0),IF(ER73="treasury",FK73,0),IF(FM73="treasury",GF73,0),IF(GH73="treasury",HA73,0),IF(HC73="treasury",HV73,0),IF(HX73="treasury",IQ73,0),IF(IS73="treasury",JL73,0))</f>
        <v>0.0005087671232876712</v>
      </c>
      <c r="BF73" s="7">
        <f>SUM(IF(BL73="future",CE73,0),IF(CG73="future",CZ73,0),IF(DB73="future",DU73,0),IF(DW73="future",EP73,0),IF(ER73="future",FK73,0),IF(FM73="future",GF73,0),IF(GH73="future",HA73,0),IF(HC73="future",HV73,0),IF(HX73="future",IQ73,0),IF(IS73="future",JL73,0))</f>
        <v>-0.029725182277061227</v>
      </c>
      <c r="BG73" s="7">
        <f>SUM(IF(BL73="cash",CE73,0),IF(CG73="cash",CZ73,0),IF(DB73="cash",DU73,0),IF(DW73="cash",EP73,0),IF(ER73="cash",FK73,0),IF(FM73="cash",GF73,0),IF(GH73="cash",HA73,0),IF(HC73="cash",HV73,0),IF(HX73="cash",IQ73,0),IF(IS73="cash",JL73,0))</f>
        <v>0</v>
      </c>
      <c r="BH73" s="7">
        <f>SUM(BD73:BG73)</f>
        <v>-0.029216415153773555</v>
      </c>
      <c r="BI73" s="7">
        <f>G73-BH73</f>
        <v>3.469446951953614e-18</v>
      </c>
      <c r="BJ73" s="9">
        <f>COUNTA(BK73,CF73,DA73,DV73,EQ73,FL73,GG73,HB73,HW73,IR73)</f>
        <v>4</v>
      </c>
      <c r="BK73" t="inlineStr">
        <is>
          <t xml:space="preserve">Treasury collateral</t>
        </is>
      </c>
      <c r="BL73" t="inlineStr">
        <is>
          <t xml:space="preserve">treasury</t>
        </is>
      </c>
      <c r="BM73" t="inlineStr">
        <is>
          <t xml:space="preserve">lease</t>
        </is>
      </c>
      <c r="BN73" t="inlineStr">
        <is>
          <t xml:space="preserve">long</t>
        </is>
      </c>
      <c r="BO73"/>
      <c r="BP73" s="4">
        <v>101.78654655206536</v>
      </c>
      <c r="BQ73" s="4">
        <v>101.83833220054406</v>
      </c>
      <c r="BR73" s="4">
        <v>0.012422802402680514</v>
      </c>
      <c r="BS73" s="6">
        <v>1</v>
      </c>
      <c r="BT73" s="4">
        <v>1.2644741550675496</v>
      </c>
      <c r="BU73" s="4">
        <v>1.2644741550675496</v>
      </c>
      <c r="BV73" s="4">
        <v>1.2651174779458951</v>
      </c>
      <c r="BW73" s="4">
        <v>0.0006433228783453259</v>
      </c>
      <c r="BX73" s="4">
        <v>2.387413183813081e-16</v>
      </c>
      <c r="BY73" s="4">
        <v>1.802</v>
      </c>
      <c r="BZ73" s="4">
        <v>1.8</v>
      </c>
      <c r="CA73" s="6"/>
      <c r="CB73" s="6"/>
      <c r="CC73" s="6"/>
      <c r="CD73" s="9">
        <v>40</v>
      </c>
      <c r="CE73" s="7">
        <f>IFERROR(BW73/F73,0)</f>
        <v>0.0005087671232876712</v>
      </c>
      <c r="CF73" t="inlineStr">
        <is>
          <t xml:space="preserve">SI69K</t>
        </is>
      </c>
      <c r="CG73" t="inlineStr">
        <is>
          <t xml:space="preserve">future</t>
        </is>
      </c>
      <c r="CH73" t="inlineStr">
        <is>
          <t xml:space="preserve">lease</t>
        </is>
      </c>
      <c r="CI73" t="inlineStr">
        <is>
          <t xml:space="preserve">long</t>
        </is>
      </c>
      <c r="CJ73" t="inlineStr">
        <is>
          <t xml:space="preserve">regular</t>
        </is>
      </c>
      <c r="CK73" s="4">
        <v>1.7830000000000001</v>
      </c>
      <c r="CL73" s="4">
        <v>1.73</v>
      </c>
      <c r="CM73" s="4">
        <v>0.7091834857361466</v>
      </c>
      <c r="CN73" s="6">
        <v>1</v>
      </c>
      <c r="CO73" s="4">
        <v>1.2644741550675496</v>
      </c>
      <c r="CP73" s="4">
        <v>0</v>
      </c>
      <c r="CQ73" s="4">
        <v>0</v>
      </c>
      <c r="CR73" s="4">
        <v>-0.03758672474401589</v>
      </c>
      <c r="CS73" s="4">
        <v>0.03758672474401589</v>
      </c>
      <c r="CT73" s="4">
        <v>1.802</v>
      </c>
      <c r="CU73" s="4">
        <v>1.8</v>
      </c>
      <c r="CV73" s="6">
        <v>-0.010543840177580366</v>
      </c>
      <c r="CW73" s="6">
        <v>0.0619</v>
      </c>
      <c r="CX73" s="6">
        <v>0.15811254162042085</v>
      </c>
      <c r="CY73" s="9">
        <v>40</v>
      </c>
      <c r="CZ73" s="7">
        <f>IFERROR(CR73/F73,0)</f>
        <v>-0.029725182277061227</v>
      </c>
      <c r="DA73" t="inlineStr">
        <is>
          <t xml:space="preserve">Lease cash / margin / financing</t>
        </is>
      </c>
      <c r="DB73" t="inlineStr">
        <is>
          <t xml:space="preserve">cash</t>
        </is>
      </c>
      <c r="DC73" t="inlineStr">
        <is>
          <t xml:space="preserve">lease</t>
        </is>
      </c>
      <c r="DD73" t="inlineStr">
        <is>
          <t xml:space="preserve">cash</t>
        </is>
      </c>
      <c r="DE73"/>
      <c r="DF73" s="4">
        <v>1</v>
      </c>
      <c r="DG73" s="4">
        <v>1</v>
      </c>
      <c r="DH73" s="4">
        <v>0</v>
      </c>
      <c r="DI73" s="6"/>
      <c r="DJ73" s="4">
        <v>0</v>
      </c>
      <c r="DK73" s="4">
        <v>0</v>
      </c>
      <c r="DL73" s="4">
        <v>-0.03758672474401613</v>
      </c>
      <c r="DM73" s="4">
        <v>0</v>
      </c>
      <c r="DN73" s="4">
        <v>-0.03758672474401613</v>
      </c>
      <c r="DO73" s="4">
        <v>1.802</v>
      </c>
      <c r="DP73" s="4">
        <v>1.8</v>
      </c>
      <c r="DQ73" s="6"/>
      <c r="DR73" s="6"/>
      <c r="DS73" s="6"/>
      <c r="DT73" s="9"/>
      <c r="DU73" s="7">
        <f>IFERROR(DM73/F73,0)</f>
        <v>0</v>
      </c>
      <c r="DV73" t="inlineStr">
        <is>
          <t xml:space="preserve">Keep cash / margin / financing</t>
        </is>
      </c>
      <c r="DW73" t="inlineStr">
        <is>
          <t xml:space="preserve">cash</t>
        </is>
      </c>
      <c r="DX73" t="inlineStr">
        <is>
          <t xml:space="preserve">keep</t>
        </is>
      </c>
      <c r="DY73" t="inlineStr">
        <is>
          <t xml:space="preserve">cash</t>
        </is>
      </c>
      <c r="DZ73"/>
      <c r="EA73" s="4">
        <v>1</v>
      </c>
      <c r="EB73" s="4">
        <v>1</v>
      </c>
      <c r="EC73" s="4">
        <v>0</v>
      </c>
      <c r="ED73" s="6"/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1.802</v>
      </c>
      <c r="EK73" s="4">
        <v>1.8</v>
      </c>
      <c r="EL73" s="6"/>
      <c r="EM73" s="6"/>
      <c r="EN73" s="6"/>
      <c r="EO73" s="9"/>
      <c r="EP73" s="7">
        <f>IFERROR(EH73/F73,0)</f>
        <v>0</v>
      </c>
      <c r="EQ73"/>
      <c r="ER73"/>
      <c r="ES73"/>
      <c r="ET73"/>
      <c r="EU73"/>
      <c r="EV73" s="4"/>
      <c r="EW73" s="4"/>
      <c r="EX73" s="4"/>
      <c r="EY73" s="6"/>
      <c r="EZ73" s="4"/>
      <c r="FA73" s="4"/>
      <c r="FB73" s="4"/>
      <c r="FC73" s="4"/>
      <c r="FD73" s="4"/>
      <c r="FE73" s="4"/>
      <c r="FF73" s="4"/>
      <c r="FG73" s="6"/>
      <c r="FH73" s="6"/>
      <c r="FI73" s="6"/>
      <c r="FJ73" s="9"/>
      <c r="FK73"/>
      <c r="FL73"/>
      <c r="FM73"/>
      <c r="FN73"/>
      <c r="FO73"/>
      <c r="FP73"/>
      <c r="FQ73" s="4"/>
      <c r="FR73" s="4"/>
      <c r="FS73" s="4"/>
      <c r="FT73" s="6"/>
      <c r="FU73" s="4"/>
      <c r="FV73" s="4"/>
      <c r="FW73" s="4"/>
      <c r="FX73" s="4"/>
      <c r="FY73" s="4"/>
      <c r="FZ73" s="4"/>
      <c r="GA73" s="4"/>
      <c r="GB73" s="6"/>
      <c r="GC73" s="6"/>
      <c r="GD73" s="6"/>
      <c r="GE73" s="9"/>
      <c r="GF73"/>
      <c r="GG73"/>
      <c r="GH73"/>
      <c r="GI73"/>
      <c r="GJ73"/>
      <c r="GK73"/>
      <c r="GL73" s="4"/>
      <c r="GM73" s="4"/>
      <c r="GN73" s="4"/>
      <c r="GO73" s="6"/>
      <c r="GP73" s="4"/>
      <c r="GQ73" s="4"/>
      <c r="GR73" s="4"/>
      <c r="GS73" s="4"/>
      <c r="GT73" s="4"/>
      <c r="GU73" s="4"/>
      <c r="GV73" s="4"/>
      <c r="GW73" s="6"/>
      <c r="GX73" s="6"/>
      <c r="GY73" s="6"/>
      <c r="GZ73" s="9"/>
      <c r="HA73"/>
      <c r="HB73"/>
      <c r="HC73"/>
      <c r="HD73"/>
      <c r="HE73"/>
      <c r="HF73"/>
      <c r="HG73" s="4"/>
      <c r="HH73" s="4"/>
      <c r="HI73" s="4"/>
      <c r="HJ73" s="6"/>
      <c r="HK73" s="4"/>
      <c r="HL73" s="4"/>
      <c r="HM73" s="4"/>
      <c r="HN73" s="4"/>
      <c r="HO73" s="4"/>
      <c r="HP73" s="4"/>
      <c r="HQ73" s="4"/>
      <c r="HR73" s="6"/>
      <c r="HS73" s="6"/>
      <c r="HT73" s="6"/>
      <c r="HU73" s="9"/>
      <c r="HV73"/>
      <c r="HW73"/>
      <c r="HX73"/>
      <c r="HY73"/>
      <c r="HZ73"/>
      <c r="IA73"/>
      <c r="IB73" s="4"/>
      <c r="IC73" s="4"/>
      <c r="ID73" s="4"/>
      <c r="IE73" s="6"/>
      <c r="IF73" s="4"/>
      <c r="IG73" s="4"/>
      <c r="IH73" s="4"/>
      <c r="II73" s="4"/>
      <c r="IJ73" s="4"/>
      <c r="IK73" s="4"/>
      <c r="IL73" s="4"/>
      <c r="IM73" s="6"/>
      <c r="IN73" s="6"/>
      <c r="IO73" s="6"/>
      <c r="IP73" s="9"/>
      <c r="IQ73"/>
      <c r="IR73"/>
      <c r="IS73"/>
      <c r="IT73"/>
      <c r="IU73"/>
      <c r="IV73"/>
      <c r="IW73" s="4"/>
      <c r="IX73" s="4"/>
      <c r="IY73" s="4"/>
      <c r="IZ73" s="6"/>
      <c r="JA73" s="4"/>
      <c r="JB73" s="4"/>
      <c r="JC73" s="4"/>
      <c r="JD73" s="4"/>
      <c r="JE73" s="4"/>
      <c r="JF73" s="4"/>
      <c r="JG73" s="4"/>
      <c r="JH73" s="6"/>
      <c r="JI73" s="6"/>
      <c r="JJ73" s="6"/>
      <c r="JK73" s="9"/>
      <c r="JL73"/>
    </row>
    <row r="74">
      <c r="A74" s="8">
        <v>25314</v>
      </c>
      <c r="B74" s="8">
        <v>25315</v>
      </c>
      <c r="C74" s="9">
        <f>B74-A74</f>
        <v>1</v>
      </c>
      <c r="D74" s="8">
        <v>25314</v>
      </c>
      <c r="E74" t="inlineStr">
        <is>
          <t xml:space="preserve">positive</t>
        </is>
      </c>
      <c r="F74" s="4">
        <v>1.2275307532018789</v>
      </c>
      <c r="G74" s="6">
        <v>0.009417596009185203</v>
      </c>
      <c r="H74" s="7">
        <f>SUM(CE74,CZ74,DU74,EP74,FK74,GF74,HA74,HV74,IQ74,JL74)</f>
        <v>0.009417596009185203</v>
      </c>
      <c r="I74" s="7">
        <f>G74-H74</f>
        <v>0</v>
      </c>
      <c r="J74" s="5">
        <f>F74*(1+H74)</f>
        <v>1.2390911419243849</v>
      </c>
      <c r="K74" s="4">
        <v>1.2390911419243849</v>
      </c>
      <c r="L74" s="5">
        <f>K74-J74</f>
        <v>0</v>
      </c>
      <c r="M74" s="4">
        <v>1.8</v>
      </c>
      <c r="N74" s="4">
        <v>1.77</v>
      </c>
      <c r="O74" s="5">
        <f>M74/$M$3</f>
        <v>0.9193054136874362</v>
      </c>
      <c r="P74" s="5">
        <f>N74/$M$3</f>
        <v>0.9039836567926456</v>
      </c>
      <c r="Q74" s="7">
        <f>IFERROR(N74/M74-1,0)</f>
        <v>-0.01666666666666672</v>
      </c>
      <c r="R74" s="5">
        <f>SUM(IF(BM74="lease",BU74,0),IF(CH74="lease",CP74,0),IF(DC74="lease",DK74,0),IF(DX74="lease",EF74,0),IF(ES74="lease",FA74,0),IF(FN74="lease",FV74,0),IF(GI74="lease",GQ74,0),IF(HD74="lease",HL74,0),IF(HY74="lease",IG74,0),IF(IT74="lease",JB74,0))</f>
        <v>1.227530753201879</v>
      </c>
      <c r="S74" s="5">
        <f>SUM(IF(BM74="lease",BV74,0),IF(CH74="lease",CQ74,0),IF(DC74="lease",DL74,0),IF(DX74="lease",EG74,0),IF(ES74="lease",FB74,0),IF(FN74="lease",FW74,0),IF(GI74="lease",GR74,0),IF(HD74="lease",HM74,0),IF(HY74="lease",IH74,0),IF(IT74="lease",JC74,0))</f>
        <v>1.2390911419243853</v>
      </c>
      <c r="T74" s="5">
        <f>SUM(IF(BM74="keep",BU74,0),IF(CH74="keep",CP74,0),IF(DC74="keep",DK74,0),IF(DX74="keep",EF74,0),IF(ES74="keep",FA74,0),IF(FN74="keep",FV74,0),IF(GI74="keep",GQ74,0),IF(HD74="keep",HL74,0),IF(HY74="keep",IG74,0),IF(IT74="keep",JB74,0))</f>
        <v>0</v>
      </c>
      <c r="U74" s="5">
        <f>SUM(IF(BM74="keep",BV74,0),IF(CH74="keep",CQ74,0),IF(DC74="keep",DL74,0),IF(DX74="keep",EG74,0),IF(ES74="keep",FB74,0),IF(FN74="keep",FW74,0),IF(GI74="keep",GR74,0),IF(HD74="keep",HM74,0),IF(HY74="keep",IH74,0),IF(IT74="keep",JC74,0))</f>
        <v>0</v>
      </c>
      <c r="V74" s="5">
        <f>R74/O74</f>
        <v>1.3352806748718218</v>
      </c>
      <c r="W74" s="5">
        <f>S74/P74</f>
        <v>1.3707008225355628</v>
      </c>
      <c r="X74" s="5">
        <f>T74/O74</f>
        <v>0</v>
      </c>
      <c r="Y74" s="5">
        <f>U74/P74</f>
        <v>0</v>
      </c>
      <c r="Z74" s="5">
        <f>V74+X74</f>
        <v>1.3352806748718218</v>
      </c>
      <c r="AA74" s="7">
        <f>IFERROR(W74/V74-1,0)</f>
        <v>0.02652636882290027</v>
      </c>
      <c r="AB74" s="7">
        <f>IFERROR((W74-V74)/Z74,0)</f>
        <v>0.02652636882290019</v>
      </c>
      <c r="AC74" s="7">
        <f>IFERROR(Y74/X74-1,0)</f>
        <v>0</v>
      </c>
      <c r="AD74" s="7">
        <f>IFERROR((Y74-X74)/Z74,0)</f>
        <v>0</v>
      </c>
      <c r="AE74" s="7">
        <f>AB74+AD74</f>
        <v>0.02652636882290019</v>
      </c>
      <c r="AF74" s="7">
        <f>(1+Q74)*(1+AE74)-1</f>
        <v>0.009417596009185125</v>
      </c>
      <c r="AG74" s="7">
        <f>G74-AF74</f>
        <v>7.806255641895632e-17</v>
      </c>
      <c r="AH74" s="5">
        <f>SUM(IF(BM74="lease",BW74,0),IF(CH74="lease",CR74,0),IF(DC74="lease",DM74,0),IF(DX74="lease",EH74,0),IF(ES74="lease",FC74,0),IF(FN74="lease",FX74,0),IF(GI74="lease",GS74,0),IF(HD74="lease",HN74,0),IF(HY74="lease",II74,0),IF(IT74="lease",JD74,0))</f>
        <v>0.011560388722506122</v>
      </c>
      <c r="AI74" s="5">
        <f>SUM(IF(BM74="keep",BW74,0),IF(CH74="keep",CR74,0),IF(DC74="keep",DM74,0),IF(DX74="keep",EH74,0),IF(ES74="keep",FC74,0),IF(FN74="keep",FX74,0),IF(GI74="keep",GS74,0),IF(HD74="keep",HN74,0),IF(HY74="keep",II74,0),IF(IT74="keep",JD74,0))</f>
        <v>0</v>
      </c>
      <c r="AJ74" s="5">
        <f>SUM(IF(BM74="lease",BX74,0),IF(CH74="lease",CS74,0),IF(DC74="lease",DN74,0),IF(DX74="lease",EI74,0),IF(ES74="lease",FD74,0),IF(FN74="lease",FY74,0),IF(GI74="lease",GT74,0),IF(HD74="lease",HO74,0),IF(HY74="lease",IJ74,0),IF(IT74="lease",JE74,0))</f>
        <v>0</v>
      </c>
      <c r="AK74" s="5">
        <f>SUM(IF(BM74="keep",BX74,0),IF(CH74="keep",CS74,0),IF(DC74="keep",DN74,0),IF(DX74="keep",EI74,0),IF(ES74="keep",FD74,0),IF(FN74="keep",FY74,0),IF(GI74="keep",GT74,0),IF(HD74="keep",HO74,0),IF(HY74="keep",IJ74,0),IF(IT74="keep",JE74,0))</f>
        <v>0</v>
      </c>
      <c r="AL74" s="5">
        <f>R74-S73</f>
        <v>0</v>
      </c>
      <c r="AM74" s="5">
        <f>T74-U73</f>
        <v>0</v>
      </c>
      <c r="AN74" s="5">
        <f>AN73</f>
        <v>1</v>
      </c>
      <c r="AO74" s="5">
        <f>AO73+AH74</f>
        <v>0.23909114192438544</v>
      </c>
      <c r="AP74" s="5">
        <f>AP73+AL74</f>
        <v>-6.661338147750939e-16</v>
      </c>
      <c r="AQ74" s="5">
        <f>AN74+AO74+AP74</f>
        <v>1.2390911419243849</v>
      </c>
      <c r="AR74" s="5">
        <f>S74-AQ74</f>
        <v>4.440892098500626e-16</v>
      </c>
      <c r="AS74" s="5">
        <f>AS73</f>
        <v>0</v>
      </c>
      <c r="AT74" s="5">
        <f>AT73+AI74</f>
        <v>0</v>
      </c>
      <c r="AU74" s="5">
        <f>AU73+AM74</f>
        <v>0</v>
      </c>
      <c r="AV74" s="5">
        <f>AS74+AT74+AU74</f>
        <v>0</v>
      </c>
      <c r="AW74" s="5">
        <f>U74-AV74</f>
        <v>0</v>
      </c>
      <c r="AX74" s="4">
        <v>1.227530753201879</v>
      </c>
      <c r="AY74" s="4">
        <v>1.2390911419243853</v>
      </c>
      <c r="AZ74" s="5">
        <f>S74-AY74</f>
        <v>0</v>
      </c>
      <c r="BA74" s="4">
        <v>0</v>
      </c>
      <c r="BB74" s="4">
        <v>0</v>
      </c>
      <c r="BC74" s="5">
        <f>U74-BB74</f>
        <v>0</v>
      </c>
      <c r="BD74" s="7">
        <f>SUM(IF(BL74="direct",CE74,0),IF(CG74="direct",CZ74,0),IF(DB74="direct",DU74,0),IF(DW74="direct",EP74,0),IF(ER74="direct",FK74,0),IF(FM74="direct",GF74,0),IF(GH74="direct",HA74,0),IF(HC74="direct",HV74,0),IF(HX74="direct",IQ74,0),IF(IS74="direct",JL74,0))</f>
        <v>0</v>
      </c>
      <c r="BE74" s="7">
        <f>SUM(IF(BL74="treasury",CE74,0),IF(CG74="treasury",CZ74,0),IF(DB74="treasury",DU74,0),IF(DW74="treasury",EP74,0),IF(ER74="treasury",FK74,0),IF(FM74="treasury",GF74,0),IF(GH74="treasury",HA74,0),IF(HC74="treasury",HV74,0),IF(HX74="treasury",IQ74,0),IF(IS74="treasury",JL74,0))</f>
        <v>0.00016904109589041096</v>
      </c>
      <c r="BF74" s="7">
        <f>SUM(IF(BL74="future",CE74,0),IF(CG74="future",CZ74,0),IF(DB74="future",DU74,0),IF(DW74="future",EP74,0),IF(ER74="future",FK74,0),IF(FM74="future",GF74,0),IF(GH74="future",HA74,0),IF(HC74="future",HV74,0),IF(HX74="future",IQ74,0),IF(IS74="future",JL74,0))</f>
        <v>0.009248554913294793</v>
      </c>
      <c r="BG74" s="7">
        <f>SUM(IF(BL74="cash",CE74,0),IF(CG74="cash",CZ74,0),IF(DB74="cash",DU74,0),IF(DW74="cash",EP74,0),IF(ER74="cash",FK74,0),IF(FM74="cash",GF74,0),IF(GH74="cash",HA74,0),IF(HC74="cash",HV74,0),IF(HX74="cash",IQ74,0),IF(IS74="cash",JL74,0))</f>
        <v>0</v>
      </c>
      <c r="BH74" s="7">
        <f>SUM(BD74:BG74)</f>
        <v>0.009417596009185203</v>
      </c>
      <c r="BI74" s="7">
        <f>G74-BH74</f>
        <v>0</v>
      </c>
      <c r="BJ74" s="9">
        <f>COUNTA(BK74,CF74,DA74,DV74,EQ74,FL74,GG74,HB74,HW74,IR74)</f>
        <v>4</v>
      </c>
      <c r="BK74" t="inlineStr">
        <is>
          <t xml:space="preserve">Treasury collateral</t>
        </is>
      </c>
      <c r="BL74" t="inlineStr">
        <is>
          <t xml:space="preserve">treasury</t>
        </is>
      </c>
      <c r="BM74" t="inlineStr">
        <is>
          <t xml:space="preserve">lease</t>
        </is>
      </c>
      <c r="BN74" t="inlineStr">
        <is>
          <t xml:space="preserve">long</t>
        </is>
      </c>
      <c r="BO74"/>
      <c r="BP74" s="4">
        <v>101.83833220054406</v>
      </c>
      <c r="BQ74" s="4">
        <v>101.85554706382287</v>
      </c>
      <c r="BR74" s="4">
        <v>0.012053720113803287</v>
      </c>
      <c r="BS74" s="6">
        <v>1</v>
      </c>
      <c r="BT74" s="4">
        <v>1.2275307532018789</v>
      </c>
      <c r="BU74" s="4">
        <v>1.2275307532018789</v>
      </c>
      <c r="BV74" s="4">
        <v>1.227738256345639</v>
      </c>
      <c r="BW74" s="4">
        <v>0.0002075031437604272</v>
      </c>
      <c r="BX74" s="4">
        <v>-3.7001109641499053e-16</v>
      </c>
      <c r="BY74" s="4">
        <v>1.8</v>
      </c>
      <c r="BZ74" s="4">
        <v>1.77</v>
      </c>
      <c r="CA74" s="6"/>
      <c r="CB74" s="6"/>
      <c r="CC74" s="6"/>
      <c r="CD74" s="9">
        <v>37</v>
      </c>
      <c r="CE74" s="7">
        <f>IFERROR(BW74/F74,0)</f>
        <v>0.00016904109589041096</v>
      </c>
      <c r="CF74" t="inlineStr">
        <is>
          <t xml:space="preserve">SI69K</t>
        </is>
      </c>
      <c r="CG74" t="inlineStr">
        <is>
          <t xml:space="preserve">future</t>
        </is>
      </c>
      <c r="CH74" t="inlineStr">
        <is>
          <t xml:space="preserve">lease</t>
        </is>
      </c>
      <c r="CI74" t="inlineStr">
        <is>
          <t xml:space="preserve">long</t>
        </is>
      </c>
      <c r="CJ74" t="inlineStr">
        <is>
          <t xml:space="preserve">regular</t>
        </is>
      </c>
      <c r="CK74" s="4">
        <v>1.73</v>
      </c>
      <c r="CL74" s="4">
        <v>1.746</v>
      </c>
      <c r="CM74" s="4">
        <v>0.7095553486716063</v>
      </c>
      <c r="CN74" s="6">
        <v>1</v>
      </c>
      <c r="CO74" s="4">
        <v>1.2275307532018789</v>
      </c>
      <c r="CP74" s="4">
        <v>0</v>
      </c>
      <c r="CQ74" s="4">
        <v>0</v>
      </c>
      <c r="CR74" s="4">
        <v>0.011352885578745696</v>
      </c>
      <c r="CS74" s="4">
        <v>-0.011352885578745696</v>
      </c>
      <c r="CT74" s="4">
        <v>1.8</v>
      </c>
      <c r="CU74" s="4">
        <v>1.77</v>
      </c>
      <c r="CV74" s="6">
        <v>-0.03888888888888897</v>
      </c>
      <c r="CW74" s="6">
        <v>0.0617</v>
      </c>
      <c r="CX74" s="6">
        <v>0.44533363363363443</v>
      </c>
      <c r="CY74" s="9">
        <v>37</v>
      </c>
      <c r="CZ74" s="7">
        <f>IFERROR(CR74/F74,0)</f>
        <v>0.009248554913294793</v>
      </c>
      <c r="DA74" t="inlineStr">
        <is>
          <t xml:space="preserve">Lease cash / margin / financing</t>
        </is>
      </c>
      <c r="DB74" t="inlineStr">
        <is>
          <t xml:space="preserve">cash</t>
        </is>
      </c>
      <c r="DC74" t="inlineStr">
        <is>
          <t xml:space="preserve">lease</t>
        </is>
      </c>
      <c r="DD74" t="inlineStr">
        <is>
          <t xml:space="preserve">cash</t>
        </is>
      </c>
      <c r="DE74"/>
      <c r="DF74" s="4">
        <v>1</v>
      </c>
      <c r="DG74" s="4">
        <v>1</v>
      </c>
      <c r="DH74" s="4">
        <v>2.220446049250313e-16</v>
      </c>
      <c r="DI74" s="6"/>
      <c r="DJ74" s="4">
        <v>2.220446049250313e-16</v>
      </c>
      <c r="DK74" s="4">
        <v>2.220446049250313e-16</v>
      </c>
      <c r="DL74" s="4">
        <v>0.011352885578746287</v>
      </c>
      <c r="DM74" s="4">
        <v>0</v>
      </c>
      <c r="DN74" s="4">
        <v>0.011352885578746065</v>
      </c>
      <c r="DO74" s="4">
        <v>1.8</v>
      </c>
      <c r="DP74" s="4">
        <v>1.77</v>
      </c>
      <c r="DQ74" s="6"/>
      <c r="DR74" s="6"/>
      <c r="DS74" s="6"/>
      <c r="DT74" s="9"/>
      <c r="DU74" s="7">
        <f>IFERROR(DM74/F74,0)</f>
        <v>0</v>
      </c>
      <c r="DV74" t="inlineStr">
        <is>
          <t xml:space="preserve">Keep cash / margin / financing</t>
        </is>
      </c>
      <c r="DW74" t="inlineStr">
        <is>
          <t xml:space="preserve">cash</t>
        </is>
      </c>
      <c r="DX74" t="inlineStr">
        <is>
          <t xml:space="preserve">keep</t>
        </is>
      </c>
      <c r="DY74" t="inlineStr">
        <is>
          <t xml:space="preserve">cash</t>
        </is>
      </c>
      <c r="DZ74"/>
      <c r="EA74" s="4">
        <v>1</v>
      </c>
      <c r="EB74" s="4">
        <v>1</v>
      </c>
      <c r="EC74" s="4">
        <v>0</v>
      </c>
      <c r="ED74" s="6"/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1.8</v>
      </c>
      <c r="EK74" s="4">
        <v>1.77</v>
      </c>
      <c r="EL74" s="6"/>
      <c r="EM74" s="6"/>
      <c r="EN74" s="6"/>
      <c r="EO74" s="9"/>
      <c r="EP74" s="7">
        <f>IFERROR(EH74/F74,0)</f>
        <v>0</v>
      </c>
      <c r="EQ74"/>
      <c r="ER74"/>
      <c r="ES74"/>
      <c r="ET74"/>
      <c r="EU74"/>
      <c r="EV74" s="4"/>
      <c r="EW74" s="4"/>
      <c r="EX74" s="4"/>
      <c r="EY74" s="6"/>
      <c r="EZ74" s="4"/>
      <c r="FA74" s="4"/>
      <c r="FB74" s="4"/>
      <c r="FC74" s="4"/>
      <c r="FD74" s="4"/>
      <c r="FE74" s="4"/>
      <c r="FF74" s="4"/>
      <c r="FG74" s="6"/>
      <c r="FH74" s="6"/>
      <c r="FI74" s="6"/>
      <c r="FJ74" s="9"/>
      <c r="FK74"/>
      <c r="FL74"/>
      <c r="FM74"/>
      <c r="FN74"/>
      <c r="FO74"/>
      <c r="FP74"/>
      <c r="FQ74" s="4"/>
      <c r="FR74" s="4"/>
      <c r="FS74" s="4"/>
      <c r="FT74" s="6"/>
      <c r="FU74" s="4"/>
      <c r="FV74" s="4"/>
      <c r="FW74" s="4"/>
      <c r="FX74" s="4"/>
      <c r="FY74" s="4"/>
      <c r="FZ74" s="4"/>
      <c r="GA74" s="4"/>
      <c r="GB74" s="6"/>
      <c r="GC74" s="6"/>
      <c r="GD74" s="6"/>
      <c r="GE74" s="9"/>
      <c r="GF74"/>
      <c r="GG74"/>
      <c r="GH74"/>
      <c r="GI74"/>
      <c r="GJ74"/>
      <c r="GK74"/>
      <c r="GL74" s="4"/>
      <c r="GM74" s="4"/>
      <c r="GN74" s="4"/>
      <c r="GO74" s="6"/>
      <c r="GP74" s="4"/>
      <c r="GQ74" s="4"/>
      <c r="GR74" s="4"/>
      <c r="GS74" s="4"/>
      <c r="GT74" s="4"/>
      <c r="GU74" s="4"/>
      <c r="GV74" s="4"/>
      <c r="GW74" s="6"/>
      <c r="GX74" s="6"/>
      <c r="GY74" s="6"/>
      <c r="GZ74" s="9"/>
      <c r="HA74"/>
      <c r="HB74"/>
      <c r="HC74"/>
      <c r="HD74"/>
      <c r="HE74"/>
      <c r="HF74"/>
      <c r="HG74" s="4"/>
      <c r="HH74" s="4"/>
      <c r="HI74" s="4"/>
      <c r="HJ74" s="6"/>
      <c r="HK74" s="4"/>
      <c r="HL74" s="4"/>
      <c r="HM74" s="4"/>
      <c r="HN74" s="4"/>
      <c r="HO74" s="4"/>
      <c r="HP74" s="4"/>
      <c r="HQ74" s="4"/>
      <c r="HR74" s="6"/>
      <c r="HS74" s="6"/>
      <c r="HT74" s="6"/>
      <c r="HU74" s="9"/>
      <c r="HV74"/>
      <c r="HW74"/>
      <c r="HX74"/>
      <c r="HY74"/>
      <c r="HZ74"/>
      <c r="IA74"/>
      <c r="IB74" s="4"/>
      <c r="IC74" s="4"/>
      <c r="ID74" s="4"/>
      <c r="IE74" s="6"/>
      <c r="IF74" s="4"/>
      <c r="IG74" s="4"/>
      <c r="IH74" s="4"/>
      <c r="II74" s="4"/>
      <c r="IJ74" s="4"/>
      <c r="IK74" s="4"/>
      <c r="IL74" s="4"/>
      <c r="IM74" s="6"/>
      <c r="IN74" s="6"/>
      <c r="IO74" s="6"/>
      <c r="IP74" s="9"/>
      <c r="IQ74"/>
      <c r="IR74"/>
      <c r="IS74"/>
      <c r="IT74"/>
      <c r="IU74"/>
      <c r="IV74"/>
      <c r="IW74" s="4"/>
      <c r="IX74" s="4"/>
      <c r="IY74" s="4"/>
      <c r="IZ74" s="6"/>
      <c r="JA74" s="4"/>
      <c r="JB74" s="4"/>
      <c r="JC74" s="4"/>
      <c r="JD74" s="4"/>
      <c r="JE74" s="4"/>
      <c r="JF74" s="4"/>
      <c r="JG74" s="4"/>
      <c r="JH74" s="6"/>
      <c r="JI74" s="6"/>
      <c r="JJ74" s="6"/>
      <c r="JK74" s="9"/>
      <c r="JL74"/>
    </row>
    <row r="75">
      <c r="A75" s="8">
        <v>25315</v>
      </c>
      <c r="B75" s="8">
        <v>25316</v>
      </c>
      <c r="C75" s="9">
        <f>B75-A75</f>
        <v>1</v>
      </c>
      <c r="D75" s="8">
        <v>25315</v>
      </c>
      <c r="E75" t="inlineStr">
        <is>
          <t xml:space="preserve">positive</t>
        </is>
      </c>
      <c r="F75" s="4">
        <v>1.2390911419243849</v>
      </c>
      <c r="G75" s="6">
        <v>0.01448748324938406</v>
      </c>
      <c r="H75" s="7">
        <f>SUM(CE75,CZ75,DU75,EP75,FK75,GF75,HA75,HV75,IQ75,JL75)</f>
        <v>0.01448748324938406</v>
      </c>
      <c r="I75" s="7">
        <f>G75-H75</f>
        <v>0</v>
      </c>
      <c r="J75" s="5">
        <f>F75*(1+H75)</f>
        <v>1.2570424540874745</v>
      </c>
      <c r="K75" s="4">
        <v>1.2570424540874745</v>
      </c>
      <c r="L75" s="5">
        <f>K75-J75</f>
        <v>0</v>
      </c>
      <c r="M75" s="4">
        <v>1.77</v>
      </c>
      <c r="N75" s="4">
        <v>1.785</v>
      </c>
      <c r="O75" s="5">
        <f>M75/$M$3</f>
        <v>0.9039836567926456</v>
      </c>
      <c r="P75" s="5">
        <f>N75/$M$3</f>
        <v>0.9116445352400409</v>
      </c>
      <c r="Q75" s="7">
        <f>IFERROR(N75/M75-1,0)</f>
        <v>0.008474576271186418</v>
      </c>
      <c r="R75" s="5">
        <f>SUM(IF(BM75="lease",BU75,0),IF(CH75="lease",CP75,0),IF(DC75="lease",DK75,0),IF(DX75="lease",EF75,0),IF(ES75="lease",FA75,0),IF(FN75="lease",FV75,0),IF(GI75="lease",GQ75,0),IF(HD75="lease",HL75,0),IF(HY75="lease",IG75,0),IF(IT75="lease",JB75,0))</f>
        <v>1.2390911419243853</v>
      </c>
      <c r="S75" s="5">
        <f>SUM(IF(BM75="lease",BV75,0),IF(CH75="lease",CQ75,0),IF(DC75="lease",DL75,0),IF(DX75="lease",EG75,0),IF(ES75="lease",FB75,0),IF(FN75="lease",FW75,0),IF(GI75="lease",GR75,0),IF(HD75="lease",HM75,0),IF(HY75="lease",IH75,0),IF(IT75="lease",JC75,0))</f>
        <v>1.257042454087475</v>
      </c>
      <c r="T75" s="5">
        <f>SUM(IF(BM75="keep",BU75,0),IF(CH75="keep",CP75,0),IF(DC75="keep",DK75,0),IF(DX75="keep",EF75,0),IF(ES75="keep",FA75,0),IF(FN75="keep",FV75,0),IF(GI75="keep",GQ75,0),IF(HD75="keep",HL75,0),IF(HY75="keep",IG75,0),IF(IT75="keep",JB75,0))</f>
        <v>0</v>
      </c>
      <c r="U75" s="5">
        <f>SUM(IF(BM75="keep",BV75,0),IF(CH75="keep",CQ75,0),IF(DC75="keep",DL75,0),IF(DX75="keep",EG75,0),IF(ES75="keep",FB75,0),IF(FN75="keep",FW75,0),IF(GI75="keep",GR75,0),IF(HD75="keep",HM75,0),IF(HY75="keep",IH75,0),IF(IT75="keep",JC75,0))</f>
        <v>0</v>
      </c>
      <c r="V75" s="5">
        <f>R75/O75</f>
        <v>1.3707008225355628</v>
      </c>
      <c r="W75" s="5">
        <f>S75/P75</f>
        <v>1.3788734594416112</v>
      </c>
      <c r="X75" s="5">
        <f>T75/O75</f>
        <v>0</v>
      </c>
      <c r="Y75" s="5">
        <f>U75/P75</f>
        <v>0</v>
      </c>
      <c r="Z75" s="5">
        <f>V75+X75</f>
        <v>1.3707008225355628</v>
      </c>
      <c r="AA75" s="7">
        <f>IFERROR(W75/V75-1,0)</f>
        <v>0.0059623783481288495</v>
      </c>
      <c r="AB75" s="7">
        <f>IFERROR((W75-V75)/Z75,0)</f>
        <v>0.005962378348128827</v>
      </c>
      <c r="AC75" s="7">
        <f>IFERROR(Y75/X75-1,0)</f>
        <v>0</v>
      </c>
      <c r="AD75" s="7">
        <f>IFERROR((Y75-X75)/Z75,0)</f>
        <v>0</v>
      </c>
      <c r="AE75" s="7">
        <f>AB75+AD75</f>
        <v>0.005962378348128827</v>
      </c>
      <c r="AF75" s="7">
        <f>(1+Q75)*(1+AE75)-1</f>
        <v>0.014487483249384203</v>
      </c>
      <c r="AG75" s="7">
        <f>G75-AF75</f>
        <v>-1.43982048506075e-16</v>
      </c>
      <c r="AH75" s="5">
        <f>SUM(IF(BM75="lease",BW75,0),IF(CH75="lease",CR75,0),IF(DC75="lease",DM75,0),IF(DX75="lease",EH75,0),IF(ES75="lease",FC75,0),IF(FN75="lease",FX75,0),IF(GI75="lease",GS75,0),IF(HD75="lease",HN75,0),IF(HY75="lease",II75,0),IF(IT75="lease",JD75,0))</f>
        <v>0.01795131216308969</v>
      </c>
      <c r="AI75" s="5">
        <f>SUM(IF(BM75="keep",BW75,0),IF(CH75="keep",CR75,0),IF(DC75="keep",DM75,0),IF(DX75="keep",EH75,0),IF(ES75="keep",FC75,0),IF(FN75="keep",FX75,0),IF(GI75="keep",GS75,0),IF(HD75="keep",HN75,0),IF(HY75="keep",II75,0),IF(IT75="keep",JD75,0))</f>
        <v>0</v>
      </c>
      <c r="AJ75" s="5">
        <f>SUM(IF(BM75="lease",BX75,0),IF(CH75="lease",CS75,0),IF(DC75="lease",DN75,0),IF(DX75="lease",EI75,0),IF(ES75="lease",FD75,0),IF(FN75="lease",FY75,0),IF(GI75="lease",GT75,0),IF(HD75="lease",HO75,0),IF(HY75="lease",IJ75,0),IF(IT75="lease",JE75,0))</f>
        <v>0</v>
      </c>
      <c r="AK75" s="5">
        <f>SUM(IF(BM75="keep",BX75,0),IF(CH75="keep",CS75,0),IF(DC75="keep",DN75,0),IF(DX75="keep",EI75,0),IF(ES75="keep",FD75,0),IF(FN75="keep",FY75,0),IF(GI75="keep",GT75,0),IF(HD75="keep",HO75,0),IF(HY75="keep",IJ75,0),IF(IT75="keep",JE75,0))</f>
        <v>0</v>
      </c>
      <c r="AL75" s="5">
        <f>R75-S74</f>
        <v>0</v>
      </c>
      <c r="AM75" s="5">
        <f>T75-U74</f>
        <v>0</v>
      </c>
      <c r="AN75" s="5">
        <f>AN74</f>
        <v>1</v>
      </c>
      <c r="AO75" s="5">
        <f>AO74+AH75</f>
        <v>0.2570424540874751</v>
      </c>
      <c r="AP75" s="5">
        <f>AP74+AL75</f>
        <v>-6.661338147750939e-16</v>
      </c>
      <c r="AQ75" s="5">
        <f>AN75+AO75+AP75</f>
        <v>1.2570424540874745</v>
      </c>
      <c r="AR75" s="5">
        <f>S75-AQ75</f>
        <v>4.440892098500626e-16</v>
      </c>
      <c r="AS75" s="5">
        <f>AS74</f>
        <v>0</v>
      </c>
      <c r="AT75" s="5">
        <f>AT74+AI75</f>
        <v>0</v>
      </c>
      <c r="AU75" s="5">
        <f>AU74+AM75</f>
        <v>0</v>
      </c>
      <c r="AV75" s="5">
        <f>AS75+AT75+AU75</f>
        <v>0</v>
      </c>
      <c r="AW75" s="5">
        <f>U75-AV75</f>
        <v>0</v>
      </c>
      <c r="AX75" s="4">
        <v>1.2390911419243853</v>
      </c>
      <c r="AY75" s="4">
        <v>1.257042454087475</v>
      </c>
      <c r="AZ75" s="5">
        <f>S75-AY75</f>
        <v>0</v>
      </c>
      <c r="BA75" s="4">
        <v>0</v>
      </c>
      <c r="BB75" s="4">
        <v>0</v>
      </c>
      <c r="BC75" s="5">
        <f>U75-BB75</f>
        <v>0</v>
      </c>
      <c r="BD75" s="7">
        <f>SUM(IF(BL75="direct",CE75,0),IF(CG75="direct",CZ75,0),IF(DB75="direct",DU75,0),IF(DW75="direct",EP75,0),IF(ER75="direct",FK75,0),IF(FM75="direct",GF75,0),IF(GH75="direct",HA75,0),IF(HC75="direct",HV75,0),IF(HX75="direct",IQ75,0),IF(IS75="direct",JL75,0))</f>
        <v>0</v>
      </c>
      <c r="BE75" s="7">
        <f>SUM(IF(BL75="treasury",CE75,0),IF(CG75="treasury",CZ75,0),IF(DB75="treasury",DU75,0),IF(DW75="treasury",EP75,0),IF(ER75="treasury",FK75,0),IF(FM75="treasury",GF75,0),IF(GH75="treasury",HA75,0),IF(HC75="treasury",HV75,0),IF(HX75="treasury",IQ75,0),IF(IS75="treasury",JL75,0))</f>
        <v>0.00016904109589041096</v>
      </c>
      <c r="BF75" s="7">
        <f>SUM(IF(BL75="future",CE75,0),IF(CG75="future",CZ75,0),IF(DB75="future",DU75,0),IF(DW75="future",EP75,0),IF(ER75="future",FK75,0),IF(FM75="future",GF75,0),IF(GH75="future",HA75,0),IF(HC75="future",HV75,0),IF(HX75="future",IQ75,0),IF(IS75="future",JL75,0))</f>
        <v>0.014318442153493647</v>
      </c>
      <c r="BG75" s="7">
        <f>SUM(IF(BL75="cash",CE75,0),IF(CG75="cash",CZ75,0),IF(DB75="cash",DU75,0),IF(DW75="cash",EP75,0),IF(ER75="cash",FK75,0),IF(FM75="cash",GF75,0),IF(GH75="cash",HA75,0),IF(HC75="cash",HV75,0),IF(HX75="cash",IQ75,0),IF(IS75="cash",JL75,0))</f>
        <v>0</v>
      </c>
      <c r="BH75" s="7">
        <f>SUM(BD75:BG75)</f>
        <v>0.014487483249384057</v>
      </c>
      <c r="BI75" s="7">
        <f>G75-BH75</f>
        <v>1.734723475976807e-18</v>
      </c>
      <c r="BJ75" s="9">
        <f>COUNTA(BK75,CF75,DA75,DV75,EQ75,FL75,GG75,HB75,HW75,IR75)</f>
        <v>4</v>
      </c>
      <c r="BK75" t="inlineStr">
        <is>
          <t xml:space="preserve">Treasury collateral</t>
        </is>
      </c>
      <c r="BL75" t="inlineStr">
        <is>
          <t xml:space="preserve">treasury</t>
        </is>
      </c>
      <c r="BM75" t="inlineStr">
        <is>
          <t xml:space="preserve">lease</t>
        </is>
      </c>
      <c r="BN75" t="inlineStr">
        <is>
          <t xml:space="preserve">long</t>
        </is>
      </c>
      <c r="BO75"/>
      <c r="BP75" s="4">
        <v>101.85554706382287</v>
      </c>
      <c r="BQ75" s="4">
        <v>101.87276483712104</v>
      </c>
      <c r="BR75" s="4">
        <v>0.012165180764754698</v>
      </c>
      <c r="BS75" s="6">
        <v>1</v>
      </c>
      <c r="BT75" s="4">
        <v>1.2390911419243849</v>
      </c>
      <c r="BU75" s="4">
        <v>1.2390911419243849</v>
      </c>
      <c r="BV75" s="4">
        <v>1.2393005992489237</v>
      </c>
      <c r="BW75" s="4">
        <v>0.00020945732453899875</v>
      </c>
      <c r="BX75" s="4">
        <v>-1.900335357823968e-16</v>
      </c>
      <c r="BY75" s="4">
        <v>1.77</v>
      </c>
      <c r="BZ75" s="4">
        <v>1.785</v>
      </c>
      <c r="CA75" s="6"/>
      <c r="CB75" s="6"/>
      <c r="CC75" s="6"/>
      <c r="CD75" s="9">
        <v>36</v>
      </c>
      <c r="CE75" s="7">
        <f>IFERROR(BW75/F75,0)</f>
        <v>0.00016904109589041096</v>
      </c>
      <c r="CF75" t="inlineStr">
        <is>
          <t xml:space="preserve">SI69K</t>
        </is>
      </c>
      <c r="CG75" t="inlineStr">
        <is>
          <t xml:space="preserve">future</t>
        </is>
      </c>
      <c r="CH75" t="inlineStr">
        <is>
          <t xml:space="preserve">lease</t>
        </is>
      </c>
      <c r="CI75" t="inlineStr">
        <is>
          <t xml:space="preserve">long</t>
        </is>
      </c>
      <c r="CJ75" t="inlineStr">
        <is>
          <t xml:space="preserve">regular</t>
        </is>
      </c>
      <c r="CK75" s="4">
        <v>1.746</v>
      </c>
      <c r="CL75" s="4">
        <v>1.771</v>
      </c>
      <c r="CM75" s="4">
        <v>0.7096741935420303</v>
      </c>
      <c r="CN75" s="6">
        <v>1</v>
      </c>
      <c r="CO75" s="4">
        <v>1.2390911419243849</v>
      </c>
      <c r="CP75" s="4">
        <v>0</v>
      </c>
      <c r="CQ75" s="4">
        <v>0</v>
      </c>
      <c r="CR75" s="4">
        <v>0.017741854838550692</v>
      </c>
      <c r="CS75" s="4">
        <v>-0.017741854838550692</v>
      </c>
      <c r="CT75" s="4">
        <v>1.77</v>
      </c>
      <c r="CU75" s="4">
        <v>1.785</v>
      </c>
      <c r="CV75" s="6">
        <v>-0.013559322033898313</v>
      </c>
      <c r="CW75" s="6">
        <v>0.0617</v>
      </c>
      <c r="CX75" s="6">
        <v>0.1991764595103579</v>
      </c>
      <c r="CY75" s="9">
        <v>36</v>
      </c>
      <c r="CZ75" s="7">
        <f>IFERROR(CR75/F75,0)</f>
        <v>0.014318442153493647</v>
      </c>
      <c r="DA75" t="inlineStr">
        <is>
          <t xml:space="preserve">Lease cash / margin / financing</t>
        </is>
      </c>
      <c r="DB75" t="inlineStr">
        <is>
          <t xml:space="preserve">cash</t>
        </is>
      </c>
      <c r="DC75" t="inlineStr">
        <is>
          <t xml:space="preserve">lease</t>
        </is>
      </c>
      <c r="DD75" t="inlineStr">
        <is>
          <t xml:space="preserve">cash</t>
        </is>
      </c>
      <c r="DE75"/>
      <c r="DF75" s="4">
        <v>1</v>
      </c>
      <c r="DG75" s="4">
        <v>1</v>
      </c>
      <c r="DH75" s="4">
        <v>4.440892098500626e-16</v>
      </c>
      <c r="DI75" s="6"/>
      <c r="DJ75" s="4">
        <v>4.440892098500626e-16</v>
      </c>
      <c r="DK75" s="4">
        <v>4.440892098500626e-16</v>
      </c>
      <c r="DL75" s="4">
        <v>0.017741854838551327</v>
      </c>
      <c r="DM75" s="4">
        <v>0</v>
      </c>
      <c r="DN75" s="4">
        <v>0.017741854838550883</v>
      </c>
      <c r="DO75" s="4">
        <v>1.77</v>
      </c>
      <c r="DP75" s="4">
        <v>1.785</v>
      </c>
      <c r="DQ75" s="6"/>
      <c r="DR75" s="6"/>
      <c r="DS75" s="6"/>
      <c r="DT75" s="9"/>
      <c r="DU75" s="7">
        <f>IFERROR(DM75/F75,0)</f>
        <v>0</v>
      </c>
      <c r="DV75" t="inlineStr">
        <is>
          <t xml:space="preserve">Keep cash / margin / financing</t>
        </is>
      </c>
      <c r="DW75" t="inlineStr">
        <is>
          <t xml:space="preserve">cash</t>
        </is>
      </c>
      <c r="DX75" t="inlineStr">
        <is>
          <t xml:space="preserve">keep</t>
        </is>
      </c>
      <c r="DY75" t="inlineStr">
        <is>
          <t xml:space="preserve">cash</t>
        </is>
      </c>
      <c r="DZ75"/>
      <c r="EA75" s="4">
        <v>1</v>
      </c>
      <c r="EB75" s="4">
        <v>1</v>
      </c>
      <c r="EC75" s="4">
        <v>0</v>
      </c>
      <c r="ED75" s="6"/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1.77</v>
      </c>
      <c r="EK75" s="4">
        <v>1.785</v>
      </c>
      <c r="EL75" s="6"/>
      <c r="EM75" s="6"/>
      <c r="EN75" s="6"/>
      <c r="EO75" s="9"/>
      <c r="EP75" s="7">
        <f>IFERROR(EH75/F75,0)</f>
        <v>0</v>
      </c>
      <c r="EQ75"/>
      <c r="ER75"/>
      <c r="ES75"/>
      <c r="ET75"/>
      <c r="EU75"/>
      <c r="EV75" s="4"/>
      <c r="EW75" s="4"/>
      <c r="EX75" s="4"/>
      <c r="EY75" s="6"/>
      <c r="EZ75" s="4"/>
      <c r="FA75" s="4"/>
      <c r="FB75" s="4"/>
      <c r="FC75" s="4"/>
      <c r="FD75" s="4"/>
      <c r="FE75" s="4"/>
      <c r="FF75" s="4"/>
      <c r="FG75" s="6"/>
      <c r="FH75" s="6"/>
      <c r="FI75" s="6"/>
      <c r="FJ75" s="9"/>
      <c r="FK75"/>
      <c r="FL75"/>
      <c r="FM75"/>
      <c r="FN75"/>
      <c r="FO75"/>
      <c r="FP75"/>
      <c r="FQ75" s="4"/>
      <c r="FR75" s="4"/>
      <c r="FS75" s="4"/>
      <c r="FT75" s="6"/>
      <c r="FU75" s="4"/>
      <c r="FV75" s="4"/>
      <c r="FW75" s="4"/>
      <c r="FX75" s="4"/>
      <c r="FY75" s="4"/>
      <c r="FZ75" s="4"/>
      <c r="GA75" s="4"/>
      <c r="GB75" s="6"/>
      <c r="GC75" s="6"/>
      <c r="GD75" s="6"/>
      <c r="GE75" s="9"/>
      <c r="GF75"/>
      <c r="GG75"/>
      <c r="GH75"/>
      <c r="GI75"/>
      <c r="GJ75"/>
      <c r="GK75"/>
      <c r="GL75" s="4"/>
      <c r="GM75" s="4"/>
      <c r="GN75" s="4"/>
      <c r="GO75" s="6"/>
      <c r="GP75" s="4"/>
      <c r="GQ75" s="4"/>
      <c r="GR75" s="4"/>
      <c r="GS75" s="4"/>
      <c r="GT75" s="4"/>
      <c r="GU75" s="4"/>
      <c r="GV75" s="4"/>
      <c r="GW75" s="6"/>
      <c r="GX75" s="6"/>
      <c r="GY75" s="6"/>
      <c r="GZ75" s="9"/>
      <c r="HA75"/>
      <c r="HB75"/>
      <c r="HC75"/>
      <c r="HD75"/>
      <c r="HE75"/>
      <c r="HF75"/>
      <c r="HG75" s="4"/>
      <c r="HH75" s="4"/>
      <c r="HI75" s="4"/>
      <c r="HJ75" s="6"/>
      <c r="HK75" s="4"/>
      <c r="HL75" s="4"/>
      <c r="HM75" s="4"/>
      <c r="HN75" s="4"/>
      <c r="HO75" s="4"/>
      <c r="HP75" s="4"/>
      <c r="HQ75" s="4"/>
      <c r="HR75" s="6"/>
      <c r="HS75" s="6"/>
      <c r="HT75" s="6"/>
      <c r="HU75" s="9"/>
      <c r="HV75"/>
      <c r="HW75"/>
      <c r="HX75"/>
      <c r="HY75"/>
      <c r="HZ75"/>
      <c r="IA75"/>
      <c r="IB75" s="4"/>
      <c r="IC75" s="4"/>
      <c r="ID75" s="4"/>
      <c r="IE75" s="6"/>
      <c r="IF75" s="4"/>
      <c r="IG75" s="4"/>
      <c r="IH75" s="4"/>
      <c r="II75" s="4"/>
      <c r="IJ75" s="4"/>
      <c r="IK75" s="4"/>
      <c r="IL75" s="4"/>
      <c r="IM75" s="6"/>
      <c r="IN75" s="6"/>
      <c r="IO75" s="6"/>
      <c r="IP75" s="9"/>
      <c r="IQ75"/>
      <c r="IR75"/>
      <c r="IS75"/>
      <c r="IT75"/>
      <c r="IU75"/>
      <c r="IV75"/>
      <c r="IW75" s="4"/>
      <c r="IX75" s="4"/>
      <c r="IY75" s="4"/>
      <c r="IZ75" s="6"/>
      <c r="JA75" s="4"/>
      <c r="JB75" s="4"/>
      <c r="JC75" s="4"/>
      <c r="JD75" s="4"/>
      <c r="JE75" s="4"/>
      <c r="JF75" s="4"/>
      <c r="JG75" s="4"/>
      <c r="JH75" s="6"/>
      <c r="JI75" s="6"/>
      <c r="JJ75" s="6"/>
      <c r="JK75" s="9"/>
      <c r="JL75"/>
    </row>
    <row r="76">
      <c r="A76" s="8">
        <v>25316</v>
      </c>
      <c r="B76" s="8">
        <v>25317</v>
      </c>
      <c r="C76" s="9">
        <f>B76-A76</f>
        <v>1</v>
      </c>
      <c r="D76" s="8">
        <v>25316</v>
      </c>
      <c r="E76" t="inlineStr">
        <is>
          <t xml:space="preserve">positive</t>
        </is>
      </c>
      <c r="F76" s="4">
        <v>1.2570424540874745</v>
      </c>
      <c r="G76" s="6">
        <v>-0.002900418529278196</v>
      </c>
      <c r="H76" s="7">
        <f>SUM(CE76,CZ76,DU76,EP76,FK76,GF76,HA76,HV76,IQ76,JL76)</f>
        <v>-0.0029004185292781965</v>
      </c>
      <c r="I76" s="7">
        <f>G76-H76</f>
        <v>4.336808689942018e-19</v>
      </c>
      <c r="J76" s="5">
        <f>F76*(1+H76)</f>
        <v>1.2533965048615499</v>
      </c>
      <c r="K76" s="4">
        <v>1.2533965048615499</v>
      </c>
      <c r="L76" s="5">
        <f>K76-J76</f>
        <v>0</v>
      </c>
      <c r="M76" s="4">
        <v>1.785</v>
      </c>
      <c r="N76" s="4">
        <v>1.792</v>
      </c>
      <c r="O76" s="5">
        <f>M76/$M$3</f>
        <v>0.9116445352400409</v>
      </c>
      <c r="P76" s="5">
        <f>N76/$M$3</f>
        <v>0.9152196118488254</v>
      </c>
      <c r="Q76" s="7">
        <f>IFERROR(N76/M76-1,0)</f>
        <v>0.0039215686274509665</v>
      </c>
      <c r="R76" s="5">
        <f>SUM(IF(BM76="lease",BU76,0),IF(CH76="lease",CP76,0),IF(DC76="lease",DK76,0),IF(DX76="lease",EF76,0),IF(ES76="lease",FA76,0),IF(FN76="lease",FV76,0),IF(GI76="lease",GQ76,0),IF(HD76="lease",HL76,0),IF(HY76="lease",IG76,0),IF(IT76="lease",JB76,0))</f>
        <v>1.257042454087475</v>
      </c>
      <c r="S76" s="5">
        <f>SUM(IF(BM76="lease",BV76,0),IF(CH76="lease",CQ76,0),IF(DC76="lease",DL76,0),IF(DX76="lease",EG76,0),IF(ES76="lease",FB76,0),IF(FN76="lease",FW76,0),IF(GI76="lease",GR76,0),IF(HD76="lease",HM76,0),IF(HY76="lease",IH76,0),IF(IT76="lease",JC76,0))</f>
        <v>1.2533965048615503</v>
      </c>
      <c r="T76" s="5">
        <f>SUM(IF(BM76="keep",BU76,0),IF(CH76="keep",CP76,0),IF(DC76="keep",DK76,0),IF(DX76="keep",EF76,0),IF(ES76="keep",FA76,0),IF(FN76="keep",FV76,0),IF(GI76="keep",GQ76,0),IF(HD76="keep",HL76,0),IF(HY76="keep",IG76,0),IF(IT76="keep",JB76,0))</f>
        <v>0</v>
      </c>
      <c r="U76" s="5">
        <f>SUM(IF(BM76="keep",BV76,0),IF(CH76="keep",CQ76,0),IF(DC76="keep",DL76,0),IF(DX76="keep",EG76,0),IF(ES76="keep",FB76,0),IF(FN76="keep",FW76,0),IF(GI76="keep",GR76,0),IF(HD76="keep",HM76,0),IF(HY76="keep",IH76,0),IF(IT76="keep",JC76,0))</f>
        <v>0</v>
      </c>
      <c r="V76" s="5">
        <f>R76/O76</f>
        <v>1.3788734594416112</v>
      </c>
      <c r="W76" s="5">
        <f>S76/P76</f>
        <v>1.3695035471645733</v>
      </c>
      <c r="X76" s="5">
        <f>T76/O76</f>
        <v>0</v>
      </c>
      <c r="Y76" s="5">
        <f>U76/P76</f>
        <v>0</v>
      </c>
      <c r="Z76" s="5">
        <f>V76+X76</f>
        <v>1.3788734594416112</v>
      </c>
      <c r="AA76" s="7">
        <f>IFERROR(W76/V76-1,0)</f>
        <v>-0.006795338769398307</v>
      </c>
      <c r="AB76" s="7">
        <f>IFERROR((W76-V76)/Z76,0)</f>
        <v>-0.006795338769398255</v>
      </c>
      <c r="AC76" s="7">
        <f>IFERROR(Y76/X76-1,0)</f>
        <v>0</v>
      </c>
      <c r="AD76" s="7">
        <f>IFERROR((Y76-X76)/Z76,0)</f>
        <v>0</v>
      </c>
      <c r="AE76" s="7">
        <f>AB76+AD76</f>
        <v>-0.006795338769398255</v>
      </c>
      <c r="AF76" s="7">
        <f>(1+Q76)*(1+AE76)-1</f>
        <v>-0.002900418529278359</v>
      </c>
      <c r="AG76" s="7">
        <f>G76-AF76</f>
        <v>1.6306400674181987e-16</v>
      </c>
      <c r="AH76" s="5">
        <f>SUM(IF(BM76="lease",BW76,0),IF(CH76="lease",CR76,0),IF(DC76="lease",DM76,0),IF(DX76="lease",EH76,0),IF(ES76="lease",FC76,0),IF(FN76="lease",FX76,0),IF(GI76="lease",GS76,0),IF(HD76="lease",HN76,0),IF(HY76="lease",II76,0),IF(IT76="lease",JD76,0))</f>
        <v>-0.0036459492259246474</v>
      </c>
      <c r="AI76" s="5">
        <f>SUM(IF(BM76="keep",BW76,0),IF(CH76="keep",CR76,0),IF(DC76="keep",DM76,0),IF(DX76="keep",EH76,0),IF(ES76="keep",FC76,0),IF(FN76="keep",FX76,0),IF(GI76="keep",GS76,0),IF(HD76="keep",HN76,0),IF(HY76="keep",II76,0),IF(IT76="keep",JD76,0))</f>
        <v>0</v>
      </c>
      <c r="AJ76" s="5">
        <f>SUM(IF(BM76="lease",BX76,0),IF(CH76="lease",CS76,0),IF(DC76="lease",DN76,0),IF(DX76="lease",EI76,0),IF(ES76="lease",FD76,0),IF(FN76="lease",FY76,0),IF(GI76="lease",GT76,0),IF(HD76="lease",HO76,0),IF(HY76="lease",IJ76,0),IF(IT76="lease",JE76,0))</f>
        <v>0</v>
      </c>
      <c r="AK76" s="5">
        <f>SUM(IF(BM76="keep",BX76,0),IF(CH76="keep",CS76,0),IF(DC76="keep",DN76,0),IF(DX76="keep",EI76,0),IF(ES76="keep",FD76,0),IF(FN76="keep",FY76,0),IF(GI76="keep",GT76,0),IF(HD76="keep",HO76,0),IF(HY76="keep",IJ76,0),IF(IT76="keep",JE76,0))</f>
        <v>0</v>
      </c>
      <c r="AL76" s="5">
        <f>R76-S75</f>
        <v>0</v>
      </c>
      <c r="AM76" s="5">
        <f>T76-U75</f>
        <v>0</v>
      </c>
      <c r="AN76" s="5">
        <f>AN75</f>
        <v>1</v>
      </c>
      <c r="AO76" s="5">
        <f>AO75+AH76</f>
        <v>0.25339650486155046</v>
      </c>
      <c r="AP76" s="5">
        <f>AP75+AL76</f>
        <v>-6.661338147750939e-16</v>
      </c>
      <c r="AQ76" s="5">
        <f>AN76+AO76+AP76</f>
        <v>1.2533965048615499</v>
      </c>
      <c r="AR76" s="5">
        <f>S76-AQ76</f>
        <v>4.440892098500626e-16</v>
      </c>
      <c r="AS76" s="5">
        <f>AS75</f>
        <v>0</v>
      </c>
      <c r="AT76" s="5">
        <f>AT75+AI76</f>
        <v>0</v>
      </c>
      <c r="AU76" s="5">
        <f>AU75+AM76</f>
        <v>0</v>
      </c>
      <c r="AV76" s="5">
        <f>AS76+AT76+AU76</f>
        <v>0</v>
      </c>
      <c r="AW76" s="5">
        <f>U76-AV76</f>
        <v>0</v>
      </c>
      <c r="AX76" s="4">
        <v>1.257042454087475</v>
      </c>
      <c r="AY76" s="4">
        <v>1.2533965048615503</v>
      </c>
      <c r="AZ76" s="5">
        <f>S76-AY76</f>
        <v>0</v>
      </c>
      <c r="BA76" s="4">
        <v>0</v>
      </c>
      <c r="BB76" s="4">
        <v>0</v>
      </c>
      <c r="BC76" s="5">
        <f>U76-BB76</f>
        <v>0</v>
      </c>
      <c r="BD76" s="7">
        <f>SUM(IF(BL76="direct",CE76,0),IF(CG76="direct",CZ76,0),IF(DB76="direct",DU76,0),IF(DW76="direct",EP76,0),IF(ER76="direct",FK76,0),IF(FM76="direct",GF76,0),IF(GH76="direct",HA76,0),IF(HC76="direct",HV76,0),IF(HX76="direct",IQ76,0),IF(IS76="direct",JL76,0))</f>
        <v>0.00017504753302521444</v>
      </c>
      <c r="BE76" s="7">
        <f>SUM(IF(BL76="treasury",CE76,0),IF(CG76="treasury",CZ76,0),IF(DB76="treasury",DU76,0),IF(DW76="treasury",EP76,0),IF(ER76="treasury",FK76,0),IF(FM76="treasury",GF76,0),IF(GH76="treasury",HA76,0),IF(HC76="treasury",HV76,0),IF(HX76="treasury",IQ76,0),IF(IS76="treasury",JL76,0))</f>
        <v>0.00016095894248110173</v>
      </c>
      <c r="BF76" s="7">
        <f>SUM(IF(BL76="future",CE76,0),IF(CG76="future",CZ76,0),IF(DB76="future",DU76,0),IF(DW76="future",EP76,0),IF(ER76="future",FK76,0),IF(FM76="future",GF76,0),IF(GH76="future",HA76,0),IF(HC76="future",HV76,0),IF(HX76="future",IQ76,0),IF(IS76="future",JL76,0))</f>
        <v>-0.0032364250047845124</v>
      </c>
      <c r="BG76" s="7">
        <f>SUM(IF(BL76="cash",CE76,0),IF(CG76="cash",CZ76,0),IF(DB76="cash",DU76,0),IF(DW76="cash",EP76,0),IF(ER76="cash",FK76,0),IF(FM76="cash",GF76,0),IF(GH76="cash",HA76,0),IF(HC76="cash",HV76,0),IF(HX76="cash",IQ76,0),IF(IS76="cash",JL76,0))</f>
        <v>0</v>
      </c>
      <c r="BH76" s="7">
        <f>SUM(BD76:BG76)</f>
        <v>-0.002900418529278196</v>
      </c>
      <c r="BI76" s="7">
        <f>G76-BH76</f>
        <v>0</v>
      </c>
      <c r="BJ76" s="9">
        <f>COUNTA(BK76,CF76,DA76,DV76,EQ76,FL76,GG76,HB76,HW76,IR76)</f>
        <v>5</v>
      </c>
      <c r="BK76" t="inlineStr">
        <is>
          <t xml:space="preserve">Direct commodity holding</t>
        </is>
      </c>
      <c r="BL76" t="inlineStr">
        <is>
          <t xml:space="preserve">direct</t>
        </is>
      </c>
      <c r="BM76" t="inlineStr">
        <is>
          <t xml:space="preserve">lease</t>
        </is>
      </c>
      <c r="BN76" t="inlineStr">
        <is>
          <t xml:space="preserve">long</t>
        </is>
      </c>
      <c r="BO76"/>
      <c r="BP76" s="4">
        <v>1.785</v>
      </c>
      <c r="BQ76" s="4">
        <v>1.792</v>
      </c>
      <c r="BR76" s="4">
        <v>0.031489596165918246</v>
      </c>
      <c r="BS76" s="6">
        <v>0.04471521942110367</v>
      </c>
      <c r="BT76" s="4">
        <v>0.05620892915616407</v>
      </c>
      <c r="BU76" s="4">
        <v>0.05620892915616407</v>
      </c>
      <c r="BV76" s="4">
        <v>0.0564293563293255</v>
      </c>
      <c r="BW76" s="4">
        <v>0.0002200421804959738</v>
      </c>
      <c r="BX76" s="4">
        <v>3.84992665451115e-7</v>
      </c>
      <c r="BY76" s="4">
        <v>1.785</v>
      </c>
      <c r="BZ76" s="4">
        <v>1.792</v>
      </c>
      <c r="CA76" s="6"/>
      <c r="CB76" s="6"/>
      <c r="CC76" s="6"/>
      <c r="CD76" s="9"/>
      <c r="CE76" s="7">
        <f>IFERROR(BW76/F76,0)</f>
        <v>0.00017504753302521444</v>
      </c>
      <c r="CF76" t="inlineStr">
        <is>
          <t xml:space="preserve">Treasury collateral</t>
        </is>
      </c>
      <c r="CG76" t="inlineStr">
        <is>
          <t xml:space="preserve">treasury</t>
        </is>
      </c>
      <c r="CH76" t="inlineStr">
        <is>
          <t xml:space="preserve">lease</t>
        </is>
      </c>
      <c r="CI76" t="inlineStr">
        <is>
          <t xml:space="preserve">long</t>
        </is>
      </c>
      <c r="CJ76"/>
      <c r="CK76" s="4">
        <v>101.87276483712104</v>
      </c>
      <c r="CL76" s="4">
        <v>101.88992970023743</v>
      </c>
      <c r="CM76" s="4">
        <v>0.0117875815665871</v>
      </c>
      <c r="CN76" s="6">
        <v>0.9552847805788963</v>
      </c>
      <c r="CO76" s="4">
        <v>1.2008335249313105</v>
      </c>
      <c r="CP76" s="4">
        <v>1.2008335249313105</v>
      </c>
      <c r="CQ76" s="4">
        <v>1.2010358571553743</v>
      </c>
      <c r="CR76" s="4">
        <v>0.00020233222406376876</v>
      </c>
      <c r="CS76" s="4">
        <v>8.155910842522207e-17</v>
      </c>
      <c r="CT76" s="4">
        <v>1.785</v>
      </c>
      <c r="CU76" s="4">
        <v>1.792</v>
      </c>
      <c r="CV76" s="6"/>
      <c r="CW76" s="6"/>
      <c r="CX76" s="6"/>
      <c r="CY76" s="9">
        <v>35</v>
      </c>
      <c r="CZ76" s="7">
        <f>IFERROR(CR76/F76,0)</f>
        <v>0.00016095894248110173</v>
      </c>
      <c r="DA76" t="inlineStr">
        <is>
          <t xml:space="preserve">SI69K</t>
        </is>
      </c>
      <c r="DB76" t="inlineStr">
        <is>
          <t xml:space="preserve">future</t>
        </is>
      </c>
      <c r="DC76" t="inlineStr">
        <is>
          <t xml:space="preserve">lease</t>
        </is>
      </c>
      <c r="DD76" t="inlineStr">
        <is>
          <t xml:space="preserve">long</t>
        </is>
      </c>
      <c r="DE76" t="inlineStr">
        <is>
          <t xml:space="preserve">regular</t>
        </is>
      </c>
      <c r="DF76" s="4">
        <v>1.771</v>
      </c>
      <c r="DG76" s="4">
        <v>1.765</v>
      </c>
      <c r="DH76" s="4">
        <v>0.6780539384140658</v>
      </c>
      <c r="DI76" s="6">
        <v>0.9552847805788963</v>
      </c>
      <c r="DJ76" s="4">
        <v>1.2008335249313105</v>
      </c>
      <c r="DK76" s="4">
        <v>0</v>
      </c>
      <c r="DL76" s="4">
        <v>0</v>
      </c>
      <c r="DM76" s="4">
        <v>-0.00406832363048439</v>
      </c>
      <c r="DN76" s="4">
        <v>0.00406832363048439</v>
      </c>
      <c r="DO76" s="4">
        <v>1.785</v>
      </c>
      <c r="DP76" s="4">
        <v>1.792</v>
      </c>
      <c r="DQ76" s="6">
        <v>-0.007843137254901933</v>
      </c>
      <c r="DR76" s="6">
        <v>0.061500000000000006</v>
      </c>
      <c r="DS76" s="6">
        <v>0.14329271708683444</v>
      </c>
      <c r="DT76" s="9">
        <v>35</v>
      </c>
      <c r="DU76" s="7">
        <f>IFERROR(DM76/F76,0)</f>
        <v>-0.0032364250047845124</v>
      </c>
      <c r="DV76" t="inlineStr">
        <is>
          <t xml:space="preserve">Lease cash / margin / financing</t>
        </is>
      </c>
      <c r="DW76" t="inlineStr">
        <is>
          <t xml:space="preserve">cash</t>
        </is>
      </c>
      <c r="DX76" t="inlineStr">
        <is>
          <t xml:space="preserve">lease</t>
        </is>
      </c>
      <c r="DY76" t="inlineStr">
        <is>
          <t xml:space="preserve">cash</t>
        </is>
      </c>
      <c r="DZ76"/>
      <c r="EA76" s="4">
        <v>1</v>
      </c>
      <c r="EB76" s="4">
        <v>1</v>
      </c>
      <c r="EC76" s="4">
        <v>4.440892098500626e-16</v>
      </c>
      <c r="ED76" s="6"/>
      <c r="EE76" s="4">
        <v>4.440892098500626e-16</v>
      </c>
      <c r="EF76" s="4">
        <v>4.440892098500626e-16</v>
      </c>
      <c r="EG76" s="4">
        <v>-0.004068708623149479</v>
      </c>
      <c r="EH76" s="4">
        <v>0</v>
      </c>
      <c r="EI76" s="4">
        <v>-0.004068708623149923</v>
      </c>
      <c r="EJ76" s="4">
        <v>1.785</v>
      </c>
      <c r="EK76" s="4">
        <v>1.792</v>
      </c>
      <c r="EL76" s="6"/>
      <c r="EM76" s="6"/>
      <c r="EN76" s="6"/>
      <c r="EO76" s="9"/>
      <c r="EP76" s="7">
        <f>IFERROR(EH76/F76,0)</f>
        <v>0</v>
      </c>
      <c r="EQ76" t="inlineStr">
        <is>
          <t xml:space="preserve">Keep cash / margin / financing</t>
        </is>
      </c>
      <c r="ER76" t="inlineStr">
        <is>
          <t xml:space="preserve">cash</t>
        </is>
      </c>
      <c r="ES76" t="inlineStr">
        <is>
          <t xml:space="preserve">keep</t>
        </is>
      </c>
      <c r="ET76" t="inlineStr">
        <is>
          <t xml:space="preserve">cash</t>
        </is>
      </c>
      <c r="EU76"/>
      <c r="EV76" s="4">
        <v>1</v>
      </c>
      <c r="EW76" s="4">
        <v>1</v>
      </c>
      <c r="EX76" s="4">
        <v>0</v>
      </c>
      <c r="EY76" s="6"/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1.785</v>
      </c>
      <c r="FF76" s="4">
        <v>1.792</v>
      </c>
      <c r="FG76" s="6"/>
      <c r="FH76" s="6"/>
      <c r="FI76" s="6"/>
      <c r="FJ76" s="9"/>
      <c r="FK76" s="7">
        <f>IFERROR(FC76/F76,0)</f>
        <v>0</v>
      </c>
      <c r="FL76"/>
      <c r="FM76"/>
      <c r="FN76"/>
      <c r="FO76"/>
      <c r="FP76"/>
      <c r="FQ76" s="4"/>
      <c r="FR76" s="4"/>
      <c r="FS76" s="4"/>
      <c r="FT76" s="6"/>
      <c r="FU76" s="4"/>
      <c r="FV76" s="4"/>
      <c r="FW76" s="4"/>
      <c r="FX76" s="4"/>
      <c r="FY76" s="4"/>
      <c r="FZ76" s="4"/>
      <c r="GA76" s="4"/>
      <c r="GB76" s="6"/>
      <c r="GC76" s="6"/>
      <c r="GD76" s="6"/>
      <c r="GE76" s="9"/>
      <c r="GF76"/>
      <c r="GG76"/>
      <c r="GH76"/>
      <c r="GI76"/>
      <c r="GJ76"/>
      <c r="GK76"/>
      <c r="GL76" s="4"/>
      <c r="GM76" s="4"/>
      <c r="GN76" s="4"/>
      <c r="GO76" s="6"/>
      <c r="GP76" s="4"/>
      <c r="GQ76" s="4"/>
      <c r="GR76" s="4"/>
      <c r="GS76" s="4"/>
      <c r="GT76" s="4"/>
      <c r="GU76" s="4"/>
      <c r="GV76" s="4"/>
      <c r="GW76" s="6"/>
      <c r="GX76" s="6"/>
      <c r="GY76" s="6"/>
      <c r="GZ76" s="9"/>
      <c r="HA76"/>
      <c r="HB76"/>
      <c r="HC76"/>
      <c r="HD76"/>
      <c r="HE76"/>
      <c r="HF76"/>
      <c r="HG76" s="4"/>
      <c r="HH76" s="4"/>
      <c r="HI76" s="4"/>
      <c r="HJ76" s="6"/>
      <c r="HK76" s="4"/>
      <c r="HL76" s="4"/>
      <c r="HM76" s="4"/>
      <c r="HN76" s="4"/>
      <c r="HO76" s="4"/>
      <c r="HP76" s="4"/>
      <c r="HQ76" s="4"/>
      <c r="HR76" s="6"/>
      <c r="HS76" s="6"/>
      <c r="HT76" s="6"/>
      <c r="HU76" s="9"/>
      <c r="HV76"/>
      <c r="HW76"/>
      <c r="HX76"/>
      <c r="HY76"/>
      <c r="HZ76"/>
      <c r="IA76"/>
      <c r="IB76" s="4"/>
      <c r="IC76" s="4"/>
      <c r="ID76" s="4"/>
      <c r="IE76" s="6"/>
      <c r="IF76" s="4"/>
      <c r="IG76" s="4"/>
      <c r="IH76" s="4"/>
      <c r="II76" s="4"/>
      <c r="IJ76" s="4"/>
      <c r="IK76" s="4"/>
      <c r="IL76" s="4"/>
      <c r="IM76" s="6"/>
      <c r="IN76" s="6"/>
      <c r="IO76" s="6"/>
      <c r="IP76" s="9"/>
      <c r="IQ76"/>
      <c r="IR76"/>
      <c r="IS76"/>
      <c r="IT76"/>
      <c r="IU76"/>
      <c r="IV76"/>
      <c r="IW76" s="4"/>
      <c r="IX76" s="4"/>
      <c r="IY76" s="4"/>
      <c r="IZ76" s="6"/>
      <c r="JA76" s="4"/>
      <c r="JB76" s="4"/>
      <c r="JC76" s="4"/>
      <c r="JD76" s="4"/>
      <c r="JE76" s="4"/>
      <c r="JF76" s="4"/>
      <c r="JG76" s="4"/>
      <c r="JH76" s="6"/>
      <c r="JI76" s="6"/>
      <c r="JJ76" s="6"/>
      <c r="JK76" s="9"/>
      <c r="JL76"/>
    </row>
    <row r="77">
      <c r="A77" s="8">
        <v>25317</v>
      </c>
      <c r="B77" s="8">
        <v>25318</v>
      </c>
      <c r="C77" s="9">
        <f>B77-A77</f>
        <v>1</v>
      </c>
      <c r="D77" s="8">
        <v>25317</v>
      </c>
      <c r="E77" t="inlineStr">
        <is>
          <t xml:space="preserve">positive</t>
        </is>
      </c>
      <c r="F77" s="4">
        <v>1.2533965048615499</v>
      </c>
      <c r="G77" s="6">
        <v>-0.0054985990919321544</v>
      </c>
      <c r="H77" s="7">
        <f>SUM(CE77,CZ77,DU77,EP77,FK77,GF77,HA77,HV77,IQ77,JL77)</f>
        <v>-0.005498599091932156</v>
      </c>
      <c r="I77" s="7">
        <f>G77-H77</f>
        <v>1.734723475976807e-18</v>
      </c>
      <c r="J77" s="5">
        <f>F77*(1+H77)</f>
        <v>1.2465045799780872</v>
      </c>
      <c r="K77" s="4">
        <v>1.2465045799780872</v>
      </c>
      <c r="L77" s="5">
        <f>K77-J77</f>
        <v>0</v>
      </c>
      <c r="M77" s="4">
        <v>1.792</v>
      </c>
      <c r="N77" s="4">
        <v>1.782</v>
      </c>
      <c r="O77" s="5">
        <f>M77/$M$3</f>
        <v>0.9152196118488254</v>
      </c>
      <c r="P77" s="5">
        <f>N77/$M$3</f>
        <v>0.9101123595505618</v>
      </c>
      <c r="Q77" s="7">
        <f>IFERROR(N77/M77-1,0)</f>
        <v>-0.005580357142857095</v>
      </c>
      <c r="R77" s="5">
        <f>SUM(IF(BM77="lease",BU77,0),IF(CH77="lease",CP77,0),IF(DC77="lease",DK77,0),IF(DX77="lease",EF77,0),IF(ES77="lease",FA77,0),IF(FN77="lease",FV77,0),IF(GI77="lease",GQ77,0),IF(HD77="lease",HL77,0),IF(HY77="lease",IG77,0),IF(IT77="lease",JB77,0))</f>
        <v>1.2533965048615503</v>
      </c>
      <c r="S77" s="5">
        <f>SUM(IF(BM77="lease",BV77,0),IF(CH77="lease",CQ77,0),IF(DC77="lease",DL77,0),IF(DX77="lease",EG77,0),IF(ES77="lease",FB77,0),IF(FN77="lease",FW77,0),IF(GI77="lease",GR77,0),IF(HD77="lease",HM77,0),IF(HY77="lease",IH77,0),IF(IT77="lease",JC77,0))</f>
        <v>1.2465045799780876</v>
      </c>
      <c r="T77" s="5">
        <f>SUM(IF(BM77="keep",BU77,0),IF(CH77="keep",CP77,0),IF(DC77="keep",DK77,0),IF(DX77="keep",EF77,0),IF(ES77="keep",FA77,0),IF(FN77="keep",FV77,0),IF(GI77="keep",GQ77,0),IF(HD77="keep",HL77,0),IF(HY77="keep",IG77,0),IF(IT77="keep",JB77,0))</f>
        <v>0</v>
      </c>
      <c r="U77" s="5">
        <f>SUM(IF(BM77="keep",BV77,0),IF(CH77="keep",CQ77,0),IF(DC77="keep",DL77,0),IF(DX77="keep",EG77,0),IF(ES77="keep",FB77,0),IF(FN77="keep",FW77,0),IF(GI77="keep",GR77,0),IF(HD77="keep",HM77,0),IF(HY77="keep",IH77,0),IF(IT77="keep",JC77,0))</f>
        <v>0</v>
      </c>
      <c r="V77" s="5">
        <f>R77/O77</f>
        <v>1.3695035471645733</v>
      </c>
      <c r="W77" s="5">
        <f>S77/P77</f>
        <v>1.3696161434327137</v>
      </c>
      <c r="X77" s="5">
        <f>T77/O77</f>
        <v>0</v>
      </c>
      <c r="Y77" s="5">
        <f>U77/P77</f>
        <v>0</v>
      </c>
      <c r="Z77" s="5">
        <f>V77+X77</f>
        <v>1.3695035471645733</v>
      </c>
      <c r="AA77" s="7">
        <f>IFERROR(W77/V77-1,0)</f>
        <v>0.000082216850312955</v>
      </c>
      <c r="AB77" s="7">
        <f>IFERROR((W77-V77)/Z77,0)</f>
        <v>0.00008221685031296776</v>
      </c>
      <c r="AC77" s="7">
        <f>IFERROR(Y77/X77-1,0)</f>
        <v>0</v>
      </c>
      <c r="AD77" s="7">
        <f>IFERROR((Y77-X77)/Z77,0)</f>
        <v>0</v>
      </c>
      <c r="AE77" s="7">
        <f>AB77+AD77</f>
        <v>0.00008221685031296776</v>
      </c>
      <c r="AF77" s="7">
        <f>(1+Q77)*(1+AE77)-1</f>
        <v>-0.005498599091932066</v>
      </c>
      <c r="AG77" s="7">
        <f>G77-AF77</f>
        <v>-8.847089727481716e-17</v>
      </c>
      <c r="AH77" s="5">
        <f>SUM(IF(BM77="lease",BW77,0),IF(CH77="lease",CR77,0),IF(DC77="lease",DM77,0),IF(DX77="lease",EH77,0),IF(ES77="lease",FC77,0),IF(FN77="lease",FX77,0),IF(GI77="lease",GS77,0),IF(HD77="lease",HN77,0),IF(HY77="lease",II77,0),IF(IT77="lease",JD77,0))</f>
        <v>-0.006891924883462656</v>
      </c>
      <c r="AI77" s="5">
        <f>SUM(IF(BM77="keep",BW77,0),IF(CH77="keep",CR77,0),IF(DC77="keep",DM77,0),IF(DX77="keep",EH77,0),IF(ES77="keep",FC77,0),IF(FN77="keep",FX77,0),IF(GI77="keep",GS77,0),IF(HD77="keep",HN77,0),IF(HY77="keep",II77,0),IF(IT77="keep",JD77,0))</f>
        <v>0</v>
      </c>
      <c r="AJ77" s="5">
        <f>SUM(IF(BM77="lease",BX77,0),IF(CH77="lease",CS77,0),IF(DC77="lease",DN77,0),IF(DX77="lease",EI77,0),IF(ES77="lease",FD77,0),IF(FN77="lease",FY77,0),IF(GI77="lease",GT77,0),IF(HD77="lease",HO77,0),IF(HY77="lease",IJ77,0),IF(IT77="lease",JE77,0))</f>
        <v>0</v>
      </c>
      <c r="AK77" s="5">
        <f>SUM(IF(BM77="keep",BX77,0),IF(CH77="keep",CS77,0),IF(DC77="keep",DN77,0),IF(DX77="keep",EI77,0),IF(ES77="keep",FD77,0),IF(FN77="keep",FY77,0),IF(GI77="keep",GT77,0),IF(HD77="keep",HO77,0),IF(HY77="keep",IJ77,0),IF(IT77="keep",JE77,0))</f>
        <v>0</v>
      </c>
      <c r="AL77" s="5">
        <f>R77-S76</f>
        <v>0</v>
      </c>
      <c r="AM77" s="5">
        <f>T77-U76</f>
        <v>0</v>
      </c>
      <c r="AN77" s="5">
        <f>AN76</f>
        <v>1</v>
      </c>
      <c r="AO77" s="5">
        <f>AO76+AH77</f>
        <v>0.2465045799780878</v>
      </c>
      <c r="AP77" s="5">
        <f>AP76+AL77</f>
        <v>-6.661338147750939e-16</v>
      </c>
      <c r="AQ77" s="5">
        <f>AN77+AO77+AP77</f>
        <v>1.2465045799780872</v>
      </c>
      <c r="AR77" s="5">
        <f>S77-AQ77</f>
        <v>4.440892098500626e-16</v>
      </c>
      <c r="AS77" s="5">
        <f>AS76</f>
        <v>0</v>
      </c>
      <c r="AT77" s="5">
        <f>AT76+AI77</f>
        <v>0</v>
      </c>
      <c r="AU77" s="5">
        <f>AU76+AM77</f>
        <v>0</v>
      </c>
      <c r="AV77" s="5">
        <f>AS77+AT77+AU77</f>
        <v>0</v>
      </c>
      <c r="AW77" s="5">
        <f>U77-AV77</f>
        <v>0</v>
      </c>
      <c r="AX77" s="4">
        <v>1.2533965048615503</v>
      </c>
      <c r="AY77" s="4">
        <v>1.2465045799780876</v>
      </c>
      <c r="AZ77" s="5">
        <f>S77-AY77</f>
        <v>0</v>
      </c>
      <c r="BA77" s="4">
        <v>0</v>
      </c>
      <c r="BB77" s="4">
        <v>0</v>
      </c>
      <c r="BC77" s="5">
        <f>U77-BB77</f>
        <v>0</v>
      </c>
      <c r="BD77" s="7">
        <f>SUM(IF(BL77="direct",CE77,0),IF(CG77="direct",CZ77,0),IF(DB77="direct",DU77,0),IF(DW77="direct",EP77,0),IF(ER77="direct",FK77,0),IF(FM77="direct",GF77,0),IF(GH77="direct",HA77,0),IF(HC77="direct",HV77,0),IF(HX77="direct",IQ77,0),IF(IS77="direct",JL77,0))</f>
        <v>0</v>
      </c>
      <c r="BE77" s="7">
        <f>SUM(IF(BL77="treasury",CE77,0),IF(CG77="treasury",CZ77,0),IF(DB77="treasury",DU77,0),IF(DW77="treasury",EP77,0),IF(ER77="treasury",FK77,0),IF(FM77="treasury",GF77,0),IF(GH77="treasury",HA77,0),IF(HC77="treasury",HV77,0),IF(HX77="treasury",IQ77,0),IF(IS77="treasury",JL77,0))</f>
        <v>0.00016712328767123287</v>
      </c>
      <c r="BF77" s="7">
        <f>SUM(IF(BL77="future",CE77,0),IF(CG77="future",CZ77,0),IF(DB77="future",DU77,0),IF(DW77="future",EP77,0),IF(ER77="future",FK77,0),IF(FM77="future",GF77,0),IF(GH77="future",HA77,0),IF(HC77="future",HV77,0),IF(HX77="future",IQ77,0),IF(IS77="future",JL77,0))</f>
        <v>-0.005665722379603388</v>
      </c>
      <c r="BG77" s="7">
        <f>SUM(IF(BL77="cash",CE77,0),IF(CG77="cash",CZ77,0),IF(DB77="cash",DU77,0),IF(DW77="cash",EP77,0),IF(ER77="cash",FK77,0),IF(FM77="cash",GF77,0),IF(GH77="cash",HA77,0),IF(HC77="cash",HV77,0),IF(HX77="cash",IQ77,0),IF(IS77="cash",JL77,0))</f>
        <v>0</v>
      </c>
      <c r="BH77" s="7">
        <f>SUM(BD77:BG77)</f>
        <v>-0.005498599091932155</v>
      </c>
      <c r="BI77" s="7">
        <f>G77-BH77</f>
        <v>8.673617379884035e-19</v>
      </c>
      <c r="BJ77" s="9">
        <f>COUNTA(BK77,CF77,DA77,DV77,EQ77,FL77,GG77,HB77,HW77,IR77)</f>
        <v>4</v>
      </c>
      <c r="BK77" t="inlineStr">
        <is>
          <t xml:space="preserve">Treasury collateral</t>
        </is>
      </c>
      <c r="BL77" t="inlineStr">
        <is>
          <t xml:space="preserve">treasury</t>
        </is>
      </c>
      <c r="BM77" t="inlineStr">
        <is>
          <t xml:space="preserve">lease</t>
        </is>
      </c>
      <c r="BN77" t="inlineStr">
        <is>
          <t xml:space="preserve">long</t>
        </is>
      </c>
      <c r="BO77"/>
      <c r="BP77" s="4">
        <v>101.88992970023743</v>
      </c>
      <c r="BQ77" s="4">
        <v>101.90695788026952</v>
      </c>
      <c r="BR77" s="4">
        <v>0.012301475803831369</v>
      </c>
      <c r="BS77" s="6">
        <v>1</v>
      </c>
      <c r="BT77" s="4">
        <v>1.2533965048615499</v>
      </c>
      <c r="BU77" s="4">
        <v>1.2533965048615499</v>
      </c>
      <c r="BV77" s="4">
        <v>1.253605976606198</v>
      </c>
      <c r="BW77" s="4">
        <v>0.00020947174464809462</v>
      </c>
      <c r="BX77" s="4">
        <v>4.2934406030425976e-17</v>
      </c>
      <c r="BY77" s="4">
        <v>1.792</v>
      </c>
      <c r="BZ77" s="4">
        <v>1.782</v>
      </c>
      <c r="CA77" s="6"/>
      <c r="CB77" s="6"/>
      <c r="CC77" s="6"/>
      <c r="CD77" s="9">
        <v>34</v>
      </c>
      <c r="CE77" s="7">
        <f>IFERROR(BW77/F77,0)</f>
        <v>0.00016712328767123287</v>
      </c>
      <c r="CF77" t="inlineStr">
        <is>
          <t xml:space="preserve">SI69K</t>
        </is>
      </c>
      <c r="CG77" t="inlineStr">
        <is>
          <t xml:space="preserve">future</t>
        </is>
      </c>
      <c r="CH77" t="inlineStr">
        <is>
          <t xml:space="preserve">lease</t>
        </is>
      </c>
      <c r="CI77" t="inlineStr">
        <is>
          <t xml:space="preserve">long</t>
        </is>
      </c>
      <c r="CJ77" t="inlineStr">
        <is>
          <t xml:space="preserve">regular</t>
        </is>
      </c>
      <c r="CK77" s="4">
        <v>1.765</v>
      </c>
      <c r="CL77" s="4">
        <v>1.755</v>
      </c>
      <c r="CM77" s="4">
        <v>0.7101396628110764</v>
      </c>
      <c r="CN77" s="6">
        <v>1</v>
      </c>
      <c r="CO77" s="4">
        <v>1.2533965048615499</v>
      </c>
      <c r="CP77" s="4">
        <v>0</v>
      </c>
      <c r="CQ77" s="4">
        <v>0</v>
      </c>
      <c r="CR77" s="4">
        <v>-0.00710139662811075</v>
      </c>
      <c r="CS77" s="4">
        <v>0.00710139662811075</v>
      </c>
      <c r="CT77" s="4">
        <v>1.792</v>
      </c>
      <c r="CU77" s="4">
        <v>1.782</v>
      </c>
      <c r="CV77" s="6">
        <v>-0.015066964285714413</v>
      </c>
      <c r="CW77" s="6">
        <v>0.061</v>
      </c>
      <c r="CX77" s="6">
        <v>0.22274829306722826</v>
      </c>
      <c r="CY77" s="9">
        <v>34</v>
      </c>
      <c r="CZ77" s="7">
        <f>IFERROR(CR77/F77,0)</f>
        <v>-0.005665722379603388</v>
      </c>
      <c r="DA77" t="inlineStr">
        <is>
          <t xml:space="preserve">Lease cash / margin / financing</t>
        </is>
      </c>
      <c r="DB77" t="inlineStr">
        <is>
          <t xml:space="preserve">cash</t>
        </is>
      </c>
      <c r="DC77" t="inlineStr">
        <is>
          <t xml:space="preserve">lease</t>
        </is>
      </c>
      <c r="DD77" t="inlineStr">
        <is>
          <t xml:space="preserve">cash</t>
        </is>
      </c>
      <c r="DE77"/>
      <c r="DF77" s="4">
        <v>1</v>
      </c>
      <c r="DG77" s="4">
        <v>1</v>
      </c>
      <c r="DH77" s="4">
        <v>4.440892098500626e-16</v>
      </c>
      <c r="DI77" s="6"/>
      <c r="DJ77" s="4">
        <v>4.440892098500626e-16</v>
      </c>
      <c r="DK77" s="4">
        <v>4.440892098500626e-16</v>
      </c>
      <c r="DL77" s="4">
        <v>-0.00710139662811035</v>
      </c>
      <c r="DM77" s="4">
        <v>0</v>
      </c>
      <c r="DN77" s="4">
        <v>-0.007101396628110794</v>
      </c>
      <c r="DO77" s="4">
        <v>1.792</v>
      </c>
      <c r="DP77" s="4">
        <v>1.782</v>
      </c>
      <c r="DQ77" s="6"/>
      <c r="DR77" s="6"/>
      <c r="DS77" s="6"/>
      <c r="DT77" s="9"/>
      <c r="DU77" s="7">
        <f>IFERROR(DM77/F77,0)</f>
        <v>0</v>
      </c>
      <c r="DV77" t="inlineStr">
        <is>
          <t xml:space="preserve">Keep cash / margin / financing</t>
        </is>
      </c>
      <c r="DW77" t="inlineStr">
        <is>
          <t xml:space="preserve">cash</t>
        </is>
      </c>
      <c r="DX77" t="inlineStr">
        <is>
          <t xml:space="preserve">keep</t>
        </is>
      </c>
      <c r="DY77" t="inlineStr">
        <is>
          <t xml:space="preserve">cash</t>
        </is>
      </c>
      <c r="DZ77"/>
      <c r="EA77" s="4">
        <v>1</v>
      </c>
      <c r="EB77" s="4">
        <v>1</v>
      </c>
      <c r="EC77" s="4">
        <v>0</v>
      </c>
      <c r="ED77" s="6"/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1.792</v>
      </c>
      <c r="EK77" s="4">
        <v>1.782</v>
      </c>
      <c r="EL77" s="6"/>
      <c r="EM77" s="6"/>
      <c r="EN77" s="6"/>
      <c r="EO77" s="9"/>
      <c r="EP77" s="7">
        <f>IFERROR(EH77/F77,0)</f>
        <v>0</v>
      </c>
      <c r="EQ77"/>
      <c r="ER77"/>
      <c r="ES77"/>
      <c r="ET77"/>
      <c r="EU77"/>
      <c r="EV77" s="4"/>
      <c r="EW77" s="4"/>
      <c r="EX77" s="4"/>
      <c r="EY77" s="6"/>
      <c r="EZ77" s="4"/>
      <c r="FA77" s="4"/>
      <c r="FB77" s="4"/>
      <c r="FC77" s="4"/>
      <c r="FD77" s="4"/>
      <c r="FE77" s="4"/>
      <c r="FF77" s="4"/>
      <c r="FG77" s="6"/>
      <c r="FH77" s="6"/>
      <c r="FI77" s="6"/>
      <c r="FJ77" s="9"/>
      <c r="FK77"/>
      <c r="FL77"/>
      <c r="FM77"/>
      <c r="FN77"/>
      <c r="FO77"/>
      <c r="FP77"/>
      <c r="FQ77" s="4"/>
      <c r="FR77" s="4"/>
      <c r="FS77" s="4"/>
      <c r="FT77" s="6"/>
      <c r="FU77" s="4"/>
      <c r="FV77" s="4"/>
      <c r="FW77" s="4"/>
      <c r="FX77" s="4"/>
      <c r="FY77" s="4"/>
      <c r="FZ77" s="4"/>
      <c r="GA77" s="4"/>
      <c r="GB77" s="6"/>
      <c r="GC77" s="6"/>
      <c r="GD77" s="6"/>
      <c r="GE77" s="9"/>
      <c r="GF77"/>
      <c r="GG77"/>
      <c r="GH77"/>
      <c r="GI77"/>
      <c r="GJ77"/>
      <c r="GK77"/>
      <c r="GL77" s="4"/>
      <c r="GM77" s="4"/>
      <c r="GN77" s="4"/>
      <c r="GO77" s="6"/>
      <c r="GP77" s="4"/>
      <c r="GQ77" s="4"/>
      <c r="GR77" s="4"/>
      <c r="GS77" s="4"/>
      <c r="GT77" s="4"/>
      <c r="GU77" s="4"/>
      <c r="GV77" s="4"/>
      <c r="GW77" s="6"/>
      <c r="GX77" s="6"/>
      <c r="GY77" s="6"/>
      <c r="GZ77" s="9"/>
      <c r="HA77"/>
      <c r="HB77"/>
      <c r="HC77"/>
      <c r="HD77"/>
      <c r="HE77"/>
      <c r="HF77"/>
      <c r="HG77" s="4"/>
      <c r="HH77" s="4"/>
      <c r="HI77" s="4"/>
      <c r="HJ77" s="6"/>
      <c r="HK77" s="4"/>
      <c r="HL77" s="4"/>
      <c r="HM77" s="4"/>
      <c r="HN77" s="4"/>
      <c r="HO77" s="4"/>
      <c r="HP77" s="4"/>
      <c r="HQ77" s="4"/>
      <c r="HR77" s="6"/>
      <c r="HS77" s="6"/>
      <c r="HT77" s="6"/>
      <c r="HU77" s="9"/>
      <c r="HV77"/>
      <c r="HW77"/>
      <c r="HX77"/>
      <c r="HY77"/>
      <c r="HZ77"/>
      <c r="IA77"/>
      <c r="IB77" s="4"/>
      <c r="IC77" s="4"/>
      <c r="ID77" s="4"/>
      <c r="IE77" s="6"/>
      <c r="IF77" s="4"/>
      <c r="IG77" s="4"/>
      <c r="IH77" s="4"/>
      <c r="II77" s="4"/>
      <c r="IJ77" s="4"/>
      <c r="IK77" s="4"/>
      <c r="IL77" s="4"/>
      <c r="IM77" s="6"/>
      <c r="IN77" s="6"/>
      <c r="IO77" s="6"/>
      <c r="IP77" s="9"/>
      <c r="IQ77"/>
      <c r="IR77"/>
      <c r="IS77"/>
      <c r="IT77"/>
      <c r="IU77"/>
      <c r="IV77"/>
      <c r="IW77" s="4"/>
      <c r="IX77" s="4"/>
      <c r="IY77" s="4"/>
      <c r="IZ77" s="6"/>
      <c r="JA77" s="4"/>
      <c r="JB77" s="4"/>
      <c r="JC77" s="4"/>
      <c r="JD77" s="4"/>
      <c r="JE77" s="4"/>
      <c r="JF77" s="4"/>
      <c r="JG77" s="4"/>
      <c r="JH77" s="6"/>
      <c r="JI77" s="6"/>
      <c r="JJ77" s="6"/>
      <c r="JK77" s="9"/>
      <c r="JL77"/>
    </row>
    <row r="78">
      <c r="A78" s="8">
        <v>25318</v>
      </c>
      <c r="B78" s="8">
        <v>25321</v>
      </c>
      <c r="C78" s="9">
        <f>B78-A78</f>
        <v>3</v>
      </c>
      <c r="D78" s="8">
        <v>25318</v>
      </c>
      <c r="E78" t="inlineStr">
        <is>
          <t xml:space="preserve">positive</t>
        </is>
      </c>
      <c r="F78" s="4">
        <v>1.2465045799780872</v>
      </c>
      <c r="G78" s="6">
        <v>0.00790713343480479</v>
      </c>
      <c r="H78" s="7">
        <f>SUM(CE78,CZ78,DU78,EP78,FK78,GF78,HA78,HV78,IQ78,JL78)</f>
        <v>0.00790713343480479</v>
      </c>
      <c r="I78" s="7">
        <f>G78-H78</f>
        <v>0</v>
      </c>
      <c r="J78" s="5">
        <f>F78*(1+H78)</f>
        <v>1.2563608580190693</v>
      </c>
      <c r="K78" s="4">
        <v>1.2563608580190693</v>
      </c>
      <c r="L78" s="5">
        <f>K78-J78</f>
        <v>0</v>
      </c>
      <c r="M78" s="4">
        <v>1.782</v>
      </c>
      <c r="N78" s="4">
        <v>1.81</v>
      </c>
      <c r="O78" s="5">
        <f>M78/$M$3</f>
        <v>0.9101123595505618</v>
      </c>
      <c r="P78" s="5">
        <f>N78/$M$3</f>
        <v>0.9244126659856997</v>
      </c>
      <c r="Q78" s="7">
        <f>IFERROR(N78/M78-1,0)</f>
        <v>0.015712682379348974</v>
      </c>
      <c r="R78" s="5">
        <f>SUM(IF(BM78="lease",BU78,0),IF(CH78="lease",CP78,0),IF(DC78="lease",DK78,0),IF(DX78="lease",EF78,0),IF(ES78="lease",FA78,0),IF(FN78="lease",FV78,0),IF(GI78="lease",GQ78,0),IF(HD78="lease",HL78,0),IF(HY78="lease",IG78,0),IF(IT78="lease",JB78,0))</f>
        <v>1.2465045799780876</v>
      </c>
      <c r="S78" s="5">
        <f>SUM(IF(BM78="lease",BV78,0),IF(CH78="lease",CQ78,0),IF(DC78="lease",DL78,0),IF(DX78="lease",EG78,0),IF(ES78="lease",FB78,0),IF(FN78="lease",FW78,0),IF(GI78="lease",GR78,0),IF(HD78="lease",HM78,0),IF(HY78="lease",IH78,0),IF(IT78="lease",JC78,0))</f>
        <v>1.2563608580190697</v>
      </c>
      <c r="T78" s="5">
        <f>SUM(IF(BM78="keep",BU78,0),IF(CH78="keep",CP78,0),IF(DC78="keep",DK78,0),IF(DX78="keep",EF78,0),IF(ES78="keep",FA78,0),IF(FN78="keep",FV78,0),IF(GI78="keep",GQ78,0),IF(HD78="keep",HL78,0),IF(HY78="keep",IG78,0),IF(IT78="keep",JB78,0))</f>
        <v>0</v>
      </c>
      <c r="U78" s="5">
        <f>SUM(IF(BM78="keep",BV78,0),IF(CH78="keep",CQ78,0),IF(DC78="keep",DL78,0),IF(DX78="keep",EG78,0),IF(ES78="keep",FB78,0),IF(FN78="keep",FW78,0),IF(GI78="keep",GR78,0),IF(HD78="keep",HM78,0),IF(HY78="keep",IH78,0),IF(IT78="keep",JC78,0))</f>
        <v>0</v>
      </c>
      <c r="V78" s="5">
        <f>R78/O78</f>
        <v>1.3696161434327137</v>
      </c>
      <c r="W78" s="5">
        <f>S78/P78</f>
        <v>1.3590909171278114</v>
      </c>
      <c r="X78" s="5">
        <f>T78/O78</f>
        <v>0</v>
      </c>
      <c r="Y78" s="5">
        <f>U78/P78</f>
        <v>0</v>
      </c>
      <c r="Z78" s="5">
        <f>V78+X78</f>
        <v>1.3696161434327137</v>
      </c>
      <c r="AA78" s="7">
        <f>IFERROR(W78/V78-1,0)</f>
        <v>-0.007684800121092739</v>
      </c>
      <c r="AB78" s="7">
        <f>IFERROR((W78-V78)/Z78,0)</f>
        <v>-0.007684800121092725</v>
      </c>
      <c r="AC78" s="7">
        <f>IFERROR(Y78/X78-1,0)</f>
        <v>0</v>
      </c>
      <c r="AD78" s="7">
        <f>IFERROR((Y78-X78)/Z78,0)</f>
        <v>0</v>
      </c>
      <c r="AE78" s="7">
        <f>AB78+AD78</f>
        <v>-0.007684800121092725</v>
      </c>
      <c r="AF78" s="7">
        <f>(1+Q78)*(1+AE78)-1</f>
        <v>0.007907133434804647</v>
      </c>
      <c r="AG78" s="7">
        <f>G78-AF78</f>
        <v>1.4224732503009818e-16</v>
      </c>
      <c r="AH78" s="5">
        <f>SUM(IF(BM78="lease",BW78,0),IF(CH78="lease",CR78,0),IF(DC78="lease",DM78,0),IF(DX78="lease",EH78,0),IF(ES78="lease",FC78,0),IF(FN78="lease",FX78,0),IF(GI78="lease",GS78,0),IF(HD78="lease",HN78,0),IF(HY78="lease",II78,0),IF(IT78="lease",JD78,0))</f>
        <v>0.009856278040982033</v>
      </c>
      <c r="AI78" s="5">
        <f>SUM(IF(BM78="keep",BW78,0),IF(CH78="keep",CR78,0),IF(DC78="keep",DM78,0),IF(DX78="keep",EH78,0),IF(ES78="keep",FC78,0),IF(FN78="keep",FX78,0),IF(GI78="keep",GS78,0),IF(HD78="keep",HN78,0),IF(HY78="keep",II78,0),IF(IT78="keep",JD78,0))</f>
        <v>0</v>
      </c>
      <c r="AJ78" s="5">
        <f>SUM(IF(BM78="lease",BX78,0),IF(CH78="lease",CS78,0),IF(DC78="lease",DN78,0),IF(DX78="lease",EI78,0),IF(ES78="lease",FD78,0),IF(FN78="lease",FY78,0),IF(GI78="lease",GT78,0),IF(HD78="lease",HO78,0),IF(HY78="lease",IJ78,0),IF(IT78="lease",JE78,0))</f>
        <v>0</v>
      </c>
      <c r="AK78" s="5">
        <f>SUM(IF(BM78="keep",BX78,0),IF(CH78="keep",CS78,0),IF(DC78="keep",DN78,0),IF(DX78="keep",EI78,0),IF(ES78="keep",FD78,0),IF(FN78="keep",FY78,0),IF(GI78="keep",GT78,0),IF(HD78="keep",HO78,0),IF(HY78="keep",IJ78,0),IF(IT78="keep",JE78,0))</f>
        <v>0</v>
      </c>
      <c r="AL78" s="5">
        <f>R78-S77</f>
        <v>0</v>
      </c>
      <c r="AM78" s="5">
        <f>T78-U77</f>
        <v>0</v>
      </c>
      <c r="AN78" s="5">
        <f>AN77</f>
        <v>1</v>
      </c>
      <c r="AO78" s="5">
        <f>AO77+AH78</f>
        <v>0.2563608580190698</v>
      </c>
      <c r="AP78" s="5">
        <f>AP77+AL78</f>
        <v>-6.661338147750939e-16</v>
      </c>
      <c r="AQ78" s="5">
        <f>AN78+AO78+AP78</f>
        <v>1.2563608580190693</v>
      </c>
      <c r="AR78" s="5">
        <f>S78-AQ78</f>
        <v>4.440892098500626e-16</v>
      </c>
      <c r="AS78" s="5">
        <f>AS77</f>
        <v>0</v>
      </c>
      <c r="AT78" s="5">
        <f>AT77+AI78</f>
        <v>0</v>
      </c>
      <c r="AU78" s="5">
        <f>AU77+AM78</f>
        <v>0</v>
      </c>
      <c r="AV78" s="5">
        <f>AS78+AT78+AU78</f>
        <v>0</v>
      </c>
      <c r="AW78" s="5">
        <f>U78-AV78</f>
        <v>0</v>
      </c>
      <c r="AX78" s="4">
        <v>1.2465045799780876</v>
      </c>
      <c r="AY78" s="4">
        <v>1.2563608580190697</v>
      </c>
      <c r="AZ78" s="5">
        <f>S78-AY78</f>
        <v>0</v>
      </c>
      <c r="BA78" s="4">
        <v>0</v>
      </c>
      <c r="BB78" s="4">
        <v>0</v>
      </c>
      <c r="BC78" s="5">
        <f>U78-BB78</f>
        <v>0</v>
      </c>
      <c r="BD78" s="7">
        <f>SUM(IF(BL78="direct",CE78,0),IF(CG78="direct",CZ78,0),IF(DB78="direct",DU78,0),IF(DW78="direct",EP78,0),IF(ER78="direct",FK78,0),IF(FM78="direct",GF78,0),IF(GH78="direct",HA78,0),IF(HC78="direct",HV78,0),IF(HX78="direct",IQ78,0),IF(IS78="direct",JL78,0))</f>
        <v>0</v>
      </c>
      <c r="BE78" s="7">
        <f>SUM(IF(BL78="treasury",CE78,0),IF(CG78="treasury",CZ78,0),IF(DB78="treasury",DU78,0),IF(DW78="treasury",EP78,0),IF(ER78="treasury",FK78,0),IF(FM78="treasury",GF78,0),IF(GH78="treasury",HA78,0),IF(HC78="treasury",HV78,0),IF(HX78="treasury",IQ78,0),IF(IS78="treasury",JL78,0))</f>
        <v>0.0004997260273972603</v>
      </c>
      <c r="BF78" s="7">
        <f>SUM(IF(BL78="future",CE78,0),IF(CG78="future",CZ78,0),IF(DB78="future",DU78,0),IF(DW78="future",EP78,0),IF(ER78="future",FK78,0),IF(FM78="future",GF78,0),IF(GH78="future",HA78,0),IF(HC78="future",HV78,0),IF(HX78="future",IQ78,0),IF(IS78="future",JL78,0))</f>
        <v>0.007407407407407529</v>
      </c>
      <c r="BG78" s="7">
        <f>SUM(IF(BL78="cash",CE78,0),IF(CG78="cash",CZ78,0),IF(DB78="cash",DU78,0),IF(DW78="cash",EP78,0),IF(ER78="cash",FK78,0),IF(FM78="cash",GF78,0),IF(GH78="cash",HA78,0),IF(HC78="cash",HV78,0),IF(HX78="cash",IQ78,0),IF(IS78="cash",JL78,0))</f>
        <v>0</v>
      </c>
      <c r="BH78" s="7">
        <f>SUM(BD78:BG78)</f>
        <v>0.00790713343480479</v>
      </c>
      <c r="BI78" s="7">
        <f>G78-BH78</f>
        <v>0</v>
      </c>
      <c r="BJ78" s="9">
        <f>COUNTA(BK78,CF78,DA78,DV78,EQ78,FL78,GG78,HB78,HW78,IR78)</f>
        <v>4</v>
      </c>
      <c r="BK78" t="inlineStr">
        <is>
          <t xml:space="preserve">Treasury collateral</t>
        </is>
      </c>
      <c r="BL78" t="inlineStr">
        <is>
          <t xml:space="preserve">treasury</t>
        </is>
      </c>
      <c r="BM78" t="inlineStr">
        <is>
          <t xml:space="preserve">lease</t>
        </is>
      </c>
      <c r="BN78" t="inlineStr">
        <is>
          <t xml:space="preserve">long</t>
        </is>
      </c>
      <c r="BO78"/>
      <c r="BP78" s="4">
        <v>101.90695788026952</v>
      </c>
      <c r="BQ78" s="4">
        <v>101.95788343949516</v>
      </c>
      <c r="BR78" s="4">
        <v>0.012231790703070592</v>
      </c>
      <c r="BS78" s="6">
        <v>1</v>
      </c>
      <c r="BT78" s="4">
        <v>1.2465045799780872</v>
      </c>
      <c r="BU78" s="4">
        <v>1.2465045799780872</v>
      </c>
      <c r="BV78" s="4">
        <v>1.247127490759972</v>
      </c>
      <c r="BW78" s="4">
        <v>0.00062291078188494</v>
      </c>
      <c r="BX78" s="4">
        <v>-1.7780915628762273e-17</v>
      </c>
      <c r="BY78" s="4">
        <v>1.782</v>
      </c>
      <c r="BZ78" s="4">
        <v>1.81</v>
      </c>
      <c r="CA78" s="6"/>
      <c r="CB78" s="6"/>
      <c r="CC78" s="6"/>
      <c r="CD78" s="9">
        <v>33</v>
      </c>
      <c r="CE78" s="7">
        <f>IFERROR(BW78/F78,0)</f>
        <v>0.0004997260273972603</v>
      </c>
      <c r="CF78" t="inlineStr">
        <is>
          <t xml:space="preserve">SI69K</t>
        </is>
      </c>
      <c r="CG78" t="inlineStr">
        <is>
          <t xml:space="preserve">future</t>
        </is>
      </c>
      <c r="CH78" t="inlineStr">
        <is>
          <t xml:space="preserve">lease</t>
        </is>
      </c>
      <c r="CI78" t="inlineStr">
        <is>
          <t xml:space="preserve">long</t>
        </is>
      </c>
      <c r="CJ78" t="inlineStr">
        <is>
          <t xml:space="preserve">regular</t>
        </is>
      </c>
      <c r="CK78" s="4">
        <v>1.755</v>
      </c>
      <c r="CL78" s="4">
        <v>1.768</v>
      </c>
      <c r="CM78" s="4">
        <v>0.7102590199305341</v>
      </c>
      <c r="CN78" s="6">
        <v>1</v>
      </c>
      <c r="CO78" s="4">
        <v>1.2465045799780872</v>
      </c>
      <c r="CP78" s="4">
        <v>0</v>
      </c>
      <c r="CQ78" s="4">
        <v>0</v>
      </c>
      <c r="CR78" s="4">
        <v>0.009233367259097094</v>
      </c>
      <c r="CS78" s="4">
        <v>-0.009233367259097094</v>
      </c>
      <c r="CT78" s="4">
        <v>1.782</v>
      </c>
      <c r="CU78" s="4">
        <v>1.81</v>
      </c>
      <c r="CV78" s="6">
        <v>-0.015151515151515249</v>
      </c>
      <c r="CW78" s="6">
        <v>0.0608</v>
      </c>
      <c r="CX78" s="6">
        <v>0.2283849403122141</v>
      </c>
      <c r="CY78" s="9">
        <v>33</v>
      </c>
      <c r="CZ78" s="7">
        <f>IFERROR(CR78/F78,0)</f>
        <v>0.007407407407407529</v>
      </c>
      <c r="DA78" t="inlineStr">
        <is>
          <t xml:space="preserve">Lease cash / margin / financing</t>
        </is>
      </c>
      <c r="DB78" t="inlineStr">
        <is>
          <t xml:space="preserve">cash</t>
        </is>
      </c>
      <c r="DC78" t="inlineStr">
        <is>
          <t xml:space="preserve">lease</t>
        </is>
      </c>
      <c r="DD78" t="inlineStr">
        <is>
          <t xml:space="preserve">cash</t>
        </is>
      </c>
      <c r="DE78"/>
      <c r="DF78" s="4">
        <v>1</v>
      </c>
      <c r="DG78" s="4">
        <v>1</v>
      </c>
      <c r="DH78" s="4">
        <v>4.440892098500626e-16</v>
      </c>
      <c r="DI78" s="6"/>
      <c r="DJ78" s="4">
        <v>4.440892098500626e-16</v>
      </c>
      <c r="DK78" s="4">
        <v>4.440892098500626e-16</v>
      </c>
      <c r="DL78" s="4">
        <v>0.009233367259097555</v>
      </c>
      <c r="DM78" s="4">
        <v>0</v>
      </c>
      <c r="DN78" s="4">
        <v>0.009233367259097111</v>
      </c>
      <c r="DO78" s="4">
        <v>1.782</v>
      </c>
      <c r="DP78" s="4">
        <v>1.81</v>
      </c>
      <c r="DQ78" s="6"/>
      <c r="DR78" s="6"/>
      <c r="DS78" s="6"/>
      <c r="DT78" s="9"/>
      <c r="DU78" s="7">
        <f>IFERROR(DM78/F78,0)</f>
        <v>0</v>
      </c>
      <c r="DV78" t="inlineStr">
        <is>
          <t xml:space="preserve">Keep cash / margin / financing</t>
        </is>
      </c>
      <c r="DW78" t="inlineStr">
        <is>
          <t xml:space="preserve">cash</t>
        </is>
      </c>
      <c r="DX78" t="inlineStr">
        <is>
          <t xml:space="preserve">keep</t>
        </is>
      </c>
      <c r="DY78" t="inlineStr">
        <is>
          <t xml:space="preserve">cash</t>
        </is>
      </c>
      <c r="DZ78"/>
      <c r="EA78" s="4">
        <v>1</v>
      </c>
      <c r="EB78" s="4">
        <v>1</v>
      </c>
      <c r="EC78" s="4">
        <v>0</v>
      </c>
      <c r="ED78" s="6"/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1.782</v>
      </c>
      <c r="EK78" s="4">
        <v>1.81</v>
      </c>
      <c r="EL78" s="6"/>
      <c r="EM78" s="6"/>
      <c r="EN78" s="6"/>
      <c r="EO78" s="9"/>
      <c r="EP78" s="7">
        <f>IFERROR(EH78/F78,0)</f>
        <v>0</v>
      </c>
      <c r="EQ78"/>
      <c r="ER78"/>
      <c r="ES78"/>
      <c r="ET78"/>
      <c r="EU78"/>
      <c r="EV78" s="4"/>
      <c r="EW78" s="4"/>
      <c r="EX78" s="4"/>
      <c r="EY78" s="6"/>
      <c r="EZ78" s="4"/>
      <c r="FA78" s="4"/>
      <c r="FB78" s="4"/>
      <c r="FC78" s="4"/>
      <c r="FD78" s="4"/>
      <c r="FE78" s="4"/>
      <c r="FF78" s="4"/>
      <c r="FG78" s="6"/>
      <c r="FH78" s="6"/>
      <c r="FI78" s="6"/>
      <c r="FJ78" s="9"/>
      <c r="FK78"/>
      <c r="FL78"/>
      <c r="FM78"/>
      <c r="FN78"/>
      <c r="FO78"/>
      <c r="FP78"/>
      <c r="FQ78" s="4"/>
      <c r="FR78" s="4"/>
      <c r="FS78" s="4"/>
      <c r="FT78" s="6"/>
      <c r="FU78" s="4"/>
      <c r="FV78" s="4"/>
      <c r="FW78" s="4"/>
      <c r="FX78" s="4"/>
      <c r="FY78" s="4"/>
      <c r="FZ78" s="4"/>
      <c r="GA78" s="4"/>
      <c r="GB78" s="6"/>
      <c r="GC78" s="6"/>
      <c r="GD78" s="6"/>
      <c r="GE78" s="9"/>
      <c r="GF78"/>
      <c r="GG78"/>
      <c r="GH78"/>
      <c r="GI78"/>
      <c r="GJ78"/>
      <c r="GK78"/>
      <c r="GL78" s="4"/>
      <c r="GM78" s="4"/>
      <c r="GN78" s="4"/>
      <c r="GO78" s="6"/>
      <c r="GP78" s="4"/>
      <c r="GQ78" s="4"/>
      <c r="GR78" s="4"/>
      <c r="GS78" s="4"/>
      <c r="GT78" s="4"/>
      <c r="GU78" s="4"/>
      <c r="GV78" s="4"/>
      <c r="GW78" s="6"/>
      <c r="GX78" s="6"/>
      <c r="GY78" s="6"/>
      <c r="GZ78" s="9"/>
      <c r="HA78"/>
      <c r="HB78"/>
      <c r="HC78"/>
      <c r="HD78"/>
      <c r="HE78"/>
      <c r="HF78"/>
      <c r="HG78" s="4"/>
      <c r="HH78" s="4"/>
      <c r="HI78" s="4"/>
      <c r="HJ78" s="6"/>
      <c r="HK78" s="4"/>
      <c r="HL78" s="4"/>
      <c r="HM78" s="4"/>
      <c r="HN78" s="4"/>
      <c r="HO78" s="4"/>
      <c r="HP78" s="4"/>
      <c r="HQ78" s="4"/>
      <c r="HR78" s="6"/>
      <c r="HS78" s="6"/>
      <c r="HT78" s="6"/>
      <c r="HU78" s="9"/>
      <c r="HV78"/>
      <c r="HW78"/>
      <c r="HX78"/>
      <c r="HY78"/>
      <c r="HZ78"/>
      <c r="IA78"/>
      <c r="IB78" s="4"/>
      <c r="IC78" s="4"/>
      <c r="ID78" s="4"/>
      <c r="IE78" s="6"/>
      <c r="IF78" s="4"/>
      <c r="IG78" s="4"/>
      <c r="IH78" s="4"/>
      <c r="II78" s="4"/>
      <c r="IJ78" s="4"/>
      <c r="IK78" s="4"/>
      <c r="IL78" s="4"/>
      <c r="IM78" s="6"/>
      <c r="IN78" s="6"/>
      <c r="IO78" s="6"/>
      <c r="IP78" s="9"/>
      <c r="IQ78"/>
      <c r="IR78"/>
      <c r="IS78"/>
      <c r="IT78"/>
      <c r="IU78"/>
      <c r="IV78"/>
      <c r="IW78" s="4"/>
      <c r="IX78" s="4"/>
      <c r="IY78" s="4"/>
      <c r="IZ78" s="6"/>
      <c r="JA78" s="4"/>
      <c r="JB78" s="4"/>
      <c r="JC78" s="4"/>
      <c r="JD78" s="4"/>
      <c r="JE78" s="4"/>
      <c r="JF78" s="4"/>
      <c r="JG78" s="4"/>
      <c r="JH78" s="6"/>
      <c r="JI78" s="6"/>
      <c r="JJ78" s="6"/>
      <c r="JK78" s="9"/>
      <c r="JL78"/>
    </row>
    <row r="79">
      <c r="A79" s="8">
        <v>25321</v>
      </c>
      <c r="B79" s="8">
        <v>25322</v>
      </c>
      <c r="C79" s="9">
        <f>B79-A79</f>
        <v>1</v>
      </c>
      <c r="D79" s="8">
        <v>25321</v>
      </c>
      <c r="E79" t="inlineStr">
        <is>
          <t xml:space="preserve">positive</t>
        </is>
      </c>
      <c r="F79" s="4">
        <v>1.2563608580190693</v>
      </c>
      <c r="G79" s="6">
        <v>-0.01567272051075441</v>
      </c>
      <c r="H79" s="7">
        <f>SUM(CE79,CZ79,DU79,EP79,FK79,GF79,HA79,HV79,IQ79,JL79)</f>
        <v>-0.01567272051075441</v>
      </c>
      <c r="I79" s="7">
        <f>G79-H79</f>
        <v>0</v>
      </c>
      <c r="J79" s="5">
        <f>F79*(1+H79)</f>
        <v>1.2366702654306847</v>
      </c>
      <c r="K79" s="4">
        <v>1.2366702654306847</v>
      </c>
      <c r="L79" s="5">
        <f>K79-J79</f>
        <v>0</v>
      </c>
      <c r="M79" s="4">
        <v>1.81</v>
      </c>
      <c r="N79" s="4">
        <v>1.794</v>
      </c>
      <c r="O79" s="5">
        <f>M79/$M$3</f>
        <v>0.9244126659856997</v>
      </c>
      <c r="P79" s="5">
        <f>N79/$M$3</f>
        <v>0.9162410623084781</v>
      </c>
      <c r="Q79" s="7">
        <f>IFERROR(N79/M79-1,0)</f>
        <v>-0.008839779005524906</v>
      </c>
      <c r="R79" s="5">
        <f>SUM(IF(BM79="lease",BU79,0),IF(CH79="lease",CP79,0),IF(DC79="lease",DK79,0),IF(DX79="lease",EF79,0),IF(ES79="lease",FA79,0),IF(FN79="lease",FV79,0),IF(GI79="lease",GQ79,0),IF(HD79="lease",HL79,0),IF(HY79="lease",IG79,0),IF(IT79="lease",JB79,0))</f>
        <v>1.2563608580190697</v>
      </c>
      <c r="S79" s="5">
        <f>SUM(IF(BM79="lease",BV79,0),IF(CH79="lease",CQ79,0),IF(DC79="lease",DL79,0),IF(DX79="lease",EG79,0),IF(ES79="lease",FB79,0),IF(FN79="lease",FW79,0),IF(GI79="lease",GR79,0),IF(HD79="lease",HM79,0),IF(HY79="lease",IH79,0),IF(IT79="lease",JC79,0))</f>
        <v>1.2366702654306851</v>
      </c>
      <c r="T79" s="5">
        <f>SUM(IF(BM79="keep",BU79,0),IF(CH79="keep",CP79,0),IF(DC79="keep",DK79,0),IF(DX79="keep",EF79,0),IF(ES79="keep",FA79,0),IF(FN79="keep",FV79,0),IF(GI79="keep",GQ79,0),IF(HD79="keep",HL79,0),IF(HY79="keep",IG79,0),IF(IT79="keep",JB79,0))</f>
        <v>0</v>
      </c>
      <c r="U79" s="5">
        <f>SUM(IF(BM79="keep",BV79,0),IF(CH79="keep",CQ79,0),IF(DC79="keep",DL79,0),IF(DX79="keep",EG79,0),IF(ES79="keep",FB79,0),IF(FN79="keep",FW79,0),IF(GI79="keep",GR79,0),IF(HD79="keep",HM79,0),IF(HY79="keep",IH79,0),IF(IT79="keep",JC79,0))</f>
        <v>0</v>
      </c>
      <c r="V79" s="5">
        <f>R79/O79</f>
        <v>1.3590909171278114</v>
      </c>
      <c r="W79" s="5">
        <f>S79/P79</f>
        <v>1.3497215048569016</v>
      </c>
      <c r="X79" s="5">
        <f>T79/O79</f>
        <v>0</v>
      </c>
      <c r="Y79" s="5">
        <f>U79/P79</f>
        <v>0</v>
      </c>
      <c r="Z79" s="5">
        <f>V79+X79</f>
        <v>1.3590909171278114</v>
      </c>
      <c r="AA79" s="7">
        <f>IFERROR(W79/V79-1,0)</f>
        <v>-0.006893881897695464</v>
      </c>
      <c r="AB79" s="7">
        <f>IFERROR((W79-V79)/Z79,0)</f>
        <v>-0.006893881897695516</v>
      </c>
      <c r="AC79" s="7">
        <f>IFERROR(Y79/X79-1,0)</f>
        <v>0</v>
      </c>
      <c r="AD79" s="7">
        <f>IFERROR((Y79-X79)/Z79,0)</f>
        <v>0</v>
      </c>
      <c r="AE79" s="7">
        <f>AB79+AD79</f>
        <v>-0.006893881897695516</v>
      </c>
      <c r="AF79" s="7">
        <f>(1+Q79)*(1+AE79)-1</f>
        <v>-0.015672720510754523</v>
      </c>
      <c r="AG79" s="7">
        <f>G79-AF79</f>
        <v>1.1449174941446927e-16</v>
      </c>
      <c r="AH79" s="5">
        <f>SUM(IF(BM79="lease",BW79,0),IF(CH79="lease",CR79,0),IF(DC79="lease",DM79,0),IF(DX79="lease",EH79,0),IF(ES79="lease",FC79,0),IF(FN79="lease",FX79,0),IF(GI79="lease",GS79,0),IF(HD79="lease",HN79,0),IF(HY79="lease",II79,0),IF(IT79="lease",JD79,0))</f>
        <v>-0.019690592588384476</v>
      </c>
      <c r="AI79" s="5">
        <f>SUM(IF(BM79="keep",BW79,0),IF(CH79="keep",CR79,0),IF(DC79="keep",DM79,0),IF(DX79="keep",EH79,0),IF(ES79="keep",FC79,0),IF(FN79="keep",FX79,0),IF(GI79="keep",GS79,0),IF(HD79="keep",HN79,0),IF(HY79="keep",II79,0),IF(IT79="keep",JD79,0))</f>
        <v>0</v>
      </c>
      <c r="AJ79" s="5">
        <f>SUM(IF(BM79="lease",BX79,0),IF(CH79="lease",CS79,0),IF(DC79="lease",DN79,0),IF(DX79="lease",EI79,0),IF(ES79="lease",FD79,0),IF(FN79="lease",FY79,0),IF(GI79="lease",GT79,0),IF(HD79="lease",HO79,0),IF(HY79="lease",IJ79,0),IF(IT79="lease",JE79,0))</f>
        <v>0</v>
      </c>
      <c r="AK79" s="5">
        <f>SUM(IF(BM79="keep",BX79,0),IF(CH79="keep",CS79,0),IF(DC79="keep",DN79,0),IF(DX79="keep",EI79,0),IF(ES79="keep",FD79,0),IF(FN79="keep",FY79,0),IF(GI79="keep",GT79,0),IF(HD79="keep",HO79,0),IF(HY79="keep",IJ79,0),IF(IT79="keep",JE79,0))</f>
        <v>0</v>
      </c>
      <c r="AL79" s="5">
        <f>R79-S78</f>
        <v>0</v>
      </c>
      <c r="AM79" s="5">
        <f>T79-U78</f>
        <v>0</v>
      </c>
      <c r="AN79" s="5">
        <f>AN78</f>
        <v>1</v>
      </c>
      <c r="AO79" s="5">
        <f>AO78+AH79</f>
        <v>0.23667026543068534</v>
      </c>
      <c r="AP79" s="5">
        <f>AP78+AL79</f>
        <v>-6.661338147750939e-16</v>
      </c>
      <c r="AQ79" s="5">
        <f>AN79+AO79+AP79</f>
        <v>1.2366702654306847</v>
      </c>
      <c r="AR79" s="5">
        <f>S79-AQ79</f>
        <v>4.440892098500626e-16</v>
      </c>
      <c r="AS79" s="5">
        <f>AS78</f>
        <v>0</v>
      </c>
      <c r="AT79" s="5">
        <f>AT78+AI79</f>
        <v>0</v>
      </c>
      <c r="AU79" s="5">
        <f>AU78+AM79</f>
        <v>0</v>
      </c>
      <c r="AV79" s="5">
        <f>AS79+AT79+AU79</f>
        <v>0</v>
      </c>
      <c r="AW79" s="5">
        <f>U79-AV79</f>
        <v>0</v>
      </c>
      <c r="AX79" s="4">
        <v>1.2563608580190697</v>
      </c>
      <c r="AY79" s="4">
        <v>1.2366702654306851</v>
      </c>
      <c r="AZ79" s="5">
        <f>S79-AY79</f>
        <v>0</v>
      </c>
      <c r="BA79" s="4">
        <v>0</v>
      </c>
      <c r="BB79" s="4">
        <v>0</v>
      </c>
      <c r="BC79" s="5">
        <f>U79-BB79</f>
        <v>0</v>
      </c>
      <c r="BD79" s="7">
        <f>SUM(IF(BL79="direct",CE79,0),IF(CG79="direct",CZ79,0),IF(DB79="direct",DU79,0),IF(DW79="direct",EP79,0),IF(ER79="direct",FK79,0),IF(FM79="direct",GF79,0),IF(GH79="direct",HA79,0),IF(HC79="direct",HV79,0),IF(HX79="direct",IQ79,0),IF(IS79="direct",JL79,0))</f>
        <v>0</v>
      </c>
      <c r="BE79" s="7">
        <f>SUM(IF(BL79="treasury",CE79,0),IF(CG79="treasury",CZ79,0),IF(DB79="treasury",DU79,0),IF(DW79="treasury",EP79,0),IF(ER79="treasury",FK79,0),IF(FM79="treasury",GF79,0),IF(GH79="treasury",HA79,0),IF(HC79="treasury",HV79,0),IF(HX79="treasury",IQ79,0),IF(IS79="treasury",JL79,0))</f>
        <v>0.00016438356164383562</v>
      </c>
      <c r="BF79" s="7">
        <f>SUM(IF(BL79="future",CE79,0),IF(CG79="future",CZ79,0),IF(DB79="future",DU79,0),IF(DW79="future",EP79,0),IF(ER79="future",FK79,0),IF(FM79="future",GF79,0),IF(GH79="future",HA79,0),IF(HC79="future",HV79,0),IF(HX79="future",IQ79,0),IF(IS79="future",JL79,0))</f>
        <v>-0.015837104072398245</v>
      </c>
      <c r="BG79" s="7">
        <f>SUM(IF(BL79="cash",CE79,0),IF(CG79="cash",CZ79,0),IF(DB79="cash",DU79,0),IF(DW79="cash",EP79,0),IF(ER79="cash",FK79,0),IF(FM79="cash",GF79,0),IF(GH79="cash",HA79,0),IF(HC79="cash",HV79,0),IF(HX79="cash",IQ79,0),IF(IS79="cash",JL79,0))</f>
        <v>0</v>
      </c>
      <c r="BH79" s="7">
        <f>SUM(BD79:BG79)</f>
        <v>-0.01567272051075441</v>
      </c>
      <c r="BI79" s="7">
        <f>G79-BH79</f>
        <v>0</v>
      </c>
      <c r="BJ79" s="9">
        <f>COUNTA(BK79,CF79,DA79,DV79,EQ79,FL79,GG79,HB79,HW79,IR79)</f>
        <v>4</v>
      </c>
      <c r="BK79" t="inlineStr">
        <is>
          <t xml:space="preserve">Treasury collateral</t>
        </is>
      </c>
      <c r="BL79" t="inlineStr">
        <is>
          <t xml:space="preserve">treasury</t>
        </is>
      </c>
      <c r="BM79" t="inlineStr">
        <is>
          <t xml:space="preserve">lease</t>
        </is>
      </c>
      <c r="BN79" t="inlineStr">
        <is>
          <t xml:space="preserve">long</t>
        </is>
      </c>
      <c r="BO79"/>
      <c r="BP79" s="4">
        <v>101.95788343949516</v>
      </c>
      <c r="BQ79" s="4">
        <v>101.9746436395126</v>
      </c>
      <c r="BR79" s="4">
        <v>0.012322351304640716</v>
      </c>
      <c r="BS79" s="6">
        <v>1</v>
      </c>
      <c r="BT79" s="4">
        <v>1.2563608580190693</v>
      </c>
      <c r="BU79" s="4">
        <v>1.2563608580190693</v>
      </c>
      <c r="BV79" s="4">
        <v>1.2565673830916202</v>
      </c>
      <c r="BW79" s="4">
        <v>0.00020652507255107988</v>
      </c>
      <c r="BX79" s="4">
        <v>-1.5720931501039814e-16</v>
      </c>
      <c r="BY79" s="4">
        <v>1.81</v>
      </c>
      <c r="BZ79" s="4">
        <v>1.794</v>
      </c>
      <c r="CA79" s="6"/>
      <c r="CB79" s="6"/>
      <c r="CC79" s="6"/>
      <c r="CD79" s="9">
        <v>30</v>
      </c>
      <c r="CE79" s="7">
        <f>IFERROR(BW79/F79,0)</f>
        <v>0.00016438356164383562</v>
      </c>
      <c r="CF79" t="inlineStr">
        <is>
          <t xml:space="preserve">SI69K</t>
        </is>
      </c>
      <c r="CG79" t="inlineStr">
        <is>
          <t xml:space="preserve">future</t>
        </is>
      </c>
      <c r="CH79" t="inlineStr">
        <is>
          <t xml:space="preserve">lease</t>
        </is>
      </c>
      <c r="CI79" t="inlineStr">
        <is>
          <t xml:space="preserve">long</t>
        </is>
      </c>
      <c r="CJ79" t="inlineStr">
        <is>
          <t xml:space="preserve">regular</t>
        </is>
      </c>
      <c r="CK79" s="4">
        <v>1.768</v>
      </c>
      <c r="CL79" s="4">
        <v>1.74</v>
      </c>
      <c r="CM79" s="4">
        <v>0.7106113450334102</v>
      </c>
      <c r="CN79" s="6">
        <v>1</v>
      </c>
      <c r="CO79" s="4">
        <v>1.2563608580190693</v>
      </c>
      <c r="CP79" s="4">
        <v>0</v>
      </c>
      <c r="CQ79" s="4">
        <v>0</v>
      </c>
      <c r="CR79" s="4">
        <v>-0.019897117660935555</v>
      </c>
      <c r="CS79" s="4">
        <v>0.019897117660935555</v>
      </c>
      <c r="CT79" s="4">
        <v>1.81</v>
      </c>
      <c r="CU79" s="4">
        <v>1.794</v>
      </c>
      <c r="CV79" s="6">
        <v>-0.023204419889502836</v>
      </c>
      <c r="CW79" s="6">
        <v>0.06</v>
      </c>
      <c r="CX79" s="6">
        <v>0.3423204419889512</v>
      </c>
      <c r="CY79" s="9">
        <v>30</v>
      </c>
      <c r="CZ79" s="7">
        <f>IFERROR(CR79/F79,0)</f>
        <v>-0.015837104072398245</v>
      </c>
      <c r="DA79" t="inlineStr">
        <is>
          <t xml:space="preserve">Lease cash / margin / financing</t>
        </is>
      </c>
      <c r="DB79" t="inlineStr">
        <is>
          <t xml:space="preserve">cash</t>
        </is>
      </c>
      <c r="DC79" t="inlineStr">
        <is>
          <t xml:space="preserve">lease</t>
        </is>
      </c>
      <c r="DD79" t="inlineStr">
        <is>
          <t xml:space="preserve">cash</t>
        </is>
      </c>
      <c r="DE79"/>
      <c r="DF79" s="4">
        <v>1</v>
      </c>
      <c r="DG79" s="4">
        <v>1</v>
      </c>
      <c r="DH79" s="4">
        <v>4.440892098500626e-16</v>
      </c>
      <c r="DI79" s="6"/>
      <c r="DJ79" s="4">
        <v>4.440892098500626e-16</v>
      </c>
      <c r="DK79" s="4">
        <v>4.440892098500626e-16</v>
      </c>
      <c r="DL79" s="4">
        <v>-0.019897117660934955</v>
      </c>
      <c r="DM79" s="4">
        <v>0</v>
      </c>
      <c r="DN79" s="4">
        <v>-0.0198971176609354</v>
      </c>
      <c r="DO79" s="4">
        <v>1.81</v>
      </c>
      <c r="DP79" s="4">
        <v>1.794</v>
      </c>
      <c r="DQ79" s="6"/>
      <c r="DR79" s="6"/>
      <c r="DS79" s="6"/>
      <c r="DT79" s="9"/>
      <c r="DU79" s="7">
        <f>IFERROR(DM79/F79,0)</f>
        <v>0</v>
      </c>
      <c r="DV79" t="inlineStr">
        <is>
          <t xml:space="preserve">Keep cash / margin / financing</t>
        </is>
      </c>
      <c r="DW79" t="inlineStr">
        <is>
          <t xml:space="preserve">cash</t>
        </is>
      </c>
      <c r="DX79" t="inlineStr">
        <is>
          <t xml:space="preserve">keep</t>
        </is>
      </c>
      <c r="DY79" t="inlineStr">
        <is>
          <t xml:space="preserve">cash</t>
        </is>
      </c>
      <c r="DZ79"/>
      <c r="EA79" s="4">
        <v>1</v>
      </c>
      <c r="EB79" s="4">
        <v>1</v>
      </c>
      <c r="EC79" s="4">
        <v>0</v>
      </c>
      <c r="ED79" s="6"/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1.81</v>
      </c>
      <c r="EK79" s="4">
        <v>1.794</v>
      </c>
      <c r="EL79" s="6"/>
      <c r="EM79" s="6"/>
      <c r="EN79" s="6"/>
      <c r="EO79" s="9"/>
      <c r="EP79" s="7">
        <f>IFERROR(EH79/F79,0)</f>
        <v>0</v>
      </c>
      <c r="EQ79"/>
      <c r="ER79"/>
      <c r="ES79"/>
      <c r="ET79"/>
      <c r="EU79"/>
      <c r="EV79" s="4"/>
      <c r="EW79" s="4"/>
      <c r="EX79" s="4"/>
      <c r="EY79" s="6"/>
      <c r="EZ79" s="4"/>
      <c r="FA79" s="4"/>
      <c r="FB79" s="4"/>
      <c r="FC79" s="4"/>
      <c r="FD79" s="4"/>
      <c r="FE79" s="4"/>
      <c r="FF79" s="4"/>
      <c r="FG79" s="6"/>
      <c r="FH79" s="6"/>
      <c r="FI79" s="6"/>
      <c r="FJ79" s="9"/>
      <c r="FK79"/>
      <c r="FL79"/>
      <c r="FM79"/>
      <c r="FN79"/>
      <c r="FO79"/>
      <c r="FP79"/>
      <c r="FQ79" s="4"/>
      <c r="FR79" s="4"/>
      <c r="FS79" s="4"/>
      <c r="FT79" s="6"/>
      <c r="FU79" s="4"/>
      <c r="FV79" s="4"/>
      <c r="FW79" s="4"/>
      <c r="FX79" s="4"/>
      <c r="FY79" s="4"/>
      <c r="FZ79" s="4"/>
      <c r="GA79" s="4"/>
      <c r="GB79" s="6"/>
      <c r="GC79" s="6"/>
      <c r="GD79" s="6"/>
      <c r="GE79" s="9"/>
      <c r="GF79"/>
      <c r="GG79"/>
      <c r="GH79"/>
      <c r="GI79"/>
      <c r="GJ79"/>
      <c r="GK79"/>
      <c r="GL79" s="4"/>
      <c r="GM79" s="4"/>
      <c r="GN79" s="4"/>
      <c r="GO79" s="6"/>
      <c r="GP79" s="4"/>
      <c r="GQ79" s="4"/>
      <c r="GR79" s="4"/>
      <c r="GS79" s="4"/>
      <c r="GT79" s="4"/>
      <c r="GU79" s="4"/>
      <c r="GV79" s="4"/>
      <c r="GW79" s="6"/>
      <c r="GX79" s="6"/>
      <c r="GY79" s="6"/>
      <c r="GZ79" s="9"/>
      <c r="HA79"/>
      <c r="HB79"/>
      <c r="HC79"/>
      <c r="HD79"/>
      <c r="HE79"/>
      <c r="HF79"/>
      <c r="HG79" s="4"/>
      <c r="HH79" s="4"/>
      <c r="HI79" s="4"/>
      <c r="HJ79" s="6"/>
      <c r="HK79" s="4"/>
      <c r="HL79" s="4"/>
      <c r="HM79" s="4"/>
      <c r="HN79" s="4"/>
      <c r="HO79" s="4"/>
      <c r="HP79" s="4"/>
      <c r="HQ79" s="4"/>
      <c r="HR79" s="6"/>
      <c r="HS79" s="6"/>
      <c r="HT79" s="6"/>
      <c r="HU79" s="9"/>
      <c r="HV79"/>
      <c r="HW79"/>
      <c r="HX79"/>
      <c r="HY79"/>
      <c r="HZ79"/>
      <c r="IA79"/>
      <c r="IB79" s="4"/>
      <c r="IC79" s="4"/>
      <c r="ID79" s="4"/>
      <c r="IE79" s="6"/>
      <c r="IF79" s="4"/>
      <c r="IG79" s="4"/>
      <c r="IH79" s="4"/>
      <c r="II79" s="4"/>
      <c r="IJ79" s="4"/>
      <c r="IK79" s="4"/>
      <c r="IL79" s="4"/>
      <c r="IM79" s="6"/>
      <c r="IN79" s="6"/>
      <c r="IO79" s="6"/>
      <c r="IP79" s="9"/>
      <c r="IQ79"/>
      <c r="IR79"/>
      <c r="IS79"/>
      <c r="IT79"/>
      <c r="IU79"/>
      <c r="IV79"/>
      <c r="IW79" s="4"/>
      <c r="IX79" s="4"/>
      <c r="IY79" s="4"/>
      <c r="IZ79" s="6"/>
      <c r="JA79" s="4"/>
      <c r="JB79" s="4"/>
      <c r="JC79" s="4"/>
      <c r="JD79" s="4"/>
      <c r="JE79" s="4"/>
      <c r="JF79" s="4"/>
      <c r="JG79" s="4"/>
      <c r="JH79" s="6"/>
      <c r="JI79" s="6"/>
      <c r="JJ79" s="6"/>
      <c r="JK79" s="9"/>
      <c r="JL79"/>
    </row>
    <row r="80">
      <c r="A80" s="8">
        <v>25322</v>
      </c>
      <c r="B80" s="8">
        <v>25323</v>
      </c>
      <c r="C80" s="9">
        <f>B80-A80</f>
        <v>1</v>
      </c>
      <c r="D80" s="8">
        <v>25322</v>
      </c>
      <c r="E80" t="inlineStr">
        <is>
          <t xml:space="preserve">positive</t>
        </is>
      </c>
      <c r="F80" s="4">
        <v>1.2366702654306847</v>
      </c>
      <c r="G80" s="6">
        <v>0.0007369044245000614</v>
      </c>
      <c r="H80" s="7">
        <f>SUM(CE80,CZ80,DU80,EP80,FK80,GF80,HA80,HV80,IQ80,JL80)</f>
        <v>0.0007369044245000614</v>
      </c>
      <c r="I80" s="7">
        <f>G80-H80</f>
        <v>0</v>
      </c>
      <c r="J80" s="5">
        <f>F80*(1+H80)</f>
        <v>1.237581573220928</v>
      </c>
      <c r="K80" s="4">
        <v>1.237581573220928</v>
      </c>
      <c r="L80" s="5">
        <f>K80-J80</f>
        <v>0</v>
      </c>
      <c r="M80" s="4">
        <v>1.794</v>
      </c>
      <c r="N80" s="4">
        <v>1.776</v>
      </c>
      <c r="O80" s="5">
        <f>M80/$M$3</f>
        <v>0.9162410623084781</v>
      </c>
      <c r="P80" s="5">
        <f>N80/$M$3</f>
        <v>0.9070480081716037</v>
      </c>
      <c r="Q80" s="7">
        <f>IFERROR(N80/M80-1,0)</f>
        <v>-0.010033444816053505</v>
      </c>
      <c r="R80" s="5">
        <f>SUM(IF(BM80="lease",BU80,0),IF(CH80="lease",CP80,0),IF(DC80="lease",DK80,0),IF(DX80="lease",EF80,0),IF(ES80="lease",FA80,0),IF(FN80="lease",FV80,0),IF(GI80="lease",GQ80,0),IF(HD80="lease",HL80,0),IF(HY80="lease",IG80,0),IF(IT80="lease",JB80,0))</f>
        <v>1.2366702654306851</v>
      </c>
      <c r="S80" s="5">
        <f>SUM(IF(BM80="lease",BV80,0),IF(CH80="lease",CQ80,0),IF(DC80="lease",DL80,0),IF(DX80="lease",EG80,0),IF(ES80="lease",FB80,0),IF(FN80="lease",FW80,0),IF(GI80="lease",GR80,0),IF(HD80="lease",HM80,0),IF(HY80="lease",IH80,0),IF(IT80="lease",JC80,0))</f>
        <v>1.2375815732209288</v>
      </c>
      <c r="T80" s="5">
        <f>SUM(IF(BM80="keep",BU80,0),IF(CH80="keep",CP80,0),IF(DC80="keep",DK80,0),IF(DX80="keep",EF80,0),IF(ES80="keep",FA80,0),IF(FN80="keep",FV80,0),IF(GI80="keep",GQ80,0),IF(HD80="keep",HL80,0),IF(HY80="keep",IG80,0),IF(IT80="keep",JB80,0))</f>
        <v>0</v>
      </c>
      <c r="U80" s="5">
        <f>SUM(IF(BM80="keep",BV80,0),IF(CH80="keep",CQ80,0),IF(DC80="keep",DL80,0),IF(DX80="keep",EG80,0),IF(ES80="keep",FB80,0),IF(FN80="keep",FW80,0),IF(GI80="keep",GR80,0),IF(HD80="keep",HM80,0),IF(HY80="keep",IH80,0),IF(IT80="keep",JC80,0))</f>
        <v>0</v>
      </c>
      <c r="V80" s="5">
        <f>R80/O80</f>
        <v>1.3497215048569016</v>
      </c>
      <c r="W80" s="5">
        <f>S80/P80</f>
        <v>1.3644058110172177</v>
      </c>
      <c r="X80" s="5">
        <f>T80/O80</f>
        <v>0</v>
      </c>
      <c r="Y80" s="5">
        <f>U80/P80</f>
        <v>0</v>
      </c>
      <c r="Z80" s="5">
        <f>V80+X80</f>
        <v>1.3497215048569016</v>
      </c>
      <c r="AA80" s="7">
        <f>IFERROR(W80/V80-1,0)</f>
        <v>0.010879508185559272</v>
      </c>
      <c r="AB80" s="7">
        <f>IFERROR((W80-V80)/Z80,0)</f>
        <v>0.010879508185559338</v>
      </c>
      <c r="AC80" s="7">
        <f>IFERROR(Y80/X80-1,0)</f>
        <v>0</v>
      </c>
      <c r="AD80" s="7">
        <f>IFERROR((Y80-X80)/Z80,0)</f>
        <v>0</v>
      </c>
      <c r="AE80" s="7">
        <f>AB80+AD80</f>
        <v>0.010879508185559338</v>
      </c>
      <c r="AF80" s="7">
        <f>(1+Q80)*(1+AE80)-1</f>
        <v>0.000736904424500251</v>
      </c>
      <c r="AG80" s="7">
        <f>G80-AF80</f>
        <v>-1.8951853975046618e-16</v>
      </c>
      <c r="AH80" s="5">
        <f>SUM(IF(BM80="lease",BW80,0),IF(CH80="lease",CR80,0),IF(DC80="lease",DM80,0),IF(DX80="lease",EH80,0),IF(ES80="lease",FC80,0),IF(FN80="lease",FX80,0),IF(GI80="lease",GS80,0),IF(HD80="lease",HN80,0),IF(HY80="lease",II80,0),IF(IT80="lease",JD80,0))</f>
        <v>0.0009113077902435369</v>
      </c>
      <c r="AI80" s="5">
        <f>SUM(IF(BM80="keep",BW80,0),IF(CH80="keep",CR80,0),IF(DC80="keep",DM80,0),IF(DX80="keep",EH80,0),IF(ES80="keep",FC80,0),IF(FN80="keep",FX80,0),IF(GI80="keep",GS80,0),IF(HD80="keep",HN80,0),IF(HY80="keep",II80,0),IF(IT80="keep",JD80,0))</f>
        <v>0</v>
      </c>
      <c r="AJ80" s="5">
        <f>SUM(IF(BM80="lease",BX80,0),IF(CH80="lease",CS80,0),IF(DC80="lease",DN80,0),IF(DX80="lease",EI80,0),IF(ES80="lease",FD80,0),IF(FN80="lease",FY80,0),IF(GI80="lease",GT80,0),IF(HD80="lease",HO80,0),IF(HY80="lease",IJ80,0),IF(IT80="lease",JE80,0))</f>
        <v>0</v>
      </c>
      <c r="AK80" s="5">
        <f>SUM(IF(BM80="keep",BX80,0),IF(CH80="keep",CS80,0),IF(DC80="keep",DN80,0),IF(DX80="keep",EI80,0),IF(ES80="keep",FD80,0),IF(FN80="keep",FY80,0),IF(GI80="keep",GT80,0),IF(HD80="keep",HO80,0),IF(HY80="keep",IJ80,0),IF(IT80="keep",JE80,0))</f>
        <v>0</v>
      </c>
      <c r="AL80" s="5">
        <f>R80-S79</f>
        <v>0</v>
      </c>
      <c r="AM80" s="5">
        <f>T80-U79</f>
        <v>0</v>
      </c>
      <c r="AN80" s="5">
        <f>AN79</f>
        <v>1</v>
      </c>
      <c r="AO80" s="5">
        <f>AO79+AH80</f>
        <v>0.23758157322092888</v>
      </c>
      <c r="AP80" s="5">
        <f>AP79+AL80</f>
        <v>-6.661338147750939e-16</v>
      </c>
      <c r="AQ80" s="5">
        <f>AN80+AO80+AP80</f>
        <v>1.2375815732209283</v>
      </c>
      <c r="AR80" s="5">
        <f>S80-AQ80</f>
        <v>4.440892098500626e-16</v>
      </c>
      <c r="AS80" s="5">
        <f>AS79</f>
        <v>0</v>
      </c>
      <c r="AT80" s="5">
        <f>AT79+AI80</f>
        <v>0</v>
      </c>
      <c r="AU80" s="5">
        <f>AU79+AM80</f>
        <v>0</v>
      </c>
      <c r="AV80" s="5">
        <f>AS80+AT80+AU80</f>
        <v>0</v>
      </c>
      <c r="AW80" s="5">
        <f>U80-AV80</f>
        <v>0</v>
      </c>
      <c r="AX80" s="4">
        <v>1.2366702654306851</v>
      </c>
      <c r="AY80" s="4">
        <v>1.2375815732209288</v>
      </c>
      <c r="AZ80" s="5">
        <f>S80-AY80</f>
        <v>0</v>
      </c>
      <c r="BA80" s="4">
        <v>0</v>
      </c>
      <c r="BB80" s="4">
        <v>0</v>
      </c>
      <c r="BC80" s="5">
        <f>U80-BB80</f>
        <v>0</v>
      </c>
      <c r="BD80" s="7">
        <f>SUM(IF(BL80="direct",CE80,0),IF(CG80="direct",CZ80,0),IF(DB80="direct",DU80,0),IF(DW80="direct",EP80,0),IF(ER80="direct",FK80,0),IF(FM80="direct",GF80,0),IF(GH80="direct",HA80,0),IF(HC80="direct",HV80,0),IF(HX80="direct",IQ80,0),IF(IS80="direct",JL80,0))</f>
        <v>0</v>
      </c>
      <c r="BE80" s="7">
        <f>SUM(IF(BL80="treasury",CE80,0),IF(CG80="treasury",CZ80,0),IF(DB80="treasury",DU80,0),IF(DW80="treasury",EP80,0),IF(ER80="treasury",FK80,0),IF(FM80="treasury",GF80,0),IF(GH80="treasury",HA80,0),IF(HC80="treasury",HV80,0),IF(HX80="treasury",IQ80,0),IF(IS80="treasury",JL80,0))</f>
        <v>0.00016219178082191782</v>
      </c>
      <c r="BF80" s="7">
        <f>SUM(IF(BL80="future",CE80,0),IF(CG80="future",CZ80,0),IF(DB80="future",DU80,0),IF(DW80="future",EP80,0),IF(ER80="future",FK80,0),IF(FM80="future",GF80,0),IF(GH80="future",HA80,0),IF(HC80="future",HV80,0),IF(HX80="future",IQ80,0),IF(IS80="future",JL80,0))</f>
        <v>0.0005747126436781436</v>
      </c>
      <c r="BG80" s="7">
        <f>SUM(IF(BL80="cash",CE80,0),IF(CG80="cash",CZ80,0),IF(DB80="cash",DU80,0),IF(DW80="cash",EP80,0),IF(ER80="cash",FK80,0),IF(FM80="cash",GF80,0),IF(GH80="cash",HA80,0),IF(HC80="cash",HV80,0),IF(HX80="cash",IQ80,0),IF(IS80="cash",JL80,0))</f>
        <v>0</v>
      </c>
      <c r="BH80" s="7">
        <f>SUM(BD80:BG80)</f>
        <v>0.0007369044245000614</v>
      </c>
      <c r="BI80" s="7">
        <f>G80-BH80</f>
        <v>0</v>
      </c>
      <c r="BJ80" s="9">
        <f>COUNTA(BK80,CF80,DA80,DV80,EQ80,FL80,GG80,HB80,HW80,IR80)</f>
        <v>4</v>
      </c>
      <c r="BK80" t="inlineStr">
        <is>
          <t xml:space="preserve">Treasury collateral</t>
        </is>
      </c>
      <c r="BL80" t="inlineStr">
        <is>
          <t xml:space="preserve">treasury</t>
        </is>
      </c>
      <c r="BM80" t="inlineStr">
        <is>
          <t xml:space="preserve">lease</t>
        </is>
      </c>
      <c r="BN80" t="inlineStr">
        <is>
          <t xml:space="preserve">long</t>
        </is>
      </c>
      <c r="BO80"/>
      <c r="BP80" s="4">
        <v>101.9746436395126</v>
      </c>
      <c r="BQ80" s="4">
        <v>101.99118308856319</v>
      </c>
      <c r="BR80" s="4">
        <v>0.012127233018851229</v>
      </c>
      <c r="BS80" s="6">
        <v>1</v>
      </c>
      <c r="BT80" s="4">
        <v>1.2366702654306847</v>
      </c>
      <c r="BU80" s="4">
        <v>1.2366702654306847</v>
      </c>
      <c r="BV80" s="4">
        <v>1.2368708431833246</v>
      </c>
      <c r="BW80" s="4">
        <v>0.00020057775263971654</v>
      </c>
      <c r="BX80" s="4">
        <v>2.133980925994594e-16</v>
      </c>
      <c r="BY80" s="4">
        <v>1.794</v>
      </c>
      <c r="BZ80" s="4">
        <v>1.776</v>
      </c>
      <c r="CA80" s="6"/>
      <c r="CB80" s="6"/>
      <c r="CC80" s="6"/>
      <c r="CD80" s="9">
        <v>29</v>
      </c>
      <c r="CE80" s="7">
        <f>IFERROR(BW80/F80,0)</f>
        <v>0.00016219178082191782</v>
      </c>
      <c r="CF80" t="inlineStr">
        <is>
          <t xml:space="preserve">SI69K</t>
        </is>
      </c>
      <c r="CG80" t="inlineStr">
        <is>
          <t xml:space="preserve">future</t>
        </is>
      </c>
      <c r="CH80" t="inlineStr">
        <is>
          <t xml:space="preserve">lease</t>
        </is>
      </c>
      <c r="CI80" t="inlineStr">
        <is>
          <t xml:space="preserve">long</t>
        </is>
      </c>
      <c r="CJ80" t="inlineStr">
        <is>
          <t xml:space="preserve">regular</t>
        </is>
      </c>
      <c r="CK80" s="4">
        <v>1.74</v>
      </c>
      <c r="CL80" s="4">
        <v>1.7409999999999999</v>
      </c>
      <c r="CM80" s="4">
        <v>0.7107300376038418</v>
      </c>
      <c r="CN80" s="6">
        <v>1</v>
      </c>
      <c r="CO80" s="4">
        <v>1.2366702654306847</v>
      </c>
      <c r="CP80" s="4">
        <v>0</v>
      </c>
      <c r="CQ80" s="4">
        <v>0</v>
      </c>
      <c r="CR80" s="4">
        <v>0.0007107300376038204</v>
      </c>
      <c r="CS80" s="4">
        <v>-0.0007107300376038204</v>
      </c>
      <c r="CT80" s="4">
        <v>1.794</v>
      </c>
      <c r="CU80" s="4">
        <v>1.776</v>
      </c>
      <c r="CV80" s="6">
        <v>-0.030100334448160515</v>
      </c>
      <c r="CW80" s="6">
        <v>0.0592</v>
      </c>
      <c r="CX80" s="6">
        <v>0.43804903701995124</v>
      </c>
      <c r="CY80" s="9">
        <v>29</v>
      </c>
      <c r="CZ80" s="7">
        <f>IFERROR(CR80/F80,0)</f>
        <v>0.0005747126436781436</v>
      </c>
      <c r="DA80" t="inlineStr">
        <is>
          <t xml:space="preserve">Lease cash / margin / financing</t>
        </is>
      </c>
      <c r="DB80" t="inlineStr">
        <is>
          <t xml:space="preserve">cash</t>
        </is>
      </c>
      <c r="DC80" t="inlineStr">
        <is>
          <t xml:space="preserve">lease</t>
        </is>
      </c>
      <c r="DD80" t="inlineStr">
        <is>
          <t xml:space="preserve">cash</t>
        </is>
      </c>
      <c r="DE80"/>
      <c r="DF80" s="4">
        <v>1</v>
      </c>
      <c r="DG80" s="4">
        <v>1</v>
      </c>
      <c r="DH80" s="4">
        <v>4.440892098500626e-16</v>
      </c>
      <c r="DI80" s="6"/>
      <c r="DJ80" s="4">
        <v>4.440892098500626e-16</v>
      </c>
      <c r="DK80" s="4">
        <v>4.440892098500626e-16</v>
      </c>
      <c r="DL80" s="4">
        <v>0.0007107300376040511</v>
      </c>
      <c r="DM80" s="4">
        <v>0</v>
      </c>
      <c r="DN80" s="4">
        <v>0.000710730037603607</v>
      </c>
      <c r="DO80" s="4">
        <v>1.794</v>
      </c>
      <c r="DP80" s="4">
        <v>1.776</v>
      </c>
      <c r="DQ80" s="6"/>
      <c r="DR80" s="6"/>
      <c r="DS80" s="6"/>
      <c r="DT80" s="9"/>
      <c r="DU80" s="7">
        <f>IFERROR(DM80/F80,0)</f>
        <v>0</v>
      </c>
      <c r="DV80" t="inlineStr">
        <is>
          <t xml:space="preserve">Keep cash / margin / financing</t>
        </is>
      </c>
      <c r="DW80" t="inlineStr">
        <is>
          <t xml:space="preserve">cash</t>
        </is>
      </c>
      <c r="DX80" t="inlineStr">
        <is>
          <t xml:space="preserve">keep</t>
        </is>
      </c>
      <c r="DY80" t="inlineStr">
        <is>
          <t xml:space="preserve">cash</t>
        </is>
      </c>
      <c r="DZ80"/>
      <c r="EA80" s="4">
        <v>1</v>
      </c>
      <c r="EB80" s="4">
        <v>1</v>
      </c>
      <c r="EC80" s="4">
        <v>0</v>
      </c>
      <c r="ED80" s="6"/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1.794</v>
      </c>
      <c r="EK80" s="4">
        <v>1.776</v>
      </c>
      <c r="EL80" s="6"/>
      <c r="EM80" s="6"/>
      <c r="EN80" s="6"/>
      <c r="EO80" s="9"/>
      <c r="EP80" s="7">
        <f>IFERROR(EH80/F80,0)</f>
        <v>0</v>
      </c>
      <c r="EQ80"/>
      <c r="ER80"/>
      <c r="ES80"/>
      <c r="ET80"/>
      <c r="EU80"/>
      <c r="EV80" s="4"/>
      <c r="EW80" s="4"/>
      <c r="EX80" s="4"/>
      <c r="EY80" s="6"/>
      <c r="EZ80" s="4"/>
      <c r="FA80" s="4"/>
      <c r="FB80" s="4"/>
      <c r="FC80" s="4"/>
      <c r="FD80" s="4"/>
      <c r="FE80" s="4"/>
      <c r="FF80" s="4"/>
      <c r="FG80" s="6"/>
      <c r="FH80" s="6"/>
      <c r="FI80" s="6"/>
      <c r="FJ80" s="9"/>
      <c r="FK80"/>
      <c r="FL80"/>
      <c r="FM80"/>
      <c r="FN80"/>
      <c r="FO80"/>
      <c r="FP80"/>
      <c r="FQ80" s="4"/>
      <c r="FR80" s="4"/>
      <c r="FS80" s="4"/>
      <c r="FT80" s="6"/>
      <c r="FU80" s="4"/>
      <c r="FV80" s="4"/>
      <c r="FW80" s="4"/>
      <c r="FX80" s="4"/>
      <c r="FY80" s="4"/>
      <c r="FZ80" s="4"/>
      <c r="GA80" s="4"/>
      <c r="GB80" s="6"/>
      <c r="GC80" s="6"/>
      <c r="GD80" s="6"/>
      <c r="GE80" s="9"/>
      <c r="GF80"/>
      <c r="GG80"/>
      <c r="GH80"/>
      <c r="GI80"/>
      <c r="GJ80"/>
      <c r="GK80"/>
      <c r="GL80" s="4"/>
      <c r="GM80" s="4"/>
      <c r="GN80" s="4"/>
      <c r="GO80" s="6"/>
      <c r="GP80" s="4"/>
      <c r="GQ80" s="4"/>
      <c r="GR80" s="4"/>
      <c r="GS80" s="4"/>
      <c r="GT80" s="4"/>
      <c r="GU80" s="4"/>
      <c r="GV80" s="4"/>
      <c r="GW80" s="6"/>
      <c r="GX80" s="6"/>
      <c r="GY80" s="6"/>
      <c r="GZ80" s="9"/>
      <c r="HA80"/>
      <c r="HB80"/>
      <c r="HC80"/>
      <c r="HD80"/>
      <c r="HE80"/>
      <c r="HF80"/>
      <c r="HG80" s="4"/>
      <c r="HH80" s="4"/>
      <c r="HI80" s="4"/>
      <c r="HJ80" s="6"/>
      <c r="HK80" s="4"/>
      <c r="HL80" s="4"/>
      <c r="HM80" s="4"/>
      <c r="HN80" s="4"/>
      <c r="HO80" s="4"/>
      <c r="HP80" s="4"/>
      <c r="HQ80" s="4"/>
      <c r="HR80" s="6"/>
      <c r="HS80" s="6"/>
      <c r="HT80" s="6"/>
      <c r="HU80" s="9"/>
      <c r="HV80"/>
      <c r="HW80"/>
      <c r="HX80"/>
      <c r="HY80"/>
      <c r="HZ80"/>
      <c r="IA80"/>
      <c r="IB80" s="4"/>
      <c r="IC80" s="4"/>
      <c r="ID80" s="4"/>
      <c r="IE80" s="6"/>
      <c r="IF80" s="4"/>
      <c r="IG80" s="4"/>
      <c r="IH80" s="4"/>
      <c r="II80" s="4"/>
      <c r="IJ80" s="4"/>
      <c r="IK80" s="4"/>
      <c r="IL80" s="4"/>
      <c r="IM80" s="6"/>
      <c r="IN80" s="6"/>
      <c r="IO80" s="6"/>
      <c r="IP80" s="9"/>
      <c r="IQ80"/>
      <c r="IR80"/>
      <c r="IS80"/>
      <c r="IT80"/>
      <c r="IU80"/>
      <c r="IV80"/>
      <c r="IW80" s="4"/>
      <c r="IX80" s="4"/>
      <c r="IY80" s="4"/>
      <c r="IZ80" s="6"/>
      <c r="JA80" s="4"/>
      <c r="JB80" s="4"/>
      <c r="JC80" s="4"/>
      <c r="JD80" s="4"/>
      <c r="JE80" s="4"/>
      <c r="JF80" s="4"/>
      <c r="JG80" s="4"/>
      <c r="JH80" s="6"/>
      <c r="JI80" s="6"/>
      <c r="JJ80" s="6"/>
      <c r="JK80" s="9"/>
      <c r="JL80"/>
    </row>
    <row r="81">
      <c r="A81" s="8">
        <v>25323</v>
      </c>
      <c r="B81" s="8">
        <v>25324</v>
      </c>
      <c r="C81" s="9">
        <f>B81-A81</f>
        <v>1</v>
      </c>
      <c r="D81" s="8">
        <v>25323</v>
      </c>
      <c r="E81" t="inlineStr">
        <is>
          <t xml:space="preserve">positive</t>
        </is>
      </c>
      <c r="F81" s="4">
        <v>1.237581573220928</v>
      </c>
      <c r="G81" s="6">
        <v>0.005904647305516454</v>
      </c>
      <c r="H81" s="7">
        <f>SUM(CE81,CZ81,DU81,EP81,FK81,GF81,HA81,HV81,IQ81,JL81)</f>
        <v>0.005904647305516454</v>
      </c>
      <c r="I81" s="7">
        <f>G81-H81</f>
        <v>0</v>
      </c>
      <c r="J81" s="5">
        <f>F81*(1+H81)</f>
        <v>1.2448890559226038</v>
      </c>
      <c r="K81" s="4">
        <v>1.2448890559226038</v>
      </c>
      <c r="L81" s="5">
        <f>K81-J81</f>
        <v>0</v>
      </c>
      <c r="M81" s="4">
        <v>1.776</v>
      </c>
      <c r="N81" s="4">
        <v>1.778</v>
      </c>
      <c r="O81" s="5">
        <f>M81/$M$3</f>
        <v>0.9070480081716037</v>
      </c>
      <c r="P81" s="5">
        <f>N81/$M$3</f>
        <v>0.9080694586312564</v>
      </c>
      <c r="Q81" s="7">
        <f>IFERROR(N81/M81-1,0)</f>
        <v>0.0011261261261261701</v>
      </c>
      <c r="R81" s="5">
        <f>SUM(IF(BM81="lease",BU81,0),IF(CH81="lease",CP81,0),IF(DC81="lease",DK81,0),IF(DX81="lease",EF81,0),IF(ES81="lease",FA81,0),IF(FN81="lease",FV81,0),IF(GI81="lease",GQ81,0),IF(HD81="lease",HL81,0),IF(HY81="lease",IG81,0),IF(IT81="lease",JB81,0))</f>
        <v>1.2375815732209288</v>
      </c>
      <c r="S81" s="5">
        <f>SUM(IF(BM81="lease",BV81,0),IF(CH81="lease",CQ81,0),IF(DC81="lease",DL81,0),IF(DX81="lease",EG81,0),IF(ES81="lease",FB81,0),IF(FN81="lease",FW81,0),IF(GI81="lease",GR81,0),IF(HD81="lease",HM81,0),IF(HY81="lease",IH81,0),IF(IT81="lease",JC81,0))</f>
        <v>1.2448890559226045</v>
      </c>
      <c r="T81" s="5">
        <f>SUM(IF(BM81="keep",BU81,0),IF(CH81="keep",CP81,0),IF(DC81="keep",DK81,0),IF(DX81="keep",EF81,0),IF(ES81="keep",FA81,0),IF(FN81="keep",FV81,0),IF(GI81="keep",GQ81,0),IF(HD81="keep",HL81,0),IF(HY81="keep",IG81,0),IF(IT81="keep",JB81,0))</f>
        <v>0</v>
      </c>
      <c r="U81" s="5">
        <f>SUM(IF(BM81="keep",BV81,0),IF(CH81="keep",CQ81,0),IF(DC81="keep",DL81,0),IF(DX81="keep",EG81,0),IF(ES81="keep",FB81,0),IF(FN81="keep",FW81,0),IF(GI81="keep",GR81,0),IF(HD81="keep",HM81,0),IF(HY81="keep",IH81,0),IF(IT81="keep",JC81,0))</f>
        <v>0</v>
      </c>
      <c r="V81" s="5">
        <f>R81/O81</f>
        <v>1.3644058110172177</v>
      </c>
      <c r="W81" s="5">
        <f>S81/P81</f>
        <v>1.3709183191768612</v>
      </c>
      <c r="X81" s="5">
        <f>T81/O81</f>
        <v>0</v>
      </c>
      <c r="Y81" s="5">
        <f>U81/P81</f>
        <v>0</v>
      </c>
      <c r="Z81" s="5">
        <f>V81+X81</f>
        <v>1.3644058110172177</v>
      </c>
      <c r="AA81" s="7">
        <f>IFERROR(W81/V81-1,0)</f>
        <v>0.004773146014958929</v>
      </c>
      <c r="AB81" s="7">
        <f>IFERROR((W81-V81)/Z81,0)</f>
        <v>0.004773146014958863</v>
      </c>
      <c r="AC81" s="7">
        <f>IFERROR(Y81/X81-1,0)</f>
        <v>0</v>
      </c>
      <c r="AD81" s="7">
        <f>IFERROR((Y81-X81)/Z81,0)</f>
        <v>0</v>
      </c>
      <c r="AE81" s="7">
        <f>AB81+AD81</f>
        <v>0.004773146014958863</v>
      </c>
      <c r="AF81" s="7">
        <f>(1+Q81)*(1+AE81)-1</f>
        <v>0.005904647305516431</v>
      </c>
      <c r="AG81" s="7">
        <f>G81-AF81</f>
        <v>2.3418766925686896e-17</v>
      </c>
      <c r="AH81" s="5">
        <f>SUM(IF(BM81="lease",BW81,0),IF(CH81="lease",CR81,0),IF(DC81="lease",DM81,0),IF(DX81="lease",EH81,0),IF(ES81="lease",FC81,0),IF(FN81="lease",FX81,0),IF(GI81="lease",GS81,0),IF(HD81="lease",HN81,0),IF(HY81="lease",II81,0),IF(IT81="lease",JD81,0))</f>
        <v>0.0073074827016757675</v>
      </c>
      <c r="AI81" s="5">
        <f>SUM(IF(BM81="keep",BW81,0),IF(CH81="keep",CR81,0),IF(DC81="keep",DM81,0),IF(DX81="keep",EH81,0),IF(ES81="keep",FC81,0),IF(FN81="keep",FX81,0),IF(GI81="keep",GS81,0),IF(HD81="keep",HN81,0),IF(HY81="keep",II81,0),IF(IT81="keep",JD81,0))</f>
        <v>0</v>
      </c>
      <c r="AJ81" s="5">
        <f>SUM(IF(BM81="lease",BX81,0),IF(CH81="lease",CS81,0),IF(DC81="lease",DN81,0),IF(DX81="lease",EI81,0),IF(ES81="lease",FD81,0),IF(FN81="lease",FY81,0),IF(GI81="lease",GT81,0),IF(HD81="lease",HO81,0),IF(HY81="lease",IJ81,0),IF(IT81="lease",JE81,0))</f>
        <v>0</v>
      </c>
      <c r="AK81" s="5">
        <f>SUM(IF(BM81="keep",BX81,0),IF(CH81="keep",CS81,0),IF(DC81="keep",DN81,0),IF(DX81="keep",EI81,0),IF(ES81="keep",FD81,0),IF(FN81="keep",FY81,0),IF(GI81="keep",GT81,0),IF(HD81="keep",HO81,0),IF(HY81="keep",IJ81,0),IF(IT81="keep",JE81,0))</f>
        <v>0</v>
      </c>
      <c r="AL81" s="5">
        <f>R81-S80</f>
        <v>0</v>
      </c>
      <c r="AM81" s="5">
        <f>T81-U80</f>
        <v>0</v>
      </c>
      <c r="AN81" s="5">
        <f>AN80</f>
        <v>1</v>
      </c>
      <c r="AO81" s="5">
        <f>AO80+AH81</f>
        <v>0.24488905592260465</v>
      </c>
      <c r="AP81" s="5">
        <f>AP80+AL81</f>
        <v>-6.661338147750939e-16</v>
      </c>
      <c r="AQ81" s="5">
        <f>AN81+AO81+AP81</f>
        <v>1.244889055922604</v>
      </c>
      <c r="AR81" s="5">
        <f>S81-AQ81</f>
        <v>4.440892098500626e-16</v>
      </c>
      <c r="AS81" s="5">
        <f>AS80</f>
        <v>0</v>
      </c>
      <c r="AT81" s="5">
        <f>AT80+AI81</f>
        <v>0</v>
      </c>
      <c r="AU81" s="5">
        <f>AU80+AM81</f>
        <v>0</v>
      </c>
      <c r="AV81" s="5">
        <f>AS81+AT81+AU81</f>
        <v>0</v>
      </c>
      <c r="AW81" s="5">
        <f>U81-AV81</f>
        <v>0</v>
      </c>
      <c r="AX81" s="4">
        <v>1.2375815732209288</v>
      </c>
      <c r="AY81" s="4">
        <v>1.2448890559226045</v>
      </c>
      <c r="AZ81" s="5">
        <f>S81-AY81</f>
        <v>0</v>
      </c>
      <c r="BA81" s="4">
        <v>0</v>
      </c>
      <c r="BB81" s="4">
        <v>0</v>
      </c>
      <c r="BC81" s="5">
        <f>U81-BB81</f>
        <v>0</v>
      </c>
      <c r="BD81" s="7">
        <f>SUM(IF(BL81="direct",CE81,0),IF(CG81="direct",CZ81,0),IF(DB81="direct",DU81,0),IF(DW81="direct",EP81,0),IF(ER81="direct",FK81,0),IF(FM81="direct",GF81,0),IF(GH81="direct",HA81,0),IF(HC81="direct",HV81,0),IF(HX81="direct",IQ81,0),IF(IS81="direct",JL81,0))</f>
        <v>0</v>
      </c>
      <c r="BE81" s="7">
        <f>SUM(IF(BL81="treasury",CE81,0),IF(CG81="treasury",CZ81,0),IF(DB81="treasury",DU81,0),IF(DW81="treasury",EP81,0),IF(ER81="treasury",FK81,0),IF(FM81="treasury",GF81,0),IF(GH81="treasury",HA81,0),IF(HC81="treasury",HV81,0),IF(HX81="treasury",IQ81,0),IF(IS81="treasury",JL81,0))</f>
        <v>0.0001608219178082192</v>
      </c>
      <c r="BF81" s="7">
        <f>SUM(IF(BL81="future",CE81,0),IF(CG81="future",CZ81,0),IF(DB81="future",DU81,0),IF(DW81="future",EP81,0),IF(ER81="future",FK81,0),IF(FM81="future",GF81,0),IF(GH81="future",HA81,0),IF(HC81="future",HV81,0),IF(HX81="future",IQ81,0),IF(IS81="future",JL81,0))</f>
        <v>0.005743825387708235</v>
      </c>
      <c r="BG81" s="7">
        <f>SUM(IF(BL81="cash",CE81,0),IF(CG81="cash",CZ81,0),IF(DB81="cash",DU81,0),IF(DW81="cash",EP81,0),IF(ER81="cash",FK81,0),IF(FM81="cash",GF81,0),IF(GH81="cash",HA81,0),IF(HC81="cash",HV81,0),IF(HX81="cash",IQ81,0),IF(IS81="cash",JL81,0))</f>
        <v>0</v>
      </c>
      <c r="BH81" s="7">
        <f>SUM(BD81:BG81)</f>
        <v>0.005904647305516454</v>
      </c>
      <c r="BI81" s="7">
        <f>G81-BH81</f>
        <v>0</v>
      </c>
      <c r="BJ81" s="9">
        <f>COUNTA(BK81,CF81,DA81,DV81,EQ81,FL81,GG81,HB81,HW81,IR81)</f>
        <v>4</v>
      </c>
      <c r="BK81" t="inlineStr">
        <is>
          <t xml:space="preserve">Treasury collateral</t>
        </is>
      </c>
      <c r="BL81" t="inlineStr">
        <is>
          <t xml:space="preserve">treasury</t>
        </is>
      </c>
      <c r="BM81" t="inlineStr">
        <is>
          <t xml:space="preserve">lease</t>
        </is>
      </c>
      <c r="BN81" t="inlineStr">
        <is>
          <t xml:space="preserve">long</t>
        </is>
      </c>
      <c r="BO81"/>
      <c r="BP81" s="4">
        <v>101.99118308856319</v>
      </c>
      <c r="BQ81" s="4">
        <v>102.00758550622702</v>
      </c>
      <c r="BR81" s="4">
        <v>0.012134201562759444</v>
      </c>
      <c r="BS81" s="6">
        <v>1</v>
      </c>
      <c r="BT81" s="4">
        <v>1.237581573220928</v>
      </c>
      <c r="BU81" s="4">
        <v>1.237581573220928</v>
      </c>
      <c r="BV81" s="4">
        <v>1.2377806034629775</v>
      </c>
      <c r="BW81" s="4">
        <v>0.0001990302420495027</v>
      </c>
      <c r="BX81" s="4">
        <v>-1.3322134194415636e-16</v>
      </c>
      <c r="BY81" s="4">
        <v>1.776</v>
      </c>
      <c r="BZ81" s="4">
        <v>1.778</v>
      </c>
      <c r="CA81" s="6"/>
      <c r="CB81" s="6"/>
      <c r="CC81" s="6"/>
      <c r="CD81" s="9">
        <v>28</v>
      </c>
      <c r="CE81" s="7">
        <f>IFERROR(BW81/F81,0)</f>
        <v>0.0001608219178082192</v>
      </c>
      <c r="CF81" t="inlineStr">
        <is>
          <t xml:space="preserve">SI69K</t>
        </is>
      </c>
      <c r="CG81" t="inlineStr">
        <is>
          <t xml:space="preserve">future</t>
        </is>
      </c>
      <c r="CH81" t="inlineStr">
        <is>
          <t xml:space="preserve">lease</t>
        </is>
      </c>
      <c r="CI81" t="inlineStr">
        <is>
          <t xml:space="preserve">long</t>
        </is>
      </c>
      <c r="CJ81" t="inlineStr">
        <is>
          <t xml:space="preserve">regular</t>
        </is>
      </c>
      <c r="CK81" s="4">
        <v>1.7409999999999999</v>
      </c>
      <c r="CL81" s="4">
        <v>1.751</v>
      </c>
      <c r="CM81" s="4">
        <v>0.7108452459626239</v>
      </c>
      <c r="CN81" s="6">
        <v>1</v>
      </c>
      <c r="CO81" s="4">
        <v>1.237581573220928</v>
      </c>
      <c r="CP81" s="4">
        <v>0</v>
      </c>
      <c r="CQ81" s="4">
        <v>0</v>
      </c>
      <c r="CR81" s="4">
        <v>0.0071084524596262645</v>
      </c>
      <c r="CS81" s="4">
        <v>-0.0071084524596262645</v>
      </c>
      <c r="CT81" s="4">
        <v>1.776</v>
      </c>
      <c r="CU81" s="4">
        <v>1.778</v>
      </c>
      <c r="CV81" s="6">
        <v>-0.01970720720720731</v>
      </c>
      <c r="CW81" s="6">
        <v>0.0587</v>
      </c>
      <c r="CX81" s="6">
        <v>0.31559752252252393</v>
      </c>
      <c r="CY81" s="9">
        <v>28</v>
      </c>
      <c r="CZ81" s="7">
        <f>IFERROR(CR81/F81,0)</f>
        <v>0.005743825387708235</v>
      </c>
      <c r="DA81" t="inlineStr">
        <is>
          <t xml:space="preserve">Lease cash / margin / financing</t>
        </is>
      </c>
      <c r="DB81" t="inlineStr">
        <is>
          <t xml:space="preserve">cash</t>
        </is>
      </c>
      <c r="DC81" t="inlineStr">
        <is>
          <t xml:space="preserve">lease</t>
        </is>
      </c>
      <c r="DD81" t="inlineStr">
        <is>
          <t xml:space="preserve">cash</t>
        </is>
      </c>
      <c r="DE81"/>
      <c r="DF81" s="4">
        <v>1</v>
      </c>
      <c r="DG81" s="4">
        <v>1</v>
      </c>
      <c r="DH81" s="4">
        <v>6.661338147750939e-16</v>
      </c>
      <c r="DI81" s="6"/>
      <c r="DJ81" s="4">
        <v>6.661338147750939e-16</v>
      </c>
      <c r="DK81" s="4">
        <v>6.661338147750939e-16</v>
      </c>
      <c r="DL81" s="4">
        <v>0.007108452459627064</v>
      </c>
      <c r="DM81" s="4">
        <v>0</v>
      </c>
      <c r="DN81" s="4">
        <v>0.007108452459626398</v>
      </c>
      <c r="DO81" s="4">
        <v>1.776</v>
      </c>
      <c r="DP81" s="4">
        <v>1.778</v>
      </c>
      <c r="DQ81" s="6"/>
      <c r="DR81" s="6"/>
      <c r="DS81" s="6"/>
      <c r="DT81" s="9"/>
      <c r="DU81" s="7">
        <f>IFERROR(DM81/F81,0)</f>
        <v>0</v>
      </c>
      <c r="DV81" t="inlineStr">
        <is>
          <t xml:space="preserve">Keep cash / margin / financing</t>
        </is>
      </c>
      <c r="DW81" t="inlineStr">
        <is>
          <t xml:space="preserve">cash</t>
        </is>
      </c>
      <c r="DX81" t="inlineStr">
        <is>
          <t xml:space="preserve">keep</t>
        </is>
      </c>
      <c r="DY81" t="inlineStr">
        <is>
          <t xml:space="preserve">cash</t>
        </is>
      </c>
      <c r="DZ81"/>
      <c r="EA81" s="4">
        <v>1</v>
      </c>
      <c r="EB81" s="4">
        <v>1</v>
      </c>
      <c r="EC81" s="4">
        <v>0</v>
      </c>
      <c r="ED81" s="6"/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1.776</v>
      </c>
      <c r="EK81" s="4">
        <v>1.778</v>
      </c>
      <c r="EL81" s="6"/>
      <c r="EM81" s="6"/>
      <c r="EN81" s="6"/>
      <c r="EO81" s="9"/>
      <c r="EP81" s="7">
        <f>IFERROR(EH81/F81,0)</f>
        <v>0</v>
      </c>
      <c r="EQ81"/>
      <c r="ER81"/>
      <c r="ES81"/>
      <c r="ET81"/>
      <c r="EU81"/>
      <c r="EV81" s="4"/>
      <c r="EW81" s="4"/>
      <c r="EX81" s="4"/>
      <c r="EY81" s="6"/>
      <c r="EZ81" s="4"/>
      <c r="FA81" s="4"/>
      <c r="FB81" s="4"/>
      <c r="FC81" s="4"/>
      <c r="FD81" s="4"/>
      <c r="FE81" s="4"/>
      <c r="FF81" s="4"/>
      <c r="FG81" s="6"/>
      <c r="FH81" s="6"/>
      <c r="FI81" s="6"/>
      <c r="FJ81" s="9"/>
      <c r="FK81"/>
      <c r="FL81"/>
      <c r="FM81"/>
      <c r="FN81"/>
      <c r="FO81"/>
      <c r="FP81"/>
      <c r="FQ81" s="4"/>
      <c r="FR81" s="4"/>
      <c r="FS81" s="4"/>
      <c r="FT81" s="6"/>
      <c r="FU81" s="4"/>
      <c r="FV81" s="4"/>
      <c r="FW81" s="4"/>
      <c r="FX81" s="4"/>
      <c r="FY81" s="4"/>
      <c r="FZ81" s="4"/>
      <c r="GA81" s="4"/>
      <c r="GB81" s="6"/>
      <c r="GC81" s="6"/>
      <c r="GD81" s="6"/>
      <c r="GE81" s="9"/>
      <c r="GF81"/>
      <c r="GG81"/>
      <c r="GH81"/>
      <c r="GI81"/>
      <c r="GJ81"/>
      <c r="GK81"/>
      <c r="GL81" s="4"/>
      <c r="GM81" s="4"/>
      <c r="GN81" s="4"/>
      <c r="GO81" s="6"/>
      <c r="GP81" s="4"/>
      <c r="GQ81" s="4"/>
      <c r="GR81" s="4"/>
      <c r="GS81" s="4"/>
      <c r="GT81" s="4"/>
      <c r="GU81" s="4"/>
      <c r="GV81" s="4"/>
      <c r="GW81" s="6"/>
      <c r="GX81" s="6"/>
      <c r="GY81" s="6"/>
      <c r="GZ81" s="9"/>
      <c r="HA81"/>
      <c r="HB81"/>
      <c r="HC81"/>
      <c r="HD81"/>
      <c r="HE81"/>
      <c r="HF81"/>
      <c r="HG81" s="4"/>
      <c r="HH81" s="4"/>
      <c r="HI81" s="4"/>
      <c r="HJ81" s="6"/>
      <c r="HK81" s="4"/>
      <c r="HL81" s="4"/>
      <c r="HM81" s="4"/>
      <c r="HN81" s="4"/>
      <c r="HO81" s="4"/>
      <c r="HP81" s="4"/>
      <c r="HQ81" s="4"/>
      <c r="HR81" s="6"/>
      <c r="HS81" s="6"/>
      <c r="HT81" s="6"/>
      <c r="HU81" s="9"/>
      <c r="HV81"/>
      <c r="HW81"/>
      <c r="HX81"/>
      <c r="HY81"/>
      <c r="HZ81"/>
      <c r="IA81"/>
      <c r="IB81" s="4"/>
      <c r="IC81" s="4"/>
      <c r="ID81" s="4"/>
      <c r="IE81" s="6"/>
      <c r="IF81" s="4"/>
      <c r="IG81" s="4"/>
      <c r="IH81" s="4"/>
      <c r="II81" s="4"/>
      <c r="IJ81" s="4"/>
      <c r="IK81" s="4"/>
      <c r="IL81" s="4"/>
      <c r="IM81" s="6"/>
      <c r="IN81" s="6"/>
      <c r="IO81" s="6"/>
      <c r="IP81" s="9"/>
      <c r="IQ81"/>
      <c r="IR81"/>
      <c r="IS81"/>
      <c r="IT81"/>
      <c r="IU81"/>
      <c r="IV81"/>
      <c r="IW81" s="4"/>
      <c r="IX81" s="4"/>
      <c r="IY81" s="4"/>
      <c r="IZ81" s="6"/>
      <c r="JA81" s="4"/>
      <c r="JB81" s="4"/>
      <c r="JC81" s="4"/>
      <c r="JD81" s="4"/>
      <c r="JE81" s="4"/>
      <c r="JF81" s="4"/>
      <c r="JG81" s="4"/>
      <c r="JH81" s="6"/>
      <c r="JI81" s="6"/>
      <c r="JJ81" s="6"/>
      <c r="JK81" s="9"/>
      <c r="JL81"/>
    </row>
    <row r="82">
      <c r="A82" s="8">
        <v>25324</v>
      </c>
      <c r="B82" s="8">
        <v>25325</v>
      </c>
      <c r="C82" s="9">
        <f>B82-A82</f>
        <v>1</v>
      </c>
      <c r="D82" s="8">
        <v>25324</v>
      </c>
      <c r="E82" t="inlineStr">
        <is>
          <t xml:space="preserve">positive</t>
        </is>
      </c>
      <c r="F82" s="4">
        <v>1.2448890559226038</v>
      </c>
      <c r="G82" s="6">
        <v>-0.003264421582970101</v>
      </c>
      <c r="H82" s="7">
        <f>SUM(CE82,CZ82,DU82,EP82,FK82,GF82,HA82,HV82,IQ82,JL82)</f>
        <v>-0.003264421582970101</v>
      </c>
      <c r="I82" s="7">
        <f>G82-H82</f>
        <v>0</v>
      </c>
      <c r="J82" s="5">
        <f>F82*(1+H82)</f>
        <v>1.2408252132200468</v>
      </c>
      <c r="K82" s="4">
        <v>1.2408252132200468</v>
      </c>
      <c r="L82" s="5">
        <f>K82-J82</f>
        <v>0</v>
      </c>
      <c r="M82" s="4">
        <v>1.778</v>
      </c>
      <c r="N82" s="4">
        <v>1.777</v>
      </c>
      <c r="O82" s="5">
        <f>M82/$M$3</f>
        <v>0.9080694586312564</v>
      </c>
      <c r="P82" s="5">
        <f>N82/$M$3</f>
        <v>0.90755873340143</v>
      </c>
      <c r="Q82" s="7">
        <f>IFERROR(N82/M82-1,0)</f>
        <v>-0.0005624296962880582</v>
      </c>
      <c r="R82" s="5">
        <f>SUM(IF(BM82="lease",BU82,0),IF(CH82="lease",CP82,0),IF(DC82="lease",DK82,0),IF(DX82="lease",EF82,0),IF(ES82="lease",FA82,0),IF(FN82="lease",FV82,0),IF(GI82="lease",GQ82,0),IF(HD82="lease",HL82,0),IF(HY82="lease",IG82,0),IF(IT82="lease",JB82,0))</f>
        <v>1.2448890559226045</v>
      </c>
      <c r="S82" s="5">
        <f>SUM(IF(BM82="lease",BV82,0),IF(CH82="lease",CQ82,0),IF(DC82="lease",DL82,0),IF(DX82="lease",EG82,0),IF(ES82="lease",FB82,0),IF(FN82="lease",FW82,0),IF(GI82="lease",GR82,0),IF(HD82="lease",HM82,0),IF(HY82="lease",IH82,0),IF(IT82="lease",JC82,0))</f>
        <v>1.2408252132200475</v>
      </c>
      <c r="T82" s="5">
        <f>SUM(IF(BM82="keep",BU82,0),IF(CH82="keep",CP82,0),IF(DC82="keep",DK82,0),IF(DX82="keep",EF82,0),IF(ES82="keep",FA82,0),IF(FN82="keep",FV82,0),IF(GI82="keep",GQ82,0),IF(HD82="keep",HL82,0),IF(HY82="keep",IG82,0),IF(IT82="keep",JB82,0))</f>
        <v>0</v>
      </c>
      <c r="U82" s="5">
        <f>SUM(IF(BM82="keep",BV82,0),IF(CH82="keep",CQ82,0),IF(DC82="keep",DL82,0),IF(DX82="keep",EG82,0),IF(ES82="keep",FB82,0),IF(FN82="keep",FW82,0),IF(GI82="keep",GR82,0),IF(HD82="keep",HM82,0),IF(HY82="keep",IH82,0),IF(IT82="keep",JC82,0))</f>
        <v>0</v>
      </c>
      <c r="V82" s="5">
        <f>R82/O82</f>
        <v>1.3709183191768612</v>
      </c>
      <c r="W82" s="5">
        <f>S82/P82</f>
        <v>1.3672120244709358</v>
      </c>
      <c r="X82" s="5">
        <f>T82/O82</f>
        <v>0</v>
      </c>
      <c r="Y82" s="5">
        <f>U82/P82</f>
        <v>0</v>
      </c>
      <c r="Z82" s="5">
        <f>V82+X82</f>
        <v>1.3709183191768612</v>
      </c>
      <c r="AA82" s="7">
        <f>IFERROR(W82/V82-1,0)</f>
        <v>-0.002703512422352672</v>
      </c>
      <c r="AB82" s="7">
        <f>IFERROR((W82-V82)/Z82,0)</f>
        <v>-0.002703512422352627</v>
      </c>
      <c r="AC82" s="7">
        <f>IFERROR(Y82/X82-1,0)</f>
        <v>0</v>
      </c>
      <c r="AD82" s="7">
        <f>IFERROR((Y82-X82)/Z82,0)</f>
        <v>0</v>
      </c>
      <c r="AE82" s="7">
        <f>AB82+AD82</f>
        <v>-0.002703512422352627</v>
      </c>
      <c r="AF82" s="7">
        <f>(1+Q82)*(1+AE82)-1</f>
        <v>-0.003264421582970134</v>
      </c>
      <c r="AG82" s="7">
        <f>G82-AF82</f>
        <v>3.2959746043559335e-17</v>
      </c>
      <c r="AH82" s="5">
        <f>SUM(IF(BM82="lease",BW82,0),IF(CH82="lease",CR82,0),IF(DC82="lease",DM82,0),IF(DX82="lease",EH82,0),IF(ES82="lease",FC82,0),IF(FN82="lease",FX82,0),IF(GI82="lease",GS82,0),IF(HD82="lease",HN82,0),IF(HY82="lease",II82,0),IF(IT82="lease",JD82,0))</f>
        <v>-0.004063842702557021</v>
      </c>
      <c r="AI82" s="5">
        <f>SUM(IF(BM82="keep",BW82,0),IF(CH82="keep",CR82,0),IF(DC82="keep",DM82,0),IF(DX82="keep",EH82,0),IF(ES82="keep",FC82,0),IF(FN82="keep",FX82,0),IF(GI82="keep",GS82,0),IF(HD82="keep",HN82,0),IF(HY82="keep",II82,0),IF(IT82="keep",JD82,0))</f>
        <v>0</v>
      </c>
      <c r="AJ82" s="5">
        <f>SUM(IF(BM82="lease",BX82,0),IF(CH82="lease",CS82,0),IF(DC82="lease",DN82,0),IF(DX82="lease",EI82,0),IF(ES82="lease",FD82,0),IF(FN82="lease",FY82,0),IF(GI82="lease",GT82,0),IF(HD82="lease",HO82,0),IF(HY82="lease",IJ82,0),IF(IT82="lease",JE82,0))</f>
        <v>0</v>
      </c>
      <c r="AK82" s="5">
        <f>SUM(IF(BM82="keep",BX82,0),IF(CH82="keep",CS82,0),IF(DC82="keep",DN82,0),IF(DX82="keep",EI82,0),IF(ES82="keep",FD82,0),IF(FN82="keep",FY82,0),IF(GI82="keep",GT82,0),IF(HD82="keep",HO82,0),IF(HY82="keep",IJ82,0),IF(IT82="keep",JE82,0))</f>
        <v>0</v>
      </c>
      <c r="AL82" s="5">
        <f>R82-S81</f>
        <v>0</v>
      </c>
      <c r="AM82" s="5">
        <f>T82-U81</f>
        <v>0</v>
      </c>
      <c r="AN82" s="5">
        <f>AN81</f>
        <v>1</v>
      </c>
      <c r="AO82" s="5">
        <f>AO81+AH82</f>
        <v>0.24082521322004763</v>
      </c>
      <c r="AP82" s="5">
        <f>AP81+AL82</f>
        <v>-6.661338147750939e-16</v>
      </c>
      <c r="AQ82" s="5">
        <f>AN82+AO82+AP82</f>
        <v>1.240825213220047</v>
      </c>
      <c r="AR82" s="5">
        <f>S82-AQ82</f>
        <v>4.440892098500626e-16</v>
      </c>
      <c r="AS82" s="5">
        <f>AS81</f>
        <v>0</v>
      </c>
      <c r="AT82" s="5">
        <f>AT81+AI82</f>
        <v>0</v>
      </c>
      <c r="AU82" s="5">
        <f>AU81+AM82</f>
        <v>0</v>
      </c>
      <c r="AV82" s="5">
        <f>AS82+AT82+AU82</f>
        <v>0</v>
      </c>
      <c r="AW82" s="5">
        <f>U82-AV82</f>
        <v>0</v>
      </c>
      <c r="AX82" s="4">
        <v>1.2448890559226045</v>
      </c>
      <c r="AY82" s="4">
        <v>1.2408252132200475</v>
      </c>
      <c r="AZ82" s="5">
        <f>S82-AY82</f>
        <v>0</v>
      </c>
      <c r="BA82" s="4">
        <v>0</v>
      </c>
      <c r="BB82" s="4">
        <v>0</v>
      </c>
      <c r="BC82" s="5">
        <f>U82-BB82</f>
        <v>0</v>
      </c>
      <c r="BD82" s="7">
        <f>SUM(IF(BL82="direct",CE82,0),IF(CG82="direct",CZ82,0),IF(DB82="direct",DU82,0),IF(DW82="direct",EP82,0),IF(ER82="direct",FK82,0),IF(FM82="direct",GF82,0),IF(GH82="direct",HA82,0),IF(HC82="direct",HV82,0),IF(HX82="direct",IQ82,0),IF(IS82="direct",JL82,0))</f>
        <v>0</v>
      </c>
      <c r="BE82" s="7">
        <f>SUM(IF(BL82="treasury",CE82,0),IF(CG82="treasury",CZ82,0),IF(DB82="treasury",DU82,0),IF(DW82="treasury",EP82,0),IF(ER82="treasury",FK82,0),IF(FM82="treasury",GF82,0),IF(GH82="treasury",HA82,0),IF(HC82="treasury",HV82,0),IF(HX82="treasury",IQ82,0),IF(IS82="treasury",JL82,0))</f>
        <v>0.00016219178082191782</v>
      </c>
      <c r="BF82" s="7">
        <f>SUM(IF(BL82="future",CE82,0),IF(CG82="future",CZ82,0),IF(DB82="future",DU82,0),IF(DW82="future",EP82,0),IF(ER82="future",FK82,0),IF(FM82="future",GF82,0),IF(GH82="future",HA82,0),IF(HC82="future",HV82,0),IF(HX82="future",IQ82,0),IF(IS82="future",JL82,0))</f>
        <v>-0.003426613363792019</v>
      </c>
      <c r="BG82" s="7">
        <f>SUM(IF(BL82="cash",CE82,0),IF(CG82="cash",CZ82,0),IF(DB82="cash",DU82,0),IF(DW82="cash",EP82,0),IF(ER82="cash",FK82,0),IF(FM82="cash",GF82,0),IF(GH82="cash",HA82,0),IF(HC82="cash",HV82,0),IF(HX82="cash",IQ82,0),IF(IS82="cash",JL82,0))</f>
        <v>0</v>
      </c>
      <c r="BH82" s="7">
        <f>SUM(BD82:BG82)</f>
        <v>-0.003264421582970101</v>
      </c>
      <c r="BI82" s="7">
        <f>G82-BH82</f>
        <v>0</v>
      </c>
      <c r="BJ82" s="9">
        <f>COUNTA(BK82,CF82,DA82,DV82,EQ82,FL82,GG82,HB82,HW82,IR82)</f>
        <v>4</v>
      </c>
      <c r="BK82" t="inlineStr">
        <is>
          <t xml:space="preserve">Treasury collateral</t>
        </is>
      </c>
      <c r="BL82" t="inlineStr">
        <is>
          <t xml:space="preserve">treasury</t>
        </is>
      </c>
      <c r="BM82" t="inlineStr">
        <is>
          <t xml:space="preserve">lease</t>
        </is>
      </c>
      <c r="BN82" t="inlineStr">
        <is>
          <t xml:space="preserve">long</t>
        </is>
      </c>
      <c r="BO82"/>
      <c r="BP82" s="4">
        <v>102.00758550622702</v>
      </c>
      <c r="BQ82" s="4">
        <v>102.02413029817761</v>
      </c>
      <c r="BR82" s="4">
        <v>0.012203887090794929</v>
      </c>
      <c r="BS82" s="6">
        <v>1</v>
      </c>
      <c r="BT82" s="4">
        <v>1.2448890559226038</v>
      </c>
      <c r="BU82" s="4">
        <v>1.2448890559226038</v>
      </c>
      <c r="BV82" s="4">
        <v>1.2450909666955094</v>
      </c>
      <c r="BW82" s="4">
        <v>0.00020191077290580316</v>
      </c>
      <c r="BX82" s="4">
        <v>-1.4742439040371647e-16</v>
      </c>
      <c r="BY82" s="4">
        <v>1.778</v>
      </c>
      <c r="BZ82" s="4">
        <v>1.777</v>
      </c>
      <c r="CA82" s="6"/>
      <c r="CB82" s="6"/>
      <c r="CC82" s="6"/>
      <c r="CD82" s="9">
        <v>27</v>
      </c>
      <c r="CE82" s="7">
        <f>IFERROR(BW82/F82,0)</f>
        <v>0.00016219178082191782</v>
      </c>
      <c r="CF82" t="inlineStr">
        <is>
          <t xml:space="preserve">SI69K</t>
        </is>
      </c>
      <c r="CG82" t="inlineStr">
        <is>
          <t xml:space="preserve">future</t>
        </is>
      </c>
      <c r="CH82" t="inlineStr">
        <is>
          <t xml:space="preserve">lease</t>
        </is>
      </c>
      <c r="CI82" t="inlineStr">
        <is>
          <t xml:space="preserve">long</t>
        </is>
      </c>
      <c r="CJ82" t="inlineStr">
        <is>
          <t xml:space="preserve">regular</t>
        </is>
      </c>
      <c r="CK82" s="4">
        <v>1.751</v>
      </c>
      <c r="CL82" s="4">
        <v>1.745</v>
      </c>
      <c r="CM82" s="4">
        <v>0.7109589125771582</v>
      </c>
      <c r="CN82" s="6">
        <v>1</v>
      </c>
      <c r="CO82" s="4">
        <v>1.2448890559226038</v>
      </c>
      <c r="CP82" s="4">
        <v>0</v>
      </c>
      <c r="CQ82" s="4">
        <v>0</v>
      </c>
      <c r="CR82" s="4">
        <v>-0.004265753475462824</v>
      </c>
      <c r="CS82" s="4">
        <v>0.004265753475462824</v>
      </c>
      <c r="CT82" s="4">
        <v>1.778</v>
      </c>
      <c r="CU82" s="4">
        <v>1.777</v>
      </c>
      <c r="CV82" s="6">
        <v>-0.015185601799775128</v>
      </c>
      <c r="CW82" s="6">
        <v>0.0592</v>
      </c>
      <c r="CX82" s="6">
        <v>0.2644868391451082</v>
      </c>
      <c r="CY82" s="9">
        <v>27</v>
      </c>
      <c r="CZ82" s="7">
        <f>IFERROR(CR82/F82,0)</f>
        <v>-0.003426613363792019</v>
      </c>
      <c r="DA82" t="inlineStr">
        <is>
          <t xml:space="preserve">Lease cash / margin / financing</t>
        </is>
      </c>
      <c r="DB82" t="inlineStr">
        <is>
          <t xml:space="preserve">cash</t>
        </is>
      </c>
      <c r="DC82" t="inlineStr">
        <is>
          <t xml:space="preserve">lease</t>
        </is>
      </c>
      <c r="DD82" t="inlineStr">
        <is>
          <t xml:space="preserve">cash</t>
        </is>
      </c>
      <c r="DE82"/>
      <c r="DF82" s="4">
        <v>1</v>
      </c>
      <c r="DG82" s="4">
        <v>1</v>
      </c>
      <c r="DH82" s="4">
        <v>6.661338147750939e-16</v>
      </c>
      <c r="DI82" s="6"/>
      <c r="DJ82" s="4">
        <v>6.661338147750939e-16</v>
      </c>
      <c r="DK82" s="4">
        <v>6.661338147750939e-16</v>
      </c>
      <c r="DL82" s="4">
        <v>-0.004265753475462011</v>
      </c>
      <c r="DM82" s="4">
        <v>0</v>
      </c>
      <c r="DN82" s="4">
        <v>-0.004265753475462677</v>
      </c>
      <c r="DO82" s="4">
        <v>1.778</v>
      </c>
      <c r="DP82" s="4">
        <v>1.777</v>
      </c>
      <c r="DQ82" s="6"/>
      <c r="DR82" s="6"/>
      <c r="DS82" s="6"/>
      <c r="DT82" s="9"/>
      <c r="DU82" s="7">
        <f>IFERROR(DM82/F82,0)</f>
        <v>0</v>
      </c>
      <c r="DV82" t="inlineStr">
        <is>
          <t xml:space="preserve">Keep cash / margin / financing</t>
        </is>
      </c>
      <c r="DW82" t="inlineStr">
        <is>
          <t xml:space="preserve">cash</t>
        </is>
      </c>
      <c r="DX82" t="inlineStr">
        <is>
          <t xml:space="preserve">keep</t>
        </is>
      </c>
      <c r="DY82" t="inlineStr">
        <is>
          <t xml:space="preserve">cash</t>
        </is>
      </c>
      <c r="DZ82"/>
      <c r="EA82" s="4">
        <v>1</v>
      </c>
      <c r="EB82" s="4">
        <v>1</v>
      </c>
      <c r="EC82" s="4">
        <v>0</v>
      </c>
      <c r="ED82" s="6"/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1.778</v>
      </c>
      <c r="EK82" s="4">
        <v>1.777</v>
      </c>
      <c r="EL82" s="6"/>
      <c r="EM82" s="6"/>
      <c r="EN82" s="6"/>
      <c r="EO82" s="9"/>
      <c r="EP82" s="7">
        <f>IFERROR(EH82/F82,0)</f>
        <v>0</v>
      </c>
      <c r="EQ82"/>
      <c r="ER82"/>
      <c r="ES82"/>
      <c r="ET82"/>
      <c r="EU82"/>
      <c r="EV82" s="4"/>
      <c r="EW82" s="4"/>
      <c r="EX82" s="4"/>
      <c r="EY82" s="6"/>
      <c r="EZ82" s="4"/>
      <c r="FA82" s="4"/>
      <c r="FB82" s="4"/>
      <c r="FC82" s="4"/>
      <c r="FD82" s="4"/>
      <c r="FE82" s="4"/>
      <c r="FF82" s="4"/>
      <c r="FG82" s="6"/>
      <c r="FH82" s="6"/>
      <c r="FI82" s="6"/>
      <c r="FJ82" s="9"/>
      <c r="FK82"/>
      <c r="FL82"/>
      <c r="FM82"/>
      <c r="FN82"/>
      <c r="FO82"/>
      <c r="FP82"/>
      <c r="FQ82" s="4"/>
      <c r="FR82" s="4"/>
      <c r="FS82" s="4"/>
      <c r="FT82" s="6"/>
      <c r="FU82" s="4"/>
      <c r="FV82" s="4"/>
      <c r="FW82" s="4"/>
      <c r="FX82" s="4"/>
      <c r="FY82" s="4"/>
      <c r="FZ82" s="4"/>
      <c r="GA82" s="4"/>
      <c r="GB82" s="6"/>
      <c r="GC82" s="6"/>
      <c r="GD82" s="6"/>
      <c r="GE82" s="9"/>
      <c r="GF82"/>
      <c r="GG82"/>
      <c r="GH82"/>
      <c r="GI82"/>
      <c r="GJ82"/>
      <c r="GK82"/>
      <c r="GL82" s="4"/>
      <c r="GM82" s="4"/>
      <c r="GN82" s="4"/>
      <c r="GO82" s="6"/>
      <c r="GP82" s="4"/>
      <c r="GQ82" s="4"/>
      <c r="GR82" s="4"/>
      <c r="GS82" s="4"/>
      <c r="GT82" s="4"/>
      <c r="GU82" s="4"/>
      <c r="GV82" s="4"/>
      <c r="GW82" s="6"/>
      <c r="GX82" s="6"/>
      <c r="GY82" s="6"/>
      <c r="GZ82" s="9"/>
      <c r="HA82"/>
      <c r="HB82"/>
      <c r="HC82"/>
      <c r="HD82"/>
      <c r="HE82"/>
      <c r="HF82"/>
      <c r="HG82" s="4"/>
      <c r="HH82" s="4"/>
      <c r="HI82" s="4"/>
      <c r="HJ82" s="6"/>
      <c r="HK82" s="4"/>
      <c r="HL82" s="4"/>
      <c r="HM82" s="4"/>
      <c r="HN82" s="4"/>
      <c r="HO82" s="4"/>
      <c r="HP82" s="4"/>
      <c r="HQ82" s="4"/>
      <c r="HR82" s="6"/>
      <c r="HS82" s="6"/>
      <c r="HT82" s="6"/>
      <c r="HU82" s="9"/>
      <c r="HV82"/>
      <c r="HW82"/>
      <c r="HX82"/>
      <c r="HY82"/>
      <c r="HZ82"/>
      <c r="IA82"/>
      <c r="IB82" s="4"/>
      <c r="IC82" s="4"/>
      <c r="ID82" s="4"/>
      <c r="IE82" s="6"/>
      <c r="IF82" s="4"/>
      <c r="IG82" s="4"/>
      <c r="IH82" s="4"/>
      <c r="II82" s="4"/>
      <c r="IJ82" s="4"/>
      <c r="IK82" s="4"/>
      <c r="IL82" s="4"/>
      <c r="IM82" s="6"/>
      <c r="IN82" s="6"/>
      <c r="IO82" s="6"/>
      <c r="IP82" s="9"/>
      <c r="IQ82"/>
      <c r="IR82"/>
      <c r="IS82"/>
      <c r="IT82"/>
      <c r="IU82"/>
      <c r="IV82"/>
      <c r="IW82" s="4"/>
      <c r="IX82" s="4"/>
      <c r="IY82" s="4"/>
      <c r="IZ82" s="6"/>
      <c r="JA82" s="4"/>
      <c r="JB82" s="4"/>
      <c r="JC82" s="4"/>
      <c r="JD82" s="4"/>
      <c r="JE82" s="4"/>
      <c r="JF82" s="4"/>
      <c r="JG82" s="4"/>
      <c r="JH82" s="6"/>
      <c r="JI82" s="6"/>
      <c r="JJ82" s="6"/>
      <c r="JK82" s="9"/>
      <c r="JL82"/>
    </row>
    <row r="83">
      <c r="A83" s="8">
        <v>25325</v>
      </c>
      <c r="B83" s="8">
        <v>25328</v>
      </c>
      <c r="C83" s="9">
        <f>B83-A83</f>
        <v>3</v>
      </c>
      <c r="D83" s="8">
        <v>25325</v>
      </c>
      <c r="E83" t="inlineStr">
        <is>
          <t xml:space="preserve">positive</t>
        </is>
      </c>
      <c r="F83" s="4">
        <v>1.2408252132200468</v>
      </c>
      <c r="G83" s="6">
        <v>-0.013836784550771366</v>
      </c>
      <c r="H83" s="7">
        <f>SUM(CE83,CZ83,DU83,EP83,FK83,GF83,HA83,HV83,IQ83,JL83)</f>
        <v>-0.013836784550771367</v>
      </c>
      <c r="I83" s="7">
        <f>G83-H83</f>
        <v>1.734723475976807e-18</v>
      </c>
      <c r="J83" s="5">
        <f>F83*(1+H83)</f>
        <v>1.223656182079556</v>
      </c>
      <c r="K83" s="4">
        <v>1.223656182079556</v>
      </c>
      <c r="L83" s="5">
        <f>K83-J83</f>
        <v>0</v>
      </c>
      <c r="M83" s="4">
        <v>1.777</v>
      </c>
      <c r="N83" s="4">
        <v>1.769</v>
      </c>
      <c r="O83" s="5">
        <f>M83/$M$3</f>
        <v>0.90755873340143</v>
      </c>
      <c r="P83" s="5">
        <f>N83/$M$3</f>
        <v>0.9034729315628192</v>
      </c>
      <c r="Q83" s="7">
        <f>IFERROR(N83/M83-1,0)</f>
        <v>-0.0045019696117051256</v>
      </c>
      <c r="R83" s="5">
        <f>SUM(IF(BM83="lease",BU83,0),IF(CH83="lease",CP83,0),IF(DC83="lease",DK83,0),IF(DX83="lease",EF83,0),IF(ES83="lease",FA83,0),IF(FN83="lease",FV83,0),IF(GI83="lease",GQ83,0),IF(HD83="lease",HL83,0),IF(HY83="lease",IG83,0),IF(IT83="lease",JB83,0))</f>
        <v>1.2408252132200475</v>
      </c>
      <c r="S83" s="5">
        <f>SUM(IF(BM83="lease",BV83,0),IF(CH83="lease",CQ83,0),IF(DC83="lease",DL83,0),IF(DX83="lease",EG83,0),IF(ES83="lease",FB83,0),IF(FN83="lease",FW83,0),IF(GI83="lease",GR83,0),IF(HD83="lease",HM83,0),IF(HY83="lease",IH83,0),IF(IT83="lease",JC83,0))</f>
        <v>1.2236561820795568</v>
      </c>
      <c r="T83" s="5">
        <f>SUM(IF(BM83="keep",BU83,0),IF(CH83="keep",CP83,0),IF(DC83="keep",DK83,0),IF(DX83="keep",EF83,0),IF(ES83="keep",FA83,0),IF(FN83="keep",FV83,0),IF(GI83="keep",GQ83,0),IF(HD83="keep",HL83,0),IF(HY83="keep",IG83,0),IF(IT83="keep",JB83,0))</f>
        <v>0</v>
      </c>
      <c r="U83" s="5">
        <f>SUM(IF(BM83="keep",BV83,0),IF(CH83="keep",CQ83,0),IF(DC83="keep",DL83,0),IF(DX83="keep",EG83,0),IF(ES83="keep",FB83,0),IF(FN83="keep",FW83,0),IF(GI83="keep",GR83,0),IF(HD83="keep",HM83,0),IF(HY83="keep",IH83,0),IF(IT83="keep",JC83,0))</f>
        <v>0</v>
      </c>
      <c r="V83" s="5">
        <f>R83/O83</f>
        <v>1.3672120244709358</v>
      </c>
      <c r="W83" s="5">
        <f>S83/P83</f>
        <v>1.354391636241816</v>
      </c>
      <c r="X83" s="5">
        <f>T83/O83</f>
        <v>0</v>
      </c>
      <c r="Y83" s="5">
        <f>U83/P83</f>
        <v>0</v>
      </c>
      <c r="Z83" s="5">
        <f>V83+X83</f>
        <v>1.3672120244709358</v>
      </c>
      <c r="AA83" s="7">
        <f>IFERROR(W83/V83-1,0)</f>
        <v>-0.009377030043369317</v>
      </c>
      <c r="AB83" s="7">
        <f>IFERROR((W83-V83)/Z83,0)</f>
        <v>-0.00937703004336935</v>
      </c>
      <c r="AC83" s="7">
        <f>IFERROR(Y83/X83-1,0)</f>
        <v>0</v>
      </c>
      <c r="AD83" s="7">
        <f>IFERROR((Y83-X83)/Z83,0)</f>
        <v>0</v>
      </c>
      <c r="AE83" s="7">
        <f>AB83+AD83</f>
        <v>-0.00937703004336935</v>
      </c>
      <c r="AF83" s="7">
        <f>(1+Q83)*(1+AE83)-1</f>
        <v>-0.013836784550771197</v>
      </c>
      <c r="AG83" s="7">
        <f>G83-AF83</f>
        <v>-1.682681771697503e-16</v>
      </c>
      <c r="AH83" s="5">
        <f>SUM(IF(BM83="lease",BW83,0),IF(CH83="lease",CR83,0),IF(DC83="lease",DM83,0),IF(DX83="lease",EH83,0),IF(ES83="lease",FC83,0),IF(FN83="lease",FX83,0),IF(GI83="lease",GS83,0),IF(HD83="lease",HN83,0),IF(HY83="lease",II83,0),IF(IT83="lease",JD83,0))</f>
        <v>-0.01716903114049073</v>
      </c>
      <c r="AI83" s="5">
        <f>SUM(IF(BM83="keep",BW83,0),IF(CH83="keep",CR83,0),IF(DC83="keep",DM83,0),IF(DX83="keep",EH83,0),IF(ES83="keep",FC83,0),IF(FN83="keep",FX83,0),IF(GI83="keep",GS83,0),IF(HD83="keep",HN83,0),IF(HY83="keep",II83,0),IF(IT83="keep",JD83,0))</f>
        <v>0</v>
      </c>
      <c r="AJ83" s="5">
        <f>SUM(IF(BM83="lease",BX83,0),IF(CH83="lease",CS83,0),IF(DC83="lease",DN83,0),IF(DX83="lease",EI83,0),IF(ES83="lease",FD83,0),IF(FN83="lease",FY83,0),IF(GI83="lease",GT83,0),IF(HD83="lease",HO83,0),IF(HY83="lease",IJ83,0),IF(IT83="lease",JE83,0))</f>
        <v>0</v>
      </c>
      <c r="AK83" s="5">
        <f>SUM(IF(BM83="keep",BX83,0),IF(CH83="keep",CS83,0),IF(DC83="keep",DN83,0),IF(DX83="keep",EI83,0),IF(ES83="keep",FD83,0),IF(FN83="keep",FY83,0),IF(GI83="keep",GT83,0),IF(HD83="keep",HO83,0),IF(HY83="keep",IJ83,0),IF(IT83="keep",JE83,0))</f>
        <v>0</v>
      </c>
      <c r="AL83" s="5">
        <f>R83-S82</f>
        <v>0</v>
      </c>
      <c r="AM83" s="5">
        <f>T83-U82</f>
        <v>0</v>
      </c>
      <c r="AN83" s="5">
        <f>AN82</f>
        <v>1</v>
      </c>
      <c r="AO83" s="5">
        <f>AO82+AH83</f>
        <v>0.2236561820795569</v>
      </c>
      <c r="AP83" s="5">
        <f>AP82+AL83</f>
        <v>-6.661338147750939e-16</v>
      </c>
      <c r="AQ83" s="5">
        <f>AN83+AO83+AP83</f>
        <v>1.2236561820795562</v>
      </c>
      <c r="AR83" s="5">
        <f>S83-AQ83</f>
        <v>6.661338147750939e-16</v>
      </c>
      <c r="AS83" s="5">
        <f>AS82</f>
        <v>0</v>
      </c>
      <c r="AT83" s="5">
        <f>AT82+AI83</f>
        <v>0</v>
      </c>
      <c r="AU83" s="5">
        <f>AU82+AM83</f>
        <v>0</v>
      </c>
      <c r="AV83" s="5">
        <f>AS83+AT83+AU83</f>
        <v>0</v>
      </c>
      <c r="AW83" s="5">
        <f>U83-AV83</f>
        <v>0</v>
      </c>
      <c r="AX83" s="4">
        <v>1.2408252132200475</v>
      </c>
      <c r="AY83" s="4">
        <v>1.2236561820795568</v>
      </c>
      <c r="AZ83" s="5">
        <f>S83-AY83</f>
        <v>0</v>
      </c>
      <c r="BA83" s="4">
        <v>0</v>
      </c>
      <c r="BB83" s="4">
        <v>0</v>
      </c>
      <c r="BC83" s="5">
        <f>U83-BB83</f>
        <v>0</v>
      </c>
      <c r="BD83" s="7">
        <f>SUM(IF(BL83="direct",CE83,0),IF(CG83="direct",CZ83,0),IF(DB83="direct",DU83,0),IF(DW83="direct",EP83,0),IF(ER83="direct",FK83,0),IF(FM83="direct",GF83,0),IF(GH83="direct",HA83,0),IF(HC83="direct",HV83,0),IF(HX83="direct",IQ83,0),IF(IS83="direct",JL83,0))</f>
        <v>0</v>
      </c>
      <c r="BE83" s="7">
        <f>SUM(IF(BL83="treasury",CE83,0),IF(CG83="treasury",CZ83,0),IF(DB83="treasury",DU83,0),IF(DW83="treasury",EP83,0),IF(ER83="treasury",FK83,0),IF(FM83="treasury",GF83,0),IF(GH83="treasury",HA83,0),IF(HC83="treasury",HV83,0),IF(HX83="treasury",IQ83,0),IF(IS83="treasury",JL83,0))</f>
        <v>0.0004898630136986302</v>
      </c>
      <c r="BF83" s="7">
        <f>SUM(IF(BL83="future",CE83,0),IF(CG83="future",CZ83,0),IF(DB83="future",DU83,0),IF(DW83="future",EP83,0),IF(ER83="future",FK83,0),IF(FM83="future",GF83,0),IF(GH83="future",HA83,0),IF(HC83="future",HV83,0),IF(HX83="future",IQ83,0),IF(IS83="future",JL83,0))</f>
        <v>-0.014326647564469996</v>
      </c>
      <c r="BG83" s="7">
        <f>SUM(IF(BL83="cash",CE83,0),IF(CG83="cash",CZ83,0),IF(DB83="cash",DU83,0),IF(DW83="cash",EP83,0),IF(ER83="cash",FK83,0),IF(FM83="cash",GF83,0),IF(GH83="cash",HA83,0),IF(HC83="cash",HV83,0),IF(HX83="cash",IQ83,0),IF(IS83="cash",JL83,0))</f>
        <v>0</v>
      </c>
      <c r="BH83" s="7">
        <f>SUM(BD83:BG83)</f>
        <v>-0.013836784550771366</v>
      </c>
      <c r="BI83" s="7">
        <f>G83-BH83</f>
        <v>0</v>
      </c>
      <c r="BJ83" s="9">
        <f>COUNTA(BK83,CF83,DA83,DV83,EQ83,FL83,GG83,HB83,HW83,IR83)</f>
        <v>4</v>
      </c>
      <c r="BK83" t="inlineStr">
        <is>
          <t xml:space="preserve">Treasury collateral</t>
        </is>
      </c>
      <c r="BL83" t="inlineStr">
        <is>
          <t xml:space="preserve">treasury</t>
        </is>
      </c>
      <c r="BM83" t="inlineStr">
        <is>
          <t xml:space="preserve">lease</t>
        </is>
      </c>
      <c r="BN83" t="inlineStr">
        <is>
          <t xml:space="preserve">long</t>
        </is>
      </c>
      <c r="BO83"/>
      <c r="BP83" s="4">
        <v>102.02413029817761</v>
      </c>
      <c r="BQ83" s="4">
        <v>102.07410814611546</v>
      </c>
      <c r="BR83" s="4">
        <v>0.012162075869635821</v>
      </c>
      <c r="BS83" s="6">
        <v>1</v>
      </c>
      <c r="BT83" s="4">
        <v>1.2408252132200468</v>
      </c>
      <c r="BU83" s="4">
        <v>1.2408252132200468</v>
      </c>
      <c r="BV83" s="4">
        <v>1.241433047598468</v>
      </c>
      <c r="BW83" s="4">
        <v>0.0006078343784212176</v>
      </c>
      <c r="BX83" s="4">
        <v>5.0523821237824507e-17</v>
      </c>
      <c r="BY83" s="4">
        <v>1.777</v>
      </c>
      <c r="BZ83" s="4">
        <v>1.769</v>
      </c>
      <c r="CA83" s="6"/>
      <c r="CB83" s="6"/>
      <c r="CC83" s="6"/>
      <c r="CD83" s="9">
        <v>26</v>
      </c>
      <c r="CE83" s="7">
        <f>IFERROR(BW83/F83,0)</f>
        <v>0.0004898630136986302</v>
      </c>
      <c r="CF83" t="inlineStr">
        <is>
          <t xml:space="preserve">SI69K</t>
        </is>
      </c>
      <c r="CG83" t="inlineStr">
        <is>
          <t xml:space="preserve">future</t>
        </is>
      </c>
      <c r="CH83" t="inlineStr">
        <is>
          <t xml:space="preserve">lease</t>
        </is>
      </c>
      <c r="CI83" t="inlineStr">
        <is>
          <t xml:space="preserve">long</t>
        </is>
      </c>
      <c r="CJ83" t="inlineStr">
        <is>
          <t xml:space="preserve">regular</t>
        </is>
      </c>
      <c r="CK83" s="4">
        <v>1.745</v>
      </c>
      <c r="CL83" s="4">
        <v>1.72</v>
      </c>
      <c r="CM83" s="4">
        <v>0.7110746207564738</v>
      </c>
      <c r="CN83" s="6">
        <v>1</v>
      </c>
      <c r="CO83" s="4">
        <v>1.2408252132200468</v>
      </c>
      <c r="CP83" s="4">
        <v>0</v>
      </c>
      <c r="CQ83" s="4">
        <v>0</v>
      </c>
      <c r="CR83" s="4">
        <v>-0.017776865518911947</v>
      </c>
      <c r="CS83" s="4">
        <v>0.017776865518911947</v>
      </c>
      <c r="CT83" s="4">
        <v>1.777</v>
      </c>
      <c r="CU83" s="4">
        <v>1.769</v>
      </c>
      <c r="CV83" s="6">
        <v>-0.01800787844682039</v>
      </c>
      <c r="CW83" s="6">
        <v>0.0596</v>
      </c>
      <c r="CX83" s="6">
        <v>0.3124029089649786</v>
      </c>
      <c r="CY83" s="9">
        <v>26</v>
      </c>
      <c r="CZ83" s="7">
        <f>IFERROR(CR83/F83,0)</f>
        <v>-0.014326647564469996</v>
      </c>
      <c r="DA83" t="inlineStr">
        <is>
          <t xml:space="preserve">Lease cash / margin / financing</t>
        </is>
      </c>
      <c r="DB83" t="inlineStr">
        <is>
          <t xml:space="preserve">cash</t>
        </is>
      </c>
      <c r="DC83" t="inlineStr">
        <is>
          <t xml:space="preserve">lease</t>
        </is>
      </c>
      <c r="DD83" t="inlineStr">
        <is>
          <t xml:space="preserve">cash</t>
        </is>
      </c>
      <c r="DE83"/>
      <c r="DF83" s="4">
        <v>1</v>
      </c>
      <c r="DG83" s="4">
        <v>1</v>
      </c>
      <c r="DH83" s="4">
        <v>6.661338147750939e-16</v>
      </c>
      <c r="DI83" s="6"/>
      <c r="DJ83" s="4">
        <v>6.661338147750939e-16</v>
      </c>
      <c r="DK83" s="4">
        <v>6.661338147750939e-16</v>
      </c>
      <c r="DL83" s="4">
        <v>-0.017776865518911333</v>
      </c>
      <c r="DM83" s="4">
        <v>0</v>
      </c>
      <c r="DN83" s="4">
        <v>-0.017776865518912</v>
      </c>
      <c r="DO83" s="4">
        <v>1.777</v>
      </c>
      <c r="DP83" s="4">
        <v>1.769</v>
      </c>
      <c r="DQ83" s="6"/>
      <c r="DR83" s="6"/>
      <c r="DS83" s="6"/>
      <c r="DT83" s="9"/>
      <c r="DU83" s="7">
        <f>IFERROR(DM83/F83,0)</f>
        <v>0</v>
      </c>
      <c r="DV83" t="inlineStr">
        <is>
          <t xml:space="preserve">Keep cash / margin / financing</t>
        </is>
      </c>
      <c r="DW83" t="inlineStr">
        <is>
          <t xml:space="preserve">cash</t>
        </is>
      </c>
      <c r="DX83" t="inlineStr">
        <is>
          <t xml:space="preserve">keep</t>
        </is>
      </c>
      <c r="DY83" t="inlineStr">
        <is>
          <t xml:space="preserve">cash</t>
        </is>
      </c>
      <c r="DZ83"/>
      <c r="EA83" s="4">
        <v>1</v>
      </c>
      <c r="EB83" s="4">
        <v>1</v>
      </c>
      <c r="EC83" s="4">
        <v>0</v>
      </c>
      <c r="ED83" s="6"/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1.777</v>
      </c>
      <c r="EK83" s="4">
        <v>1.769</v>
      </c>
      <c r="EL83" s="6"/>
      <c r="EM83" s="6"/>
      <c r="EN83" s="6"/>
      <c r="EO83" s="9"/>
      <c r="EP83" s="7">
        <f>IFERROR(EH83/F83,0)</f>
        <v>0</v>
      </c>
      <c r="EQ83"/>
      <c r="ER83"/>
      <c r="ES83"/>
      <c r="ET83"/>
      <c r="EU83"/>
      <c r="EV83" s="4"/>
      <c r="EW83" s="4"/>
      <c r="EX83" s="4"/>
      <c r="EY83" s="6"/>
      <c r="EZ83" s="4"/>
      <c r="FA83" s="4"/>
      <c r="FB83" s="4"/>
      <c r="FC83" s="4"/>
      <c r="FD83" s="4"/>
      <c r="FE83" s="4"/>
      <c r="FF83" s="4"/>
      <c r="FG83" s="6"/>
      <c r="FH83" s="6"/>
      <c r="FI83" s="6"/>
      <c r="FJ83" s="9"/>
      <c r="FK83"/>
      <c r="FL83"/>
      <c r="FM83"/>
      <c r="FN83"/>
      <c r="FO83"/>
      <c r="FP83"/>
      <c r="FQ83" s="4"/>
      <c r="FR83" s="4"/>
      <c r="FS83" s="4"/>
      <c r="FT83" s="6"/>
      <c r="FU83" s="4"/>
      <c r="FV83" s="4"/>
      <c r="FW83" s="4"/>
      <c r="FX83" s="4"/>
      <c r="FY83" s="4"/>
      <c r="FZ83" s="4"/>
      <c r="GA83" s="4"/>
      <c r="GB83" s="6"/>
      <c r="GC83" s="6"/>
      <c r="GD83" s="6"/>
      <c r="GE83" s="9"/>
      <c r="GF83"/>
      <c r="GG83"/>
      <c r="GH83"/>
      <c r="GI83"/>
      <c r="GJ83"/>
      <c r="GK83"/>
      <c r="GL83" s="4"/>
      <c r="GM83" s="4"/>
      <c r="GN83" s="4"/>
      <c r="GO83" s="6"/>
      <c r="GP83" s="4"/>
      <c r="GQ83" s="4"/>
      <c r="GR83" s="4"/>
      <c r="GS83" s="4"/>
      <c r="GT83" s="4"/>
      <c r="GU83" s="4"/>
      <c r="GV83" s="4"/>
      <c r="GW83" s="6"/>
      <c r="GX83" s="6"/>
      <c r="GY83" s="6"/>
      <c r="GZ83" s="9"/>
      <c r="HA83"/>
      <c r="HB83"/>
      <c r="HC83"/>
      <c r="HD83"/>
      <c r="HE83"/>
      <c r="HF83"/>
      <c r="HG83" s="4"/>
      <c r="HH83" s="4"/>
      <c r="HI83" s="4"/>
      <c r="HJ83" s="6"/>
      <c r="HK83" s="4"/>
      <c r="HL83" s="4"/>
      <c r="HM83" s="4"/>
      <c r="HN83" s="4"/>
      <c r="HO83" s="4"/>
      <c r="HP83" s="4"/>
      <c r="HQ83" s="4"/>
      <c r="HR83" s="6"/>
      <c r="HS83" s="6"/>
      <c r="HT83" s="6"/>
      <c r="HU83" s="9"/>
      <c r="HV83"/>
      <c r="HW83"/>
      <c r="HX83"/>
      <c r="HY83"/>
      <c r="HZ83"/>
      <c r="IA83"/>
      <c r="IB83" s="4"/>
      <c r="IC83" s="4"/>
      <c r="ID83" s="4"/>
      <c r="IE83" s="6"/>
      <c r="IF83" s="4"/>
      <c r="IG83" s="4"/>
      <c r="IH83" s="4"/>
      <c r="II83" s="4"/>
      <c r="IJ83" s="4"/>
      <c r="IK83" s="4"/>
      <c r="IL83" s="4"/>
      <c r="IM83" s="6"/>
      <c r="IN83" s="6"/>
      <c r="IO83" s="6"/>
      <c r="IP83" s="9"/>
      <c r="IQ83"/>
      <c r="IR83"/>
      <c r="IS83"/>
      <c r="IT83"/>
      <c r="IU83"/>
      <c r="IV83"/>
      <c r="IW83" s="4"/>
      <c r="IX83" s="4"/>
      <c r="IY83" s="4"/>
      <c r="IZ83" s="6"/>
      <c r="JA83" s="4"/>
      <c r="JB83" s="4"/>
      <c r="JC83" s="4"/>
      <c r="JD83" s="4"/>
      <c r="JE83" s="4"/>
      <c r="JF83" s="4"/>
      <c r="JG83" s="4"/>
      <c r="JH83" s="6"/>
      <c r="JI83" s="6"/>
      <c r="JJ83" s="6"/>
      <c r="JK83" s="9"/>
      <c r="JL83"/>
    </row>
    <row r="84">
      <c r="A84" s="8">
        <v>25328</v>
      </c>
      <c r="B84" s="8">
        <v>25329</v>
      </c>
      <c r="C84" s="9">
        <f>B84-A84</f>
        <v>1</v>
      </c>
      <c r="D84" s="8">
        <v>25328</v>
      </c>
      <c r="E84" t="inlineStr">
        <is>
          <t xml:space="preserve">positive</t>
        </is>
      </c>
      <c r="F84" s="4">
        <v>1.223656182079556</v>
      </c>
      <c r="G84" s="6">
        <v>0.014697623446957655</v>
      </c>
      <c r="H84" s="7">
        <f>SUM(CE84,CZ84,DU84,EP84,FK84,GF84,HA84,HV84,IQ84,JL84)</f>
        <v>0.014697623446957655</v>
      </c>
      <c r="I84" s="7">
        <f>G84-H84</f>
        <v>0</v>
      </c>
      <c r="J84" s="5">
        <f>F84*(1+H84)</f>
        <v>1.2416410198723031</v>
      </c>
      <c r="K84" s="4">
        <v>1.2416410198723031</v>
      </c>
      <c r="L84" s="5">
        <f>K84-J84</f>
        <v>0</v>
      </c>
      <c r="M84" s="4">
        <v>1.769</v>
      </c>
      <c r="N84" s="4">
        <v>1.758</v>
      </c>
      <c r="O84" s="5">
        <f>M84/$M$3</f>
        <v>0.9034729315628192</v>
      </c>
      <c r="P84" s="5">
        <f>N84/$M$3</f>
        <v>0.8978549540347294</v>
      </c>
      <c r="Q84" s="7">
        <f>IFERROR(N84/M84-1,0)</f>
        <v>-0.006218202374222659</v>
      </c>
      <c r="R84" s="5">
        <f>SUM(IF(BM84="lease",BU84,0),IF(CH84="lease",CP84,0),IF(DC84="lease",DK84,0),IF(DX84="lease",EF84,0),IF(ES84="lease",FA84,0),IF(FN84="lease",FV84,0),IF(GI84="lease",GQ84,0),IF(HD84="lease",HL84,0),IF(HY84="lease",IG84,0),IF(IT84="lease",JB84,0))</f>
        <v>1.2236561820795568</v>
      </c>
      <c r="S84" s="5">
        <f>SUM(IF(BM84="lease",BV84,0),IF(CH84="lease",CQ84,0),IF(DC84="lease",DL84,0),IF(DX84="lease",EG84,0),IF(ES84="lease",FB84,0),IF(FN84="lease",FW84,0),IF(GI84="lease",GR84,0),IF(HD84="lease",HM84,0),IF(HY84="lease",IH84,0),IF(IT84="lease",JC84,0))</f>
        <v>1.241641019872304</v>
      </c>
      <c r="T84" s="5">
        <f>SUM(IF(BM84="keep",BU84,0),IF(CH84="keep",CP84,0),IF(DC84="keep",DK84,0),IF(DX84="keep",EF84,0),IF(ES84="keep",FA84,0),IF(FN84="keep",FV84,0),IF(GI84="keep",GQ84,0),IF(HD84="keep",HL84,0),IF(HY84="keep",IG84,0),IF(IT84="keep",JB84,0))</f>
        <v>0</v>
      </c>
      <c r="U84" s="5">
        <f>SUM(IF(BM84="keep",BV84,0),IF(CH84="keep",CQ84,0),IF(DC84="keep",DL84,0),IF(DX84="keep",EG84,0),IF(ES84="keep",FB84,0),IF(FN84="keep",FW84,0),IF(GI84="keep",GR84,0),IF(HD84="keep",HM84,0),IF(HY84="keep",IH84,0),IF(IT84="keep",JC84,0))</f>
        <v>0</v>
      </c>
      <c r="V84" s="5">
        <f>R84/O84</f>
        <v>1.354391636241816</v>
      </c>
      <c r="W84" s="5">
        <f>S84/P84</f>
        <v>1.382897108594978</v>
      </c>
      <c r="X84" s="5">
        <f>T84/O84</f>
        <v>0</v>
      </c>
      <c r="Y84" s="5">
        <f>U84/P84</f>
        <v>0</v>
      </c>
      <c r="Z84" s="5">
        <f>V84+X84</f>
        <v>1.354391636241816</v>
      </c>
      <c r="AA84" s="7">
        <f>IFERROR(W84/V84-1,0)</f>
        <v>0.021046698451460566</v>
      </c>
      <c r="AB84" s="7">
        <f>IFERROR((W84-V84)/Z84,0)</f>
        <v>0.021046698451460677</v>
      </c>
      <c r="AC84" s="7">
        <f>IFERROR(Y84/X84-1,0)</f>
        <v>0</v>
      </c>
      <c r="AD84" s="7">
        <f>IFERROR((Y84-X84)/Z84,0)</f>
        <v>0</v>
      </c>
      <c r="AE84" s="7">
        <f>AB84+AD84</f>
        <v>0.021046698451460677</v>
      </c>
      <c r="AF84" s="7">
        <f>(1+Q84)*(1+AE84)-1</f>
        <v>0.014697623446957797</v>
      </c>
      <c r="AG84" s="7">
        <f>G84-AF84</f>
        <v>-1.4224732503009818e-16</v>
      </c>
      <c r="AH84" s="5">
        <f>SUM(IF(BM84="lease",BW84,0),IF(CH84="lease",CR84,0),IF(DC84="lease",DM84,0),IF(DX84="lease",EH84,0),IF(ES84="lease",FC84,0),IF(FN84="lease",FX84,0),IF(GI84="lease",GS84,0),IF(HD84="lease",HN84,0),IF(HY84="lease",II84,0),IF(IT84="lease",JD84,0))</f>
        <v>0.017984837792747167</v>
      </c>
      <c r="AI84" s="5">
        <f>SUM(IF(BM84="keep",BW84,0),IF(CH84="keep",CR84,0),IF(DC84="keep",DM84,0),IF(DX84="keep",EH84,0),IF(ES84="keep",FC84,0),IF(FN84="keep",FX84,0),IF(GI84="keep",GS84,0),IF(HD84="keep",HN84,0),IF(HY84="keep",II84,0),IF(IT84="keep",JD84,0))</f>
        <v>0</v>
      </c>
      <c r="AJ84" s="5">
        <f>SUM(IF(BM84="lease",BX84,0),IF(CH84="lease",CS84,0),IF(DC84="lease",DN84,0),IF(DX84="lease",EI84,0),IF(ES84="lease",FD84,0),IF(FN84="lease",FY84,0),IF(GI84="lease",GT84,0),IF(HD84="lease",HO84,0),IF(HY84="lease",IJ84,0),IF(IT84="lease",JE84,0))</f>
        <v>0</v>
      </c>
      <c r="AK84" s="5">
        <f>SUM(IF(BM84="keep",BX84,0),IF(CH84="keep",CS84,0),IF(DC84="keep",DN84,0),IF(DX84="keep",EI84,0),IF(ES84="keep",FD84,0),IF(FN84="keep",FY84,0),IF(GI84="keep",GT84,0),IF(HD84="keep",HO84,0),IF(HY84="keep",IJ84,0),IF(IT84="keep",JE84,0))</f>
        <v>0</v>
      </c>
      <c r="AL84" s="5">
        <f>R84-S83</f>
        <v>0</v>
      </c>
      <c r="AM84" s="5">
        <f>T84-U83</f>
        <v>0</v>
      </c>
      <c r="AN84" s="5">
        <f>AN83</f>
        <v>1</v>
      </c>
      <c r="AO84" s="5">
        <f>AO83+AH84</f>
        <v>0.24164101987230407</v>
      </c>
      <c r="AP84" s="5">
        <f>AP83+AL84</f>
        <v>-6.661338147750939e-16</v>
      </c>
      <c r="AQ84" s="5">
        <f>AN84+AO84+AP84</f>
        <v>1.2416410198723034</v>
      </c>
      <c r="AR84" s="5">
        <f>S84-AQ84</f>
        <v>6.661338147750939e-16</v>
      </c>
      <c r="AS84" s="5">
        <f>AS83</f>
        <v>0</v>
      </c>
      <c r="AT84" s="5">
        <f>AT83+AI84</f>
        <v>0</v>
      </c>
      <c r="AU84" s="5">
        <f>AU83+AM84</f>
        <v>0</v>
      </c>
      <c r="AV84" s="5">
        <f>AS84+AT84+AU84</f>
        <v>0</v>
      </c>
      <c r="AW84" s="5">
        <f>U84-AV84</f>
        <v>0</v>
      </c>
      <c r="AX84" s="4">
        <v>1.2236561820795568</v>
      </c>
      <c r="AY84" s="4">
        <v>1.241641019872304</v>
      </c>
      <c r="AZ84" s="5">
        <f>S84-AY84</f>
        <v>0</v>
      </c>
      <c r="BA84" s="4">
        <v>0</v>
      </c>
      <c r="BB84" s="4">
        <v>0</v>
      </c>
      <c r="BC84" s="5">
        <f>U84-BB84</f>
        <v>0</v>
      </c>
      <c r="BD84" s="7">
        <f>SUM(IF(BL84="direct",CE84,0),IF(CG84="direct",CZ84,0),IF(DB84="direct",DU84,0),IF(DW84="direct",EP84,0),IF(ER84="direct",FK84,0),IF(FM84="direct",GF84,0),IF(GH84="direct",HA84,0),IF(HC84="direct",HV84,0),IF(HX84="direct",IQ84,0),IF(IS84="direct",JL84,0))</f>
        <v>0</v>
      </c>
      <c r="BE84" s="7">
        <f>SUM(IF(BL84="treasury",CE84,0),IF(CG84="treasury",CZ84,0),IF(DB84="treasury",DU84,0),IF(DW84="treasury",EP84,0),IF(ER84="treasury",FK84,0),IF(FM84="treasury",GF84,0),IF(GH84="treasury",HA84,0),IF(HC84="treasury",HV84,0),IF(HX84="treasury",IQ84,0),IF(IS84="treasury",JL84,0))</f>
        <v>0.00016273972602739726</v>
      </c>
      <c r="BF84" s="7">
        <f>SUM(IF(BL84="future",CE84,0),IF(CG84="future",CZ84,0),IF(DB84="future",DU84,0),IF(DW84="future",EP84,0),IF(ER84="future",FK84,0),IF(FM84="future",GF84,0),IF(GH84="future",HA84,0),IF(HC84="future",HV84,0),IF(HX84="future",IQ84,0),IF(IS84="future",JL84,0))</f>
        <v>0.014534883720930258</v>
      </c>
      <c r="BG84" s="7">
        <f>SUM(IF(BL84="cash",CE84,0),IF(CG84="cash",CZ84,0),IF(DB84="cash",DU84,0),IF(DW84="cash",EP84,0),IF(ER84="cash",FK84,0),IF(FM84="cash",GF84,0),IF(GH84="cash",HA84,0),IF(HC84="cash",HV84,0),IF(HX84="cash",IQ84,0),IF(IS84="cash",JL84,0))</f>
        <v>0</v>
      </c>
      <c r="BH84" s="7">
        <f>SUM(BD84:BG84)</f>
        <v>0.014697623446957655</v>
      </c>
      <c r="BI84" s="7">
        <f>G84-BH84</f>
        <v>0</v>
      </c>
      <c r="BJ84" s="9">
        <f>COUNTA(BK84,CF84,DA84,DV84,EQ84,FL84,GG84,HB84,HW84,IR84)</f>
        <v>4</v>
      </c>
      <c r="BK84" t="inlineStr">
        <is>
          <t xml:space="preserve">Treasury collateral</t>
        </is>
      </c>
      <c r="BL84" t="inlineStr">
        <is>
          <t xml:space="preserve">treasury</t>
        </is>
      </c>
      <c r="BM84" t="inlineStr">
        <is>
          <t xml:space="preserve">lease</t>
        </is>
      </c>
      <c r="BN84" t="inlineStr">
        <is>
          <t xml:space="preserve">long</t>
        </is>
      </c>
      <c r="BO84"/>
      <c r="BP84" s="4">
        <v>102.07410814611546</v>
      </c>
      <c r="BQ84" s="4">
        <v>102.09071965850964</v>
      </c>
      <c r="BR84" s="4">
        <v>0.011987919407808448</v>
      </c>
      <c r="BS84" s="6">
        <v>1</v>
      </c>
      <c r="BT84" s="4">
        <v>1.223656182079556</v>
      </c>
      <c r="BU84" s="4">
        <v>1.223656182079556</v>
      </c>
      <c r="BV84" s="4">
        <v>1.2238553195513793</v>
      </c>
      <c r="BW84" s="4">
        <v>0.00019913747182335786</v>
      </c>
      <c r="BX84" s="4">
        <v>-3.9329433806911673e-17</v>
      </c>
      <c r="BY84" s="4">
        <v>1.769</v>
      </c>
      <c r="BZ84" s="4">
        <v>1.758</v>
      </c>
      <c r="CA84" s="6"/>
      <c r="CB84" s="6"/>
      <c r="CC84" s="6"/>
      <c r="CD84" s="9">
        <v>23</v>
      </c>
      <c r="CE84" s="7">
        <f>IFERROR(BW84/F84,0)</f>
        <v>0.00016273972602739726</v>
      </c>
      <c r="CF84" t="inlineStr">
        <is>
          <t xml:space="preserve">SI69K</t>
        </is>
      </c>
      <c r="CG84" t="inlineStr">
        <is>
          <t xml:space="preserve">future</t>
        </is>
      </c>
      <c r="CH84" t="inlineStr">
        <is>
          <t xml:space="preserve">lease</t>
        </is>
      </c>
      <c r="CI84" t="inlineStr">
        <is>
          <t xml:space="preserve">long</t>
        </is>
      </c>
      <c r="CJ84" t="inlineStr">
        <is>
          <t xml:space="preserve">regular</t>
        </is>
      </c>
      <c r="CK84" s="4">
        <v>1.72</v>
      </c>
      <c r="CL84" s="4">
        <v>1.745</v>
      </c>
      <c r="CM84" s="4">
        <v>0.7114280128369511</v>
      </c>
      <c r="CN84" s="6">
        <v>1</v>
      </c>
      <c r="CO84" s="4">
        <v>1.223656182079556</v>
      </c>
      <c r="CP84" s="4">
        <v>0</v>
      </c>
      <c r="CQ84" s="4">
        <v>0</v>
      </c>
      <c r="CR84" s="4">
        <v>0.01778570032092381</v>
      </c>
      <c r="CS84" s="4">
        <v>-0.01778570032092381</v>
      </c>
      <c r="CT84" s="4">
        <v>1.769</v>
      </c>
      <c r="CU84" s="4">
        <v>1.758</v>
      </c>
      <c r="CV84" s="6">
        <v>-0.02769926512153753</v>
      </c>
      <c r="CW84" s="6">
        <v>0.0594</v>
      </c>
      <c r="CX84" s="6">
        <v>0.49897529432005217</v>
      </c>
      <c r="CY84" s="9">
        <v>23</v>
      </c>
      <c r="CZ84" s="7">
        <f>IFERROR(CR84/F84,0)</f>
        <v>0.014534883720930258</v>
      </c>
      <c r="DA84" t="inlineStr">
        <is>
          <t xml:space="preserve">Lease cash / margin / financing</t>
        </is>
      </c>
      <c r="DB84" t="inlineStr">
        <is>
          <t xml:space="preserve">cash</t>
        </is>
      </c>
      <c r="DC84" t="inlineStr">
        <is>
          <t xml:space="preserve">lease</t>
        </is>
      </c>
      <c r="DD84" t="inlineStr">
        <is>
          <t xml:space="preserve">cash</t>
        </is>
      </c>
      <c r="DE84"/>
      <c r="DF84" s="4">
        <v>1</v>
      </c>
      <c r="DG84" s="4">
        <v>1</v>
      </c>
      <c r="DH84" s="4">
        <v>8.881784197001252e-16</v>
      </c>
      <c r="DI84" s="6"/>
      <c r="DJ84" s="4">
        <v>8.881784197001252e-16</v>
      </c>
      <c r="DK84" s="4">
        <v>8.881784197001252e-16</v>
      </c>
      <c r="DL84" s="4">
        <v>0.017785700320924736</v>
      </c>
      <c r="DM84" s="4">
        <v>0</v>
      </c>
      <c r="DN84" s="4">
        <v>0.017785700320923848</v>
      </c>
      <c r="DO84" s="4">
        <v>1.769</v>
      </c>
      <c r="DP84" s="4">
        <v>1.758</v>
      </c>
      <c r="DQ84" s="6"/>
      <c r="DR84" s="6"/>
      <c r="DS84" s="6"/>
      <c r="DT84" s="9"/>
      <c r="DU84" s="7">
        <f>IFERROR(DM84/F84,0)</f>
        <v>0</v>
      </c>
      <c r="DV84" t="inlineStr">
        <is>
          <t xml:space="preserve">Keep cash / margin / financing</t>
        </is>
      </c>
      <c r="DW84" t="inlineStr">
        <is>
          <t xml:space="preserve">cash</t>
        </is>
      </c>
      <c r="DX84" t="inlineStr">
        <is>
          <t xml:space="preserve">keep</t>
        </is>
      </c>
      <c r="DY84" t="inlineStr">
        <is>
          <t xml:space="preserve">cash</t>
        </is>
      </c>
      <c r="DZ84"/>
      <c r="EA84" s="4">
        <v>1</v>
      </c>
      <c r="EB84" s="4">
        <v>1</v>
      </c>
      <c r="EC84" s="4">
        <v>0</v>
      </c>
      <c r="ED84" s="6"/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1.769</v>
      </c>
      <c r="EK84" s="4">
        <v>1.758</v>
      </c>
      <c r="EL84" s="6"/>
      <c r="EM84" s="6"/>
      <c r="EN84" s="6"/>
      <c r="EO84" s="9"/>
      <c r="EP84" s="7">
        <f>IFERROR(EH84/F84,0)</f>
        <v>0</v>
      </c>
      <c r="EQ84"/>
      <c r="ER84"/>
      <c r="ES84"/>
      <c r="ET84"/>
      <c r="EU84"/>
      <c r="EV84" s="4"/>
      <c r="EW84" s="4"/>
      <c r="EX84" s="4"/>
      <c r="EY84" s="6"/>
      <c r="EZ84" s="4"/>
      <c r="FA84" s="4"/>
      <c r="FB84" s="4"/>
      <c r="FC84" s="4"/>
      <c r="FD84" s="4"/>
      <c r="FE84" s="4"/>
      <c r="FF84" s="4"/>
      <c r="FG84" s="6"/>
      <c r="FH84" s="6"/>
      <c r="FI84" s="6"/>
      <c r="FJ84" s="9"/>
      <c r="FK84"/>
      <c r="FL84"/>
      <c r="FM84"/>
      <c r="FN84"/>
      <c r="FO84"/>
      <c r="FP84"/>
      <c r="FQ84" s="4"/>
      <c r="FR84" s="4"/>
      <c r="FS84" s="4"/>
      <c r="FT84" s="6"/>
      <c r="FU84" s="4"/>
      <c r="FV84" s="4"/>
      <c r="FW84" s="4"/>
      <c r="FX84" s="4"/>
      <c r="FY84" s="4"/>
      <c r="FZ84" s="4"/>
      <c r="GA84" s="4"/>
      <c r="GB84" s="6"/>
      <c r="GC84" s="6"/>
      <c r="GD84" s="6"/>
      <c r="GE84" s="9"/>
      <c r="GF84"/>
      <c r="GG84"/>
      <c r="GH84"/>
      <c r="GI84"/>
      <c r="GJ84"/>
      <c r="GK84"/>
      <c r="GL84" s="4"/>
      <c r="GM84" s="4"/>
      <c r="GN84" s="4"/>
      <c r="GO84" s="6"/>
      <c r="GP84" s="4"/>
      <c r="GQ84" s="4"/>
      <c r="GR84" s="4"/>
      <c r="GS84" s="4"/>
      <c r="GT84" s="4"/>
      <c r="GU84" s="4"/>
      <c r="GV84" s="4"/>
      <c r="GW84" s="6"/>
      <c r="GX84" s="6"/>
      <c r="GY84" s="6"/>
      <c r="GZ84" s="9"/>
      <c r="HA84"/>
      <c r="HB84"/>
      <c r="HC84"/>
      <c r="HD84"/>
      <c r="HE84"/>
      <c r="HF84"/>
      <c r="HG84" s="4"/>
      <c r="HH84" s="4"/>
      <c r="HI84" s="4"/>
      <c r="HJ84" s="6"/>
      <c r="HK84" s="4"/>
      <c r="HL84" s="4"/>
      <c r="HM84" s="4"/>
      <c r="HN84" s="4"/>
      <c r="HO84" s="4"/>
      <c r="HP84" s="4"/>
      <c r="HQ84" s="4"/>
      <c r="HR84" s="6"/>
      <c r="HS84" s="6"/>
      <c r="HT84" s="6"/>
      <c r="HU84" s="9"/>
      <c r="HV84"/>
      <c r="HW84"/>
      <c r="HX84"/>
      <c r="HY84"/>
      <c r="HZ84"/>
      <c r="IA84"/>
      <c r="IB84" s="4"/>
      <c r="IC84" s="4"/>
      <c r="ID84" s="4"/>
      <c r="IE84" s="6"/>
      <c r="IF84" s="4"/>
      <c r="IG84" s="4"/>
      <c r="IH84" s="4"/>
      <c r="II84" s="4"/>
      <c r="IJ84" s="4"/>
      <c r="IK84" s="4"/>
      <c r="IL84" s="4"/>
      <c r="IM84" s="6"/>
      <c r="IN84" s="6"/>
      <c r="IO84" s="6"/>
      <c r="IP84" s="9"/>
      <c r="IQ84"/>
      <c r="IR84"/>
      <c r="IS84"/>
      <c r="IT84"/>
      <c r="IU84"/>
      <c r="IV84"/>
      <c r="IW84" s="4"/>
      <c r="IX84" s="4"/>
      <c r="IY84" s="4"/>
      <c r="IZ84" s="6"/>
      <c r="JA84" s="4"/>
      <c r="JB84" s="4"/>
      <c r="JC84" s="4"/>
      <c r="JD84" s="4"/>
      <c r="JE84" s="4"/>
      <c r="JF84" s="4"/>
      <c r="JG84" s="4"/>
      <c r="JH84" s="6"/>
      <c r="JI84" s="6"/>
      <c r="JJ84" s="6"/>
      <c r="JK84" s="9"/>
      <c r="JL84"/>
    </row>
    <row r="85">
      <c r="A85" s="8">
        <v>25329</v>
      </c>
      <c r="B85" s="8">
        <v>25330</v>
      </c>
      <c r="C85" s="9">
        <f>B85-A85</f>
        <v>1</v>
      </c>
      <c r="D85" s="8">
        <v>25329</v>
      </c>
      <c r="E85" t="inlineStr">
        <is>
          <t xml:space="preserve">positive</t>
        </is>
      </c>
      <c r="F85" s="4">
        <v>1.2416410198723031</v>
      </c>
      <c r="G85" s="6">
        <v>0.04314487420025896</v>
      </c>
      <c r="H85" s="7">
        <f>SUM(CE85,CZ85,DU85,EP85,FK85,GF85,HA85,HV85,IQ85,JL85)</f>
        <v>0.04314487420025897</v>
      </c>
      <c r="I85" s="7">
        <f>G85-H85</f>
        <v>-6.938893903907228e-18</v>
      </c>
      <c r="J85" s="5">
        <f>F85*(1+H85)</f>
        <v>1.2952114654765747</v>
      </c>
      <c r="K85" s="4">
        <v>1.2952114654765747</v>
      </c>
      <c r="L85" s="5">
        <f>K85-J85</f>
        <v>0</v>
      </c>
      <c r="M85" s="4">
        <v>1.758</v>
      </c>
      <c r="N85" s="4">
        <v>1.807</v>
      </c>
      <c r="O85" s="5">
        <f>M85/$M$3</f>
        <v>0.8978549540347294</v>
      </c>
      <c r="P85" s="5">
        <f>N85/$M$3</f>
        <v>0.9228804902962207</v>
      </c>
      <c r="Q85" s="7">
        <f>IFERROR(N85/M85-1,0)</f>
        <v>0.027872582480090946</v>
      </c>
      <c r="R85" s="5">
        <f>SUM(IF(BM85="lease",BU85,0),IF(CH85="lease",CP85,0),IF(DC85="lease",DK85,0),IF(DX85="lease",EF85,0),IF(ES85="lease",FA85,0),IF(FN85="lease",FV85,0),IF(GI85="lease",GQ85,0),IF(HD85="lease",HL85,0),IF(HY85="lease",IG85,0),IF(IT85="lease",JB85,0))</f>
        <v>1.241641019872304</v>
      </c>
      <c r="S85" s="5">
        <f>SUM(IF(BM85="lease",BV85,0),IF(CH85="lease",CQ85,0),IF(DC85="lease",DL85,0),IF(DX85="lease",EG85,0),IF(ES85="lease",FB85,0),IF(FN85="lease",FW85,0),IF(GI85="lease",GR85,0),IF(HD85="lease",HM85,0),IF(HY85="lease",IH85,0),IF(IT85="lease",JC85,0))</f>
        <v>1.2952114654765758</v>
      </c>
      <c r="T85" s="5">
        <f>SUM(IF(BM85="keep",BU85,0),IF(CH85="keep",CP85,0),IF(DC85="keep",DK85,0),IF(DX85="keep",EF85,0),IF(ES85="keep",FA85,0),IF(FN85="keep",FV85,0),IF(GI85="keep",GQ85,0),IF(HD85="keep",HL85,0),IF(HY85="keep",IG85,0),IF(IT85="keep",JB85,0))</f>
        <v>0</v>
      </c>
      <c r="U85" s="5">
        <f>SUM(IF(BM85="keep",BV85,0),IF(CH85="keep",CQ85,0),IF(DC85="keep",DL85,0),IF(DX85="keep",EG85,0),IF(ES85="keep",FB85,0),IF(FN85="keep",FW85,0),IF(GI85="keep",GR85,0),IF(HD85="keep",HM85,0),IF(HY85="keep",IH85,0),IF(IT85="keep",JC85,0))</f>
        <v>0</v>
      </c>
      <c r="V85" s="5">
        <f>R85/O85</f>
        <v>1.382897108594978</v>
      </c>
      <c r="W85" s="5">
        <f>S85/P85</f>
        <v>1.403444410295039</v>
      </c>
      <c r="X85" s="5">
        <f>T85/O85</f>
        <v>0</v>
      </c>
      <c r="Y85" s="5">
        <f>U85/P85</f>
        <v>0</v>
      </c>
      <c r="Z85" s="5">
        <f>V85+X85</f>
        <v>1.382897108594978</v>
      </c>
      <c r="AA85" s="7">
        <f>IFERROR(W85/V85-1,0)</f>
        <v>0.014858156526870614</v>
      </c>
      <c r="AB85" s="7">
        <f>IFERROR((W85-V85)/Z85,0)</f>
        <v>0.014858156526870654</v>
      </c>
      <c r="AC85" s="7">
        <f>IFERROR(Y85/X85-1,0)</f>
        <v>0</v>
      </c>
      <c r="AD85" s="7">
        <f>IFERROR((Y85-X85)/Z85,0)</f>
        <v>0</v>
      </c>
      <c r="AE85" s="7">
        <f>AB85+AD85</f>
        <v>0.014858156526870654</v>
      </c>
      <c r="AF85" s="7">
        <f>(1+Q85)*(1+AE85)-1</f>
        <v>0.04314487420025892</v>
      </c>
      <c r="AG85" s="7">
        <f>G85-AF85</f>
        <v>4.163336342344337e-17</v>
      </c>
      <c r="AH85" s="5">
        <f>SUM(IF(BM85="lease",BW85,0),IF(CH85="lease",CR85,0),IF(DC85="lease",DM85,0),IF(DX85="lease",EH85,0),IF(ES85="lease",FC85,0),IF(FN85="lease",FX85,0),IF(GI85="lease",GS85,0),IF(HD85="lease",HN85,0),IF(HY85="lease",II85,0),IF(IT85="lease",JD85,0))</f>
        <v>0.053570445604271766</v>
      </c>
      <c r="AI85" s="5">
        <f>SUM(IF(BM85="keep",BW85,0),IF(CH85="keep",CR85,0),IF(DC85="keep",DM85,0),IF(DX85="keep",EH85,0),IF(ES85="keep",FC85,0),IF(FN85="keep",FX85,0),IF(GI85="keep",GS85,0),IF(HD85="keep",HN85,0),IF(HY85="keep",II85,0),IF(IT85="keep",JD85,0))</f>
        <v>0</v>
      </c>
      <c r="AJ85" s="5">
        <f>SUM(IF(BM85="lease",BX85,0),IF(CH85="lease",CS85,0),IF(DC85="lease",DN85,0),IF(DX85="lease",EI85,0),IF(ES85="lease",FD85,0),IF(FN85="lease",FY85,0),IF(GI85="lease",GT85,0),IF(HD85="lease",HO85,0),IF(HY85="lease",IJ85,0),IF(IT85="lease",JE85,0))</f>
        <v>0</v>
      </c>
      <c r="AK85" s="5">
        <f>SUM(IF(BM85="keep",BX85,0),IF(CH85="keep",CS85,0),IF(DC85="keep",DN85,0),IF(DX85="keep",EI85,0),IF(ES85="keep",FD85,0),IF(FN85="keep",FY85,0),IF(GI85="keep",GT85,0),IF(HD85="keep",HO85,0),IF(HY85="keep",IJ85,0),IF(IT85="keep",JE85,0))</f>
        <v>0</v>
      </c>
      <c r="AL85" s="5">
        <f>R85-S84</f>
        <v>0</v>
      </c>
      <c r="AM85" s="5">
        <f>T85-U84</f>
        <v>0</v>
      </c>
      <c r="AN85" s="5">
        <f>AN84</f>
        <v>1</v>
      </c>
      <c r="AO85" s="5">
        <f>AO84+AH85</f>
        <v>0.29521146547657584</v>
      </c>
      <c r="AP85" s="5">
        <f>AP84+AL85</f>
        <v>-6.661338147750939e-16</v>
      </c>
      <c r="AQ85" s="5">
        <f>AN85+AO85+AP85</f>
        <v>1.2952114654765752</v>
      </c>
      <c r="AR85" s="5">
        <f>S85-AQ85</f>
        <v>6.661338147750939e-16</v>
      </c>
      <c r="AS85" s="5">
        <f>AS84</f>
        <v>0</v>
      </c>
      <c r="AT85" s="5">
        <f>AT84+AI85</f>
        <v>0</v>
      </c>
      <c r="AU85" s="5">
        <f>AU84+AM85</f>
        <v>0</v>
      </c>
      <c r="AV85" s="5">
        <f>AS85+AT85+AU85</f>
        <v>0</v>
      </c>
      <c r="AW85" s="5">
        <f>U85-AV85</f>
        <v>0</v>
      </c>
      <c r="AX85" s="4">
        <v>1.241641019872304</v>
      </c>
      <c r="AY85" s="4">
        <v>1.2952114654765758</v>
      </c>
      <c r="AZ85" s="5">
        <f>S85-AY85</f>
        <v>0</v>
      </c>
      <c r="BA85" s="4">
        <v>0</v>
      </c>
      <c r="BB85" s="4">
        <v>0</v>
      </c>
      <c r="BC85" s="5">
        <f>U85-BB85</f>
        <v>0</v>
      </c>
      <c r="BD85" s="7">
        <f>SUM(IF(BL85="direct",CE85,0),IF(CG85="direct",CZ85,0),IF(DB85="direct",DU85,0),IF(DW85="direct",EP85,0),IF(ER85="direct",FK85,0),IF(FM85="direct",GF85,0),IF(GH85="direct",HA85,0),IF(HC85="direct",HV85,0),IF(HX85="direct",IQ85,0),IF(IS85="direct",JL85,0))</f>
        <v>0</v>
      </c>
      <c r="BE85" s="7">
        <f>SUM(IF(BL85="treasury",CE85,0),IF(CG85="treasury",CZ85,0),IF(DB85="treasury",DU85,0),IF(DW85="treasury",EP85,0),IF(ER85="treasury",FK85,0),IF(FM85="treasury",GF85,0),IF(GH85="treasury",HA85,0),IF(HC85="treasury",HV85,0),IF(HX85="treasury",IQ85,0),IF(IS85="treasury",JL85,0))</f>
        <v>0.00016493150684931507</v>
      </c>
      <c r="BF85" s="7">
        <f>SUM(IF(BL85="future",CE85,0),IF(CG85="future",CZ85,0),IF(DB85="future",DU85,0),IF(DW85="future",EP85,0),IF(ER85="future",FK85,0),IF(FM85="future",GF85,0),IF(GH85="future",HA85,0),IF(HC85="future",HV85,0),IF(HX85="future",IQ85,0),IF(IS85="future",JL85,0))</f>
        <v>0.042979942693409656</v>
      </c>
      <c r="BG85" s="7">
        <f>SUM(IF(BL85="cash",CE85,0),IF(CG85="cash",CZ85,0),IF(DB85="cash",DU85,0),IF(DW85="cash",EP85,0),IF(ER85="cash",FK85,0),IF(FM85="cash",GF85,0),IF(GH85="cash",HA85,0),IF(HC85="cash",HV85,0),IF(HX85="cash",IQ85,0),IF(IS85="cash",JL85,0))</f>
        <v>0</v>
      </c>
      <c r="BH85" s="7">
        <f>SUM(BD85:BG85)</f>
        <v>0.04314487420025897</v>
      </c>
      <c r="BI85" s="7">
        <f>G85-BH85</f>
        <v>-6.938893903907228e-18</v>
      </c>
      <c r="BJ85" s="9">
        <f>COUNTA(BK85,CF85,DA85,DV85,EQ85,FL85,GG85,HB85,HW85,IR85)</f>
        <v>4</v>
      </c>
      <c r="BK85" t="inlineStr">
        <is>
          <t xml:space="preserve">Treasury collateral</t>
        </is>
      </c>
      <c r="BL85" t="inlineStr">
        <is>
          <t xml:space="preserve">treasury</t>
        </is>
      </c>
      <c r="BM85" t="inlineStr">
        <is>
          <t xml:space="preserve">lease</t>
        </is>
      </c>
      <c r="BN85" t="inlineStr">
        <is>
          <t xml:space="preserve">long</t>
        </is>
      </c>
      <c r="BO85"/>
      <c r="BP85" s="4">
        <v>102.09071965850964</v>
      </c>
      <c r="BQ85" s="4">
        <v>102.10755763473824</v>
      </c>
      <c r="BR85" s="4">
        <v>0.012162134070810302</v>
      </c>
      <c r="BS85" s="6">
        <v>1</v>
      </c>
      <c r="BT85" s="4">
        <v>1.2416410198723031</v>
      </c>
      <c r="BU85" s="4">
        <v>1.2416410198723031</v>
      </c>
      <c r="BV85" s="4">
        <v>1.2418458055966766</v>
      </c>
      <c r="BW85" s="4">
        <v>0.0002047857243734593</v>
      </c>
      <c r="BX85" s="4">
        <v>-2.4069288229178198e-17</v>
      </c>
      <c r="BY85" s="4">
        <v>1.758</v>
      </c>
      <c r="BZ85" s="4">
        <v>1.807</v>
      </c>
      <c r="CA85" s="6"/>
      <c r="CB85" s="6"/>
      <c r="CC85" s="6"/>
      <c r="CD85" s="9">
        <v>22</v>
      </c>
      <c r="CE85" s="7">
        <f>IFERROR(BW85/F85,0)</f>
        <v>0.00016493150684931507</v>
      </c>
      <c r="CF85" t="inlineStr">
        <is>
          <t xml:space="preserve">SI69K</t>
        </is>
      </c>
      <c r="CG85" t="inlineStr">
        <is>
          <t xml:space="preserve">future</t>
        </is>
      </c>
      <c r="CH85" t="inlineStr">
        <is>
          <t xml:space="preserve">lease</t>
        </is>
      </c>
      <c r="CI85" t="inlineStr">
        <is>
          <t xml:space="preserve">long</t>
        </is>
      </c>
      <c r="CJ85" t="inlineStr">
        <is>
          <t xml:space="preserve">regular</t>
        </is>
      </c>
      <c r="CK85" s="4">
        <v>1.745</v>
      </c>
      <c r="CL85" s="4">
        <v>1.82</v>
      </c>
      <c r="CM85" s="4">
        <v>0.7115421317319788</v>
      </c>
      <c r="CN85" s="6">
        <v>1</v>
      </c>
      <c r="CO85" s="4">
        <v>1.2416410198723031</v>
      </c>
      <c r="CP85" s="4">
        <v>0</v>
      </c>
      <c r="CQ85" s="4">
        <v>0</v>
      </c>
      <c r="CR85" s="4">
        <v>0.05336565987989831</v>
      </c>
      <c r="CS85" s="4">
        <v>-0.05336565987989831</v>
      </c>
      <c r="CT85" s="4">
        <v>1.758</v>
      </c>
      <c r="CU85" s="4">
        <v>1.807</v>
      </c>
      <c r="CV85" s="6">
        <v>-0.007394766780432271</v>
      </c>
      <c r="CW85" s="6">
        <v>0.0602</v>
      </c>
      <c r="CX85" s="6">
        <v>0.1828859034026263</v>
      </c>
      <c r="CY85" s="9">
        <v>22</v>
      </c>
      <c r="CZ85" s="7">
        <f>IFERROR(CR85/F85,0)</f>
        <v>0.042979942693409656</v>
      </c>
      <c r="DA85" t="inlineStr">
        <is>
          <t xml:space="preserve">Lease cash / margin / financing</t>
        </is>
      </c>
      <c r="DB85" t="inlineStr">
        <is>
          <t xml:space="preserve">cash</t>
        </is>
      </c>
      <c r="DC85" t="inlineStr">
        <is>
          <t xml:space="preserve">lease</t>
        </is>
      </c>
      <c r="DD85" t="inlineStr">
        <is>
          <t xml:space="preserve">cash</t>
        </is>
      </c>
      <c r="DE85"/>
      <c r="DF85" s="4">
        <v>1</v>
      </c>
      <c r="DG85" s="4">
        <v>1</v>
      </c>
      <c r="DH85" s="4">
        <v>8.881784197001252e-16</v>
      </c>
      <c r="DI85" s="6"/>
      <c r="DJ85" s="4">
        <v>8.881784197001252e-16</v>
      </c>
      <c r="DK85" s="4">
        <v>8.881784197001252e-16</v>
      </c>
      <c r="DL85" s="4">
        <v>0.05336565987989922</v>
      </c>
      <c r="DM85" s="4">
        <v>0</v>
      </c>
      <c r="DN85" s="4">
        <v>0.05336565987989833</v>
      </c>
      <c r="DO85" s="4">
        <v>1.758</v>
      </c>
      <c r="DP85" s="4">
        <v>1.807</v>
      </c>
      <c r="DQ85" s="6"/>
      <c r="DR85" s="6"/>
      <c r="DS85" s="6"/>
      <c r="DT85" s="9"/>
      <c r="DU85" s="7">
        <f>IFERROR(DM85/F85,0)</f>
        <v>0</v>
      </c>
      <c r="DV85" t="inlineStr">
        <is>
          <t xml:space="preserve">Keep cash / margin / financing</t>
        </is>
      </c>
      <c r="DW85" t="inlineStr">
        <is>
          <t xml:space="preserve">cash</t>
        </is>
      </c>
      <c r="DX85" t="inlineStr">
        <is>
          <t xml:space="preserve">keep</t>
        </is>
      </c>
      <c r="DY85" t="inlineStr">
        <is>
          <t xml:space="preserve">cash</t>
        </is>
      </c>
      <c r="DZ85"/>
      <c r="EA85" s="4">
        <v>1</v>
      </c>
      <c r="EB85" s="4">
        <v>1</v>
      </c>
      <c r="EC85" s="4">
        <v>0</v>
      </c>
      <c r="ED85" s="6"/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1.758</v>
      </c>
      <c r="EK85" s="4">
        <v>1.807</v>
      </c>
      <c r="EL85" s="6"/>
      <c r="EM85" s="6"/>
      <c r="EN85" s="6"/>
      <c r="EO85" s="9"/>
      <c r="EP85" s="7">
        <f>IFERROR(EH85/F85,0)</f>
        <v>0</v>
      </c>
      <c r="EQ85"/>
      <c r="ER85"/>
      <c r="ES85"/>
      <c r="ET85"/>
      <c r="EU85"/>
      <c r="EV85" s="4"/>
      <c r="EW85" s="4"/>
      <c r="EX85" s="4"/>
      <c r="EY85" s="6"/>
      <c r="EZ85" s="4"/>
      <c r="FA85" s="4"/>
      <c r="FB85" s="4"/>
      <c r="FC85" s="4"/>
      <c r="FD85" s="4"/>
      <c r="FE85" s="4"/>
      <c r="FF85" s="4"/>
      <c r="FG85" s="6"/>
      <c r="FH85" s="6"/>
      <c r="FI85" s="6"/>
      <c r="FJ85" s="9"/>
      <c r="FK85"/>
      <c r="FL85"/>
      <c r="FM85"/>
      <c r="FN85"/>
      <c r="FO85"/>
      <c r="FP85"/>
      <c r="FQ85" s="4"/>
      <c r="FR85" s="4"/>
      <c r="FS85" s="4"/>
      <c r="FT85" s="6"/>
      <c r="FU85" s="4"/>
      <c r="FV85" s="4"/>
      <c r="FW85" s="4"/>
      <c r="FX85" s="4"/>
      <c r="FY85" s="4"/>
      <c r="FZ85" s="4"/>
      <c r="GA85" s="4"/>
      <c r="GB85" s="6"/>
      <c r="GC85" s="6"/>
      <c r="GD85" s="6"/>
      <c r="GE85" s="9"/>
      <c r="GF85"/>
      <c r="GG85"/>
      <c r="GH85"/>
      <c r="GI85"/>
      <c r="GJ85"/>
      <c r="GK85"/>
      <c r="GL85" s="4"/>
      <c r="GM85" s="4"/>
      <c r="GN85" s="4"/>
      <c r="GO85" s="6"/>
      <c r="GP85" s="4"/>
      <c r="GQ85" s="4"/>
      <c r="GR85" s="4"/>
      <c r="GS85" s="4"/>
      <c r="GT85" s="4"/>
      <c r="GU85" s="4"/>
      <c r="GV85" s="4"/>
      <c r="GW85" s="6"/>
      <c r="GX85" s="6"/>
      <c r="GY85" s="6"/>
      <c r="GZ85" s="9"/>
      <c r="HA85"/>
      <c r="HB85"/>
      <c r="HC85"/>
      <c r="HD85"/>
      <c r="HE85"/>
      <c r="HF85"/>
      <c r="HG85" s="4"/>
      <c r="HH85" s="4"/>
      <c r="HI85" s="4"/>
      <c r="HJ85" s="6"/>
      <c r="HK85" s="4"/>
      <c r="HL85" s="4"/>
      <c r="HM85" s="4"/>
      <c r="HN85" s="4"/>
      <c r="HO85" s="4"/>
      <c r="HP85" s="4"/>
      <c r="HQ85" s="4"/>
      <c r="HR85" s="6"/>
      <c r="HS85" s="6"/>
      <c r="HT85" s="6"/>
      <c r="HU85" s="9"/>
      <c r="HV85"/>
      <c r="HW85"/>
      <c r="HX85"/>
      <c r="HY85"/>
      <c r="HZ85"/>
      <c r="IA85"/>
      <c r="IB85" s="4"/>
      <c r="IC85" s="4"/>
      <c r="ID85" s="4"/>
      <c r="IE85" s="6"/>
      <c r="IF85" s="4"/>
      <c r="IG85" s="4"/>
      <c r="IH85" s="4"/>
      <c r="II85" s="4"/>
      <c r="IJ85" s="4"/>
      <c r="IK85" s="4"/>
      <c r="IL85" s="4"/>
      <c r="IM85" s="6"/>
      <c r="IN85" s="6"/>
      <c r="IO85" s="6"/>
      <c r="IP85" s="9"/>
      <c r="IQ85"/>
      <c r="IR85"/>
      <c r="IS85"/>
      <c r="IT85"/>
      <c r="IU85"/>
      <c r="IV85"/>
      <c r="IW85" s="4"/>
      <c r="IX85" s="4"/>
      <c r="IY85" s="4"/>
      <c r="IZ85" s="6"/>
      <c r="JA85" s="4"/>
      <c r="JB85" s="4"/>
      <c r="JC85" s="4"/>
      <c r="JD85" s="4"/>
      <c r="JE85" s="4"/>
      <c r="JF85" s="4"/>
      <c r="JG85" s="4"/>
      <c r="JH85" s="6"/>
      <c r="JI85" s="6"/>
      <c r="JJ85" s="6"/>
      <c r="JK85" s="9"/>
      <c r="JL85"/>
    </row>
    <row r="86">
      <c r="A86" s="8">
        <v>25330</v>
      </c>
      <c r="B86" s="8">
        <v>25331</v>
      </c>
      <c r="C86" s="9">
        <f>B86-A86</f>
        <v>1</v>
      </c>
      <c r="D86" s="8">
        <v>25330</v>
      </c>
      <c r="E86" t="inlineStr">
        <is>
          <t xml:space="preserve">neutral</t>
        </is>
      </c>
      <c r="F86" s="4">
        <v>1.2952114654765747</v>
      </c>
      <c r="G86" s="6">
        <v>0.021575884497881236</v>
      </c>
      <c r="H86" s="7">
        <f>SUM(CE86,CZ86,DU86,EP86,FK86,GF86,HA86,HV86,IQ86,JL86)</f>
        <v>0.021575884497881236</v>
      </c>
      <c r="I86" s="7">
        <f>G86-H86</f>
        <v>0</v>
      </c>
      <c r="J86" s="5">
        <f>F86*(1+H86)</f>
        <v>1.3231567984560288</v>
      </c>
      <c r="K86" s="4">
        <v>1.3231567984560288</v>
      </c>
      <c r="L86" s="5">
        <f>K86-J86</f>
        <v>0</v>
      </c>
      <c r="M86" s="4">
        <v>1.807</v>
      </c>
      <c r="N86" s="4">
        <v>1.846</v>
      </c>
      <c r="O86" s="5">
        <f>M86/$M$3</f>
        <v>0.9228804902962207</v>
      </c>
      <c r="P86" s="5">
        <f>N86/$M$3</f>
        <v>0.9427987742594485</v>
      </c>
      <c r="Q86" s="7">
        <f>IFERROR(N86/M86-1,0)</f>
        <v>0.021582733812949728</v>
      </c>
      <c r="R86" s="5">
        <f>SUM(IF(BM86="lease",BU86,0),IF(CH86="lease",CP86,0),IF(DC86="lease",DK86,0),IF(DX86="lease",EF86,0),IF(ES86="lease",FA86,0),IF(FN86="lease",FV86,0),IF(GI86="lease",GQ86,0),IF(HD86="lease",HL86,0),IF(HY86="lease",IG86,0),IF(IT86="lease",JB86,0))</f>
        <v>1.2952114654765758</v>
      </c>
      <c r="S86" s="5">
        <f>SUM(IF(BM86="lease",BV86,0),IF(CH86="lease",CQ86,0),IF(DC86="lease",DL86,0),IF(DX86="lease",EG86,0),IF(ES86="lease",FB86,0),IF(FN86="lease",FW86,0),IF(GI86="lease",GR86,0),IF(HD86="lease",HM86,0),IF(HY86="lease",IH86,0),IF(IT86="lease",JC86,0))</f>
        <v>1.32315679845603</v>
      </c>
      <c r="T86" s="5">
        <f>SUM(IF(BM86="keep",BU86,0),IF(CH86="keep",CP86,0),IF(DC86="keep",DK86,0),IF(DX86="keep",EF86,0),IF(ES86="keep",FA86,0),IF(FN86="keep",FV86,0),IF(GI86="keep",GQ86,0),IF(HD86="keep",HL86,0),IF(HY86="keep",IG86,0),IF(IT86="keep",JB86,0))</f>
        <v>0</v>
      </c>
      <c r="U86" s="5">
        <f>SUM(IF(BM86="keep",BV86,0),IF(CH86="keep",CQ86,0),IF(DC86="keep",DL86,0),IF(DX86="keep",EG86,0),IF(ES86="keep",FB86,0),IF(FN86="keep",FW86,0),IF(GI86="keep",GR86,0),IF(HD86="keep",HM86,0),IF(HY86="keep",IH86,0),IF(IT86="keep",JC86,0))</f>
        <v>0</v>
      </c>
      <c r="V86" s="5">
        <f>R86/O86</f>
        <v>1.403444410295039</v>
      </c>
      <c r="W86" s="5">
        <f>S86/P86</f>
        <v>1.4034350007458865</v>
      </c>
      <c r="X86" s="5">
        <f>T86/O86</f>
        <v>0</v>
      </c>
      <c r="Y86" s="5">
        <f>U86/P86</f>
        <v>0</v>
      </c>
      <c r="Z86" s="5">
        <f>V86+X86</f>
        <v>1.403444410295039</v>
      </c>
      <c r="AA86" s="7">
        <f>IFERROR(W86/V86-1,0)</f>
        <v>-0.000006704611228980362</v>
      </c>
      <c r="AB86" s="7">
        <f>IFERROR((W86-V86)/Z86,0)</f>
        <v>-0.000006704611228982625</v>
      </c>
      <c r="AC86" s="7">
        <f>IFERROR(Y86/X86-1,0)</f>
        <v>0</v>
      </c>
      <c r="AD86" s="7">
        <f>IFERROR((Y86-X86)/Z86,0)</f>
        <v>0</v>
      </c>
      <c r="AE86" s="7">
        <f>AB86+AD86</f>
        <v>-0.000006704611228982625</v>
      </c>
      <c r="AF86" s="7">
        <f>(1+Q86)*(1+AE86)-1</f>
        <v>0.02157588449788128</v>
      </c>
      <c r="AG86" s="7">
        <f>G86-AF86</f>
        <v>-4.5102810375396984e-17</v>
      </c>
      <c r="AH86" s="5">
        <f>SUM(IF(BM86="lease",BW86,0),IF(CH86="lease",CR86,0),IF(DC86="lease",DM86,0),IF(DX86="lease",EH86,0),IF(ES86="lease",FC86,0),IF(FN86="lease",FX86,0),IF(GI86="lease",GS86,0),IF(HD86="lease",HN86,0),IF(HY86="lease",II86,0),IF(IT86="lease",JD86,0))</f>
        <v>0.027945332979454066</v>
      </c>
      <c r="AI86" s="5">
        <f>SUM(IF(BM86="keep",BW86,0),IF(CH86="keep",CR86,0),IF(DC86="keep",DM86,0),IF(DX86="keep",EH86,0),IF(ES86="keep",FC86,0),IF(FN86="keep",FX86,0),IF(GI86="keep",GS86,0),IF(HD86="keep",HN86,0),IF(HY86="keep",II86,0),IF(IT86="keep",JD86,0))</f>
        <v>0</v>
      </c>
      <c r="AJ86" s="5">
        <f>SUM(IF(BM86="lease",BX86,0),IF(CH86="lease",CS86,0),IF(DC86="lease",DN86,0),IF(DX86="lease",EI86,0),IF(ES86="lease",FD86,0),IF(FN86="lease",FY86,0),IF(GI86="lease",GT86,0),IF(HD86="lease",HO86,0),IF(HY86="lease",IJ86,0),IF(IT86="lease",JE86,0))</f>
        <v>0</v>
      </c>
      <c r="AK86" s="5">
        <f>SUM(IF(BM86="keep",BX86,0),IF(CH86="keep",CS86,0),IF(DC86="keep",DN86,0),IF(DX86="keep",EI86,0),IF(ES86="keep",FD86,0),IF(FN86="keep",FY86,0),IF(GI86="keep",GT86,0),IF(HD86="keep",HO86,0),IF(HY86="keep",IJ86,0),IF(IT86="keep",JE86,0))</f>
        <v>0</v>
      </c>
      <c r="AL86" s="5">
        <f>R86-S85</f>
        <v>0</v>
      </c>
      <c r="AM86" s="5">
        <f>T86-U85</f>
        <v>0</v>
      </c>
      <c r="AN86" s="5">
        <f>AN85</f>
        <v>1</v>
      </c>
      <c r="AO86" s="5">
        <f>AO85+AH86</f>
        <v>0.3231567984560299</v>
      </c>
      <c r="AP86" s="5">
        <f>AP85+AL86</f>
        <v>-6.661338147750939e-16</v>
      </c>
      <c r="AQ86" s="5">
        <f>AN86+AO86+AP86</f>
        <v>1.3231567984560293</v>
      </c>
      <c r="AR86" s="5">
        <f>S86-AQ86</f>
        <v>6.661338147750939e-16</v>
      </c>
      <c r="AS86" s="5">
        <f>AS85</f>
        <v>0</v>
      </c>
      <c r="AT86" s="5">
        <f>AT85+AI86</f>
        <v>0</v>
      </c>
      <c r="AU86" s="5">
        <f>AU85+AM86</f>
        <v>0</v>
      </c>
      <c r="AV86" s="5">
        <f>AS86+AT86+AU86</f>
        <v>0</v>
      </c>
      <c r="AW86" s="5">
        <f>U86-AV86</f>
        <v>0</v>
      </c>
      <c r="AX86" s="4">
        <v>1.2952114654765758</v>
      </c>
      <c r="AY86" s="4">
        <v>1.32315679845603</v>
      </c>
      <c r="AZ86" s="5">
        <f>S86-AY86</f>
        <v>0</v>
      </c>
      <c r="BA86" s="4">
        <v>0</v>
      </c>
      <c r="BB86" s="4">
        <v>0</v>
      </c>
      <c r="BC86" s="5">
        <f>U86-BB86</f>
        <v>0</v>
      </c>
      <c r="BD86" s="7">
        <f>SUM(IF(BL86="direct",CE86,0),IF(CG86="direct",CZ86,0),IF(DB86="direct",DU86,0),IF(DW86="direct",EP86,0),IF(ER86="direct",FK86,0),IF(FM86="direct",GF86,0),IF(GH86="direct",HA86,0),IF(HC86="direct",HV86,0),IF(HX86="direct",IQ86,0),IF(IS86="direct",JL86,0))</f>
        <v>0.021575884497881236</v>
      </c>
      <c r="BE86" s="7">
        <f>SUM(IF(BL86="treasury",CE86,0),IF(CG86="treasury",CZ86,0),IF(DB86="treasury",DU86,0),IF(DW86="treasury",EP86,0),IF(ER86="treasury",FK86,0),IF(FM86="treasury",GF86,0),IF(GH86="treasury",HA86,0),IF(HC86="treasury",HV86,0),IF(HX86="treasury",IQ86,0),IF(IS86="treasury",JL86,0))</f>
        <v>0</v>
      </c>
      <c r="BF86" s="7">
        <f>SUM(IF(BL86="future",CE86,0),IF(CG86="future",CZ86,0),IF(DB86="future",DU86,0),IF(DW86="future",EP86,0),IF(ER86="future",FK86,0),IF(FM86="future",GF86,0),IF(GH86="future",HA86,0),IF(HC86="future",HV86,0),IF(HX86="future",IQ86,0),IF(IS86="future",JL86,0))</f>
        <v>0</v>
      </c>
      <c r="BG86" s="7">
        <f>SUM(IF(BL86="cash",CE86,0),IF(CG86="cash",CZ86,0),IF(DB86="cash",DU86,0),IF(DW86="cash",EP86,0),IF(ER86="cash",FK86,0),IF(FM86="cash",GF86,0),IF(GH86="cash",HA86,0),IF(HC86="cash",HV86,0),IF(HX86="cash",IQ86,0),IF(IS86="cash",JL86,0))</f>
        <v>0</v>
      </c>
      <c r="BH86" s="7">
        <f>SUM(BD86:BG86)</f>
        <v>0.021575884497881236</v>
      </c>
      <c r="BI86" s="7">
        <f>G86-BH86</f>
        <v>0</v>
      </c>
      <c r="BJ86" s="9">
        <f>COUNTA(BK86,CF86,DA86,DV86,EQ86,FL86,GG86,HB86,HW86,IR86)</f>
        <v>3</v>
      </c>
      <c r="BK86" t="inlineStr">
        <is>
          <t xml:space="preserve">Direct commodity holding</t>
        </is>
      </c>
      <c r="BL86" t="inlineStr">
        <is>
          <t xml:space="preserve">direct</t>
        </is>
      </c>
      <c r="BM86" t="inlineStr">
        <is>
          <t xml:space="preserve">lease</t>
        </is>
      </c>
      <c r="BN86" t="inlineStr">
        <is>
          <t xml:space="preserve">long</t>
        </is>
      </c>
      <c r="BO86"/>
      <c r="BP86" s="4">
        <v>1.807</v>
      </c>
      <c r="BQ86" s="4">
        <v>1.846</v>
      </c>
      <c r="BR86" s="4">
        <v>0.7167744689964443</v>
      </c>
      <c r="BS86" s="6">
        <v>1</v>
      </c>
      <c r="BT86" s="4">
        <v>1.2952114654765747</v>
      </c>
      <c r="BU86" s="4">
        <v>1.2952114654765747</v>
      </c>
      <c r="BV86" s="4">
        <v>1.323165669767436</v>
      </c>
      <c r="BW86" s="4">
        <v>0.027945332979454066</v>
      </c>
      <c r="BX86" s="4">
        <v>0.000008871311407306764</v>
      </c>
      <c r="BY86" s="4">
        <v>1.807</v>
      </c>
      <c r="BZ86" s="4">
        <v>1.846</v>
      </c>
      <c r="CA86" s="6"/>
      <c r="CB86" s="6"/>
      <c r="CC86" s="6"/>
      <c r="CD86" s="9"/>
      <c r="CE86" s="7">
        <f>IFERROR(BW86/F86,0)</f>
        <v>0.021575884497881236</v>
      </c>
      <c r="CF86" t="inlineStr">
        <is>
          <t xml:space="preserve">Lease cash / margin / financing</t>
        </is>
      </c>
      <c r="CG86" t="inlineStr">
        <is>
          <t xml:space="preserve">cash</t>
        </is>
      </c>
      <c r="CH86" t="inlineStr">
        <is>
          <t xml:space="preserve">lease</t>
        </is>
      </c>
      <c r="CI86" t="inlineStr">
        <is>
          <t xml:space="preserve">cash</t>
        </is>
      </c>
      <c r="CJ86"/>
      <c r="CK86" s="4">
        <v>1</v>
      </c>
      <c r="CL86" s="4">
        <v>1</v>
      </c>
      <c r="CM86" s="4">
        <v>1.1102230246251565e-15</v>
      </c>
      <c r="CN86" s="6"/>
      <c r="CO86" s="4">
        <v>1.1102230246251565e-15</v>
      </c>
      <c r="CP86" s="4">
        <v>1.1102230246251565e-15</v>
      </c>
      <c r="CQ86" s="4">
        <v>-0.000008871311406196541</v>
      </c>
      <c r="CR86" s="4">
        <v>0</v>
      </c>
      <c r="CS86" s="4">
        <v>-0.000008871311407306764</v>
      </c>
      <c r="CT86" s="4">
        <v>1.807</v>
      </c>
      <c r="CU86" s="4">
        <v>1.846</v>
      </c>
      <c r="CV86" s="6"/>
      <c r="CW86" s="6"/>
      <c r="CX86" s="6"/>
      <c r="CY86" s="9"/>
      <c r="CZ86" s="7">
        <f>IFERROR(CR86/F86,0)</f>
        <v>0</v>
      </c>
      <c r="DA86" t="inlineStr">
        <is>
          <t xml:space="preserve">Keep cash / margin / financing</t>
        </is>
      </c>
      <c r="DB86" t="inlineStr">
        <is>
          <t xml:space="preserve">cash</t>
        </is>
      </c>
      <c r="DC86" t="inlineStr">
        <is>
          <t xml:space="preserve">keep</t>
        </is>
      </c>
      <c r="DD86" t="inlineStr">
        <is>
          <t xml:space="preserve">cash</t>
        </is>
      </c>
      <c r="DE86"/>
      <c r="DF86" s="4">
        <v>1</v>
      </c>
      <c r="DG86" s="4">
        <v>1</v>
      </c>
      <c r="DH86" s="4">
        <v>0</v>
      </c>
      <c r="DI86" s="6"/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1.807</v>
      </c>
      <c r="DP86" s="4">
        <v>1.846</v>
      </c>
      <c r="DQ86" s="6"/>
      <c r="DR86" s="6"/>
      <c r="DS86" s="6"/>
      <c r="DT86" s="9"/>
      <c r="DU86" s="7">
        <f>IFERROR(DM86/F86,0)</f>
        <v>0</v>
      </c>
      <c r="DV86"/>
      <c r="DW86"/>
      <c r="DX86"/>
      <c r="DY86"/>
      <c r="DZ86"/>
      <c r="EA86" s="4"/>
      <c r="EB86" s="4"/>
      <c r="EC86" s="4"/>
      <c r="ED86" s="6"/>
      <c r="EE86" s="4"/>
      <c r="EF86" s="4"/>
      <c r="EG86" s="4"/>
      <c r="EH86" s="4"/>
      <c r="EI86" s="4"/>
      <c r="EJ86" s="4"/>
      <c r="EK86" s="4"/>
      <c r="EL86" s="6"/>
      <c r="EM86" s="6"/>
      <c r="EN86" s="6"/>
      <c r="EO86" s="9"/>
      <c r="EP86"/>
      <c r="EQ86"/>
      <c r="ER86"/>
      <c r="ES86"/>
      <c r="ET86"/>
      <c r="EU86"/>
      <c r="EV86" s="4"/>
      <c r="EW86" s="4"/>
      <c r="EX86" s="4"/>
      <c r="EY86" s="6"/>
      <c r="EZ86" s="4"/>
      <c r="FA86" s="4"/>
      <c r="FB86" s="4"/>
      <c r="FC86" s="4"/>
      <c r="FD86" s="4"/>
      <c r="FE86" s="4"/>
      <c r="FF86" s="4"/>
      <c r="FG86" s="6"/>
      <c r="FH86" s="6"/>
      <c r="FI86" s="6"/>
      <c r="FJ86" s="9"/>
      <c r="FK86"/>
      <c r="FL86"/>
      <c r="FM86"/>
      <c r="FN86"/>
      <c r="FO86"/>
      <c r="FP86"/>
      <c r="FQ86" s="4"/>
      <c r="FR86" s="4"/>
      <c r="FS86" s="4"/>
      <c r="FT86" s="6"/>
      <c r="FU86" s="4"/>
      <c r="FV86" s="4"/>
      <c r="FW86" s="4"/>
      <c r="FX86" s="4"/>
      <c r="FY86" s="4"/>
      <c r="FZ86" s="4"/>
      <c r="GA86" s="4"/>
      <c r="GB86" s="6"/>
      <c r="GC86" s="6"/>
      <c r="GD86" s="6"/>
      <c r="GE86" s="9"/>
      <c r="GF86"/>
      <c r="GG86"/>
      <c r="GH86"/>
      <c r="GI86"/>
      <c r="GJ86"/>
      <c r="GK86"/>
      <c r="GL86" s="4"/>
      <c r="GM86" s="4"/>
      <c r="GN86" s="4"/>
      <c r="GO86" s="6"/>
      <c r="GP86" s="4"/>
      <c r="GQ86" s="4"/>
      <c r="GR86" s="4"/>
      <c r="GS86" s="4"/>
      <c r="GT86" s="4"/>
      <c r="GU86" s="4"/>
      <c r="GV86" s="4"/>
      <c r="GW86" s="6"/>
      <c r="GX86" s="6"/>
      <c r="GY86" s="6"/>
      <c r="GZ86" s="9"/>
      <c r="HA86"/>
      <c r="HB86"/>
      <c r="HC86"/>
      <c r="HD86"/>
      <c r="HE86"/>
      <c r="HF86"/>
      <c r="HG86" s="4"/>
      <c r="HH86" s="4"/>
      <c r="HI86" s="4"/>
      <c r="HJ86" s="6"/>
      <c r="HK86" s="4"/>
      <c r="HL86" s="4"/>
      <c r="HM86" s="4"/>
      <c r="HN86" s="4"/>
      <c r="HO86" s="4"/>
      <c r="HP86" s="4"/>
      <c r="HQ86" s="4"/>
      <c r="HR86" s="6"/>
      <c r="HS86" s="6"/>
      <c r="HT86" s="6"/>
      <c r="HU86" s="9"/>
      <c r="HV86"/>
      <c r="HW86"/>
      <c r="HX86"/>
      <c r="HY86"/>
      <c r="HZ86"/>
      <c r="IA86"/>
      <c r="IB86" s="4"/>
      <c r="IC86" s="4"/>
      <c r="ID86" s="4"/>
      <c r="IE86" s="6"/>
      <c r="IF86" s="4"/>
      <c r="IG86" s="4"/>
      <c r="IH86" s="4"/>
      <c r="II86" s="4"/>
      <c r="IJ86" s="4"/>
      <c r="IK86" s="4"/>
      <c r="IL86" s="4"/>
      <c r="IM86" s="6"/>
      <c r="IN86" s="6"/>
      <c r="IO86" s="6"/>
      <c r="IP86" s="9"/>
      <c r="IQ86"/>
      <c r="IR86"/>
      <c r="IS86"/>
      <c r="IT86"/>
      <c r="IU86"/>
      <c r="IV86"/>
      <c r="IW86" s="4"/>
      <c r="IX86" s="4"/>
      <c r="IY86" s="4"/>
      <c r="IZ86" s="6"/>
      <c r="JA86" s="4"/>
      <c r="JB86" s="4"/>
      <c r="JC86" s="4"/>
      <c r="JD86" s="4"/>
      <c r="JE86" s="4"/>
      <c r="JF86" s="4"/>
      <c r="JG86" s="4"/>
      <c r="JH86" s="6"/>
      <c r="JI86" s="6"/>
      <c r="JJ86" s="6"/>
      <c r="JK86" s="9"/>
      <c r="JL86"/>
    </row>
    <row r="87">
      <c r="A87" s="8">
        <v>25331</v>
      </c>
      <c r="B87" s="8">
        <v>25332</v>
      </c>
      <c r="C87" s="9">
        <f>B87-A87</f>
        <v>1</v>
      </c>
      <c r="D87" s="8">
        <v>25331</v>
      </c>
      <c r="E87" t="inlineStr">
        <is>
          <t xml:space="preserve">positive</t>
        </is>
      </c>
      <c r="F87" s="4">
        <v>1.3231567984560288</v>
      </c>
      <c r="G87" s="6">
        <v>-0.013111048611952779</v>
      </c>
      <c r="H87" s="7">
        <f>SUM(CE87,CZ87,DU87,EP87,FK87,GF87,HA87,HV87,IQ87,JL87)</f>
        <v>-0.013111048611952777</v>
      </c>
      <c r="I87" s="7">
        <f>G87-H87</f>
        <v>-1.734723475976807e-18</v>
      </c>
      <c r="J87" s="5">
        <f>F87*(1+H87)</f>
        <v>1.305808825350236</v>
      </c>
      <c r="K87" s="4">
        <v>1.305808825350236</v>
      </c>
      <c r="L87" s="5">
        <f>K87-J87</f>
        <v>0</v>
      </c>
      <c r="M87" s="4">
        <v>1.846</v>
      </c>
      <c r="N87" s="4">
        <v>1.817</v>
      </c>
      <c r="O87" s="5">
        <f>M87/$M$3</f>
        <v>0.9427987742594485</v>
      </c>
      <c r="P87" s="5">
        <f>N87/$M$3</f>
        <v>0.9279877425944841</v>
      </c>
      <c r="Q87" s="7">
        <f>IFERROR(N87/M87-1,0)</f>
        <v>-0.015709642470205898</v>
      </c>
      <c r="R87" s="5">
        <f>SUM(IF(BM87="lease",BU87,0),IF(CH87="lease",CP87,0),IF(DC87="lease",DK87,0),IF(DX87="lease",EF87,0),IF(ES87="lease",FA87,0),IF(FN87="lease",FV87,0),IF(GI87="lease",GQ87,0),IF(HD87="lease",HL87,0),IF(HY87="lease",IG87,0),IF(IT87="lease",JB87,0))</f>
        <v>1.32315679845603</v>
      </c>
      <c r="S87" s="5">
        <f>SUM(IF(BM87="lease",BV87,0),IF(CH87="lease",CQ87,0),IF(DC87="lease",DL87,0),IF(DX87="lease",EG87,0),IF(ES87="lease",FB87,0),IF(FN87="lease",FW87,0),IF(GI87="lease",GR87,0),IF(HD87="lease",HM87,0),IF(HY87="lease",IH87,0),IF(IT87="lease",JC87,0))</f>
        <v>1.3058088253502371</v>
      </c>
      <c r="T87" s="5">
        <f>SUM(IF(BM87="keep",BU87,0),IF(CH87="keep",CP87,0),IF(DC87="keep",DK87,0),IF(DX87="keep",EF87,0),IF(ES87="keep",FA87,0),IF(FN87="keep",FV87,0),IF(GI87="keep",GQ87,0),IF(HD87="keep",HL87,0),IF(HY87="keep",IG87,0),IF(IT87="keep",JB87,0))</f>
        <v>0</v>
      </c>
      <c r="U87" s="5">
        <f>SUM(IF(BM87="keep",BV87,0),IF(CH87="keep",CQ87,0),IF(DC87="keep",DL87,0),IF(DX87="keep",EG87,0),IF(ES87="keep",FB87,0),IF(FN87="keep",FW87,0),IF(GI87="keep",GR87,0),IF(HD87="keep",HM87,0),IF(HY87="keep",IH87,0),IF(IT87="keep",JC87,0))</f>
        <v>0</v>
      </c>
      <c r="V87" s="5">
        <f>R87/O87</f>
        <v>1.4034350007458865</v>
      </c>
      <c r="W87" s="5">
        <f>S87/P87</f>
        <v>1.407140165127003</v>
      </c>
      <c r="X87" s="5">
        <f>T87/O87</f>
        <v>0</v>
      </c>
      <c r="Y87" s="5">
        <f>U87/P87</f>
        <v>0</v>
      </c>
      <c r="Z87" s="5">
        <f>V87+X87</f>
        <v>1.4034350007458865</v>
      </c>
      <c r="AA87" s="7">
        <f>IFERROR(W87/V87-1,0)</f>
        <v>0.0026400683887370935</v>
      </c>
      <c r="AB87" s="7">
        <f>IFERROR((W87-V87)/Z87,0)</f>
        <v>0.002640068388737187</v>
      </c>
      <c r="AC87" s="7">
        <f>IFERROR(Y87/X87-1,0)</f>
        <v>0</v>
      </c>
      <c r="AD87" s="7">
        <f>IFERROR((Y87-X87)/Z87,0)</f>
        <v>0</v>
      </c>
      <c r="AE87" s="7">
        <f>AB87+AD87</f>
        <v>0.002640068388737187</v>
      </c>
      <c r="AF87" s="7">
        <f>(1+Q87)*(1+AE87)-1</f>
        <v>-0.01311104861195278</v>
      </c>
      <c r="AG87" s="7">
        <f>G87-AF87</f>
        <v>1.734723475976807e-18</v>
      </c>
      <c r="AH87" s="5">
        <f>SUM(IF(BM87="lease",BW87,0),IF(CH87="lease",CR87,0),IF(DC87="lease",DM87,0),IF(DX87="lease",EH87,0),IF(ES87="lease",FC87,0),IF(FN87="lease",FX87,0),IF(GI87="lease",GS87,0),IF(HD87="lease",HN87,0),IF(HY87="lease",II87,0),IF(IT87="lease",JD87,0))</f>
        <v>-0.017347973105792797</v>
      </c>
      <c r="AI87" s="5">
        <f>SUM(IF(BM87="keep",BW87,0),IF(CH87="keep",CR87,0),IF(DC87="keep",DM87,0),IF(DX87="keep",EH87,0),IF(ES87="keep",FC87,0),IF(FN87="keep",FX87,0),IF(GI87="keep",GS87,0),IF(HD87="keep",HN87,0),IF(HY87="keep",II87,0),IF(IT87="keep",JD87,0))</f>
        <v>0</v>
      </c>
      <c r="AJ87" s="5">
        <f>SUM(IF(BM87="lease",BX87,0),IF(CH87="lease",CS87,0),IF(DC87="lease",DN87,0),IF(DX87="lease",EI87,0),IF(ES87="lease",FD87,0),IF(FN87="lease",FY87,0),IF(GI87="lease",GT87,0),IF(HD87="lease",HO87,0),IF(HY87="lease",IJ87,0),IF(IT87="lease",JE87,0))</f>
        <v>0</v>
      </c>
      <c r="AK87" s="5">
        <f>SUM(IF(BM87="keep",BX87,0),IF(CH87="keep",CS87,0),IF(DC87="keep",DN87,0),IF(DX87="keep",EI87,0),IF(ES87="keep",FD87,0),IF(FN87="keep",FY87,0),IF(GI87="keep",GT87,0),IF(HD87="keep",HO87,0),IF(HY87="keep",IJ87,0),IF(IT87="keep",JE87,0))</f>
        <v>0</v>
      </c>
      <c r="AL87" s="5">
        <f>R87-S86</f>
        <v>0</v>
      </c>
      <c r="AM87" s="5">
        <f>T87-U86</f>
        <v>0</v>
      </c>
      <c r="AN87" s="5">
        <f>AN86</f>
        <v>1</v>
      </c>
      <c r="AO87" s="5">
        <f>AO86+AH87</f>
        <v>0.3058088253502371</v>
      </c>
      <c r="AP87" s="5">
        <f>AP86+AL87</f>
        <v>-6.661338147750939e-16</v>
      </c>
      <c r="AQ87" s="5">
        <f>AN87+AO87+AP87</f>
        <v>1.3058088253502365</v>
      </c>
      <c r="AR87" s="5">
        <f>S87-AQ87</f>
        <v>6.661338147750939e-16</v>
      </c>
      <c r="AS87" s="5">
        <f>AS86</f>
        <v>0</v>
      </c>
      <c r="AT87" s="5">
        <f>AT86+AI87</f>
        <v>0</v>
      </c>
      <c r="AU87" s="5">
        <f>AU86+AM87</f>
        <v>0</v>
      </c>
      <c r="AV87" s="5">
        <f>AS87+AT87+AU87</f>
        <v>0</v>
      </c>
      <c r="AW87" s="5">
        <f>U87-AV87</f>
        <v>0</v>
      </c>
      <c r="AX87" s="4">
        <v>1.32315679845603</v>
      </c>
      <c r="AY87" s="4">
        <v>1.3058088253502371</v>
      </c>
      <c r="AZ87" s="5">
        <f>S87-AY87</f>
        <v>0</v>
      </c>
      <c r="BA87" s="4">
        <v>0</v>
      </c>
      <c r="BB87" s="4">
        <v>0</v>
      </c>
      <c r="BC87" s="5">
        <f>U87-BB87</f>
        <v>0</v>
      </c>
      <c r="BD87" s="7">
        <f>SUM(IF(BL87="direct",CE87,0),IF(CG87="direct",CZ87,0),IF(DB87="direct",DU87,0),IF(DW87="direct",EP87,0),IF(ER87="direct",FK87,0),IF(FM87="direct",GF87,0),IF(GH87="direct",HA87,0),IF(HC87="direct",HV87,0),IF(HX87="direct",IQ87,0),IF(IS87="direct",JL87,0))</f>
        <v>0</v>
      </c>
      <c r="BE87" s="7">
        <f>SUM(IF(BL87="treasury",CE87,0),IF(CG87="treasury",CZ87,0),IF(DB87="treasury",DU87,0),IF(DW87="treasury",EP87,0),IF(ER87="treasury",FK87,0),IF(FM87="treasury",GF87,0),IF(GH87="treasury",HA87,0),IF(HC87="treasury",HV87,0),IF(HX87="treasury",IQ87,0),IF(IS87="treasury",JL87,0))</f>
        <v>0.0001632876712328767</v>
      </c>
      <c r="BF87" s="7">
        <f>SUM(IF(BL87="future",CE87,0),IF(CG87="future",CZ87,0),IF(DB87="future",DU87,0),IF(DW87="future",EP87,0),IF(ER87="future",FK87,0),IF(FM87="future",GF87,0),IF(GH87="future",HA87,0),IF(HC87="future",HV87,0),IF(HX87="future",IQ87,0),IF(IS87="future",JL87,0))</f>
        <v>-0.013274336283185655</v>
      </c>
      <c r="BG87" s="7">
        <f>SUM(IF(BL87="cash",CE87,0),IF(CG87="cash",CZ87,0),IF(DB87="cash",DU87,0),IF(DW87="cash",EP87,0),IF(ER87="cash",FK87,0),IF(FM87="cash",GF87,0),IF(GH87="cash",HA87,0),IF(HC87="cash",HV87,0),IF(HX87="cash",IQ87,0),IF(IS87="cash",JL87,0))</f>
        <v>0</v>
      </c>
      <c r="BH87" s="7">
        <f>SUM(BD87:BG87)</f>
        <v>-0.013111048611952779</v>
      </c>
      <c r="BI87" s="7">
        <f>G87-BH87</f>
        <v>0</v>
      </c>
      <c r="BJ87" s="9">
        <f>COUNTA(BK87,CF87,DA87,DV87,EQ87,FL87,GG87,HB87,HW87,IR87)</f>
        <v>5</v>
      </c>
      <c r="BK87" t="inlineStr">
        <is>
          <t xml:space="preserve">Treasury collateral</t>
        </is>
      </c>
      <c r="BL87" t="inlineStr">
        <is>
          <t xml:space="preserve">treasury</t>
        </is>
      </c>
      <c r="BM87" t="inlineStr">
        <is>
          <t xml:space="preserve">lease</t>
        </is>
      </c>
      <c r="BN87" t="inlineStr">
        <is>
          <t xml:space="preserve">long</t>
        </is>
      </c>
      <c r="BO87"/>
      <c r="BP87" s="4">
        <v>102.12437041340633</v>
      </c>
      <c r="BQ87" s="4">
        <v>102.14104606402725</v>
      </c>
      <c r="BR87" s="4">
        <v>0.012956327594479174</v>
      </c>
      <c r="BS87" s="6">
        <v>1</v>
      </c>
      <c r="BT87" s="4">
        <v>1.3231567984560288</v>
      </c>
      <c r="BU87" s="4">
        <v>1.3231567984560288</v>
      </c>
      <c r="BV87" s="4">
        <v>1.3233728536483247</v>
      </c>
      <c r="BW87" s="4">
        <v>0.00021605519229583373</v>
      </c>
      <c r="BX87" s="4">
        <v>4.960224939121183e-18</v>
      </c>
      <c r="BY87" s="4">
        <v>1.846</v>
      </c>
      <c r="BZ87" s="4">
        <v>1.817</v>
      </c>
      <c r="CA87" s="6"/>
      <c r="CB87" s="6"/>
      <c r="CC87" s="6"/>
      <c r="CD87" s="9">
        <v>20</v>
      </c>
      <c r="CE87" s="7">
        <f>IFERROR(BW87/F87,0)</f>
        <v>0.0001632876712328767</v>
      </c>
      <c r="CF87" t="inlineStr">
        <is>
          <t xml:space="preserve">SI69K</t>
        </is>
      </c>
      <c r="CG87" t="inlineStr">
        <is>
          <t xml:space="preserve">future</t>
        </is>
      </c>
      <c r="CH87" t="inlineStr">
        <is>
          <t xml:space="preserve">lease</t>
        </is>
      </c>
      <c r="CI87" t="inlineStr">
        <is>
          <t xml:space="preserve">long</t>
        </is>
      </c>
      <c r="CJ87" t="inlineStr">
        <is>
          <t xml:space="preserve">regular</t>
        </is>
      </c>
      <c r="CK87" s="4">
        <v>1.808</v>
      </c>
      <c r="CL87" s="4">
        <v>1.784</v>
      </c>
      <c r="CM87" s="4">
        <v>0.7318345124203397</v>
      </c>
      <c r="CN87" s="6">
        <v>0.9999999999999587</v>
      </c>
      <c r="CO87" s="4">
        <v>1.3231567984559742</v>
      </c>
      <c r="CP87" s="4">
        <v>0</v>
      </c>
      <c r="CQ87" s="4">
        <v>0</v>
      </c>
      <c r="CR87" s="4">
        <v>-0.01756402829808818</v>
      </c>
      <c r="CS87" s="4">
        <v>0.01756402829808818</v>
      </c>
      <c r="CT87" s="4">
        <v>1.846</v>
      </c>
      <c r="CU87" s="4">
        <v>1.817</v>
      </c>
      <c r="CV87" s="6">
        <v>-0.020585048754062862</v>
      </c>
      <c r="CW87" s="6">
        <v>0.0596</v>
      </c>
      <c r="CX87" s="6">
        <v>0.43527713976164717</v>
      </c>
      <c r="CY87" s="9">
        <v>20</v>
      </c>
      <c r="CZ87" s="7">
        <f>IFERROR(CR87/F87,0)</f>
        <v>-0.013274336283185313</v>
      </c>
      <c r="DA87" t="inlineStr">
        <is>
          <t xml:space="preserve">SI69N</t>
        </is>
      </c>
      <c r="DB87" t="inlineStr">
        <is>
          <t xml:space="preserve">future</t>
        </is>
      </c>
      <c r="DC87" t="inlineStr">
        <is>
          <t xml:space="preserve">lease</t>
        </is>
      </c>
      <c r="DD87" t="inlineStr">
        <is>
          <t xml:space="preserve">long</t>
        </is>
      </c>
      <c r="DE87" t="inlineStr">
        <is>
          <t xml:space="preserve">regular</t>
        </is>
      </c>
      <c r="DF87" s="4">
        <v>1.818</v>
      </c>
      <c r="DG87" s="4">
        <v>1.8030000000000002</v>
      </c>
      <c r="DH87" s="4">
        <v>3.011202850964143e-14</v>
      </c>
      <c r="DI87" s="6">
        <v>4.137353025310958e-14</v>
      </c>
      <c r="DJ87" s="4">
        <v>5.474366783052812e-14</v>
      </c>
      <c r="DK87" s="4">
        <v>0</v>
      </c>
      <c r="DL87" s="4">
        <v>0</v>
      </c>
      <c r="DM87" s="4">
        <v>-4.516804276446178e-16</v>
      </c>
      <c r="DN87" s="4">
        <v>4.516804276446178e-16</v>
      </c>
      <c r="DO87" s="4">
        <v>1.846</v>
      </c>
      <c r="DP87" s="4">
        <v>1.817</v>
      </c>
      <c r="DQ87" s="6">
        <v>-0.015167930660888396</v>
      </c>
      <c r="DR87" s="6">
        <v>0.0596</v>
      </c>
      <c r="DS87" s="6">
        <v>0.12711578891736908</v>
      </c>
      <c r="DT87" s="9">
        <v>82</v>
      </c>
      <c r="DU87" s="7">
        <f>IFERROR(DM87/F87,0)</f>
        <v>-3.4136576116426767e-16</v>
      </c>
      <c r="DV87" t="inlineStr">
        <is>
          <t xml:space="preserve">Lease cash / margin / financing</t>
        </is>
      </c>
      <c r="DW87" t="inlineStr">
        <is>
          <t xml:space="preserve">cash</t>
        </is>
      </c>
      <c r="DX87" t="inlineStr">
        <is>
          <t xml:space="preserve">lease</t>
        </is>
      </c>
      <c r="DY87" t="inlineStr">
        <is>
          <t xml:space="preserve">cash</t>
        </is>
      </c>
      <c r="DZ87"/>
      <c r="EA87" s="4">
        <v>1</v>
      </c>
      <c r="EB87" s="4">
        <v>1</v>
      </c>
      <c r="EC87" s="4">
        <v>1.1102230246251565e-15</v>
      </c>
      <c r="ED87" s="6"/>
      <c r="EE87" s="4">
        <v>1.1102230246251565e-15</v>
      </c>
      <c r="EF87" s="4">
        <v>1.1102230246251565e-15</v>
      </c>
      <c r="EG87" s="4">
        <v>-0.017564028298087526</v>
      </c>
      <c r="EH87" s="4">
        <v>0</v>
      </c>
      <c r="EI87" s="4">
        <v>-0.017564028298088636</v>
      </c>
      <c r="EJ87" s="4">
        <v>1.846</v>
      </c>
      <c r="EK87" s="4">
        <v>1.817</v>
      </c>
      <c r="EL87" s="6"/>
      <c r="EM87" s="6"/>
      <c r="EN87" s="6"/>
      <c r="EO87" s="9"/>
      <c r="EP87" s="7">
        <f>IFERROR(EH87/F87,0)</f>
        <v>0</v>
      </c>
      <c r="EQ87" t="inlineStr">
        <is>
          <t xml:space="preserve">Keep cash / margin / financing</t>
        </is>
      </c>
      <c r="ER87" t="inlineStr">
        <is>
          <t xml:space="preserve">cash</t>
        </is>
      </c>
      <c r="ES87" t="inlineStr">
        <is>
          <t xml:space="preserve">keep</t>
        </is>
      </c>
      <c r="ET87" t="inlineStr">
        <is>
          <t xml:space="preserve">cash</t>
        </is>
      </c>
      <c r="EU87"/>
      <c r="EV87" s="4">
        <v>1</v>
      </c>
      <c r="EW87" s="4">
        <v>1</v>
      </c>
      <c r="EX87" s="4">
        <v>0</v>
      </c>
      <c r="EY87" s="6"/>
      <c r="EZ87" s="4">
        <v>0</v>
      </c>
      <c r="FA87" s="4">
        <v>0</v>
      </c>
      <c r="FB87" s="4">
        <v>0</v>
      </c>
      <c r="FC87" s="4">
        <v>0</v>
      </c>
      <c r="FD87" s="4">
        <v>0</v>
      </c>
      <c r="FE87" s="4">
        <v>1.846</v>
      </c>
      <c r="FF87" s="4">
        <v>1.817</v>
      </c>
      <c r="FG87" s="6"/>
      <c r="FH87" s="6"/>
      <c r="FI87" s="6"/>
      <c r="FJ87" s="9"/>
      <c r="FK87" s="7">
        <f>IFERROR(FC87/F87,0)</f>
        <v>0</v>
      </c>
      <c r="FL87"/>
      <c r="FM87"/>
      <c r="FN87"/>
      <c r="FO87"/>
      <c r="FP87"/>
      <c r="FQ87" s="4"/>
      <c r="FR87" s="4"/>
      <c r="FS87" s="4"/>
      <c r="FT87" s="6"/>
      <c r="FU87" s="4"/>
      <c r="FV87" s="4"/>
      <c r="FW87" s="4"/>
      <c r="FX87" s="4"/>
      <c r="FY87" s="4"/>
      <c r="FZ87" s="4"/>
      <c r="GA87" s="4"/>
      <c r="GB87" s="6"/>
      <c r="GC87" s="6"/>
      <c r="GD87" s="6"/>
      <c r="GE87" s="9"/>
      <c r="GF87"/>
      <c r="GG87"/>
      <c r="GH87"/>
      <c r="GI87"/>
      <c r="GJ87"/>
      <c r="GK87"/>
      <c r="GL87" s="4"/>
      <c r="GM87" s="4"/>
      <c r="GN87" s="4"/>
      <c r="GO87" s="6"/>
      <c r="GP87" s="4"/>
      <c r="GQ87" s="4"/>
      <c r="GR87" s="4"/>
      <c r="GS87" s="4"/>
      <c r="GT87" s="4"/>
      <c r="GU87" s="4"/>
      <c r="GV87" s="4"/>
      <c r="GW87" s="6"/>
      <c r="GX87" s="6"/>
      <c r="GY87" s="6"/>
      <c r="GZ87" s="9"/>
      <c r="HA87"/>
      <c r="HB87"/>
      <c r="HC87"/>
      <c r="HD87"/>
      <c r="HE87"/>
      <c r="HF87"/>
      <c r="HG87" s="4"/>
      <c r="HH87" s="4"/>
      <c r="HI87" s="4"/>
      <c r="HJ87" s="6"/>
      <c r="HK87" s="4"/>
      <c r="HL87" s="4"/>
      <c r="HM87" s="4"/>
      <c r="HN87" s="4"/>
      <c r="HO87" s="4"/>
      <c r="HP87" s="4"/>
      <c r="HQ87" s="4"/>
      <c r="HR87" s="6"/>
      <c r="HS87" s="6"/>
      <c r="HT87" s="6"/>
      <c r="HU87" s="9"/>
      <c r="HV87"/>
      <c r="HW87"/>
      <c r="HX87"/>
      <c r="HY87"/>
      <c r="HZ87"/>
      <c r="IA87"/>
      <c r="IB87" s="4"/>
      <c r="IC87" s="4"/>
      <c r="ID87" s="4"/>
      <c r="IE87" s="6"/>
      <c r="IF87" s="4"/>
      <c r="IG87" s="4"/>
      <c r="IH87" s="4"/>
      <c r="II87" s="4"/>
      <c r="IJ87" s="4"/>
      <c r="IK87" s="4"/>
      <c r="IL87" s="4"/>
      <c r="IM87" s="6"/>
      <c r="IN87" s="6"/>
      <c r="IO87" s="6"/>
      <c r="IP87" s="9"/>
      <c r="IQ87"/>
      <c r="IR87"/>
      <c r="IS87"/>
      <c r="IT87"/>
      <c r="IU87"/>
      <c r="IV87"/>
      <c r="IW87" s="4"/>
      <c r="IX87" s="4"/>
      <c r="IY87" s="4"/>
      <c r="IZ87" s="6"/>
      <c r="JA87" s="4"/>
      <c r="JB87" s="4"/>
      <c r="JC87" s="4"/>
      <c r="JD87" s="4"/>
      <c r="JE87" s="4"/>
      <c r="JF87" s="4"/>
      <c r="JG87" s="4"/>
      <c r="JH87" s="6"/>
      <c r="JI87" s="6"/>
      <c r="JJ87" s="6"/>
      <c r="JK87" s="9"/>
      <c r="JL87"/>
    </row>
    <row r="88">
      <c r="A88" s="8">
        <v>25332</v>
      </c>
      <c r="B88" s="8">
        <v>25335</v>
      </c>
      <c r="C88" s="9">
        <f>B88-A88</f>
        <v>3</v>
      </c>
      <c r="D88" s="8">
        <v>25332</v>
      </c>
      <c r="E88" t="inlineStr">
        <is>
          <t xml:space="preserve">positive</t>
        </is>
      </c>
      <c r="F88" s="4">
        <v>1.305808825350236</v>
      </c>
      <c r="G88" s="6">
        <v>-0.01856843295042699</v>
      </c>
      <c r="H88" s="7">
        <f>SUM(CE88,CZ88,DU88,EP88,FK88,GF88,HA88,HV88,IQ88,JL88)</f>
        <v>-0.018568432950426993</v>
      </c>
      <c r="I88" s="7">
        <f>G88-H88</f>
        <v>3.469446951953614e-18</v>
      </c>
      <c r="J88" s="5">
        <f>F88*(1+H88)</f>
        <v>1.2815620017306444</v>
      </c>
      <c r="K88" s="4">
        <v>1.2815620017306444</v>
      </c>
      <c r="L88" s="5">
        <f>K88-J88</f>
        <v>0</v>
      </c>
      <c r="M88" s="4">
        <v>1.817</v>
      </c>
      <c r="N88" s="4">
        <v>1.795</v>
      </c>
      <c r="O88" s="5">
        <f>M88/$M$3</f>
        <v>0.9279877425944841</v>
      </c>
      <c r="P88" s="5">
        <f>N88/$M$3</f>
        <v>0.9167517875383043</v>
      </c>
      <c r="Q88" s="7">
        <f>IFERROR(N88/M88-1,0)</f>
        <v>-0.012107870115575126</v>
      </c>
      <c r="R88" s="5">
        <f>SUM(IF(BM88="lease",BU88,0),IF(CH88="lease",CP88,0),IF(DC88="lease",DK88,0),IF(DX88="lease",EF88,0),IF(ES88="lease",FA88,0),IF(FN88="lease",FV88,0),IF(GI88="lease",GQ88,0),IF(HD88="lease",HL88,0),IF(HY88="lease",IG88,0),IF(IT88="lease",JB88,0))</f>
        <v>1.3058088253502371</v>
      </c>
      <c r="S88" s="5">
        <f>SUM(IF(BM88="lease",BV88,0),IF(CH88="lease",CQ88,0),IF(DC88="lease",DL88,0),IF(DX88="lease",EG88,0),IF(ES88="lease",FB88,0),IF(FN88="lease",FW88,0),IF(GI88="lease",GR88,0),IF(HD88="lease",HM88,0),IF(HY88="lease",IH88,0),IF(IT88="lease",JC88,0))</f>
        <v>1.2815620017306455</v>
      </c>
      <c r="T88" s="5">
        <f>SUM(IF(BM88="keep",BU88,0),IF(CH88="keep",CP88,0),IF(DC88="keep",DK88,0),IF(DX88="keep",EF88,0),IF(ES88="keep",FA88,0),IF(FN88="keep",FV88,0),IF(GI88="keep",GQ88,0),IF(HD88="keep",HL88,0),IF(HY88="keep",IG88,0),IF(IT88="keep",JB88,0))</f>
        <v>0</v>
      </c>
      <c r="U88" s="5">
        <f>SUM(IF(BM88="keep",BV88,0),IF(CH88="keep",CQ88,0),IF(DC88="keep",DL88,0),IF(DX88="keep",EG88,0),IF(ES88="keep",FB88,0),IF(FN88="keep",FW88,0),IF(GI88="keep",GR88,0),IF(HD88="keep",HM88,0),IF(HY88="keep",IH88,0),IF(IT88="keep",JC88,0))</f>
        <v>0</v>
      </c>
      <c r="V88" s="5">
        <f>R88/O88</f>
        <v>1.407140165127003</v>
      </c>
      <c r="W88" s="5">
        <f>S88/P88</f>
        <v>1.3979378269574396</v>
      </c>
      <c r="X88" s="5">
        <f>T88/O88</f>
        <v>0</v>
      </c>
      <c r="Y88" s="5">
        <f>U88/P88</f>
        <v>0</v>
      </c>
      <c r="Z88" s="5">
        <f>V88+X88</f>
        <v>1.407140165127003</v>
      </c>
      <c r="AA88" s="7">
        <f>IFERROR(W88/V88-1,0)</f>
        <v>-0.006539745220571436</v>
      </c>
      <c r="AB88" s="7">
        <f>IFERROR((W88-V88)/Z88,0)</f>
        <v>-0.006539745220571419</v>
      </c>
      <c r="AC88" s="7">
        <f>IFERROR(Y88/X88-1,0)</f>
        <v>0</v>
      </c>
      <c r="AD88" s="7">
        <f>IFERROR((Y88-X88)/Z88,0)</f>
        <v>0</v>
      </c>
      <c r="AE88" s="7">
        <f>AB88+AD88</f>
        <v>-0.006539745220571419</v>
      </c>
      <c r="AF88" s="7">
        <f>(1+Q88)*(1+AE88)-1</f>
        <v>-0.018568432950426983</v>
      </c>
      <c r="AG88" s="7">
        <f>G88-AF88</f>
        <v>-6.938893903907228e-18</v>
      </c>
      <c r="AH88" s="5">
        <f>SUM(IF(BM88="lease",BW88,0),IF(CH88="lease",CR88,0),IF(DC88="lease",DM88,0),IF(DX88="lease",EH88,0),IF(ES88="lease",FC88,0),IF(FN88="lease",FX88,0),IF(GI88="lease",GS88,0),IF(HD88="lease",HN88,0),IF(HY88="lease",II88,0),IF(IT88="lease",JD88,0))</f>
        <v>-0.024246823619591688</v>
      </c>
      <c r="AI88" s="5">
        <f>SUM(IF(BM88="keep",BW88,0),IF(CH88="keep",CR88,0),IF(DC88="keep",DM88,0),IF(DX88="keep",EH88,0),IF(ES88="keep",FC88,0),IF(FN88="keep",FX88,0),IF(GI88="keep",GS88,0),IF(HD88="keep",HN88,0),IF(HY88="keep",II88,0),IF(IT88="keep",JD88,0))</f>
        <v>0</v>
      </c>
      <c r="AJ88" s="5">
        <f>SUM(IF(BM88="lease",BX88,0),IF(CH88="lease",CS88,0),IF(DC88="lease",DN88,0),IF(DX88="lease",EI88,0),IF(ES88="lease",FD88,0),IF(FN88="lease",FY88,0),IF(GI88="lease",GT88,0),IF(HD88="lease",HO88,0),IF(HY88="lease",IJ88,0),IF(IT88="lease",JE88,0))</f>
        <v>0</v>
      </c>
      <c r="AK88" s="5">
        <f>SUM(IF(BM88="keep",BX88,0),IF(CH88="keep",CS88,0),IF(DC88="keep",DN88,0),IF(DX88="keep",EI88,0),IF(ES88="keep",FD88,0),IF(FN88="keep",FY88,0),IF(GI88="keep",GT88,0),IF(HD88="keep",HO88,0),IF(HY88="keep",IJ88,0),IF(IT88="keep",JE88,0))</f>
        <v>0</v>
      </c>
      <c r="AL88" s="5">
        <f>R88-S87</f>
        <v>0</v>
      </c>
      <c r="AM88" s="5">
        <f>T88-U87</f>
        <v>0</v>
      </c>
      <c r="AN88" s="5">
        <f>AN87</f>
        <v>1</v>
      </c>
      <c r="AO88" s="5">
        <f>AO87+AH88</f>
        <v>0.28156200173064544</v>
      </c>
      <c r="AP88" s="5">
        <f>AP87+AL88</f>
        <v>-6.661338147750939e-16</v>
      </c>
      <c r="AQ88" s="5">
        <f>AN88+AO88+AP88</f>
        <v>1.2815620017306448</v>
      </c>
      <c r="AR88" s="5">
        <f>S88-AQ88</f>
        <v>6.661338147750939e-16</v>
      </c>
      <c r="AS88" s="5">
        <f>AS87</f>
        <v>0</v>
      </c>
      <c r="AT88" s="5">
        <f>AT87+AI88</f>
        <v>0</v>
      </c>
      <c r="AU88" s="5">
        <f>AU87+AM88</f>
        <v>0</v>
      </c>
      <c r="AV88" s="5">
        <f>AS88+AT88+AU88</f>
        <v>0</v>
      </c>
      <c r="AW88" s="5">
        <f>U88-AV88</f>
        <v>0</v>
      </c>
      <c r="AX88" s="4">
        <v>1.3058088253502371</v>
      </c>
      <c r="AY88" s="4">
        <v>1.2815620017306455</v>
      </c>
      <c r="AZ88" s="5">
        <f>S88-AY88</f>
        <v>0</v>
      </c>
      <c r="BA88" s="4">
        <v>0</v>
      </c>
      <c r="BB88" s="4">
        <v>0</v>
      </c>
      <c r="BC88" s="5">
        <f>U88-BB88</f>
        <v>0</v>
      </c>
      <c r="BD88" s="7">
        <f>SUM(IF(BL88="direct",CE88,0),IF(CG88="direct",CZ88,0),IF(DB88="direct",DU88,0),IF(DW88="direct",EP88,0),IF(ER88="direct",FK88,0),IF(FM88="direct",GF88,0),IF(GH88="direct",HA88,0),IF(HC88="direct",HV88,0),IF(HX88="direct",IQ88,0),IF(IS88="direct",JL88,0))</f>
        <v>0</v>
      </c>
      <c r="BE88" s="7">
        <f>SUM(IF(BL88="treasury",CE88,0),IF(CG88="treasury",CZ88,0),IF(DB88="treasury",DU88,0),IF(DW88="treasury",EP88,0),IF(ER88="treasury",FK88,0),IF(FM88="treasury",GF88,0),IF(GH88="treasury",HA88,0),IF(HC88="treasury",HV88,0),IF(HX88="treasury",IQ88,0),IF(IS88="treasury",JL88,0))</f>
        <v>0.0004898630136986302</v>
      </c>
      <c r="BF88" s="7">
        <f>SUM(IF(BL88="future",CE88,0),IF(CG88="future",CZ88,0),IF(DB88="future",DU88,0),IF(DW88="future",EP88,0),IF(ER88="future",FK88,0),IF(FM88="future",GF88,0),IF(GH88="future",HA88,0),IF(HC88="future",HV88,0),IF(HX88="future",IQ88,0),IF(IS88="future",JL88,0))</f>
        <v>-0.019058295964125622</v>
      </c>
      <c r="BG88" s="7">
        <f>SUM(IF(BL88="cash",CE88,0),IF(CG88="cash",CZ88,0),IF(DB88="cash",DU88,0),IF(DW88="cash",EP88,0),IF(ER88="cash",FK88,0),IF(FM88="cash",GF88,0),IF(GH88="cash",HA88,0),IF(HC88="cash",HV88,0),IF(HX88="cash",IQ88,0),IF(IS88="cash",JL88,0))</f>
        <v>0</v>
      </c>
      <c r="BH88" s="7">
        <f>SUM(BD88:BG88)</f>
        <v>-0.018568432950426993</v>
      </c>
      <c r="BI88" s="7">
        <f>G88-BH88</f>
        <v>3.469446951953614e-18</v>
      </c>
      <c r="BJ88" s="9">
        <f>COUNTA(BK88,CF88,DA88,DV88,EQ88,FL88,GG88,HB88,HW88,IR88)</f>
        <v>5</v>
      </c>
      <c r="BK88" t="inlineStr">
        <is>
          <t xml:space="preserve">Treasury collateral</t>
        </is>
      </c>
      <c r="BL88" t="inlineStr">
        <is>
          <t xml:space="preserve">treasury</t>
        </is>
      </c>
      <c r="BM88" t="inlineStr">
        <is>
          <t xml:space="preserve">lease</t>
        </is>
      </c>
      <c r="BN88" t="inlineStr">
        <is>
          <t xml:space="preserve">long</t>
        </is>
      </c>
      <c r="BO88"/>
      <c r="BP88" s="4">
        <v>102.14104606402725</v>
      </c>
      <c r="BQ88" s="4">
        <v>102.1910811846745</v>
      </c>
      <c r="BR88" s="4">
        <v>0.012784369023709509</v>
      </c>
      <c r="BS88" s="6">
        <v>1</v>
      </c>
      <c r="BT88" s="4">
        <v>1.305808825350236</v>
      </c>
      <c r="BU88" s="4">
        <v>1.305808825350236</v>
      </c>
      <c r="BV88" s="4">
        <v>1.3064484927967364</v>
      </c>
      <c r="BW88" s="4">
        <v>0.0006396674465003349</v>
      </c>
      <c r="BX88" s="4">
        <v>1.22514845490862e-17</v>
      </c>
      <c r="BY88" s="4">
        <v>1.817</v>
      </c>
      <c r="BZ88" s="4">
        <v>1.795</v>
      </c>
      <c r="CA88" s="6"/>
      <c r="CB88" s="6"/>
      <c r="CC88" s="6"/>
      <c r="CD88" s="9">
        <v>19</v>
      </c>
      <c r="CE88" s="7">
        <f>IFERROR(BW88/F88,0)</f>
        <v>0.0004898630136986302</v>
      </c>
      <c r="CF88" t="inlineStr">
        <is>
          <t xml:space="preserve">SI69K</t>
        </is>
      </c>
      <c r="CG88" t="inlineStr">
        <is>
          <t xml:space="preserve">future</t>
        </is>
      </c>
      <c r="CH88" t="inlineStr">
        <is>
          <t xml:space="preserve">lease</t>
        </is>
      </c>
      <c r="CI88" t="inlineStr">
        <is>
          <t xml:space="preserve">long</t>
        </is>
      </c>
      <c r="CJ88" t="inlineStr">
        <is>
          <t xml:space="preserve">regular</t>
        </is>
      </c>
      <c r="CK88" s="4">
        <v>1.784</v>
      </c>
      <c r="CL88" s="4">
        <v>1.75</v>
      </c>
      <c r="CM88" s="4">
        <v>0.7319556195909229</v>
      </c>
      <c r="CN88" s="6">
        <v>0.9999999999999774</v>
      </c>
      <c r="CO88" s="4">
        <v>1.3058088253502065</v>
      </c>
      <c r="CP88" s="4">
        <v>0</v>
      </c>
      <c r="CQ88" s="4">
        <v>0</v>
      </c>
      <c r="CR88" s="4">
        <v>-0.02488649106609138</v>
      </c>
      <c r="CS88" s="4">
        <v>0.02488649106609138</v>
      </c>
      <c r="CT88" s="4">
        <v>1.817</v>
      </c>
      <c r="CU88" s="4">
        <v>1.795</v>
      </c>
      <c r="CV88" s="6">
        <v>-0.018161805173362633</v>
      </c>
      <c r="CW88" s="6">
        <v>0.0596</v>
      </c>
      <c r="CX88" s="6">
        <v>0.40849783622512426</v>
      </c>
      <c r="CY88" s="9">
        <v>19</v>
      </c>
      <c r="CZ88" s="7">
        <f>IFERROR(CR88/F88,0)</f>
        <v>-0.01905829596412513</v>
      </c>
      <c r="DA88" t="inlineStr">
        <is>
          <t xml:space="preserve">SI69N</t>
        </is>
      </c>
      <c r="DB88" t="inlineStr">
        <is>
          <t xml:space="preserve">future</t>
        </is>
      </c>
      <c r="DC88" t="inlineStr">
        <is>
          <t xml:space="preserve">lease</t>
        </is>
      </c>
      <c r="DD88" t="inlineStr">
        <is>
          <t xml:space="preserve">long</t>
        </is>
      </c>
      <c r="DE88" t="inlineStr">
        <is>
          <t xml:space="preserve">regular</t>
        </is>
      </c>
      <c r="DF88" s="4">
        <v>1.8030000000000002</v>
      </c>
      <c r="DG88" s="4">
        <v>1.764</v>
      </c>
      <c r="DH88" s="4">
        <v>1.6417918984362404e-14</v>
      </c>
      <c r="DI88" s="6">
        <v>2.2669097768477618e-14</v>
      </c>
      <c r="DJ88" s="4">
        <v>2.960150792880542e-14</v>
      </c>
      <c r="DK88" s="4">
        <v>0</v>
      </c>
      <c r="DL88" s="4">
        <v>0</v>
      </c>
      <c r="DM88" s="4">
        <v>-6.402988403901366e-16</v>
      </c>
      <c r="DN88" s="4">
        <v>6.402988403901366e-16</v>
      </c>
      <c r="DO88" s="4">
        <v>1.817</v>
      </c>
      <c r="DP88" s="4">
        <v>1.795</v>
      </c>
      <c r="DQ88" s="6">
        <v>-0.007705008255365908</v>
      </c>
      <c r="DR88" s="6">
        <v>0.0596</v>
      </c>
      <c r="DS88" s="6">
        <v>0.0943200989285007</v>
      </c>
      <c r="DT88" s="9">
        <v>81</v>
      </c>
      <c r="DU88" s="7">
        <f>IFERROR(DM88/F88,0)</f>
        <v>-4.90346540749102e-16</v>
      </c>
      <c r="DV88" t="inlineStr">
        <is>
          <t xml:space="preserve">Lease cash / margin / financing</t>
        </is>
      </c>
      <c r="DW88" t="inlineStr">
        <is>
          <t xml:space="preserve">cash</t>
        </is>
      </c>
      <c r="DX88" t="inlineStr">
        <is>
          <t xml:space="preserve">lease</t>
        </is>
      </c>
      <c r="DY88" t="inlineStr">
        <is>
          <t xml:space="preserve">cash</t>
        </is>
      </c>
      <c r="DZ88"/>
      <c r="EA88" s="4">
        <v>1</v>
      </c>
      <c r="EB88" s="4">
        <v>1</v>
      </c>
      <c r="EC88" s="4">
        <v>1.1102230246251565e-15</v>
      </c>
      <c r="ED88" s="6"/>
      <c r="EE88" s="4">
        <v>1.1102230246251565e-15</v>
      </c>
      <c r="EF88" s="4">
        <v>1.1102230246251565e-15</v>
      </c>
      <c r="EG88" s="4">
        <v>-0.024886491066090925</v>
      </c>
      <c r="EH88" s="4">
        <v>0</v>
      </c>
      <c r="EI88" s="4">
        <v>-0.024886491066092035</v>
      </c>
      <c r="EJ88" s="4">
        <v>1.817</v>
      </c>
      <c r="EK88" s="4">
        <v>1.795</v>
      </c>
      <c r="EL88" s="6"/>
      <c r="EM88" s="6"/>
      <c r="EN88" s="6"/>
      <c r="EO88" s="9"/>
      <c r="EP88" s="7">
        <f>IFERROR(EH88/F88,0)</f>
        <v>0</v>
      </c>
      <c r="EQ88" t="inlineStr">
        <is>
          <t xml:space="preserve">Keep cash / margin / financing</t>
        </is>
      </c>
      <c r="ER88" t="inlineStr">
        <is>
          <t xml:space="preserve">cash</t>
        </is>
      </c>
      <c r="ES88" t="inlineStr">
        <is>
          <t xml:space="preserve">keep</t>
        </is>
      </c>
      <c r="ET88" t="inlineStr">
        <is>
          <t xml:space="preserve">cash</t>
        </is>
      </c>
      <c r="EU88"/>
      <c r="EV88" s="4">
        <v>1</v>
      </c>
      <c r="EW88" s="4">
        <v>1</v>
      </c>
      <c r="EX88" s="4">
        <v>0</v>
      </c>
      <c r="EY88" s="6"/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1.817</v>
      </c>
      <c r="FF88" s="4">
        <v>1.795</v>
      </c>
      <c r="FG88" s="6"/>
      <c r="FH88" s="6"/>
      <c r="FI88" s="6"/>
      <c r="FJ88" s="9"/>
      <c r="FK88" s="7">
        <f>IFERROR(FC88/F88,0)</f>
        <v>0</v>
      </c>
      <c r="FL88"/>
      <c r="FM88"/>
      <c r="FN88"/>
      <c r="FO88"/>
      <c r="FP88"/>
      <c r="FQ88" s="4"/>
      <c r="FR88" s="4"/>
      <c r="FS88" s="4"/>
      <c r="FT88" s="6"/>
      <c r="FU88" s="4"/>
      <c r="FV88" s="4"/>
      <c r="FW88" s="4"/>
      <c r="FX88" s="4"/>
      <c r="FY88" s="4"/>
      <c r="FZ88" s="4"/>
      <c r="GA88" s="4"/>
      <c r="GB88" s="6"/>
      <c r="GC88" s="6"/>
      <c r="GD88" s="6"/>
      <c r="GE88" s="9"/>
      <c r="GF88"/>
      <c r="GG88"/>
      <c r="GH88"/>
      <c r="GI88"/>
      <c r="GJ88"/>
      <c r="GK88"/>
      <c r="GL88" s="4"/>
      <c r="GM88" s="4"/>
      <c r="GN88" s="4"/>
      <c r="GO88" s="6"/>
      <c r="GP88" s="4"/>
      <c r="GQ88" s="4"/>
      <c r="GR88" s="4"/>
      <c r="GS88" s="4"/>
      <c r="GT88" s="4"/>
      <c r="GU88" s="4"/>
      <c r="GV88" s="4"/>
      <c r="GW88" s="6"/>
      <c r="GX88" s="6"/>
      <c r="GY88" s="6"/>
      <c r="GZ88" s="9"/>
      <c r="HA88"/>
      <c r="HB88"/>
      <c r="HC88"/>
      <c r="HD88"/>
      <c r="HE88"/>
      <c r="HF88"/>
      <c r="HG88" s="4"/>
      <c r="HH88" s="4"/>
      <c r="HI88" s="4"/>
      <c r="HJ88" s="6"/>
      <c r="HK88" s="4"/>
      <c r="HL88" s="4"/>
      <c r="HM88" s="4"/>
      <c r="HN88" s="4"/>
      <c r="HO88" s="4"/>
      <c r="HP88" s="4"/>
      <c r="HQ88" s="4"/>
      <c r="HR88" s="6"/>
      <c r="HS88" s="6"/>
      <c r="HT88" s="6"/>
      <c r="HU88" s="9"/>
      <c r="HV88"/>
      <c r="HW88"/>
      <c r="HX88"/>
      <c r="HY88"/>
      <c r="HZ88"/>
      <c r="IA88"/>
      <c r="IB88" s="4"/>
      <c r="IC88" s="4"/>
      <c r="ID88" s="4"/>
      <c r="IE88" s="6"/>
      <c r="IF88" s="4"/>
      <c r="IG88" s="4"/>
      <c r="IH88" s="4"/>
      <c r="II88" s="4"/>
      <c r="IJ88" s="4"/>
      <c r="IK88" s="4"/>
      <c r="IL88" s="4"/>
      <c r="IM88" s="6"/>
      <c r="IN88" s="6"/>
      <c r="IO88" s="6"/>
      <c r="IP88" s="9"/>
      <c r="IQ88"/>
      <c r="IR88"/>
      <c r="IS88"/>
      <c r="IT88"/>
      <c r="IU88"/>
      <c r="IV88"/>
      <c r="IW88" s="4"/>
      <c r="IX88" s="4"/>
      <c r="IY88" s="4"/>
      <c r="IZ88" s="6"/>
      <c r="JA88" s="4"/>
      <c r="JB88" s="4"/>
      <c r="JC88" s="4"/>
      <c r="JD88" s="4"/>
      <c r="JE88" s="4"/>
      <c r="JF88" s="4"/>
      <c r="JG88" s="4"/>
      <c r="JH88" s="6"/>
      <c r="JI88" s="6"/>
      <c r="JJ88" s="6"/>
      <c r="JK88" s="9"/>
      <c r="JL88"/>
    </row>
    <row r="89">
      <c r="A89" s="8">
        <v>25335</v>
      </c>
      <c r="B89" s="8">
        <v>25336</v>
      </c>
      <c r="C89" s="9">
        <f>B89-A89</f>
        <v>1</v>
      </c>
      <c r="D89" s="8">
        <v>25335</v>
      </c>
      <c r="E89" t="inlineStr">
        <is>
          <t xml:space="preserve">positive</t>
        </is>
      </c>
      <c r="F89" s="4">
        <v>1.2815620017306444</v>
      </c>
      <c r="G89" s="6">
        <v>0.005879765166340577</v>
      </c>
      <c r="H89" s="7">
        <f>SUM(CE89,CZ89,DU89,EP89,FK89,GF89,HA89,HV89,IQ89,JL89)</f>
        <v>0.005879765166340578</v>
      </c>
      <c r="I89" s="7">
        <f>G89-H89</f>
        <v>-8.673617379884035e-19</v>
      </c>
      <c r="J89" s="5">
        <f>F89*(1+H89)</f>
        <v>1.2890972853469258</v>
      </c>
      <c r="K89" s="4">
        <v>1.2890972853469258</v>
      </c>
      <c r="L89" s="5">
        <f>K89-J89</f>
        <v>0</v>
      </c>
      <c r="M89" s="4">
        <v>1.795</v>
      </c>
      <c r="N89" s="4">
        <v>1.749</v>
      </c>
      <c r="O89" s="5">
        <f>M89/$M$3</f>
        <v>0.9167517875383043</v>
      </c>
      <c r="P89" s="5">
        <f>N89/$M$3</f>
        <v>0.8932584269662922</v>
      </c>
      <c r="Q89" s="7">
        <f>IFERROR(N89/M89-1,0)</f>
        <v>-0.025626740947075066</v>
      </c>
      <c r="R89" s="5">
        <f>SUM(IF(BM89="lease",BU89,0),IF(CH89="lease",CP89,0),IF(DC89="lease",DK89,0),IF(DX89="lease",EF89,0),IF(ES89="lease",FA89,0),IF(FN89="lease",FV89,0),IF(GI89="lease",GQ89,0),IF(HD89="lease",HL89,0),IF(HY89="lease",IG89,0),IF(IT89="lease",JB89,0))</f>
        <v>1.2815620017306455</v>
      </c>
      <c r="S89" s="5">
        <f>SUM(IF(BM89="lease",BV89,0),IF(CH89="lease",CQ89,0),IF(DC89="lease",DL89,0),IF(DX89="lease",EG89,0),IF(ES89="lease",FB89,0),IF(FN89="lease",FW89,0),IF(GI89="lease",GR89,0),IF(HD89="lease",HM89,0),IF(HY89="lease",IH89,0),IF(IT89="lease",JC89,0))</f>
        <v>1.2890972853469271</v>
      </c>
      <c r="T89" s="5">
        <f>SUM(IF(BM89="keep",BU89,0),IF(CH89="keep",CP89,0),IF(DC89="keep",DK89,0),IF(DX89="keep",EF89,0),IF(ES89="keep",FA89,0),IF(FN89="keep",FV89,0),IF(GI89="keep",GQ89,0),IF(HD89="keep",HL89,0),IF(HY89="keep",IG89,0),IF(IT89="keep",JB89,0))</f>
        <v>0</v>
      </c>
      <c r="U89" s="5">
        <f>SUM(IF(BM89="keep",BV89,0),IF(CH89="keep",CQ89,0),IF(DC89="keep",DL89,0),IF(DX89="keep",EG89,0),IF(ES89="keep",FB89,0),IF(FN89="keep",FW89,0),IF(GI89="keep",GR89,0),IF(HD89="keep",HM89,0),IF(HY89="keep",IH89,0),IF(IT89="keep",JC89,0))</f>
        <v>0</v>
      </c>
      <c r="V89" s="5">
        <f>R89/O89</f>
        <v>1.3979378269574396</v>
      </c>
      <c r="W89" s="5">
        <f>S89/P89</f>
        <v>1.4431403571808366</v>
      </c>
      <c r="X89" s="5">
        <f>T89/O89</f>
        <v>0</v>
      </c>
      <c r="Y89" s="5">
        <f>U89/P89</f>
        <v>0</v>
      </c>
      <c r="Z89" s="5">
        <f>V89+X89</f>
        <v>1.3979378269574396</v>
      </c>
      <c r="AA89" s="7">
        <f>IFERROR(W89/V89-1,0)</f>
        <v>0.032335150642413435</v>
      </c>
      <c r="AB89" s="7">
        <f>IFERROR((W89-V89)/Z89,0)</f>
        <v>0.03233515064241346</v>
      </c>
      <c r="AC89" s="7">
        <f>IFERROR(Y89/X89-1,0)</f>
        <v>0</v>
      </c>
      <c r="AD89" s="7">
        <f>IFERROR((Y89-X89)/Z89,0)</f>
        <v>0</v>
      </c>
      <c r="AE89" s="7">
        <f>AB89+AD89</f>
        <v>0.03233515064241346</v>
      </c>
      <c r="AF89" s="7">
        <f>(1+Q89)*(1+AE89)-1</f>
        <v>0.0058797651663407</v>
      </c>
      <c r="AG89" s="7">
        <f>G89-AF89</f>
        <v>-1.231653667943533e-16</v>
      </c>
      <c r="AH89" s="5">
        <f>SUM(IF(BM89="lease",BW89,0),IF(CH89="lease",CR89,0),IF(DC89="lease",DM89,0),IF(DX89="lease",EH89,0),IF(ES89="lease",FC89,0),IF(FN89="lease",FX89,0),IF(GI89="lease",GS89,0),IF(HD89="lease",HN89,0),IF(HY89="lease",II89,0),IF(IT89="lease",JD89,0))</f>
        <v>0.007535283616281546</v>
      </c>
      <c r="AI89" s="5">
        <f>SUM(IF(BM89="keep",BW89,0),IF(CH89="keep",CR89,0),IF(DC89="keep",DM89,0),IF(DX89="keep",EH89,0),IF(ES89="keep",FC89,0),IF(FN89="keep",FX89,0),IF(GI89="keep",GS89,0),IF(HD89="keep",HN89,0),IF(HY89="keep",II89,0),IF(IT89="keep",JD89,0))</f>
        <v>0</v>
      </c>
      <c r="AJ89" s="5">
        <f>SUM(IF(BM89="lease",BX89,0),IF(CH89="lease",CS89,0),IF(DC89="lease",DN89,0),IF(DX89="lease",EI89,0),IF(ES89="lease",FD89,0),IF(FN89="lease",FY89,0),IF(GI89="lease",GT89,0),IF(HD89="lease",HO89,0),IF(HY89="lease",IJ89,0),IF(IT89="lease",JE89,0))</f>
        <v>0</v>
      </c>
      <c r="AK89" s="5">
        <f>SUM(IF(BM89="keep",BX89,0),IF(CH89="keep",CS89,0),IF(DC89="keep",DN89,0),IF(DX89="keep",EI89,0),IF(ES89="keep",FD89,0),IF(FN89="keep",FY89,0),IF(GI89="keep",GT89,0),IF(HD89="keep",HO89,0),IF(HY89="keep",IJ89,0),IF(IT89="keep",JE89,0))</f>
        <v>0</v>
      </c>
      <c r="AL89" s="5">
        <f>R89-S88</f>
        <v>0</v>
      </c>
      <c r="AM89" s="5">
        <f>T89-U88</f>
        <v>0</v>
      </c>
      <c r="AN89" s="5">
        <f>AN88</f>
        <v>1</v>
      </c>
      <c r="AO89" s="5">
        <f>AO88+AH89</f>
        <v>0.28909728534692697</v>
      </c>
      <c r="AP89" s="5">
        <f>AP88+AL89</f>
        <v>-6.661338147750939e-16</v>
      </c>
      <c r="AQ89" s="5">
        <f>AN89+AO89+AP89</f>
        <v>1.2890972853469262</v>
      </c>
      <c r="AR89" s="5">
        <f>S89-AQ89</f>
        <v>8.881784197001252e-16</v>
      </c>
      <c r="AS89" s="5">
        <f>AS88</f>
        <v>0</v>
      </c>
      <c r="AT89" s="5">
        <f>AT88+AI89</f>
        <v>0</v>
      </c>
      <c r="AU89" s="5">
        <f>AU88+AM89</f>
        <v>0</v>
      </c>
      <c r="AV89" s="5">
        <f>AS89+AT89+AU89</f>
        <v>0</v>
      </c>
      <c r="AW89" s="5">
        <f>U89-AV89</f>
        <v>0</v>
      </c>
      <c r="AX89" s="4">
        <v>1.2815620017306455</v>
      </c>
      <c r="AY89" s="4">
        <v>1.2890972853469271</v>
      </c>
      <c r="AZ89" s="5">
        <f>S89-AY89</f>
        <v>0</v>
      </c>
      <c r="BA89" s="4">
        <v>0</v>
      </c>
      <c r="BB89" s="4">
        <v>0</v>
      </c>
      <c r="BC89" s="5">
        <f>U89-BB89</f>
        <v>0</v>
      </c>
      <c r="BD89" s="7">
        <f>SUM(IF(BL89="direct",CE89,0),IF(CG89="direct",CZ89,0),IF(DB89="direct",DU89,0),IF(DW89="direct",EP89,0),IF(ER89="direct",FK89,0),IF(FM89="direct",GF89,0),IF(GH89="direct",HA89,0),IF(HC89="direct",HV89,0),IF(HX89="direct",IQ89,0),IF(IS89="direct",JL89,0))</f>
        <v>0</v>
      </c>
      <c r="BE89" s="7">
        <f>SUM(IF(BL89="treasury",CE89,0),IF(CG89="treasury",CZ89,0),IF(DB89="treasury",DU89,0),IF(DW89="treasury",EP89,0),IF(ER89="treasury",FK89,0),IF(FM89="treasury",GF89,0),IF(GH89="treasury",HA89,0),IF(HC89="treasury",HV89,0),IF(HX89="treasury",IQ89,0),IF(IS89="treasury",JL89,0))</f>
        <v>0.00016547945205479454</v>
      </c>
      <c r="BF89" s="7">
        <f>SUM(IF(BL89="future",CE89,0),IF(CG89="future",CZ89,0),IF(DB89="future",DU89,0),IF(DW89="future",EP89,0),IF(ER89="future",FK89,0),IF(FM89="future",GF89,0),IF(GH89="future",HA89,0),IF(HC89="future",HV89,0),IF(HX89="future",IQ89,0),IF(IS89="future",JL89,0))</f>
        <v>0.005714285714285783</v>
      </c>
      <c r="BG89" s="7">
        <f>SUM(IF(BL89="cash",CE89,0),IF(CG89="cash",CZ89,0),IF(DB89="cash",DU89,0),IF(DW89="cash",EP89,0),IF(ER89="cash",FK89,0),IF(FM89="cash",GF89,0),IF(GH89="cash",HA89,0),IF(HC89="cash",HV89,0),IF(HX89="cash",IQ89,0),IF(IS89="cash",JL89,0))</f>
        <v>0</v>
      </c>
      <c r="BH89" s="7">
        <f>SUM(BD89:BG89)</f>
        <v>0.005879765166340577</v>
      </c>
      <c r="BI89" s="7">
        <f>G89-BH89</f>
        <v>0</v>
      </c>
      <c r="BJ89" s="9">
        <f>COUNTA(BK89,CF89,DA89,DV89,EQ89,FL89,GG89,HB89,HW89,IR89)</f>
        <v>4</v>
      </c>
      <c r="BK89" t="inlineStr">
        <is>
          <t xml:space="preserve">Treasury collateral</t>
        </is>
      </c>
      <c r="BL89" t="inlineStr">
        <is>
          <t xml:space="preserve">treasury</t>
        </is>
      </c>
      <c r="BM89" t="inlineStr">
        <is>
          <t xml:space="preserve">lease</t>
        </is>
      </c>
      <c r="BN89" t="inlineStr">
        <is>
          <t xml:space="preserve">long</t>
        </is>
      </c>
      <c r="BO89"/>
      <c r="BP89" s="4">
        <v>102.1910811846745</v>
      </c>
      <c r="BQ89" s="4">
        <v>102.20799170879383</v>
      </c>
      <c r="BR89" s="4">
        <v>0.012540840030987353</v>
      </c>
      <c r="BS89" s="6">
        <v>1</v>
      </c>
      <c r="BT89" s="4">
        <v>1.2815620017306444</v>
      </c>
      <c r="BU89" s="4">
        <v>1.2815620017306444</v>
      </c>
      <c r="BV89" s="4">
        <v>1.281774073908465</v>
      </c>
      <c r="BW89" s="4">
        <v>0.00021207217782063267</v>
      </c>
      <c r="BX89" s="4">
        <v>7.752045533271357e-17</v>
      </c>
      <c r="BY89" s="4">
        <v>1.795</v>
      </c>
      <c r="BZ89" s="4">
        <v>1.749</v>
      </c>
      <c r="CA89" s="6"/>
      <c r="CB89" s="6"/>
      <c r="CC89" s="6"/>
      <c r="CD89" s="9">
        <v>16</v>
      </c>
      <c r="CE89" s="7">
        <f>IFERROR(BW89/F89,0)</f>
        <v>0.00016547945205479454</v>
      </c>
      <c r="CF89" t="inlineStr">
        <is>
          <t xml:space="preserve">SI69K</t>
        </is>
      </c>
      <c r="CG89" t="inlineStr">
        <is>
          <t xml:space="preserve">future</t>
        </is>
      </c>
      <c r="CH89" t="inlineStr">
        <is>
          <t xml:space="preserve">lease</t>
        </is>
      </c>
      <c r="CI89" t="inlineStr">
        <is>
          <t xml:space="preserve">long</t>
        </is>
      </c>
      <c r="CJ89" t="inlineStr">
        <is>
          <t xml:space="preserve">regular</t>
        </is>
      </c>
      <c r="CK89" s="4">
        <v>1.75</v>
      </c>
      <c r="CL89" s="4">
        <v>1.76</v>
      </c>
      <c r="CM89" s="4">
        <v>0.7323211438460825</v>
      </c>
      <c r="CN89" s="6">
        <v>1</v>
      </c>
      <c r="CO89" s="4">
        <v>1.2815620017306444</v>
      </c>
      <c r="CP89" s="4">
        <v>0</v>
      </c>
      <c r="CQ89" s="4">
        <v>0</v>
      </c>
      <c r="CR89" s="4">
        <v>0.007323211438460913</v>
      </c>
      <c r="CS89" s="4">
        <v>-0.007323211438460913</v>
      </c>
      <c r="CT89" s="4">
        <v>1.795</v>
      </c>
      <c r="CU89" s="4">
        <v>1.749</v>
      </c>
      <c r="CV89" s="6">
        <v>-0.02506963788300831</v>
      </c>
      <c r="CW89" s="6">
        <v>0.0604</v>
      </c>
      <c r="CX89" s="6">
        <v>0.6323011142061271</v>
      </c>
      <c r="CY89" s="9">
        <v>16</v>
      </c>
      <c r="CZ89" s="7">
        <f>IFERROR(CR89/F89,0)</f>
        <v>0.005714285714285783</v>
      </c>
      <c r="DA89" t="inlineStr">
        <is>
          <t xml:space="preserve">Lease cash / margin / financing</t>
        </is>
      </c>
      <c r="DB89" t="inlineStr">
        <is>
          <t xml:space="preserve">cash</t>
        </is>
      </c>
      <c r="DC89" t="inlineStr">
        <is>
          <t xml:space="preserve">lease</t>
        </is>
      </c>
      <c r="DD89" t="inlineStr">
        <is>
          <t xml:space="preserve">cash</t>
        </is>
      </c>
      <c r="DE89"/>
      <c r="DF89" s="4">
        <v>1</v>
      </c>
      <c r="DG89" s="4">
        <v>1</v>
      </c>
      <c r="DH89" s="4">
        <v>1.1102230246251565e-15</v>
      </c>
      <c r="DI89" s="6"/>
      <c r="DJ89" s="4">
        <v>1.1102230246251565e-15</v>
      </c>
      <c r="DK89" s="4">
        <v>1.1102230246251565e-15</v>
      </c>
      <c r="DL89" s="4">
        <v>0.007323211438461946</v>
      </c>
      <c r="DM89" s="4">
        <v>0</v>
      </c>
      <c r="DN89" s="4">
        <v>0.007323211438460836</v>
      </c>
      <c r="DO89" s="4">
        <v>1.795</v>
      </c>
      <c r="DP89" s="4">
        <v>1.749</v>
      </c>
      <c r="DQ89" s="6"/>
      <c r="DR89" s="6"/>
      <c r="DS89" s="6"/>
      <c r="DT89" s="9"/>
      <c r="DU89" s="7">
        <f>IFERROR(DM89/F89,0)</f>
        <v>0</v>
      </c>
      <c r="DV89" t="inlineStr">
        <is>
          <t xml:space="preserve">Keep cash / margin / financing</t>
        </is>
      </c>
      <c r="DW89" t="inlineStr">
        <is>
          <t xml:space="preserve">cash</t>
        </is>
      </c>
      <c r="DX89" t="inlineStr">
        <is>
          <t xml:space="preserve">keep</t>
        </is>
      </c>
      <c r="DY89" t="inlineStr">
        <is>
          <t xml:space="preserve">cash</t>
        </is>
      </c>
      <c r="DZ89"/>
      <c r="EA89" s="4">
        <v>1</v>
      </c>
      <c r="EB89" s="4">
        <v>1</v>
      </c>
      <c r="EC89" s="4">
        <v>0</v>
      </c>
      <c r="ED89" s="6"/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1.795</v>
      </c>
      <c r="EK89" s="4">
        <v>1.749</v>
      </c>
      <c r="EL89" s="6"/>
      <c r="EM89" s="6"/>
      <c r="EN89" s="6"/>
      <c r="EO89" s="9"/>
      <c r="EP89" s="7">
        <f>IFERROR(EH89/F89,0)</f>
        <v>0</v>
      </c>
      <c r="EQ89"/>
      <c r="ER89"/>
      <c r="ES89"/>
      <c r="ET89"/>
      <c r="EU89"/>
      <c r="EV89" s="4"/>
      <c r="EW89" s="4"/>
      <c r="EX89" s="4"/>
      <c r="EY89" s="6"/>
      <c r="EZ89" s="4"/>
      <c r="FA89" s="4"/>
      <c r="FB89" s="4"/>
      <c r="FC89" s="4"/>
      <c r="FD89" s="4"/>
      <c r="FE89" s="4"/>
      <c r="FF89" s="4"/>
      <c r="FG89" s="6"/>
      <c r="FH89" s="6"/>
      <c r="FI89" s="6"/>
      <c r="FJ89" s="9"/>
      <c r="FK89"/>
      <c r="FL89"/>
      <c r="FM89"/>
      <c r="FN89"/>
      <c r="FO89"/>
      <c r="FP89"/>
      <c r="FQ89" s="4"/>
      <c r="FR89" s="4"/>
      <c r="FS89" s="4"/>
      <c r="FT89" s="6"/>
      <c r="FU89" s="4"/>
      <c r="FV89" s="4"/>
      <c r="FW89" s="4"/>
      <c r="FX89" s="4"/>
      <c r="FY89" s="4"/>
      <c r="FZ89" s="4"/>
      <c r="GA89" s="4"/>
      <c r="GB89" s="6"/>
      <c r="GC89" s="6"/>
      <c r="GD89" s="6"/>
      <c r="GE89" s="9"/>
      <c r="GF89"/>
      <c r="GG89"/>
      <c r="GH89"/>
      <c r="GI89"/>
      <c r="GJ89"/>
      <c r="GK89"/>
      <c r="GL89" s="4"/>
      <c r="GM89" s="4"/>
      <c r="GN89" s="4"/>
      <c r="GO89" s="6"/>
      <c r="GP89" s="4"/>
      <c r="GQ89" s="4"/>
      <c r="GR89" s="4"/>
      <c r="GS89" s="4"/>
      <c r="GT89" s="4"/>
      <c r="GU89" s="4"/>
      <c r="GV89" s="4"/>
      <c r="GW89" s="6"/>
      <c r="GX89" s="6"/>
      <c r="GY89" s="6"/>
      <c r="GZ89" s="9"/>
      <c r="HA89"/>
      <c r="HB89"/>
      <c r="HC89"/>
      <c r="HD89"/>
      <c r="HE89"/>
      <c r="HF89"/>
      <c r="HG89" s="4"/>
      <c r="HH89" s="4"/>
      <c r="HI89" s="4"/>
      <c r="HJ89" s="6"/>
      <c r="HK89" s="4"/>
      <c r="HL89" s="4"/>
      <c r="HM89" s="4"/>
      <c r="HN89" s="4"/>
      <c r="HO89" s="4"/>
      <c r="HP89" s="4"/>
      <c r="HQ89" s="4"/>
      <c r="HR89" s="6"/>
      <c r="HS89" s="6"/>
      <c r="HT89" s="6"/>
      <c r="HU89" s="9"/>
      <c r="HV89"/>
      <c r="HW89"/>
      <c r="HX89"/>
      <c r="HY89"/>
      <c r="HZ89"/>
      <c r="IA89"/>
      <c r="IB89" s="4"/>
      <c r="IC89" s="4"/>
      <c r="ID89" s="4"/>
      <c r="IE89" s="6"/>
      <c r="IF89" s="4"/>
      <c r="IG89" s="4"/>
      <c r="IH89" s="4"/>
      <c r="II89" s="4"/>
      <c r="IJ89" s="4"/>
      <c r="IK89" s="4"/>
      <c r="IL89" s="4"/>
      <c r="IM89" s="6"/>
      <c r="IN89" s="6"/>
      <c r="IO89" s="6"/>
      <c r="IP89" s="9"/>
      <c r="IQ89"/>
      <c r="IR89"/>
      <c r="IS89"/>
      <c r="IT89"/>
      <c r="IU89"/>
      <c r="IV89"/>
      <c r="IW89" s="4"/>
      <c r="IX89" s="4"/>
      <c r="IY89" s="4"/>
      <c r="IZ89" s="6"/>
      <c r="JA89" s="4"/>
      <c r="JB89" s="4"/>
      <c r="JC89" s="4"/>
      <c r="JD89" s="4"/>
      <c r="JE89" s="4"/>
      <c r="JF89" s="4"/>
      <c r="JG89" s="4"/>
      <c r="JH89" s="6"/>
      <c r="JI89" s="6"/>
      <c r="JJ89" s="6"/>
      <c r="JK89" s="9"/>
      <c r="JL89"/>
    </row>
    <row r="90">
      <c r="A90" s="8">
        <v>25336</v>
      </c>
      <c r="B90" s="8">
        <v>25337</v>
      </c>
      <c r="C90" s="9">
        <f>B90-A90</f>
        <v>1</v>
      </c>
      <c r="D90" s="8">
        <v>25336</v>
      </c>
      <c r="E90" t="inlineStr">
        <is>
          <t xml:space="preserve">neutral</t>
        </is>
      </c>
      <c r="F90" s="4">
        <v>1.2890972853469258</v>
      </c>
      <c r="G90" s="6">
        <v>0.015430543480814804</v>
      </c>
      <c r="H90" s="7">
        <f>SUM(CE90,CZ90,DU90,EP90,FK90,GF90,HA90,HV90,IQ90,JL90)</f>
        <v>0.015430543480814804</v>
      </c>
      <c r="I90" s="7">
        <f>G90-H90</f>
        <v>0</v>
      </c>
      <c r="J90" s="5">
        <f>F90*(1+H90)</f>
        <v>1.308988757059472</v>
      </c>
      <c r="K90" s="4">
        <v>1.308988757059472</v>
      </c>
      <c r="L90" s="5">
        <f>K90-J90</f>
        <v>0</v>
      </c>
      <c r="M90" s="4">
        <v>1.749</v>
      </c>
      <c r="N90" s="4">
        <v>1.776</v>
      </c>
      <c r="O90" s="5">
        <f>M90/$M$3</f>
        <v>0.8932584269662922</v>
      </c>
      <c r="P90" s="5">
        <f>N90/$M$3</f>
        <v>0.9070480081716037</v>
      </c>
      <c r="Q90" s="7">
        <f>IFERROR(N90/M90-1,0)</f>
        <v>0.015437392795883298</v>
      </c>
      <c r="R90" s="5">
        <f>SUM(IF(BM90="lease",BU90,0),IF(CH90="lease",CP90,0),IF(DC90="lease",DK90,0),IF(DX90="lease",EF90,0),IF(ES90="lease",FA90,0),IF(FN90="lease",FV90,0),IF(GI90="lease",GQ90,0),IF(HD90="lease",HL90,0),IF(HY90="lease",IG90,0),IF(IT90="lease",JB90,0))</f>
        <v>1.2890972853469271</v>
      </c>
      <c r="S90" s="5">
        <f>SUM(IF(BM90="lease",BV90,0),IF(CH90="lease",CQ90,0),IF(DC90="lease",DL90,0),IF(DX90="lease",EG90,0),IF(ES90="lease",FB90,0),IF(FN90="lease",FW90,0),IF(GI90="lease",GR90,0),IF(HD90="lease",HM90,0),IF(HY90="lease",IH90,0),IF(IT90="lease",JC90,0))</f>
        <v>1.3089887570594732</v>
      </c>
      <c r="T90" s="5">
        <f>SUM(IF(BM90="keep",BU90,0),IF(CH90="keep",CP90,0),IF(DC90="keep",DK90,0),IF(DX90="keep",EF90,0),IF(ES90="keep",FA90,0),IF(FN90="keep",FV90,0),IF(GI90="keep",GQ90,0),IF(HD90="keep",HL90,0),IF(HY90="keep",IG90,0),IF(IT90="keep",JB90,0))</f>
        <v>0</v>
      </c>
      <c r="U90" s="5">
        <f>SUM(IF(BM90="keep",BV90,0),IF(CH90="keep",CQ90,0),IF(DC90="keep",DL90,0),IF(DX90="keep",EG90,0),IF(ES90="keep",FB90,0),IF(FN90="keep",FW90,0),IF(GI90="keep",GR90,0),IF(HD90="keep",HM90,0),IF(HY90="keep",IH90,0),IF(IT90="keep",JC90,0))</f>
        <v>0</v>
      </c>
      <c r="V90" s="5">
        <f>R90/O90</f>
        <v>1.4431403571808366</v>
      </c>
      <c r="W90" s="5">
        <f>S90/P90</f>
        <v>1.4431306229293066</v>
      </c>
      <c r="X90" s="5">
        <f>T90/O90</f>
        <v>0</v>
      </c>
      <c r="Y90" s="5">
        <f>U90/P90</f>
        <v>0</v>
      </c>
      <c r="Z90" s="5">
        <f>V90+X90</f>
        <v>1.4431403571808366</v>
      </c>
      <c r="AA90" s="7">
        <f>IFERROR(W90/V90-1,0)</f>
        <v>-0.000006745186967749284</v>
      </c>
      <c r="AB90" s="7">
        <f>IFERROR((W90-V90)/Z90,0)</f>
        <v>-0.00000674518696778932</v>
      </c>
      <c r="AC90" s="7">
        <f>IFERROR(Y90/X90-1,0)</f>
        <v>0</v>
      </c>
      <c r="AD90" s="7">
        <f>IFERROR((Y90-X90)/Z90,0)</f>
        <v>0</v>
      </c>
      <c r="AE90" s="7">
        <f>AB90+AD90</f>
        <v>-0.00000674518696778932</v>
      </c>
      <c r="AF90" s="7">
        <f>(1+Q90)*(1+AE90)-1</f>
        <v>0.015430543480814851</v>
      </c>
      <c r="AG90" s="7">
        <f>G90-AF90</f>
        <v>-4.683753385137379e-17</v>
      </c>
      <c r="AH90" s="5">
        <f>SUM(IF(BM90="lease",BW90,0),IF(CH90="lease",CR90,0),IF(DC90="lease",DM90,0),IF(DX90="lease",EH90,0),IF(ES90="lease",FC90,0),IF(FN90="lease",FX90,0),IF(GI90="lease",GS90,0),IF(HD90="lease",HN90,0),IF(HY90="lease",II90,0),IF(IT90="lease",JD90,0))</f>
        <v>0.019891471712546068</v>
      </c>
      <c r="AI90" s="5">
        <f>SUM(IF(BM90="keep",BW90,0),IF(CH90="keep",CR90,0),IF(DC90="keep",DM90,0),IF(DX90="keep",EH90,0),IF(ES90="keep",FC90,0),IF(FN90="keep",FX90,0),IF(GI90="keep",GS90,0),IF(HD90="keep",HN90,0),IF(HY90="keep",II90,0),IF(IT90="keep",JD90,0))</f>
        <v>0</v>
      </c>
      <c r="AJ90" s="5">
        <f>SUM(IF(BM90="lease",BX90,0),IF(CH90="lease",CS90,0),IF(DC90="lease",DN90,0),IF(DX90="lease",EI90,0),IF(ES90="lease",FD90,0),IF(FN90="lease",FY90,0),IF(GI90="lease",GT90,0),IF(HD90="lease",HO90,0),IF(HY90="lease",IJ90,0),IF(IT90="lease",JE90,0))</f>
        <v>0</v>
      </c>
      <c r="AK90" s="5">
        <f>SUM(IF(BM90="keep",BX90,0),IF(CH90="keep",CS90,0),IF(DC90="keep",DN90,0),IF(DX90="keep",EI90,0),IF(ES90="keep",FD90,0),IF(FN90="keep",FY90,0),IF(GI90="keep",GT90,0),IF(HD90="keep",HO90,0),IF(HY90="keep",IJ90,0),IF(IT90="keep",JE90,0))</f>
        <v>0</v>
      </c>
      <c r="AL90" s="5">
        <f>R90-S89</f>
        <v>0</v>
      </c>
      <c r="AM90" s="5">
        <f>T90-U89</f>
        <v>0</v>
      </c>
      <c r="AN90" s="5">
        <f>AN89</f>
        <v>1</v>
      </c>
      <c r="AO90" s="5">
        <f>AO89+AH90</f>
        <v>0.30898875705947304</v>
      </c>
      <c r="AP90" s="5">
        <f>AP89+AL90</f>
        <v>-6.661338147750939e-16</v>
      </c>
      <c r="AQ90" s="5">
        <f>AN90+AO90+AP90</f>
        <v>1.3089887570594725</v>
      </c>
      <c r="AR90" s="5">
        <f>S90-AQ90</f>
        <v>6.661338147750939e-16</v>
      </c>
      <c r="AS90" s="5">
        <f>AS89</f>
        <v>0</v>
      </c>
      <c r="AT90" s="5">
        <f>AT89+AI90</f>
        <v>0</v>
      </c>
      <c r="AU90" s="5">
        <f>AU89+AM90</f>
        <v>0</v>
      </c>
      <c r="AV90" s="5">
        <f>AS90+AT90+AU90</f>
        <v>0</v>
      </c>
      <c r="AW90" s="5">
        <f>U90-AV90</f>
        <v>0</v>
      </c>
      <c r="AX90" s="4">
        <v>1.2890972853469271</v>
      </c>
      <c r="AY90" s="4">
        <v>1.3089887570594732</v>
      </c>
      <c r="AZ90" s="5">
        <f>S90-AY90</f>
        <v>0</v>
      </c>
      <c r="BA90" s="4">
        <v>0</v>
      </c>
      <c r="BB90" s="4">
        <v>0</v>
      </c>
      <c r="BC90" s="5">
        <f>U90-BB90</f>
        <v>0</v>
      </c>
      <c r="BD90" s="7">
        <f>SUM(IF(BL90="direct",CE90,0),IF(CG90="direct",CZ90,0),IF(DB90="direct",DU90,0),IF(DW90="direct",EP90,0),IF(ER90="direct",FK90,0),IF(FM90="direct",GF90,0),IF(GH90="direct",HA90,0),IF(HC90="direct",HV90,0),IF(HX90="direct",IQ90,0),IF(IS90="direct",JL90,0))</f>
        <v>0.015430543480814804</v>
      </c>
      <c r="BE90" s="7">
        <f>SUM(IF(BL90="treasury",CE90,0),IF(CG90="treasury",CZ90,0),IF(DB90="treasury",DU90,0),IF(DW90="treasury",EP90,0),IF(ER90="treasury",FK90,0),IF(FM90="treasury",GF90,0),IF(GH90="treasury",HA90,0),IF(HC90="treasury",HV90,0),IF(HX90="treasury",IQ90,0),IF(IS90="treasury",JL90,0))</f>
        <v>0</v>
      </c>
      <c r="BF90" s="7">
        <f>SUM(IF(BL90="future",CE90,0),IF(CG90="future",CZ90,0),IF(DB90="future",DU90,0),IF(DW90="future",EP90,0),IF(ER90="future",FK90,0),IF(FM90="future",GF90,0),IF(GH90="future",HA90,0),IF(HC90="future",HV90,0),IF(HX90="future",IQ90,0),IF(IS90="future",JL90,0))</f>
        <v>0</v>
      </c>
      <c r="BG90" s="7">
        <f>SUM(IF(BL90="cash",CE90,0),IF(CG90="cash",CZ90,0),IF(DB90="cash",DU90,0),IF(DW90="cash",EP90,0),IF(ER90="cash",FK90,0),IF(FM90="cash",GF90,0),IF(GH90="cash",HA90,0),IF(HC90="cash",HV90,0),IF(HX90="cash",IQ90,0),IF(IS90="cash",JL90,0))</f>
        <v>0</v>
      </c>
      <c r="BH90" s="7">
        <f>SUM(BD90:BG90)</f>
        <v>0.015430543480814804</v>
      </c>
      <c r="BI90" s="7">
        <f>G90-BH90</f>
        <v>0</v>
      </c>
      <c r="BJ90" s="9">
        <f>COUNTA(BK90,CF90,DA90,DV90,EQ90,FL90,GG90,HB90,HW90,IR90)</f>
        <v>3</v>
      </c>
      <c r="BK90" t="inlineStr">
        <is>
          <t xml:space="preserve">Direct commodity holding</t>
        </is>
      </c>
      <c r="BL90" t="inlineStr">
        <is>
          <t xml:space="preserve">direct</t>
        </is>
      </c>
      <c r="BM90" t="inlineStr">
        <is>
          <t xml:space="preserve">lease</t>
        </is>
      </c>
      <c r="BN90" t="inlineStr">
        <is>
          <t xml:space="preserve">long</t>
        </is>
      </c>
      <c r="BO90"/>
      <c r="BP90" s="4">
        <v>1.749</v>
      </c>
      <c r="BQ90" s="4">
        <v>1.776</v>
      </c>
      <c r="BR90" s="4">
        <v>0.7370481905928677</v>
      </c>
      <c r="BS90" s="6">
        <v>1</v>
      </c>
      <c r="BT90" s="4">
        <v>1.2890972853469258</v>
      </c>
      <c r="BU90" s="4">
        <v>1.2890972853469258</v>
      </c>
      <c r="BV90" s="4">
        <v>1.308997586492933</v>
      </c>
      <c r="BW90" s="4">
        <v>0.019891471712546068</v>
      </c>
      <c r="BX90" s="4">
        <v>0.000008829433461202824</v>
      </c>
      <c r="BY90" s="4">
        <v>1.749</v>
      </c>
      <c r="BZ90" s="4">
        <v>1.776</v>
      </c>
      <c r="CA90" s="6"/>
      <c r="CB90" s="6"/>
      <c r="CC90" s="6"/>
      <c r="CD90" s="9"/>
      <c r="CE90" s="7">
        <f>IFERROR(BW90/F90,0)</f>
        <v>0.015430543480814804</v>
      </c>
      <c r="CF90" t="inlineStr">
        <is>
          <t xml:space="preserve">Lease cash / margin / financing</t>
        </is>
      </c>
      <c r="CG90" t="inlineStr">
        <is>
          <t xml:space="preserve">cash</t>
        </is>
      </c>
      <c r="CH90" t="inlineStr">
        <is>
          <t xml:space="preserve">lease</t>
        </is>
      </c>
      <c r="CI90" t="inlineStr">
        <is>
          <t xml:space="preserve">cash</t>
        </is>
      </c>
      <c r="CJ90"/>
      <c r="CK90" s="4">
        <v>1</v>
      </c>
      <c r="CL90" s="4">
        <v>1</v>
      </c>
      <c r="CM90" s="4">
        <v>1.3322676295501878e-15</v>
      </c>
      <c r="CN90" s="6"/>
      <c r="CO90" s="4">
        <v>1.3322676295501878e-15</v>
      </c>
      <c r="CP90" s="4">
        <v>1.3322676295501878e-15</v>
      </c>
      <c r="CQ90" s="4">
        <v>-0.000008829433459870556</v>
      </c>
      <c r="CR90" s="4">
        <v>0</v>
      </c>
      <c r="CS90" s="4">
        <v>-0.000008829433461202824</v>
      </c>
      <c r="CT90" s="4">
        <v>1.749</v>
      </c>
      <c r="CU90" s="4">
        <v>1.776</v>
      </c>
      <c r="CV90" s="6"/>
      <c r="CW90" s="6"/>
      <c r="CX90" s="6"/>
      <c r="CY90" s="9"/>
      <c r="CZ90" s="7">
        <f>IFERROR(CR90/F90,0)</f>
        <v>0</v>
      </c>
      <c r="DA90" t="inlineStr">
        <is>
          <t xml:space="preserve">Keep cash / margin / financing</t>
        </is>
      </c>
      <c r="DB90" t="inlineStr">
        <is>
          <t xml:space="preserve">cash</t>
        </is>
      </c>
      <c r="DC90" t="inlineStr">
        <is>
          <t xml:space="preserve">keep</t>
        </is>
      </c>
      <c r="DD90" t="inlineStr">
        <is>
          <t xml:space="preserve">cash</t>
        </is>
      </c>
      <c r="DE90"/>
      <c r="DF90" s="4">
        <v>1</v>
      </c>
      <c r="DG90" s="4">
        <v>1</v>
      </c>
      <c r="DH90" s="4">
        <v>0</v>
      </c>
      <c r="DI90" s="6"/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1.749</v>
      </c>
      <c r="DP90" s="4">
        <v>1.776</v>
      </c>
      <c r="DQ90" s="6"/>
      <c r="DR90" s="6"/>
      <c r="DS90" s="6"/>
      <c r="DT90" s="9"/>
      <c r="DU90" s="7">
        <f>IFERROR(DM90/F90,0)</f>
        <v>0</v>
      </c>
      <c r="DV90"/>
      <c r="DW90"/>
      <c r="DX90"/>
      <c r="DY90"/>
      <c r="DZ90"/>
      <c r="EA90" s="4"/>
      <c r="EB90" s="4"/>
      <c r="EC90" s="4"/>
      <c r="ED90" s="6"/>
      <c r="EE90" s="4"/>
      <c r="EF90" s="4"/>
      <c r="EG90" s="4"/>
      <c r="EH90" s="4"/>
      <c r="EI90" s="4"/>
      <c r="EJ90" s="4"/>
      <c r="EK90" s="4"/>
      <c r="EL90" s="6"/>
      <c r="EM90" s="6"/>
      <c r="EN90" s="6"/>
      <c r="EO90" s="9"/>
      <c r="EP90"/>
      <c r="EQ90"/>
      <c r="ER90"/>
      <c r="ES90"/>
      <c r="ET90"/>
      <c r="EU90"/>
      <c r="EV90" s="4"/>
      <c r="EW90" s="4"/>
      <c r="EX90" s="4"/>
      <c r="EY90" s="6"/>
      <c r="EZ90" s="4"/>
      <c r="FA90" s="4"/>
      <c r="FB90" s="4"/>
      <c r="FC90" s="4"/>
      <c r="FD90" s="4"/>
      <c r="FE90" s="4"/>
      <c r="FF90" s="4"/>
      <c r="FG90" s="6"/>
      <c r="FH90" s="6"/>
      <c r="FI90" s="6"/>
      <c r="FJ90" s="9"/>
      <c r="FK90"/>
      <c r="FL90"/>
      <c r="FM90"/>
      <c r="FN90"/>
      <c r="FO90"/>
      <c r="FP90"/>
      <c r="FQ90" s="4"/>
      <c r="FR90" s="4"/>
      <c r="FS90" s="4"/>
      <c r="FT90" s="6"/>
      <c r="FU90" s="4"/>
      <c r="FV90" s="4"/>
      <c r="FW90" s="4"/>
      <c r="FX90" s="4"/>
      <c r="FY90" s="4"/>
      <c r="FZ90" s="4"/>
      <c r="GA90" s="4"/>
      <c r="GB90" s="6"/>
      <c r="GC90" s="6"/>
      <c r="GD90" s="6"/>
      <c r="GE90" s="9"/>
      <c r="GF90"/>
      <c r="GG90"/>
      <c r="GH90"/>
      <c r="GI90"/>
      <c r="GJ90"/>
      <c r="GK90"/>
      <c r="GL90" s="4"/>
      <c r="GM90" s="4"/>
      <c r="GN90" s="4"/>
      <c r="GO90" s="6"/>
      <c r="GP90" s="4"/>
      <c r="GQ90" s="4"/>
      <c r="GR90" s="4"/>
      <c r="GS90" s="4"/>
      <c r="GT90" s="4"/>
      <c r="GU90" s="4"/>
      <c r="GV90" s="4"/>
      <c r="GW90" s="6"/>
      <c r="GX90" s="6"/>
      <c r="GY90" s="6"/>
      <c r="GZ90" s="9"/>
      <c r="HA90"/>
      <c r="HB90"/>
      <c r="HC90"/>
      <c r="HD90"/>
      <c r="HE90"/>
      <c r="HF90"/>
      <c r="HG90" s="4"/>
      <c r="HH90" s="4"/>
      <c r="HI90" s="4"/>
      <c r="HJ90" s="6"/>
      <c r="HK90" s="4"/>
      <c r="HL90" s="4"/>
      <c r="HM90" s="4"/>
      <c r="HN90" s="4"/>
      <c r="HO90" s="4"/>
      <c r="HP90" s="4"/>
      <c r="HQ90" s="4"/>
      <c r="HR90" s="6"/>
      <c r="HS90" s="6"/>
      <c r="HT90" s="6"/>
      <c r="HU90" s="9"/>
      <c r="HV90"/>
      <c r="HW90"/>
      <c r="HX90"/>
      <c r="HY90"/>
      <c r="HZ90"/>
      <c r="IA90"/>
      <c r="IB90" s="4"/>
      <c r="IC90" s="4"/>
      <c r="ID90" s="4"/>
      <c r="IE90" s="6"/>
      <c r="IF90" s="4"/>
      <c r="IG90" s="4"/>
      <c r="IH90" s="4"/>
      <c r="II90" s="4"/>
      <c r="IJ90" s="4"/>
      <c r="IK90" s="4"/>
      <c r="IL90" s="4"/>
      <c r="IM90" s="6"/>
      <c r="IN90" s="6"/>
      <c r="IO90" s="6"/>
      <c r="IP90" s="9"/>
      <c r="IQ90"/>
      <c r="IR90"/>
      <c r="IS90"/>
      <c r="IT90"/>
      <c r="IU90"/>
      <c r="IV90"/>
      <c r="IW90" s="4"/>
      <c r="IX90" s="4"/>
      <c r="IY90" s="4"/>
      <c r="IZ90" s="6"/>
      <c r="JA90" s="4"/>
      <c r="JB90" s="4"/>
      <c r="JC90" s="4"/>
      <c r="JD90" s="4"/>
      <c r="JE90" s="4"/>
      <c r="JF90" s="4"/>
      <c r="JG90" s="4"/>
      <c r="JH90" s="6"/>
      <c r="JI90" s="6"/>
      <c r="JJ90" s="6"/>
      <c r="JK90" s="9"/>
      <c r="JL90"/>
    </row>
    <row r="91">
      <c r="A91" s="8">
        <v>25337</v>
      </c>
      <c r="B91" s="8">
        <v>25338</v>
      </c>
      <c r="C91" s="9">
        <f>B91-A91</f>
        <v>1</v>
      </c>
      <c r="D91" s="8">
        <v>25337</v>
      </c>
      <c r="E91" t="inlineStr">
        <is>
          <t xml:space="preserve">positive</t>
        </is>
      </c>
      <c r="F91" s="4">
        <v>1.308988757059472</v>
      </c>
      <c r="G91" s="6">
        <v>0.0024520156555772393</v>
      </c>
      <c r="H91" s="7">
        <f>SUM(CE91,CZ91,DU91,EP91,FK91,GF91,HA91,HV91,IQ91,JL91)</f>
        <v>0.0024520156555772363</v>
      </c>
      <c r="I91" s="7">
        <f>G91-H91</f>
        <v>3.0357660829594124e-18</v>
      </c>
      <c r="J91" s="5">
        <f>F91*(1+H91)</f>
        <v>1.3121984179847563</v>
      </c>
      <c r="K91" s="4">
        <v>1.3121984179847563</v>
      </c>
      <c r="L91" s="5">
        <f>K91-J91</f>
        <v>0</v>
      </c>
      <c r="M91" s="4">
        <v>1.776</v>
      </c>
      <c r="N91" s="4">
        <v>1.761</v>
      </c>
      <c r="O91" s="5">
        <f>M91/$M$3</f>
        <v>0.9070480081716037</v>
      </c>
      <c r="P91" s="5">
        <f>N91/$M$3</f>
        <v>0.8993871297242083</v>
      </c>
      <c r="Q91" s="7">
        <f>IFERROR(N91/M91-1,0)</f>
        <v>-0.008445945945946054</v>
      </c>
      <c r="R91" s="5">
        <f>SUM(IF(BM91="lease",BU91,0),IF(CH91="lease",CP91,0),IF(DC91="lease",DK91,0),IF(DX91="lease",EF91,0),IF(ES91="lease",FA91,0),IF(FN91="lease",FV91,0),IF(GI91="lease",GQ91,0),IF(HD91="lease",HL91,0),IF(HY91="lease",IG91,0),IF(IT91="lease",JB91,0))</f>
        <v>1.3089887570594732</v>
      </c>
      <c r="S91" s="5">
        <f>SUM(IF(BM91="lease",BV91,0),IF(CH91="lease",CQ91,0),IF(DC91="lease",DL91,0),IF(DX91="lease",EG91,0),IF(ES91="lease",FB91,0),IF(FN91="lease",FW91,0),IF(GI91="lease",GR91,0),IF(HD91="lease",HM91,0),IF(HY91="lease",IH91,0),IF(IT91="lease",JC91,0))</f>
        <v>1.3121984179847577</v>
      </c>
      <c r="T91" s="5">
        <f>SUM(IF(BM91="keep",BU91,0),IF(CH91="keep",CP91,0),IF(DC91="keep",DK91,0),IF(DX91="keep",EF91,0),IF(ES91="keep",FA91,0),IF(FN91="keep",FV91,0),IF(GI91="keep",GQ91,0),IF(HD91="keep",HL91,0),IF(HY91="keep",IG91,0),IF(IT91="keep",JB91,0))</f>
        <v>0</v>
      </c>
      <c r="U91" s="5">
        <f>SUM(IF(BM91="keep",BV91,0),IF(CH91="keep",CQ91,0),IF(DC91="keep",DL91,0),IF(DX91="keep",EG91,0),IF(ES91="keep",FB91,0),IF(FN91="keep",FW91,0),IF(GI91="keep",GR91,0),IF(HD91="keep",HM91,0),IF(HY91="keep",IH91,0),IF(IT91="keep",JC91,0))</f>
        <v>0</v>
      </c>
      <c r="V91" s="5">
        <f>R91/O91</f>
        <v>1.4431306229293066</v>
      </c>
      <c r="W91" s="5">
        <f>S91/P91</f>
        <v>1.458991767412922</v>
      </c>
      <c r="X91" s="5">
        <f>T91/O91</f>
        <v>0</v>
      </c>
      <c r="Y91" s="5">
        <f>U91/P91</f>
        <v>0</v>
      </c>
      <c r="Z91" s="5">
        <f>V91+X91</f>
        <v>1.4431306229293066</v>
      </c>
      <c r="AA91" s="7">
        <f>IFERROR(W91/V91-1,0)</f>
        <v>0.010990789213120689</v>
      </c>
      <c r="AB91" s="7">
        <f>IFERROR((W91-V91)/Z91,0)</f>
        <v>0.01099078921312059</v>
      </c>
      <c r="AC91" s="7">
        <f>IFERROR(Y91/X91-1,0)</f>
        <v>0</v>
      </c>
      <c r="AD91" s="7">
        <f>IFERROR((Y91-X91)/Z91,0)</f>
        <v>0</v>
      </c>
      <c r="AE91" s="7">
        <f>AB91+AD91</f>
        <v>0.01099078921312059</v>
      </c>
      <c r="AF91" s="7">
        <f>(1+Q91)*(1+AE91)-1</f>
        <v>0.0024520156555773998</v>
      </c>
      <c r="AG91" s="7">
        <f>G91-AF91</f>
        <v>-1.6046192152785466e-16</v>
      </c>
      <c r="AH91" s="5">
        <f>SUM(IF(BM91="lease",BW91,0),IF(CH91="lease",CR91,0),IF(DC91="lease",DM91,0),IF(DX91="lease",EH91,0),IF(ES91="lease",FC91,0),IF(FN91="lease",FX91,0),IF(GI91="lease",GS91,0),IF(HD91="lease",HN91,0),IF(HY91="lease",II91,0),IF(IT91="lease",JD91,0))</f>
        <v>0.003209660925284413</v>
      </c>
      <c r="AI91" s="5">
        <f>SUM(IF(BM91="keep",BW91,0),IF(CH91="keep",CR91,0),IF(DC91="keep",DM91,0),IF(DX91="keep",EH91,0),IF(ES91="keep",FC91,0),IF(FN91="keep",FX91,0),IF(GI91="keep",GS91,0),IF(HD91="keep",HN91,0),IF(HY91="keep",II91,0),IF(IT91="keep",JD91,0))</f>
        <v>0</v>
      </c>
      <c r="AJ91" s="5">
        <f>SUM(IF(BM91="lease",BX91,0),IF(CH91="lease",CS91,0),IF(DC91="lease",DN91,0),IF(DX91="lease",EI91,0),IF(ES91="lease",FD91,0),IF(FN91="lease",FY91,0),IF(GI91="lease",GT91,0),IF(HD91="lease",HO91,0),IF(HY91="lease",IJ91,0),IF(IT91="lease",JE91,0))</f>
        <v>0</v>
      </c>
      <c r="AK91" s="5">
        <f>SUM(IF(BM91="keep",BX91,0),IF(CH91="keep",CS91,0),IF(DC91="keep",DN91,0),IF(DX91="keep",EI91,0),IF(ES91="keep",FD91,0),IF(FN91="keep",FY91,0),IF(GI91="keep",GT91,0),IF(HD91="keep",HO91,0),IF(HY91="keep",IJ91,0),IF(IT91="keep",JE91,0))</f>
        <v>0</v>
      </c>
      <c r="AL91" s="5">
        <f>R91-S90</f>
        <v>0</v>
      </c>
      <c r="AM91" s="5">
        <f>T91-U90</f>
        <v>0</v>
      </c>
      <c r="AN91" s="5">
        <f>AN90</f>
        <v>1</v>
      </c>
      <c r="AO91" s="5">
        <f>AO90+AH91</f>
        <v>0.31219841798475745</v>
      </c>
      <c r="AP91" s="5">
        <f>AP90+AL91</f>
        <v>-6.661338147750939e-16</v>
      </c>
      <c r="AQ91" s="5">
        <f>AN91+AO91+AP91</f>
        <v>1.3121984179847568</v>
      </c>
      <c r="AR91" s="5">
        <f>S91-AQ91</f>
        <v>8.881784197001252e-16</v>
      </c>
      <c r="AS91" s="5">
        <f>AS90</f>
        <v>0</v>
      </c>
      <c r="AT91" s="5">
        <f>AT90+AI91</f>
        <v>0</v>
      </c>
      <c r="AU91" s="5">
        <f>AU90+AM91</f>
        <v>0</v>
      </c>
      <c r="AV91" s="5">
        <f>AS91+AT91+AU91</f>
        <v>0</v>
      </c>
      <c r="AW91" s="5">
        <f>U91-AV91</f>
        <v>0</v>
      </c>
      <c r="AX91" s="4">
        <v>1.3089887570594732</v>
      </c>
      <c r="AY91" s="4">
        <v>1.3121984179847577</v>
      </c>
      <c r="AZ91" s="5">
        <f>S91-AY91</f>
        <v>0</v>
      </c>
      <c r="BA91" s="4">
        <v>0</v>
      </c>
      <c r="BB91" s="4">
        <v>0</v>
      </c>
      <c r="BC91" s="5">
        <f>U91-BB91</f>
        <v>0</v>
      </c>
      <c r="BD91" s="7">
        <f>SUM(IF(BL91="direct",CE91,0),IF(CG91="direct",CZ91,0),IF(DB91="direct",DU91,0),IF(DW91="direct",EP91,0),IF(ER91="direct",FK91,0),IF(FM91="direct",GF91,0),IF(GH91="direct",HA91,0),IF(HC91="direct",HV91,0),IF(HX91="direct",IQ91,0),IF(IS91="direct",JL91,0))</f>
        <v>0</v>
      </c>
      <c r="BE91" s="7">
        <f>SUM(IF(BL91="treasury",CE91,0),IF(CG91="treasury",CZ91,0),IF(DB91="treasury",DU91,0),IF(DW91="treasury",EP91,0),IF(ER91="treasury",FK91,0),IF(FM91="treasury",GF91,0),IF(GH91="treasury",HA91,0),IF(HC91="treasury",HV91,0),IF(HX91="treasury",IQ91,0),IF(IS91="treasury",JL91,0))</f>
        <v>0.00016630136986301372</v>
      </c>
      <c r="BF91" s="7">
        <f>SUM(IF(BL91="future",CE91,0),IF(CG91="future",CZ91,0),IF(DB91="future",DU91,0),IF(DW91="future",EP91,0),IF(ER91="future",FK91,0),IF(FM91="future",GF91,0),IF(GH91="future",HA91,0),IF(HC91="future",HV91,0),IF(HX91="future",IQ91,0),IF(IS91="future",JL91,0))</f>
        <v>0.0022857142857142226</v>
      </c>
      <c r="BG91" s="7">
        <f>SUM(IF(BL91="cash",CE91,0),IF(CG91="cash",CZ91,0),IF(DB91="cash",DU91,0),IF(DW91="cash",EP91,0),IF(ER91="cash",FK91,0),IF(FM91="cash",GF91,0),IF(GH91="cash",HA91,0),IF(HC91="cash",HV91,0),IF(HX91="cash",IQ91,0),IF(IS91="cash",JL91,0))</f>
        <v>0</v>
      </c>
      <c r="BH91" s="7">
        <f>SUM(BD91:BG91)</f>
        <v>0.0024520156555772363</v>
      </c>
      <c r="BI91" s="7">
        <f>G91-BH91</f>
        <v>3.0357660829594124e-18</v>
      </c>
      <c r="BJ91" s="9">
        <f>COUNTA(BK91,CF91,DA91,DV91,EQ91,FL91,GG91,HB91,HW91,IR91)</f>
        <v>4</v>
      </c>
      <c r="BK91" t="inlineStr">
        <is>
          <t xml:space="preserve">Treasury collateral</t>
        </is>
      </c>
      <c r="BL91" t="inlineStr">
        <is>
          <t xml:space="preserve">treasury</t>
        </is>
      </c>
      <c r="BM91" t="inlineStr">
        <is>
          <t xml:space="preserve">lease</t>
        </is>
      </c>
      <c r="BN91" t="inlineStr">
        <is>
          <t xml:space="preserve">long</t>
        </is>
      </c>
      <c r="BO91"/>
      <c r="BP91" s="4">
        <v>102.22504504220495</v>
      </c>
      <c r="BQ91" s="4">
        <v>102.24204520722976</v>
      </c>
      <c r="BR91" s="4">
        <v>0.012804971193889314</v>
      </c>
      <c r="BS91" s="6">
        <v>1</v>
      </c>
      <c r="BT91" s="4">
        <v>1.308988757059472</v>
      </c>
      <c r="BU91" s="4">
        <v>1.308988757059472</v>
      </c>
      <c r="BV91" s="4">
        <v>1.3092064436829063</v>
      </c>
      <c r="BW91" s="4">
        <v>0.00021768662343427388</v>
      </c>
      <c r="BX91" s="4">
        <v>-3.049318610115481e-17</v>
      </c>
      <c r="BY91" s="4">
        <v>1.776</v>
      </c>
      <c r="BZ91" s="4">
        <v>1.761</v>
      </c>
      <c r="CA91" s="6"/>
      <c r="CB91" s="6"/>
      <c r="CC91" s="6"/>
      <c r="CD91" s="9">
        <v>14</v>
      </c>
      <c r="CE91" s="7">
        <f>IFERROR(BW91/F91,0)</f>
        <v>0.00016630136986301372</v>
      </c>
      <c r="CF91" t="inlineStr">
        <is>
          <t xml:space="preserve">SI69K</t>
        </is>
      </c>
      <c r="CG91" t="inlineStr">
        <is>
          <t xml:space="preserve">future</t>
        </is>
      </c>
      <c r="CH91" t="inlineStr">
        <is>
          <t xml:space="preserve">lease</t>
        </is>
      </c>
      <c r="CI91" t="inlineStr">
        <is>
          <t xml:space="preserve">long</t>
        </is>
      </c>
      <c r="CJ91" t="inlineStr">
        <is>
          <t xml:space="preserve">regular</t>
        </is>
      </c>
      <c r="CK91" s="4">
        <v>1.75</v>
      </c>
      <c r="CL91" s="4">
        <v>1.754</v>
      </c>
      <c r="CM91" s="4">
        <v>0.747993575462555</v>
      </c>
      <c r="CN91" s="6">
        <v>0.9999999999999993</v>
      </c>
      <c r="CO91" s="4">
        <v>1.3089887570594712</v>
      </c>
      <c r="CP91" s="4">
        <v>0</v>
      </c>
      <c r="CQ91" s="4">
        <v>0</v>
      </c>
      <c r="CR91" s="4">
        <v>0.002991974301850139</v>
      </c>
      <c r="CS91" s="4">
        <v>-0.002991974301850139</v>
      </c>
      <c r="CT91" s="4">
        <v>1.776</v>
      </c>
      <c r="CU91" s="4">
        <v>1.761</v>
      </c>
      <c r="CV91" s="6">
        <v>-0.014639639639639657</v>
      </c>
      <c r="CW91" s="6">
        <v>0.0607</v>
      </c>
      <c r="CX91" s="6">
        <v>0.4423763191763196</v>
      </c>
      <c r="CY91" s="9">
        <v>14</v>
      </c>
      <c r="CZ91" s="7">
        <f>IFERROR(CR91/F91,0)</f>
        <v>0.0022857142857142226</v>
      </c>
      <c r="DA91" t="inlineStr">
        <is>
          <t xml:space="preserve">Lease cash / margin / financing</t>
        </is>
      </c>
      <c r="DB91" t="inlineStr">
        <is>
          <t xml:space="preserve">cash</t>
        </is>
      </c>
      <c r="DC91" t="inlineStr">
        <is>
          <t xml:space="preserve">lease</t>
        </is>
      </c>
      <c r="DD91" t="inlineStr">
        <is>
          <t xml:space="preserve">cash</t>
        </is>
      </c>
      <c r="DE91"/>
      <c r="DF91" s="4">
        <v>1</v>
      </c>
      <c r="DG91" s="4">
        <v>1</v>
      </c>
      <c r="DH91" s="4">
        <v>1.1102230246251565e-15</v>
      </c>
      <c r="DI91" s="6"/>
      <c r="DJ91" s="4">
        <v>1.1102230246251565e-15</v>
      </c>
      <c r="DK91" s="4">
        <v>1.1102230246251565e-15</v>
      </c>
      <c r="DL91" s="4">
        <v>0.0029919743018512798</v>
      </c>
      <c r="DM91" s="4">
        <v>0</v>
      </c>
      <c r="DN91" s="4">
        <v>0.0029919743018501695</v>
      </c>
      <c r="DO91" s="4">
        <v>1.776</v>
      </c>
      <c r="DP91" s="4">
        <v>1.761</v>
      </c>
      <c r="DQ91" s="6"/>
      <c r="DR91" s="6"/>
      <c r="DS91" s="6"/>
      <c r="DT91" s="9"/>
      <c r="DU91" s="7">
        <f>IFERROR(DM91/F91,0)</f>
        <v>0</v>
      </c>
      <c r="DV91" t="inlineStr">
        <is>
          <t xml:space="preserve">Keep cash / margin / financing</t>
        </is>
      </c>
      <c r="DW91" t="inlineStr">
        <is>
          <t xml:space="preserve">cash</t>
        </is>
      </c>
      <c r="DX91" t="inlineStr">
        <is>
          <t xml:space="preserve">keep</t>
        </is>
      </c>
      <c r="DY91" t="inlineStr">
        <is>
          <t xml:space="preserve">cash</t>
        </is>
      </c>
      <c r="DZ91"/>
      <c r="EA91" s="4">
        <v>1</v>
      </c>
      <c r="EB91" s="4">
        <v>1</v>
      </c>
      <c r="EC91" s="4">
        <v>0</v>
      </c>
      <c r="ED91" s="6"/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1.776</v>
      </c>
      <c r="EK91" s="4">
        <v>1.761</v>
      </c>
      <c r="EL91" s="6"/>
      <c r="EM91" s="6"/>
      <c r="EN91" s="6"/>
      <c r="EO91" s="9"/>
      <c r="EP91" s="7">
        <f>IFERROR(EH91/F91,0)</f>
        <v>0</v>
      </c>
      <c r="EQ91"/>
      <c r="ER91"/>
      <c r="ES91"/>
      <c r="ET91"/>
      <c r="EU91"/>
      <c r="EV91" s="4"/>
      <c r="EW91" s="4"/>
      <c r="EX91" s="4"/>
      <c r="EY91" s="6"/>
      <c r="EZ91" s="4"/>
      <c r="FA91" s="4"/>
      <c r="FB91" s="4"/>
      <c r="FC91" s="4"/>
      <c r="FD91" s="4"/>
      <c r="FE91" s="4"/>
      <c r="FF91" s="4"/>
      <c r="FG91" s="6"/>
      <c r="FH91" s="6"/>
      <c r="FI91" s="6"/>
      <c r="FJ91" s="9"/>
      <c r="FK91"/>
      <c r="FL91"/>
      <c r="FM91"/>
      <c r="FN91"/>
      <c r="FO91"/>
      <c r="FP91"/>
      <c r="FQ91" s="4"/>
      <c r="FR91" s="4"/>
      <c r="FS91" s="4"/>
      <c r="FT91" s="6"/>
      <c r="FU91" s="4"/>
      <c r="FV91" s="4"/>
      <c r="FW91" s="4"/>
      <c r="FX91" s="4"/>
      <c r="FY91" s="4"/>
      <c r="FZ91" s="4"/>
      <c r="GA91" s="4"/>
      <c r="GB91" s="6"/>
      <c r="GC91" s="6"/>
      <c r="GD91" s="6"/>
      <c r="GE91" s="9"/>
      <c r="GF91"/>
      <c r="GG91"/>
      <c r="GH91"/>
      <c r="GI91"/>
      <c r="GJ91"/>
      <c r="GK91"/>
      <c r="GL91" s="4"/>
      <c r="GM91" s="4"/>
      <c r="GN91" s="4"/>
      <c r="GO91" s="6"/>
      <c r="GP91" s="4"/>
      <c r="GQ91" s="4"/>
      <c r="GR91" s="4"/>
      <c r="GS91" s="4"/>
      <c r="GT91" s="4"/>
      <c r="GU91" s="4"/>
      <c r="GV91" s="4"/>
      <c r="GW91" s="6"/>
      <c r="GX91" s="6"/>
      <c r="GY91" s="6"/>
      <c r="GZ91" s="9"/>
      <c r="HA91"/>
      <c r="HB91"/>
      <c r="HC91"/>
      <c r="HD91"/>
      <c r="HE91"/>
      <c r="HF91"/>
      <c r="HG91" s="4"/>
      <c r="HH91" s="4"/>
      <c r="HI91" s="4"/>
      <c r="HJ91" s="6"/>
      <c r="HK91" s="4"/>
      <c r="HL91" s="4"/>
      <c r="HM91" s="4"/>
      <c r="HN91" s="4"/>
      <c r="HO91" s="4"/>
      <c r="HP91" s="4"/>
      <c r="HQ91" s="4"/>
      <c r="HR91" s="6"/>
      <c r="HS91" s="6"/>
      <c r="HT91" s="6"/>
      <c r="HU91" s="9"/>
      <c r="HV91"/>
      <c r="HW91"/>
      <c r="HX91"/>
      <c r="HY91"/>
      <c r="HZ91"/>
      <c r="IA91"/>
      <c r="IB91" s="4"/>
      <c r="IC91" s="4"/>
      <c r="ID91" s="4"/>
      <c r="IE91" s="6"/>
      <c r="IF91" s="4"/>
      <c r="IG91" s="4"/>
      <c r="IH91" s="4"/>
      <c r="II91" s="4"/>
      <c r="IJ91" s="4"/>
      <c r="IK91" s="4"/>
      <c r="IL91" s="4"/>
      <c r="IM91" s="6"/>
      <c r="IN91" s="6"/>
      <c r="IO91" s="6"/>
      <c r="IP91" s="9"/>
      <c r="IQ91"/>
      <c r="IR91"/>
      <c r="IS91"/>
      <c r="IT91"/>
      <c r="IU91"/>
      <c r="IV91"/>
      <c r="IW91" s="4"/>
      <c r="IX91" s="4"/>
      <c r="IY91" s="4"/>
      <c r="IZ91" s="6"/>
      <c r="JA91" s="4"/>
      <c r="JB91" s="4"/>
      <c r="JC91" s="4"/>
      <c r="JD91" s="4"/>
      <c r="JE91" s="4"/>
      <c r="JF91" s="4"/>
      <c r="JG91" s="4"/>
      <c r="JH91" s="6"/>
      <c r="JI91" s="6"/>
      <c r="JJ91" s="6"/>
      <c r="JK91" s="9"/>
      <c r="JL91"/>
    </row>
    <row r="92">
      <c r="A92" s="8">
        <v>25338</v>
      </c>
      <c r="B92" s="8">
        <v>25339</v>
      </c>
      <c r="C92" s="9">
        <f>B92-A92</f>
        <v>1</v>
      </c>
      <c r="D92" s="8">
        <v>25338</v>
      </c>
      <c r="E92" t="inlineStr">
        <is>
          <t xml:space="preserve">positive</t>
        </is>
      </c>
      <c r="F92" s="4">
        <v>1.3121984179847563</v>
      </c>
      <c r="G92" s="6">
        <v>0.0001668493150684935</v>
      </c>
      <c r="H92" s="7">
        <f>SUM(CE92,CZ92,DU92,EP92,FK92,GF92,HA92,HV92,IQ92,JL92)</f>
        <v>0.00016684931506849313</v>
      </c>
      <c r="I92" s="7">
        <f>G92-H92</f>
        <v>3.7947076036992655e-19</v>
      </c>
      <c r="J92" s="5">
        <f>F92*(1+H92)</f>
        <v>1.3124173573920308</v>
      </c>
      <c r="K92" s="4">
        <v>1.3124173573920308</v>
      </c>
      <c r="L92" s="5">
        <f>K92-J92</f>
        <v>0</v>
      </c>
      <c r="M92" s="4">
        <v>1.761</v>
      </c>
      <c r="N92" s="4">
        <v>1.781</v>
      </c>
      <c r="O92" s="5">
        <f>M92/$M$3</f>
        <v>0.8993871297242083</v>
      </c>
      <c r="P92" s="5">
        <f>N92/$M$3</f>
        <v>0.9096016343207354</v>
      </c>
      <c r="Q92" s="7">
        <f>IFERROR(N92/M92-1,0)</f>
        <v>0.011357183418512218</v>
      </c>
      <c r="R92" s="5">
        <f>SUM(IF(BM92="lease",BU92,0),IF(CH92="lease",CP92,0),IF(DC92="lease",DK92,0),IF(DX92="lease",EF92,0),IF(ES92="lease",FA92,0),IF(FN92="lease",FV92,0),IF(GI92="lease",GQ92,0),IF(HD92="lease",HL92,0),IF(HY92="lease",IG92,0),IF(IT92="lease",JB92,0))</f>
        <v>1.3121984179847577</v>
      </c>
      <c r="S92" s="5">
        <f>SUM(IF(BM92="lease",BV92,0),IF(CH92="lease",CQ92,0),IF(DC92="lease",DL92,0),IF(DX92="lease",EG92,0),IF(ES92="lease",FB92,0),IF(FN92="lease",FW92,0),IF(GI92="lease",GR92,0),IF(HD92="lease",HM92,0),IF(HY92="lease",IH92,0),IF(IT92="lease",JC92,0))</f>
        <v>1.3124173573920324</v>
      </c>
      <c r="T92" s="5">
        <f>SUM(IF(BM92="keep",BU92,0),IF(CH92="keep",CP92,0),IF(DC92="keep",DK92,0),IF(DX92="keep",EF92,0),IF(ES92="keep",FA92,0),IF(FN92="keep",FV92,0),IF(GI92="keep",GQ92,0),IF(HD92="keep",HL92,0),IF(HY92="keep",IG92,0),IF(IT92="keep",JB92,0))</f>
        <v>0</v>
      </c>
      <c r="U92" s="5">
        <f>SUM(IF(BM92="keep",BV92,0),IF(CH92="keep",CQ92,0),IF(DC92="keep",DL92,0),IF(DX92="keep",EG92,0),IF(ES92="keep",FB92,0),IF(FN92="keep",FW92,0),IF(GI92="keep",GR92,0),IF(HD92="keep",HM92,0),IF(HY92="keep",IH92,0),IF(IT92="keep",JC92,0))</f>
        <v>0</v>
      </c>
      <c r="V92" s="5">
        <f>R92/O92</f>
        <v>1.458991767412922</v>
      </c>
      <c r="W92" s="5">
        <f>S92/P92</f>
        <v>1.4428485040839976</v>
      </c>
      <c r="X92" s="5">
        <f>T92/O92</f>
        <v>0</v>
      </c>
      <c r="Y92" s="5">
        <f>U92/P92</f>
        <v>0</v>
      </c>
      <c r="Z92" s="5">
        <f>V92+X92</f>
        <v>1.458991767412922</v>
      </c>
      <c r="AA92" s="7">
        <f>IFERROR(W92/V92-1,0)</f>
        <v>-0.011064670609862048</v>
      </c>
      <c r="AB92" s="7">
        <f>IFERROR((W92-V92)/Z92,0)</f>
        <v>-0.01106467060986206</v>
      </c>
      <c r="AC92" s="7">
        <f>IFERROR(Y92/X92-1,0)</f>
        <v>0</v>
      </c>
      <c r="AD92" s="7">
        <f>IFERROR((Y92-X92)/Z92,0)</f>
        <v>0</v>
      </c>
      <c r="AE92" s="7">
        <f>AB92+AD92</f>
        <v>-0.01106467060986206</v>
      </c>
      <c r="AF92" s="7">
        <f>(1+Q92)*(1+AE92)-1</f>
        <v>0.00016684931506860678</v>
      </c>
      <c r="AG92" s="7">
        <f>G92-AF92</f>
        <v>-1.1327202197042308e-16</v>
      </c>
      <c r="AH92" s="5">
        <f>SUM(IF(BM92="lease",BW92,0),IF(CH92="lease",CR92,0),IF(DC92="lease",DM92,0),IF(DX92="lease",EH92,0),IF(ES92="lease",FC92,0),IF(FN92="lease",FX92,0),IF(GI92="lease",GS92,0),IF(HD92="lease",HN92,0),IF(HY92="lease",II92,0),IF(IT92="lease",JD92,0))</f>
        <v>0.00021893940727471685</v>
      </c>
      <c r="AI92" s="5">
        <f>SUM(IF(BM92="keep",BW92,0),IF(CH92="keep",CR92,0),IF(DC92="keep",DM92,0),IF(DX92="keep",EH92,0),IF(ES92="keep",FC92,0),IF(FN92="keep",FX92,0),IF(GI92="keep",GS92,0),IF(HD92="keep",HN92,0),IF(HY92="keep",II92,0),IF(IT92="keep",JD92,0))</f>
        <v>0</v>
      </c>
      <c r="AJ92" s="5">
        <f>SUM(IF(BM92="lease",BX92,0),IF(CH92="lease",CS92,0),IF(DC92="lease",DN92,0),IF(DX92="lease",EI92,0),IF(ES92="lease",FD92,0),IF(FN92="lease",FY92,0),IF(GI92="lease",GT92,0),IF(HD92="lease",HO92,0),IF(HY92="lease",IJ92,0),IF(IT92="lease",JE92,0))</f>
        <v>0</v>
      </c>
      <c r="AK92" s="5">
        <f>SUM(IF(BM92="keep",BX92,0),IF(CH92="keep",CS92,0),IF(DC92="keep",DN92,0),IF(DX92="keep",EI92,0),IF(ES92="keep",FD92,0),IF(FN92="keep",FY92,0),IF(GI92="keep",GT92,0),IF(HD92="keep",HO92,0),IF(HY92="keep",IJ92,0),IF(IT92="keep",JE92,0))</f>
        <v>0</v>
      </c>
      <c r="AL92" s="5">
        <f>R92-S91</f>
        <v>0</v>
      </c>
      <c r="AM92" s="5">
        <f>T92-U91</f>
        <v>0</v>
      </c>
      <c r="AN92" s="5">
        <f>AN91</f>
        <v>1</v>
      </c>
      <c r="AO92" s="5">
        <f>AO91+AH92</f>
        <v>0.3124173573920322</v>
      </c>
      <c r="AP92" s="5">
        <f>AP91+AL92</f>
        <v>-6.661338147750939e-16</v>
      </c>
      <c r="AQ92" s="5">
        <f>AN92+AO92+AP92</f>
        <v>1.3124173573920315</v>
      </c>
      <c r="AR92" s="5">
        <f>S92-AQ92</f>
        <v>8.881784197001252e-16</v>
      </c>
      <c r="AS92" s="5">
        <f>AS91</f>
        <v>0</v>
      </c>
      <c r="AT92" s="5">
        <f>AT91+AI92</f>
        <v>0</v>
      </c>
      <c r="AU92" s="5">
        <f>AU91+AM92</f>
        <v>0</v>
      </c>
      <c r="AV92" s="5">
        <f>AS92+AT92+AU92</f>
        <v>0</v>
      </c>
      <c r="AW92" s="5">
        <f>U92-AV92</f>
        <v>0</v>
      </c>
      <c r="AX92" s="4">
        <v>1.3121984179847577</v>
      </c>
      <c r="AY92" s="4">
        <v>1.3124173573920324</v>
      </c>
      <c r="AZ92" s="5">
        <f>S92-AY92</f>
        <v>0</v>
      </c>
      <c r="BA92" s="4">
        <v>0</v>
      </c>
      <c r="BB92" s="4">
        <v>0</v>
      </c>
      <c r="BC92" s="5">
        <f>U92-BB92</f>
        <v>0</v>
      </c>
      <c r="BD92" s="7">
        <f>SUM(IF(BL92="direct",CE92,0),IF(CG92="direct",CZ92,0),IF(DB92="direct",DU92,0),IF(DW92="direct",EP92,0),IF(ER92="direct",FK92,0),IF(FM92="direct",GF92,0),IF(GH92="direct",HA92,0),IF(HC92="direct",HV92,0),IF(HX92="direct",IQ92,0),IF(IS92="direct",JL92,0))</f>
        <v>0</v>
      </c>
      <c r="BE92" s="7">
        <f>SUM(IF(BL92="treasury",CE92,0),IF(CG92="treasury",CZ92,0),IF(DB92="treasury",DU92,0),IF(DW92="treasury",EP92,0),IF(ER92="treasury",FK92,0),IF(FM92="treasury",GF92,0),IF(GH92="treasury",HA92,0),IF(HC92="treasury",HV92,0),IF(HX92="treasury",IQ92,0),IF(IS92="treasury",JL92,0))</f>
        <v>0.00016684931506849313</v>
      </c>
      <c r="BF92" s="7">
        <f>SUM(IF(BL92="future",CE92,0),IF(CG92="future",CZ92,0),IF(DB92="future",DU92,0),IF(DW92="future",EP92,0),IF(ER92="future",FK92,0),IF(FM92="future",GF92,0),IF(GH92="future",HA92,0),IF(HC92="future",HV92,0),IF(HX92="future",IQ92,0),IF(IS92="future",JL92,0))</f>
        <v>0</v>
      </c>
      <c r="BG92" s="7">
        <f>SUM(IF(BL92="cash",CE92,0),IF(CG92="cash",CZ92,0),IF(DB92="cash",DU92,0),IF(DW92="cash",EP92,0),IF(ER92="cash",FK92,0),IF(FM92="cash",GF92,0),IF(GH92="cash",HA92,0),IF(HC92="cash",HV92,0),IF(HX92="cash",IQ92,0),IF(IS92="cash",JL92,0))</f>
        <v>0</v>
      </c>
      <c r="BH92" s="7">
        <f>SUM(BD92:BG92)</f>
        <v>0.00016684931506849313</v>
      </c>
      <c r="BI92" s="7">
        <f>G92-BH92</f>
        <v>3.7947076036992655e-19</v>
      </c>
      <c r="BJ92" s="9">
        <f>COUNTA(BK92,CF92,DA92,DV92,EQ92,FL92,GG92,HB92,HW92,IR92)</f>
        <v>4</v>
      </c>
      <c r="BK92" t="inlineStr">
        <is>
          <t xml:space="preserve">Treasury collateral</t>
        </is>
      </c>
      <c r="BL92" t="inlineStr">
        <is>
          <t xml:space="preserve">treasury</t>
        </is>
      </c>
      <c r="BM92" t="inlineStr">
        <is>
          <t xml:space="preserve">lease</t>
        </is>
      </c>
      <c r="BN92" t="inlineStr">
        <is>
          <t xml:space="preserve">long</t>
        </is>
      </c>
      <c r="BO92"/>
      <c r="BP92" s="4">
        <v>102.24204520722976</v>
      </c>
      <c r="BQ92" s="4">
        <v>102.2591042224438</v>
      </c>
      <c r="BR92" s="4">
        <v>0.012834234832892094</v>
      </c>
      <c r="BS92" s="6">
        <v>1</v>
      </c>
      <c r="BT92" s="4">
        <v>1.3121984179847563</v>
      </c>
      <c r="BU92" s="4">
        <v>1.3121984179847563</v>
      </c>
      <c r="BV92" s="4">
        <v>1.3124173573920312</v>
      </c>
      <c r="BW92" s="4">
        <v>0.00021893940727471685</v>
      </c>
      <c r="BX92" s="4">
        <v>1.9271693615929841e-16</v>
      </c>
      <c r="BY92" s="4">
        <v>1.761</v>
      </c>
      <c r="BZ92" s="4">
        <v>1.781</v>
      </c>
      <c r="CA92" s="6"/>
      <c r="CB92" s="6"/>
      <c r="CC92" s="6"/>
      <c r="CD92" s="9">
        <v>13</v>
      </c>
      <c r="CE92" s="7">
        <f>IFERROR(BW92/F92,0)</f>
        <v>0.00016684931506849313</v>
      </c>
      <c r="CF92" t="inlineStr">
        <is>
          <t xml:space="preserve">SI69K</t>
        </is>
      </c>
      <c r="CG92" t="inlineStr">
        <is>
          <t xml:space="preserve">future</t>
        </is>
      </c>
      <c r="CH92" t="inlineStr">
        <is>
          <t xml:space="preserve">lease</t>
        </is>
      </c>
      <c r="CI92" t="inlineStr">
        <is>
          <t xml:space="preserve">long</t>
        </is>
      </c>
      <c r="CJ92" t="inlineStr">
        <is>
          <t xml:space="preserve">regular</t>
        </is>
      </c>
      <c r="CK92" s="4">
        <v>1.754</v>
      </c>
      <c r="CL92" s="4">
        <v>1.754</v>
      </c>
      <c r="CM92" s="4">
        <v>0.7481176841418218</v>
      </c>
      <c r="CN92" s="6">
        <v>0.9999999999999993</v>
      </c>
      <c r="CO92" s="4">
        <v>1.3121984179847554</v>
      </c>
      <c r="CP92" s="4">
        <v>0</v>
      </c>
      <c r="CQ92" s="4">
        <v>0</v>
      </c>
      <c r="CR92" s="4">
        <v>0</v>
      </c>
      <c r="CS92" s="4">
        <v>0</v>
      </c>
      <c r="CT92" s="4">
        <v>1.761</v>
      </c>
      <c r="CU92" s="4">
        <v>1.781</v>
      </c>
      <c r="CV92" s="6">
        <v>-0.003975014196479165</v>
      </c>
      <c r="CW92" s="6">
        <v>0.060899999999999996</v>
      </c>
      <c r="CX92" s="6">
        <v>0.1725061678242227</v>
      </c>
      <c r="CY92" s="9">
        <v>13</v>
      </c>
      <c r="CZ92" s="7">
        <f>IFERROR(CR92/F92,0)</f>
        <v>0</v>
      </c>
      <c r="DA92" t="inlineStr">
        <is>
          <t xml:space="preserve">Lease cash / margin / financing</t>
        </is>
      </c>
      <c r="DB92" t="inlineStr">
        <is>
          <t xml:space="preserve">cash</t>
        </is>
      </c>
      <c r="DC92" t="inlineStr">
        <is>
          <t xml:space="preserve">lease</t>
        </is>
      </c>
      <c r="DD92" t="inlineStr">
        <is>
          <t xml:space="preserve">cash</t>
        </is>
      </c>
      <c r="DE92"/>
      <c r="DF92" s="4">
        <v>1</v>
      </c>
      <c r="DG92" s="4">
        <v>1</v>
      </c>
      <c r="DH92" s="4">
        <v>1.3322676295501878e-15</v>
      </c>
      <c r="DI92" s="6"/>
      <c r="DJ92" s="4">
        <v>1.3322676295501878e-15</v>
      </c>
      <c r="DK92" s="4">
        <v>1.3322676295501878e-15</v>
      </c>
      <c r="DL92" s="4">
        <v>1.1395506933908894e-15</v>
      </c>
      <c r="DM92" s="4">
        <v>0</v>
      </c>
      <c r="DN92" s="4">
        <v>-1.9271693615929841e-16</v>
      </c>
      <c r="DO92" s="4">
        <v>1.761</v>
      </c>
      <c r="DP92" s="4">
        <v>1.781</v>
      </c>
      <c r="DQ92" s="6"/>
      <c r="DR92" s="6"/>
      <c r="DS92" s="6"/>
      <c r="DT92" s="9"/>
      <c r="DU92" s="7">
        <f>IFERROR(DM92/F92,0)</f>
        <v>0</v>
      </c>
      <c r="DV92" t="inlineStr">
        <is>
          <t xml:space="preserve">Keep cash / margin / financing</t>
        </is>
      </c>
      <c r="DW92" t="inlineStr">
        <is>
          <t xml:space="preserve">cash</t>
        </is>
      </c>
      <c r="DX92" t="inlineStr">
        <is>
          <t xml:space="preserve">keep</t>
        </is>
      </c>
      <c r="DY92" t="inlineStr">
        <is>
          <t xml:space="preserve">cash</t>
        </is>
      </c>
      <c r="DZ92"/>
      <c r="EA92" s="4">
        <v>1</v>
      </c>
      <c r="EB92" s="4">
        <v>1</v>
      </c>
      <c r="EC92" s="4">
        <v>0</v>
      </c>
      <c r="ED92" s="6"/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1.761</v>
      </c>
      <c r="EK92" s="4">
        <v>1.781</v>
      </c>
      <c r="EL92" s="6"/>
      <c r="EM92" s="6"/>
      <c r="EN92" s="6"/>
      <c r="EO92" s="9"/>
      <c r="EP92" s="7">
        <f>IFERROR(EH92/F92,0)</f>
        <v>0</v>
      </c>
      <c r="EQ92"/>
      <c r="ER92"/>
      <c r="ES92"/>
      <c r="ET92"/>
      <c r="EU92"/>
      <c r="EV92" s="4"/>
      <c r="EW92" s="4"/>
      <c r="EX92" s="4"/>
      <c r="EY92" s="6"/>
      <c r="EZ92" s="4"/>
      <c r="FA92" s="4"/>
      <c r="FB92" s="4"/>
      <c r="FC92" s="4"/>
      <c r="FD92" s="4"/>
      <c r="FE92" s="4"/>
      <c r="FF92" s="4"/>
      <c r="FG92" s="6"/>
      <c r="FH92" s="6"/>
      <c r="FI92" s="6"/>
      <c r="FJ92" s="9"/>
      <c r="FK92"/>
      <c r="FL92"/>
      <c r="FM92"/>
      <c r="FN92"/>
      <c r="FO92"/>
      <c r="FP92"/>
      <c r="FQ92" s="4"/>
      <c r="FR92" s="4"/>
      <c r="FS92" s="4"/>
      <c r="FT92" s="6"/>
      <c r="FU92" s="4"/>
      <c r="FV92" s="4"/>
      <c r="FW92" s="4"/>
      <c r="FX92" s="4"/>
      <c r="FY92" s="4"/>
      <c r="FZ92" s="4"/>
      <c r="GA92" s="4"/>
      <c r="GB92" s="6"/>
      <c r="GC92" s="6"/>
      <c r="GD92" s="6"/>
      <c r="GE92" s="9"/>
      <c r="GF92"/>
      <c r="GG92"/>
      <c r="GH92"/>
      <c r="GI92"/>
      <c r="GJ92"/>
      <c r="GK92"/>
      <c r="GL92" s="4"/>
      <c r="GM92" s="4"/>
      <c r="GN92" s="4"/>
      <c r="GO92" s="6"/>
      <c r="GP92" s="4"/>
      <c r="GQ92" s="4"/>
      <c r="GR92" s="4"/>
      <c r="GS92" s="4"/>
      <c r="GT92" s="4"/>
      <c r="GU92" s="4"/>
      <c r="GV92" s="4"/>
      <c r="GW92" s="6"/>
      <c r="GX92" s="6"/>
      <c r="GY92" s="6"/>
      <c r="GZ92" s="9"/>
      <c r="HA92"/>
      <c r="HB92"/>
      <c r="HC92"/>
      <c r="HD92"/>
      <c r="HE92"/>
      <c r="HF92"/>
      <c r="HG92" s="4"/>
      <c r="HH92" s="4"/>
      <c r="HI92" s="4"/>
      <c r="HJ92" s="6"/>
      <c r="HK92" s="4"/>
      <c r="HL92" s="4"/>
      <c r="HM92" s="4"/>
      <c r="HN92" s="4"/>
      <c r="HO92" s="4"/>
      <c r="HP92" s="4"/>
      <c r="HQ92" s="4"/>
      <c r="HR92" s="6"/>
      <c r="HS92" s="6"/>
      <c r="HT92" s="6"/>
      <c r="HU92" s="9"/>
      <c r="HV92"/>
      <c r="HW92"/>
      <c r="HX92"/>
      <c r="HY92"/>
      <c r="HZ92"/>
      <c r="IA92"/>
      <c r="IB92" s="4"/>
      <c r="IC92" s="4"/>
      <c r="ID92" s="4"/>
      <c r="IE92" s="6"/>
      <c r="IF92" s="4"/>
      <c r="IG92" s="4"/>
      <c r="IH92" s="4"/>
      <c r="II92" s="4"/>
      <c r="IJ92" s="4"/>
      <c r="IK92" s="4"/>
      <c r="IL92" s="4"/>
      <c r="IM92" s="6"/>
      <c r="IN92" s="6"/>
      <c r="IO92" s="6"/>
      <c r="IP92" s="9"/>
      <c r="IQ92"/>
      <c r="IR92"/>
      <c r="IS92"/>
      <c r="IT92"/>
      <c r="IU92"/>
      <c r="IV92"/>
      <c r="IW92" s="4"/>
      <c r="IX92" s="4"/>
      <c r="IY92" s="4"/>
      <c r="IZ92" s="6"/>
      <c r="JA92" s="4"/>
      <c r="JB92" s="4"/>
      <c r="JC92" s="4"/>
      <c r="JD92" s="4"/>
      <c r="JE92" s="4"/>
      <c r="JF92" s="4"/>
      <c r="JG92" s="4"/>
      <c r="JH92" s="6"/>
      <c r="JI92" s="6"/>
      <c r="JJ92" s="6"/>
      <c r="JK92" s="9"/>
      <c r="JL92"/>
    </row>
    <row r="93">
      <c r="A93" s="8">
        <v>25339</v>
      </c>
      <c r="B93" s="8">
        <v>25342</v>
      </c>
      <c r="C93" s="9">
        <f>B93-A93</f>
        <v>3</v>
      </c>
      <c r="D93" s="8">
        <v>25339</v>
      </c>
      <c r="E93" t="inlineStr">
        <is>
          <t xml:space="preserve">positive</t>
        </is>
      </c>
      <c r="F93" s="4">
        <v>1.3124173573920308</v>
      </c>
      <c r="G93" s="6">
        <v>-0.0063401352681151015</v>
      </c>
      <c r="H93" s="7">
        <f>SUM(CE93,CZ93,DU93,EP93,FK93,GF93,HA93,HV93,IQ93,JL93)</f>
        <v>-0.0063401352681151015</v>
      </c>
      <c r="I93" s="7">
        <f>G93-H93</f>
        <v>0</v>
      </c>
      <c r="J93" s="5">
        <f>F93*(1+H93)</f>
        <v>1.3040964538179431</v>
      </c>
      <c r="K93" s="4">
        <v>1.3040964538179431</v>
      </c>
      <c r="L93" s="5">
        <f>K93-J93</f>
        <v>0</v>
      </c>
      <c r="M93" s="4">
        <v>1.781</v>
      </c>
      <c r="N93" s="4">
        <v>1.761</v>
      </c>
      <c r="O93" s="5">
        <f>M93/$M$3</f>
        <v>0.9096016343207354</v>
      </c>
      <c r="P93" s="5">
        <f>N93/$M$3</f>
        <v>0.8993871297242083</v>
      </c>
      <c r="Q93" s="7">
        <f>IFERROR(N93/M93-1,0)</f>
        <v>-0.011229646266142645</v>
      </c>
      <c r="R93" s="5">
        <f>SUM(IF(BM93="lease",BU93,0),IF(CH93="lease",CP93,0),IF(DC93="lease",DK93,0),IF(DX93="lease",EF93,0),IF(ES93="lease",FA93,0),IF(FN93="lease",FV93,0),IF(GI93="lease",GQ93,0),IF(HD93="lease",HL93,0),IF(HY93="lease",IG93,0),IF(IT93="lease",JB93,0))</f>
        <v>1.3124173573920324</v>
      </c>
      <c r="S93" s="5">
        <f>SUM(IF(BM93="lease",BV93,0),IF(CH93="lease",CQ93,0),IF(DC93="lease",DL93,0),IF(DX93="lease",EG93,0),IF(ES93="lease",FB93,0),IF(FN93="lease",FW93,0),IF(GI93="lease",GR93,0),IF(HD93="lease",HM93,0),IF(HY93="lease",IH93,0),IF(IT93="lease",JC93,0))</f>
        <v>1.3040964538179447</v>
      </c>
      <c r="T93" s="5">
        <f>SUM(IF(BM93="keep",BU93,0),IF(CH93="keep",CP93,0),IF(DC93="keep",DK93,0),IF(DX93="keep",EF93,0),IF(ES93="keep",FA93,0),IF(FN93="keep",FV93,0),IF(GI93="keep",GQ93,0),IF(HD93="keep",HL93,0),IF(HY93="keep",IG93,0),IF(IT93="keep",JB93,0))</f>
        <v>0</v>
      </c>
      <c r="U93" s="5">
        <f>SUM(IF(BM93="keep",BV93,0),IF(CH93="keep",CQ93,0),IF(DC93="keep",DL93,0),IF(DX93="keep",EG93,0),IF(ES93="keep",FB93,0),IF(FN93="keep",FW93,0),IF(GI93="keep",GR93,0),IF(HD93="keep",HM93,0),IF(HY93="keep",IH93,0),IF(IT93="keep",JC93,0))</f>
        <v>0</v>
      </c>
      <c r="V93" s="5">
        <f>R93/O93</f>
        <v>1.4428485040839976</v>
      </c>
      <c r="W93" s="5">
        <f>S93/P93</f>
        <v>1.4499834506391458</v>
      </c>
      <c r="X93" s="5">
        <f>T93/O93</f>
        <v>0</v>
      </c>
      <c r="Y93" s="5">
        <f>U93/P93</f>
        <v>0</v>
      </c>
      <c r="Z93" s="5">
        <f>V93+X93</f>
        <v>1.4428485040839976</v>
      </c>
      <c r="AA93" s="7">
        <f>IFERROR(W93/V93-1,0)</f>
        <v>0.004945042071258898</v>
      </c>
      <c r="AB93" s="7">
        <f>IFERROR((W93-V93)/Z93,0)</f>
        <v>0.004945042071258831</v>
      </c>
      <c r="AC93" s="7">
        <f>IFERROR(Y93/X93-1,0)</f>
        <v>0</v>
      </c>
      <c r="AD93" s="7">
        <f>IFERROR((Y93-X93)/Z93,0)</f>
        <v>0</v>
      </c>
      <c r="AE93" s="7">
        <f>AB93+AD93</f>
        <v>0.004945042071258831</v>
      </c>
      <c r="AF93" s="7">
        <f>(1+Q93)*(1+AE93)-1</f>
        <v>-0.006340135268115166</v>
      </c>
      <c r="AG93" s="7">
        <f>G93-AF93</f>
        <v>6.418476861114186e-17</v>
      </c>
      <c r="AH93" s="5">
        <f>SUM(IF(BM93="lease",BW93,0),IF(CH93="lease",CR93,0),IF(DC93="lease",DM93,0),IF(DX93="lease",EH93,0),IF(ES93="lease",FC93,0),IF(FN93="lease",FX93,0),IF(GI93="lease",GS93,0),IF(HD93="lease",HN93,0),IF(HY93="lease",II93,0),IF(IT93="lease",JD93,0))</f>
        <v>-0.008320903574087636</v>
      </c>
      <c r="AI93" s="5">
        <f>SUM(IF(BM93="keep",BW93,0),IF(CH93="keep",CR93,0),IF(DC93="keep",DM93,0),IF(DX93="keep",EH93,0),IF(ES93="keep",FC93,0),IF(FN93="keep",FX93,0),IF(GI93="keep",GS93,0),IF(HD93="keep",HN93,0),IF(HY93="keep",II93,0),IF(IT93="keep",JD93,0))</f>
        <v>0</v>
      </c>
      <c r="AJ93" s="5">
        <f>SUM(IF(BM93="lease",BX93,0),IF(CH93="lease",CS93,0),IF(DC93="lease",DN93,0),IF(DX93="lease",EI93,0),IF(ES93="lease",FD93,0),IF(FN93="lease",FY93,0),IF(GI93="lease",GT93,0),IF(HD93="lease",HO93,0),IF(HY93="lease",IJ93,0),IF(IT93="lease",JE93,0))</f>
        <v>0</v>
      </c>
      <c r="AK93" s="5">
        <f>SUM(IF(BM93="keep",BX93,0),IF(CH93="keep",CS93,0),IF(DC93="keep",DN93,0),IF(DX93="keep",EI93,0),IF(ES93="keep",FD93,0),IF(FN93="keep",FY93,0),IF(GI93="keep",GT93,0),IF(HD93="keep",HO93,0),IF(HY93="keep",IJ93,0),IF(IT93="keep",JE93,0))</f>
        <v>0</v>
      </c>
      <c r="AL93" s="5">
        <f>R93-S92</f>
        <v>0</v>
      </c>
      <c r="AM93" s="5">
        <f>T93-U92</f>
        <v>0</v>
      </c>
      <c r="AN93" s="5">
        <f>AN92</f>
        <v>1</v>
      </c>
      <c r="AO93" s="5">
        <f>AO92+AH93</f>
        <v>0.30409645381794453</v>
      </c>
      <c r="AP93" s="5">
        <f>AP92+AL93</f>
        <v>-6.661338147750939e-16</v>
      </c>
      <c r="AQ93" s="5">
        <f>AN93+AO93+AP93</f>
        <v>1.3040964538179438</v>
      </c>
      <c r="AR93" s="5">
        <f>S93-AQ93</f>
        <v>8.881784197001252e-16</v>
      </c>
      <c r="AS93" s="5">
        <f>AS92</f>
        <v>0</v>
      </c>
      <c r="AT93" s="5">
        <f>AT92+AI93</f>
        <v>0</v>
      </c>
      <c r="AU93" s="5">
        <f>AU92+AM93</f>
        <v>0</v>
      </c>
      <c r="AV93" s="5">
        <f>AS93+AT93+AU93</f>
        <v>0</v>
      </c>
      <c r="AW93" s="5">
        <f>U93-AV93</f>
        <v>0</v>
      </c>
      <c r="AX93" s="4">
        <v>1.3124173573920324</v>
      </c>
      <c r="AY93" s="4">
        <v>1.3040964538179447</v>
      </c>
      <c r="AZ93" s="5">
        <f>S93-AY93</f>
        <v>0</v>
      </c>
      <c r="BA93" s="4">
        <v>0</v>
      </c>
      <c r="BB93" s="4">
        <v>0</v>
      </c>
      <c r="BC93" s="5">
        <f>U93-BB93</f>
        <v>0</v>
      </c>
      <c r="BD93" s="7">
        <f>SUM(IF(BL93="direct",CE93,0),IF(CG93="direct",CZ93,0),IF(DB93="direct",DU93,0),IF(DW93="direct",EP93,0),IF(ER93="direct",FK93,0),IF(FM93="direct",GF93,0),IF(GH93="direct",HA93,0),IF(HC93="direct",HV93,0),IF(HX93="direct",IQ93,0),IF(IS93="direct",JL93,0))</f>
        <v>0</v>
      </c>
      <c r="BE93" s="7">
        <f>SUM(IF(BL93="treasury",CE93,0),IF(CG93="treasury",CZ93,0),IF(DB93="treasury",DU93,0),IF(DW93="treasury",EP93,0),IF(ER93="treasury",FK93,0),IF(FM93="treasury",GF93,0),IF(GH93="treasury",HA93,0),IF(HC93="treasury",HV93,0),IF(HX93="treasury",IQ93,0),IF(IS93="treasury",JL93,0))</f>
        <v>0.0005013698630136986</v>
      </c>
      <c r="BF93" s="7">
        <f>SUM(IF(BL93="future",CE93,0),IF(CG93="future",CZ93,0),IF(DB93="future",DU93,0),IF(DW93="future",EP93,0),IF(ER93="future",FK93,0),IF(FM93="future",GF93,0),IF(GH93="future",HA93,0),IF(HC93="future",HV93,0),IF(HX93="future",IQ93,0),IF(IS93="future",JL93,0))</f>
        <v>-0.0068415051311288</v>
      </c>
      <c r="BG93" s="7">
        <f>SUM(IF(BL93="cash",CE93,0),IF(CG93="cash",CZ93,0),IF(DB93="cash",DU93,0),IF(DW93="cash",EP93,0),IF(ER93="cash",FK93,0),IF(FM93="cash",GF93,0),IF(GH93="cash",HA93,0),IF(HC93="cash",HV93,0),IF(HX93="cash",IQ93,0),IF(IS93="cash",JL93,0))</f>
        <v>0</v>
      </c>
      <c r="BH93" s="7">
        <f>SUM(BD93:BG93)</f>
        <v>-0.0063401352681151015</v>
      </c>
      <c r="BI93" s="7">
        <f>G93-BH93</f>
        <v>0</v>
      </c>
      <c r="BJ93" s="9">
        <f>COUNTA(BK93,CF93,DA93,DV93,EQ93,FL93,GG93,HB93,HW93,IR93)</f>
        <v>4</v>
      </c>
      <c r="BK93" t="inlineStr">
        <is>
          <t xml:space="preserve">Treasury collateral</t>
        </is>
      </c>
      <c r="BL93" t="inlineStr">
        <is>
          <t xml:space="preserve">treasury</t>
        </is>
      </c>
      <c r="BM93" t="inlineStr">
        <is>
          <t xml:space="preserve">lease</t>
        </is>
      </c>
      <c r="BN93" t="inlineStr">
        <is>
          <t xml:space="preserve">long</t>
        </is>
      </c>
      <c r="BO93"/>
      <c r="BP93" s="4">
        <v>102.2591042224438</v>
      </c>
      <c r="BQ93" s="4">
        <v>102.31037385551971</v>
      </c>
      <c r="BR93" s="4">
        <v>0.01283423483289209</v>
      </c>
      <c r="BS93" s="6">
        <v>1</v>
      </c>
      <c r="BT93" s="4">
        <v>1.3124173573920308</v>
      </c>
      <c r="BU93" s="4">
        <v>1.3124173573920308</v>
      </c>
      <c r="BV93" s="4">
        <v>1.3130753639027233</v>
      </c>
      <c r="BW93" s="4">
        <v>0.0006580065106924428</v>
      </c>
      <c r="BX93" s="4">
        <v>3.426078865054194e-17</v>
      </c>
      <c r="BY93" s="4">
        <v>1.781</v>
      </c>
      <c r="BZ93" s="4">
        <v>1.761</v>
      </c>
      <c r="CA93" s="6"/>
      <c r="CB93" s="6"/>
      <c r="CC93" s="6"/>
      <c r="CD93" s="9">
        <v>12</v>
      </c>
      <c r="CE93" s="7">
        <f>IFERROR(BW93/F93,0)</f>
        <v>0.0005013698630136986</v>
      </c>
      <c r="CF93" t="inlineStr">
        <is>
          <t xml:space="preserve">SI69K</t>
        </is>
      </c>
      <c r="CG93" t="inlineStr">
        <is>
          <t xml:space="preserve">future</t>
        </is>
      </c>
      <c r="CH93" t="inlineStr">
        <is>
          <t xml:space="preserve">lease</t>
        </is>
      </c>
      <c r="CI93" t="inlineStr">
        <is>
          <t xml:space="preserve">long</t>
        </is>
      </c>
      <c r="CJ93" t="inlineStr">
        <is>
          <t xml:space="preserve">regular</t>
        </is>
      </c>
      <c r="CK93" s="4">
        <v>1.754</v>
      </c>
      <c r="CL93" s="4">
        <v>1.742</v>
      </c>
      <c r="CM93" s="4">
        <v>0.7482425070650118</v>
      </c>
      <c r="CN93" s="6">
        <v>1</v>
      </c>
      <c r="CO93" s="4">
        <v>1.3124173573920308</v>
      </c>
      <c r="CP93" s="4">
        <v>0</v>
      </c>
      <c r="CQ93" s="4">
        <v>0</v>
      </c>
      <c r="CR93" s="4">
        <v>-0.008978910084780078</v>
      </c>
      <c r="CS93" s="4">
        <v>0.008978910084780078</v>
      </c>
      <c r="CT93" s="4">
        <v>1.781</v>
      </c>
      <c r="CU93" s="4">
        <v>1.761</v>
      </c>
      <c r="CV93" s="6">
        <v>-0.015160022459292488</v>
      </c>
      <c r="CW93" s="6">
        <v>0.061</v>
      </c>
      <c r="CX93" s="6">
        <v>0.5221173498034799</v>
      </c>
      <c r="CY93" s="9">
        <v>12</v>
      </c>
      <c r="CZ93" s="7">
        <f>IFERROR(CR93/F93,0)</f>
        <v>-0.0068415051311288</v>
      </c>
      <c r="DA93" t="inlineStr">
        <is>
          <t xml:space="preserve">Lease cash / margin / financing</t>
        </is>
      </c>
      <c r="DB93" t="inlineStr">
        <is>
          <t xml:space="preserve">cash</t>
        </is>
      </c>
      <c r="DC93" t="inlineStr">
        <is>
          <t xml:space="preserve">lease</t>
        </is>
      </c>
      <c r="DD93" t="inlineStr">
        <is>
          <t xml:space="preserve">cash</t>
        </is>
      </c>
      <c r="DE93"/>
      <c r="DF93" s="4">
        <v>1</v>
      </c>
      <c r="DG93" s="4">
        <v>1</v>
      </c>
      <c r="DH93" s="4">
        <v>1.5543122344752192e-15</v>
      </c>
      <c r="DI93" s="6"/>
      <c r="DJ93" s="4">
        <v>1.5543122344752192e-15</v>
      </c>
      <c r="DK93" s="4">
        <v>1.5543122344752192e-15</v>
      </c>
      <c r="DL93" s="4">
        <v>-0.008978910084778559</v>
      </c>
      <c r="DM93" s="4">
        <v>0</v>
      </c>
      <c r="DN93" s="4">
        <v>-0.008978910084780113</v>
      </c>
      <c r="DO93" s="4">
        <v>1.781</v>
      </c>
      <c r="DP93" s="4">
        <v>1.761</v>
      </c>
      <c r="DQ93" s="6"/>
      <c r="DR93" s="6"/>
      <c r="DS93" s="6"/>
      <c r="DT93" s="9"/>
      <c r="DU93" s="7">
        <f>IFERROR(DM93/F93,0)</f>
        <v>0</v>
      </c>
      <c r="DV93" t="inlineStr">
        <is>
          <t xml:space="preserve">Keep cash / margin / financing</t>
        </is>
      </c>
      <c r="DW93" t="inlineStr">
        <is>
          <t xml:space="preserve">cash</t>
        </is>
      </c>
      <c r="DX93" t="inlineStr">
        <is>
          <t xml:space="preserve">keep</t>
        </is>
      </c>
      <c r="DY93" t="inlineStr">
        <is>
          <t xml:space="preserve">cash</t>
        </is>
      </c>
      <c r="DZ93"/>
      <c r="EA93" s="4">
        <v>1</v>
      </c>
      <c r="EB93" s="4">
        <v>1</v>
      </c>
      <c r="EC93" s="4">
        <v>0</v>
      </c>
      <c r="ED93" s="6"/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1.781</v>
      </c>
      <c r="EK93" s="4">
        <v>1.761</v>
      </c>
      <c r="EL93" s="6"/>
      <c r="EM93" s="6"/>
      <c r="EN93" s="6"/>
      <c r="EO93" s="9"/>
      <c r="EP93" s="7">
        <f>IFERROR(EH93/F93,0)</f>
        <v>0</v>
      </c>
      <c r="EQ93"/>
      <c r="ER93"/>
      <c r="ES93"/>
      <c r="ET93"/>
      <c r="EU93"/>
      <c r="EV93" s="4"/>
      <c r="EW93" s="4"/>
      <c r="EX93" s="4"/>
      <c r="EY93" s="6"/>
      <c r="EZ93" s="4"/>
      <c r="FA93" s="4"/>
      <c r="FB93" s="4"/>
      <c r="FC93" s="4"/>
      <c r="FD93" s="4"/>
      <c r="FE93" s="4"/>
      <c r="FF93" s="4"/>
      <c r="FG93" s="6"/>
      <c r="FH93" s="6"/>
      <c r="FI93" s="6"/>
      <c r="FJ93" s="9"/>
      <c r="FK93"/>
      <c r="FL93"/>
      <c r="FM93"/>
      <c r="FN93"/>
      <c r="FO93"/>
      <c r="FP93"/>
      <c r="FQ93" s="4"/>
      <c r="FR93" s="4"/>
      <c r="FS93" s="4"/>
      <c r="FT93" s="6"/>
      <c r="FU93" s="4"/>
      <c r="FV93" s="4"/>
      <c r="FW93" s="4"/>
      <c r="FX93" s="4"/>
      <c r="FY93" s="4"/>
      <c r="FZ93" s="4"/>
      <c r="GA93" s="4"/>
      <c r="GB93" s="6"/>
      <c r="GC93" s="6"/>
      <c r="GD93" s="6"/>
      <c r="GE93" s="9"/>
      <c r="GF93"/>
      <c r="GG93"/>
      <c r="GH93"/>
      <c r="GI93"/>
      <c r="GJ93"/>
      <c r="GK93"/>
      <c r="GL93" s="4"/>
      <c r="GM93" s="4"/>
      <c r="GN93" s="4"/>
      <c r="GO93" s="6"/>
      <c r="GP93" s="4"/>
      <c r="GQ93" s="4"/>
      <c r="GR93" s="4"/>
      <c r="GS93" s="4"/>
      <c r="GT93" s="4"/>
      <c r="GU93" s="4"/>
      <c r="GV93" s="4"/>
      <c r="GW93" s="6"/>
      <c r="GX93" s="6"/>
      <c r="GY93" s="6"/>
      <c r="GZ93" s="9"/>
      <c r="HA93"/>
      <c r="HB93"/>
      <c r="HC93"/>
      <c r="HD93"/>
      <c r="HE93"/>
      <c r="HF93"/>
      <c r="HG93" s="4"/>
      <c r="HH93" s="4"/>
      <c r="HI93" s="4"/>
      <c r="HJ93" s="6"/>
      <c r="HK93" s="4"/>
      <c r="HL93" s="4"/>
      <c r="HM93" s="4"/>
      <c r="HN93" s="4"/>
      <c r="HO93" s="4"/>
      <c r="HP93" s="4"/>
      <c r="HQ93" s="4"/>
      <c r="HR93" s="6"/>
      <c r="HS93" s="6"/>
      <c r="HT93" s="6"/>
      <c r="HU93" s="9"/>
      <c r="HV93"/>
      <c r="HW93"/>
      <c r="HX93"/>
      <c r="HY93"/>
      <c r="HZ93"/>
      <c r="IA93"/>
      <c r="IB93" s="4"/>
      <c r="IC93" s="4"/>
      <c r="ID93" s="4"/>
      <c r="IE93" s="6"/>
      <c r="IF93" s="4"/>
      <c r="IG93" s="4"/>
      <c r="IH93" s="4"/>
      <c r="II93" s="4"/>
      <c r="IJ93" s="4"/>
      <c r="IK93" s="4"/>
      <c r="IL93" s="4"/>
      <c r="IM93" s="6"/>
      <c r="IN93" s="6"/>
      <c r="IO93" s="6"/>
      <c r="IP93" s="9"/>
      <c r="IQ93"/>
      <c r="IR93"/>
      <c r="IS93"/>
      <c r="IT93"/>
      <c r="IU93"/>
      <c r="IV93"/>
      <c r="IW93" s="4"/>
      <c r="IX93" s="4"/>
      <c r="IY93" s="4"/>
      <c r="IZ93" s="6"/>
      <c r="JA93" s="4"/>
      <c r="JB93" s="4"/>
      <c r="JC93" s="4"/>
      <c r="JD93" s="4"/>
      <c r="JE93" s="4"/>
      <c r="JF93" s="4"/>
      <c r="JG93" s="4"/>
      <c r="JH93" s="6"/>
      <c r="JI93" s="6"/>
      <c r="JJ93" s="6"/>
      <c r="JK93" s="9"/>
      <c r="JL93"/>
    </row>
    <row r="94">
      <c r="A94" s="8">
        <v>25342</v>
      </c>
      <c r="B94" s="8">
        <v>25343</v>
      </c>
      <c r="C94" s="9">
        <f>B94-A94</f>
        <v>1</v>
      </c>
      <c r="D94" s="8">
        <v>25342</v>
      </c>
      <c r="E94" t="inlineStr">
        <is>
          <t xml:space="preserve">positive</t>
        </is>
      </c>
      <c r="F94" s="4">
        <v>1.3040964538179431</v>
      </c>
      <c r="G94" s="6">
        <v>-0.0009296255022984719</v>
      </c>
      <c r="H94" s="7">
        <f>SUM(CE94,CZ94,DU94,EP94,FK94,GF94,HA94,HV94,IQ94,JL94)</f>
        <v>-0.0009296255022984721</v>
      </c>
      <c r="I94" s="7">
        <f>G94-H94</f>
        <v>2.168404344971009e-19</v>
      </c>
      <c r="J94" s="5">
        <f>F94*(1+H94)</f>
        <v>1.302884132497017</v>
      </c>
      <c r="K94" s="4">
        <v>1.302884132497017</v>
      </c>
      <c r="L94" s="5">
        <f>K94-J94</f>
        <v>0</v>
      </c>
      <c r="M94" s="4">
        <v>1.761</v>
      </c>
      <c r="N94" s="4">
        <v>1.749</v>
      </c>
      <c r="O94" s="5">
        <f>M94/$M$3</f>
        <v>0.8993871297242083</v>
      </c>
      <c r="P94" s="5">
        <f>N94/$M$3</f>
        <v>0.8932584269662922</v>
      </c>
      <c r="Q94" s="7">
        <f>IFERROR(N94/M94-1,0)</f>
        <v>-0.00681431005110722</v>
      </c>
      <c r="R94" s="5">
        <f>SUM(IF(BM94="lease",BU94,0),IF(CH94="lease",CP94,0),IF(DC94="lease",DK94,0),IF(DX94="lease",EF94,0),IF(ES94="lease",FA94,0),IF(FN94="lease",FV94,0),IF(GI94="lease",GQ94,0),IF(HD94="lease",HL94,0),IF(HY94="lease",IG94,0),IF(IT94="lease",JB94,0))</f>
        <v>1.3040964538179447</v>
      </c>
      <c r="S94" s="5">
        <f>SUM(IF(BM94="lease",BV94,0),IF(CH94="lease",CQ94,0),IF(DC94="lease",DL94,0),IF(DX94="lease",EG94,0),IF(ES94="lease",FB94,0),IF(FN94="lease",FW94,0),IF(GI94="lease",GR94,0),IF(HD94="lease",HM94,0),IF(HY94="lease",IH94,0),IF(IT94="lease",JC94,0))</f>
        <v>1.3028841324970184</v>
      </c>
      <c r="T94" s="5">
        <f>SUM(IF(BM94="keep",BU94,0),IF(CH94="keep",CP94,0),IF(DC94="keep",DK94,0),IF(DX94="keep",EF94,0),IF(ES94="keep",FA94,0),IF(FN94="keep",FV94,0),IF(GI94="keep",GQ94,0),IF(HD94="keep",HL94,0),IF(HY94="keep",IG94,0),IF(IT94="keep",JB94,0))</f>
        <v>0</v>
      </c>
      <c r="U94" s="5">
        <f>SUM(IF(BM94="keep",BV94,0),IF(CH94="keep",CQ94,0),IF(DC94="keep",DL94,0),IF(DX94="keep",EG94,0),IF(ES94="keep",FB94,0),IF(FN94="keep",FW94,0),IF(GI94="keep",GR94,0),IF(HD94="keep",HM94,0),IF(HY94="keep",IH94,0),IF(IT94="keep",JC94,0))</f>
        <v>0</v>
      </c>
      <c r="V94" s="5">
        <f>R94/O94</f>
        <v>1.4499834506391458</v>
      </c>
      <c r="W94" s="5">
        <f>S94/P94</f>
        <v>1.4585746892104985</v>
      </c>
      <c r="X94" s="5">
        <f>T94/O94</f>
        <v>0</v>
      </c>
      <c r="Y94" s="5">
        <f>U94/P94</f>
        <v>0</v>
      </c>
      <c r="Z94" s="5">
        <f>V94+X94</f>
        <v>1.4499834506391458</v>
      </c>
      <c r="AA94" s="7">
        <f>IFERROR(W94/V94-1,0)</f>
        <v>0.00592505974296853</v>
      </c>
      <c r="AB94" s="7">
        <f>IFERROR((W94-V94)/Z94,0)</f>
        <v>0.005925059742968591</v>
      </c>
      <c r="AC94" s="7">
        <f>IFERROR(Y94/X94-1,0)</f>
        <v>0</v>
      </c>
      <c r="AD94" s="7">
        <f>IFERROR((Y94-X94)/Z94,0)</f>
        <v>0</v>
      </c>
      <c r="AE94" s="7">
        <f>AB94+AD94</f>
        <v>0.005925059742968591</v>
      </c>
      <c r="AF94" s="7">
        <f>(1+Q94)*(1+AE94)-1</f>
        <v>-0.0009296255022985811</v>
      </c>
      <c r="AG94" s="7">
        <f>G94-AF94</f>
        <v>1.091791587692903e-16</v>
      </c>
      <c r="AH94" s="5">
        <f>SUM(IF(BM94="lease",BW94,0),IF(CH94="lease",CR94,0),IF(DC94="lease",DM94,0),IF(DX94="lease",EH94,0),IF(ES94="lease",FC94,0),IF(FN94="lease",FX94,0),IF(GI94="lease",GS94,0),IF(HD94="lease",HN94,0),IF(HY94="lease",II94,0),IF(IT94="lease",JD94,0))</f>
        <v>-0.0012123213209261617</v>
      </c>
      <c r="AI94" s="5">
        <f>SUM(IF(BM94="keep",BW94,0),IF(CH94="keep",CR94,0),IF(DC94="keep",DM94,0),IF(DX94="keep",EH94,0),IF(ES94="keep",FC94,0),IF(FN94="keep",FX94,0),IF(GI94="keep",GS94,0),IF(HD94="keep",HN94,0),IF(HY94="keep",II94,0),IF(IT94="keep",JD94,0))</f>
        <v>0</v>
      </c>
      <c r="AJ94" s="5">
        <f>SUM(IF(BM94="lease",BX94,0),IF(CH94="lease",CS94,0),IF(DC94="lease",DN94,0),IF(DX94="lease",EI94,0),IF(ES94="lease",FD94,0),IF(FN94="lease",FY94,0),IF(GI94="lease",GT94,0),IF(HD94="lease",HO94,0),IF(HY94="lease",IJ94,0),IF(IT94="lease",JE94,0))</f>
        <v>0</v>
      </c>
      <c r="AK94" s="5">
        <f>SUM(IF(BM94="keep",BX94,0),IF(CH94="keep",CS94,0),IF(DC94="keep",DN94,0),IF(DX94="keep",EI94,0),IF(ES94="keep",FD94,0),IF(FN94="keep",FY94,0),IF(GI94="keep",GT94,0),IF(HD94="keep",HO94,0),IF(HY94="keep",IJ94,0),IF(IT94="keep",JE94,0))</f>
        <v>0</v>
      </c>
      <c r="AL94" s="5">
        <f>R94-S93</f>
        <v>0</v>
      </c>
      <c r="AM94" s="5">
        <f>T94-U93</f>
        <v>0</v>
      </c>
      <c r="AN94" s="5">
        <f>AN93</f>
        <v>1</v>
      </c>
      <c r="AO94" s="5">
        <f>AO93+AH94</f>
        <v>0.3028841324970184</v>
      </c>
      <c r="AP94" s="5">
        <f>AP93+AL94</f>
        <v>-6.661338147750939e-16</v>
      </c>
      <c r="AQ94" s="5">
        <f>AN94+AO94+AP94</f>
        <v>1.3028841324970177</v>
      </c>
      <c r="AR94" s="5">
        <f>S94-AQ94</f>
        <v>6.661338147750939e-16</v>
      </c>
      <c r="AS94" s="5">
        <f>AS93</f>
        <v>0</v>
      </c>
      <c r="AT94" s="5">
        <f>AT93+AI94</f>
        <v>0</v>
      </c>
      <c r="AU94" s="5">
        <f>AU93+AM94</f>
        <v>0</v>
      </c>
      <c r="AV94" s="5">
        <f>AS94+AT94+AU94</f>
        <v>0</v>
      </c>
      <c r="AW94" s="5">
        <f>U94-AV94</f>
        <v>0</v>
      </c>
      <c r="AX94" s="4">
        <v>1.3040964538179447</v>
      </c>
      <c r="AY94" s="4">
        <v>1.3028841324970186</v>
      </c>
      <c r="AZ94" s="5">
        <f>S94-AY94</f>
        <v>-2.220446049250313e-16</v>
      </c>
      <c r="BA94" s="4">
        <v>0</v>
      </c>
      <c r="BB94" s="4">
        <v>0</v>
      </c>
      <c r="BC94" s="5">
        <f>U94-BB94</f>
        <v>0</v>
      </c>
      <c r="BD94" s="7">
        <f>SUM(IF(BL94="direct",CE94,0),IF(CG94="direct",CZ94,0),IF(DB94="direct",DU94,0),IF(DW94="direct",EP94,0),IF(ER94="direct",FK94,0),IF(FM94="direct",GF94,0),IF(GH94="direct",HA94,0),IF(HC94="direct",HV94,0),IF(HX94="direct",IQ94,0),IF(IS94="direct",JL94,0))</f>
        <v>-0.003786264037332583</v>
      </c>
      <c r="BE94" s="7">
        <f>SUM(IF(BL94="treasury",CE94,0),IF(CG94="treasury",CZ94,0),IF(DB94="treasury",DU94,0),IF(DW94="treasury",EP94,0),IF(ER94="treasury",FK94,0),IF(FM94="treasury",GF94,0),IF(GH94="treasury",HA94,0),IF(HC94="treasury",HV94,0),IF(HX94="treasury",IQ94,0),IF(IS94="treasury",JL94,0))</f>
        <v>0.00007423521130923851</v>
      </c>
      <c r="BF94" s="7">
        <f>SUM(IF(BL94="future",CE94,0),IF(CG94="future",CZ94,0),IF(DB94="future",DU94,0),IF(DW94="future",EP94,0),IF(ER94="future",FK94,0),IF(FM94="future",GF94,0),IF(GH94="future",HA94,0),IF(HC94="future",HV94,0),IF(HX94="future",IQ94,0),IF(IS94="future",JL94,0))</f>
        <v>0.0027824033237248726</v>
      </c>
      <c r="BG94" s="7">
        <f>SUM(IF(BL94="cash",CE94,0),IF(CG94="cash",CZ94,0),IF(DB94="cash",DU94,0),IF(DW94="cash",EP94,0),IF(ER94="cash",FK94,0),IF(FM94="cash",GF94,0),IF(GH94="cash",HA94,0),IF(HC94="cash",HV94,0),IF(HX94="cash",IQ94,0),IF(IS94="cash",JL94,0))</f>
        <v>0</v>
      </c>
      <c r="BH94" s="7">
        <f>SUM(BD94:BG94)</f>
        <v>-0.0009296255022984718</v>
      </c>
      <c r="BI94" s="7">
        <f>G94-BH94</f>
        <v>-1.0842021724855044e-19</v>
      </c>
      <c r="BJ94" s="9">
        <f>COUNTA(BK94,CF94,DA94,DV94,EQ94,FL94,GG94,HB94,HW94,IR94)</f>
        <v>6</v>
      </c>
      <c r="BK94" t="inlineStr">
        <is>
          <t xml:space="preserve">Direct commodity holding</t>
        </is>
      </c>
      <c r="BL94" t="inlineStr">
        <is>
          <t xml:space="preserve">direct</t>
        </is>
      </c>
      <c r="BM94" t="inlineStr">
        <is>
          <t xml:space="preserve">lease</t>
        </is>
      </c>
      <c r="BN94" t="inlineStr">
        <is>
          <t xml:space="preserve">long</t>
        </is>
      </c>
      <c r="BO94"/>
      <c r="BP94" s="4">
        <v>1.761</v>
      </c>
      <c r="BQ94" s="4">
        <v>1.749</v>
      </c>
      <c r="BR94" s="4">
        <v>0.41105795580376714</v>
      </c>
      <c r="BS94" s="6">
        <v>0.5550763197393751</v>
      </c>
      <c r="BT94" s="4">
        <v>0.7238730601704338</v>
      </c>
      <c r="BU94" s="4">
        <v>0.7238730601704338</v>
      </c>
      <c r="BV94" s="4">
        <v>0.7189403647007888</v>
      </c>
      <c r="BW94" s="4">
        <v>-0.00493765350430383</v>
      </c>
      <c r="BX94" s="4">
        <v>0.0000049580346587977525</v>
      </c>
      <c r="BY94" s="4">
        <v>1.761</v>
      </c>
      <c r="BZ94" s="4">
        <v>1.749</v>
      </c>
      <c r="CA94" s="6"/>
      <c r="CB94" s="6"/>
      <c r="CC94" s="6"/>
      <c r="CD94" s="9"/>
      <c r="CE94" s="7">
        <f>IFERROR(BW94/F94,0)</f>
        <v>-0.003786264037332583</v>
      </c>
      <c r="CF94" t="inlineStr">
        <is>
          <t xml:space="preserve">Treasury collateral</t>
        </is>
      </c>
      <c r="CG94" t="inlineStr">
        <is>
          <t xml:space="preserve">treasury</t>
        </is>
      </c>
      <c r="CH94" t="inlineStr">
        <is>
          <t xml:space="preserve">lease</t>
        </is>
      </c>
      <c r="CI94" t="inlineStr">
        <is>
          <t xml:space="preserve">long</t>
        </is>
      </c>
      <c r="CJ94"/>
      <c r="CK94" s="4">
        <v>102.31037385551971</v>
      </c>
      <c r="CL94" s="4">
        <v>102.3274442713219</v>
      </c>
      <c r="CM94" s="4">
        <v>0.005671207833400032</v>
      </c>
      <c r="CN94" s="6">
        <v>0.44492368026062495</v>
      </c>
      <c r="CO94" s="4">
        <v>0.5802233936475093</v>
      </c>
      <c r="CP94" s="4">
        <v>0.5802233936475093</v>
      </c>
      <c r="CQ94" s="4">
        <v>0.580320203523326</v>
      </c>
      <c r="CR94" s="4">
        <v>0.0000968098758168036</v>
      </c>
      <c r="CS94" s="4">
        <v>-7.565020658517607e-17</v>
      </c>
      <c r="CT94" s="4">
        <v>1.761</v>
      </c>
      <c r="CU94" s="4">
        <v>1.749</v>
      </c>
      <c r="CV94" s="6"/>
      <c r="CW94" s="6"/>
      <c r="CX94" s="6"/>
      <c r="CY94" s="9">
        <v>71</v>
      </c>
      <c r="CZ94" s="7">
        <f>IFERROR(CR94/F94,0)</f>
        <v>0.00007423521130923851</v>
      </c>
      <c r="DA94" t="inlineStr">
        <is>
          <t xml:space="preserve">SI69N</t>
        </is>
      </c>
      <c r="DB94" t="inlineStr">
        <is>
          <t xml:space="preserve">future</t>
        </is>
      </c>
      <c r="DC94" t="inlineStr">
        <is>
          <t xml:space="preserve">lease</t>
        </is>
      </c>
      <c r="DD94" t="inlineStr">
        <is>
          <t xml:space="preserve">long</t>
        </is>
      </c>
      <c r="DE94" t="inlineStr">
        <is>
          <t xml:space="preserve">regular</t>
        </is>
      </c>
      <c r="DF94" s="4">
        <v>1.7590000000000001</v>
      </c>
      <c r="DG94" s="4">
        <v>1.77</v>
      </c>
      <c r="DH94" s="4">
        <v>0.3297777334246534</v>
      </c>
      <c r="DI94" s="6">
        <v>0.44481298250270884</v>
      </c>
      <c r="DJ94" s="4">
        <v>0.5800790330939654</v>
      </c>
      <c r="DK94" s="4">
        <v>0</v>
      </c>
      <c r="DL94" s="4">
        <v>0</v>
      </c>
      <c r="DM94" s="4">
        <v>0.003627555067671123</v>
      </c>
      <c r="DN94" s="4">
        <v>-0.003627555067671123</v>
      </c>
      <c r="DO94" s="4">
        <v>1.761</v>
      </c>
      <c r="DP94" s="4">
        <v>1.749</v>
      </c>
      <c r="DQ94" s="6">
        <v>-0.0011357183418511108</v>
      </c>
      <c r="DR94" s="6">
        <v>0.060899999999999996</v>
      </c>
      <c r="DS94" s="6">
        <v>0.06673855203909373</v>
      </c>
      <c r="DT94" s="9">
        <v>71</v>
      </c>
      <c r="DU94" s="7">
        <f>IFERROR(DM94/F94,0)</f>
        <v>0.0027816616302044966</v>
      </c>
      <c r="DV94" t="inlineStr">
        <is>
          <t xml:space="preserve">SI69U</t>
        </is>
      </c>
      <c r="DW94" t="inlineStr">
        <is>
          <t xml:space="preserve">future</t>
        </is>
      </c>
      <c r="DX94" t="inlineStr">
        <is>
          <t xml:space="preserve">lease</t>
        </is>
      </c>
      <c r="DY94" t="inlineStr">
        <is>
          <t xml:space="preserve">long</t>
        </is>
      </c>
      <c r="DZ94" t="inlineStr">
        <is>
          <t xml:space="preserve">regular</t>
        </is>
      </c>
      <c r="EA94" s="4">
        <v>1.791</v>
      </c>
      <c r="EB94" s="4">
        <v>1.8030000000000002</v>
      </c>
      <c r="EC94" s="4">
        <v>0.00008060332414515837</v>
      </c>
      <c r="ED94" s="6">
        <v>0.00011069775791609656</v>
      </c>
      <c r="EE94" s="4">
        <v>0.00014436055354397865</v>
      </c>
      <c r="EF94" s="4">
        <v>0</v>
      </c>
      <c r="EG94" s="4">
        <v>0</v>
      </c>
      <c r="EH94" s="4">
        <v>9.67239889741926e-7</v>
      </c>
      <c r="EI94" s="4">
        <v>-9.67239889741926e-7</v>
      </c>
      <c r="EJ94" s="4">
        <v>1.761</v>
      </c>
      <c r="EK94" s="4">
        <v>1.749</v>
      </c>
      <c r="EL94" s="6">
        <v>0.017035775127768327</v>
      </c>
      <c r="EM94" s="6">
        <v>0.061200000000000004</v>
      </c>
      <c r="EN94" s="6">
        <v>0.013368785218188926</v>
      </c>
      <c r="EO94" s="9">
        <v>130</v>
      </c>
      <c r="EP94" s="7">
        <f>IFERROR(EH94/F94,0)</f>
        <v>7.416935203758759e-7</v>
      </c>
      <c r="EQ94" t="inlineStr">
        <is>
          <t xml:space="preserve">Lease cash / margin / financing</t>
        </is>
      </c>
      <c r="ER94" t="inlineStr">
        <is>
          <t xml:space="preserve">cash</t>
        </is>
      </c>
      <c r="ES94" t="inlineStr">
        <is>
          <t xml:space="preserve">lease</t>
        </is>
      </c>
      <c r="ET94" t="inlineStr">
        <is>
          <t xml:space="preserve">cash</t>
        </is>
      </c>
      <c r="EU94"/>
      <c r="EV94" s="4">
        <v>1</v>
      </c>
      <c r="EW94" s="4">
        <v>1</v>
      </c>
      <c r="EX94" s="4">
        <v>1.5543122344752192e-15</v>
      </c>
      <c r="EY94" s="6"/>
      <c r="EZ94" s="4">
        <v>1.5543122344752192e-15</v>
      </c>
      <c r="FA94" s="4">
        <v>1.5543122344752192e-15</v>
      </c>
      <c r="FB94" s="4">
        <v>0.0036235642729036967</v>
      </c>
      <c r="FC94" s="4">
        <v>0</v>
      </c>
      <c r="FD94" s="4">
        <v>0.0036235642729021424</v>
      </c>
      <c r="FE94" s="4">
        <v>1.761</v>
      </c>
      <c r="FF94" s="4">
        <v>1.749</v>
      </c>
      <c r="FG94" s="6"/>
      <c r="FH94" s="6"/>
      <c r="FI94" s="6"/>
      <c r="FJ94" s="9"/>
      <c r="FK94" s="7">
        <f>IFERROR(FC94/F94,0)</f>
        <v>0</v>
      </c>
      <c r="FL94" t="inlineStr">
        <is>
          <t xml:space="preserve">Keep cash / margin / financing</t>
        </is>
      </c>
      <c r="FM94" t="inlineStr">
        <is>
          <t xml:space="preserve">cash</t>
        </is>
      </c>
      <c r="FN94" t="inlineStr">
        <is>
          <t xml:space="preserve">keep</t>
        </is>
      </c>
      <c r="FO94" t="inlineStr">
        <is>
          <t xml:space="preserve">cash</t>
        </is>
      </c>
      <c r="FP94"/>
      <c r="FQ94" s="4">
        <v>1</v>
      </c>
      <c r="FR94" s="4">
        <v>1</v>
      </c>
      <c r="FS94" s="4">
        <v>0</v>
      </c>
      <c r="FT94" s="6"/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1.761</v>
      </c>
      <c r="GA94" s="4">
        <v>1.749</v>
      </c>
      <c r="GB94" s="6"/>
      <c r="GC94" s="6"/>
      <c r="GD94" s="6"/>
      <c r="GE94" s="9"/>
      <c r="GF94" s="7">
        <f>IFERROR(FX94/F94,0)</f>
        <v>0</v>
      </c>
      <c r="GG94"/>
      <c r="GH94"/>
      <c r="GI94"/>
      <c r="GJ94"/>
      <c r="GK94"/>
      <c r="GL94" s="4"/>
      <c r="GM94" s="4"/>
      <c r="GN94" s="4"/>
      <c r="GO94" s="6"/>
      <c r="GP94" s="4"/>
      <c r="GQ94" s="4"/>
      <c r="GR94" s="4"/>
      <c r="GS94" s="4"/>
      <c r="GT94" s="4"/>
      <c r="GU94" s="4"/>
      <c r="GV94" s="4"/>
      <c r="GW94" s="6"/>
      <c r="GX94" s="6"/>
      <c r="GY94" s="6"/>
      <c r="GZ94" s="9"/>
      <c r="HA94"/>
      <c r="HB94"/>
      <c r="HC94"/>
      <c r="HD94"/>
      <c r="HE94"/>
      <c r="HF94"/>
      <c r="HG94" s="4"/>
      <c r="HH94" s="4"/>
      <c r="HI94" s="4"/>
      <c r="HJ94" s="6"/>
      <c r="HK94" s="4"/>
      <c r="HL94" s="4"/>
      <c r="HM94" s="4"/>
      <c r="HN94" s="4"/>
      <c r="HO94" s="4"/>
      <c r="HP94" s="4"/>
      <c r="HQ94" s="4"/>
      <c r="HR94" s="6"/>
      <c r="HS94" s="6"/>
      <c r="HT94" s="6"/>
      <c r="HU94" s="9"/>
      <c r="HV94"/>
      <c r="HW94"/>
      <c r="HX94"/>
      <c r="HY94"/>
      <c r="HZ94"/>
      <c r="IA94"/>
      <c r="IB94" s="4"/>
      <c r="IC94" s="4"/>
      <c r="ID94" s="4"/>
      <c r="IE94" s="6"/>
      <c r="IF94" s="4"/>
      <c r="IG94" s="4"/>
      <c r="IH94" s="4"/>
      <c r="II94" s="4"/>
      <c r="IJ94" s="4"/>
      <c r="IK94" s="4"/>
      <c r="IL94" s="4"/>
      <c r="IM94" s="6"/>
      <c r="IN94" s="6"/>
      <c r="IO94" s="6"/>
      <c r="IP94" s="9"/>
      <c r="IQ94"/>
      <c r="IR94"/>
      <c r="IS94"/>
      <c r="IT94"/>
      <c r="IU94"/>
      <c r="IV94"/>
      <c r="IW94" s="4"/>
      <c r="IX94" s="4"/>
      <c r="IY94" s="4"/>
      <c r="IZ94" s="6"/>
      <c r="JA94" s="4"/>
      <c r="JB94" s="4"/>
      <c r="JC94" s="4"/>
      <c r="JD94" s="4"/>
      <c r="JE94" s="4"/>
      <c r="JF94" s="4"/>
      <c r="JG94" s="4"/>
      <c r="JH94" s="6"/>
      <c r="JI94" s="6"/>
      <c r="JJ94" s="6"/>
      <c r="JK94" s="9"/>
      <c r="JL94"/>
    </row>
    <row r="95">
      <c r="A95" s="8">
        <v>25343</v>
      </c>
      <c r="B95" s="8">
        <v>25344</v>
      </c>
      <c r="C95" s="9">
        <f>B95-A95</f>
        <v>1</v>
      </c>
      <c r="D95" s="8">
        <v>25343</v>
      </c>
      <c r="E95" t="inlineStr">
        <is>
          <t xml:space="preserve">neutral</t>
        </is>
      </c>
      <c r="F95" s="4">
        <v>1.302884132497017</v>
      </c>
      <c r="G95" s="6">
        <v>0.005710703572295594</v>
      </c>
      <c r="H95" s="7">
        <f>SUM(CE95,CZ95,DU95,EP95,FK95,GF95,HA95,HV95,IQ95,JL95)</f>
        <v>0.005710703572295593</v>
      </c>
      <c r="I95" s="7">
        <f>G95-H95</f>
        <v>8.673617379884035e-19</v>
      </c>
      <c r="J95" s="5">
        <f>F95*(1+H95)</f>
        <v>1.310324517566755</v>
      </c>
      <c r="K95" s="4">
        <v>1.310324517566755</v>
      </c>
      <c r="L95" s="5">
        <f>K95-J95</f>
        <v>0</v>
      </c>
      <c r="M95" s="4">
        <v>1.749</v>
      </c>
      <c r="N95" s="4">
        <v>1.759</v>
      </c>
      <c r="O95" s="5">
        <f>M95/$M$3</f>
        <v>0.8932584269662922</v>
      </c>
      <c r="P95" s="5">
        <f>N95/$M$3</f>
        <v>0.8983656792645557</v>
      </c>
      <c r="Q95" s="7">
        <f>IFERROR(N95/M95-1,0)</f>
        <v>0.005717552887364086</v>
      </c>
      <c r="R95" s="5">
        <f>SUM(IF(BM95="lease",BU95,0),IF(CH95="lease",CP95,0),IF(DC95="lease",DK95,0),IF(DX95="lease",EF95,0),IF(ES95="lease",FA95,0),IF(FN95="lease",FV95,0),IF(GI95="lease",GQ95,0),IF(HD95="lease",HL95,0),IF(HY95="lease",IG95,0),IF(IT95="lease",JB95,0))</f>
        <v>1.3028841324970186</v>
      </c>
      <c r="S95" s="5">
        <f>SUM(IF(BM95="lease",BV95,0),IF(CH95="lease",CQ95,0),IF(DC95="lease",DL95,0),IF(DX95="lease",EG95,0),IF(ES95="lease",FB95,0),IF(FN95="lease",FW95,0),IF(GI95="lease",GR95,0),IF(HD95="lease",HM95,0),IF(HY95="lease",IH95,0),IF(IT95="lease",JC95,0))</f>
        <v>1.3103245175667566</v>
      </c>
      <c r="T95" s="5">
        <f>SUM(IF(BM95="keep",BU95,0),IF(CH95="keep",CP95,0),IF(DC95="keep",DK95,0),IF(DX95="keep",EF95,0),IF(ES95="keep",FA95,0),IF(FN95="keep",FV95,0),IF(GI95="keep",GQ95,0),IF(HD95="keep",HL95,0),IF(HY95="keep",IG95,0),IF(IT95="keep",JB95,0))</f>
        <v>0</v>
      </c>
      <c r="U95" s="5">
        <f>SUM(IF(BM95="keep",BV95,0),IF(CH95="keep",CQ95,0),IF(DC95="keep",DL95,0),IF(DX95="keep",EG95,0),IF(ES95="keep",FB95,0),IF(FN95="keep",FW95,0),IF(GI95="keep",GR95,0),IF(HD95="keep",HM95,0),IF(HY95="keep",IH95,0),IF(IT95="keep",JC95,0))</f>
        <v>0</v>
      </c>
      <c r="V95" s="5">
        <f>R95/O95</f>
        <v>1.4585746892104987</v>
      </c>
      <c r="W95" s="5">
        <f>S95/P95</f>
        <v>1.458564755767885</v>
      </c>
      <c r="X95" s="5">
        <f>T95/O95</f>
        <v>0</v>
      </c>
      <c r="Y95" s="5">
        <f>U95/P95</f>
        <v>0</v>
      </c>
      <c r="Z95" s="5">
        <f>V95+X95</f>
        <v>1.4585746892104987</v>
      </c>
      <c r="AA95" s="7">
        <f>IFERROR(W95/V95-1,0)</f>
        <v>-0.000006810376381283234</v>
      </c>
      <c r="AB95" s="7">
        <f>IFERROR((W95-V95)/Z95,0)</f>
        <v>-0.000006810376381324205</v>
      </c>
      <c r="AC95" s="7">
        <f>IFERROR(Y95/X95-1,0)</f>
        <v>0</v>
      </c>
      <c r="AD95" s="7">
        <f>IFERROR((Y95-X95)/Z95,0)</f>
        <v>0</v>
      </c>
      <c r="AE95" s="7">
        <f>AB95+AD95</f>
        <v>-0.000006810376381324205</v>
      </c>
      <c r="AF95" s="7">
        <f>(1+Q95)*(1+AE95)-1</f>
        <v>0.005710703572295639</v>
      </c>
      <c r="AG95" s="7">
        <f>G95-AF95</f>
        <v>-4.5102810375396984e-17</v>
      </c>
      <c r="AH95" s="5">
        <f>SUM(IF(BM95="lease",BW95,0),IF(CH95="lease",CR95,0),IF(DC95="lease",DM95,0),IF(DX95="lease",EH95,0),IF(ES95="lease",FC95,0),IF(FN95="lease",FX95,0),IF(GI95="lease",GS95,0),IF(HD95="lease",HN95,0),IF(HY95="lease",II95,0),IF(IT95="lease",JD95,0))</f>
        <v>0.00744038506973796</v>
      </c>
      <c r="AI95" s="5">
        <f>SUM(IF(BM95="keep",BW95,0),IF(CH95="keep",CR95,0),IF(DC95="keep",DM95,0),IF(DX95="keep",EH95,0),IF(ES95="keep",FC95,0),IF(FN95="keep",FX95,0),IF(GI95="keep",GS95,0),IF(HD95="keep",HN95,0),IF(HY95="keep",II95,0),IF(IT95="keep",JD95,0))</f>
        <v>0</v>
      </c>
      <c r="AJ95" s="5">
        <f>SUM(IF(BM95="lease",BX95,0),IF(CH95="lease",CS95,0),IF(DC95="lease",DN95,0),IF(DX95="lease",EI95,0),IF(ES95="lease",FD95,0),IF(FN95="lease",FY95,0),IF(GI95="lease",GT95,0),IF(HD95="lease",HO95,0),IF(HY95="lease",IJ95,0),IF(IT95="lease",JE95,0))</f>
        <v>0</v>
      </c>
      <c r="AK95" s="5">
        <f>SUM(IF(BM95="keep",BX95,0),IF(CH95="keep",CS95,0),IF(DC95="keep",DN95,0),IF(DX95="keep",EI95,0),IF(ES95="keep",FD95,0),IF(FN95="keep",FY95,0),IF(GI95="keep",GT95,0),IF(HD95="keep",HO95,0),IF(HY95="keep",IJ95,0),IF(IT95="keep",JE95,0))</f>
        <v>0</v>
      </c>
      <c r="AL95" s="5">
        <f>R95-S94</f>
        <v>2.220446049250313e-16</v>
      </c>
      <c r="AM95" s="5">
        <f>T95-U94</f>
        <v>0</v>
      </c>
      <c r="AN95" s="5">
        <f>AN94</f>
        <v>1</v>
      </c>
      <c r="AO95" s="5">
        <f>AO94+AH95</f>
        <v>0.3103245175667564</v>
      </c>
      <c r="AP95" s="5">
        <f>AP94+AL95</f>
        <v>-4.440892098500626e-16</v>
      </c>
      <c r="AQ95" s="5">
        <f>AN95+AO95+AP95</f>
        <v>1.310324517566756</v>
      </c>
      <c r="AR95" s="5">
        <f>S95-AQ95</f>
        <v>6.661338147750939e-16</v>
      </c>
      <c r="AS95" s="5">
        <f>AS94</f>
        <v>0</v>
      </c>
      <c r="AT95" s="5">
        <f>AT94+AI95</f>
        <v>0</v>
      </c>
      <c r="AU95" s="5">
        <f>AU94+AM95</f>
        <v>0</v>
      </c>
      <c r="AV95" s="5">
        <f>AS95+AT95+AU95</f>
        <v>0</v>
      </c>
      <c r="AW95" s="5">
        <f>U95-AV95</f>
        <v>0</v>
      </c>
      <c r="AX95" s="4">
        <v>1.3028841324970186</v>
      </c>
      <c r="AY95" s="4">
        <v>1.3103245175667566</v>
      </c>
      <c r="AZ95" s="5">
        <f>S95-AY95</f>
        <v>0</v>
      </c>
      <c r="BA95" s="4">
        <v>0</v>
      </c>
      <c r="BB95" s="4">
        <v>0</v>
      </c>
      <c r="BC95" s="5">
        <f>U95-BB95</f>
        <v>0</v>
      </c>
      <c r="BD95" s="7">
        <f>SUM(IF(BL95="direct",CE95,0),IF(CG95="direct",CZ95,0),IF(DB95="direct",DU95,0),IF(DW95="direct",EP95,0),IF(ER95="direct",FK95,0),IF(FM95="direct",GF95,0),IF(GH95="direct",HA95,0),IF(HC95="direct",HV95,0),IF(HX95="direct",IQ95,0),IF(IS95="direct",JL95,0))</f>
        <v>0.005710703572295593</v>
      </c>
      <c r="BE95" s="7">
        <f>SUM(IF(BL95="treasury",CE95,0),IF(CG95="treasury",CZ95,0),IF(DB95="treasury",DU95,0),IF(DW95="treasury",EP95,0),IF(ER95="treasury",FK95,0),IF(FM95="treasury",GF95,0),IF(GH95="treasury",HA95,0),IF(HC95="treasury",HV95,0),IF(HX95="treasury",IQ95,0),IF(IS95="treasury",JL95,0))</f>
        <v>0</v>
      </c>
      <c r="BF95" s="7">
        <f>SUM(IF(BL95="future",CE95,0),IF(CG95="future",CZ95,0),IF(DB95="future",DU95,0),IF(DW95="future",EP95,0),IF(ER95="future",FK95,0),IF(FM95="future",GF95,0),IF(GH95="future",HA95,0),IF(HC95="future",HV95,0),IF(HX95="future",IQ95,0),IF(IS95="future",JL95,0))</f>
        <v>0</v>
      </c>
      <c r="BG95" s="7">
        <f>SUM(IF(BL95="cash",CE95,0),IF(CG95="cash",CZ95,0),IF(DB95="cash",DU95,0),IF(DW95="cash",EP95,0),IF(ER95="cash",FK95,0),IF(FM95="cash",GF95,0),IF(GH95="cash",HA95,0),IF(HC95="cash",HV95,0),IF(HX95="cash",IQ95,0),IF(IS95="cash",JL95,0))</f>
        <v>0</v>
      </c>
      <c r="BH95" s="7">
        <f>SUM(BD95:BG95)</f>
        <v>0.005710703572295593</v>
      </c>
      <c r="BI95" s="7">
        <f>G95-BH95</f>
        <v>8.673617379884035e-19</v>
      </c>
      <c r="BJ95" s="9">
        <f>COUNTA(BK95,CF95,DA95,DV95,EQ95,FL95,GG95,HB95,HW95,IR95)</f>
        <v>3</v>
      </c>
      <c r="BK95" t="inlineStr">
        <is>
          <t xml:space="preserve">Direct commodity holding</t>
        </is>
      </c>
      <c r="BL95" t="inlineStr">
        <is>
          <t xml:space="preserve">direct</t>
        </is>
      </c>
      <c r="BM95" t="inlineStr">
        <is>
          <t xml:space="preserve">lease</t>
        </is>
      </c>
      <c r="BN95" t="inlineStr">
        <is>
          <t xml:space="preserve">long</t>
        </is>
      </c>
      <c r="BO95"/>
      <c r="BP95" s="4">
        <v>1.749</v>
      </c>
      <c r="BQ95" s="4">
        <v>1.759</v>
      </c>
      <c r="BR95" s="4">
        <v>0.7449308933659331</v>
      </c>
      <c r="BS95" s="6">
        <v>1</v>
      </c>
      <c r="BT95" s="4">
        <v>1.302884132497017</v>
      </c>
      <c r="BU95" s="4">
        <v>1.302884132497017</v>
      </c>
      <c r="BV95" s="4">
        <v>1.3103334414306762</v>
      </c>
      <c r="BW95" s="4">
        <v>0.00744038506973796</v>
      </c>
      <c r="BX95" s="4">
        <v>0.000008923863921177742</v>
      </c>
      <c r="BY95" s="4">
        <v>1.749</v>
      </c>
      <c r="BZ95" s="4">
        <v>1.759</v>
      </c>
      <c r="CA95" s="6"/>
      <c r="CB95" s="6"/>
      <c r="CC95" s="6"/>
      <c r="CD95" s="9"/>
      <c r="CE95" s="7">
        <f>IFERROR(BW95/F95,0)</f>
        <v>0.005710703572295593</v>
      </c>
      <c r="CF95" t="inlineStr">
        <is>
          <t xml:space="preserve">Lease cash / margin / financing</t>
        </is>
      </c>
      <c r="CG95" t="inlineStr">
        <is>
          <t xml:space="preserve">cash</t>
        </is>
      </c>
      <c r="CH95" t="inlineStr">
        <is>
          <t xml:space="preserve">lease</t>
        </is>
      </c>
      <c r="CI95" t="inlineStr">
        <is>
          <t xml:space="preserve">cash</t>
        </is>
      </c>
      <c r="CJ95"/>
      <c r="CK95" s="4">
        <v>1</v>
      </c>
      <c r="CL95" s="4">
        <v>1</v>
      </c>
      <c r="CM95" s="4">
        <v>1.5543122344752192e-15</v>
      </c>
      <c r="CN95" s="6"/>
      <c r="CO95" s="4">
        <v>1.5543122344752192e-15</v>
      </c>
      <c r="CP95" s="4">
        <v>1.5543122344752192e-15</v>
      </c>
      <c r="CQ95" s="4">
        <v>-0.00000892386391962343</v>
      </c>
      <c r="CR95" s="4">
        <v>0</v>
      </c>
      <c r="CS95" s="4">
        <v>-0.000008923863921177742</v>
      </c>
      <c r="CT95" s="4">
        <v>1.749</v>
      </c>
      <c r="CU95" s="4">
        <v>1.759</v>
      </c>
      <c r="CV95" s="6"/>
      <c r="CW95" s="6"/>
      <c r="CX95" s="6"/>
      <c r="CY95" s="9"/>
      <c r="CZ95" s="7">
        <f>IFERROR(CR95/F95,0)</f>
        <v>0</v>
      </c>
      <c r="DA95" t="inlineStr">
        <is>
          <t xml:space="preserve">Keep cash / margin / financing</t>
        </is>
      </c>
      <c r="DB95" t="inlineStr">
        <is>
          <t xml:space="preserve">cash</t>
        </is>
      </c>
      <c r="DC95" t="inlineStr">
        <is>
          <t xml:space="preserve">keep</t>
        </is>
      </c>
      <c r="DD95" t="inlineStr">
        <is>
          <t xml:space="preserve">cash</t>
        </is>
      </c>
      <c r="DE95"/>
      <c r="DF95" s="4">
        <v>1</v>
      </c>
      <c r="DG95" s="4">
        <v>1</v>
      </c>
      <c r="DH95" s="4">
        <v>0</v>
      </c>
      <c r="DI95" s="6"/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1.749</v>
      </c>
      <c r="DP95" s="4">
        <v>1.759</v>
      </c>
      <c r="DQ95" s="6"/>
      <c r="DR95" s="6"/>
      <c r="DS95" s="6"/>
      <c r="DT95" s="9"/>
      <c r="DU95" s="7">
        <f>IFERROR(DM95/F95,0)</f>
        <v>0</v>
      </c>
      <c r="DV95"/>
      <c r="DW95"/>
      <c r="DX95"/>
      <c r="DY95"/>
      <c r="DZ95"/>
      <c r="EA95" s="4"/>
      <c r="EB95" s="4"/>
      <c r="EC95" s="4"/>
      <c r="ED95" s="6"/>
      <c r="EE95" s="4"/>
      <c r="EF95" s="4"/>
      <c r="EG95" s="4"/>
      <c r="EH95" s="4"/>
      <c r="EI95" s="4"/>
      <c r="EJ95" s="4"/>
      <c r="EK95" s="4"/>
      <c r="EL95" s="6"/>
      <c r="EM95" s="6"/>
      <c r="EN95" s="6"/>
      <c r="EO95" s="9"/>
      <c r="EP95"/>
      <c r="EQ95"/>
      <c r="ER95"/>
      <c r="ES95"/>
      <c r="ET95"/>
      <c r="EU95"/>
      <c r="EV95" s="4"/>
      <c r="EW95" s="4"/>
      <c r="EX95" s="4"/>
      <c r="EY95" s="6"/>
      <c r="EZ95" s="4"/>
      <c r="FA95" s="4"/>
      <c r="FB95" s="4"/>
      <c r="FC95" s="4"/>
      <c r="FD95" s="4"/>
      <c r="FE95" s="4"/>
      <c r="FF95" s="4"/>
      <c r="FG95" s="6"/>
      <c r="FH95" s="6"/>
      <c r="FI95" s="6"/>
      <c r="FJ95" s="9"/>
      <c r="FK95"/>
      <c r="FL95"/>
      <c r="FM95"/>
      <c r="FN95"/>
      <c r="FO95"/>
      <c r="FP95"/>
      <c r="FQ95" s="4"/>
      <c r="FR95" s="4"/>
      <c r="FS95" s="4"/>
      <c r="FT95" s="6"/>
      <c r="FU95" s="4"/>
      <c r="FV95" s="4"/>
      <c r="FW95" s="4"/>
      <c r="FX95" s="4"/>
      <c r="FY95" s="4"/>
      <c r="FZ95" s="4"/>
      <c r="GA95" s="4"/>
      <c r="GB95" s="6"/>
      <c r="GC95" s="6"/>
      <c r="GD95" s="6"/>
      <c r="GE95" s="9"/>
      <c r="GF95"/>
      <c r="GG95"/>
      <c r="GH95"/>
      <c r="GI95"/>
      <c r="GJ95"/>
      <c r="GK95"/>
      <c r="GL95" s="4"/>
      <c r="GM95" s="4"/>
      <c r="GN95" s="4"/>
      <c r="GO95" s="6"/>
      <c r="GP95" s="4"/>
      <c r="GQ95" s="4"/>
      <c r="GR95" s="4"/>
      <c r="GS95" s="4"/>
      <c r="GT95" s="4"/>
      <c r="GU95" s="4"/>
      <c r="GV95" s="4"/>
      <c r="GW95" s="6"/>
      <c r="GX95" s="6"/>
      <c r="GY95" s="6"/>
      <c r="GZ95" s="9"/>
      <c r="HA95"/>
      <c r="HB95"/>
      <c r="HC95"/>
      <c r="HD95"/>
      <c r="HE95"/>
      <c r="HF95"/>
      <c r="HG95" s="4"/>
      <c r="HH95" s="4"/>
      <c r="HI95" s="4"/>
      <c r="HJ95" s="6"/>
      <c r="HK95" s="4"/>
      <c r="HL95" s="4"/>
      <c r="HM95" s="4"/>
      <c r="HN95" s="4"/>
      <c r="HO95" s="4"/>
      <c r="HP95" s="4"/>
      <c r="HQ95" s="4"/>
      <c r="HR95" s="6"/>
      <c r="HS95" s="6"/>
      <c r="HT95" s="6"/>
      <c r="HU95" s="9"/>
      <c r="HV95"/>
      <c r="HW95"/>
      <c r="HX95"/>
      <c r="HY95"/>
      <c r="HZ95"/>
      <c r="IA95"/>
      <c r="IB95" s="4"/>
      <c r="IC95" s="4"/>
      <c r="ID95" s="4"/>
      <c r="IE95" s="6"/>
      <c r="IF95" s="4"/>
      <c r="IG95" s="4"/>
      <c r="IH95" s="4"/>
      <c r="II95" s="4"/>
      <c r="IJ95" s="4"/>
      <c r="IK95" s="4"/>
      <c r="IL95" s="4"/>
      <c r="IM95" s="6"/>
      <c r="IN95" s="6"/>
      <c r="IO95" s="6"/>
      <c r="IP95" s="9"/>
      <c r="IQ95"/>
      <c r="IR95"/>
      <c r="IS95"/>
      <c r="IT95"/>
      <c r="IU95"/>
      <c r="IV95"/>
      <c r="IW95" s="4"/>
      <c r="IX95" s="4"/>
      <c r="IY95" s="4"/>
      <c r="IZ95" s="6"/>
      <c r="JA95" s="4"/>
      <c r="JB95" s="4"/>
      <c r="JC95" s="4"/>
      <c r="JD95" s="4"/>
      <c r="JE95" s="4"/>
      <c r="JF95" s="4"/>
      <c r="JG95" s="4"/>
      <c r="JH95" s="6"/>
      <c r="JI95" s="6"/>
      <c r="JJ95" s="6"/>
      <c r="JK95" s="9"/>
      <c r="JL95"/>
    </row>
    <row r="96">
      <c r="A96" s="8">
        <v>25344</v>
      </c>
      <c r="B96" s="8">
        <v>25345</v>
      </c>
      <c r="C96" s="9">
        <f>B96-A96</f>
        <v>1</v>
      </c>
      <c r="D96" s="8">
        <v>25344</v>
      </c>
      <c r="E96" t="inlineStr">
        <is>
          <t xml:space="preserve">positive</t>
        </is>
      </c>
      <c r="F96" s="4">
        <v>1.310324517566755</v>
      </c>
      <c r="G96" s="6">
        <v>-0.004296440195126269</v>
      </c>
      <c r="H96" s="7">
        <f>SUM(CE96,CZ96,DU96,EP96,FK96,GF96,HA96,HV96,IQ96,JL96)</f>
        <v>-0.004296440195126269</v>
      </c>
      <c r="I96" s="7">
        <f>G96-H96</f>
        <v>0</v>
      </c>
      <c r="J96" s="5">
        <f>F96*(1+H96)</f>
        <v>1.3046947866408218</v>
      </c>
      <c r="K96" s="4">
        <v>1.3046947866408218</v>
      </c>
      <c r="L96" s="5">
        <f>K96-J96</f>
        <v>0</v>
      </c>
      <c r="M96" s="4">
        <v>1.759</v>
      </c>
      <c r="N96" s="4">
        <v>1.751</v>
      </c>
      <c r="O96" s="5">
        <f>M96/$M$3</f>
        <v>0.8983656792645557</v>
      </c>
      <c r="P96" s="5">
        <f>N96/$M$3</f>
        <v>0.8942798774259448</v>
      </c>
      <c r="Q96" s="7">
        <f>IFERROR(N96/M96-1,0)</f>
        <v>-0.004548038658328646</v>
      </c>
      <c r="R96" s="5">
        <f>SUM(IF(BM96="lease",BU96,0),IF(CH96="lease",CP96,0),IF(DC96="lease",DK96,0),IF(DX96="lease",EF96,0),IF(ES96="lease",FA96,0),IF(FN96="lease",FV96,0),IF(GI96="lease",GQ96,0),IF(HD96="lease",HL96,0),IF(HY96="lease",IG96,0),IF(IT96="lease",JB96,0))</f>
        <v>1.3103245175667566</v>
      </c>
      <c r="S96" s="5">
        <f>SUM(IF(BM96="lease",BV96,0),IF(CH96="lease",CQ96,0),IF(DC96="lease",DL96,0),IF(DX96="lease",EG96,0),IF(ES96="lease",FB96,0),IF(FN96="lease",FW96,0),IF(GI96="lease",GR96,0),IF(HD96="lease",HM96,0),IF(HY96="lease",IH96,0),IF(IT96="lease",JC96,0))</f>
        <v>1.3046947866408232</v>
      </c>
      <c r="T96" s="5">
        <f>SUM(IF(BM96="keep",BU96,0),IF(CH96="keep",CP96,0),IF(DC96="keep",DK96,0),IF(DX96="keep",EF96,0),IF(ES96="keep",FA96,0),IF(FN96="keep",FV96,0),IF(GI96="keep",GQ96,0),IF(HD96="keep",HL96,0),IF(HY96="keep",IG96,0),IF(IT96="keep",JB96,0))</f>
        <v>0</v>
      </c>
      <c r="U96" s="5">
        <f>SUM(IF(BM96="keep",BV96,0),IF(CH96="keep",CQ96,0),IF(DC96="keep",DL96,0),IF(DX96="keep",EG96,0),IF(ES96="keep",FB96,0),IF(FN96="keep",FW96,0),IF(GI96="keep",GR96,0),IF(HD96="keep",HM96,0),IF(HY96="keep",IH96,0),IF(IT96="keep",JC96,0))</f>
        <v>0</v>
      </c>
      <c r="V96" s="5">
        <f>R96/O96</f>
        <v>1.458564755767885</v>
      </c>
      <c r="W96" s="5">
        <f>S96/P96</f>
        <v>1.4589334050501037</v>
      </c>
      <c r="X96" s="5">
        <f>T96/O96</f>
        <v>0</v>
      </c>
      <c r="Y96" s="5">
        <f>U96/P96</f>
        <v>0</v>
      </c>
      <c r="Z96" s="5">
        <f>V96+X96</f>
        <v>1.458564755767885</v>
      </c>
      <c r="AA96" s="7">
        <f>IFERROR(W96/V96-1,0)</f>
        <v>0.0002527479707439273</v>
      </c>
      <c r="AB96" s="7">
        <f>IFERROR((W96-V96)/Z96,0)</f>
        <v>0.0002527479707438297</v>
      </c>
      <c r="AC96" s="7">
        <f>IFERROR(Y96/X96-1,0)</f>
        <v>0</v>
      </c>
      <c r="AD96" s="7">
        <f>IFERROR((Y96-X96)/Z96,0)</f>
        <v>0</v>
      </c>
      <c r="AE96" s="7">
        <f>AB96+AD96</f>
        <v>0.0002527479707438297</v>
      </c>
      <c r="AF96" s="7">
        <f>(1+Q96)*(1+AE96)-1</f>
        <v>-0.0042964401951264275</v>
      </c>
      <c r="AG96" s="7">
        <f>G96-AF96</f>
        <v>1.5872719805187785e-16</v>
      </c>
      <c r="AH96" s="5">
        <f>SUM(IF(BM96="lease",BW96,0),IF(CH96="lease",CR96,0),IF(DC96="lease",DM96,0),IF(DX96="lease",EH96,0),IF(ES96="lease",FC96,0),IF(FN96="lease",FX96,0),IF(GI96="lease",GS96,0),IF(HD96="lease",HN96,0),IF(HY96="lease",II96,0),IF(IT96="lease",JD96,0))</f>
        <v>-0.005629730925933243</v>
      </c>
      <c r="AI96" s="5">
        <f>SUM(IF(BM96="keep",BW96,0),IF(CH96="keep",CR96,0),IF(DC96="keep",DM96,0),IF(DX96="keep",EH96,0),IF(ES96="keep",FC96,0),IF(FN96="keep",FX96,0),IF(GI96="keep",GS96,0),IF(HD96="keep",HN96,0),IF(HY96="keep",II96,0),IF(IT96="keep",JD96,0))</f>
        <v>0</v>
      </c>
      <c r="AJ96" s="5">
        <f>SUM(IF(BM96="lease",BX96,0),IF(CH96="lease",CS96,0),IF(DC96="lease",DN96,0),IF(DX96="lease",EI96,0),IF(ES96="lease",FD96,0),IF(FN96="lease",FY96,0),IF(GI96="lease",GT96,0),IF(HD96="lease",HO96,0),IF(HY96="lease",IJ96,0),IF(IT96="lease",JE96,0))</f>
        <v>0</v>
      </c>
      <c r="AK96" s="5">
        <f>SUM(IF(BM96="keep",BX96,0),IF(CH96="keep",CS96,0),IF(DC96="keep",DN96,0),IF(DX96="keep",EI96,0),IF(ES96="keep",FD96,0),IF(FN96="keep",FY96,0),IF(GI96="keep",GT96,0),IF(HD96="keep",HO96,0),IF(HY96="keep",IJ96,0),IF(IT96="keep",JE96,0))</f>
        <v>0</v>
      </c>
      <c r="AL96" s="5">
        <f>R96-S95</f>
        <v>0</v>
      </c>
      <c r="AM96" s="5">
        <f>T96-U95</f>
        <v>0</v>
      </c>
      <c r="AN96" s="5">
        <f>AN95</f>
        <v>1</v>
      </c>
      <c r="AO96" s="5">
        <f>AO95+AH96</f>
        <v>0.30469478664082317</v>
      </c>
      <c r="AP96" s="5">
        <f>AP95+AL96</f>
        <v>-4.440892098500626e-16</v>
      </c>
      <c r="AQ96" s="5">
        <f>AN96+AO96+AP96</f>
        <v>1.3046947866408227</v>
      </c>
      <c r="AR96" s="5">
        <f>S96-AQ96</f>
        <v>4.440892098500626e-16</v>
      </c>
      <c r="AS96" s="5">
        <f>AS95</f>
        <v>0</v>
      </c>
      <c r="AT96" s="5">
        <f>AT95+AI96</f>
        <v>0</v>
      </c>
      <c r="AU96" s="5">
        <f>AU95+AM96</f>
        <v>0</v>
      </c>
      <c r="AV96" s="5">
        <f>AS96+AT96+AU96</f>
        <v>0</v>
      </c>
      <c r="AW96" s="5">
        <f>U96-AV96</f>
        <v>0</v>
      </c>
      <c r="AX96" s="4">
        <v>1.3103245175667566</v>
      </c>
      <c r="AY96" s="4">
        <v>1.3046947866408234</v>
      </c>
      <c r="AZ96" s="5">
        <f>S96-AY96</f>
        <v>-2.220446049250313e-16</v>
      </c>
      <c r="BA96" s="4">
        <v>0</v>
      </c>
      <c r="BB96" s="4">
        <v>0</v>
      </c>
      <c r="BC96" s="5">
        <f>U96-BB96</f>
        <v>0</v>
      </c>
      <c r="BD96" s="7">
        <f>SUM(IF(BL96="direct",CE96,0),IF(CG96="direct",CZ96,0),IF(DB96="direct",DU96,0),IF(DW96="direct",EP96,0),IF(ER96="direct",FK96,0),IF(FM96="direct",GF96,0),IF(GH96="direct",HA96,0),IF(HC96="direct",HV96,0),IF(HX96="direct",IQ96,0),IF(IS96="direct",JL96,0))</f>
        <v>-0.00298259908457105</v>
      </c>
      <c r="BE96" s="7">
        <f>SUM(IF(BL96="treasury",CE96,0),IF(CG96="treasury",CZ96,0),IF(DB96="treasury",DU96,0),IF(DW96="treasury",EP96,0),IF(ER96="treasury",FK96,0),IF(FM96="treasury",GF96,0),IF(GH96="treasury",HA96,0),IF(HC96="treasury",HV96,0),IF(HX96="treasury",IQ96,0),IF(IS96="treasury",JL96,0))</f>
        <v>0.000057499671043714</v>
      </c>
      <c r="BF96" s="7">
        <f>SUM(IF(BL96="future",CE96,0),IF(CG96="future",CZ96,0),IF(DB96="future",DU96,0),IF(DW96="future",EP96,0),IF(ER96="future",FK96,0),IF(FM96="future",GF96,0),IF(GH96="future",HA96,0),IF(HC96="future",HV96,0),IF(HX96="future",IQ96,0),IF(IS96="future",JL96,0))</f>
        <v>-0.001371340781598932</v>
      </c>
      <c r="BG96" s="7">
        <f>SUM(IF(BL96="cash",CE96,0),IF(CG96="cash",CZ96,0),IF(DB96="cash",DU96,0),IF(DW96="cash",EP96,0),IF(ER96="cash",FK96,0),IF(FM96="cash",GF96,0),IF(GH96="cash",HA96,0),IF(HC96="cash",HV96,0),IF(HX96="cash",IQ96,0),IF(IS96="cash",JL96,0))</f>
        <v>0</v>
      </c>
      <c r="BH96" s="7">
        <f>SUM(BD96:BG96)</f>
        <v>-0.004296440195126268</v>
      </c>
      <c r="BI96" s="7">
        <f>G96-BH96</f>
        <v>-8.673617379884035e-19</v>
      </c>
      <c r="BJ96" s="9">
        <f>COUNTA(BK96,CF96,DA96,DV96,EQ96,FL96,GG96,HB96,HW96,IR96)</f>
        <v>6</v>
      </c>
      <c r="BK96" t="inlineStr">
        <is>
          <t xml:space="preserve">Direct commodity holding</t>
        </is>
      </c>
      <c r="BL96" t="inlineStr">
        <is>
          <t xml:space="preserve">direct</t>
        </is>
      </c>
      <c r="BM96" t="inlineStr">
        <is>
          <t xml:space="preserve">lease</t>
        </is>
      </c>
      <c r="BN96" t="inlineStr">
        <is>
          <t xml:space="preserve">long</t>
        </is>
      </c>
      <c r="BO96"/>
      <c r="BP96" s="4">
        <v>1.759</v>
      </c>
      <c r="BQ96" s="4">
        <v>1.751</v>
      </c>
      <c r="BR96" s="4">
        <v>0.4877869844655971</v>
      </c>
      <c r="BS96" s="6">
        <v>0.654812830082967</v>
      </c>
      <c r="BT96" s="4">
        <v>0.8580173056749852</v>
      </c>
      <c r="BU96" s="4">
        <v>0.8580173056749852</v>
      </c>
      <c r="BV96" s="4">
        <v>0.8541150097992605</v>
      </c>
      <c r="BW96" s="4">
        <v>-0.0039081727065856066</v>
      </c>
      <c r="BX96" s="4">
        <v>0.000005876830860836006</v>
      </c>
      <c r="BY96" s="4">
        <v>1.759</v>
      </c>
      <c r="BZ96" s="4">
        <v>1.751</v>
      </c>
      <c r="CA96" s="6"/>
      <c r="CB96" s="6"/>
      <c r="CC96" s="6"/>
      <c r="CD96" s="9"/>
      <c r="CE96" s="7">
        <f>IFERROR(BW96/F96,0)</f>
        <v>-0.00298259908457105</v>
      </c>
      <c r="CF96" t="inlineStr">
        <is>
          <t xml:space="preserve">Treasury collateral</t>
        </is>
      </c>
      <c r="CG96" t="inlineStr">
        <is>
          <t xml:space="preserve">treasury</t>
        </is>
      </c>
      <c r="CH96" t="inlineStr">
        <is>
          <t xml:space="preserve">lease</t>
        </is>
      </c>
      <c r="CI96" t="inlineStr">
        <is>
          <t xml:space="preserve">long</t>
        </is>
      </c>
      <c r="CJ96"/>
      <c r="CK96" s="4">
        <v>102.34460164005998</v>
      </c>
      <c r="CL96" s="4">
        <v>102.36164972712768</v>
      </c>
      <c r="CM96" s="4">
        <v>0.0044194535387661</v>
      </c>
      <c r="CN96" s="6">
        <v>0.345187169917033</v>
      </c>
      <c r="CO96" s="4">
        <v>0.4523072118917698</v>
      </c>
      <c r="CP96" s="4">
        <v>0.4523072118917698</v>
      </c>
      <c r="CQ96" s="4">
        <v>0.4523825551204904</v>
      </c>
      <c r="CR96" s="4">
        <v>0.00007534322872060166</v>
      </c>
      <c r="CS96" s="4">
        <v>1.8431436932253575e-18</v>
      </c>
      <c r="CT96" s="4">
        <v>1.759</v>
      </c>
      <c r="CU96" s="4">
        <v>1.751</v>
      </c>
      <c r="CV96" s="6"/>
      <c r="CW96" s="6"/>
      <c r="CX96" s="6"/>
      <c r="CY96" s="9">
        <v>69</v>
      </c>
      <c r="CZ96" s="7">
        <f>IFERROR(CR96/F96,0)</f>
        <v>0.000057499671043714</v>
      </c>
      <c r="DA96" t="inlineStr">
        <is>
          <t xml:space="preserve">SI69N</t>
        </is>
      </c>
      <c r="DB96" t="inlineStr">
        <is>
          <t xml:space="preserve">future</t>
        </is>
      </c>
      <c r="DC96" t="inlineStr">
        <is>
          <t xml:space="preserve">lease</t>
        </is>
      </c>
      <c r="DD96" t="inlineStr">
        <is>
          <t xml:space="preserve">long</t>
        </is>
      </c>
      <c r="DE96" t="inlineStr">
        <is>
          <t xml:space="preserve">regular</t>
        </is>
      </c>
      <c r="DF96" s="4">
        <v>1.7619999999999998</v>
      </c>
      <c r="DG96" s="4">
        <v>1.755</v>
      </c>
      <c r="DH96" s="4">
        <v>0.25665497585732755</v>
      </c>
      <c r="DI96" s="6">
        <v>0.3451252429439277</v>
      </c>
      <c r="DJ96" s="4">
        <v>0.4522260674606111</v>
      </c>
      <c r="DK96" s="4">
        <v>0</v>
      </c>
      <c r="DL96" s="4">
        <v>0</v>
      </c>
      <c r="DM96" s="4">
        <v>-0.0017965848310012864</v>
      </c>
      <c r="DN96" s="4">
        <v>0.0017965848310012864</v>
      </c>
      <c r="DO96" s="4">
        <v>1.759</v>
      </c>
      <c r="DP96" s="4">
        <v>1.751</v>
      </c>
      <c r="DQ96" s="6">
        <v>0.0017055144968731728</v>
      </c>
      <c r="DR96" s="6">
        <v>0.0608</v>
      </c>
      <c r="DS96" s="6">
        <v>0.051778075487554955</v>
      </c>
      <c r="DT96" s="9">
        <v>69</v>
      </c>
      <c r="DU96" s="7">
        <f>IFERROR(DM96/F96,0)</f>
        <v>-0.0013710991490394353</v>
      </c>
      <c r="DV96" t="inlineStr">
        <is>
          <t xml:space="preserve">SI69U</t>
        </is>
      </c>
      <c r="DW96" t="inlineStr">
        <is>
          <t xml:space="preserve">future</t>
        </is>
      </c>
      <c r="DX96" t="inlineStr">
        <is>
          <t xml:space="preserve">lease</t>
        </is>
      </c>
      <c r="DY96" t="inlineStr">
        <is>
          <t xml:space="preserve">long</t>
        </is>
      </c>
      <c r="DZ96" t="inlineStr">
        <is>
          <t xml:space="preserve">regular</t>
        </is>
      </c>
      <c r="EA96" s="4">
        <v>1.794</v>
      </c>
      <c r="EB96" s="4">
        <v>1.787</v>
      </c>
      <c r="EC96" s="4">
        <v>0.00004523100956445785</v>
      </c>
      <c r="ED96" s="6">
        <v>0.00006192697310535017</v>
      </c>
      <c r="EE96" s="4">
        <v>0.00008114443115863738</v>
      </c>
      <c r="EF96" s="4">
        <v>0</v>
      </c>
      <c r="EG96" s="4">
        <v>0</v>
      </c>
      <c r="EH96" s="4">
        <v>-3.1661706695120766e-7</v>
      </c>
      <c r="EI96" s="4">
        <v>3.1661706695120766e-7</v>
      </c>
      <c r="EJ96" s="4">
        <v>1.759</v>
      </c>
      <c r="EK96" s="4">
        <v>1.751</v>
      </c>
      <c r="EL96" s="6">
        <v>0.019897669130187756</v>
      </c>
      <c r="EM96" s="6">
        <v>0.06096263736263738</v>
      </c>
      <c r="EN96" s="6">
        <v>0.0042231902335863394</v>
      </c>
      <c r="EO96" s="9">
        <v>128</v>
      </c>
      <c r="EP96" s="7">
        <f>IFERROR(EH96/F96,0)</f>
        <v>-2.416325594969091e-7</v>
      </c>
      <c r="EQ96" t="inlineStr">
        <is>
          <t xml:space="preserve">Lease cash / margin / financing</t>
        </is>
      </c>
      <c r="ER96" t="inlineStr">
        <is>
          <t xml:space="preserve">cash</t>
        </is>
      </c>
      <c r="ES96" t="inlineStr">
        <is>
          <t xml:space="preserve">lease</t>
        </is>
      </c>
      <c r="ET96" t="inlineStr">
        <is>
          <t xml:space="preserve">cash</t>
        </is>
      </c>
      <c r="EU96"/>
      <c r="EV96" s="4">
        <v>1</v>
      </c>
      <c r="EW96" s="4">
        <v>1</v>
      </c>
      <c r="EX96" s="4">
        <v>1.5543122344752192e-15</v>
      </c>
      <c r="EY96" s="6"/>
      <c r="EZ96" s="4">
        <v>1.5543122344752192e-15</v>
      </c>
      <c r="FA96" s="4">
        <v>1.5543122344752192e-15</v>
      </c>
      <c r="FB96" s="4">
        <v>-0.001802778278927521</v>
      </c>
      <c r="FC96" s="4">
        <v>0</v>
      </c>
      <c r="FD96" s="4">
        <v>-0.0018027782789290753</v>
      </c>
      <c r="FE96" s="4">
        <v>1.759</v>
      </c>
      <c r="FF96" s="4">
        <v>1.751</v>
      </c>
      <c r="FG96" s="6"/>
      <c r="FH96" s="6"/>
      <c r="FI96" s="6"/>
      <c r="FJ96" s="9"/>
      <c r="FK96" s="7">
        <f>IFERROR(FC96/F96,0)</f>
        <v>0</v>
      </c>
      <c r="FL96" t="inlineStr">
        <is>
          <t xml:space="preserve">Keep cash / margin / financing</t>
        </is>
      </c>
      <c r="FM96" t="inlineStr">
        <is>
          <t xml:space="preserve">cash</t>
        </is>
      </c>
      <c r="FN96" t="inlineStr">
        <is>
          <t xml:space="preserve">keep</t>
        </is>
      </c>
      <c r="FO96" t="inlineStr">
        <is>
          <t xml:space="preserve">cash</t>
        </is>
      </c>
      <c r="FP96"/>
      <c r="FQ96" s="4">
        <v>1</v>
      </c>
      <c r="FR96" s="4">
        <v>1</v>
      </c>
      <c r="FS96" s="4">
        <v>0</v>
      </c>
      <c r="FT96" s="6"/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1.759</v>
      </c>
      <c r="GA96" s="4">
        <v>1.751</v>
      </c>
      <c r="GB96" s="6"/>
      <c r="GC96" s="6"/>
      <c r="GD96" s="6"/>
      <c r="GE96" s="9"/>
      <c r="GF96" s="7">
        <f>IFERROR(FX96/F96,0)</f>
        <v>0</v>
      </c>
      <c r="GG96"/>
      <c r="GH96"/>
      <c r="GI96"/>
      <c r="GJ96"/>
      <c r="GK96"/>
      <c r="GL96" s="4"/>
      <c r="GM96" s="4"/>
      <c r="GN96" s="4"/>
      <c r="GO96" s="6"/>
      <c r="GP96" s="4"/>
      <c r="GQ96" s="4"/>
      <c r="GR96" s="4"/>
      <c r="GS96" s="4"/>
      <c r="GT96" s="4"/>
      <c r="GU96" s="4"/>
      <c r="GV96" s="4"/>
      <c r="GW96" s="6"/>
      <c r="GX96" s="6"/>
      <c r="GY96" s="6"/>
      <c r="GZ96" s="9"/>
      <c r="HA96"/>
      <c r="HB96"/>
      <c r="HC96"/>
      <c r="HD96"/>
      <c r="HE96"/>
      <c r="HF96"/>
      <c r="HG96" s="4"/>
      <c r="HH96" s="4"/>
      <c r="HI96" s="4"/>
      <c r="HJ96" s="6"/>
      <c r="HK96" s="4"/>
      <c r="HL96" s="4"/>
      <c r="HM96" s="4"/>
      <c r="HN96" s="4"/>
      <c r="HO96" s="4"/>
      <c r="HP96" s="4"/>
      <c r="HQ96" s="4"/>
      <c r="HR96" s="6"/>
      <c r="HS96" s="6"/>
      <c r="HT96" s="6"/>
      <c r="HU96" s="9"/>
      <c r="HV96"/>
      <c r="HW96"/>
      <c r="HX96"/>
      <c r="HY96"/>
      <c r="HZ96"/>
      <c r="IA96"/>
      <c r="IB96" s="4"/>
      <c r="IC96" s="4"/>
      <c r="ID96" s="4"/>
      <c r="IE96" s="6"/>
      <c r="IF96" s="4"/>
      <c r="IG96" s="4"/>
      <c r="IH96" s="4"/>
      <c r="II96" s="4"/>
      <c r="IJ96" s="4"/>
      <c r="IK96" s="4"/>
      <c r="IL96" s="4"/>
      <c r="IM96" s="6"/>
      <c r="IN96" s="6"/>
      <c r="IO96" s="6"/>
      <c r="IP96" s="9"/>
      <c r="IQ96"/>
      <c r="IR96"/>
      <c r="IS96"/>
      <c r="IT96"/>
      <c r="IU96"/>
      <c r="IV96"/>
      <c r="IW96" s="4"/>
      <c r="IX96" s="4"/>
      <c r="IY96" s="4"/>
      <c r="IZ96" s="6"/>
      <c r="JA96" s="4"/>
      <c r="JB96" s="4"/>
      <c r="JC96" s="4"/>
      <c r="JD96" s="4"/>
      <c r="JE96" s="4"/>
      <c r="JF96" s="4"/>
      <c r="JG96" s="4"/>
      <c r="JH96" s="6"/>
      <c r="JI96" s="6"/>
      <c r="JJ96" s="6"/>
      <c r="JK96" s="9"/>
      <c r="JL96"/>
    </row>
    <row r="97">
      <c r="A97" s="8">
        <v>25345</v>
      </c>
      <c r="B97" s="8">
        <v>25346</v>
      </c>
      <c r="C97" s="9">
        <f>B97-A97</f>
        <v>1</v>
      </c>
      <c r="D97" s="8">
        <v>25345</v>
      </c>
      <c r="E97" t="inlineStr">
        <is>
          <t xml:space="preserve">positive</t>
        </is>
      </c>
      <c r="F97" s="4">
        <v>1.3046947866408218</v>
      </c>
      <c r="G97" s="6">
        <v>0.0038607493236937265</v>
      </c>
      <c r="H97" s="7">
        <f>SUM(CE97,CZ97,DU97,EP97,FK97,GF97,HA97,HV97,IQ97,JL97)</f>
        <v>0.003860749323693727</v>
      </c>
      <c r="I97" s="7">
        <f>G97-H97</f>
        <v>-4.336808689942018e-19</v>
      </c>
      <c r="J97" s="5">
        <f>F97*(1+H97)</f>
        <v>1.3097318861559721</v>
      </c>
      <c r="K97" s="4">
        <v>1.3097318861559721</v>
      </c>
      <c r="L97" s="5">
        <f>K97-J97</f>
        <v>0</v>
      </c>
      <c r="M97" s="4">
        <v>1.751</v>
      </c>
      <c r="N97" s="4">
        <v>1.758</v>
      </c>
      <c r="O97" s="5">
        <f>M97/$M$3</f>
        <v>0.8942798774259448</v>
      </c>
      <c r="P97" s="5">
        <f>N97/$M$3</f>
        <v>0.8978549540347294</v>
      </c>
      <c r="Q97" s="7">
        <f>IFERROR(N97/M97-1,0)</f>
        <v>0.003997715591090856</v>
      </c>
      <c r="R97" s="5">
        <f>SUM(IF(BM97="lease",BU97,0),IF(CH97="lease",CP97,0),IF(DC97="lease",DK97,0),IF(DX97="lease",EF97,0),IF(ES97="lease",FA97,0),IF(FN97="lease",FV97,0),IF(GI97="lease",GQ97,0),IF(HD97="lease",HL97,0),IF(HY97="lease",IG97,0),IF(IT97="lease",JB97,0))</f>
        <v>1.3046947866408234</v>
      </c>
      <c r="S97" s="5">
        <f>SUM(IF(BM97="lease",BV97,0),IF(CH97="lease",CQ97,0),IF(DC97="lease",DL97,0),IF(DX97="lease",EG97,0),IF(ES97="lease",FB97,0),IF(FN97="lease",FW97,0),IF(GI97="lease",GR97,0),IF(HD97="lease",HM97,0),IF(HY97="lease",IH97,0),IF(IT97="lease",JC97,0))</f>
        <v>1.3097318861559737</v>
      </c>
      <c r="T97" s="5">
        <f>SUM(IF(BM97="keep",BU97,0),IF(CH97="keep",CP97,0),IF(DC97="keep",DK97,0),IF(DX97="keep",EF97,0),IF(ES97="keep",FA97,0),IF(FN97="keep",FV97,0),IF(GI97="keep",GQ97,0),IF(HD97="keep",HL97,0),IF(HY97="keep",IG97,0),IF(IT97="keep",JB97,0))</f>
        <v>0</v>
      </c>
      <c r="U97" s="5">
        <f>SUM(IF(BM97="keep",BV97,0),IF(CH97="keep",CQ97,0),IF(DC97="keep",DL97,0),IF(DX97="keep",EG97,0),IF(ES97="keep",FB97,0),IF(FN97="keep",FW97,0),IF(GI97="keep",GR97,0),IF(HD97="keep",HM97,0),IF(HY97="keep",IH97,0),IF(IT97="keep",JC97,0))</f>
        <v>0</v>
      </c>
      <c r="V97" s="5">
        <f>R97/O97</f>
        <v>1.4589334050501042</v>
      </c>
      <c r="W97" s="5">
        <f>S97/P97</f>
        <v>1.4587343760485758</v>
      </c>
      <c r="X97" s="5">
        <f>T97/O97</f>
        <v>0</v>
      </c>
      <c r="Y97" s="5">
        <f>U97/P97</f>
        <v>0</v>
      </c>
      <c r="Z97" s="5">
        <f>V97+X97</f>
        <v>1.4589334050501042</v>
      </c>
      <c r="AA97" s="7">
        <f>IFERROR(W97/V97-1,0)</f>
        <v>-0.0001364208954565127</v>
      </c>
      <c r="AB97" s="7">
        <f>IFERROR((W97-V97)/Z97,0)</f>
        <v>-0.00013642089545650988</v>
      </c>
      <c r="AC97" s="7">
        <f>IFERROR(Y97/X97-1,0)</f>
        <v>0</v>
      </c>
      <c r="AD97" s="7">
        <f>IFERROR((Y97-X97)/Z97,0)</f>
        <v>0</v>
      </c>
      <c r="AE97" s="7">
        <f>AB97+AD97</f>
        <v>-0.00013642089545650988</v>
      </c>
      <c r="AF97" s="7">
        <f>(1+Q97)*(1+AE97)-1</f>
        <v>0.003860749323693735</v>
      </c>
      <c r="AG97" s="7">
        <f>G97-AF97</f>
        <v>-8.673617379884035e-18</v>
      </c>
      <c r="AH97" s="5">
        <f>SUM(IF(BM97="lease",BW97,0),IF(CH97="lease",CR97,0),IF(DC97="lease",DM97,0),IF(DX97="lease",EH97,0),IF(ES97="lease",FC97,0),IF(FN97="lease",FX97,0),IF(GI97="lease",GS97,0),IF(HD97="lease",HN97,0),IF(HY97="lease",II97,0),IF(IT97="lease",JD97,0))</f>
        <v>0.005037099515150284</v>
      </c>
      <c r="AI97" s="5">
        <f>SUM(IF(BM97="keep",BW97,0),IF(CH97="keep",CR97,0),IF(DC97="keep",DM97,0),IF(DX97="keep",EH97,0),IF(ES97="keep",FC97,0),IF(FN97="keep",FX97,0),IF(GI97="keep",GS97,0),IF(HD97="keep",HN97,0),IF(HY97="keep",II97,0),IF(IT97="keep",JD97,0))</f>
        <v>0</v>
      </c>
      <c r="AJ97" s="5">
        <f>SUM(IF(BM97="lease",BX97,0),IF(CH97="lease",CS97,0),IF(DC97="lease",DN97,0),IF(DX97="lease",EI97,0),IF(ES97="lease",FD97,0),IF(FN97="lease",FY97,0),IF(GI97="lease",GT97,0),IF(HD97="lease",HO97,0),IF(HY97="lease",IJ97,0),IF(IT97="lease",JE97,0))</f>
        <v>0</v>
      </c>
      <c r="AK97" s="5">
        <f>SUM(IF(BM97="keep",BX97,0),IF(CH97="keep",CS97,0),IF(DC97="keep",DN97,0),IF(DX97="keep",EI97,0),IF(ES97="keep",FD97,0),IF(FN97="keep",FY97,0),IF(GI97="keep",GT97,0),IF(HD97="keep",HO97,0),IF(HY97="keep",IJ97,0),IF(IT97="keep",JE97,0))</f>
        <v>0</v>
      </c>
      <c r="AL97" s="5">
        <f>R97-S96</f>
        <v>2.220446049250313e-16</v>
      </c>
      <c r="AM97" s="5">
        <f>T97-U96</f>
        <v>0</v>
      </c>
      <c r="AN97" s="5">
        <f>AN96</f>
        <v>1</v>
      </c>
      <c r="AO97" s="5">
        <f>AO96+AH97</f>
        <v>0.30973188615597347</v>
      </c>
      <c r="AP97" s="5">
        <f>AP96+AL97</f>
        <v>-2.220446049250313e-16</v>
      </c>
      <c r="AQ97" s="5">
        <f>AN97+AO97+AP97</f>
        <v>1.3097318861559732</v>
      </c>
      <c r="AR97" s="5">
        <f>S97-AQ97</f>
        <v>4.440892098500626e-16</v>
      </c>
      <c r="AS97" s="5">
        <f>AS96</f>
        <v>0</v>
      </c>
      <c r="AT97" s="5">
        <f>AT96+AI97</f>
        <v>0</v>
      </c>
      <c r="AU97" s="5">
        <f>AU96+AM97</f>
        <v>0</v>
      </c>
      <c r="AV97" s="5">
        <f>AS97+AT97+AU97</f>
        <v>0</v>
      </c>
      <c r="AW97" s="5">
        <f>U97-AV97</f>
        <v>0</v>
      </c>
      <c r="AX97" s="4">
        <v>1.3046947866408234</v>
      </c>
      <c r="AY97" s="4">
        <v>1.3097318861559737</v>
      </c>
      <c r="AZ97" s="5">
        <f>S97-AY97</f>
        <v>0</v>
      </c>
      <c r="BA97" s="4">
        <v>0</v>
      </c>
      <c r="BB97" s="4">
        <v>0</v>
      </c>
      <c r="BC97" s="5">
        <f>U97-BB97</f>
        <v>0</v>
      </c>
      <c r="BD97" s="7">
        <f>SUM(IF(BL97="direct",CE97,0),IF(CG97="direct",CZ97,0),IF(DB97="direct",DU97,0),IF(DW97="direct",EP97,0),IF(ER97="direct",FK97,0),IF(FM97="direct",GF97,0),IF(GH97="direct",HA97,0),IF(HC97="direct",HV97,0),IF(HX97="direct",IQ97,0),IF(IS97="direct",JL97,0))</f>
        <v>0.002715435985467719</v>
      </c>
      <c r="BE97" s="7">
        <f>SUM(IF(BL97="treasury",CE97,0),IF(CG97="treasury",CZ97,0),IF(DB97="treasury",DU97,0),IF(DW97="treasury",EP97,0),IF(ER97="treasury",FK97,0),IF(FM97="treasury",GF97,0),IF(GH97="treasury",HA97,0),IF(HC97="treasury",HV97,0),IF(HX97="treasury",IQ97,0),IF(IS97="treasury",JL97,0))</f>
        <v>0.000052710019618121216</v>
      </c>
      <c r="BF97" s="7">
        <f>SUM(IF(BL97="future",CE97,0),IF(CG97="future",CZ97,0),IF(DB97="future",DU97,0),IF(DW97="future",EP97,0),IF(ER97="future",FK97,0),IF(FM97="future",GF97,0),IF(GH97="future",HA97,0),IF(HC97="future",HV97,0),IF(HX97="future",IQ97,0),IF(IS97="future",JL97,0))</f>
        <v>0.001092603318607886</v>
      </c>
      <c r="BG97" s="7">
        <f>SUM(IF(BL97="cash",CE97,0),IF(CG97="cash",CZ97,0),IF(DB97="cash",DU97,0),IF(DW97="cash",EP97,0),IF(ER97="cash",FK97,0),IF(FM97="cash",GF97,0),IF(GH97="cash",HA97,0),IF(HC97="cash",HV97,0),IF(HX97="cash",IQ97,0),IF(IS97="cash",JL97,0))</f>
        <v>0</v>
      </c>
      <c r="BH97" s="7">
        <f>SUM(BD97:BG97)</f>
        <v>0.0038607493236937265</v>
      </c>
      <c r="BI97" s="7">
        <f>G97-BH97</f>
        <v>0</v>
      </c>
      <c r="BJ97" s="9">
        <f>COUNTA(BK97,CF97,DA97,DV97,EQ97,FL97,GG97,HB97,HW97,IR97)</f>
        <v>6</v>
      </c>
      <c r="BK97" t="inlineStr">
        <is>
          <t xml:space="preserve">Direct commodity holding</t>
        </is>
      </c>
      <c r="BL97" t="inlineStr">
        <is>
          <t xml:space="preserve">direct</t>
        </is>
      </c>
      <c r="BM97" t="inlineStr">
        <is>
          <t xml:space="preserve">lease</t>
        </is>
      </c>
      <c r="BN97" t="inlineStr">
        <is>
          <t xml:space="preserve">long</t>
        </is>
      </c>
      <c r="BO97"/>
      <c r="BP97" s="4">
        <v>1.751</v>
      </c>
      <c r="BQ97" s="4">
        <v>1.758</v>
      </c>
      <c r="BR97" s="4">
        <v>0.5069850745844391</v>
      </c>
      <c r="BS97" s="6">
        <v>0.6804126717505938</v>
      </c>
      <c r="BT97" s="4">
        <v>0.8877308655973527</v>
      </c>
      <c r="BU97" s="4">
        <v>0.8877308655973527</v>
      </c>
      <c r="BV97" s="4">
        <v>0.891279761119444</v>
      </c>
      <c r="BW97" s="4">
        <v>0.0035428151736966156</v>
      </c>
      <c r="BX97" s="4">
        <v>0.000006080348394639848</v>
      </c>
      <c r="BY97" s="4">
        <v>1.751</v>
      </c>
      <c r="BZ97" s="4">
        <v>1.758</v>
      </c>
      <c r="CA97" s="6"/>
      <c r="CB97" s="6"/>
      <c r="CC97" s="6"/>
      <c r="CD97" s="9"/>
      <c r="CE97" s="7">
        <f>IFERROR(BW97/F97,0)</f>
        <v>0.002715435985467719</v>
      </c>
      <c r="CF97" t="inlineStr">
        <is>
          <t xml:space="preserve">Treasury collateral</t>
        </is>
      </c>
      <c r="CG97" t="inlineStr">
        <is>
          <t xml:space="preserve">treasury</t>
        </is>
      </c>
      <c r="CH97" t="inlineStr">
        <is>
          <t xml:space="preserve">lease</t>
        </is>
      </c>
      <c r="CI97" t="inlineStr">
        <is>
          <t xml:space="preserve">long</t>
        </is>
      </c>
      <c r="CJ97"/>
      <c r="CK97" s="4">
        <v>102.36164972712768</v>
      </c>
      <c r="CL97" s="4">
        <v>102.37853238826075</v>
      </c>
      <c r="CM97" s="4">
        <v>0.0040734388528809165</v>
      </c>
      <c r="CN97" s="6">
        <v>0.31958732824940606</v>
      </c>
      <c r="CO97" s="4">
        <v>0.41696392104346913</v>
      </c>
      <c r="CP97" s="4">
        <v>0.41696392104346913</v>
      </c>
      <c r="CQ97" s="4">
        <v>0.41703269153126865</v>
      </c>
      <c r="CR97" s="4">
        <v>0.00006877048779949819</v>
      </c>
      <c r="CS97" s="4">
        <v>2.0586288750068515e-17</v>
      </c>
      <c r="CT97" s="4">
        <v>1.751</v>
      </c>
      <c r="CU97" s="4">
        <v>1.758</v>
      </c>
      <c r="CV97" s="6"/>
      <c r="CW97" s="6"/>
      <c r="CX97" s="6"/>
      <c r="CY97" s="9">
        <v>68</v>
      </c>
      <c r="CZ97" s="7">
        <f>IFERROR(CR97/F97,0)</f>
        <v>0.000052710019618121216</v>
      </c>
      <c r="DA97" t="inlineStr">
        <is>
          <t xml:space="preserve">SI69N</t>
        </is>
      </c>
      <c r="DB97" t="inlineStr">
        <is>
          <t xml:space="preserve">future</t>
        </is>
      </c>
      <c r="DC97" t="inlineStr">
        <is>
          <t xml:space="preserve">lease</t>
        </is>
      </c>
      <c r="DD97" t="inlineStr">
        <is>
          <t xml:space="preserve">long</t>
        </is>
      </c>
      <c r="DE97" t="inlineStr">
        <is>
          <t xml:space="preserve">regular</t>
        </is>
      </c>
      <c r="DF97" s="4">
        <v>1.755</v>
      </c>
      <c r="DG97" s="4">
        <v>1.761</v>
      </c>
      <c r="DH97" s="4">
        <v>0.23755067822497666</v>
      </c>
      <c r="DI97" s="6">
        <v>0.3195394390731214</v>
      </c>
      <c r="DJ97" s="4">
        <v>0.416901440284834</v>
      </c>
      <c r="DK97" s="4">
        <v>0</v>
      </c>
      <c r="DL97" s="4">
        <v>0</v>
      </c>
      <c r="DM97" s="4">
        <v>0.001425304069349855</v>
      </c>
      <c r="DN97" s="4">
        <v>-0.001425304069349855</v>
      </c>
      <c r="DO97" s="4">
        <v>1.751</v>
      </c>
      <c r="DP97" s="4">
        <v>1.758</v>
      </c>
      <c r="DQ97" s="6">
        <v>0.0022844089091946795</v>
      </c>
      <c r="DR97" s="6">
        <v>0.0602</v>
      </c>
      <c r="DS97" s="6">
        <v>0.04793809923741091</v>
      </c>
      <c r="DT97" s="9">
        <v>68</v>
      </c>
      <c r="DU97" s="7">
        <f>IFERROR(DM97/F97,0)</f>
        <v>0.0010924425267457103</v>
      </c>
      <c r="DV97" t="inlineStr">
        <is>
          <t xml:space="preserve">SI69U</t>
        </is>
      </c>
      <c r="DW97" t="inlineStr">
        <is>
          <t xml:space="preserve">future</t>
        </is>
      </c>
      <c r="DX97" t="inlineStr">
        <is>
          <t xml:space="preserve">lease</t>
        </is>
      </c>
      <c r="DY97" t="inlineStr">
        <is>
          <t xml:space="preserve">long</t>
        </is>
      </c>
      <c r="DZ97" t="inlineStr">
        <is>
          <t xml:space="preserve">regular</t>
        </is>
      </c>
      <c r="EA97" s="4">
        <v>1.787</v>
      </c>
      <c r="EB97" s="4">
        <v>1.7930000000000001</v>
      </c>
      <c r="EC97" s="4">
        <v>0.000034964050719142786</v>
      </c>
      <c r="ED97" s="6">
        <v>0.00004788917628465155</v>
      </c>
      <c r="EE97" s="4">
        <v>0.00006248075863510815</v>
      </c>
      <c r="EF97" s="4">
        <v>0</v>
      </c>
      <c r="EG97" s="4">
        <v>0</v>
      </c>
      <c r="EH97" s="4">
        <v>2.097843043148666e-7</v>
      </c>
      <c r="EI97" s="4">
        <v>-2.097843043148666e-7</v>
      </c>
      <c r="EJ97" s="4">
        <v>1.751</v>
      </c>
      <c r="EK97" s="4">
        <v>1.758</v>
      </c>
      <c r="EL97" s="6">
        <v>0.020559680182752782</v>
      </c>
      <c r="EM97" s="6">
        <v>0.060476923076923074</v>
      </c>
      <c r="EN97" s="6">
        <v>0.0013880784572005075</v>
      </c>
      <c r="EO97" s="9">
        <v>127</v>
      </c>
      <c r="EP97" s="7">
        <f>IFERROR(EH97/F97,0)</f>
        <v>1.607918621756703e-7</v>
      </c>
      <c r="EQ97" t="inlineStr">
        <is>
          <t xml:space="preserve">Lease cash / margin / financing</t>
        </is>
      </c>
      <c r="ER97" t="inlineStr">
        <is>
          <t xml:space="preserve">cash</t>
        </is>
      </c>
      <c r="ES97" t="inlineStr">
        <is>
          <t xml:space="preserve">lease</t>
        </is>
      </c>
      <c r="ET97" t="inlineStr">
        <is>
          <t xml:space="preserve">cash</t>
        </is>
      </c>
      <c r="EU97"/>
      <c r="EV97" s="4">
        <v>1</v>
      </c>
      <c r="EW97" s="4">
        <v>1</v>
      </c>
      <c r="EX97" s="4">
        <v>1.5543122344752192e-15</v>
      </c>
      <c r="EY97" s="6"/>
      <c r="EZ97" s="4">
        <v>1.5543122344752192e-15</v>
      </c>
      <c r="FA97" s="4">
        <v>1.5543122344752192e-15</v>
      </c>
      <c r="FB97" s="4">
        <v>0.0014194335052610636</v>
      </c>
      <c r="FC97" s="4">
        <v>0</v>
      </c>
      <c r="FD97" s="4">
        <v>0.0014194335052595093</v>
      </c>
      <c r="FE97" s="4">
        <v>1.751</v>
      </c>
      <c r="FF97" s="4">
        <v>1.758</v>
      </c>
      <c r="FG97" s="6"/>
      <c r="FH97" s="6"/>
      <c r="FI97" s="6"/>
      <c r="FJ97" s="9"/>
      <c r="FK97" s="7">
        <f>IFERROR(FC97/F97,0)</f>
        <v>0</v>
      </c>
      <c r="FL97" t="inlineStr">
        <is>
          <t xml:space="preserve">Keep cash / margin / financing</t>
        </is>
      </c>
      <c r="FM97" t="inlineStr">
        <is>
          <t xml:space="preserve">cash</t>
        </is>
      </c>
      <c r="FN97" t="inlineStr">
        <is>
          <t xml:space="preserve">keep</t>
        </is>
      </c>
      <c r="FO97" t="inlineStr">
        <is>
          <t xml:space="preserve">cash</t>
        </is>
      </c>
      <c r="FP97"/>
      <c r="FQ97" s="4">
        <v>1</v>
      </c>
      <c r="FR97" s="4">
        <v>1</v>
      </c>
      <c r="FS97" s="4">
        <v>0</v>
      </c>
      <c r="FT97" s="6"/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1.751</v>
      </c>
      <c r="GA97" s="4">
        <v>1.758</v>
      </c>
      <c r="GB97" s="6"/>
      <c r="GC97" s="6"/>
      <c r="GD97" s="6"/>
      <c r="GE97" s="9"/>
      <c r="GF97" s="7">
        <f>IFERROR(FX97/F97,0)</f>
        <v>0</v>
      </c>
      <c r="GG97"/>
      <c r="GH97"/>
      <c r="GI97"/>
      <c r="GJ97"/>
      <c r="GK97"/>
      <c r="GL97" s="4"/>
      <c r="GM97" s="4"/>
      <c r="GN97" s="4"/>
      <c r="GO97" s="6"/>
      <c r="GP97" s="4"/>
      <c r="GQ97" s="4"/>
      <c r="GR97" s="4"/>
      <c r="GS97" s="4"/>
      <c r="GT97" s="4"/>
      <c r="GU97" s="4"/>
      <c r="GV97" s="4"/>
      <c r="GW97" s="6"/>
      <c r="GX97" s="6"/>
      <c r="GY97" s="6"/>
      <c r="GZ97" s="9"/>
      <c r="HA97"/>
      <c r="HB97"/>
      <c r="HC97"/>
      <c r="HD97"/>
      <c r="HE97"/>
      <c r="HF97"/>
      <c r="HG97" s="4"/>
      <c r="HH97" s="4"/>
      <c r="HI97" s="4"/>
      <c r="HJ97" s="6"/>
      <c r="HK97" s="4"/>
      <c r="HL97" s="4"/>
      <c r="HM97" s="4"/>
      <c r="HN97" s="4"/>
      <c r="HO97" s="4"/>
      <c r="HP97" s="4"/>
      <c r="HQ97" s="4"/>
      <c r="HR97" s="6"/>
      <c r="HS97" s="6"/>
      <c r="HT97" s="6"/>
      <c r="HU97" s="9"/>
      <c r="HV97"/>
      <c r="HW97"/>
      <c r="HX97"/>
      <c r="HY97"/>
      <c r="HZ97"/>
      <c r="IA97"/>
      <c r="IB97" s="4"/>
      <c r="IC97" s="4"/>
      <c r="ID97" s="4"/>
      <c r="IE97" s="6"/>
      <c r="IF97" s="4"/>
      <c r="IG97" s="4"/>
      <c r="IH97" s="4"/>
      <c r="II97" s="4"/>
      <c r="IJ97" s="4"/>
      <c r="IK97" s="4"/>
      <c r="IL97" s="4"/>
      <c r="IM97" s="6"/>
      <c r="IN97" s="6"/>
      <c r="IO97" s="6"/>
      <c r="IP97" s="9"/>
      <c r="IQ97"/>
      <c r="IR97"/>
      <c r="IS97"/>
      <c r="IT97"/>
      <c r="IU97"/>
      <c r="IV97"/>
      <c r="IW97" s="4"/>
      <c r="IX97" s="4"/>
      <c r="IY97" s="4"/>
      <c r="IZ97" s="6"/>
      <c r="JA97" s="4"/>
      <c r="JB97" s="4"/>
      <c r="JC97" s="4"/>
      <c r="JD97" s="4"/>
      <c r="JE97" s="4"/>
      <c r="JF97" s="4"/>
      <c r="JG97" s="4"/>
      <c r="JH97" s="6"/>
      <c r="JI97" s="6"/>
      <c r="JJ97" s="6"/>
      <c r="JK97" s="9"/>
      <c r="JL97"/>
    </row>
    <row r="98">
      <c r="A98" s="8">
        <v>25346</v>
      </c>
      <c r="B98" s="8">
        <v>25350</v>
      </c>
      <c r="C98" s="9">
        <f>B98-A98</f>
        <v>4</v>
      </c>
      <c r="D98" s="8">
        <v>25346</v>
      </c>
      <c r="E98" t="inlineStr">
        <is>
          <t xml:space="preserve">positive</t>
        </is>
      </c>
      <c r="F98" s="4">
        <v>1.3097318861559721</v>
      </c>
      <c r="G98" s="6">
        <v>0.011724825728645426</v>
      </c>
      <c r="H98" s="7">
        <f>SUM(CE98,CZ98,DU98,EP98,FK98,GF98,HA98,HV98,IQ98,JL98)</f>
        <v>0.01172482572864543</v>
      </c>
      <c r="I98" s="7">
        <f>G98-H98</f>
        <v>-3.469446951953614e-18</v>
      </c>
      <c r="J98" s="5">
        <f>F98*(1+H98)</f>
        <v>1.3250882642724011</v>
      </c>
      <c r="K98" s="4">
        <v>1.3250882642724011</v>
      </c>
      <c r="L98" s="5">
        <f>K98-J98</f>
        <v>0</v>
      </c>
      <c r="M98" s="4">
        <v>1.758</v>
      </c>
      <c r="N98" s="4">
        <v>1.783</v>
      </c>
      <c r="O98" s="5">
        <f>M98/$M$3</f>
        <v>0.8978549540347294</v>
      </c>
      <c r="P98" s="5">
        <f>N98/$M$3</f>
        <v>0.9106230847803881</v>
      </c>
      <c r="Q98" s="7">
        <f>IFERROR(N98/M98-1,0)</f>
        <v>0.014220705346985163</v>
      </c>
      <c r="R98" s="5">
        <f>SUM(IF(BM98="lease",BU98,0),IF(CH98="lease",CP98,0),IF(DC98="lease",DK98,0),IF(DX98="lease",EF98,0),IF(ES98="lease",FA98,0),IF(FN98="lease",FV98,0),IF(GI98="lease",GQ98,0),IF(HD98="lease",HL98,0),IF(HY98="lease",IG98,0),IF(IT98="lease",JB98,0))</f>
        <v>1.3097318861559737</v>
      </c>
      <c r="S98" s="5">
        <f>SUM(IF(BM98="lease",BV98,0),IF(CH98="lease",CQ98,0),IF(DC98="lease",DL98,0),IF(DX98="lease",EG98,0),IF(ES98="lease",FB98,0),IF(FN98="lease",FW98,0),IF(GI98="lease",GR98,0),IF(HD98="lease",HM98,0),IF(HY98="lease",IH98,0),IF(IT98="lease",JC98,0))</f>
        <v>1.3250882642724027</v>
      </c>
      <c r="T98" s="5">
        <f>SUM(IF(BM98="keep",BU98,0),IF(CH98="keep",CP98,0),IF(DC98="keep",DK98,0),IF(DX98="keep",EF98,0),IF(ES98="keep",FA98,0),IF(FN98="keep",FV98,0),IF(GI98="keep",GQ98,0),IF(HD98="keep",HL98,0),IF(HY98="keep",IG98,0),IF(IT98="keep",JB98,0))</f>
        <v>0</v>
      </c>
      <c r="U98" s="5">
        <f>SUM(IF(BM98="keep",BV98,0),IF(CH98="keep",CQ98,0),IF(DC98="keep",DL98,0),IF(DX98="keep",EG98,0),IF(ES98="keep",FB98,0),IF(FN98="keep",FW98,0),IF(GI98="keep",GR98,0),IF(HD98="keep",HM98,0),IF(HY98="keep",IH98,0),IF(IT98="keep",JC98,0))</f>
        <v>0</v>
      </c>
      <c r="V98" s="5">
        <f>R98/O98</f>
        <v>1.4587343760485758</v>
      </c>
      <c r="W98" s="5">
        <f>S98/P98</f>
        <v>1.455144599801102</v>
      </c>
      <c r="X98" s="5">
        <f>T98/O98</f>
        <v>0</v>
      </c>
      <c r="Y98" s="5">
        <f>U98/P98</f>
        <v>0</v>
      </c>
      <c r="Z98" s="5">
        <f>V98+X98</f>
        <v>1.4587343760485758</v>
      </c>
      <c r="AA98" s="7">
        <f>IFERROR(W98/V98-1,0)</f>
        <v>-0.0024608841105108192</v>
      </c>
      <c r="AB98" s="7">
        <f>IFERROR((W98-V98)/Z98,0)</f>
        <v>-0.0024608841105108635</v>
      </c>
      <c r="AC98" s="7">
        <f>IFERROR(Y98/X98-1,0)</f>
        <v>0</v>
      </c>
      <c r="AD98" s="7">
        <f>IFERROR((Y98-X98)/Z98,0)</f>
        <v>0</v>
      </c>
      <c r="AE98" s="7">
        <f>AB98+AD98</f>
        <v>-0.0024608841105108635</v>
      </c>
      <c r="AF98" s="7">
        <f>(1+Q98)*(1+AE98)-1</f>
        <v>0.011724825728645749</v>
      </c>
      <c r="AG98" s="7">
        <f>G98-AF98</f>
        <v>-3.226585665316861e-16</v>
      </c>
      <c r="AH98" s="5">
        <f>SUM(IF(BM98="lease",BW98,0),IF(CH98="lease",CR98,0),IF(DC98="lease",DM98,0),IF(DX98="lease",EH98,0),IF(ES98="lease",FC98,0),IF(FN98="lease",FX98,0),IF(GI98="lease",GS98,0),IF(HD98="lease",HN98,0),IF(HY98="lease",II98,0),IF(IT98="lease",JD98,0))</f>
        <v>0.01535637811642885</v>
      </c>
      <c r="AI98" s="5">
        <f>SUM(IF(BM98="keep",BW98,0),IF(CH98="keep",CR98,0),IF(DC98="keep",DM98,0),IF(DX98="keep",EH98,0),IF(ES98="keep",FC98,0),IF(FN98="keep",FX98,0),IF(GI98="keep",GS98,0),IF(HD98="keep",HN98,0),IF(HY98="keep",II98,0),IF(IT98="keep",JD98,0))</f>
        <v>0</v>
      </c>
      <c r="AJ98" s="5">
        <f>SUM(IF(BM98="lease",BX98,0),IF(CH98="lease",CS98,0),IF(DC98="lease",DN98,0),IF(DX98="lease",EI98,0),IF(ES98="lease",FD98,0),IF(FN98="lease",FY98,0),IF(GI98="lease",GT98,0),IF(HD98="lease",HO98,0),IF(HY98="lease",IJ98,0),IF(IT98="lease",JE98,0))</f>
        <v>0</v>
      </c>
      <c r="AK98" s="5">
        <f>SUM(IF(BM98="keep",BX98,0),IF(CH98="keep",CS98,0),IF(DC98="keep",DN98,0),IF(DX98="keep",EI98,0),IF(ES98="keep",FD98,0),IF(FN98="keep",FY98,0),IF(GI98="keep",GT98,0),IF(HD98="keep",HO98,0),IF(HY98="keep",IJ98,0),IF(IT98="keep",JE98,0))</f>
        <v>0</v>
      </c>
      <c r="AL98" s="5">
        <f>R98-S97</f>
        <v>0</v>
      </c>
      <c r="AM98" s="5">
        <f>T98-U97</f>
        <v>0</v>
      </c>
      <c r="AN98" s="5">
        <f>AN97</f>
        <v>1</v>
      </c>
      <c r="AO98" s="5">
        <f>AO97+AH98</f>
        <v>0.32508826427240234</v>
      </c>
      <c r="AP98" s="5">
        <f>AP97+AL98</f>
        <v>-2.220446049250313e-16</v>
      </c>
      <c r="AQ98" s="5">
        <f>AN98+AO98+AP98</f>
        <v>1.325088264272402</v>
      </c>
      <c r="AR98" s="5">
        <f>S98-AQ98</f>
        <v>6.661338147750939e-16</v>
      </c>
      <c r="AS98" s="5">
        <f>AS97</f>
        <v>0</v>
      </c>
      <c r="AT98" s="5">
        <f>AT97+AI98</f>
        <v>0</v>
      </c>
      <c r="AU98" s="5">
        <f>AU97+AM98</f>
        <v>0</v>
      </c>
      <c r="AV98" s="5">
        <f>AS98+AT98+AU98</f>
        <v>0</v>
      </c>
      <c r="AW98" s="5">
        <f>U98-AV98</f>
        <v>0</v>
      </c>
      <c r="AX98" s="4">
        <v>1.3097318861559737</v>
      </c>
      <c r="AY98" s="4">
        <v>1.3250882642724024</v>
      </c>
      <c r="AZ98" s="5">
        <f>S98-AY98</f>
        <v>2.220446049250313e-16</v>
      </c>
      <c r="BA98" s="4">
        <v>0</v>
      </c>
      <c r="BB98" s="4">
        <v>0</v>
      </c>
      <c r="BC98" s="5">
        <f>U98-BB98</f>
        <v>0</v>
      </c>
      <c r="BD98" s="7">
        <f>SUM(IF(BL98="direct",CE98,0),IF(CG98="direct",CZ98,0),IF(DB98="direct",DU98,0),IF(DW98="direct",EP98,0),IF(ER98="direct",FK98,0),IF(FM98="direct",GF98,0),IF(GH98="direct",HA98,0),IF(HC98="direct",HV98,0),IF(HX98="direct",IQ98,0),IF(IS98="direct",JL98,0))</f>
        <v>0.009386178539806125</v>
      </c>
      <c r="BE98" s="7">
        <f>SUM(IF(BL98="treasury",CE98,0),IF(CG98="treasury",CZ98,0),IF(DB98="treasury",DU98,0),IF(DW98="treasury",EP98,0),IF(ER98="treasury",FK98,0),IF(FM98="treasury",GF98,0),IF(GH98="treasury",HA98,0),IF(HC98="treasury",HV98,0),IF(HX98="treasury",IQ98,0),IF(IS98="treasury",JL98,0))</f>
        <v>0.0002230713497266598</v>
      </c>
      <c r="BF98" s="7">
        <f>SUM(IF(BL98="future",CE98,0),IF(CG98="future",CZ98,0),IF(DB98="future",DU98,0),IF(DW98="future",EP98,0),IF(ER98="future",FK98,0),IF(FM98="future",GF98,0),IF(GH98="future",HA98,0),IF(HC98="future",HV98,0),IF(HX98="future",IQ98,0),IF(IS98="future",JL98,0))</f>
        <v>0.002115575839112646</v>
      </c>
      <c r="BG98" s="7">
        <f>SUM(IF(BL98="cash",CE98,0),IF(CG98="cash",CZ98,0),IF(DB98="cash",DU98,0),IF(DW98="cash",EP98,0),IF(ER98="cash",FK98,0),IF(FM98="cash",GF98,0),IF(GH98="cash",HA98,0),IF(HC98="cash",HV98,0),IF(HX98="cash",IQ98,0),IF(IS98="cash",JL98,0))</f>
        <v>0</v>
      </c>
      <c r="BH98" s="7">
        <f>SUM(BD98:BG98)</f>
        <v>0.01172482572864543</v>
      </c>
      <c r="BI98" s="7">
        <f>G98-BH98</f>
        <v>-3.469446951953614e-18</v>
      </c>
      <c r="BJ98" s="9">
        <f>COUNTA(BK98,CF98,DA98,DV98,EQ98,FL98,GG98,HB98,HW98,IR98)</f>
        <v>6</v>
      </c>
      <c r="BK98" t="inlineStr">
        <is>
          <t xml:space="preserve">Direct commodity holding</t>
        </is>
      </c>
      <c r="BL98" t="inlineStr">
        <is>
          <t xml:space="preserve">direct</t>
        </is>
      </c>
      <c r="BM98" t="inlineStr">
        <is>
          <t xml:space="preserve">lease</t>
        </is>
      </c>
      <c r="BN98" t="inlineStr">
        <is>
          <t xml:space="preserve">long</t>
        </is>
      </c>
      <c r="BO98"/>
      <c r="BP98" s="4">
        <v>1.758</v>
      </c>
      <c r="BQ98" s="4">
        <v>1.783</v>
      </c>
      <c r="BR98" s="4">
        <v>0.4926842863071006</v>
      </c>
      <c r="BS98" s="6">
        <v>0.6613101387261612</v>
      </c>
      <c r="BT98" s="4">
        <v>0.8661389753278829</v>
      </c>
      <c r="BU98" s="4">
        <v>0.8661389753278829</v>
      </c>
      <c r="BV98" s="4">
        <v>0.8784560824855603</v>
      </c>
      <c r="BW98" s="4">
        <v>0.012293377322736984</v>
      </c>
      <c r="BX98" s="4">
        <v>0.000023729834940436345</v>
      </c>
      <c r="BY98" s="4">
        <v>1.758</v>
      </c>
      <c r="BZ98" s="4">
        <v>1.783</v>
      </c>
      <c r="CA98" s="6"/>
      <c r="CB98" s="6"/>
      <c r="CC98" s="6"/>
      <c r="CD98" s="9"/>
      <c r="CE98" s="7">
        <f>IFERROR(BW98/F98,0)</f>
        <v>0.009386178539806125</v>
      </c>
      <c r="CF98" t="inlineStr">
        <is>
          <t xml:space="preserve">Treasury collateral</t>
        </is>
      </c>
      <c r="CG98" t="inlineStr">
        <is>
          <t xml:space="preserve">treasury</t>
        </is>
      </c>
      <c r="CH98" t="inlineStr">
        <is>
          <t xml:space="preserve">lease</t>
        </is>
      </c>
      <c r="CI98" t="inlineStr">
        <is>
          <t xml:space="preserve">long</t>
        </is>
      </c>
      <c r="CJ98"/>
      <c r="CK98" s="4">
        <v>102.37853238826075</v>
      </c>
      <c r="CL98" s="4">
        <v>102.44596197507208</v>
      </c>
      <c r="CM98" s="4">
        <v>0.004332870382882672</v>
      </c>
      <c r="CN98" s="6">
        <v>0.3386898612738387</v>
      </c>
      <c r="CO98" s="4">
        <v>0.4435929108280893</v>
      </c>
      <c r="CP98" s="4">
        <v>0.4435929108280893</v>
      </c>
      <c r="CQ98" s="4">
        <v>0.4438850744877142</v>
      </c>
      <c r="CR98" s="4">
        <v>0.00029216365962485665</v>
      </c>
      <c r="CS98" s="4">
        <v>1.0028870095490916e-17</v>
      </c>
      <c r="CT98" s="4">
        <v>1.758</v>
      </c>
      <c r="CU98" s="4">
        <v>1.783</v>
      </c>
      <c r="CV98" s="6"/>
      <c r="CW98" s="6"/>
      <c r="CX98" s="6"/>
      <c r="CY98" s="9">
        <v>67</v>
      </c>
      <c r="CZ98" s="7">
        <f>IFERROR(CR98/F98,0)</f>
        <v>0.0002230713497266598</v>
      </c>
      <c r="DA98" t="inlineStr">
        <is>
          <t xml:space="preserve">SI69N</t>
        </is>
      </c>
      <c r="DB98" t="inlineStr">
        <is>
          <t xml:space="preserve">future</t>
        </is>
      </c>
      <c r="DC98" t="inlineStr">
        <is>
          <t xml:space="preserve">lease</t>
        </is>
      </c>
      <c r="DD98" t="inlineStr">
        <is>
          <t xml:space="preserve">long</t>
        </is>
      </c>
      <c r="DE98" t="inlineStr">
        <is>
          <t xml:space="preserve">regular</t>
        </is>
      </c>
      <c r="DF98" s="4">
        <v>1.761</v>
      </c>
      <c r="DG98" s="4">
        <v>1.7719999999999998</v>
      </c>
      <c r="DH98" s="4">
        <v>0.2518608012784377</v>
      </c>
      <c r="DI98" s="6">
        <v>0.33863943891071335</v>
      </c>
      <c r="DJ98" s="4">
        <v>0.4435268710513287</v>
      </c>
      <c r="DK98" s="4">
        <v>0</v>
      </c>
      <c r="DL98" s="4">
        <v>0</v>
      </c>
      <c r="DM98" s="4">
        <v>0.002770468814062767</v>
      </c>
      <c r="DN98" s="4">
        <v>-0.002770468814062767</v>
      </c>
      <c r="DO98" s="4">
        <v>1.758</v>
      </c>
      <c r="DP98" s="4">
        <v>1.783</v>
      </c>
      <c r="DQ98" s="6">
        <v>0.0017064846416381396</v>
      </c>
      <c r="DR98" s="6">
        <v>0.0601</v>
      </c>
      <c r="DS98" s="6">
        <v>0.05080347919107581</v>
      </c>
      <c r="DT98" s="9">
        <v>67</v>
      </c>
      <c r="DU98" s="7">
        <f>IFERROR(DM98/F98,0)</f>
        <v>0.0021152946212480315</v>
      </c>
      <c r="DV98" t="inlineStr">
        <is>
          <t xml:space="preserve">SI69U</t>
        </is>
      </c>
      <c r="DW98" t="inlineStr">
        <is>
          <t xml:space="preserve">future</t>
        </is>
      </c>
      <c r="DX98" t="inlineStr">
        <is>
          <t xml:space="preserve">lease</t>
        </is>
      </c>
      <c r="DY98" t="inlineStr">
        <is>
          <t xml:space="preserve">long</t>
        </is>
      </c>
      <c r="DZ98" t="inlineStr">
        <is>
          <t xml:space="preserve">regular</t>
        </is>
      </c>
      <c r="EA98" s="4">
        <v>1.7930000000000001</v>
      </c>
      <c r="EB98" s="4">
        <v>1.8030000000000002</v>
      </c>
      <c r="EC98" s="4">
        <v>0.00003683200042420563</v>
      </c>
      <c r="ED98" s="6">
        <v>0.000050422363125345954</v>
      </c>
      <c r="EE98" s="4">
        <v>0.0000660397767606007</v>
      </c>
      <c r="EF98" s="4">
        <v>0</v>
      </c>
      <c r="EG98" s="4">
        <v>0</v>
      </c>
      <c r="EH98" s="4">
        <v>3.683200042420542e-7</v>
      </c>
      <c r="EI98" s="4">
        <v>-3.683200042420542e-7</v>
      </c>
      <c r="EJ98" s="4">
        <v>1.758</v>
      </c>
      <c r="EK98" s="4">
        <v>1.783</v>
      </c>
      <c r="EL98" s="6">
        <v>0.019908987485779406</v>
      </c>
      <c r="EM98" s="6">
        <v>0.06044615384615386</v>
      </c>
      <c r="EN98" s="6">
        <v>0.002773293272269057</v>
      </c>
      <c r="EO98" s="9">
        <v>126</v>
      </c>
      <c r="EP98" s="7">
        <f>IFERROR(EH98/F98,0)</f>
        <v>2.8121786461430933e-7</v>
      </c>
      <c r="EQ98" t="inlineStr">
        <is>
          <t xml:space="preserve">Lease cash / margin / financing</t>
        </is>
      </c>
      <c r="ER98" t="inlineStr">
        <is>
          <t xml:space="preserve">cash</t>
        </is>
      </c>
      <c r="ES98" t="inlineStr">
        <is>
          <t xml:space="preserve">lease</t>
        </is>
      </c>
      <c r="ET98" t="inlineStr">
        <is>
          <t xml:space="preserve">cash</t>
        </is>
      </c>
      <c r="EU98"/>
      <c r="EV98" s="4">
        <v>1</v>
      </c>
      <c r="EW98" s="4">
        <v>1</v>
      </c>
      <c r="EX98" s="4">
        <v>1.5543122344752192e-15</v>
      </c>
      <c r="EY98" s="6"/>
      <c r="EZ98" s="4">
        <v>1.5543122344752192e-15</v>
      </c>
      <c r="FA98" s="4">
        <v>1.5543122344752192e-15</v>
      </c>
      <c r="FB98" s="4">
        <v>0.002747107299128117</v>
      </c>
      <c r="FC98" s="4">
        <v>0</v>
      </c>
      <c r="FD98" s="4">
        <v>0.002747107299126563</v>
      </c>
      <c r="FE98" s="4">
        <v>1.758</v>
      </c>
      <c r="FF98" s="4">
        <v>1.783</v>
      </c>
      <c r="FG98" s="6"/>
      <c r="FH98" s="6"/>
      <c r="FI98" s="6"/>
      <c r="FJ98" s="9"/>
      <c r="FK98" s="7">
        <f>IFERROR(FC98/F98,0)</f>
        <v>0</v>
      </c>
      <c r="FL98" t="inlineStr">
        <is>
          <t xml:space="preserve">Keep cash / margin / financing</t>
        </is>
      </c>
      <c r="FM98" t="inlineStr">
        <is>
          <t xml:space="preserve">cash</t>
        </is>
      </c>
      <c r="FN98" t="inlineStr">
        <is>
          <t xml:space="preserve">keep</t>
        </is>
      </c>
      <c r="FO98" t="inlineStr">
        <is>
          <t xml:space="preserve">cash</t>
        </is>
      </c>
      <c r="FP98"/>
      <c r="FQ98" s="4">
        <v>1</v>
      </c>
      <c r="FR98" s="4">
        <v>1</v>
      </c>
      <c r="FS98" s="4">
        <v>0</v>
      </c>
      <c r="FT98" s="6"/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1.758</v>
      </c>
      <c r="GA98" s="4">
        <v>1.783</v>
      </c>
      <c r="GB98" s="6"/>
      <c r="GC98" s="6"/>
      <c r="GD98" s="6"/>
      <c r="GE98" s="9"/>
      <c r="GF98" s="7">
        <f>IFERROR(FX98/F98,0)</f>
        <v>0</v>
      </c>
      <c r="GG98"/>
      <c r="GH98"/>
      <c r="GI98"/>
      <c r="GJ98"/>
      <c r="GK98"/>
      <c r="GL98" s="4"/>
      <c r="GM98" s="4"/>
      <c r="GN98" s="4"/>
      <c r="GO98" s="6"/>
      <c r="GP98" s="4"/>
      <c r="GQ98" s="4"/>
      <c r="GR98" s="4"/>
      <c r="GS98" s="4"/>
      <c r="GT98" s="4"/>
      <c r="GU98" s="4"/>
      <c r="GV98" s="4"/>
      <c r="GW98" s="6"/>
      <c r="GX98" s="6"/>
      <c r="GY98" s="6"/>
      <c r="GZ98" s="9"/>
      <c r="HA98"/>
      <c r="HB98"/>
      <c r="HC98"/>
      <c r="HD98"/>
      <c r="HE98"/>
      <c r="HF98"/>
      <c r="HG98" s="4"/>
      <c r="HH98" s="4"/>
      <c r="HI98" s="4"/>
      <c r="HJ98" s="6"/>
      <c r="HK98" s="4"/>
      <c r="HL98" s="4"/>
      <c r="HM98" s="4"/>
      <c r="HN98" s="4"/>
      <c r="HO98" s="4"/>
      <c r="HP98" s="4"/>
      <c r="HQ98" s="4"/>
      <c r="HR98" s="6"/>
      <c r="HS98" s="6"/>
      <c r="HT98" s="6"/>
      <c r="HU98" s="9"/>
      <c r="HV98"/>
      <c r="HW98"/>
      <c r="HX98"/>
      <c r="HY98"/>
      <c r="HZ98"/>
      <c r="IA98"/>
      <c r="IB98" s="4"/>
      <c r="IC98" s="4"/>
      <c r="ID98" s="4"/>
      <c r="IE98" s="6"/>
      <c r="IF98" s="4"/>
      <c r="IG98" s="4"/>
      <c r="IH98" s="4"/>
      <c r="II98" s="4"/>
      <c r="IJ98" s="4"/>
      <c r="IK98" s="4"/>
      <c r="IL98" s="4"/>
      <c r="IM98" s="6"/>
      <c r="IN98" s="6"/>
      <c r="IO98" s="6"/>
      <c r="IP98" s="9"/>
      <c r="IQ98"/>
      <c r="IR98"/>
      <c r="IS98"/>
      <c r="IT98"/>
      <c r="IU98"/>
      <c r="IV98"/>
      <c r="IW98" s="4"/>
      <c r="IX98" s="4"/>
      <c r="IY98" s="4"/>
      <c r="IZ98" s="6"/>
      <c r="JA98" s="4"/>
      <c r="JB98" s="4"/>
      <c r="JC98" s="4"/>
      <c r="JD98" s="4"/>
      <c r="JE98" s="4"/>
      <c r="JF98" s="4"/>
      <c r="JG98" s="4"/>
      <c r="JH98" s="6"/>
      <c r="JI98" s="6"/>
      <c r="JJ98" s="6"/>
      <c r="JK98" s="9"/>
      <c r="JL98"/>
    </row>
    <row r="99">
      <c r="A99" s="8">
        <v>25350</v>
      </c>
      <c r="B99" s="8">
        <v>25351</v>
      </c>
      <c r="C99" s="9">
        <f>B99-A99</f>
        <v>1</v>
      </c>
      <c r="D99" s="8">
        <v>25350</v>
      </c>
      <c r="E99" t="inlineStr">
        <is>
          <t xml:space="preserve">positive</t>
        </is>
      </c>
      <c r="F99" s="4">
        <v>1.3250882642724011</v>
      </c>
      <c r="G99" s="6">
        <v>-0.0030555893654512895</v>
      </c>
      <c r="H99" s="7">
        <f>SUM(CE99,CZ99,DU99,EP99,FK99,GF99,HA99,HV99,IQ99,JL99)</f>
        <v>-0.00305558936545129</v>
      </c>
      <c r="I99" s="7">
        <f>G99-H99</f>
        <v>4.336808689942018e-19</v>
      </c>
      <c r="J99" s="5">
        <f>F99*(1+H99)</f>
        <v>1.3210393386638062</v>
      </c>
      <c r="K99" s="4">
        <v>1.3210393386638062</v>
      </c>
      <c r="L99" s="5">
        <f>K99-J99</f>
        <v>0</v>
      </c>
      <c r="M99" s="4">
        <v>1.783</v>
      </c>
      <c r="N99" s="4">
        <v>1.767</v>
      </c>
      <c r="O99" s="5">
        <f>M99/$M$3</f>
        <v>0.9106230847803881</v>
      </c>
      <c r="P99" s="5">
        <f>N99/$M$3</f>
        <v>0.9024514811031664</v>
      </c>
      <c r="Q99" s="7">
        <f>IFERROR(N99/M99-1,0)</f>
        <v>-0.00897363993269773</v>
      </c>
      <c r="R99" s="5">
        <f>SUM(IF(BM99="lease",BU99,0),IF(CH99="lease",CP99,0),IF(DC99="lease",DK99,0),IF(DX99="lease",EF99,0),IF(ES99="lease",FA99,0),IF(FN99="lease",FV99,0),IF(GI99="lease",GQ99,0),IF(HD99="lease",HL99,0),IF(HY99="lease",IG99,0),IF(IT99="lease",JB99,0))</f>
        <v>1.3250882642724024</v>
      </c>
      <c r="S99" s="5">
        <f>SUM(IF(BM99="lease",BV99,0),IF(CH99="lease",CQ99,0),IF(DC99="lease",DL99,0),IF(DX99="lease",EG99,0),IF(ES99="lease",FB99,0),IF(FN99="lease",FW99,0),IF(GI99="lease",GR99,0),IF(HD99="lease",HM99,0),IF(HY99="lease",IH99,0),IF(IT99="lease",JC99,0))</f>
        <v>1.3210393386638073</v>
      </c>
      <c r="T99" s="5">
        <f>SUM(IF(BM99="keep",BU99,0),IF(CH99="keep",CP99,0),IF(DC99="keep",DK99,0),IF(DX99="keep",EF99,0),IF(ES99="keep",FA99,0),IF(FN99="keep",FV99,0),IF(GI99="keep",GQ99,0),IF(HD99="keep",HL99,0),IF(HY99="keep",IG99,0),IF(IT99="keep",JB99,0))</f>
        <v>0</v>
      </c>
      <c r="U99" s="5">
        <f>SUM(IF(BM99="keep",BV99,0),IF(CH99="keep",CQ99,0),IF(DC99="keep",DL99,0),IF(DX99="keep",EG99,0),IF(ES99="keep",FB99,0),IF(FN99="keep",FW99,0),IF(GI99="keep",GR99,0),IF(HD99="keep",HM99,0),IF(HY99="keep",IH99,0),IF(IT99="keep",JC99,0))</f>
        <v>0</v>
      </c>
      <c r="V99" s="5">
        <f>R99/O99</f>
        <v>1.4551445998011017</v>
      </c>
      <c r="W99" s="5">
        <f>S99/P99</f>
        <v>1.4638341964367487</v>
      </c>
      <c r="X99" s="5">
        <f>T99/O99</f>
        <v>0</v>
      </c>
      <c r="Y99" s="5">
        <f>U99/P99</f>
        <v>0</v>
      </c>
      <c r="Z99" s="5">
        <f>V99+X99</f>
        <v>1.4551445998011017</v>
      </c>
      <c r="AA99" s="7">
        <f>IFERROR(W99/V99-1,0)</f>
        <v>0.005971637895529236</v>
      </c>
      <c r="AB99" s="7">
        <f>IFERROR((W99-V99)/Z99,0)</f>
        <v>0.005971637895529286</v>
      </c>
      <c r="AC99" s="7">
        <f>IFERROR(Y99/X99-1,0)</f>
        <v>0</v>
      </c>
      <c r="AD99" s="7">
        <f>IFERROR((Y99-X99)/Z99,0)</f>
        <v>0</v>
      </c>
      <c r="AE99" s="7">
        <f>AB99+AD99</f>
        <v>0.005971637895529286</v>
      </c>
      <c r="AF99" s="7">
        <f>(1+Q99)*(1+AE99)-1</f>
        <v>-0.003055589365451472</v>
      </c>
      <c r="AG99" s="7">
        <f>G99-AF99</f>
        <v>1.8257964584655895e-16</v>
      </c>
      <c r="AH99" s="5">
        <f>SUM(IF(BM99="lease",BW99,0),IF(CH99="lease",CR99,0),IF(DC99="lease",DM99,0),IF(DX99="lease",EH99,0),IF(ES99="lease",FC99,0),IF(FN99="lease",FX99,0),IF(GI99="lease",GS99,0),IF(HD99="lease",HN99,0),IF(HY99="lease",II99,0),IF(IT99="lease",JD99,0))</f>
        <v>-0.004048925608595057</v>
      </c>
      <c r="AI99" s="5">
        <f>SUM(IF(BM99="keep",BW99,0),IF(CH99="keep",CR99,0),IF(DC99="keep",DM99,0),IF(DX99="keep",EH99,0),IF(ES99="keep",FC99,0),IF(FN99="keep",FX99,0),IF(GI99="keep",GS99,0),IF(HD99="keep",HN99,0),IF(HY99="keep",II99,0),IF(IT99="keep",JD99,0))</f>
        <v>0</v>
      </c>
      <c r="AJ99" s="5">
        <f>SUM(IF(BM99="lease",BX99,0),IF(CH99="lease",CS99,0),IF(DC99="lease",DN99,0),IF(DX99="lease",EI99,0),IF(ES99="lease",FD99,0),IF(FN99="lease",FY99,0),IF(GI99="lease",GT99,0),IF(HD99="lease",HO99,0),IF(HY99="lease",IJ99,0),IF(IT99="lease",JE99,0))</f>
        <v>0</v>
      </c>
      <c r="AK99" s="5">
        <f>SUM(IF(BM99="keep",BX99,0),IF(CH99="keep",CS99,0),IF(DC99="keep",DN99,0),IF(DX99="keep",EI99,0),IF(ES99="keep",FD99,0),IF(FN99="keep",FY99,0),IF(GI99="keep",GT99,0),IF(HD99="keep",HO99,0),IF(HY99="keep",IJ99,0),IF(IT99="keep",JE99,0))</f>
        <v>0</v>
      </c>
      <c r="AL99" s="5">
        <f>R99-S98</f>
        <v>-2.220446049250313e-16</v>
      </c>
      <c r="AM99" s="5">
        <f>T99-U98</f>
        <v>0</v>
      </c>
      <c r="AN99" s="5">
        <f>AN98</f>
        <v>1</v>
      </c>
      <c r="AO99" s="5">
        <f>AO98+AH99</f>
        <v>0.3210393386638073</v>
      </c>
      <c r="AP99" s="5">
        <f>AP98+AL99</f>
        <v>-4.440892098500626e-16</v>
      </c>
      <c r="AQ99" s="5">
        <f>AN99+AO99+AP99</f>
        <v>1.3210393386638069</v>
      </c>
      <c r="AR99" s="5">
        <f>S99-AQ99</f>
        <v>4.440892098500626e-16</v>
      </c>
      <c r="AS99" s="5">
        <f>AS98</f>
        <v>0</v>
      </c>
      <c r="AT99" s="5">
        <f>AT98+AI99</f>
        <v>0</v>
      </c>
      <c r="AU99" s="5">
        <f>AU98+AM99</f>
        <v>0</v>
      </c>
      <c r="AV99" s="5">
        <f>AS99+AT99+AU99</f>
        <v>0</v>
      </c>
      <c r="AW99" s="5">
        <f>U99-AV99</f>
        <v>0</v>
      </c>
      <c r="AX99" s="4">
        <v>1.3250882642724024</v>
      </c>
      <c r="AY99" s="4">
        <v>1.3210393386638073</v>
      </c>
      <c r="AZ99" s="5">
        <f>S99-AY99</f>
        <v>0</v>
      </c>
      <c r="BA99" s="4">
        <v>0</v>
      </c>
      <c r="BB99" s="4">
        <v>0</v>
      </c>
      <c r="BC99" s="5">
        <f>U99-BB99</f>
        <v>0</v>
      </c>
      <c r="BD99" s="7">
        <f>SUM(IF(BL99="direct",CE99,0),IF(CG99="direct",CZ99,0),IF(DB99="direct",DU99,0),IF(DW99="direct",EP99,0),IF(ER99="direct",FK99,0),IF(FM99="direct",GF99,0),IF(GH99="direct",HA99,0),IF(HC99="direct",HV99,0),IF(HX99="direct",IQ99,0),IF(IS99="direct",JL99,0))</f>
        <v>-0.003164531714691135</v>
      </c>
      <c r="BE99" s="7">
        <f>SUM(IF(BL99="treasury",CE99,0),IF(CG99="treasury",CZ99,0),IF(DB99="treasury",DU99,0),IF(DW99="treasury",EP99,0),IF(ER99="treasury",FK99,0),IF(FM99="treasury",GF99,0),IF(GH99="treasury",HA99,0),IF(HC99="treasury",HV99,0),IF(HX99="treasury",IQ99,0),IF(IS99="treasury",JL99,0))</f>
        <v>0.00010894234923984523</v>
      </c>
      <c r="BF99" s="7">
        <f>SUM(IF(BL99="future",CE99,0),IF(CG99="future",CZ99,0),IF(DB99="future",DU99,0),IF(DW99="future",EP99,0),IF(ER99="future",FK99,0),IF(FM99="future",GF99,0),IF(GH99="future",HA99,0),IF(HC99="future",HV99,0),IF(HX99="future",IQ99,0),IF(IS99="future",JL99,0))</f>
        <v>0</v>
      </c>
      <c r="BG99" s="7">
        <f>SUM(IF(BL99="cash",CE99,0),IF(CG99="cash",CZ99,0),IF(DB99="cash",DU99,0),IF(DW99="cash",EP99,0),IF(ER99="cash",FK99,0),IF(FM99="cash",GF99,0),IF(GH99="cash",HA99,0),IF(HC99="cash",HV99,0),IF(HX99="cash",IQ99,0),IF(IS99="cash",JL99,0))</f>
        <v>0</v>
      </c>
      <c r="BH99" s="7">
        <f>SUM(BD99:BG99)</f>
        <v>-0.00305558936545129</v>
      </c>
      <c r="BI99" s="7">
        <f>G99-BH99</f>
        <v>4.336808689942018e-19</v>
      </c>
      <c r="BJ99" s="9">
        <f>COUNTA(BK99,CF99,DA99,DV99,EQ99,FL99,GG99,HB99,HW99,IR99)</f>
        <v>6</v>
      </c>
      <c r="BK99" t="inlineStr">
        <is>
          <t xml:space="preserve">Direct commodity holding</t>
        </is>
      </c>
      <c r="BL99" t="inlineStr">
        <is>
          <t xml:space="preserve">direct</t>
        </is>
      </c>
      <c r="BM99" t="inlineStr">
        <is>
          <t xml:space="preserve">lease</t>
        </is>
      </c>
      <c r="BN99" t="inlineStr">
        <is>
          <t xml:space="preserve">long</t>
        </is>
      </c>
      <c r="BO99"/>
      <c r="BP99" s="4">
        <v>1.783</v>
      </c>
      <c r="BQ99" s="4">
        <v>1.767</v>
      </c>
      <c r="BR99" s="4">
        <v>0.26188035425445133</v>
      </c>
      <c r="BS99" s="6">
        <v>0.35237854279245084</v>
      </c>
      <c r="BT99" s="4">
        <v>0.4669326716356867</v>
      </c>
      <c r="BU99" s="4">
        <v>0.4669326716356867</v>
      </c>
      <c r="BV99" s="4">
        <v>0.46274258596761547</v>
      </c>
      <c r="BW99" s="4">
        <v>-0.0041932838370550415</v>
      </c>
      <c r="BX99" s="4">
        <v>0.0000031981689838219904</v>
      </c>
      <c r="BY99" s="4">
        <v>1.783</v>
      </c>
      <c r="BZ99" s="4">
        <v>1.767</v>
      </c>
      <c r="CA99" s="6"/>
      <c r="CB99" s="6"/>
      <c r="CC99" s="6"/>
      <c r="CD99" s="9"/>
      <c r="CE99" s="7">
        <f>IFERROR(BW99/F99,0)</f>
        <v>-0.003164531714691135</v>
      </c>
      <c r="CF99" t="inlineStr">
        <is>
          <t xml:space="preserve">Treasury collateral</t>
        </is>
      </c>
      <c r="CG99" t="inlineStr">
        <is>
          <t xml:space="preserve">treasury</t>
        </is>
      </c>
      <c r="CH99" t="inlineStr">
        <is>
          <t xml:space="preserve">lease</t>
        </is>
      </c>
      <c r="CI99" t="inlineStr">
        <is>
          <t xml:space="preserve">long</t>
        </is>
      </c>
      <c r="CJ99"/>
      <c r="CK99" s="4">
        <v>102.44596197507208</v>
      </c>
      <c r="CL99" s="4">
        <v>102.46319535059337</v>
      </c>
      <c r="CM99" s="4">
        <v>0.008376665864541612</v>
      </c>
      <c r="CN99" s="6">
        <v>0.6476214572075492</v>
      </c>
      <c r="CO99" s="4">
        <v>0.8581555926367144</v>
      </c>
      <c r="CP99" s="4">
        <v>0.8581555926367144</v>
      </c>
      <c r="CQ99" s="4">
        <v>0.8582999508651743</v>
      </c>
      <c r="CR99" s="4">
        <v>0.00014435822845998425</v>
      </c>
      <c r="CS99" s="4">
        <v>-5.551115123125783e-17</v>
      </c>
      <c r="CT99" s="4">
        <v>1.783</v>
      </c>
      <c r="CU99" s="4">
        <v>1.767</v>
      </c>
      <c r="CV99" s="6"/>
      <c r="CW99" s="6"/>
      <c r="CX99" s="6"/>
      <c r="CY99" s="9">
        <v>63</v>
      </c>
      <c r="CZ99" s="7">
        <f>IFERROR(CR99/F99,0)</f>
        <v>0.00010894234923984523</v>
      </c>
      <c r="DA99" t="inlineStr">
        <is>
          <t xml:space="preserve">SI69N</t>
        </is>
      </c>
      <c r="DB99" t="inlineStr">
        <is>
          <t xml:space="preserve">future</t>
        </is>
      </c>
      <c r="DC99" t="inlineStr">
        <is>
          <t xml:space="preserve">lease</t>
        </is>
      </c>
      <c r="DD99" t="inlineStr">
        <is>
          <t xml:space="preserve">long</t>
        </is>
      </c>
      <c r="DE99" t="inlineStr">
        <is>
          <t xml:space="preserve">regular</t>
        </is>
      </c>
      <c r="DF99" s="4">
        <v>1.7719999999999998</v>
      </c>
      <c r="DG99" s="4">
        <v>1.7719999999999998</v>
      </c>
      <c r="DH99" s="4">
        <v>0.48421435380972166</v>
      </c>
      <c r="DI99" s="6">
        <v>0.6475250427351458</v>
      </c>
      <c r="DJ99" s="4">
        <v>0.8580278349508267</v>
      </c>
      <c r="DK99" s="4">
        <v>0</v>
      </c>
      <c r="DL99" s="4">
        <v>0</v>
      </c>
      <c r="DM99" s="4">
        <v>0</v>
      </c>
      <c r="DN99" s="4">
        <v>0</v>
      </c>
      <c r="DO99" s="4">
        <v>1.783</v>
      </c>
      <c r="DP99" s="4">
        <v>1.767</v>
      </c>
      <c r="DQ99" s="6">
        <v>-0.006169377453729696</v>
      </c>
      <c r="DR99" s="6">
        <v>0.0614</v>
      </c>
      <c r="DS99" s="6">
        <v>0.09714321858113237</v>
      </c>
      <c r="DT99" s="9">
        <v>63</v>
      </c>
      <c r="DU99" s="7">
        <f>IFERROR(DM99/F99,0)</f>
        <v>0</v>
      </c>
      <c r="DV99" t="inlineStr">
        <is>
          <t xml:space="preserve">SI69U</t>
        </is>
      </c>
      <c r="DW99" t="inlineStr">
        <is>
          <t xml:space="preserve">future</t>
        </is>
      </c>
      <c r="DX99" t="inlineStr">
        <is>
          <t xml:space="preserve">lease</t>
        </is>
      </c>
      <c r="DY99" t="inlineStr">
        <is>
          <t xml:space="preserve">long</t>
        </is>
      </c>
      <c r="DZ99" t="inlineStr">
        <is>
          <t xml:space="preserve">regular</t>
        </is>
      </c>
      <c r="EA99" s="4">
        <v>1.8030000000000002</v>
      </c>
      <c r="EB99" s="4">
        <v>1.8030000000000002</v>
      </c>
      <c r="EC99" s="4">
        <v>0.00007085839483511322</v>
      </c>
      <c r="ED99" s="6">
        <v>0.00009641447240336114</v>
      </c>
      <c r="EE99" s="4">
        <v>0.00012775768588770914</v>
      </c>
      <c r="EF99" s="4">
        <v>0</v>
      </c>
      <c r="EG99" s="4">
        <v>0</v>
      </c>
      <c r="EH99" s="4">
        <v>0</v>
      </c>
      <c r="EI99" s="4">
        <v>0</v>
      </c>
      <c r="EJ99" s="4">
        <v>1.783</v>
      </c>
      <c r="EK99" s="4">
        <v>1.767</v>
      </c>
      <c r="EL99" s="6">
        <v>0.011217049915872357</v>
      </c>
      <c r="EM99" s="6">
        <v>0.061945054945054936</v>
      </c>
      <c r="EN99" s="6">
        <v>0.028385848229535188</v>
      </c>
      <c r="EO99" s="9">
        <v>122</v>
      </c>
      <c r="EP99" s="7">
        <f>IFERROR(EH99/F99,0)</f>
        <v>0</v>
      </c>
      <c r="EQ99" t="inlineStr">
        <is>
          <t xml:space="preserve">Lease cash / margin / financing</t>
        </is>
      </c>
      <c r="ER99" t="inlineStr">
        <is>
          <t xml:space="preserve">cash</t>
        </is>
      </c>
      <c r="ES99" t="inlineStr">
        <is>
          <t xml:space="preserve">lease</t>
        </is>
      </c>
      <c r="ET99" t="inlineStr">
        <is>
          <t xml:space="preserve">cash</t>
        </is>
      </c>
      <c r="EU99"/>
      <c r="EV99" s="4">
        <v>1</v>
      </c>
      <c r="EW99" s="4">
        <v>1</v>
      </c>
      <c r="EX99" s="4">
        <v>1.3322676295501878e-15</v>
      </c>
      <c r="EY99" s="6"/>
      <c r="EZ99" s="4">
        <v>1.3322676295501878e-15</v>
      </c>
      <c r="FA99" s="4">
        <v>1.3322676295501878e-15</v>
      </c>
      <c r="FB99" s="4">
        <v>-0.0000031981689824342116</v>
      </c>
      <c r="FC99" s="4">
        <v>0</v>
      </c>
      <c r="FD99" s="4">
        <v>-0.0000031981689837664792</v>
      </c>
      <c r="FE99" s="4">
        <v>1.783</v>
      </c>
      <c r="FF99" s="4">
        <v>1.767</v>
      </c>
      <c r="FG99" s="6"/>
      <c r="FH99" s="6"/>
      <c r="FI99" s="6"/>
      <c r="FJ99" s="9"/>
      <c r="FK99" s="7">
        <f>IFERROR(FC99/F99,0)</f>
        <v>0</v>
      </c>
      <c r="FL99" t="inlineStr">
        <is>
          <t xml:space="preserve">Keep cash / margin / financing</t>
        </is>
      </c>
      <c r="FM99" t="inlineStr">
        <is>
          <t xml:space="preserve">cash</t>
        </is>
      </c>
      <c r="FN99" t="inlineStr">
        <is>
          <t xml:space="preserve">keep</t>
        </is>
      </c>
      <c r="FO99" t="inlineStr">
        <is>
          <t xml:space="preserve">cash</t>
        </is>
      </c>
      <c r="FP99"/>
      <c r="FQ99" s="4">
        <v>1</v>
      </c>
      <c r="FR99" s="4">
        <v>1</v>
      </c>
      <c r="FS99" s="4">
        <v>0</v>
      </c>
      <c r="FT99" s="6"/>
      <c r="FU99" s="4">
        <v>0</v>
      </c>
      <c r="FV99" s="4">
        <v>0</v>
      </c>
      <c r="FW99" s="4">
        <v>0</v>
      </c>
      <c r="FX99" s="4">
        <v>0</v>
      </c>
      <c r="FY99" s="4">
        <v>0</v>
      </c>
      <c r="FZ99" s="4">
        <v>1.783</v>
      </c>
      <c r="GA99" s="4">
        <v>1.767</v>
      </c>
      <c r="GB99" s="6"/>
      <c r="GC99" s="6"/>
      <c r="GD99" s="6"/>
      <c r="GE99" s="9"/>
      <c r="GF99" s="7">
        <f>IFERROR(FX99/F99,0)</f>
        <v>0</v>
      </c>
      <c r="GG99"/>
      <c r="GH99"/>
      <c r="GI99"/>
      <c r="GJ99"/>
      <c r="GK99"/>
      <c r="GL99" s="4"/>
      <c r="GM99" s="4"/>
      <c r="GN99" s="4"/>
      <c r="GO99" s="6"/>
      <c r="GP99" s="4"/>
      <c r="GQ99" s="4"/>
      <c r="GR99" s="4"/>
      <c r="GS99" s="4"/>
      <c r="GT99" s="4"/>
      <c r="GU99" s="4"/>
      <c r="GV99" s="4"/>
      <c r="GW99" s="6"/>
      <c r="GX99" s="6"/>
      <c r="GY99" s="6"/>
      <c r="GZ99" s="9"/>
      <c r="HA99"/>
      <c r="HB99"/>
      <c r="HC99"/>
      <c r="HD99"/>
      <c r="HE99"/>
      <c r="HF99"/>
      <c r="HG99" s="4"/>
      <c r="HH99" s="4"/>
      <c r="HI99" s="4"/>
      <c r="HJ99" s="6"/>
      <c r="HK99" s="4"/>
      <c r="HL99" s="4"/>
      <c r="HM99" s="4"/>
      <c r="HN99" s="4"/>
      <c r="HO99" s="4"/>
      <c r="HP99" s="4"/>
      <c r="HQ99" s="4"/>
      <c r="HR99" s="6"/>
      <c r="HS99" s="6"/>
      <c r="HT99" s="6"/>
      <c r="HU99" s="9"/>
      <c r="HV99"/>
      <c r="HW99"/>
      <c r="HX99"/>
      <c r="HY99"/>
      <c r="HZ99"/>
      <c r="IA99"/>
      <c r="IB99" s="4"/>
      <c r="IC99" s="4"/>
      <c r="ID99" s="4"/>
      <c r="IE99" s="6"/>
      <c r="IF99" s="4"/>
      <c r="IG99" s="4"/>
      <c r="IH99" s="4"/>
      <c r="II99" s="4"/>
      <c r="IJ99" s="4"/>
      <c r="IK99" s="4"/>
      <c r="IL99" s="4"/>
      <c r="IM99" s="6"/>
      <c r="IN99" s="6"/>
      <c r="IO99" s="6"/>
      <c r="IP99" s="9"/>
      <c r="IQ99"/>
      <c r="IR99"/>
      <c r="IS99"/>
      <c r="IT99"/>
      <c r="IU99"/>
      <c r="IV99"/>
      <c r="IW99" s="4"/>
      <c r="IX99" s="4"/>
      <c r="IY99" s="4"/>
      <c r="IZ99" s="6"/>
      <c r="JA99" s="4"/>
      <c r="JB99" s="4"/>
      <c r="JC99" s="4"/>
      <c r="JD99" s="4"/>
      <c r="JE99" s="4"/>
      <c r="JF99" s="4"/>
      <c r="JG99" s="4"/>
      <c r="JH99" s="6"/>
      <c r="JI99" s="6"/>
      <c r="JJ99" s="6"/>
      <c r="JK99" s="9"/>
      <c r="JL99"/>
    </row>
    <row r="100">
      <c r="A100" s="8">
        <v>25351</v>
      </c>
      <c r="B100" s="8">
        <v>25352</v>
      </c>
      <c r="C100" s="9">
        <f>B100-A100</f>
        <v>1</v>
      </c>
      <c r="D100" s="8">
        <v>25351</v>
      </c>
      <c r="E100" t="inlineStr">
        <is>
          <t xml:space="preserve">positive</t>
        </is>
      </c>
      <c r="F100" s="4">
        <v>1.3210393386638062</v>
      </c>
      <c r="G100" s="6">
        <v>0.002977098833741876</v>
      </c>
      <c r="H100" s="7">
        <f>SUM(CE100,CZ100,DU100,EP100,FK100,GF100,HA100,HV100,IQ100,JL100)</f>
        <v>0.002977098833741876</v>
      </c>
      <c r="I100" s="7">
        <f>G100-H100</f>
        <v>0</v>
      </c>
      <c r="J100" s="5">
        <f>F100*(1+H100)</f>
        <v>1.3249722033382694</v>
      </c>
      <c r="K100" s="4">
        <v>1.3249722033382694</v>
      </c>
      <c r="L100" s="5">
        <f>K100-J100</f>
        <v>0</v>
      </c>
      <c r="M100" s="4">
        <v>1.767</v>
      </c>
      <c r="N100" s="4">
        <v>1.771</v>
      </c>
      <c r="O100" s="5">
        <f>M100/$M$3</f>
        <v>0.9024514811031664</v>
      </c>
      <c r="P100" s="5">
        <f>N100/$M$3</f>
        <v>0.9044943820224719</v>
      </c>
      <c r="Q100" s="7">
        <f>IFERROR(N100/M100-1,0)</f>
        <v>0.002263723825693287</v>
      </c>
      <c r="R100" s="5">
        <f>SUM(IF(BM100="lease",BU100,0),IF(CH100="lease",CP100,0),IF(DC100="lease",DK100,0),IF(DX100="lease",EF100,0),IF(ES100="lease",FA100,0),IF(FN100="lease",FV100,0),IF(GI100="lease",GQ100,0),IF(HD100="lease",HL100,0),IF(HY100="lease",IG100,0),IF(IT100="lease",JB100,0))</f>
        <v>1.3210393386638073</v>
      </c>
      <c r="S100" s="5">
        <f>SUM(IF(BM100="lease",BV100,0),IF(CH100="lease",CQ100,0),IF(DC100="lease",DL100,0),IF(DX100="lease",EG100,0),IF(ES100="lease",FB100,0),IF(FN100="lease",FW100,0),IF(GI100="lease",GR100,0),IF(HD100="lease",HM100,0),IF(HY100="lease",IH100,0),IF(IT100="lease",JC100,0))</f>
        <v>1.3249722033382707</v>
      </c>
      <c r="T100" s="5">
        <f>SUM(IF(BM100="keep",BU100,0),IF(CH100="keep",CP100,0),IF(DC100="keep",DK100,0),IF(DX100="keep",EF100,0),IF(ES100="keep",FA100,0),IF(FN100="keep",FV100,0),IF(GI100="keep",GQ100,0),IF(HD100="keep",HL100,0),IF(HY100="keep",IG100,0),IF(IT100="keep",JB100,0))</f>
        <v>0</v>
      </c>
      <c r="U100" s="5">
        <f>SUM(IF(BM100="keep",BV100,0),IF(CH100="keep",CQ100,0),IF(DC100="keep",DL100,0),IF(DX100="keep",EG100,0),IF(ES100="keep",FB100,0),IF(FN100="keep",FW100,0),IF(GI100="keep",GR100,0),IF(HD100="keep",HM100,0),IF(HY100="keep",IH100,0),IF(IT100="keep",JC100,0))</f>
        <v>0</v>
      </c>
      <c r="V100" s="5">
        <f>R100/O100</f>
        <v>1.4638341964367487</v>
      </c>
      <c r="W100" s="5">
        <f>S100/P100</f>
        <v>1.464876100585169</v>
      </c>
      <c r="X100" s="5">
        <f>T100/O100</f>
        <v>0</v>
      </c>
      <c r="Y100" s="5">
        <f>U100/P100</f>
        <v>0</v>
      </c>
      <c r="Z100" s="5">
        <f>V100+X100</f>
        <v>1.4638341964367487</v>
      </c>
      <c r="AA100" s="7">
        <f>IFERROR(W100/V100-1,0)</f>
        <v>0.0007117637714411096</v>
      </c>
      <c r="AB100" s="7">
        <f>IFERROR((W100-V100)/Z100,0)</f>
        <v>0.0007117637714410527</v>
      </c>
      <c r="AC100" s="7">
        <f>IFERROR(Y100/X100-1,0)</f>
        <v>0</v>
      </c>
      <c r="AD100" s="7">
        <f>IFERROR((Y100-X100)/Z100,0)</f>
        <v>0</v>
      </c>
      <c r="AE100" s="7">
        <f>AB100+AD100</f>
        <v>0.0007117637714410527</v>
      </c>
      <c r="AF100" s="7">
        <f>(1+Q100)*(1+AE100)-1</f>
        <v>0.0029770988337420867</v>
      </c>
      <c r="AG100" s="7">
        <f>G100-AF100</f>
        <v>-2.1076890233118206e-16</v>
      </c>
      <c r="AH100" s="5">
        <f>SUM(IF(BM100="lease",BW100,0),IF(CH100="lease",CR100,0),IF(DC100="lease",DM100,0),IF(DX100="lease",EH100,0),IF(ES100="lease",FC100,0),IF(FN100="lease",FX100,0),IF(GI100="lease",GS100,0),IF(HD100="lease",HN100,0),IF(HY100="lease",II100,0),IF(IT100="lease",JD100,0))</f>
        <v>0.003932864674463157</v>
      </c>
      <c r="AI100" s="5">
        <f>SUM(IF(BM100="keep",BW100,0),IF(CH100="keep",CR100,0),IF(DC100="keep",DM100,0),IF(DX100="keep",EH100,0),IF(ES100="keep",FC100,0),IF(FN100="keep",FX100,0),IF(GI100="keep",GS100,0),IF(HD100="keep",HN100,0),IF(HY100="keep",II100,0),IF(IT100="keep",JD100,0))</f>
        <v>0</v>
      </c>
      <c r="AJ100" s="5">
        <f>SUM(IF(BM100="lease",BX100,0),IF(CH100="lease",CS100,0),IF(DC100="lease",DN100,0),IF(DX100="lease",EI100,0),IF(ES100="lease",FD100,0),IF(FN100="lease",FY100,0),IF(GI100="lease",GT100,0),IF(HD100="lease",HO100,0),IF(HY100="lease",IJ100,0),IF(IT100="lease",JE100,0))</f>
        <v>0</v>
      </c>
      <c r="AK100" s="5">
        <f>SUM(IF(BM100="keep",BX100,0),IF(CH100="keep",CS100,0),IF(DC100="keep",DN100,0),IF(DX100="keep",EI100,0),IF(ES100="keep",FD100,0),IF(FN100="keep",FY100,0),IF(GI100="keep",GT100,0),IF(HD100="keep",HO100,0),IF(HY100="keep",IJ100,0),IF(IT100="keep",JE100,0))</f>
        <v>0</v>
      </c>
      <c r="AL100" s="5">
        <f>R100-S99</f>
        <v>0</v>
      </c>
      <c r="AM100" s="5">
        <f>T100-U99</f>
        <v>0</v>
      </c>
      <c r="AN100" s="5">
        <f>AN99</f>
        <v>1</v>
      </c>
      <c r="AO100" s="5">
        <f>AO99+AH100</f>
        <v>0.3249722033382704</v>
      </c>
      <c r="AP100" s="5">
        <f>AP99+AL100</f>
        <v>-4.440892098500626e-16</v>
      </c>
      <c r="AQ100" s="5">
        <f>AN100+AO100+AP100</f>
        <v>1.32497220333827</v>
      </c>
      <c r="AR100" s="5">
        <f>S100-AQ100</f>
        <v>6.661338147750939e-16</v>
      </c>
      <c r="AS100" s="5">
        <f>AS99</f>
        <v>0</v>
      </c>
      <c r="AT100" s="5">
        <f>AT99+AI100</f>
        <v>0</v>
      </c>
      <c r="AU100" s="5">
        <f>AU99+AM100</f>
        <v>0</v>
      </c>
      <c r="AV100" s="5">
        <f>AS100+AT100+AU100</f>
        <v>0</v>
      </c>
      <c r="AW100" s="5">
        <f>U100-AV100</f>
        <v>0</v>
      </c>
      <c r="AX100" s="4">
        <v>1.3210393386638073</v>
      </c>
      <c r="AY100" s="4">
        <v>1.3249722033382705</v>
      </c>
      <c r="AZ100" s="5">
        <f>S100-AY100</f>
        <v>2.220446049250313e-16</v>
      </c>
      <c r="BA100" s="4">
        <v>0</v>
      </c>
      <c r="BB100" s="4">
        <v>0</v>
      </c>
      <c r="BC100" s="5">
        <f>U100-BB100</f>
        <v>0</v>
      </c>
      <c r="BD100" s="7">
        <f>SUM(IF(BL100="direct",CE100,0),IF(CG100="direct",CZ100,0),IF(DB100="direct",DU100,0),IF(DW100="direct",EP100,0),IF(ER100="direct",FK100,0),IF(FM100="direct",GF100,0),IF(GH100="direct",HA100,0),IF(HC100="direct",HV100,0),IF(HX100="direct",IQ100,0),IF(IS100="direct",JL100,0))</f>
        <v>0.001586709941402092</v>
      </c>
      <c r="BE100" s="7">
        <f>SUM(IF(BL100="treasury",CE100,0),IF(CG100="treasury",CZ100,0),IF(DB100="treasury",DU100,0),IF(DW100="treasury",EP100,0),IF(ER100="treasury",FK100,0),IF(FM100="treasury",GF100,0),IF(GH100="treasury",HA100,0),IF(HC100="treasury",HV100,0),IF(HX100="treasury",IQ100,0),IF(IS100="treasury",JL100,0))</f>
        <v>0.00004978890896364169</v>
      </c>
      <c r="BF100" s="7">
        <f>SUM(IF(BL100="future",CE100,0),IF(CG100="future",CZ100,0),IF(DB100="future",DU100,0),IF(DW100="future",EP100,0),IF(ER100="future",FK100,0),IF(FM100="future",GF100,0),IF(GH100="future",HA100,0),IF(HC100="future",HV100,0),IF(HX100="future",IQ100,0),IF(IS100="future",JL100,0))</f>
        <v>0.0013405999833761423</v>
      </c>
      <c r="BG100" s="7">
        <f>SUM(IF(BL100="cash",CE100,0),IF(CG100="cash",CZ100,0),IF(DB100="cash",DU100,0),IF(DW100="cash",EP100,0),IF(ER100="cash",FK100,0),IF(FM100="cash",GF100,0),IF(GH100="cash",HA100,0),IF(HC100="cash",HV100,0),IF(HX100="cash",IQ100,0),IF(IS100="cash",JL100,0))</f>
        <v>0</v>
      </c>
      <c r="BH100" s="7">
        <f>SUM(BD100:BG100)</f>
        <v>0.002977098833741876</v>
      </c>
      <c r="BI100" s="7">
        <f>G100-BH100</f>
        <v>0</v>
      </c>
      <c r="BJ100" s="9">
        <f>COUNTA(BK100,CF100,DA100,DV100,EQ100,FL100,GG100,HB100,HW100,IR100)</f>
        <v>6</v>
      </c>
      <c r="BK100" t="inlineStr">
        <is>
          <t xml:space="preserve">Direct commodity holding</t>
        </is>
      </c>
      <c r="BL100" t="inlineStr">
        <is>
          <t xml:space="preserve">direct</t>
        </is>
      </c>
      <c r="BM100" t="inlineStr">
        <is>
          <t xml:space="preserve">lease</t>
        </is>
      </c>
      <c r="BN100" t="inlineStr">
        <is>
          <t xml:space="preserve">long</t>
        </is>
      </c>
      <c r="BO100"/>
      <c r="BP100" s="4">
        <v>1.767</v>
      </c>
      <c r="BQ100" s="4">
        <v>1.771</v>
      </c>
      <c r="BR100" s="4">
        <v>0.5256169140869696</v>
      </c>
      <c r="BS100" s="6">
        <v>0.7030563435991959</v>
      </c>
      <c r="BT100" s="4">
        <v>0.9287650871916754</v>
      </c>
      <c r="BU100" s="4">
        <v>0.9287650871916754</v>
      </c>
      <c r="BV100" s="4">
        <v>0.9308675548480232</v>
      </c>
      <c r="BW100" s="4">
        <v>0.0020961062516411063</v>
      </c>
      <c r="BX100" s="4">
        <v>0.000006361404706699877</v>
      </c>
      <c r="BY100" s="4">
        <v>1.767</v>
      </c>
      <c r="BZ100" s="4">
        <v>1.771</v>
      </c>
      <c r="CA100" s="6"/>
      <c r="CB100" s="6"/>
      <c r="CC100" s="6"/>
      <c r="CD100" s="9"/>
      <c r="CE100" s="7">
        <f>IFERROR(BW100/F100,0)</f>
        <v>0.001586709941402092</v>
      </c>
      <c r="CF100" t="inlineStr">
        <is>
          <t xml:space="preserve">Treasury collateral</t>
        </is>
      </c>
      <c r="CG100" t="inlineStr">
        <is>
          <t xml:space="preserve">treasury</t>
        </is>
      </c>
      <c r="CH100" t="inlineStr">
        <is>
          <t xml:space="preserve">lease</t>
        </is>
      </c>
      <c r="CI100" t="inlineStr">
        <is>
          <t xml:space="preserve">long</t>
        </is>
      </c>
      <c r="CJ100"/>
      <c r="CK100" s="4">
        <v>102.46319535059337</v>
      </c>
      <c r="CL100" s="4">
        <v>102.48037548088227</v>
      </c>
      <c r="CM100" s="4">
        <v>0.003828440545211429</v>
      </c>
      <c r="CN100" s="6">
        <v>0.29694365640080417</v>
      </c>
      <c r="CO100" s="4">
        <v>0.39227425147213085</v>
      </c>
      <c r="CP100" s="4">
        <v>0.39227425147213085</v>
      </c>
      <c r="CQ100" s="4">
        <v>0.3923400245795009</v>
      </c>
      <c r="CR100" s="4">
        <v>0.00006577310737012167</v>
      </c>
      <c r="CS100" s="4">
        <v>-7.318364664277155e-17</v>
      </c>
      <c r="CT100" s="4">
        <v>1.767</v>
      </c>
      <c r="CU100" s="4">
        <v>1.771</v>
      </c>
      <c r="CV100" s="6"/>
      <c r="CW100" s="6"/>
      <c r="CX100" s="6"/>
      <c r="CY100" s="9">
        <v>62</v>
      </c>
      <c r="CZ100" s="7">
        <f>IFERROR(CR100/F100,0)</f>
        <v>0.00004978890896364169</v>
      </c>
      <c r="DA100" t="inlineStr">
        <is>
          <t xml:space="preserve">SI69N</t>
        </is>
      </c>
      <c r="DB100" t="inlineStr">
        <is>
          <t xml:space="preserve">future</t>
        </is>
      </c>
      <c r="DC100" t="inlineStr">
        <is>
          <t xml:space="preserve">lease</t>
        </is>
      </c>
      <c r="DD100" t="inlineStr">
        <is>
          <t xml:space="preserve">long</t>
        </is>
      </c>
      <c r="DE100" t="inlineStr">
        <is>
          <t xml:space="preserve">regular</t>
        </is>
      </c>
      <c r="DF100" s="4">
        <v>1.7719999999999998</v>
      </c>
      <c r="DG100" s="4">
        <v>1.78</v>
      </c>
      <c r="DH100" s="4">
        <v>0.22134077412367337</v>
      </c>
      <c r="DI100" s="6">
        <v>0.29689944899283954</v>
      </c>
      <c r="DJ100" s="4">
        <v>0.3922158517471492</v>
      </c>
      <c r="DK100" s="4">
        <v>0</v>
      </c>
      <c r="DL100" s="4">
        <v>0</v>
      </c>
      <c r="DM100" s="4">
        <v>0.0017707261929894478</v>
      </c>
      <c r="DN100" s="4">
        <v>-0.0017707261929894478</v>
      </c>
      <c r="DO100" s="4">
        <v>1.767</v>
      </c>
      <c r="DP100" s="4">
        <v>1.771</v>
      </c>
      <c r="DQ100" s="6">
        <v>0.0028296547821164975</v>
      </c>
      <c r="DR100" s="6">
        <v>0.061200000000000004</v>
      </c>
      <c r="DS100" s="6">
        <v>0.04454154846012062</v>
      </c>
      <c r="DT100" s="9">
        <v>62</v>
      </c>
      <c r="DU100" s="7">
        <f>IFERROR(DM100/F100,0)</f>
        <v>0.0013404038329248296</v>
      </c>
      <c r="DV100" t="inlineStr">
        <is>
          <t xml:space="preserve">SI69U</t>
        </is>
      </c>
      <c r="DW100" t="inlineStr">
        <is>
          <t xml:space="preserve">future</t>
        </is>
      </c>
      <c r="DX100" t="inlineStr">
        <is>
          <t xml:space="preserve">lease</t>
        </is>
      </c>
      <c r="DY100" t="inlineStr">
        <is>
          <t xml:space="preserve">long</t>
        </is>
      </c>
      <c r="DZ100" t="inlineStr">
        <is>
          <t xml:space="preserve">regular</t>
        </is>
      </c>
      <c r="EA100" s="4">
        <v>1.8030000000000002</v>
      </c>
      <c r="EB100" s="4">
        <v>1.811</v>
      </c>
      <c r="EC100" s="4">
        <v>0.00003239030781009857</v>
      </c>
      <c r="ED100" s="6">
        <v>0.00004420740796460868</v>
      </c>
      <c r="EE100" s="4">
        <v>0.00005839972498160773</v>
      </c>
      <c r="EF100" s="4">
        <v>0</v>
      </c>
      <c r="EG100" s="4">
        <v>0</v>
      </c>
      <c r="EH100" s="4">
        <v>2.591224624807754e-7</v>
      </c>
      <c r="EI100" s="4">
        <v>-2.591224624807754e-7</v>
      </c>
      <c r="EJ100" s="4">
        <v>1.767</v>
      </c>
      <c r="EK100" s="4">
        <v>1.771</v>
      </c>
      <c r="EL100" s="6">
        <v>0.02037351443123958</v>
      </c>
      <c r="EM100" s="6">
        <v>0.06182637362637364</v>
      </c>
      <c r="EN100" s="6">
        <v>0.00036907802800628664</v>
      </c>
      <c r="EO100" s="9">
        <v>121</v>
      </c>
      <c r="EP100" s="7">
        <f>IFERROR(EH100/F100,0)</f>
        <v>1.9615045131272958e-7</v>
      </c>
      <c r="EQ100" t="inlineStr">
        <is>
          <t xml:space="preserve">Lease cash / margin / financing</t>
        </is>
      </c>
      <c r="ER100" t="inlineStr">
        <is>
          <t xml:space="preserve">cash</t>
        </is>
      </c>
      <c r="ES100" t="inlineStr">
        <is>
          <t xml:space="preserve">lease</t>
        </is>
      </c>
      <c r="ET100" t="inlineStr">
        <is>
          <t xml:space="preserve">cash</t>
        </is>
      </c>
      <c r="EU100"/>
      <c r="EV100" s="4">
        <v>1</v>
      </c>
      <c r="EW100" s="4">
        <v>1</v>
      </c>
      <c r="EX100" s="4">
        <v>1.1102230246251565e-15</v>
      </c>
      <c r="EY100" s="6"/>
      <c r="EZ100" s="4">
        <v>1.1102230246251565e-15</v>
      </c>
      <c r="FA100" s="4">
        <v>1.1102230246251565e-15</v>
      </c>
      <c r="FB100" s="4">
        <v>0.001764623910746412</v>
      </c>
      <c r="FC100" s="4">
        <v>0</v>
      </c>
      <c r="FD100" s="4">
        <v>0.0017646239107453018</v>
      </c>
      <c r="FE100" s="4">
        <v>1.767</v>
      </c>
      <c r="FF100" s="4">
        <v>1.771</v>
      </c>
      <c r="FG100" s="6"/>
      <c r="FH100" s="6"/>
      <c r="FI100" s="6"/>
      <c r="FJ100" s="9"/>
      <c r="FK100" s="7">
        <f>IFERROR(FC100/F100,0)</f>
        <v>0</v>
      </c>
      <c r="FL100" t="inlineStr">
        <is>
          <t xml:space="preserve">Keep cash / margin / financing</t>
        </is>
      </c>
      <c r="FM100" t="inlineStr">
        <is>
          <t xml:space="preserve">cash</t>
        </is>
      </c>
      <c r="FN100" t="inlineStr">
        <is>
          <t xml:space="preserve">keep</t>
        </is>
      </c>
      <c r="FO100" t="inlineStr">
        <is>
          <t xml:space="preserve">cash</t>
        </is>
      </c>
      <c r="FP100"/>
      <c r="FQ100" s="4">
        <v>1</v>
      </c>
      <c r="FR100" s="4">
        <v>1</v>
      </c>
      <c r="FS100" s="4">
        <v>0</v>
      </c>
      <c r="FT100" s="6"/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1.767</v>
      </c>
      <c r="GA100" s="4">
        <v>1.771</v>
      </c>
      <c r="GB100" s="6"/>
      <c r="GC100" s="6"/>
      <c r="GD100" s="6"/>
      <c r="GE100" s="9"/>
      <c r="GF100" s="7">
        <f>IFERROR(FX100/F100,0)</f>
        <v>0</v>
      </c>
      <c r="GG100"/>
      <c r="GH100"/>
      <c r="GI100"/>
      <c r="GJ100"/>
      <c r="GK100"/>
      <c r="GL100" s="4"/>
      <c r="GM100" s="4"/>
      <c r="GN100" s="4"/>
      <c r="GO100" s="6"/>
      <c r="GP100" s="4"/>
      <c r="GQ100" s="4"/>
      <c r="GR100" s="4"/>
      <c r="GS100" s="4"/>
      <c r="GT100" s="4"/>
      <c r="GU100" s="4"/>
      <c r="GV100" s="4"/>
      <c r="GW100" s="6"/>
      <c r="GX100" s="6"/>
      <c r="GY100" s="6"/>
      <c r="GZ100" s="9"/>
      <c r="HA100"/>
      <c r="HB100"/>
      <c r="HC100"/>
      <c r="HD100"/>
      <c r="HE100"/>
      <c r="HF100"/>
      <c r="HG100" s="4"/>
      <c r="HH100" s="4"/>
      <c r="HI100" s="4"/>
      <c r="HJ100" s="6"/>
      <c r="HK100" s="4"/>
      <c r="HL100" s="4"/>
      <c r="HM100" s="4"/>
      <c r="HN100" s="4"/>
      <c r="HO100" s="4"/>
      <c r="HP100" s="4"/>
      <c r="HQ100" s="4"/>
      <c r="HR100" s="6"/>
      <c r="HS100" s="6"/>
      <c r="HT100" s="6"/>
      <c r="HU100" s="9"/>
      <c r="HV100"/>
      <c r="HW100"/>
      <c r="HX100"/>
      <c r="HY100"/>
      <c r="HZ100"/>
      <c r="IA100"/>
      <c r="IB100" s="4"/>
      <c r="IC100" s="4"/>
      <c r="ID100" s="4"/>
      <c r="IE100" s="6"/>
      <c r="IF100" s="4"/>
      <c r="IG100" s="4"/>
      <c r="IH100" s="4"/>
      <c r="II100" s="4"/>
      <c r="IJ100" s="4"/>
      <c r="IK100" s="4"/>
      <c r="IL100" s="4"/>
      <c r="IM100" s="6"/>
      <c r="IN100" s="6"/>
      <c r="IO100" s="6"/>
      <c r="IP100" s="9"/>
      <c r="IQ100"/>
      <c r="IR100"/>
      <c r="IS100"/>
      <c r="IT100"/>
      <c r="IU100"/>
      <c r="IV100"/>
      <c r="IW100" s="4"/>
      <c r="IX100" s="4"/>
      <c r="IY100" s="4"/>
      <c r="IZ100" s="6"/>
      <c r="JA100" s="4"/>
      <c r="JB100" s="4"/>
      <c r="JC100" s="4"/>
      <c r="JD100" s="4"/>
      <c r="JE100" s="4"/>
      <c r="JF100" s="4"/>
      <c r="JG100" s="4"/>
      <c r="JH100" s="6"/>
      <c r="JI100" s="6"/>
      <c r="JJ100" s="6"/>
      <c r="JK100" s="9"/>
      <c r="JL100"/>
    </row>
    <row r="101">
      <c r="A101" s="8">
        <v>25352</v>
      </c>
      <c r="B101" s="8">
        <v>25356</v>
      </c>
      <c r="C101" s="9">
        <f>B101-A101</f>
        <v>4</v>
      </c>
      <c r="D101" s="8">
        <v>25352</v>
      </c>
      <c r="E101" t="inlineStr">
        <is>
          <t xml:space="preserve">positive</t>
        </is>
      </c>
      <c r="F101" s="4">
        <v>1.3249722033382694</v>
      </c>
      <c r="G101" s="6">
        <v>0.0008998203370215309</v>
      </c>
      <c r="H101" s="7">
        <f>SUM(CE101,CZ101,DU101,EP101,FK101,GF101,HA101,HV101,IQ101,JL101)</f>
        <v>0.0008998203370215308</v>
      </c>
      <c r="I101" s="7">
        <f>G101-H101</f>
        <v>1.0842021724855044e-19</v>
      </c>
      <c r="J101" s="5">
        <f>F101*(1+H101)</f>
        <v>1.3261644402728214</v>
      </c>
      <c r="K101" s="4">
        <v>1.3261644402728214</v>
      </c>
      <c r="L101" s="5">
        <f>K101-J101</f>
        <v>0</v>
      </c>
      <c r="M101" s="4">
        <v>1.771</v>
      </c>
      <c r="N101" s="4">
        <v>1.773</v>
      </c>
      <c r="O101" s="5">
        <f>M101/$M$3</f>
        <v>0.9044943820224719</v>
      </c>
      <c r="P101" s="5">
        <f>N101/$M$3</f>
        <v>0.9055158324821246</v>
      </c>
      <c r="Q101" s="7">
        <f>IFERROR(N101/M101-1,0)</f>
        <v>0.0011293054771315258</v>
      </c>
      <c r="R101" s="5">
        <f>SUM(IF(BM101="lease",BU101,0),IF(CH101="lease",CP101,0),IF(DC101="lease",DK101,0),IF(DX101="lease",EF101,0),IF(ES101="lease",FA101,0),IF(FN101="lease",FV101,0),IF(GI101="lease",GQ101,0),IF(HD101="lease",HL101,0),IF(HY101="lease",IG101,0),IF(IT101="lease",JB101,0))</f>
        <v>1.3249722033382705</v>
      </c>
      <c r="S101" s="5">
        <f>SUM(IF(BM101="lease",BV101,0),IF(CH101="lease",CQ101,0),IF(DC101="lease",DL101,0),IF(DX101="lease",EG101,0),IF(ES101="lease",FB101,0),IF(FN101="lease",FW101,0),IF(GI101="lease",GR101,0),IF(HD101="lease",HM101,0),IF(HY101="lease",IH101,0),IF(IT101="lease",JC101,0))</f>
        <v>1.3261644402728223</v>
      </c>
      <c r="T101" s="5">
        <f>SUM(IF(BM101="keep",BU101,0),IF(CH101="keep",CP101,0),IF(DC101="keep",DK101,0),IF(DX101="keep",EF101,0),IF(ES101="keep",FA101,0),IF(FN101="keep",FV101,0),IF(GI101="keep",GQ101,0),IF(HD101="keep",HL101,0),IF(HY101="keep",IG101,0),IF(IT101="keep",JB101,0))</f>
        <v>0</v>
      </c>
      <c r="U101" s="5">
        <f>SUM(IF(BM101="keep",BV101,0),IF(CH101="keep",CQ101,0),IF(DC101="keep",DL101,0),IF(DX101="keep",EG101,0),IF(ES101="keep",FB101,0),IF(FN101="keep",FW101,0),IF(GI101="keep",GR101,0),IF(HD101="keep",HM101,0),IF(HY101="keep",IH101,0),IF(IT101="keep",JC101,0))</f>
        <v>0</v>
      </c>
      <c r="V101" s="5">
        <f>R101/O101</f>
        <v>1.4648761005851687</v>
      </c>
      <c r="W101" s="5">
        <f>S101/P101</f>
        <v>1.4645403124953107</v>
      </c>
      <c r="X101" s="5">
        <f>T101/O101</f>
        <v>0</v>
      </c>
      <c r="Y101" s="5">
        <f>U101/P101</f>
        <v>0</v>
      </c>
      <c r="Z101" s="5">
        <f>V101+X101</f>
        <v>1.4648761005851687</v>
      </c>
      <c r="AA101" s="7">
        <f>IFERROR(W101/V101-1,0)</f>
        <v>-0.00022922627362398362</v>
      </c>
      <c r="AB101" s="7">
        <f>IFERROR((W101-V101)/Z101,0)</f>
        <v>-0.00022922627362401325</v>
      </c>
      <c r="AC101" s="7">
        <f>IFERROR(Y101/X101-1,0)</f>
        <v>0</v>
      </c>
      <c r="AD101" s="7">
        <f>IFERROR((Y101-X101)/Z101,0)</f>
        <v>0</v>
      </c>
      <c r="AE101" s="7">
        <f>AB101+AD101</f>
        <v>-0.00022922627362401325</v>
      </c>
      <c r="AF101" s="7">
        <f>(1+Q101)*(1+AE101)-1</f>
        <v>0.0008998203370211844</v>
      </c>
      <c r="AG101" s="7">
        <f>G101-AF101</f>
        <v>3.465110143263672e-16</v>
      </c>
      <c r="AH101" s="5">
        <f>SUM(IF(BM101="lease",BW101,0),IF(CH101="lease",CR101,0),IF(DC101="lease",DM101,0),IF(DX101="lease",EH101,0),IF(ES101="lease",FC101,0),IF(FN101="lease",FX101,0),IF(GI101="lease",GS101,0),IF(HD101="lease",HN101,0),IF(HY101="lease",II101,0),IF(IT101="lease",JD101,0))</f>
        <v>0.0011922369345520017</v>
      </c>
      <c r="AI101" s="5">
        <f>SUM(IF(BM101="keep",BW101,0),IF(CH101="keep",CR101,0),IF(DC101="keep",DM101,0),IF(DX101="keep",EH101,0),IF(ES101="keep",FC101,0),IF(FN101="keep",FX101,0),IF(GI101="keep",GS101,0),IF(HD101="keep",HN101,0),IF(HY101="keep",II101,0),IF(IT101="keep",JD101,0))</f>
        <v>0</v>
      </c>
      <c r="AJ101" s="5">
        <f>SUM(IF(BM101="lease",BX101,0),IF(CH101="lease",CS101,0),IF(DC101="lease",DN101,0),IF(DX101="lease",EI101,0),IF(ES101="lease",FD101,0),IF(FN101="lease",FY101,0),IF(GI101="lease",GT101,0),IF(HD101="lease",HO101,0),IF(HY101="lease",IJ101,0),IF(IT101="lease",JE101,0))</f>
        <v>0</v>
      </c>
      <c r="AK101" s="5">
        <f>SUM(IF(BM101="keep",BX101,0),IF(CH101="keep",CS101,0),IF(DC101="keep",DN101,0),IF(DX101="keep",EI101,0),IF(ES101="keep",FD101,0),IF(FN101="keep",FY101,0),IF(GI101="keep",GT101,0),IF(HD101="keep",HO101,0),IF(HY101="keep",IJ101,0),IF(IT101="keep",JE101,0))</f>
        <v>0</v>
      </c>
      <c r="AL101" s="5">
        <f>R101-S100</f>
        <v>-2.220446049250313e-16</v>
      </c>
      <c r="AM101" s="5">
        <f>T101-U100</f>
        <v>0</v>
      </c>
      <c r="AN101" s="5">
        <f>AN100</f>
        <v>1</v>
      </c>
      <c r="AO101" s="5">
        <f>AO100+AH101</f>
        <v>0.32616444027282243</v>
      </c>
      <c r="AP101" s="5">
        <f>AP100+AL101</f>
        <v>-6.661338147750939e-16</v>
      </c>
      <c r="AQ101" s="5">
        <f>AN101+AO101+AP101</f>
        <v>1.3261644402728219</v>
      </c>
      <c r="AR101" s="5">
        <f>S101-AQ101</f>
        <v>4.440892098500626e-16</v>
      </c>
      <c r="AS101" s="5">
        <f>AS100</f>
        <v>0</v>
      </c>
      <c r="AT101" s="5">
        <f>AT100+AI101</f>
        <v>0</v>
      </c>
      <c r="AU101" s="5">
        <f>AU100+AM101</f>
        <v>0</v>
      </c>
      <c r="AV101" s="5">
        <f>AS101+AT101+AU101</f>
        <v>0</v>
      </c>
      <c r="AW101" s="5">
        <f>U101-AV101</f>
        <v>0</v>
      </c>
      <c r="AX101" s="4">
        <v>1.3249722033382705</v>
      </c>
      <c r="AY101" s="4">
        <v>1.3261644402728225</v>
      </c>
      <c r="AZ101" s="5">
        <f>S101-AY101</f>
        <v>-2.220446049250313e-16</v>
      </c>
      <c r="BA101" s="4">
        <v>0</v>
      </c>
      <c r="BB101" s="4">
        <v>0</v>
      </c>
      <c r="BC101" s="5">
        <f>U101-BB101</f>
        <v>0</v>
      </c>
      <c r="BD101" s="7">
        <f>SUM(IF(BL101="direct",CE101,0),IF(CG101="direct",CZ101,0),IF(DB101="direct",DU101,0),IF(DW101="direct",EP101,0),IF(ER101="direct",FK101,0),IF(FM101="direct",GF101,0),IF(GH101="direct",HA101,0),IF(HC101="direct",HV101,0),IF(HX101="direct",IQ101,0),IF(IS101="direct",JL101,0))</f>
        <v>0.0008786464679519369</v>
      </c>
      <c r="BE101" s="7">
        <f>SUM(IF(BL101="treasury",CE101,0),IF(CG101="treasury",CZ101,0),IF(DB101="treasury",DU101,0),IF(DW101="treasury",EP101,0),IF(ER101="treasury",FK101,0),IF(FM101="treasury",GF101,0),IF(GH101="treasury",HA101,0),IF(HC101="treasury",HV101,0),IF(HX101="treasury",IQ101,0),IF(IS101="treasury",JL101,0))</f>
        <v>0.00013500181490438493</v>
      </c>
      <c r="BF101" s="7">
        <f>SUM(IF(BL101="future",CE101,0),IF(CG101="future",CZ101,0),IF(DB101="future",DU101,0),IF(DW101="future",EP101,0),IF(ER101="future",FK101,0),IF(FM101="future",GF101,0),IF(GH101="future",HA101,0),IF(HC101="future",HV101,0),IF(HX101="future",IQ101,0),IF(IS101="future",JL101,0))</f>
        <v>-0.00011382794583479107</v>
      </c>
      <c r="BG101" s="7">
        <f>SUM(IF(BL101="cash",CE101,0),IF(CG101="cash",CZ101,0),IF(DB101="cash",DU101,0),IF(DW101="cash",EP101,0),IF(ER101="cash",FK101,0),IF(FM101="cash",GF101,0),IF(GH101="cash",HA101,0),IF(HC101="cash",HV101,0),IF(HX101="cash",IQ101,0),IF(IS101="cash",JL101,0))</f>
        <v>0</v>
      </c>
      <c r="BH101" s="7">
        <f>SUM(BD101:BG101)</f>
        <v>0.0008998203370215309</v>
      </c>
      <c r="BI101" s="7">
        <f>G101-BH101</f>
        <v>0</v>
      </c>
      <c r="BJ101" s="9">
        <f>COUNTA(BK101,CF101,DA101,DV101,EQ101,FL101,GG101,HB101,HW101,IR101)</f>
        <v>5</v>
      </c>
      <c r="BK101" t="inlineStr">
        <is>
          <t xml:space="preserve">Direct commodity holding</t>
        </is>
      </c>
      <c r="BL101" t="inlineStr">
        <is>
          <t xml:space="preserve">direct</t>
        </is>
      </c>
      <c r="BM101" t="inlineStr">
        <is>
          <t xml:space="preserve">lease</t>
        </is>
      </c>
      <c r="BN101" t="inlineStr">
        <is>
          <t xml:space="preserve">long</t>
        </is>
      </c>
      <c r="BO101"/>
      <c r="BP101" s="4">
        <v>1.771</v>
      </c>
      <c r="BQ101" s="4">
        <v>1.773</v>
      </c>
      <c r="BR101" s="4">
        <v>0.5965638763820394</v>
      </c>
      <c r="BS101" s="6">
        <v>0.7973862564140604</v>
      </c>
      <c r="BT101" s="4">
        <v>1.0565146250725919</v>
      </c>
      <c r="BU101" s="4">
        <v>1.0565146250725919</v>
      </c>
      <c r="BV101" s="4">
        <v>1.0577077528253558</v>
      </c>
      <c r="BW101" s="4">
        <v>0.001164182146597666</v>
      </c>
      <c r="BX101" s="4">
        <v>0.000028945606166256785</v>
      </c>
      <c r="BY101" s="4">
        <v>1.771</v>
      </c>
      <c r="BZ101" s="4">
        <v>1.773</v>
      </c>
      <c r="CA101" s="6"/>
      <c r="CB101" s="6"/>
      <c r="CC101" s="6"/>
      <c r="CD101" s="9"/>
      <c r="CE101" s="7">
        <f>IFERROR(BW101/F101,0)</f>
        <v>0.0008786464679519369</v>
      </c>
      <c r="CF101" t="inlineStr">
        <is>
          <t xml:space="preserve">Treasury collateral</t>
        </is>
      </c>
      <c r="CG101" t="inlineStr">
        <is>
          <t xml:space="preserve">treasury</t>
        </is>
      </c>
      <c r="CH101" t="inlineStr">
        <is>
          <t xml:space="preserve">lease</t>
        </is>
      </c>
      <c r="CI101" t="inlineStr">
        <is>
          <t xml:space="preserve">long</t>
        </is>
      </c>
      <c r="CJ101"/>
      <c r="CK101" s="4">
        <v>102.48037548088227</v>
      </c>
      <c r="CL101" s="4">
        <v>102.54865829544926</v>
      </c>
      <c r="CM101" s="4">
        <v>0.0026195998697892972</v>
      </c>
      <c r="CN101" s="6">
        <v>0.2026137435859396</v>
      </c>
      <c r="CO101" s="4">
        <v>0.2684575782656775</v>
      </c>
      <c r="CP101" s="4">
        <v>0.2684575782656775</v>
      </c>
      <c r="CQ101" s="4">
        <v>0.26863645191782604</v>
      </c>
      <c r="CR101" s="4">
        <v>0.00017887365214852813</v>
      </c>
      <c r="CS101" s="4">
        <v>-2.439454888092385e-18</v>
      </c>
      <c r="CT101" s="4">
        <v>1.771</v>
      </c>
      <c r="CU101" s="4">
        <v>1.773</v>
      </c>
      <c r="CV101" s="6"/>
      <c r="CW101" s="6"/>
      <c r="CX101" s="6"/>
      <c r="CY101" s="9">
        <v>61</v>
      </c>
      <c r="CZ101" s="7">
        <f>IFERROR(CR101/F101,0)</f>
        <v>0.00013500181490438493</v>
      </c>
      <c r="DA101" t="inlineStr">
        <is>
          <t xml:space="preserve">SI69N</t>
        </is>
      </c>
      <c r="DB101" t="inlineStr">
        <is>
          <t xml:space="preserve">future</t>
        </is>
      </c>
      <c r="DC101" t="inlineStr">
        <is>
          <t xml:space="preserve">lease</t>
        </is>
      </c>
      <c r="DD101" t="inlineStr">
        <is>
          <t xml:space="preserve">long</t>
        </is>
      </c>
      <c r="DE101" t="inlineStr">
        <is>
          <t xml:space="preserve">regular</t>
        </is>
      </c>
      <c r="DF101" s="4">
        <v>1.78</v>
      </c>
      <c r="DG101" s="4">
        <v>1.7790000000000001</v>
      </c>
      <c r="DH101" s="4">
        <v>0.15081886419420085</v>
      </c>
      <c r="DI101" s="6">
        <v>0.2026137435859396</v>
      </c>
      <c r="DJ101" s="4">
        <v>0.2684575782656775</v>
      </c>
      <c r="DK101" s="4">
        <v>0</v>
      </c>
      <c r="DL101" s="4">
        <v>0</v>
      </c>
      <c r="DM101" s="4">
        <v>-0.0001508188641941923</v>
      </c>
      <c r="DN101" s="4">
        <v>0.0001508188641941923</v>
      </c>
      <c r="DO101" s="4">
        <v>1.771</v>
      </c>
      <c r="DP101" s="4">
        <v>1.773</v>
      </c>
      <c r="DQ101" s="6">
        <v>0.005081874647092199</v>
      </c>
      <c r="DR101" s="6">
        <v>0.0608</v>
      </c>
      <c r="DS101" s="6">
        <v>0.030392061537890938</v>
      </c>
      <c r="DT101" s="9">
        <v>61</v>
      </c>
      <c r="DU101" s="7">
        <f>IFERROR(DM101/F101,0)</f>
        <v>-0.00011382794583479107</v>
      </c>
      <c r="DV101" t="inlineStr">
        <is>
          <t xml:space="preserve">Lease cash / margin / financing</t>
        </is>
      </c>
      <c r="DW101" t="inlineStr">
        <is>
          <t xml:space="preserve">cash</t>
        </is>
      </c>
      <c r="DX101" t="inlineStr">
        <is>
          <t xml:space="preserve">lease</t>
        </is>
      </c>
      <c r="DY101" t="inlineStr">
        <is>
          <t xml:space="preserve">cash</t>
        </is>
      </c>
      <c r="DZ101"/>
      <c r="EA101" s="4">
        <v>1</v>
      </c>
      <c r="EB101" s="4">
        <v>1</v>
      </c>
      <c r="EC101" s="4">
        <v>1.1102230246251565e-15</v>
      </c>
      <c r="ED101" s="6"/>
      <c r="EE101" s="4">
        <v>1.1102230246251565e-15</v>
      </c>
      <c r="EF101" s="4">
        <v>1.1102230246251565e-15</v>
      </c>
      <c r="EG101" s="4">
        <v>-0.00017976447035933642</v>
      </c>
      <c r="EH101" s="4">
        <v>0</v>
      </c>
      <c r="EI101" s="4">
        <v>-0.00017976447036044665</v>
      </c>
      <c r="EJ101" s="4">
        <v>1.771</v>
      </c>
      <c r="EK101" s="4">
        <v>1.773</v>
      </c>
      <c r="EL101" s="6"/>
      <c r="EM101" s="6"/>
      <c r="EN101" s="6"/>
      <c r="EO101" s="9"/>
      <c r="EP101" s="7">
        <f>IFERROR(EH101/F101,0)</f>
        <v>0</v>
      </c>
      <c r="EQ101" t="inlineStr">
        <is>
          <t xml:space="preserve">Keep cash / margin / financing</t>
        </is>
      </c>
      <c r="ER101" t="inlineStr">
        <is>
          <t xml:space="preserve">cash</t>
        </is>
      </c>
      <c r="ES101" t="inlineStr">
        <is>
          <t xml:space="preserve">keep</t>
        </is>
      </c>
      <c r="ET101" t="inlineStr">
        <is>
          <t xml:space="preserve">cash</t>
        </is>
      </c>
      <c r="EU101"/>
      <c r="EV101" s="4">
        <v>1</v>
      </c>
      <c r="EW101" s="4">
        <v>1</v>
      </c>
      <c r="EX101" s="4">
        <v>0</v>
      </c>
      <c r="EY101" s="6"/>
      <c r="EZ101" s="4">
        <v>0</v>
      </c>
      <c r="FA101" s="4">
        <v>0</v>
      </c>
      <c r="FB101" s="4">
        <v>0</v>
      </c>
      <c r="FC101" s="4">
        <v>0</v>
      </c>
      <c r="FD101" s="4">
        <v>0</v>
      </c>
      <c r="FE101" s="4">
        <v>1.771</v>
      </c>
      <c r="FF101" s="4">
        <v>1.773</v>
      </c>
      <c r="FG101" s="6"/>
      <c r="FH101" s="6"/>
      <c r="FI101" s="6"/>
      <c r="FJ101" s="9"/>
      <c r="FK101" s="7">
        <f>IFERROR(FC101/F101,0)</f>
        <v>0</v>
      </c>
      <c r="FL101"/>
      <c r="FM101"/>
      <c r="FN101"/>
      <c r="FO101"/>
      <c r="FP101"/>
      <c r="FQ101" s="4"/>
      <c r="FR101" s="4"/>
      <c r="FS101" s="4"/>
      <c r="FT101" s="6"/>
      <c r="FU101" s="4"/>
      <c r="FV101" s="4"/>
      <c r="FW101" s="4"/>
      <c r="FX101" s="4"/>
      <c r="FY101" s="4"/>
      <c r="FZ101" s="4"/>
      <c r="GA101" s="4"/>
      <c r="GB101" s="6"/>
      <c r="GC101" s="6"/>
      <c r="GD101" s="6"/>
      <c r="GE101" s="9"/>
      <c r="GF101"/>
      <c r="GG101"/>
      <c r="GH101"/>
      <c r="GI101"/>
      <c r="GJ101"/>
      <c r="GK101"/>
      <c r="GL101" s="4"/>
      <c r="GM101" s="4"/>
      <c r="GN101" s="4"/>
      <c r="GO101" s="6"/>
      <c r="GP101" s="4"/>
      <c r="GQ101" s="4"/>
      <c r="GR101" s="4"/>
      <c r="GS101" s="4"/>
      <c r="GT101" s="4"/>
      <c r="GU101" s="4"/>
      <c r="GV101" s="4"/>
      <c r="GW101" s="6"/>
      <c r="GX101" s="6"/>
      <c r="GY101" s="6"/>
      <c r="GZ101" s="9"/>
      <c r="HA101"/>
      <c r="HB101"/>
      <c r="HC101"/>
      <c r="HD101"/>
      <c r="HE101"/>
      <c r="HF101"/>
      <c r="HG101" s="4"/>
      <c r="HH101" s="4"/>
      <c r="HI101" s="4"/>
      <c r="HJ101" s="6"/>
      <c r="HK101" s="4"/>
      <c r="HL101" s="4"/>
      <c r="HM101" s="4"/>
      <c r="HN101" s="4"/>
      <c r="HO101" s="4"/>
      <c r="HP101" s="4"/>
      <c r="HQ101" s="4"/>
      <c r="HR101" s="6"/>
      <c r="HS101" s="6"/>
      <c r="HT101" s="6"/>
      <c r="HU101" s="9"/>
      <c r="HV101"/>
      <c r="HW101"/>
      <c r="HX101"/>
      <c r="HY101"/>
      <c r="HZ101"/>
      <c r="IA101"/>
      <c r="IB101" s="4"/>
      <c r="IC101" s="4"/>
      <c r="ID101" s="4"/>
      <c r="IE101" s="6"/>
      <c r="IF101" s="4"/>
      <c r="IG101" s="4"/>
      <c r="IH101" s="4"/>
      <c r="II101" s="4"/>
      <c r="IJ101" s="4"/>
      <c r="IK101" s="4"/>
      <c r="IL101" s="4"/>
      <c r="IM101" s="6"/>
      <c r="IN101" s="6"/>
      <c r="IO101" s="6"/>
      <c r="IP101" s="9"/>
      <c r="IQ101"/>
      <c r="IR101"/>
      <c r="IS101"/>
      <c r="IT101"/>
      <c r="IU101"/>
      <c r="IV101"/>
      <c r="IW101" s="4"/>
      <c r="IX101" s="4"/>
      <c r="IY101" s="4"/>
      <c r="IZ101" s="6"/>
      <c r="JA101" s="4"/>
      <c r="JB101" s="4"/>
      <c r="JC101" s="4"/>
      <c r="JD101" s="4"/>
      <c r="JE101" s="4"/>
      <c r="JF101" s="4"/>
      <c r="JG101" s="4"/>
      <c r="JH101" s="6"/>
      <c r="JI101" s="6"/>
      <c r="JJ101" s="6"/>
      <c r="JK101" s="9"/>
      <c r="JL101"/>
    </row>
    <row r="102">
      <c r="A102" s="8">
        <v>25356</v>
      </c>
      <c r="B102" s="8">
        <v>25357</v>
      </c>
      <c r="C102" s="9">
        <f>B102-A102</f>
        <v>1</v>
      </c>
      <c r="D102" s="8">
        <v>25356</v>
      </c>
      <c r="E102" t="inlineStr">
        <is>
          <t xml:space="preserve">positive</t>
        </is>
      </c>
      <c r="F102" s="4">
        <v>1.3261644402728214</v>
      </c>
      <c r="G102" s="6">
        <v>-0.004849324150807848</v>
      </c>
      <c r="H102" s="7">
        <f>SUM(CE102,CZ102,DU102,EP102,FK102,GF102,HA102,HV102,IQ102,JL102)</f>
        <v>-0.004849324150807848</v>
      </c>
      <c r="I102" s="7">
        <f>G102-H102</f>
        <v>0</v>
      </c>
      <c r="J102" s="5">
        <f>F102*(1+H102)</f>
        <v>1.3197334390246638</v>
      </c>
      <c r="K102" s="4">
        <v>1.3197334390246638</v>
      </c>
      <c r="L102" s="5">
        <f>K102-J102</f>
        <v>0</v>
      </c>
      <c r="M102" s="4">
        <v>1.773</v>
      </c>
      <c r="N102" s="4">
        <v>1.773</v>
      </c>
      <c r="O102" s="5">
        <f>M102/$M$3</f>
        <v>0.9055158324821246</v>
      </c>
      <c r="P102" s="5">
        <f>N102/$M$3</f>
        <v>0.9055158324821246</v>
      </c>
      <c r="Q102" s="7">
        <f>IFERROR(N102/M102-1,0)</f>
        <v>0</v>
      </c>
      <c r="R102" s="5">
        <f>SUM(IF(BM102="lease",BU102,0),IF(CH102="lease",CP102,0),IF(DC102="lease",DK102,0),IF(DX102="lease",EF102,0),IF(ES102="lease",FA102,0),IF(FN102="lease",FV102,0),IF(GI102="lease",GQ102,0),IF(HD102="lease",HL102,0),IF(HY102="lease",IG102,0),IF(IT102="lease",JB102,0))</f>
        <v>1.3261644402728225</v>
      </c>
      <c r="S102" s="5">
        <f>SUM(IF(BM102="lease",BV102,0),IF(CH102="lease",CQ102,0),IF(DC102="lease",DL102,0),IF(DX102="lease",EG102,0),IF(ES102="lease",FB102,0),IF(FN102="lease",FW102,0),IF(GI102="lease",GR102,0),IF(HD102="lease",HM102,0),IF(HY102="lease",IH102,0),IF(IT102="lease",JC102,0))</f>
        <v>1.319733439024665</v>
      </c>
      <c r="T102" s="5">
        <f>SUM(IF(BM102="keep",BU102,0),IF(CH102="keep",CP102,0),IF(DC102="keep",DK102,0),IF(DX102="keep",EF102,0),IF(ES102="keep",FA102,0),IF(FN102="keep",FV102,0),IF(GI102="keep",GQ102,0),IF(HD102="keep",HL102,0),IF(HY102="keep",IG102,0),IF(IT102="keep",JB102,0))</f>
        <v>0</v>
      </c>
      <c r="U102" s="5">
        <f>SUM(IF(BM102="keep",BV102,0),IF(CH102="keep",CQ102,0),IF(DC102="keep",DL102,0),IF(DX102="keep",EG102,0),IF(ES102="keep",FB102,0),IF(FN102="keep",FW102,0),IF(GI102="keep",GR102,0),IF(HD102="keep",HM102,0),IF(HY102="keep",IH102,0),IF(IT102="keep",JC102,0))</f>
        <v>0</v>
      </c>
      <c r="V102" s="5">
        <f>R102/O102</f>
        <v>1.4645403124953111</v>
      </c>
      <c r="W102" s="5">
        <f>S102/P102</f>
        <v>1.4574382817880958</v>
      </c>
      <c r="X102" s="5">
        <f>T102/O102</f>
        <v>0</v>
      </c>
      <c r="Y102" s="5">
        <f>U102/P102</f>
        <v>0</v>
      </c>
      <c r="Z102" s="5">
        <f>V102+X102</f>
        <v>1.4645403124953111</v>
      </c>
      <c r="AA102" s="7">
        <f>IFERROR(W102/V102-1,0)</f>
        <v>-0.004849324150807965</v>
      </c>
      <c r="AB102" s="7">
        <f>IFERROR((W102-V102)/Z102,0)</f>
        <v>-0.00484932415080798</v>
      </c>
      <c r="AC102" s="7">
        <f>IFERROR(Y102/X102-1,0)</f>
        <v>0</v>
      </c>
      <c r="AD102" s="7">
        <f>IFERROR((Y102-X102)/Z102,0)</f>
        <v>0</v>
      </c>
      <c r="AE102" s="7">
        <f>AB102+AD102</f>
        <v>-0.00484932415080798</v>
      </c>
      <c r="AF102" s="7">
        <f>(1+Q102)*(1+AE102)-1</f>
        <v>-0.004849324150807965</v>
      </c>
      <c r="AG102" s="7">
        <f>G102-AF102</f>
        <v>1.1709383462843448e-16</v>
      </c>
      <c r="AH102" s="5">
        <f>SUM(IF(BM102="lease",BW102,0),IF(CH102="lease",CR102,0),IF(DC102="lease",DM102,0),IF(DX102="lease",EH102,0),IF(ES102="lease",FC102,0),IF(FN102="lease",FX102,0),IF(GI102="lease",GS102,0),IF(HD102="lease",HN102,0),IF(HY102="lease",II102,0),IF(IT102="lease",JD102,0))</f>
        <v>-0.006431001248157565</v>
      </c>
      <c r="AI102" s="5">
        <f>SUM(IF(BM102="keep",BW102,0),IF(CH102="keep",CR102,0),IF(DC102="keep",DM102,0),IF(DX102="keep",EH102,0),IF(ES102="keep",FC102,0),IF(FN102="keep",FX102,0),IF(GI102="keep",GS102,0),IF(HD102="keep",HN102,0),IF(HY102="keep",II102,0),IF(IT102="keep",JD102,0))</f>
        <v>0</v>
      </c>
      <c r="AJ102" s="5">
        <f>SUM(IF(BM102="lease",BX102,0),IF(CH102="lease",CS102,0),IF(DC102="lease",DN102,0),IF(DX102="lease",EI102,0),IF(ES102="lease",FD102,0),IF(FN102="lease",FY102,0),IF(GI102="lease",GT102,0),IF(HD102="lease",HO102,0),IF(HY102="lease",IJ102,0),IF(IT102="lease",JE102,0))</f>
        <v>0</v>
      </c>
      <c r="AK102" s="5">
        <f>SUM(IF(BM102="keep",BX102,0),IF(CH102="keep",CS102,0),IF(DC102="keep",DN102,0),IF(DX102="keep",EI102,0),IF(ES102="keep",FD102,0),IF(FN102="keep",FY102,0),IF(GI102="keep",GT102,0),IF(HD102="keep",HO102,0),IF(HY102="keep",IJ102,0),IF(IT102="keep",JE102,0))</f>
        <v>0</v>
      </c>
      <c r="AL102" s="5">
        <f>R102-S101</f>
        <v>2.220446049250313e-16</v>
      </c>
      <c r="AM102" s="5">
        <f>T102-U101</f>
        <v>0</v>
      </c>
      <c r="AN102" s="5">
        <f>AN101</f>
        <v>1</v>
      </c>
      <c r="AO102" s="5">
        <f>AO101+AH102</f>
        <v>0.3197334390246649</v>
      </c>
      <c r="AP102" s="5">
        <f>AP101+AL102</f>
        <v>-4.440892098500626e-16</v>
      </c>
      <c r="AQ102" s="5">
        <f>AN102+AO102+AP102</f>
        <v>1.3197334390246644</v>
      </c>
      <c r="AR102" s="5">
        <f>S102-AQ102</f>
        <v>4.440892098500626e-16</v>
      </c>
      <c r="AS102" s="5">
        <f>AS101</f>
        <v>0</v>
      </c>
      <c r="AT102" s="5">
        <f>AT101+AI102</f>
        <v>0</v>
      </c>
      <c r="AU102" s="5">
        <f>AU101+AM102</f>
        <v>0</v>
      </c>
      <c r="AV102" s="5">
        <f>AS102+AT102+AU102</f>
        <v>0</v>
      </c>
      <c r="AW102" s="5">
        <f>U102-AV102</f>
        <v>0</v>
      </c>
      <c r="AX102" s="4">
        <v>1.3261644402728225</v>
      </c>
      <c r="AY102" s="4">
        <v>1.319733439024665</v>
      </c>
      <c r="AZ102" s="5">
        <f>S102-AY102</f>
        <v>0</v>
      </c>
      <c r="BA102" s="4">
        <v>0</v>
      </c>
      <c r="BB102" s="4">
        <v>0</v>
      </c>
      <c r="BC102" s="5">
        <f>U102-BB102</f>
        <v>0</v>
      </c>
      <c r="BD102" s="7">
        <f>SUM(IF(BL102="direct",CE102,0),IF(CG102="direct",CZ102,0),IF(DB102="direct",DU102,0),IF(DW102="direct",EP102,0),IF(ER102="direct",FK102,0),IF(FM102="direct",GF102,0),IF(GH102="direct",HA102,0),IF(HC102="direct",HV102,0),IF(HX102="direct",IQ102,0),IF(IS102="direct",JL102,0))</f>
        <v>-0.000005044295910797444</v>
      </c>
      <c r="BE102" s="7">
        <f>SUM(IF(BL102="treasury",CE102,0),IF(CG102="treasury",CZ102,0),IF(DB102="treasury",DU102,0),IF(DW102="treasury",EP102,0),IF(ER102="treasury",FK102,0),IF(FM102="treasury",GF102,0),IF(GH102="treasury",HA102,0),IF(HC102="treasury",HV102,0),IF(HX102="treasury",IQ102,0),IF(IS102="treasury",JL102,0))</f>
        <v>0.0000441868689803909</v>
      </c>
      <c r="BF102" s="7">
        <f>SUM(IF(BL102="future",CE102,0),IF(CG102="future",CZ102,0),IF(DB102="future",DU102,0),IF(DW102="future",EP102,0),IF(ER102="future",FK102,0),IF(FM102="future",GF102,0),IF(GH102="future",HA102,0),IF(HC102="future",HV102,0),IF(HX102="future",IQ102,0),IF(IS102="future",JL102,0))</f>
        <v>-0.004888466723877442</v>
      </c>
      <c r="BG102" s="7">
        <f>SUM(IF(BL102="cash",CE102,0),IF(CG102="cash",CZ102,0),IF(DB102="cash",DU102,0),IF(DW102="cash",EP102,0),IF(ER102="cash",FK102,0),IF(FM102="cash",GF102,0),IF(GH102="cash",HA102,0),IF(HC102="cash",HV102,0),IF(HX102="cash",IQ102,0),IF(IS102="cash",JL102,0))</f>
        <v>0</v>
      </c>
      <c r="BH102" s="7">
        <f>SUM(BD102:BG102)</f>
        <v>-0.004849324150807848</v>
      </c>
      <c r="BI102" s="7">
        <f>G102-BH102</f>
        <v>0</v>
      </c>
      <c r="BJ102" s="9">
        <f>COUNTA(BK102,CF102,DA102,DV102,EQ102,FL102,GG102,HB102,HW102,IR102)</f>
        <v>5</v>
      </c>
      <c r="BK102" t="inlineStr">
        <is>
          <t xml:space="preserve">Direct commodity holding</t>
        </is>
      </c>
      <c r="BL102" t="inlineStr">
        <is>
          <t xml:space="preserve">direct</t>
        </is>
      </c>
      <c r="BM102" t="inlineStr">
        <is>
          <t xml:space="preserve">lease</t>
        </is>
      </c>
      <c r="BN102" t="inlineStr">
        <is>
          <t xml:space="preserve">long</t>
        </is>
      </c>
      <c r="BO102"/>
      <c r="BP102" s="4">
        <v>1.773</v>
      </c>
      <c r="BQ102" s="4">
        <v>1.773</v>
      </c>
      <c r="BR102" s="4">
        <v>0.5508610355411865</v>
      </c>
      <c r="BS102" s="6">
        <v>0.7364672029764269</v>
      </c>
      <c r="BT102" s="4">
        <v>0.9766766160145235</v>
      </c>
      <c r="BU102" s="4">
        <v>0.9766766160145235</v>
      </c>
      <c r="BV102" s="4">
        <v>0.9766766160145236</v>
      </c>
      <c r="BW102" s="4">
        <v>-0.000006689565863113174</v>
      </c>
      <c r="BX102" s="4">
        <v>0.000006689565863224197</v>
      </c>
      <c r="BY102" s="4">
        <v>1.773</v>
      </c>
      <c r="BZ102" s="4">
        <v>1.773</v>
      </c>
      <c r="CA102" s="6"/>
      <c r="CB102" s="6"/>
      <c r="CC102" s="6"/>
      <c r="CD102" s="9"/>
      <c r="CE102" s="7">
        <f>IFERROR(BW102/F102,0)</f>
        <v>-0.000005044295910797444</v>
      </c>
      <c r="CF102" t="inlineStr">
        <is>
          <t xml:space="preserve">Treasury collateral</t>
        </is>
      </c>
      <c r="CG102" t="inlineStr">
        <is>
          <t xml:space="preserve">treasury</t>
        </is>
      </c>
      <c r="CH102" t="inlineStr">
        <is>
          <t xml:space="preserve">lease</t>
        </is>
      </c>
      <c r="CI102" t="inlineStr">
        <is>
          <t xml:space="preserve">long</t>
        </is>
      </c>
      <c r="CJ102"/>
      <c r="CK102" s="4">
        <v>102.54865829544926</v>
      </c>
      <c r="CL102" s="4">
        <v>102.5658527554155</v>
      </c>
      <c r="CM102" s="4">
        <v>0.0034080194716092833</v>
      </c>
      <c r="CN102" s="6">
        <v>0.26353279702357313</v>
      </c>
      <c r="CO102" s="4">
        <v>0.34948782425829794</v>
      </c>
      <c r="CP102" s="4">
        <v>0.34948782425829794</v>
      </c>
      <c r="CQ102" s="4">
        <v>0.3495464233126667</v>
      </c>
      <c r="CR102" s="4">
        <v>0.00005859905436878859</v>
      </c>
      <c r="CS102" s="4">
        <v>-8.822695178600792e-18</v>
      </c>
      <c r="CT102" s="4">
        <v>1.773</v>
      </c>
      <c r="CU102" s="4">
        <v>1.773</v>
      </c>
      <c r="CV102" s="6"/>
      <c r="CW102" s="6"/>
      <c r="CX102" s="6"/>
      <c r="CY102" s="9">
        <v>57</v>
      </c>
      <c r="CZ102" s="7">
        <f>IFERROR(CR102/F102,0)</f>
        <v>0.0000441868689803909</v>
      </c>
      <c r="DA102" t="inlineStr">
        <is>
          <t xml:space="preserve">SI69N</t>
        </is>
      </c>
      <c r="DB102" t="inlineStr">
        <is>
          <t xml:space="preserve">future</t>
        </is>
      </c>
      <c r="DC102" t="inlineStr">
        <is>
          <t xml:space="preserve">lease</t>
        </is>
      </c>
      <c r="DD102" t="inlineStr">
        <is>
          <t xml:space="preserve">long</t>
        </is>
      </c>
      <c r="DE102" t="inlineStr">
        <is>
          <t xml:space="preserve">regular</t>
        </is>
      </c>
      <c r="DF102" s="4">
        <v>1.7790000000000001</v>
      </c>
      <c r="DG102" s="4">
        <v>1.746</v>
      </c>
      <c r="DH102" s="4">
        <v>0.19645184050494544</v>
      </c>
      <c r="DI102" s="6">
        <v>0.26353279702357313</v>
      </c>
      <c r="DJ102" s="4">
        <v>0.34948782425829794</v>
      </c>
      <c r="DK102" s="4">
        <v>0</v>
      </c>
      <c r="DL102" s="4">
        <v>0</v>
      </c>
      <c r="DM102" s="4">
        <v>-0.0064829107366632405</v>
      </c>
      <c r="DN102" s="4">
        <v>0.0064829107366632405</v>
      </c>
      <c r="DO102" s="4">
        <v>1.773</v>
      </c>
      <c r="DP102" s="4">
        <v>1.773</v>
      </c>
      <c r="DQ102" s="6">
        <v>0.0033840947546532885</v>
      </c>
      <c r="DR102" s="6">
        <v>0.061200000000000004</v>
      </c>
      <c r="DS102" s="6">
        <v>0.039529919553535964</v>
      </c>
      <c r="DT102" s="9">
        <v>57</v>
      </c>
      <c r="DU102" s="7">
        <f>IFERROR(DM102/F102,0)</f>
        <v>-0.004888466723877442</v>
      </c>
      <c r="DV102" t="inlineStr">
        <is>
          <t xml:space="preserve">Lease cash / margin / financing</t>
        </is>
      </c>
      <c r="DW102" t="inlineStr">
        <is>
          <t xml:space="preserve">cash</t>
        </is>
      </c>
      <c r="DX102" t="inlineStr">
        <is>
          <t xml:space="preserve">lease</t>
        </is>
      </c>
      <c r="DY102" t="inlineStr">
        <is>
          <t xml:space="preserve">cash</t>
        </is>
      </c>
      <c r="DZ102"/>
      <c r="EA102" s="4">
        <v>1</v>
      </c>
      <c r="EB102" s="4">
        <v>1</v>
      </c>
      <c r="EC102" s="4">
        <v>1.1102230246251565e-15</v>
      </c>
      <c r="ED102" s="6"/>
      <c r="EE102" s="4">
        <v>1.1102230246251565e-15</v>
      </c>
      <c r="EF102" s="4">
        <v>1.1102230246251565e-15</v>
      </c>
      <c r="EG102" s="4">
        <v>-0.006489600302525346</v>
      </c>
      <c r="EH102" s="4">
        <v>0</v>
      </c>
      <c r="EI102" s="4">
        <v>-0.006489600302526456</v>
      </c>
      <c r="EJ102" s="4">
        <v>1.773</v>
      </c>
      <c r="EK102" s="4">
        <v>1.773</v>
      </c>
      <c r="EL102" s="6"/>
      <c r="EM102" s="6"/>
      <c r="EN102" s="6"/>
      <c r="EO102" s="9"/>
      <c r="EP102" s="7">
        <f>IFERROR(EH102/F102,0)</f>
        <v>0</v>
      </c>
      <c r="EQ102" t="inlineStr">
        <is>
          <t xml:space="preserve">Keep cash / margin / financing</t>
        </is>
      </c>
      <c r="ER102" t="inlineStr">
        <is>
          <t xml:space="preserve">cash</t>
        </is>
      </c>
      <c r="ES102" t="inlineStr">
        <is>
          <t xml:space="preserve">keep</t>
        </is>
      </c>
      <c r="ET102" t="inlineStr">
        <is>
          <t xml:space="preserve">cash</t>
        </is>
      </c>
      <c r="EU102"/>
      <c r="EV102" s="4">
        <v>1</v>
      </c>
      <c r="EW102" s="4">
        <v>1</v>
      </c>
      <c r="EX102" s="4">
        <v>0</v>
      </c>
      <c r="EY102" s="6"/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1.773</v>
      </c>
      <c r="FF102" s="4">
        <v>1.773</v>
      </c>
      <c r="FG102" s="6"/>
      <c r="FH102" s="6"/>
      <c r="FI102" s="6"/>
      <c r="FJ102" s="9"/>
      <c r="FK102" s="7">
        <f>IFERROR(FC102/F102,0)</f>
        <v>0</v>
      </c>
      <c r="FL102"/>
      <c r="FM102"/>
      <c r="FN102"/>
      <c r="FO102"/>
      <c r="FP102"/>
      <c r="FQ102" s="4"/>
      <c r="FR102" s="4"/>
      <c r="FS102" s="4"/>
      <c r="FT102" s="6"/>
      <c r="FU102" s="4"/>
      <c r="FV102" s="4"/>
      <c r="FW102" s="4"/>
      <c r="FX102" s="4"/>
      <c r="FY102" s="4"/>
      <c r="FZ102" s="4"/>
      <c r="GA102" s="4"/>
      <c r="GB102" s="6"/>
      <c r="GC102" s="6"/>
      <c r="GD102" s="6"/>
      <c r="GE102" s="9"/>
      <c r="GF102"/>
      <c r="GG102"/>
      <c r="GH102"/>
      <c r="GI102"/>
      <c r="GJ102"/>
      <c r="GK102"/>
      <c r="GL102" s="4"/>
      <c r="GM102" s="4"/>
      <c r="GN102" s="4"/>
      <c r="GO102" s="6"/>
      <c r="GP102" s="4"/>
      <c r="GQ102" s="4"/>
      <c r="GR102" s="4"/>
      <c r="GS102" s="4"/>
      <c r="GT102" s="4"/>
      <c r="GU102" s="4"/>
      <c r="GV102" s="4"/>
      <c r="GW102" s="6"/>
      <c r="GX102" s="6"/>
      <c r="GY102" s="6"/>
      <c r="GZ102" s="9"/>
      <c r="HA102"/>
      <c r="HB102"/>
      <c r="HC102"/>
      <c r="HD102"/>
      <c r="HE102"/>
      <c r="HF102"/>
      <c r="HG102" s="4"/>
      <c r="HH102" s="4"/>
      <c r="HI102" s="4"/>
      <c r="HJ102" s="6"/>
      <c r="HK102" s="4"/>
      <c r="HL102" s="4"/>
      <c r="HM102" s="4"/>
      <c r="HN102" s="4"/>
      <c r="HO102" s="4"/>
      <c r="HP102" s="4"/>
      <c r="HQ102" s="4"/>
      <c r="HR102" s="6"/>
      <c r="HS102" s="6"/>
      <c r="HT102" s="6"/>
      <c r="HU102" s="9"/>
      <c r="HV102"/>
      <c r="HW102"/>
      <c r="HX102"/>
      <c r="HY102"/>
      <c r="HZ102"/>
      <c r="IA102"/>
      <c r="IB102" s="4"/>
      <c r="IC102" s="4"/>
      <c r="ID102" s="4"/>
      <c r="IE102" s="6"/>
      <c r="IF102" s="4"/>
      <c r="IG102" s="4"/>
      <c r="IH102" s="4"/>
      <c r="II102" s="4"/>
      <c r="IJ102" s="4"/>
      <c r="IK102" s="4"/>
      <c r="IL102" s="4"/>
      <c r="IM102" s="6"/>
      <c r="IN102" s="6"/>
      <c r="IO102" s="6"/>
      <c r="IP102" s="9"/>
      <c r="IQ102"/>
      <c r="IR102"/>
      <c r="IS102"/>
      <c r="IT102"/>
      <c r="IU102"/>
      <c r="IV102"/>
      <c r="IW102" s="4"/>
      <c r="IX102" s="4"/>
      <c r="IY102" s="4"/>
      <c r="IZ102" s="6"/>
      <c r="JA102" s="4"/>
      <c r="JB102" s="4"/>
      <c r="JC102" s="4"/>
      <c r="JD102" s="4"/>
      <c r="JE102" s="4"/>
      <c r="JF102" s="4"/>
      <c r="JG102" s="4"/>
      <c r="JH102" s="6"/>
      <c r="JI102" s="6"/>
      <c r="JJ102" s="6"/>
      <c r="JK102" s="9"/>
      <c r="JL102"/>
    </row>
    <row r="103">
      <c r="A103" s="8">
        <v>25357</v>
      </c>
      <c r="B103" s="8">
        <v>25358</v>
      </c>
      <c r="C103" s="9">
        <f>B103-A103</f>
        <v>1</v>
      </c>
      <c r="D103" s="8">
        <v>25357</v>
      </c>
      <c r="E103" t="inlineStr">
        <is>
          <t xml:space="preserve">positive</t>
        </is>
      </c>
      <c r="F103" s="4">
        <v>1.3197334390246638</v>
      </c>
      <c r="G103" s="6">
        <v>0.009333118046729086</v>
      </c>
      <c r="H103" s="7">
        <f>SUM(CE103,CZ103,DU103,EP103,FK103,GF103,HA103,HV103,IQ103,JL103)</f>
        <v>0.009333118046729086</v>
      </c>
      <c r="I103" s="7">
        <f>G103-H103</f>
        <v>0</v>
      </c>
      <c r="J103" s="5">
        <f>F103*(1+H103)</f>
        <v>1.3320506670012968</v>
      </c>
      <c r="K103" s="4">
        <v>1.3320506670012968</v>
      </c>
      <c r="L103" s="5">
        <f>K103-J103</f>
        <v>0</v>
      </c>
      <c r="M103" s="4">
        <v>1.773</v>
      </c>
      <c r="N103" s="4">
        <v>1.758</v>
      </c>
      <c r="O103" s="5">
        <f>M103/$M$3</f>
        <v>0.9055158324821246</v>
      </c>
      <c r="P103" s="5">
        <f>N103/$M$3</f>
        <v>0.8978549540347294</v>
      </c>
      <c r="Q103" s="7">
        <f>IFERROR(N103/M103-1,0)</f>
        <v>-0.008460236886632777</v>
      </c>
      <c r="R103" s="5">
        <f>SUM(IF(BM103="lease",BU103,0),IF(CH103="lease",CP103,0),IF(DC103="lease",DK103,0),IF(DX103="lease",EF103,0),IF(ES103="lease",FA103,0),IF(FN103="lease",FV103,0),IF(GI103="lease",GQ103,0),IF(HD103="lease",HL103,0),IF(HY103="lease",IG103,0),IF(IT103="lease",JB103,0))</f>
        <v>1.319733439024665</v>
      </c>
      <c r="S103" s="5">
        <f>SUM(IF(BM103="lease",BV103,0),IF(CH103="lease",CQ103,0),IF(DC103="lease",DL103,0),IF(DX103="lease",EG103,0),IF(ES103="lease",FB103,0),IF(FN103="lease",FW103,0),IF(GI103="lease",GR103,0),IF(HD103="lease",HM103,0),IF(HY103="lease",IH103,0),IF(IT103="lease",JC103,0))</f>
        <v>1.332050667001298</v>
      </c>
      <c r="T103" s="5">
        <f>SUM(IF(BM103="keep",BU103,0),IF(CH103="keep",CP103,0),IF(DC103="keep",DK103,0),IF(DX103="keep",EF103,0),IF(ES103="keep",FA103,0),IF(FN103="keep",FV103,0),IF(GI103="keep",GQ103,0),IF(HD103="keep",HL103,0),IF(HY103="keep",IG103,0),IF(IT103="keep",JB103,0))</f>
        <v>0</v>
      </c>
      <c r="U103" s="5">
        <f>SUM(IF(BM103="keep",BV103,0),IF(CH103="keep",CQ103,0),IF(DC103="keep",DL103,0),IF(DX103="keep",EG103,0),IF(ES103="keep",FB103,0),IF(FN103="keep",FW103,0),IF(GI103="keep",GR103,0),IF(HD103="keep",HM103,0),IF(HY103="keep",IH103,0),IF(IT103="keep",JC103,0))</f>
        <v>0</v>
      </c>
      <c r="V103" s="5">
        <f>R103/O103</f>
        <v>1.4574382817880958</v>
      </c>
      <c r="W103" s="5">
        <f>S103/P103</f>
        <v>1.4835922673427424</v>
      </c>
      <c r="X103" s="5">
        <f>T103/O103</f>
        <v>0</v>
      </c>
      <c r="Y103" s="5">
        <f>U103/P103</f>
        <v>0</v>
      </c>
      <c r="Z103" s="5">
        <f>V103+X103</f>
        <v>1.4574382817880958</v>
      </c>
      <c r="AA103" s="7">
        <f>IFERROR(W103/V103-1,0)</f>
        <v>0.01794517536794693</v>
      </c>
      <c r="AB103" s="7">
        <f>IFERROR((W103-V103)/Z103,0)</f>
        <v>0.017945175367946944</v>
      </c>
      <c r="AC103" s="7">
        <f>IFERROR(Y103/X103-1,0)</f>
        <v>0</v>
      </c>
      <c r="AD103" s="7">
        <f>IFERROR((Y103-X103)/Z103,0)</f>
        <v>0</v>
      </c>
      <c r="AE103" s="7">
        <f>AB103+AD103</f>
        <v>0.017945175367946944</v>
      </c>
      <c r="AF103" s="7">
        <f>(1+Q103)*(1+AE103)-1</f>
        <v>0.009333118046729094</v>
      </c>
      <c r="AG103" s="7">
        <f>G103-AF103</f>
        <v>-8.673617379884035e-18</v>
      </c>
      <c r="AH103" s="5">
        <f>SUM(IF(BM103="lease",BW103,0),IF(CH103="lease",CR103,0),IF(DC103="lease",DM103,0),IF(DX103="lease",EH103,0),IF(ES103="lease",FC103,0),IF(FN103="lease",FX103,0),IF(GI103="lease",GS103,0),IF(HD103="lease",HN103,0),IF(HY103="lease",II103,0),IF(IT103="lease",JD103,0))</f>
        <v>0.012317227976632929</v>
      </c>
      <c r="AI103" s="5">
        <f>SUM(IF(BM103="keep",BW103,0),IF(CH103="keep",CR103,0),IF(DC103="keep",DM103,0),IF(DX103="keep",EH103,0),IF(ES103="keep",FC103,0),IF(FN103="keep",FX103,0),IF(GI103="keep",GS103,0),IF(HD103="keep",HN103,0),IF(HY103="keep",II103,0),IF(IT103="keep",JD103,0))</f>
        <v>0</v>
      </c>
      <c r="AJ103" s="5">
        <f>SUM(IF(BM103="lease",BX103,0),IF(CH103="lease",CS103,0),IF(DC103="lease",DN103,0),IF(DX103="lease",EI103,0),IF(ES103="lease",FD103,0),IF(FN103="lease",FY103,0),IF(GI103="lease",GT103,0),IF(HD103="lease",HO103,0),IF(HY103="lease",IJ103,0),IF(IT103="lease",JE103,0))</f>
        <v>0</v>
      </c>
      <c r="AK103" s="5">
        <f>SUM(IF(BM103="keep",BX103,0),IF(CH103="keep",CS103,0),IF(DC103="keep",DN103,0),IF(DX103="keep",EI103,0),IF(ES103="keep",FD103,0),IF(FN103="keep",FY103,0),IF(GI103="keep",GT103,0),IF(HD103="keep",HO103,0),IF(HY103="keep",IJ103,0),IF(IT103="keep",JE103,0))</f>
        <v>0</v>
      </c>
      <c r="AL103" s="5">
        <f>R103-S102</f>
        <v>0</v>
      </c>
      <c r="AM103" s="5">
        <f>T103-U102</f>
        <v>0</v>
      </c>
      <c r="AN103" s="5">
        <f>AN102</f>
        <v>1</v>
      </c>
      <c r="AO103" s="5">
        <f>AO102+AH103</f>
        <v>0.3320506670012978</v>
      </c>
      <c r="AP103" s="5">
        <f>AP102+AL103</f>
        <v>-4.440892098500626e-16</v>
      </c>
      <c r="AQ103" s="5">
        <f>AN103+AO103+AP103</f>
        <v>1.3320506670012975</v>
      </c>
      <c r="AR103" s="5">
        <f>S103-AQ103</f>
        <v>4.440892098500626e-16</v>
      </c>
      <c r="AS103" s="5">
        <f>AS102</f>
        <v>0</v>
      </c>
      <c r="AT103" s="5">
        <f>AT102+AI103</f>
        <v>0</v>
      </c>
      <c r="AU103" s="5">
        <f>AU102+AM103</f>
        <v>0</v>
      </c>
      <c r="AV103" s="5">
        <f>AS103+AT103+AU103</f>
        <v>0</v>
      </c>
      <c r="AW103" s="5">
        <f>U103-AV103</f>
        <v>0</v>
      </c>
      <c r="AX103" s="4">
        <v>1.319733439024665</v>
      </c>
      <c r="AY103" s="4">
        <v>1.332050667001298</v>
      </c>
      <c r="AZ103" s="5">
        <f>S103-AY103</f>
        <v>0</v>
      </c>
      <c r="BA103" s="4">
        <v>0</v>
      </c>
      <c r="BB103" s="4">
        <v>0</v>
      </c>
      <c r="BC103" s="5">
        <f>U103-BB103</f>
        <v>0</v>
      </c>
      <c r="BD103" s="7">
        <f>SUM(IF(BL103="direct",CE103,0),IF(CG103="direct",CZ103,0),IF(DB103="direct",DU103,0),IF(DW103="direct",EP103,0),IF(ER103="direct",FK103,0),IF(FM103="direct",GF103,0),IF(GH103="direct",HA103,0),IF(HC103="direct",HV103,0),IF(HX103="direct",IQ103,0),IF(IS103="direct",JL103,0))</f>
        <v>0</v>
      </c>
      <c r="BE103" s="7">
        <f>SUM(IF(BL103="treasury",CE103,0),IF(CG103="treasury",CZ103,0),IF(DB103="treasury",DU103,0),IF(DW103="treasury",EP103,0),IF(ER103="treasury",FK103,0),IF(FM103="treasury",GF103,0),IF(GH103="treasury",HA103,0),IF(HC103="treasury",HV103,0),IF(HX103="treasury",IQ103,0),IF(IS103="treasury",JL103,0))</f>
        <v>0.00016931506849315067</v>
      </c>
      <c r="BF103" s="7">
        <f>SUM(IF(BL103="future",CE103,0),IF(CG103="future",CZ103,0),IF(DB103="future",DU103,0),IF(DW103="future",EP103,0),IF(ER103="future",FK103,0),IF(FM103="future",GF103,0),IF(GH103="future",HA103,0),IF(HC103="future",HV103,0),IF(HX103="future",IQ103,0),IF(IS103="future",JL103,0))</f>
        <v>0.009163802978235935</v>
      </c>
      <c r="BG103" s="7">
        <f>SUM(IF(BL103="cash",CE103,0),IF(CG103="cash",CZ103,0),IF(DB103="cash",DU103,0),IF(DW103="cash",EP103,0),IF(ER103="cash",FK103,0),IF(FM103="cash",GF103,0),IF(GH103="cash",HA103,0),IF(HC103="cash",HV103,0),IF(HX103="cash",IQ103,0),IF(IS103="cash",JL103,0))</f>
        <v>0</v>
      </c>
      <c r="BH103" s="7">
        <f>SUM(BD103:BG103)</f>
        <v>0.009333118046729086</v>
      </c>
      <c r="BI103" s="7">
        <f>G103-BH103</f>
        <v>0</v>
      </c>
      <c r="BJ103" s="9">
        <f>COUNTA(BK103,CF103,DA103,DV103,EQ103,FL103,GG103,HB103,HW103,IR103)</f>
        <v>4</v>
      </c>
      <c r="BK103" t="inlineStr">
        <is>
          <t xml:space="preserve">Treasury collateral</t>
        </is>
      </c>
      <c r="BL103" t="inlineStr">
        <is>
          <t xml:space="preserve">treasury</t>
        </is>
      </c>
      <c r="BM103" t="inlineStr">
        <is>
          <t xml:space="preserve">lease</t>
        </is>
      </c>
      <c r="BN103" t="inlineStr">
        <is>
          <t xml:space="preserve">long</t>
        </is>
      </c>
      <c r="BO103"/>
      <c r="BP103" s="4">
        <v>102.5658527554155</v>
      </c>
      <c r="BQ103" s="4">
        <v>102.58321869979984</v>
      </c>
      <c r="BR103" s="4">
        <v>0.012867181460205638</v>
      </c>
      <c r="BS103" s="6">
        <v>1</v>
      </c>
      <c r="BT103" s="4">
        <v>1.3197334390246638</v>
      </c>
      <c r="BU103" s="4">
        <v>1.3197334390246638</v>
      </c>
      <c r="BV103" s="4">
        <v>1.3199568897822849</v>
      </c>
      <c r="BW103" s="4">
        <v>0.00022345075762116224</v>
      </c>
      <c r="BX103" s="4">
        <v>-7.134050294954619e-17</v>
      </c>
      <c r="BY103" s="4">
        <v>1.773</v>
      </c>
      <c r="BZ103" s="4">
        <v>1.758</v>
      </c>
      <c r="CA103" s="6"/>
      <c r="CB103" s="6"/>
      <c r="CC103" s="6"/>
      <c r="CD103" s="9">
        <v>56</v>
      </c>
      <c r="CE103" s="7">
        <f>IFERROR(BW103/F103,0)</f>
        <v>0.00016931506849315067</v>
      </c>
      <c r="CF103" t="inlineStr">
        <is>
          <t xml:space="preserve">SI69N</t>
        </is>
      </c>
      <c r="CG103" t="inlineStr">
        <is>
          <t xml:space="preserve">future</t>
        </is>
      </c>
      <c r="CH103" t="inlineStr">
        <is>
          <t xml:space="preserve">lease</t>
        </is>
      </c>
      <c r="CI103" t="inlineStr">
        <is>
          <t xml:space="preserve">long</t>
        </is>
      </c>
      <c r="CJ103" t="inlineStr">
        <is>
          <t xml:space="preserve">regular</t>
        </is>
      </c>
      <c r="CK103" s="4">
        <v>1.746</v>
      </c>
      <c r="CL103" s="4">
        <v>1.7619999999999998</v>
      </c>
      <c r="CM103" s="4">
        <v>0.7558610761882382</v>
      </c>
      <c r="CN103" s="6">
        <v>1</v>
      </c>
      <c r="CO103" s="4">
        <v>1.3197334390246638</v>
      </c>
      <c r="CP103" s="4">
        <v>0</v>
      </c>
      <c r="CQ103" s="4">
        <v>0</v>
      </c>
      <c r="CR103" s="4">
        <v>0.012093777219011767</v>
      </c>
      <c r="CS103" s="4">
        <v>-0.012093777219011767</v>
      </c>
      <c r="CT103" s="4">
        <v>1.773</v>
      </c>
      <c r="CU103" s="4">
        <v>1.758</v>
      </c>
      <c r="CV103" s="6">
        <v>-0.015228426395939021</v>
      </c>
      <c r="CW103" s="6">
        <v>0.061799999999999994</v>
      </c>
      <c r="CX103" s="6">
        <v>0.1610567077592454</v>
      </c>
      <c r="CY103" s="9">
        <v>56</v>
      </c>
      <c r="CZ103" s="7">
        <f>IFERROR(CR103/F103,0)</f>
        <v>0.009163802978235935</v>
      </c>
      <c r="DA103" t="inlineStr">
        <is>
          <t xml:space="preserve">Lease cash / margin / financing</t>
        </is>
      </c>
      <c r="DB103" t="inlineStr">
        <is>
          <t xml:space="preserve">cash</t>
        </is>
      </c>
      <c r="DC103" t="inlineStr">
        <is>
          <t xml:space="preserve">lease</t>
        </is>
      </c>
      <c r="DD103" t="inlineStr">
        <is>
          <t xml:space="preserve">cash</t>
        </is>
      </c>
      <c r="DE103"/>
      <c r="DF103" s="4">
        <v>1</v>
      </c>
      <c r="DG103" s="4">
        <v>1</v>
      </c>
      <c r="DH103" s="4">
        <v>1.1102230246251565e-15</v>
      </c>
      <c r="DI103" s="6"/>
      <c r="DJ103" s="4">
        <v>1.1102230246251565e-15</v>
      </c>
      <c r="DK103" s="4">
        <v>1.1102230246251565e-15</v>
      </c>
      <c r="DL103" s="4">
        <v>0.012093777219012948</v>
      </c>
      <c r="DM103" s="4">
        <v>0</v>
      </c>
      <c r="DN103" s="4">
        <v>0.012093777219011838</v>
      </c>
      <c r="DO103" s="4">
        <v>1.773</v>
      </c>
      <c r="DP103" s="4">
        <v>1.758</v>
      </c>
      <c r="DQ103" s="6"/>
      <c r="DR103" s="6"/>
      <c r="DS103" s="6"/>
      <c r="DT103" s="9"/>
      <c r="DU103" s="7">
        <f>IFERROR(DM103/F103,0)</f>
        <v>0</v>
      </c>
      <c r="DV103" t="inlineStr">
        <is>
          <t xml:space="preserve">Keep cash / margin / financing</t>
        </is>
      </c>
      <c r="DW103" t="inlineStr">
        <is>
          <t xml:space="preserve">cash</t>
        </is>
      </c>
      <c r="DX103" t="inlineStr">
        <is>
          <t xml:space="preserve">keep</t>
        </is>
      </c>
      <c r="DY103" t="inlineStr">
        <is>
          <t xml:space="preserve">cash</t>
        </is>
      </c>
      <c r="DZ103"/>
      <c r="EA103" s="4">
        <v>1</v>
      </c>
      <c r="EB103" s="4">
        <v>1</v>
      </c>
      <c r="EC103" s="4">
        <v>0</v>
      </c>
      <c r="ED103" s="6"/>
      <c r="EE103" s="4">
        <v>0</v>
      </c>
      <c r="EF103" s="4">
        <v>0</v>
      </c>
      <c r="EG103" s="4">
        <v>0</v>
      </c>
      <c r="EH103" s="4">
        <v>0</v>
      </c>
      <c r="EI103" s="4">
        <v>0</v>
      </c>
      <c r="EJ103" s="4">
        <v>1.773</v>
      </c>
      <c r="EK103" s="4">
        <v>1.758</v>
      </c>
      <c r="EL103" s="6"/>
      <c r="EM103" s="6"/>
      <c r="EN103" s="6"/>
      <c r="EO103" s="9"/>
      <c r="EP103" s="7">
        <f>IFERROR(EH103/F103,0)</f>
        <v>0</v>
      </c>
      <c r="EQ103"/>
      <c r="ER103"/>
      <c r="ES103"/>
      <c r="ET103"/>
      <c r="EU103"/>
      <c r="EV103" s="4"/>
      <c r="EW103" s="4"/>
      <c r="EX103" s="4"/>
      <c r="EY103" s="6"/>
      <c r="EZ103" s="4"/>
      <c r="FA103" s="4"/>
      <c r="FB103" s="4"/>
      <c r="FC103" s="4"/>
      <c r="FD103" s="4"/>
      <c r="FE103" s="4"/>
      <c r="FF103" s="4"/>
      <c r="FG103" s="6"/>
      <c r="FH103" s="6"/>
      <c r="FI103" s="6"/>
      <c r="FJ103" s="9"/>
      <c r="FK103"/>
      <c r="FL103"/>
      <c r="FM103"/>
      <c r="FN103"/>
      <c r="FO103"/>
      <c r="FP103"/>
      <c r="FQ103" s="4"/>
      <c r="FR103" s="4"/>
      <c r="FS103" s="4"/>
      <c r="FT103" s="6"/>
      <c r="FU103" s="4"/>
      <c r="FV103" s="4"/>
      <c r="FW103" s="4"/>
      <c r="FX103" s="4"/>
      <c r="FY103" s="4"/>
      <c r="FZ103" s="4"/>
      <c r="GA103" s="4"/>
      <c r="GB103" s="6"/>
      <c r="GC103" s="6"/>
      <c r="GD103" s="6"/>
      <c r="GE103" s="9"/>
      <c r="GF103"/>
      <c r="GG103"/>
      <c r="GH103"/>
      <c r="GI103"/>
      <c r="GJ103"/>
      <c r="GK103"/>
      <c r="GL103" s="4"/>
      <c r="GM103" s="4"/>
      <c r="GN103" s="4"/>
      <c r="GO103" s="6"/>
      <c r="GP103" s="4"/>
      <c r="GQ103" s="4"/>
      <c r="GR103" s="4"/>
      <c r="GS103" s="4"/>
      <c r="GT103" s="4"/>
      <c r="GU103" s="4"/>
      <c r="GV103" s="4"/>
      <c r="GW103" s="6"/>
      <c r="GX103" s="6"/>
      <c r="GY103" s="6"/>
      <c r="GZ103" s="9"/>
      <c r="HA103"/>
      <c r="HB103"/>
      <c r="HC103"/>
      <c r="HD103"/>
      <c r="HE103"/>
      <c r="HF103"/>
      <c r="HG103" s="4"/>
      <c r="HH103" s="4"/>
      <c r="HI103" s="4"/>
      <c r="HJ103" s="6"/>
      <c r="HK103" s="4"/>
      <c r="HL103" s="4"/>
      <c r="HM103" s="4"/>
      <c r="HN103" s="4"/>
      <c r="HO103" s="4"/>
      <c r="HP103" s="4"/>
      <c r="HQ103" s="4"/>
      <c r="HR103" s="6"/>
      <c r="HS103" s="6"/>
      <c r="HT103" s="6"/>
      <c r="HU103" s="9"/>
      <c r="HV103"/>
      <c r="HW103"/>
      <c r="HX103"/>
      <c r="HY103"/>
      <c r="HZ103"/>
      <c r="IA103"/>
      <c r="IB103" s="4"/>
      <c r="IC103" s="4"/>
      <c r="ID103" s="4"/>
      <c r="IE103" s="6"/>
      <c r="IF103" s="4"/>
      <c r="IG103" s="4"/>
      <c r="IH103" s="4"/>
      <c r="II103" s="4"/>
      <c r="IJ103" s="4"/>
      <c r="IK103" s="4"/>
      <c r="IL103" s="4"/>
      <c r="IM103" s="6"/>
      <c r="IN103" s="6"/>
      <c r="IO103" s="6"/>
      <c r="IP103" s="9"/>
      <c r="IQ103"/>
      <c r="IR103"/>
      <c r="IS103"/>
      <c r="IT103"/>
      <c r="IU103"/>
      <c r="IV103"/>
      <c r="IW103" s="4"/>
      <c r="IX103" s="4"/>
      <c r="IY103" s="4"/>
      <c r="IZ103" s="6"/>
      <c r="JA103" s="4"/>
      <c r="JB103" s="4"/>
      <c r="JC103" s="4"/>
      <c r="JD103" s="4"/>
      <c r="JE103" s="4"/>
      <c r="JF103" s="4"/>
      <c r="JG103" s="4"/>
      <c r="JH103" s="6"/>
      <c r="JI103" s="6"/>
      <c r="JJ103" s="6"/>
      <c r="JK103" s="9"/>
      <c r="JL103"/>
    </row>
    <row r="104">
      <c r="A104" s="8">
        <v>25358</v>
      </c>
      <c r="B104" s="8">
        <v>25359</v>
      </c>
      <c r="C104" s="9">
        <f>B104-A104</f>
        <v>1</v>
      </c>
      <c r="D104" s="8">
        <v>25358</v>
      </c>
      <c r="E104" t="inlineStr">
        <is>
          <t xml:space="preserve">positive</t>
        </is>
      </c>
      <c r="F104" s="4">
        <v>1.3320506670012968</v>
      </c>
      <c r="G104" s="6">
        <v>0.00010396574845618041</v>
      </c>
      <c r="H104" s="7">
        <f>SUM(CE104,CZ104,DU104,EP104,FK104,GF104,HA104,HV104,IQ104,JL104)</f>
        <v>0.00010396574845618044</v>
      </c>
      <c r="I104" s="7">
        <f>G104-H104</f>
        <v>-2.710505431213761e-20</v>
      </c>
      <c r="J104" s="5">
        <f>F104*(1+H104)</f>
        <v>1.3321891546458733</v>
      </c>
      <c r="K104" s="4">
        <v>1.3321891546458733</v>
      </c>
      <c r="L104" s="5">
        <f>K104-J104</f>
        <v>0</v>
      </c>
      <c r="M104" s="4">
        <v>1.758</v>
      </c>
      <c r="N104" s="4">
        <v>1.766</v>
      </c>
      <c r="O104" s="5">
        <f>M104/$M$3</f>
        <v>0.8978549540347294</v>
      </c>
      <c r="P104" s="5">
        <f>N104/$M$3</f>
        <v>0.9019407558733402</v>
      </c>
      <c r="Q104" s="7">
        <f>IFERROR(N104/M104-1,0)</f>
        <v>0.004550625711035261</v>
      </c>
      <c r="R104" s="5">
        <f>SUM(IF(BM104="lease",BU104,0),IF(CH104="lease",CP104,0),IF(DC104="lease",DK104,0),IF(DX104="lease",EF104,0),IF(ES104="lease",FA104,0),IF(FN104="lease",FV104,0),IF(GI104="lease",GQ104,0),IF(HD104="lease",HL104,0),IF(HY104="lease",IG104,0),IF(IT104="lease",JB104,0))</f>
        <v>1.332050667001298</v>
      </c>
      <c r="S104" s="5">
        <f>SUM(IF(BM104="lease",BV104,0),IF(CH104="lease",CQ104,0),IF(DC104="lease",DL104,0),IF(DX104="lease",EG104,0),IF(ES104="lease",FB104,0),IF(FN104="lease",FW104,0),IF(GI104="lease",GR104,0),IF(HD104="lease",HM104,0),IF(HY104="lease",IH104,0),IF(IT104="lease",JC104,0))</f>
        <v>1.3321891546458742</v>
      </c>
      <c r="T104" s="5">
        <f>SUM(IF(BM104="keep",BU104,0),IF(CH104="keep",CP104,0),IF(DC104="keep",DK104,0),IF(DX104="keep",EF104,0),IF(ES104="keep",FA104,0),IF(FN104="keep",FV104,0),IF(GI104="keep",GQ104,0),IF(HD104="keep",HL104,0),IF(HY104="keep",IG104,0),IF(IT104="keep",JB104,0))</f>
        <v>0</v>
      </c>
      <c r="U104" s="5">
        <f>SUM(IF(BM104="keep",BV104,0),IF(CH104="keep",CQ104,0),IF(DC104="keep",DL104,0),IF(DX104="keep",EG104,0),IF(ES104="keep",FB104,0),IF(FN104="keep",FW104,0),IF(GI104="keep",GR104,0),IF(HD104="keep",HM104,0),IF(HY104="keep",IH104,0),IF(IT104="keep",JC104,0))</f>
        <v>0</v>
      </c>
      <c r="V104" s="5">
        <f>R104/O104</f>
        <v>1.4835922673427424</v>
      </c>
      <c r="W104" s="5">
        <f>S104/P104</f>
        <v>1.477025121628891</v>
      </c>
      <c r="X104" s="5">
        <f>T104/O104</f>
        <v>0</v>
      </c>
      <c r="Y104" s="5">
        <f>U104/P104</f>
        <v>0</v>
      </c>
      <c r="Z104" s="5">
        <f>V104+X104</f>
        <v>1.4835922673427424</v>
      </c>
      <c r="AA104" s="7">
        <f>IFERROR(W104/V104-1,0)</f>
        <v>-0.004426516542590075</v>
      </c>
      <c r="AB104" s="7">
        <f>IFERROR((W104-V104)/Z104,0)</f>
        <v>-0.00442651654259011</v>
      </c>
      <c r="AC104" s="7">
        <f>IFERROR(Y104/X104-1,0)</f>
        <v>0</v>
      </c>
      <c r="AD104" s="7">
        <f>IFERROR((Y104-X104)/Z104,0)</f>
        <v>0</v>
      </c>
      <c r="AE104" s="7">
        <f>AB104+AD104</f>
        <v>-0.00442651654259011</v>
      </c>
      <c r="AF104" s="7">
        <f>(1+Q104)*(1+AE104)-1</f>
        <v>0.00010396574845605855</v>
      </c>
      <c r="AG104" s="7">
        <f>G104-AF104</f>
        <v>1.218643241873707e-16</v>
      </c>
      <c r="AH104" s="5">
        <f>SUM(IF(BM104="lease",BW104,0),IF(CH104="lease",CR104,0),IF(DC104="lease",DM104,0),IF(DX104="lease",EH104,0),IF(ES104="lease",FC104,0),IF(FN104="lease",FX104,0),IF(GI104="lease",GS104,0),IF(HD104="lease",HN104,0),IF(HY104="lease",II104,0),IF(IT104="lease",JD104,0))</f>
        <v>0.0001384876445763442</v>
      </c>
      <c r="AI104" s="5">
        <f>SUM(IF(BM104="keep",BW104,0),IF(CH104="keep",CR104,0),IF(DC104="keep",DM104,0),IF(DX104="keep",EH104,0),IF(ES104="keep",FC104,0),IF(FN104="keep",FX104,0),IF(GI104="keep",GS104,0),IF(HD104="keep",HN104,0),IF(HY104="keep",II104,0),IF(IT104="keep",JD104,0))</f>
        <v>0</v>
      </c>
      <c r="AJ104" s="5">
        <f>SUM(IF(BM104="lease",BX104,0),IF(CH104="lease",CS104,0),IF(DC104="lease",DN104,0),IF(DX104="lease",EI104,0),IF(ES104="lease",FD104,0),IF(FN104="lease",FY104,0),IF(GI104="lease",GT104,0),IF(HD104="lease",HO104,0),IF(HY104="lease",IJ104,0),IF(IT104="lease",JE104,0))</f>
        <v>0</v>
      </c>
      <c r="AK104" s="5">
        <f>SUM(IF(BM104="keep",BX104,0),IF(CH104="keep",CS104,0),IF(DC104="keep",DN104,0),IF(DX104="keep",EI104,0),IF(ES104="keep",FD104,0),IF(FN104="keep",FY104,0),IF(GI104="keep",GT104,0),IF(HD104="keep",HO104,0),IF(HY104="keep",IJ104,0),IF(IT104="keep",JE104,0))</f>
        <v>0</v>
      </c>
      <c r="AL104" s="5">
        <f>R104-S103</f>
        <v>0</v>
      </c>
      <c r="AM104" s="5">
        <f>T104-U103</f>
        <v>0</v>
      </c>
      <c r="AN104" s="5">
        <f>AN103</f>
        <v>1</v>
      </c>
      <c r="AO104" s="5">
        <f>AO103+AH104</f>
        <v>0.3321891546458742</v>
      </c>
      <c r="AP104" s="5">
        <f>AP103+AL104</f>
        <v>-4.440892098500626e-16</v>
      </c>
      <c r="AQ104" s="5">
        <f>AN104+AO104+AP104</f>
        <v>1.3321891546458737</v>
      </c>
      <c r="AR104" s="5">
        <f>S104-AQ104</f>
        <v>4.440892098500626e-16</v>
      </c>
      <c r="AS104" s="5">
        <f>AS103</f>
        <v>0</v>
      </c>
      <c r="AT104" s="5">
        <f>AT103+AI104</f>
        <v>0</v>
      </c>
      <c r="AU104" s="5">
        <f>AU103+AM104</f>
        <v>0</v>
      </c>
      <c r="AV104" s="5">
        <f>AS104+AT104+AU104</f>
        <v>0</v>
      </c>
      <c r="AW104" s="5">
        <f>U104-AV104</f>
        <v>0</v>
      </c>
      <c r="AX104" s="4">
        <v>1.332050667001298</v>
      </c>
      <c r="AY104" s="4">
        <v>1.3321891546458742</v>
      </c>
      <c r="AZ104" s="5">
        <f>S104-AY104</f>
        <v>0</v>
      </c>
      <c r="BA104" s="4">
        <v>0</v>
      </c>
      <c r="BB104" s="4">
        <v>0</v>
      </c>
      <c r="BC104" s="5">
        <f>U104-BB104</f>
        <v>0</v>
      </c>
      <c r="BD104" s="7">
        <f>SUM(IF(BL104="direct",CE104,0),IF(CG104="direct",CZ104,0),IF(DB104="direct",DU104,0),IF(DW104="direct",EP104,0),IF(ER104="direct",FK104,0),IF(FM104="direct",GF104,0),IF(GH104="direct",HA104,0),IF(HC104="direct",HV104,0),IF(HX104="direct",IQ104,0),IF(IS104="direct",JL104,0))</f>
        <v>0.003104907918100175</v>
      </c>
      <c r="BE104" s="7">
        <f>SUM(IF(BL104="treasury",CE104,0),IF(CG104="treasury",CZ104,0),IF(DB104="treasury",DU104,0),IF(DW104="treasury",EP104,0),IF(ER104="treasury",FK104,0),IF(FM104="treasury",GF104,0),IF(GH104="treasury",HA104,0),IF(HC104="treasury",HV104,0),IF(HX104="treasury",IQ104,0),IF(IS104="treasury",JL104,0))</f>
        <v>0.000054310726961985956</v>
      </c>
      <c r="BF104" s="7">
        <f>SUM(IF(BL104="future",CE104,0),IF(CG104="future",CZ104,0),IF(DB104="future",DU104,0),IF(DW104="future",EP104,0),IF(ER104="future",FK104,0),IF(FM104="future",GF104,0),IF(GH104="future",HA104,0),IF(HC104="future",HV104,0),IF(HX104="future",IQ104,0),IF(IS104="future",JL104,0))</f>
        <v>-0.0030552528966059805</v>
      </c>
      <c r="BG104" s="7">
        <f>SUM(IF(BL104="cash",CE104,0),IF(CG104="cash",CZ104,0),IF(DB104="cash",DU104,0),IF(DW104="cash",EP104,0),IF(ER104="cash",FK104,0),IF(FM104="cash",GF104,0),IF(GH104="cash",HA104,0),IF(HC104="cash",HV104,0),IF(HX104="cash",IQ104,0),IF(IS104="cash",JL104,0))</f>
        <v>0</v>
      </c>
      <c r="BH104" s="7">
        <f>SUM(BD104:BG104)</f>
        <v>0.00010396574845618041</v>
      </c>
      <c r="BI104" s="7">
        <f>G104-BH104</f>
        <v>0</v>
      </c>
      <c r="BJ104" s="9">
        <f>COUNTA(BK104,CF104,DA104,DV104,EQ104,FL104,GG104,HB104,HW104,IR104)</f>
        <v>5</v>
      </c>
      <c r="BK104" t="inlineStr">
        <is>
          <t xml:space="preserve">Direct commodity holding</t>
        </is>
      </c>
      <c r="BL104" t="inlineStr">
        <is>
          <t xml:space="preserve">direct</t>
        </is>
      </c>
      <c r="BM104" t="inlineStr">
        <is>
          <t xml:space="preserve">lease</t>
        </is>
      </c>
      <c r="BN104" t="inlineStr">
        <is>
          <t xml:space="preserve">long</t>
        </is>
      </c>
      <c r="BO104"/>
      <c r="BP104" s="4">
        <v>1.758</v>
      </c>
      <c r="BQ104" s="4">
        <v>1.766</v>
      </c>
      <c r="BR104" s="4">
        <v>0.5177661418807682</v>
      </c>
      <c r="BS104" s="6">
        <v>0.6833320233047143</v>
      </c>
      <c r="BT104" s="4">
        <v>0.9102328774263906</v>
      </c>
      <c r="BU104" s="4">
        <v>0.9102328774263906</v>
      </c>
      <c r="BV104" s="4">
        <v>0.9143750065614367</v>
      </c>
      <c r="BW104" s="4">
        <v>0.004135894663282946</v>
      </c>
      <c r="BX104" s="4">
        <v>0.0000062344717631336935</v>
      </c>
      <c r="BY104" s="4">
        <v>1.758</v>
      </c>
      <c r="BZ104" s="4">
        <v>1.766</v>
      </c>
      <c r="CA104" s="6"/>
      <c r="CB104" s="6"/>
      <c r="CC104" s="6"/>
      <c r="CD104" s="9"/>
      <c r="CE104" s="7">
        <f>IFERROR(BW104/F104,0)</f>
        <v>0.003104907918100175</v>
      </c>
      <c r="CF104" t="inlineStr">
        <is>
          <t xml:space="preserve">Treasury collateral</t>
        </is>
      </c>
      <c r="CG104" t="inlineStr">
        <is>
          <t xml:space="preserve">treasury</t>
        </is>
      </c>
      <c r="CH104" t="inlineStr">
        <is>
          <t xml:space="preserve">lease</t>
        </is>
      </c>
      <c r="CI104" t="inlineStr">
        <is>
          <t xml:space="preserve">long</t>
        </is>
      </c>
      <c r="CJ104"/>
      <c r="CK104" s="4">
        <v>102.58321869979984</v>
      </c>
      <c r="CL104" s="4">
        <v>102.60081242443167</v>
      </c>
      <c r="CM104" s="4">
        <v>0.004111957052247661</v>
      </c>
      <c r="CN104" s="6">
        <v>0.3166679766952855</v>
      </c>
      <c r="CO104" s="4">
        <v>0.4218177895749062</v>
      </c>
      <c r="CP104" s="4">
        <v>0.4218177895749062</v>
      </c>
      <c r="CQ104" s="4">
        <v>0.4218901342149813</v>
      </c>
      <c r="CR104" s="4">
        <v>0.0000723446400750387</v>
      </c>
      <c r="CS104" s="4">
        <v>6.728829732988162e-17</v>
      </c>
      <c r="CT104" s="4">
        <v>1.758</v>
      </c>
      <c r="CU104" s="4">
        <v>1.766</v>
      </c>
      <c r="CV104" s="6"/>
      <c r="CW104" s="6"/>
      <c r="CX104" s="6"/>
      <c r="CY104" s="9">
        <v>55</v>
      </c>
      <c r="CZ104" s="7">
        <f>IFERROR(CR104/F104,0)</f>
        <v>0.000054310726961985956</v>
      </c>
      <c r="DA104" t="inlineStr">
        <is>
          <t xml:space="preserve">SI69N</t>
        </is>
      </c>
      <c r="DB104" t="inlineStr">
        <is>
          <t xml:space="preserve">future</t>
        </is>
      </c>
      <c r="DC104" t="inlineStr">
        <is>
          <t xml:space="preserve">lease</t>
        </is>
      </c>
      <c r="DD104" t="inlineStr">
        <is>
          <t xml:space="preserve">long</t>
        </is>
      </c>
      <c r="DE104" t="inlineStr">
        <is>
          <t xml:space="preserve">regular</t>
        </is>
      </c>
      <c r="DF104" s="4">
        <v>1.7619999999999998</v>
      </c>
      <c r="DG104" s="4">
        <v>1.745</v>
      </c>
      <c r="DH104" s="4">
        <v>0.23939715639892523</v>
      </c>
      <c r="DI104" s="6">
        <v>0.3166679766952855</v>
      </c>
      <c r="DJ104" s="4">
        <v>0.4218177895749062</v>
      </c>
      <c r="DK104" s="4">
        <v>0</v>
      </c>
      <c r="DL104" s="4">
        <v>0</v>
      </c>
      <c r="DM104" s="4">
        <v>-0.00406975165878164</v>
      </c>
      <c r="DN104" s="4">
        <v>0.00406975165878164</v>
      </c>
      <c r="DO104" s="4">
        <v>1.758</v>
      </c>
      <c r="DP104" s="4">
        <v>1.766</v>
      </c>
      <c r="DQ104" s="6">
        <v>0.0022753128555175195</v>
      </c>
      <c r="DR104" s="6">
        <v>0.06260000000000002</v>
      </c>
      <c r="DS104" s="6">
        <v>0.04750019650429282</v>
      </c>
      <c r="DT104" s="9">
        <v>55</v>
      </c>
      <c r="DU104" s="7">
        <f>IFERROR(DM104/F104,0)</f>
        <v>-0.0030552528966059805</v>
      </c>
      <c r="DV104" t="inlineStr">
        <is>
          <t xml:space="preserve">Lease cash / margin / financing</t>
        </is>
      </c>
      <c r="DW104" t="inlineStr">
        <is>
          <t xml:space="preserve">cash</t>
        </is>
      </c>
      <c r="DX104" t="inlineStr">
        <is>
          <t xml:space="preserve">lease</t>
        </is>
      </c>
      <c r="DY104" t="inlineStr">
        <is>
          <t xml:space="preserve">cash</t>
        </is>
      </c>
      <c r="DZ104"/>
      <c r="EA104" s="4">
        <v>1</v>
      </c>
      <c r="EB104" s="4">
        <v>1</v>
      </c>
      <c r="EC104" s="4">
        <v>1.1102230246251565e-15</v>
      </c>
      <c r="ED104" s="6"/>
      <c r="EE104" s="4">
        <v>1.1102230246251565e-15</v>
      </c>
      <c r="EF104" s="4">
        <v>1.1102230246251565e-15</v>
      </c>
      <c r="EG104" s="4">
        <v>-0.004075986130543731</v>
      </c>
      <c r="EH104" s="4">
        <v>0</v>
      </c>
      <c r="EI104" s="4">
        <v>-0.004075986130544842</v>
      </c>
      <c r="EJ104" s="4">
        <v>1.758</v>
      </c>
      <c r="EK104" s="4">
        <v>1.766</v>
      </c>
      <c r="EL104" s="6"/>
      <c r="EM104" s="6"/>
      <c r="EN104" s="6"/>
      <c r="EO104" s="9"/>
      <c r="EP104" s="7">
        <f>IFERROR(EH104/F104,0)</f>
        <v>0</v>
      </c>
      <c r="EQ104" t="inlineStr">
        <is>
          <t xml:space="preserve">Keep cash / margin / financing</t>
        </is>
      </c>
      <c r="ER104" t="inlineStr">
        <is>
          <t xml:space="preserve">cash</t>
        </is>
      </c>
      <c r="ES104" t="inlineStr">
        <is>
          <t xml:space="preserve">keep</t>
        </is>
      </c>
      <c r="ET104" t="inlineStr">
        <is>
          <t xml:space="preserve">cash</t>
        </is>
      </c>
      <c r="EU104"/>
      <c r="EV104" s="4">
        <v>1</v>
      </c>
      <c r="EW104" s="4">
        <v>1</v>
      </c>
      <c r="EX104" s="4">
        <v>0</v>
      </c>
      <c r="EY104" s="6"/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1.758</v>
      </c>
      <c r="FF104" s="4">
        <v>1.766</v>
      </c>
      <c r="FG104" s="6"/>
      <c r="FH104" s="6"/>
      <c r="FI104" s="6"/>
      <c r="FJ104" s="9"/>
      <c r="FK104" s="7">
        <f>IFERROR(FC104/F104,0)</f>
        <v>0</v>
      </c>
      <c r="FL104"/>
      <c r="FM104"/>
      <c r="FN104"/>
      <c r="FO104"/>
      <c r="FP104"/>
      <c r="FQ104" s="4"/>
      <c r="FR104" s="4"/>
      <c r="FS104" s="4"/>
      <c r="FT104" s="6"/>
      <c r="FU104" s="4"/>
      <c r="FV104" s="4"/>
      <c r="FW104" s="4"/>
      <c r="FX104" s="4"/>
      <c r="FY104" s="4"/>
      <c r="FZ104" s="4"/>
      <c r="GA104" s="4"/>
      <c r="GB104" s="6"/>
      <c r="GC104" s="6"/>
      <c r="GD104" s="6"/>
      <c r="GE104" s="9"/>
      <c r="GF104"/>
      <c r="GG104"/>
      <c r="GH104"/>
      <c r="GI104"/>
      <c r="GJ104"/>
      <c r="GK104"/>
      <c r="GL104" s="4"/>
      <c r="GM104" s="4"/>
      <c r="GN104" s="4"/>
      <c r="GO104" s="6"/>
      <c r="GP104" s="4"/>
      <c r="GQ104" s="4"/>
      <c r="GR104" s="4"/>
      <c r="GS104" s="4"/>
      <c r="GT104" s="4"/>
      <c r="GU104" s="4"/>
      <c r="GV104" s="4"/>
      <c r="GW104" s="6"/>
      <c r="GX104" s="6"/>
      <c r="GY104" s="6"/>
      <c r="GZ104" s="9"/>
      <c r="HA104"/>
      <c r="HB104"/>
      <c r="HC104"/>
      <c r="HD104"/>
      <c r="HE104"/>
      <c r="HF104"/>
      <c r="HG104" s="4"/>
      <c r="HH104" s="4"/>
      <c r="HI104" s="4"/>
      <c r="HJ104" s="6"/>
      <c r="HK104" s="4"/>
      <c r="HL104" s="4"/>
      <c r="HM104" s="4"/>
      <c r="HN104" s="4"/>
      <c r="HO104" s="4"/>
      <c r="HP104" s="4"/>
      <c r="HQ104" s="4"/>
      <c r="HR104" s="6"/>
      <c r="HS104" s="6"/>
      <c r="HT104" s="6"/>
      <c r="HU104" s="9"/>
      <c r="HV104"/>
      <c r="HW104"/>
      <c r="HX104"/>
      <c r="HY104"/>
      <c r="HZ104"/>
      <c r="IA104"/>
      <c r="IB104" s="4"/>
      <c r="IC104" s="4"/>
      <c r="ID104" s="4"/>
      <c r="IE104" s="6"/>
      <c r="IF104" s="4"/>
      <c r="IG104" s="4"/>
      <c r="IH104" s="4"/>
      <c r="II104" s="4"/>
      <c r="IJ104" s="4"/>
      <c r="IK104" s="4"/>
      <c r="IL104" s="4"/>
      <c r="IM104" s="6"/>
      <c r="IN104" s="6"/>
      <c r="IO104" s="6"/>
      <c r="IP104" s="9"/>
      <c r="IQ104"/>
      <c r="IR104"/>
      <c r="IS104"/>
      <c r="IT104"/>
      <c r="IU104"/>
      <c r="IV104"/>
      <c r="IW104" s="4"/>
      <c r="IX104" s="4"/>
      <c r="IY104" s="4"/>
      <c r="IZ104" s="6"/>
      <c r="JA104" s="4"/>
      <c r="JB104" s="4"/>
      <c r="JC104" s="4"/>
      <c r="JD104" s="4"/>
      <c r="JE104" s="4"/>
      <c r="JF104" s="4"/>
      <c r="JG104" s="4"/>
      <c r="JH104" s="6"/>
      <c r="JI104" s="6"/>
      <c r="JJ104" s="6"/>
      <c r="JK104" s="9"/>
      <c r="JL104"/>
    </row>
    <row r="105">
      <c r="A105" s="8">
        <v>25359</v>
      </c>
      <c r="B105" s="8">
        <v>25360</v>
      </c>
      <c r="C105" s="9">
        <f>B105-A105</f>
        <v>1</v>
      </c>
      <c r="D105" s="8">
        <v>25359</v>
      </c>
      <c r="E105" t="inlineStr">
        <is>
          <t xml:space="preserve">positive</t>
        </is>
      </c>
      <c r="F105" s="4">
        <v>1.3321891546458733</v>
      </c>
      <c r="G105" s="6">
        <v>-0.009569573033413175</v>
      </c>
      <c r="H105" s="7">
        <f>SUM(CE105,CZ105,DU105,EP105,FK105,GF105,HA105,HV105,IQ105,JL105)</f>
        <v>-0.009569573033413175</v>
      </c>
      <c r="I105" s="7">
        <f>G105-H105</f>
        <v>0</v>
      </c>
      <c r="J105" s="5">
        <f>F105*(1+H105)</f>
        <v>1.3194406732361685</v>
      </c>
      <c r="K105" s="4">
        <v>1.3194406732361685</v>
      </c>
      <c r="L105" s="5">
        <f>K105-J105</f>
        <v>0</v>
      </c>
      <c r="M105" s="4">
        <v>1.766</v>
      </c>
      <c r="N105" s="4">
        <v>1.749</v>
      </c>
      <c r="O105" s="5">
        <f>M105/$M$3</f>
        <v>0.9019407558733402</v>
      </c>
      <c r="P105" s="5">
        <f>N105/$M$3</f>
        <v>0.8932584269662922</v>
      </c>
      <c r="Q105" s="7">
        <f>IFERROR(N105/M105-1,0)</f>
        <v>-0.009626274065685059</v>
      </c>
      <c r="R105" s="5">
        <f>SUM(IF(BM105="lease",BU105,0),IF(CH105="lease",CP105,0),IF(DC105="lease",DK105,0),IF(DX105="lease",EF105,0),IF(ES105="lease",FA105,0),IF(FN105="lease",FV105,0),IF(GI105="lease",GQ105,0),IF(HD105="lease",HL105,0),IF(HY105="lease",IG105,0),IF(IT105="lease",JB105,0))</f>
        <v>1.3321891546458742</v>
      </c>
      <c r="S105" s="5">
        <f>SUM(IF(BM105="lease",BV105,0),IF(CH105="lease",CQ105,0),IF(DC105="lease",DL105,0),IF(DX105="lease",EG105,0),IF(ES105="lease",FB105,0),IF(FN105="lease",FW105,0),IF(GI105="lease",GR105,0),IF(HD105="lease",HM105,0),IF(HY105="lease",IH105,0),IF(IT105="lease",JC105,0))</f>
        <v>1.3194406732361694</v>
      </c>
      <c r="T105" s="5">
        <f>SUM(IF(BM105="keep",BU105,0),IF(CH105="keep",CP105,0),IF(DC105="keep",DK105,0),IF(DX105="keep",EF105,0),IF(ES105="keep",FA105,0),IF(FN105="keep",FV105,0),IF(GI105="keep",GQ105,0),IF(HD105="keep",HL105,0),IF(HY105="keep",IG105,0),IF(IT105="keep",JB105,0))</f>
        <v>0</v>
      </c>
      <c r="U105" s="5">
        <f>SUM(IF(BM105="keep",BV105,0),IF(CH105="keep",CQ105,0),IF(DC105="keep",DL105,0),IF(DX105="keep",EG105,0),IF(ES105="keep",FB105,0),IF(FN105="keep",FW105,0),IF(GI105="keep",GR105,0),IF(HD105="keep",HM105,0),IF(HY105="keep",IH105,0),IF(IT105="keep",JC105,0))</f>
        <v>0</v>
      </c>
      <c r="V105" s="5">
        <f>R105/O105</f>
        <v>1.477025121628891</v>
      </c>
      <c r="W105" s="5">
        <f>S105/P105</f>
        <v>1.4771096845033844</v>
      </c>
      <c r="X105" s="5">
        <f>T105/O105</f>
        <v>0</v>
      </c>
      <c r="Y105" s="5">
        <f>U105/P105</f>
        <v>0</v>
      </c>
      <c r="Z105" s="5">
        <f>V105+X105</f>
        <v>1.477025121628891</v>
      </c>
      <c r="AA105" s="7">
        <f>IFERROR(W105/V105-1,0)</f>
        <v>0.000057252157228182554</v>
      </c>
      <c r="AB105" s="7">
        <f>IFERROR((W105-V105)/Z105,0)</f>
        <v>0.000057252157228155225</v>
      </c>
      <c r="AC105" s="7">
        <f>IFERROR(Y105/X105-1,0)</f>
        <v>0</v>
      </c>
      <c r="AD105" s="7">
        <f>IFERROR((Y105-X105)/Z105,0)</f>
        <v>0</v>
      </c>
      <c r="AE105" s="7">
        <f>AB105+AD105</f>
        <v>0.000057252157228155225</v>
      </c>
      <c r="AF105" s="7">
        <f>(1+Q105)*(1+AE105)-1</f>
        <v>-0.009569573033413215</v>
      </c>
      <c r="AG105" s="7">
        <f>G105-AF105</f>
        <v>3.9898639947466563e-17</v>
      </c>
      <c r="AH105" s="5">
        <f>SUM(IF(BM105="lease",BW105,0),IF(CH105="lease",CR105,0),IF(DC105="lease",DM105,0),IF(DX105="lease",EH105,0),IF(ES105="lease",FC105,0),IF(FN105="lease",FX105,0),IF(GI105="lease",GS105,0),IF(HD105="lease",HN105,0),IF(HY105="lease",II105,0),IF(IT105="lease",JD105,0))</f>
        <v>-0.012748481409704642</v>
      </c>
      <c r="AI105" s="5">
        <f>SUM(IF(BM105="keep",BW105,0),IF(CH105="keep",CR105,0),IF(DC105="keep",DM105,0),IF(DX105="keep",EH105,0),IF(ES105="keep",FC105,0),IF(FN105="keep",FX105,0),IF(GI105="keep",GS105,0),IF(HD105="keep",HN105,0),IF(HY105="keep",II105,0),IF(IT105="keep",JD105,0))</f>
        <v>0</v>
      </c>
      <c r="AJ105" s="5">
        <f>SUM(IF(BM105="lease",BX105,0),IF(CH105="lease",CS105,0),IF(DC105="lease",DN105,0),IF(DX105="lease",EI105,0),IF(ES105="lease",FD105,0),IF(FN105="lease",FY105,0),IF(GI105="lease",GT105,0),IF(HD105="lease",HO105,0),IF(HY105="lease",IJ105,0),IF(IT105="lease",JE105,0))</f>
        <v>0</v>
      </c>
      <c r="AK105" s="5">
        <f>SUM(IF(BM105="keep",BX105,0),IF(CH105="keep",CS105,0),IF(DC105="keep",DN105,0),IF(DX105="keep",EI105,0),IF(ES105="keep",FD105,0),IF(FN105="keep",FY105,0),IF(GI105="keep",GT105,0),IF(HD105="keep",HO105,0),IF(HY105="keep",IJ105,0),IF(IT105="keep",JE105,0))</f>
        <v>0</v>
      </c>
      <c r="AL105" s="5">
        <f>R105-S104</f>
        <v>0</v>
      </c>
      <c r="AM105" s="5">
        <f>T105-U104</f>
        <v>0</v>
      </c>
      <c r="AN105" s="5">
        <f>AN104</f>
        <v>1</v>
      </c>
      <c r="AO105" s="5">
        <f>AO104+AH105</f>
        <v>0.31944067323616954</v>
      </c>
      <c r="AP105" s="5">
        <f>AP104+AL105</f>
        <v>-4.440892098500626e-16</v>
      </c>
      <c r="AQ105" s="5">
        <f>AN105+AO105+AP105</f>
        <v>1.3194406732361692</v>
      </c>
      <c r="AR105" s="5">
        <f>S105-AQ105</f>
        <v>2.220446049250313e-16</v>
      </c>
      <c r="AS105" s="5">
        <f>AS104</f>
        <v>0</v>
      </c>
      <c r="AT105" s="5">
        <f>AT104+AI105</f>
        <v>0</v>
      </c>
      <c r="AU105" s="5">
        <f>AU104+AM105</f>
        <v>0</v>
      </c>
      <c r="AV105" s="5">
        <f>AS105+AT105+AU105</f>
        <v>0</v>
      </c>
      <c r="AW105" s="5">
        <f>U105-AV105</f>
        <v>0</v>
      </c>
      <c r="AX105" s="4">
        <v>1.3321891546458742</v>
      </c>
      <c r="AY105" s="4">
        <v>1.3194406732361694</v>
      </c>
      <c r="AZ105" s="5">
        <f>S105-AY105</f>
        <v>0</v>
      </c>
      <c r="BA105" s="4">
        <v>0</v>
      </c>
      <c r="BB105" s="4">
        <v>0</v>
      </c>
      <c r="BC105" s="5">
        <f>U105-BB105</f>
        <v>0</v>
      </c>
      <c r="BD105" s="7">
        <f>SUM(IF(BL105="direct",CE105,0),IF(CG105="direct",CZ105,0),IF(DB105="direct",DU105,0),IF(DW105="direct",EP105,0),IF(ER105="direct",FK105,0),IF(FM105="direct",GF105,0),IF(GH105="direct",HA105,0),IF(HC105="direct",HV105,0),IF(HX105="direct",IQ105,0),IF(IS105="direct",JL105,0))</f>
        <v>-0.00036758440777094625</v>
      </c>
      <c r="BE105" s="7">
        <f>SUM(IF(BL105="treasury",CE105,0),IF(CG105="treasury",CZ105,0),IF(DB105="treasury",DU105,0),IF(DW105="treasury",EP105,0),IF(ER105="treasury",FK105,0),IF(FM105="treasury",GF105,0),IF(GH105="treasury",HA105,0),IF(HC105="treasury",HV105,0),IF(HX105="treasury",IQ105,0),IF(IS105="treasury",JL105,0))</f>
        <v>0.00016838816260465256</v>
      </c>
      <c r="BF105" s="7">
        <f>SUM(IF(BL105="future",CE105,0),IF(CG105="future",CZ105,0),IF(DB105="future",DU105,0),IF(DW105="future",EP105,0),IF(ER105="future",FK105,0),IF(FM105="future",GF105,0),IF(GH105="future",HA105,0),IF(HC105="future",HV105,0),IF(HX105="future",IQ105,0),IF(IS105="future",JL105,0))</f>
        <v>-0.00937037678824688</v>
      </c>
      <c r="BG105" s="7">
        <f>SUM(IF(BL105="cash",CE105,0),IF(CG105="cash",CZ105,0),IF(DB105="cash",DU105,0),IF(DW105="cash",EP105,0),IF(ER105="cash",FK105,0),IF(FM105="cash",GF105,0),IF(GH105="cash",HA105,0),IF(HC105="cash",HV105,0),IF(HX105="cash",IQ105,0),IF(IS105="cash",JL105,0))</f>
        <v>0</v>
      </c>
      <c r="BH105" s="7">
        <f>SUM(BD105:BG105)</f>
        <v>-0.009569573033413175</v>
      </c>
      <c r="BI105" s="7">
        <f>G105-BH105</f>
        <v>0</v>
      </c>
      <c r="BJ105" s="9">
        <f>COUNTA(BK105,CF105,DA105,DV105,EQ105,FL105,GG105,HB105,HW105,IR105)</f>
        <v>5</v>
      </c>
      <c r="BK105" t="inlineStr">
        <is>
          <t xml:space="preserve">Direct commodity holding</t>
        </is>
      </c>
      <c r="BL105" t="inlineStr">
        <is>
          <t xml:space="preserve">direct</t>
        </is>
      </c>
      <c r="BM105" t="inlineStr">
        <is>
          <t xml:space="preserve">lease</t>
        </is>
      </c>
      <c r="BN105" t="inlineStr">
        <is>
          <t xml:space="preserve">long</t>
        </is>
      </c>
      <c r="BO105"/>
      <c r="BP105" s="4">
        <v>1.766</v>
      </c>
      <c r="BQ105" s="4">
        <v>1.749</v>
      </c>
      <c r="BR105" s="4">
        <v>0.028784928359439008</v>
      </c>
      <c r="BS105" s="6">
        <v>0.03815838261818172</v>
      </c>
      <c r="BT105" s="4">
        <v>0.05083418348276929</v>
      </c>
      <c r="BU105" s="4">
        <v>0.05083418348276929</v>
      </c>
      <c r="BV105" s="4">
        <v>0.050344839700658825</v>
      </c>
      <c r="BW105" s="4">
        <v>-0.0004896919614493808</v>
      </c>
      <c r="BX105" s="4">
        <v>3.4817933891790644e-7</v>
      </c>
      <c r="BY105" s="4">
        <v>1.766</v>
      </c>
      <c r="BZ105" s="4">
        <v>1.749</v>
      </c>
      <c r="CA105" s="6"/>
      <c r="CB105" s="6"/>
      <c r="CC105" s="6"/>
      <c r="CD105" s="9"/>
      <c r="CE105" s="7">
        <f>IFERROR(BW105/F105,0)</f>
        <v>-0.00036758440777094625</v>
      </c>
      <c r="CF105" t="inlineStr">
        <is>
          <t xml:space="preserve">Treasury collateral</t>
        </is>
      </c>
      <c r="CG105" t="inlineStr">
        <is>
          <t xml:space="preserve">treasury</t>
        </is>
      </c>
      <c r="CH105" t="inlineStr">
        <is>
          <t xml:space="preserve">lease</t>
        </is>
      </c>
      <c r="CI105" t="inlineStr">
        <is>
          <t xml:space="preserve">long</t>
        </is>
      </c>
      <c r="CJ105"/>
      <c r="CK105" s="4">
        <v>102.60081242443167</v>
      </c>
      <c r="CL105" s="4">
        <v>102.61877459405886</v>
      </c>
      <c r="CM105" s="4">
        <v>0.012488740984452315</v>
      </c>
      <c r="CN105" s="6">
        <v>0.9618416173818183</v>
      </c>
      <c r="CO105" s="4">
        <v>1.281354971163104</v>
      </c>
      <c r="CP105" s="4">
        <v>1.281354971163104</v>
      </c>
      <c r="CQ105" s="4">
        <v>1.2815792960470969</v>
      </c>
      <c r="CR105" s="4">
        <v>0.00022432488399266396</v>
      </c>
      <c r="CS105" s="4">
        <v>1.573990503905831e-16</v>
      </c>
      <c r="CT105" s="4">
        <v>1.766</v>
      </c>
      <c r="CU105" s="4">
        <v>1.749</v>
      </c>
      <c r="CV105" s="6"/>
      <c r="CW105" s="6"/>
      <c r="CX105" s="6"/>
      <c r="CY105" s="9">
        <v>54</v>
      </c>
      <c r="CZ105" s="7">
        <f>IFERROR(CR105/F105,0)</f>
        <v>0.00016838816260465256</v>
      </c>
      <c r="DA105" t="inlineStr">
        <is>
          <t xml:space="preserve">SI69N</t>
        </is>
      </c>
      <c r="DB105" t="inlineStr">
        <is>
          <t xml:space="preserve">future</t>
        </is>
      </c>
      <c r="DC105" t="inlineStr">
        <is>
          <t xml:space="preserve">lease</t>
        </is>
      </c>
      <c r="DD105" t="inlineStr">
        <is>
          <t xml:space="preserve">long</t>
        </is>
      </c>
      <c r="DE105" t="inlineStr">
        <is>
          <t xml:space="preserve">regular</t>
        </is>
      </c>
      <c r="DF105" s="4">
        <v>1.745</v>
      </c>
      <c r="DG105" s="4">
        <v>1.7280000000000002</v>
      </c>
      <c r="DH105" s="4">
        <v>0.734300843073412</v>
      </c>
      <c r="DI105" s="6">
        <v>0.9618416173818184</v>
      </c>
      <c r="DJ105" s="4">
        <v>1.281354971163104</v>
      </c>
      <c r="DK105" s="4">
        <v>0</v>
      </c>
      <c r="DL105" s="4">
        <v>0</v>
      </c>
      <c r="DM105" s="4">
        <v>-0.012483114332247925</v>
      </c>
      <c r="DN105" s="4">
        <v>0.012483114332247925</v>
      </c>
      <c r="DO105" s="4">
        <v>1.766</v>
      </c>
      <c r="DP105" s="4">
        <v>1.749</v>
      </c>
      <c r="DQ105" s="6">
        <v>-0.011891279728199255</v>
      </c>
      <c r="DR105" s="6">
        <v>0.0639</v>
      </c>
      <c r="DS105" s="6">
        <v>0.14427624260727273</v>
      </c>
      <c r="DT105" s="9">
        <v>54</v>
      </c>
      <c r="DU105" s="7">
        <f>IFERROR(DM105/F105,0)</f>
        <v>-0.00937037678824688</v>
      </c>
      <c r="DV105" t="inlineStr">
        <is>
          <t xml:space="preserve">Lease cash / margin / financing</t>
        </is>
      </c>
      <c r="DW105" t="inlineStr">
        <is>
          <t xml:space="preserve">cash</t>
        </is>
      </c>
      <c r="DX105" t="inlineStr">
        <is>
          <t xml:space="preserve">lease</t>
        </is>
      </c>
      <c r="DY105" t="inlineStr">
        <is>
          <t xml:space="preserve">cash</t>
        </is>
      </c>
      <c r="DZ105"/>
      <c r="EA105" s="4">
        <v>1</v>
      </c>
      <c r="EB105" s="4">
        <v>1</v>
      </c>
      <c r="EC105" s="4">
        <v>8.881784197001252e-16</v>
      </c>
      <c r="ED105" s="6"/>
      <c r="EE105" s="4">
        <v>8.881784197001252e-16</v>
      </c>
      <c r="EF105" s="4">
        <v>8.881784197001252e-16</v>
      </c>
      <c r="EG105" s="4">
        <v>-0.012483462511586113</v>
      </c>
      <c r="EH105" s="4">
        <v>0</v>
      </c>
      <c r="EI105" s="4">
        <v>-0.012483462511587001</v>
      </c>
      <c r="EJ105" s="4">
        <v>1.766</v>
      </c>
      <c r="EK105" s="4">
        <v>1.749</v>
      </c>
      <c r="EL105" s="6"/>
      <c r="EM105" s="6"/>
      <c r="EN105" s="6"/>
      <c r="EO105" s="9"/>
      <c r="EP105" s="7">
        <f>IFERROR(EH105/F105,0)</f>
        <v>0</v>
      </c>
      <c r="EQ105" t="inlineStr">
        <is>
          <t xml:space="preserve">Keep cash / margin / financing</t>
        </is>
      </c>
      <c r="ER105" t="inlineStr">
        <is>
          <t xml:space="preserve">cash</t>
        </is>
      </c>
      <c r="ES105" t="inlineStr">
        <is>
          <t xml:space="preserve">keep</t>
        </is>
      </c>
      <c r="ET105" t="inlineStr">
        <is>
          <t xml:space="preserve">cash</t>
        </is>
      </c>
      <c r="EU105"/>
      <c r="EV105" s="4">
        <v>1</v>
      </c>
      <c r="EW105" s="4">
        <v>1</v>
      </c>
      <c r="EX105" s="4">
        <v>0</v>
      </c>
      <c r="EY105" s="6"/>
      <c r="EZ105" s="4">
        <v>0</v>
      </c>
      <c r="FA105" s="4">
        <v>0</v>
      </c>
      <c r="FB105" s="4">
        <v>0</v>
      </c>
      <c r="FC105" s="4">
        <v>0</v>
      </c>
      <c r="FD105" s="4">
        <v>0</v>
      </c>
      <c r="FE105" s="4">
        <v>1.766</v>
      </c>
      <c r="FF105" s="4">
        <v>1.749</v>
      </c>
      <c r="FG105" s="6"/>
      <c r="FH105" s="6"/>
      <c r="FI105" s="6"/>
      <c r="FJ105" s="9"/>
      <c r="FK105" s="7">
        <f>IFERROR(FC105/F105,0)</f>
        <v>0</v>
      </c>
      <c r="FL105"/>
      <c r="FM105"/>
      <c r="FN105"/>
      <c r="FO105"/>
      <c r="FP105"/>
      <c r="FQ105" s="4"/>
      <c r="FR105" s="4"/>
      <c r="FS105" s="4"/>
      <c r="FT105" s="6"/>
      <c r="FU105" s="4"/>
      <c r="FV105" s="4"/>
      <c r="FW105" s="4"/>
      <c r="FX105" s="4"/>
      <c r="FY105" s="4"/>
      <c r="FZ105" s="4"/>
      <c r="GA105" s="4"/>
      <c r="GB105" s="6"/>
      <c r="GC105" s="6"/>
      <c r="GD105" s="6"/>
      <c r="GE105" s="9"/>
      <c r="GF105"/>
      <c r="GG105"/>
      <c r="GH105"/>
      <c r="GI105"/>
      <c r="GJ105"/>
      <c r="GK105"/>
      <c r="GL105" s="4"/>
      <c r="GM105" s="4"/>
      <c r="GN105" s="4"/>
      <c r="GO105" s="6"/>
      <c r="GP105" s="4"/>
      <c r="GQ105" s="4"/>
      <c r="GR105" s="4"/>
      <c r="GS105" s="4"/>
      <c r="GT105" s="4"/>
      <c r="GU105" s="4"/>
      <c r="GV105" s="4"/>
      <c r="GW105" s="6"/>
      <c r="GX105" s="6"/>
      <c r="GY105" s="6"/>
      <c r="GZ105" s="9"/>
      <c r="HA105"/>
      <c r="HB105"/>
      <c r="HC105"/>
      <c r="HD105"/>
      <c r="HE105"/>
      <c r="HF105"/>
      <c r="HG105" s="4"/>
      <c r="HH105" s="4"/>
      <c r="HI105" s="4"/>
      <c r="HJ105" s="6"/>
      <c r="HK105" s="4"/>
      <c r="HL105" s="4"/>
      <c r="HM105" s="4"/>
      <c r="HN105" s="4"/>
      <c r="HO105" s="4"/>
      <c r="HP105" s="4"/>
      <c r="HQ105" s="4"/>
      <c r="HR105" s="6"/>
      <c r="HS105" s="6"/>
      <c r="HT105" s="6"/>
      <c r="HU105" s="9"/>
      <c r="HV105"/>
      <c r="HW105"/>
      <c r="HX105"/>
      <c r="HY105"/>
      <c r="HZ105"/>
      <c r="IA105"/>
      <c r="IB105" s="4"/>
      <c r="IC105" s="4"/>
      <c r="ID105" s="4"/>
      <c r="IE105" s="6"/>
      <c r="IF105" s="4"/>
      <c r="IG105" s="4"/>
      <c r="IH105" s="4"/>
      <c r="II105" s="4"/>
      <c r="IJ105" s="4"/>
      <c r="IK105" s="4"/>
      <c r="IL105" s="4"/>
      <c r="IM105" s="6"/>
      <c r="IN105" s="6"/>
      <c r="IO105" s="6"/>
      <c r="IP105" s="9"/>
      <c r="IQ105"/>
      <c r="IR105"/>
      <c r="IS105"/>
      <c r="IT105"/>
      <c r="IU105"/>
      <c r="IV105"/>
      <c r="IW105" s="4"/>
      <c r="IX105" s="4"/>
      <c r="IY105" s="4"/>
      <c r="IZ105" s="6"/>
      <c r="JA105" s="4"/>
      <c r="JB105" s="4"/>
      <c r="JC105" s="4"/>
      <c r="JD105" s="4"/>
      <c r="JE105" s="4"/>
      <c r="JF105" s="4"/>
      <c r="JG105" s="4"/>
      <c r="JH105" s="6"/>
      <c r="JI105" s="6"/>
      <c r="JJ105" s="6"/>
      <c r="JK105" s="9"/>
      <c r="JL105"/>
    </row>
    <row r="106">
      <c r="A106" s="8">
        <v>25360</v>
      </c>
      <c r="B106" s="8">
        <v>25363</v>
      </c>
      <c r="C106" s="9">
        <f>B106-A106</f>
        <v>3</v>
      </c>
      <c r="D106" s="8">
        <v>25360</v>
      </c>
      <c r="E106" t="inlineStr">
        <is>
          <t xml:space="preserve">positive</t>
        </is>
      </c>
      <c r="F106" s="4">
        <v>1.3194406732361685</v>
      </c>
      <c r="G106" s="6">
        <v>-0.026385416466873583</v>
      </c>
      <c r="H106" s="7">
        <f>SUM(CE106,CZ106,DU106,EP106,FK106,GF106,HA106,HV106,IQ106,JL106)</f>
        <v>-0.026385416466873583</v>
      </c>
      <c r="I106" s="7">
        <f>G106-H106</f>
        <v>0</v>
      </c>
      <c r="J106" s="5">
        <f>F106*(1+H106)</f>
        <v>1.2846266815695002</v>
      </c>
      <c r="K106" s="4">
        <v>1.2846266815695002</v>
      </c>
      <c r="L106" s="5">
        <f>K106-J106</f>
        <v>0</v>
      </c>
      <c r="M106" s="4">
        <v>1.749</v>
      </c>
      <c r="N106" s="4">
        <v>1.722</v>
      </c>
      <c r="O106" s="5">
        <f>M106/$M$3</f>
        <v>0.8932584269662922</v>
      </c>
      <c r="P106" s="5">
        <f>N106/$M$3</f>
        <v>0.8794688457609806</v>
      </c>
      <c r="Q106" s="7">
        <f>IFERROR(N106/M106-1,0)</f>
        <v>-0.015437392795883409</v>
      </c>
      <c r="R106" s="5">
        <f>SUM(IF(BM106="lease",BU106,0),IF(CH106="lease",CP106,0),IF(DC106="lease",DK106,0),IF(DX106="lease",EF106,0),IF(ES106="lease",FA106,0),IF(FN106="lease",FV106,0),IF(GI106="lease",GQ106,0),IF(HD106="lease",HL106,0),IF(HY106="lease",IG106,0),IF(IT106="lease",JB106,0))</f>
        <v>1.3194406732361694</v>
      </c>
      <c r="S106" s="5">
        <f>SUM(IF(BM106="lease",BV106,0),IF(CH106="lease",CQ106,0),IF(DC106="lease",DL106,0),IF(DX106="lease",EG106,0),IF(ES106="lease",FB106,0),IF(FN106="lease",FW106,0),IF(GI106="lease",GR106,0),IF(HD106="lease",HM106,0),IF(HY106="lease",IH106,0),IF(IT106="lease",JC106,0))</f>
        <v>1.284626681569501</v>
      </c>
      <c r="T106" s="5">
        <f>SUM(IF(BM106="keep",BU106,0),IF(CH106="keep",CP106,0),IF(DC106="keep",DK106,0),IF(DX106="keep",EF106,0),IF(ES106="keep",FA106,0),IF(FN106="keep",FV106,0),IF(GI106="keep",GQ106,0),IF(HD106="keep",HL106,0),IF(HY106="keep",IG106,0),IF(IT106="keep",JB106,0))</f>
        <v>0</v>
      </c>
      <c r="U106" s="5">
        <f>SUM(IF(BM106="keep",BV106,0),IF(CH106="keep",CQ106,0),IF(DC106="keep",DL106,0),IF(DX106="keep",EG106,0),IF(ES106="keep",FB106,0),IF(FN106="keep",FW106,0),IF(GI106="keep",GR106,0),IF(HD106="keep",HM106,0),IF(HY106="keep",IH106,0),IF(IT106="keep",JC106,0))</f>
        <v>0</v>
      </c>
      <c r="V106" s="5">
        <f>R106/O106</f>
        <v>1.4771096845033844</v>
      </c>
      <c r="W106" s="5">
        <f>S106/P106</f>
        <v>1.4606846936777487</v>
      </c>
      <c r="X106" s="5">
        <f>T106/O106</f>
        <v>0</v>
      </c>
      <c r="Y106" s="5">
        <f>U106/P106</f>
        <v>0</v>
      </c>
      <c r="Z106" s="5">
        <f>V106+X106</f>
        <v>1.4771096845033844</v>
      </c>
      <c r="AA106" s="7">
        <f>IFERROR(W106/V106-1,0)</f>
        <v>-0.011119682578723311</v>
      </c>
      <c r="AB106" s="7">
        <f>IFERROR((W106-V106)/Z106,0)</f>
        <v>-0.0111196825787233</v>
      </c>
      <c r="AC106" s="7">
        <f>IFERROR(Y106/X106-1,0)</f>
        <v>0</v>
      </c>
      <c r="AD106" s="7">
        <f>IFERROR((Y106-X106)/Z106,0)</f>
        <v>0</v>
      </c>
      <c r="AE106" s="7">
        <f>AB106+AD106</f>
        <v>-0.0111196825787233</v>
      </c>
      <c r="AF106" s="7">
        <f>(1+Q106)*(1+AE106)-1</f>
        <v>-0.026385416466873424</v>
      </c>
      <c r="AG106" s="7">
        <f>G106-AF106</f>
        <v>-1.5959455978986625e-16</v>
      </c>
      <c r="AH106" s="5">
        <f>SUM(IF(BM106="lease",BW106,0),IF(CH106="lease",CR106,0),IF(DC106="lease",DM106,0),IF(DX106="lease",EH106,0),IF(ES106="lease",FC106,0),IF(FN106="lease",FX106,0),IF(GI106="lease",GS106,0),IF(HD106="lease",HN106,0),IF(HY106="lease",II106,0),IF(IT106="lease",JD106,0))</f>
        <v>-0.03481399166666837</v>
      </c>
      <c r="AI106" s="5">
        <f>SUM(IF(BM106="keep",BW106,0),IF(CH106="keep",CR106,0),IF(DC106="keep",DM106,0),IF(DX106="keep",EH106,0),IF(ES106="keep",FC106,0),IF(FN106="keep",FX106,0),IF(GI106="keep",GS106,0),IF(HD106="keep",HN106,0),IF(HY106="keep",II106,0),IF(IT106="keep",JD106,0))</f>
        <v>0</v>
      </c>
      <c r="AJ106" s="5">
        <f>SUM(IF(BM106="lease",BX106,0),IF(CH106="lease",CS106,0),IF(DC106="lease",DN106,0),IF(DX106="lease",EI106,0),IF(ES106="lease",FD106,0),IF(FN106="lease",FY106,0),IF(GI106="lease",GT106,0),IF(HD106="lease",HO106,0),IF(HY106="lease",IJ106,0),IF(IT106="lease",JE106,0))</f>
        <v>0</v>
      </c>
      <c r="AK106" s="5">
        <f>SUM(IF(BM106="keep",BX106,0),IF(CH106="keep",CS106,0),IF(DC106="keep",DN106,0),IF(DX106="keep",EI106,0),IF(ES106="keep",FD106,0),IF(FN106="keep",FY106,0),IF(GI106="keep",GT106,0),IF(HD106="keep",HO106,0),IF(HY106="keep",IJ106,0),IF(IT106="keep",JE106,0))</f>
        <v>0</v>
      </c>
      <c r="AL106" s="5">
        <f>R106-S105</f>
        <v>0</v>
      </c>
      <c r="AM106" s="5">
        <f>T106-U105</f>
        <v>0</v>
      </c>
      <c r="AN106" s="5">
        <f>AN105</f>
        <v>1</v>
      </c>
      <c r="AO106" s="5">
        <f>AO105+AH106</f>
        <v>0.28462668156950116</v>
      </c>
      <c r="AP106" s="5">
        <f>AP105+AL106</f>
        <v>-4.440892098500626e-16</v>
      </c>
      <c r="AQ106" s="5">
        <f>AN106+AO106+AP106</f>
        <v>1.2846266815695007</v>
      </c>
      <c r="AR106" s="5">
        <f>S106-AQ106</f>
        <v>4.440892098500626e-16</v>
      </c>
      <c r="AS106" s="5">
        <f>AS105</f>
        <v>0</v>
      </c>
      <c r="AT106" s="5">
        <f>AT105+AI106</f>
        <v>0</v>
      </c>
      <c r="AU106" s="5">
        <f>AU105+AM106</f>
        <v>0</v>
      </c>
      <c r="AV106" s="5">
        <f>AS106+AT106+AU106</f>
        <v>0</v>
      </c>
      <c r="AW106" s="5">
        <f>U106-AV106</f>
        <v>0</v>
      </c>
      <c r="AX106" s="4">
        <v>1.3194406732361694</v>
      </c>
      <c r="AY106" s="4">
        <v>1.284626681569501</v>
      </c>
      <c r="AZ106" s="5">
        <f>S106-AY106</f>
        <v>0</v>
      </c>
      <c r="BA106" s="4">
        <v>0</v>
      </c>
      <c r="BB106" s="4">
        <v>0</v>
      </c>
      <c r="BC106" s="5">
        <f>U106-BB106</f>
        <v>0</v>
      </c>
      <c r="BD106" s="7">
        <f>SUM(IF(BL106="direct",CE106,0),IF(CG106="direct",CZ106,0),IF(DB106="direct",DU106,0),IF(DW106="direct",EP106,0),IF(ER106="direct",FK106,0),IF(FM106="direct",GF106,0),IF(GH106="direct",HA106,0),IF(HC106="direct",HV106,0),IF(HX106="direct",IQ106,0),IF(IS106="direct",JL106,0))</f>
        <v>-0.0004030647584191835</v>
      </c>
      <c r="BE106" s="7">
        <f>SUM(IF(BL106="treasury",CE106,0),IF(CG106="treasury",CZ106,0),IF(DB106="treasury",DU106,0),IF(DW106="treasury",EP106,0),IF(ER106="treasury",FK106,0),IF(FM106="treasury",GF106,0),IF(GH106="treasury",HA106,0),IF(HC106="treasury",HV106,0),IF(HX106="treasury",IQ106,0),IF(IS106="treasury",JL106,0))</f>
        <v>0.0005075083503433854</v>
      </c>
      <c r="BF106" s="7">
        <f>SUM(IF(BL106="future",CE106,0),IF(CG106="future",CZ106,0),IF(DB106="future",DU106,0),IF(DW106="future",EP106,0),IF(ER106="future",FK106,0),IF(FM106="future",GF106,0),IF(GH106="future",HA106,0),IF(HC106="future",HV106,0),IF(HX106="future",IQ106,0),IF(IS106="future",JL106,0))</f>
        <v>-0.026489860058797787</v>
      </c>
      <c r="BG106" s="7">
        <f>SUM(IF(BL106="cash",CE106,0),IF(CG106="cash",CZ106,0),IF(DB106="cash",DU106,0),IF(DW106="cash",EP106,0),IF(ER106="cash",FK106,0),IF(FM106="cash",GF106,0),IF(GH106="cash",HA106,0),IF(HC106="cash",HV106,0),IF(HX106="cash",IQ106,0),IF(IS106="cash",JL106,0))</f>
        <v>0</v>
      </c>
      <c r="BH106" s="7">
        <f>SUM(BD106:BG106)</f>
        <v>-0.026385416466873583</v>
      </c>
      <c r="BI106" s="7">
        <f>G106-BH106</f>
        <v>0</v>
      </c>
      <c r="BJ106" s="9">
        <f>COUNTA(BK106,CF106,DA106,DV106,EQ106,FL106,GG106,HB106,HW106,IR106)</f>
        <v>5</v>
      </c>
      <c r="BK106" t="inlineStr">
        <is>
          <t xml:space="preserve">Direct commodity holding</t>
        </is>
      </c>
      <c r="BL106" t="inlineStr">
        <is>
          <t xml:space="preserve">direct</t>
        </is>
      </c>
      <c r="BM106" t="inlineStr">
        <is>
          <t xml:space="preserve">lease</t>
        </is>
      </c>
      <c r="BN106" t="inlineStr">
        <is>
          <t xml:space="preserve">long</t>
        </is>
      </c>
      <c r="BO106"/>
      <c r="BP106" s="4">
        <v>1.749</v>
      </c>
      <c r="BQ106" s="4">
        <v>1.722</v>
      </c>
      <c r="BR106" s="4">
        <v>0.019670855481334563</v>
      </c>
      <c r="BS106" s="6">
        <v>0.026074932306331955</v>
      </c>
      <c r="BT106" s="4">
        <v>0.03440432623685415</v>
      </c>
      <c r="BU106" s="4">
        <v>0.03440432623685415</v>
      </c>
      <c r="BV106" s="4">
        <v>0.03387321313885812</v>
      </c>
      <c r="BW106" s="4">
        <v>-0.0005318200362063811</v>
      </c>
      <c r="BX106" s="4">
        <v>7.069382103464927e-7</v>
      </c>
      <c r="BY106" s="4">
        <v>1.749</v>
      </c>
      <c r="BZ106" s="4">
        <v>1.722</v>
      </c>
      <c r="CA106" s="6"/>
      <c r="CB106" s="6"/>
      <c r="CC106" s="6"/>
      <c r="CD106" s="9"/>
      <c r="CE106" s="7">
        <f>IFERROR(BW106/F106,0)</f>
        <v>-0.0004030647584191835</v>
      </c>
      <c r="CF106" t="inlineStr">
        <is>
          <t xml:space="preserve">Treasury collateral</t>
        </is>
      </c>
      <c r="CG106" t="inlineStr">
        <is>
          <t xml:space="preserve">treasury</t>
        </is>
      </c>
      <c r="CH106" t="inlineStr">
        <is>
          <t xml:space="preserve">lease</t>
        </is>
      </c>
      <c r="CI106" t="inlineStr">
        <is>
          <t xml:space="preserve">long</t>
        </is>
      </c>
      <c r="CJ106"/>
      <c r="CK106" s="4">
        <v>102.61877459405886</v>
      </c>
      <c r="CL106" s="4">
        <v>102.67224881577883</v>
      </c>
      <c r="CM106" s="4">
        <v>0.012522429273616681</v>
      </c>
      <c r="CN106" s="6">
        <v>0.973925067693668</v>
      </c>
      <c r="CO106" s="4">
        <v>1.2850363469993145</v>
      </c>
      <c r="CP106" s="4">
        <v>1.2850363469993145</v>
      </c>
      <c r="CQ106" s="4">
        <v>1.2857059741587644</v>
      </c>
      <c r="CR106" s="4">
        <v>0.0006696271594500538</v>
      </c>
      <c r="CS106" s="4">
        <v>-9.454242944073599e-17</v>
      </c>
      <c r="CT106" s="4">
        <v>1.749</v>
      </c>
      <c r="CU106" s="4">
        <v>1.722</v>
      </c>
      <c r="CV106" s="6"/>
      <c r="CW106" s="6"/>
      <c r="CX106" s="6"/>
      <c r="CY106" s="9">
        <v>53</v>
      </c>
      <c r="CZ106" s="7">
        <f>IFERROR(CR106/F106,0)</f>
        <v>0.0005075083503433854</v>
      </c>
      <c r="DA106" t="inlineStr">
        <is>
          <t xml:space="preserve">SI69N</t>
        </is>
      </c>
      <c r="DB106" t="inlineStr">
        <is>
          <t xml:space="preserve">future</t>
        </is>
      </c>
      <c r="DC106" t="inlineStr">
        <is>
          <t xml:space="preserve">lease</t>
        </is>
      </c>
      <c r="DD106" t="inlineStr">
        <is>
          <t xml:space="preserve">long</t>
        </is>
      </c>
      <c r="DE106" t="inlineStr">
        <is>
          <t xml:space="preserve">regular</t>
        </is>
      </c>
      <c r="DF106" s="4">
        <v>1.7280000000000002</v>
      </c>
      <c r="DG106" s="4">
        <v>1.681</v>
      </c>
      <c r="DH106" s="4">
        <v>0.743655293402381</v>
      </c>
      <c r="DI106" s="6">
        <v>0.973925067693668</v>
      </c>
      <c r="DJ106" s="4">
        <v>1.2850363469993145</v>
      </c>
      <c r="DK106" s="4">
        <v>0</v>
      </c>
      <c r="DL106" s="4">
        <v>0</v>
      </c>
      <c r="DM106" s="4">
        <v>-0.034951798789912045</v>
      </c>
      <c r="DN106" s="4">
        <v>0.034951798789912045</v>
      </c>
      <c r="DO106" s="4">
        <v>1.749</v>
      </c>
      <c r="DP106" s="4">
        <v>1.722</v>
      </c>
      <c r="DQ106" s="6">
        <v>-0.012006861063464824</v>
      </c>
      <c r="DR106" s="6">
        <v>0.0634</v>
      </c>
      <c r="DS106" s="6">
        <v>0.1460887601540502</v>
      </c>
      <c r="DT106" s="9">
        <v>53</v>
      </c>
      <c r="DU106" s="7">
        <f>IFERROR(DM106/F106,0)</f>
        <v>-0.026489860058797787</v>
      </c>
      <c r="DV106" t="inlineStr">
        <is>
          <t xml:space="preserve">Lease cash / margin / financing</t>
        </is>
      </c>
      <c r="DW106" t="inlineStr">
        <is>
          <t xml:space="preserve">cash</t>
        </is>
      </c>
      <c r="DX106" t="inlineStr">
        <is>
          <t xml:space="preserve">lease</t>
        </is>
      </c>
      <c r="DY106" t="inlineStr">
        <is>
          <t xml:space="preserve">cash</t>
        </is>
      </c>
      <c r="DZ106"/>
      <c r="EA106" s="4">
        <v>1</v>
      </c>
      <c r="EB106" s="4">
        <v>1</v>
      </c>
      <c r="EC106" s="4">
        <v>8.881784197001252e-16</v>
      </c>
      <c r="ED106" s="6"/>
      <c r="EE106" s="4">
        <v>8.881784197001252e-16</v>
      </c>
      <c r="EF106" s="4">
        <v>8.881784197001252e-16</v>
      </c>
      <c r="EG106" s="4">
        <v>-0.034952505728121405</v>
      </c>
      <c r="EH106" s="4">
        <v>0</v>
      </c>
      <c r="EI106" s="4">
        <v>-0.03495250572812229</v>
      </c>
      <c r="EJ106" s="4">
        <v>1.749</v>
      </c>
      <c r="EK106" s="4">
        <v>1.722</v>
      </c>
      <c r="EL106" s="6"/>
      <c r="EM106" s="6"/>
      <c r="EN106" s="6"/>
      <c r="EO106" s="9"/>
      <c r="EP106" s="7">
        <f>IFERROR(EH106/F106,0)</f>
        <v>0</v>
      </c>
      <c r="EQ106" t="inlineStr">
        <is>
          <t xml:space="preserve">Keep cash / margin / financing</t>
        </is>
      </c>
      <c r="ER106" t="inlineStr">
        <is>
          <t xml:space="preserve">cash</t>
        </is>
      </c>
      <c r="ES106" t="inlineStr">
        <is>
          <t xml:space="preserve">keep</t>
        </is>
      </c>
      <c r="ET106" t="inlineStr">
        <is>
          <t xml:space="preserve">cash</t>
        </is>
      </c>
      <c r="EU106"/>
      <c r="EV106" s="4">
        <v>1</v>
      </c>
      <c r="EW106" s="4">
        <v>1</v>
      </c>
      <c r="EX106" s="4">
        <v>0</v>
      </c>
      <c r="EY106" s="6"/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1.749</v>
      </c>
      <c r="FF106" s="4">
        <v>1.722</v>
      </c>
      <c r="FG106" s="6"/>
      <c r="FH106" s="6"/>
      <c r="FI106" s="6"/>
      <c r="FJ106" s="9"/>
      <c r="FK106" s="7">
        <f>IFERROR(FC106/F106,0)</f>
        <v>0</v>
      </c>
      <c r="FL106"/>
      <c r="FM106"/>
      <c r="FN106"/>
      <c r="FO106"/>
      <c r="FP106"/>
      <c r="FQ106" s="4"/>
      <c r="FR106" s="4"/>
      <c r="FS106" s="4"/>
      <c r="FT106" s="6"/>
      <c r="FU106" s="4"/>
      <c r="FV106" s="4"/>
      <c r="FW106" s="4"/>
      <c r="FX106" s="4"/>
      <c r="FY106" s="4"/>
      <c r="FZ106" s="4"/>
      <c r="GA106" s="4"/>
      <c r="GB106" s="6"/>
      <c r="GC106" s="6"/>
      <c r="GD106" s="6"/>
      <c r="GE106" s="9"/>
      <c r="GF106"/>
      <c r="GG106"/>
      <c r="GH106"/>
      <c r="GI106"/>
      <c r="GJ106"/>
      <c r="GK106"/>
      <c r="GL106" s="4"/>
      <c r="GM106" s="4"/>
      <c r="GN106" s="4"/>
      <c r="GO106" s="6"/>
      <c r="GP106" s="4"/>
      <c r="GQ106" s="4"/>
      <c r="GR106" s="4"/>
      <c r="GS106" s="4"/>
      <c r="GT106" s="4"/>
      <c r="GU106" s="4"/>
      <c r="GV106" s="4"/>
      <c r="GW106" s="6"/>
      <c r="GX106" s="6"/>
      <c r="GY106" s="6"/>
      <c r="GZ106" s="9"/>
      <c r="HA106"/>
      <c r="HB106"/>
      <c r="HC106"/>
      <c r="HD106"/>
      <c r="HE106"/>
      <c r="HF106"/>
      <c r="HG106" s="4"/>
      <c r="HH106" s="4"/>
      <c r="HI106" s="4"/>
      <c r="HJ106" s="6"/>
      <c r="HK106" s="4"/>
      <c r="HL106" s="4"/>
      <c r="HM106" s="4"/>
      <c r="HN106" s="4"/>
      <c r="HO106" s="4"/>
      <c r="HP106" s="4"/>
      <c r="HQ106" s="4"/>
      <c r="HR106" s="6"/>
      <c r="HS106" s="6"/>
      <c r="HT106" s="6"/>
      <c r="HU106" s="9"/>
      <c r="HV106"/>
      <c r="HW106"/>
      <c r="HX106"/>
      <c r="HY106"/>
      <c r="HZ106"/>
      <c r="IA106"/>
      <c r="IB106" s="4"/>
      <c r="IC106" s="4"/>
      <c r="ID106" s="4"/>
      <c r="IE106" s="6"/>
      <c r="IF106" s="4"/>
      <c r="IG106" s="4"/>
      <c r="IH106" s="4"/>
      <c r="II106" s="4"/>
      <c r="IJ106" s="4"/>
      <c r="IK106" s="4"/>
      <c r="IL106" s="4"/>
      <c r="IM106" s="6"/>
      <c r="IN106" s="6"/>
      <c r="IO106" s="6"/>
      <c r="IP106" s="9"/>
      <c r="IQ106"/>
      <c r="IR106"/>
      <c r="IS106"/>
      <c r="IT106"/>
      <c r="IU106"/>
      <c r="IV106"/>
      <c r="IW106" s="4"/>
      <c r="IX106" s="4"/>
      <c r="IY106" s="4"/>
      <c r="IZ106" s="6"/>
      <c r="JA106" s="4"/>
      <c r="JB106" s="4"/>
      <c r="JC106" s="4"/>
      <c r="JD106" s="4"/>
      <c r="JE106" s="4"/>
      <c r="JF106" s="4"/>
      <c r="JG106" s="4"/>
      <c r="JH106" s="6"/>
      <c r="JI106" s="6"/>
      <c r="JJ106" s="6"/>
      <c r="JK106" s="9"/>
      <c r="JL106"/>
    </row>
    <row r="107">
      <c r="A107" s="8">
        <v>25363</v>
      </c>
      <c r="B107" s="8">
        <v>25364</v>
      </c>
      <c r="C107" s="9">
        <f>B107-A107</f>
        <v>1</v>
      </c>
      <c r="D107" s="8">
        <v>25363</v>
      </c>
      <c r="E107" t="inlineStr">
        <is>
          <t xml:space="preserve">positive</t>
        </is>
      </c>
      <c r="F107" s="4">
        <v>1.2846266815695002</v>
      </c>
      <c r="G107" s="6">
        <v>-0.00874654763553986</v>
      </c>
      <c r="H107" s="7">
        <f>SUM(CE107,CZ107,DU107,EP107,FK107,GF107,HA107,HV107,IQ107,JL107)</f>
        <v>-0.00874654763553986</v>
      </c>
      <c r="I107" s="7">
        <f>G107-H107</f>
        <v>0</v>
      </c>
      <c r="J107" s="5">
        <f>F107*(1+H107)</f>
        <v>1.2733906331052671</v>
      </c>
      <c r="K107" s="4">
        <v>1.2733906331052671</v>
      </c>
      <c r="L107" s="5">
        <f>K107-J107</f>
        <v>0</v>
      </c>
      <c r="M107" s="4">
        <v>1.722</v>
      </c>
      <c r="N107" s="4">
        <v>1.687</v>
      </c>
      <c r="O107" s="5">
        <f>M107/$M$3</f>
        <v>0.8794688457609806</v>
      </c>
      <c r="P107" s="5">
        <f>N107/$M$3</f>
        <v>0.8615934627170583</v>
      </c>
      <c r="Q107" s="7">
        <f>IFERROR(N107/M107-1,0)</f>
        <v>-0.020325203252032464</v>
      </c>
      <c r="R107" s="5">
        <f>SUM(IF(BM107="lease",BU107,0),IF(CH107="lease",CP107,0),IF(DC107="lease",DK107,0),IF(DX107="lease",EF107,0),IF(ES107="lease",FA107,0),IF(FN107="lease",FV107,0),IF(GI107="lease",GQ107,0),IF(HD107="lease",HL107,0),IF(HY107="lease",IG107,0),IF(IT107="lease",JB107,0))</f>
        <v>1.284626681569501</v>
      </c>
      <c r="S107" s="5">
        <f>SUM(IF(BM107="lease",BV107,0),IF(CH107="lease",CQ107,0),IF(DC107="lease",DL107,0),IF(DX107="lease",EG107,0),IF(ES107="lease",FB107,0),IF(FN107="lease",FW107,0),IF(GI107="lease",GR107,0),IF(HD107="lease",HM107,0),IF(HY107="lease",IH107,0),IF(IT107="lease",JC107,0))</f>
        <v>1.273390633105268</v>
      </c>
      <c r="T107" s="5">
        <f>SUM(IF(BM107="keep",BU107,0),IF(CH107="keep",CP107,0),IF(DC107="keep",DK107,0),IF(DX107="keep",EF107,0),IF(ES107="keep",FA107,0),IF(FN107="keep",FV107,0),IF(GI107="keep",GQ107,0),IF(HD107="keep",HL107,0),IF(HY107="keep",IG107,0),IF(IT107="keep",JB107,0))</f>
        <v>0</v>
      </c>
      <c r="U107" s="5">
        <f>SUM(IF(BM107="keep",BV107,0),IF(CH107="keep",CQ107,0),IF(DC107="keep",DL107,0),IF(DX107="keep",EG107,0),IF(ES107="keep",FB107,0),IF(FN107="keep",FW107,0),IF(GI107="keep",GR107,0),IF(HD107="keep",HM107,0),IF(HY107="keep",IH107,0),IF(IT107="keep",JC107,0))</f>
        <v>0</v>
      </c>
      <c r="V107" s="5">
        <f>R107/O107</f>
        <v>1.4606846936777487</v>
      </c>
      <c r="W107" s="5">
        <f>S107/P107</f>
        <v>1.4779483459514609</v>
      </c>
      <c r="X107" s="5">
        <f>T107/O107</f>
        <v>0</v>
      </c>
      <c r="Y107" s="5">
        <f>U107/P107</f>
        <v>0</v>
      </c>
      <c r="Z107" s="5">
        <f>V107+X107</f>
        <v>1.4606846936777487</v>
      </c>
      <c r="AA107" s="7">
        <f>IFERROR(W107/V107-1,0)</f>
        <v>0.011818876687374136</v>
      </c>
      <c r="AB107" s="7">
        <f>IFERROR((W107-V107)/Z107,0)</f>
        <v>0.011818876687374141</v>
      </c>
      <c r="AC107" s="7">
        <f>IFERROR(Y107/X107-1,0)</f>
        <v>0</v>
      </c>
      <c r="AD107" s="7">
        <f>IFERROR((Y107-X107)/Z107,0)</f>
        <v>0</v>
      </c>
      <c r="AE107" s="7">
        <f>AB107+AD107</f>
        <v>0.011818876687374141</v>
      </c>
      <c r="AF107" s="7">
        <f>(1+Q107)*(1+AE107)-1</f>
        <v>-0.008746547635539947</v>
      </c>
      <c r="AG107" s="7">
        <f>G107-AF107</f>
        <v>8.673617379884035e-17</v>
      </c>
      <c r="AH107" s="5">
        <f>SUM(IF(BM107="lease",BW107,0),IF(CH107="lease",CR107,0),IF(DC107="lease",DM107,0),IF(DX107="lease",EH107,0),IF(ES107="lease",FC107,0),IF(FN107="lease",FX107,0),IF(GI107="lease",GS107,0),IF(HD107="lease",HN107,0),IF(HY107="lease",II107,0),IF(IT107="lease",JD107,0))</f>
        <v>-0.01123604846423313</v>
      </c>
      <c r="AI107" s="5">
        <f>SUM(IF(BM107="keep",BW107,0),IF(CH107="keep",CR107,0),IF(DC107="keep",DM107,0),IF(DX107="keep",EH107,0),IF(ES107="keep",FC107,0),IF(FN107="keep",FX107,0),IF(GI107="keep",GS107,0),IF(HD107="keep",HN107,0),IF(HY107="keep",II107,0),IF(IT107="keep",JD107,0))</f>
        <v>0</v>
      </c>
      <c r="AJ107" s="5">
        <f>SUM(IF(BM107="lease",BX107,0),IF(CH107="lease",CS107,0),IF(DC107="lease",DN107,0),IF(DX107="lease",EI107,0),IF(ES107="lease",FD107,0),IF(FN107="lease",FY107,0),IF(GI107="lease",GT107,0),IF(HD107="lease",HO107,0),IF(HY107="lease",IJ107,0),IF(IT107="lease",JE107,0))</f>
        <v>0</v>
      </c>
      <c r="AK107" s="5">
        <f>SUM(IF(BM107="keep",BX107,0),IF(CH107="keep",CS107,0),IF(DC107="keep",DN107,0),IF(DX107="keep",EI107,0),IF(ES107="keep",FD107,0),IF(FN107="keep",FY107,0),IF(GI107="keep",GT107,0),IF(HD107="keep",HO107,0),IF(HY107="keep",IJ107,0),IF(IT107="keep",JE107,0))</f>
        <v>0</v>
      </c>
      <c r="AL107" s="5">
        <f>R107-S106</f>
        <v>0</v>
      </c>
      <c r="AM107" s="5">
        <f>T107-U106</f>
        <v>0</v>
      </c>
      <c r="AN107" s="5">
        <f>AN106</f>
        <v>1</v>
      </c>
      <c r="AO107" s="5">
        <f>AO106+AH107</f>
        <v>0.273390633105268</v>
      </c>
      <c r="AP107" s="5">
        <f>AP106+AL107</f>
        <v>-4.440892098500626e-16</v>
      </c>
      <c r="AQ107" s="5">
        <f>AN107+AO107+AP107</f>
        <v>1.2733906331052676</v>
      </c>
      <c r="AR107" s="5">
        <f>S107-AQ107</f>
        <v>4.440892098500626e-16</v>
      </c>
      <c r="AS107" s="5">
        <f>AS106</f>
        <v>0</v>
      </c>
      <c r="AT107" s="5">
        <f>AT106+AI107</f>
        <v>0</v>
      </c>
      <c r="AU107" s="5">
        <f>AU106+AM107</f>
        <v>0</v>
      </c>
      <c r="AV107" s="5">
        <f>AS107+AT107+AU107</f>
        <v>0</v>
      </c>
      <c r="AW107" s="5">
        <f>U107-AV107</f>
        <v>0</v>
      </c>
      <c r="AX107" s="4">
        <v>1.284626681569501</v>
      </c>
      <c r="AY107" s="4">
        <v>1.273390633105268</v>
      </c>
      <c r="AZ107" s="5">
        <f>S107-AY107</f>
        <v>0</v>
      </c>
      <c r="BA107" s="4">
        <v>0</v>
      </c>
      <c r="BB107" s="4">
        <v>0</v>
      </c>
      <c r="BC107" s="5">
        <f>U107-BB107</f>
        <v>0</v>
      </c>
      <c r="BD107" s="7">
        <f>SUM(IF(BL107="direct",CE107,0),IF(CG107="direct",CZ107,0),IF(DB107="direct",DU107,0),IF(DW107="direct",EP107,0),IF(ER107="direct",FK107,0),IF(FM107="direct",GF107,0),IF(GH107="direct",HA107,0),IF(HC107="direct",HV107,0),IF(HX107="direct",IQ107,0),IF(IS107="direct",JL107,0))</f>
        <v>0</v>
      </c>
      <c r="BE107" s="7">
        <f>SUM(IF(BL107="treasury",CE107,0),IF(CG107="treasury",CZ107,0),IF(DB107="treasury",DU107,0),IF(DW107="treasury",EP107,0),IF(ER107="treasury",FK107,0),IF(FM107="treasury",GF107,0),IF(GH107="treasury",HA107,0),IF(HC107="treasury",HV107,0),IF(HX107="treasury",IQ107,0),IF(IS107="treasury",JL107,0))</f>
        <v>0.0001767123287671233</v>
      </c>
      <c r="BF107" s="7">
        <f>SUM(IF(BL107="future",CE107,0),IF(CG107="future",CZ107,0),IF(DB107="future",DU107,0),IF(DW107="future",EP107,0),IF(ER107="future",FK107,0),IF(FM107="future",GF107,0),IF(GH107="future",HA107,0),IF(HC107="future",HV107,0),IF(HX107="future",IQ107,0),IF(IS107="future",JL107,0))</f>
        <v>-0.008923259964306984</v>
      </c>
      <c r="BG107" s="7">
        <f>SUM(IF(BL107="cash",CE107,0),IF(CG107="cash",CZ107,0),IF(DB107="cash",DU107,0),IF(DW107="cash",EP107,0),IF(ER107="cash",FK107,0),IF(FM107="cash",GF107,0),IF(GH107="cash",HA107,0),IF(HC107="cash",HV107,0),IF(HX107="cash",IQ107,0),IF(IS107="cash",JL107,0))</f>
        <v>0</v>
      </c>
      <c r="BH107" s="7">
        <f>SUM(BD107:BG107)</f>
        <v>-0.00874654763553986</v>
      </c>
      <c r="BI107" s="7">
        <f>G107-BH107</f>
        <v>0</v>
      </c>
      <c r="BJ107" s="9">
        <f>COUNTA(BK107,CF107,DA107,DV107,EQ107,FL107,GG107,HB107,HW107,IR107)</f>
        <v>4</v>
      </c>
      <c r="BK107" t="inlineStr">
        <is>
          <t xml:space="preserve">Treasury collateral</t>
        </is>
      </c>
      <c r="BL107" t="inlineStr">
        <is>
          <t xml:space="preserve">treasury</t>
        </is>
      </c>
      <c r="BM107" t="inlineStr">
        <is>
          <t xml:space="preserve">lease</t>
        </is>
      </c>
      <c r="BN107" t="inlineStr">
        <is>
          <t xml:space="preserve">long</t>
        </is>
      </c>
      <c r="BO107"/>
      <c r="BP107" s="4">
        <v>102.67224881577883</v>
      </c>
      <c r="BQ107" s="4">
        <v>102.69039226796681</v>
      </c>
      <c r="BR107" s="4">
        <v>0.012511917255016594</v>
      </c>
      <c r="BS107" s="6">
        <v>1</v>
      </c>
      <c r="BT107" s="4">
        <v>1.2846266815695002</v>
      </c>
      <c r="BU107" s="4">
        <v>1.2846266815695002</v>
      </c>
      <c r="BV107" s="4">
        <v>1.2848536909419965</v>
      </c>
      <c r="BW107" s="4">
        <v>0.00022700937249652814</v>
      </c>
      <c r="BX107" s="4">
        <v>-2.1632543846517027e-16</v>
      </c>
      <c r="BY107" s="4">
        <v>1.722</v>
      </c>
      <c r="BZ107" s="4">
        <v>1.687</v>
      </c>
      <c r="CA107" s="6"/>
      <c r="CB107" s="6"/>
      <c r="CC107" s="6"/>
      <c r="CD107" s="9">
        <v>50</v>
      </c>
      <c r="CE107" s="7">
        <f>IFERROR(BW107/F107,0)</f>
        <v>0.0001767123287671233</v>
      </c>
      <c r="CF107" t="inlineStr">
        <is>
          <t xml:space="preserve">SI69N</t>
        </is>
      </c>
      <c r="CG107" t="inlineStr">
        <is>
          <t xml:space="preserve">future</t>
        </is>
      </c>
      <c r="CH107" t="inlineStr">
        <is>
          <t xml:space="preserve">lease</t>
        </is>
      </c>
      <c r="CI107" t="inlineStr">
        <is>
          <t xml:space="preserve">long</t>
        </is>
      </c>
      <c r="CJ107" t="inlineStr">
        <is>
          <t xml:space="preserve">regular</t>
        </is>
      </c>
      <c r="CK107" s="4">
        <v>1.681</v>
      </c>
      <c r="CL107" s="4">
        <v>1.666</v>
      </c>
      <c r="CM107" s="4">
        <v>0.7642038557819751</v>
      </c>
      <c r="CN107" s="6">
        <v>1</v>
      </c>
      <c r="CO107" s="4">
        <v>1.2846266815695002</v>
      </c>
      <c r="CP107" s="4">
        <v>0</v>
      </c>
      <c r="CQ107" s="4">
        <v>0</v>
      </c>
      <c r="CR107" s="4">
        <v>-0.011463057836729658</v>
      </c>
      <c r="CS107" s="4">
        <v>0.011463057836729658</v>
      </c>
      <c r="CT107" s="4">
        <v>1.722</v>
      </c>
      <c r="CU107" s="4">
        <v>1.687</v>
      </c>
      <c r="CV107" s="6">
        <v>-0.023809523809523725</v>
      </c>
      <c r="CW107" s="6">
        <v>0.0645</v>
      </c>
      <c r="CX107" s="6">
        <v>0.2383095238095232</v>
      </c>
      <c r="CY107" s="9">
        <v>50</v>
      </c>
      <c r="CZ107" s="7">
        <f>IFERROR(CR107/F107,0)</f>
        <v>-0.008923259964306984</v>
      </c>
      <c r="DA107" t="inlineStr">
        <is>
          <t xml:space="preserve">Lease cash / margin / financing</t>
        </is>
      </c>
      <c r="DB107" t="inlineStr">
        <is>
          <t xml:space="preserve">cash</t>
        </is>
      </c>
      <c r="DC107" t="inlineStr">
        <is>
          <t xml:space="preserve">lease</t>
        </is>
      </c>
      <c r="DD107" t="inlineStr">
        <is>
          <t xml:space="preserve">cash</t>
        </is>
      </c>
      <c r="DE107"/>
      <c r="DF107" s="4">
        <v>1</v>
      </c>
      <c r="DG107" s="4">
        <v>1</v>
      </c>
      <c r="DH107" s="4">
        <v>8.881784197001252e-16</v>
      </c>
      <c r="DI107" s="6"/>
      <c r="DJ107" s="4">
        <v>8.881784197001252e-16</v>
      </c>
      <c r="DK107" s="4">
        <v>8.881784197001252e-16</v>
      </c>
      <c r="DL107" s="4">
        <v>-0.011463057836728553</v>
      </c>
      <c r="DM107" s="4">
        <v>0</v>
      </c>
      <c r="DN107" s="4">
        <v>-0.011463057836729441</v>
      </c>
      <c r="DO107" s="4">
        <v>1.722</v>
      </c>
      <c r="DP107" s="4">
        <v>1.687</v>
      </c>
      <c r="DQ107" s="6"/>
      <c r="DR107" s="6"/>
      <c r="DS107" s="6"/>
      <c r="DT107" s="9"/>
      <c r="DU107" s="7">
        <f>IFERROR(DM107/F107,0)</f>
        <v>0</v>
      </c>
      <c r="DV107" t="inlineStr">
        <is>
          <t xml:space="preserve">Keep cash / margin / financing</t>
        </is>
      </c>
      <c r="DW107" t="inlineStr">
        <is>
          <t xml:space="preserve">cash</t>
        </is>
      </c>
      <c r="DX107" t="inlineStr">
        <is>
          <t xml:space="preserve">keep</t>
        </is>
      </c>
      <c r="DY107" t="inlineStr">
        <is>
          <t xml:space="preserve">cash</t>
        </is>
      </c>
      <c r="DZ107"/>
      <c r="EA107" s="4">
        <v>1</v>
      </c>
      <c r="EB107" s="4">
        <v>1</v>
      </c>
      <c r="EC107" s="4">
        <v>0</v>
      </c>
      <c r="ED107" s="6"/>
      <c r="EE107" s="4">
        <v>0</v>
      </c>
      <c r="EF107" s="4">
        <v>0</v>
      </c>
      <c r="EG107" s="4">
        <v>0</v>
      </c>
      <c r="EH107" s="4">
        <v>0</v>
      </c>
      <c r="EI107" s="4">
        <v>0</v>
      </c>
      <c r="EJ107" s="4">
        <v>1.722</v>
      </c>
      <c r="EK107" s="4">
        <v>1.687</v>
      </c>
      <c r="EL107" s="6"/>
      <c r="EM107" s="6"/>
      <c r="EN107" s="6"/>
      <c r="EO107" s="9"/>
      <c r="EP107" s="7">
        <f>IFERROR(EH107/F107,0)</f>
        <v>0</v>
      </c>
      <c r="EQ107"/>
      <c r="ER107"/>
      <c r="ES107"/>
      <c r="ET107"/>
      <c r="EU107"/>
      <c r="EV107" s="4"/>
      <c r="EW107" s="4"/>
      <c r="EX107" s="4"/>
      <c r="EY107" s="6"/>
      <c r="EZ107" s="4"/>
      <c r="FA107" s="4"/>
      <c r="FB107" s="4"/>
      <c r="FC107" s="4"/>
      <c r="FD107" s="4"/>
      <c r="FE107" s="4"/>
      <c r="FF107" s="4"/>
      <c r="FG107" s="6"/>
      <c r="FH107" s="6"/>
      <c r="FI107" s="6"/>
      <c r="FJ107" s="9"/>
      <c r="FK107"/>
      <c r="FL107"/>
      <c r="FM107"/>
      <c r="FN107"/>
      <c r="FO107"/>
      <c r="FP107"/>
      <c r="FQ107" s="4"/>
      <c r="FR107" s="4"/>
      <c r="FS107" s="4"/>
      <c r="FT107" s="6"/>
      <c r="FU107" s="4"/>
      <c r="FV107" s="4"/>
      <c r="FW107" s="4"/>
      <c r="FX107" s="4"/>
      <c r="FY107" s="4"/>
      <c r="FZ107" s="4"/>
      <c r="GA107" s="4"/>
      <c r="GB107" s="6"/>
      <c r="GC107" s="6"/>
      <c r="GD107" s="6"/>
      <c r="GE107" s="9"/>
      <c r="GF107"/>
      <c r="GG107"/>
      <c r="GH107"/>
      <c r="GI107"/>
      <c r="GJ107"/>
      <c r="GK107"/>
      <c r="GL107" s="4"/>
      <c r="GM107" s="4"/>
      <c r="GN107" s="4"/>
      <c r="GO107" s="6"/>
      <c r="GP107" s="4"/>
      <c r="GQ107" s="4"/>
      <c r="GR107" s="4"/>
      <c r="GS107" s="4"/>
      <c r="GT107" s="4"/>
      <c r="GU107" s="4"/>
      <c r="GV107" s="4"/>
      <c r="GW107" s="6"/>
      <c r="GX107" s="6"/>
      <c r="GY107" s="6"/>
      <c r="GZ107" s="9"/>
      <c r="HA107"/>
      <c r="HB107"/>
      <c r="HC107"/>
      <c r="HD107"/>
      <c r="HE107"/>
      <c r="HF107"/>
      <c r="HG107" s="4"/>
      <c r="HH107" s="4"/>
      <c r="HI107" s="4"/>
      <c r="HJ107" s="6"/>
      <c r="HK107" s="4"/>
      <c r="HL107" s="4"/>
      <c r="HM107" s="4"/>
      <c r="HN107" s="4"/>
      <c r="HO107" s="4"/>
      <c r="HP107" s="4"/>
      <c r="HQ107" s="4"/>
      <c r="HR107" s="6"/>
      <c r="HS107" s="6"/>
      <c r="HT107" s="6"/>
      <c r="HU107" s="9"/>
      <c r="HV107"/>
      <c r="HW107"/>
      <c r="HX107"/>
      <c r="HY107"/>
      <c r="HZ107"/>
      <c r="IA107"/>
      <c r="IB107" s="4"/>
      <c r="IC107" s="4"/>
      <c r="ID107" s="4"/>
      <c r="IE107" s="6"/>
      <c r="IF107" s="4"/>
      <c r="IG107" s="4"/>
      <c r="IH107" s="4"/>
      <c r="II107" s="4"/>
      <c r="IJ107" s="4"/>
      <c r="IK107" s="4"/>
      <c r="IL107" s="4"/>
      <c r="IM107" s="6"/>
      <c r="IN107" s="6"/>
      <c r="IO107" s="6"/>
      <c r="IP107" s="9"/>
      <c r="IQ107"/>
      <c r="IR107"/>
      <c r="IS107"/>
      <c r="IT107"/>
      <c r="IU107"/>
      <c r="IV107"/>
      <c r="IW107" s="4"/>
      <c r="IX107" s="4"/>
      <c r="IY107" s="4"/>
      <c r="IZ107" s="6"/>
      <c r="JA107" s="4"/>
      <c r="JB107" s="4"/>
      <c r="JC107" s="4"/>
      <c r="JD107" s="4"/>
      <c r="JE107" s="4"/>
      <c r="JF107" s="4"/>
      <c r="JG107" s="4"/>
      <c r="JH107" s="6"/>
      <c r="JI107" s="6"/>
      <c r="JJ107" s="6"/>
      <c r="JK107" s="9"/>
      <c r="JL107"/>
    </row>
    <row r="108">
      <c r="A108" s="8">
        <v>25364</v>
      </c>
      <c r="B108" s="8">
        <v>25365</v>
      </c>
      <c r="C108" s="9">
        <f>B108-A108</f>
        <v>1</v>
      </c>
      <c r="D108" s="8">
        <v>25364</v>
      </c>
      <c r="E108" t="inlineStr">
        <is>
          <t xml:space="preserve">positive</t>
        </is>
      </c>
      <c r="F108" s="4">
        <v>1.2733906331052671</v>
      </c>
      <c r="G108" s="6">
        <v>-0.006421271193408799</v>
      </c>
      <c r="H108" s="7">
        <f>SUM(CE108,CZ108,DU108,EP108,FK108,GF108,HA108,HV108,IQ108,JL108)</f>
        <v>-0.006421271193408799</v>
      </c>
      <c r="I108" s="7">
        <f>G108-H108</f>
        <v>0</v>
      </c>
      <c r="J108" s="5">
        <f>F108*(1+H108)</f>
        <v>1.2652138465149516</v>
      </c>
      <c r="K108" s="4">
        <v>1.2652138465149516</v>
      </c>
      <c r="L108" s="5">
        <f>K108-J108</f>
        <v>0</v>
      </c>
      <c r="M108" s="4">
        <v>1.687</v>
      </c>
      <c r="N108" s="4">
        <v>1.684</v>
      </c>
      <c r="O108" s="5">
        <f>M108/$M$3</f>
        <v>0.8615934627170583</v>
      </c>
      <c r="P108" s="5">
        <f>N108/$M$3</f>
        <v>0.8600612870275791</v>
      </c>
      <c r="Q108" s="7">
        <f>IFERROR(N108/M108-1,0)</f>
        <v>-0.001778304682869103</v>
      </c>
      <c r="R108" s="5">
        <f>SUM(IF(BM108="lease",BU108,0),IF(CH108="lease",CP108,0),IF(DC108="lease",DK108,0),IF(DX108="lease",EF108,0),IF(ES108="lease",FA108,0),IF(FN108="lease",FV108,0),IF(GI108="lease",GQ108,0),IF(HD108="lease",HL108,0),IF(HY108="lease",IG108,0),IF(IT108="lease",JB108,0))</f>
        <v>1.273390633105268</v>
      </c>
      <c r="S108" s="5">
        <f>SUM(IF(BM108="lease",BV108,0),IF(CH108="lease",CQ108,0),IF(DC108="lease",DL108,0),IF(DX108="lease",EG108,0),IF(ES108="lease",FB108,0),IF(FN108="lease",FW108,0),IF(GI108="lease",GR108,0),IF(HD108="lease",HM108,0),IF(HY108="lease",IH108,0),IF(IT108="lease",JC108,0))</f>
        <v>1.2652138465149525</v>
      </c>
      <c r="T108" s="5">
        <f>SUM(IF(BM108="keep",BU108,0),IF(CH108="keep",CP108,0),IF(DC108="keep",DK108,0),IF(DX108="keep",EF108,0),IF(ES108="keep",FA108,0),IF(FN108="keep",FV108,0),IF(GI108="keep",GQ108,0),IF(HD108="keep",HL108,0),IF(HY108="keep",IG108,0),IF(IT108="keep",JB108,0))</f>
        <v>0</v>
      </c>
      <c r="U108" s="5">
        <f>SUM(IF(BM108="keep",BV108,0),IF(CH108="keep",CQ108,0),IF(DC108="keep",DL108,0),IF(DX108="keep",EG108,0),IF(ES108="keep",FB108,0),IF(FN108="keep",FW108,0),IF(GI108="keep",GR108,0),IF(HD108="keep",HM108,0),IF(HY108="keep",IH108,0),IF(IT108="keep",JC108,0))</f>
        <v>0</v>
      </c>
      <c r="V108" s="5">
        <f>R108/O108</f>
        <v>1.4779483459514609</v>
      </c>
      <c r="W108" s="5">
        <f>S108/P108</f>
        <v>1.4710740566961267</v>
      </c>
      <c r="X108" s="5">
        <f>T108/O108</f>
        <v>0</v>
      </c>
      <c r="Y108" s="5">
        <f>U108/P108</f>
        <v>0</v>
      </c>
      <c r="Z108" s="5">
        <f>V108+X108</f>
        <v>1.4779483459514609</v>
      </c>
      <c r="AA108" s="7">
        <f>IFERROR(W108/V108-1,0)</f>
        <v>-0.004651237828551258</v>
      </c>
      <c r="AB108" s="7">
        <f>IFERROR((W108-V108)/Z108,0)</f>
        <v>-0.004651237828551244</v>
      </c>
      <c r="AC108" s="7">
        <f>IFERROR(Y108/X108-1,0)</f>
        <v>0</v>
      </c>
      <c r="AD108" s="7">
        <f>IFERROR((Y108-X108)/Z108,0)</f>
        <v>0</v>
      </c>
      <c r="AE108" s="7">
        <f>AB108+AD108</f>
        <v>-0.004651237828551244</v>
      </c>
      <c r="AF108" s="7">
        <f>(1+Q108)*(1+AE108)-1</f>
        <v>-0.00642127119340874</v>
      </c>
      <c r="AG108" s="7">
        <f>G108-AF108</f>
        <v>-5.898059818321144e-17</v>
      </c>
      <c r="AH108" s="5">
        <f>SUM(IF(BM108="lease",BW108,0),IF(CH108="lease",CR108,0),IF(DC108="lease",DM108,0),IF(DX108="lease",EH108,0),IF(ES108="lease",FC108,0),IF(FN108="lease",FX108,0),IF(GI108="lease",GS108,0),IF(HD108="lease",HN108,0),IF(HY108="lease",II108,0),IF(IT108="lease",JD108,0))</f>
        <v>-0.008176786590315444</v>
      </c>
      <c r="AI108" s="5">
        <f>SUM(IF(BM108="keep",BW108,0),IF(CH108="keep",CR108,0),IF(DC108="keep",DM108,0),IF(DX108="keep",EH108,0),IF(ES108="keep",FC108,0),IF(FN108="keep",FX108,0),IF(GI108="keep",GS108,0),IF(HD108="keep",HN108,0),IF(HY108="keep",II108,0),IF(IT108="keep",JD108,0))</f>
        <v>0</v>
      </c>
      <c r="AJ108" s="5">
        <f>SUM(IF(BM108="lease",BX108,0),IF(CH108="lease",CS108,0),IF(DC108="lease",DN108,0),IF(DX108="lease",EI108,0),IF(ES108="lease",FD108,0),IF(FN108="lease",FY108,0),IF(GI108="lease",GT108,0),IF(HD108="lease",HO108,0),IF(HY108="lease",IJ108,0),IF(IT108="lease",JE108,0))</f>
        <v>0</v>
      </c>
      <c r="AK108" s="5">
        <f>SUM(IF(BM108="keep",BX108,0),IF(CH108="keep",CS108,0),IF(DC108="keep",DN108,0),IF(DX108="keep",EI108,0),IF(ES108="keep",FD108,0),IF(FN108="keep",FY108,0),IF(GI108="keep",GT108,0),IF(HD108="keep",HO108,0),IF(HY108="keep",IJ108,0),IF(IT108="keep",JE108,0))</f>
        <v>0</v>
      </c>
      <c r="AL108" s="5">
        <f>R108-S107</f>
        <v>0</v>
      </c>
      <c r="AM108" s="5">
        <f>T108-U107</f>
        <v>0</v>
      </c>
      <c r="AN108" s="5">
        <f>AN107</f>
        <v>1</v>
      </c>
      <c r="AO108" s="5">
        <f>AO107+AH108</f>
        <v>0.26521384651495256</v>
      </c>
      <c r="AP108" s="5">
        <f>AP107+AL108</f>
        <v>-4.440892098500626e-16</v>
      </c>
      <c r="AQ108" s="5">
        <f>AN108+AO108+AP108</f>
        <v>1.265213846514952</v>
      </c>
      <c r="AR108" s="5">
        <f>S108-AQ108</f>
        <v>4.440892098500626e-16</v>
      </c>
      <c r="AS108" s="5">
        <f>AS107</f>
        <v>0</v>
      </c>
      <c r="AT108" s="5">
        <f>AT107+AI108</f>
        <v>0</v>
      </c>
      <c r="AU108" s="5">
        <f>AU107+AM108</f>
        <v>0</v>
      </c>
      <c r="AV108" s="5">
        <f>AS108+AT108+AU108</f>
        <v>0</v>
      </c>
      <c r="AW108" s="5">
        <f>U108-AV108</f>
        <v>0</v>
      </c>
      <c r="AX108" s="4">
        <v>1.273390633105268</v>
      </c>
      <c r="AY108" s="4">
        <v>1.2652138465149525</v>
      </c>
      <c r="AZ108" s="5">
        <f>S108-AY108</f>
        <v>0</v>
      </c>
      <c r="BA108" s="4">
        <v>0</v>
      </c>
      <c r="BB108" s="4">
        <v>0</v>
      </c>
      <c r="BC108" s="5">
        <f>U108-BB108</f>
        <v>0</v>
      </c>
      <c r="BD108" s="7">
        <f>SUM(IF(BL108="direct",CE108,0),IF(CG108="direct",CZ108,0),IF(DB108="direct",DU108,0),IF(DW108="direct",EP108,0),IF(ER108="direct",FK108,0),IF(FM108="direct",GF108,0),IF(GH108="direct",HA108,0),IF(HC108="direct",HV108,0),IF(HX108="direct",IQ108,0),IF(IS108="direct",JL108,0))</f>
        <v>0</v>
      </c>
      <c r="BE108" s="7">
        <f>SUM(IF(BL108="treasury",CE108,0),IF(CG108="treasury",CZ108,0),IF(DB108="treasury",DU108,0),IF(DW108="treasury",EP108,0),IF(ER108="treasury",FK108,0),IF(FM108="treasury",GF108,0),IF(GH108="treasury",HA108,0),IF(HC108="treasury",HV108,0),IF(HX108="treasury",IQ108,0),IF(IS108="treasury",JL108,0))</f>
        <v>0.0001813698630136986</v>
      </c>
      <c r="BF108" s="7">
        <f>SUM(IF(BL108="future",CE108,0),IF(CG108="future",CZ108,0),IF(DB108="future",DU108,0),IF(DW108="future",EP108,0),IF(ER108="future",FK108,0),IF(FM108="future",GF108,0),IF(GH108="future",HA108,0),IF(HC108="future",HV108,0),IF(HX108="future",IQ108,0),IF(IS108="future",JL108,0))</f>
        <v>-0.006602641056422497</v>
      </c>
      <c r="BG108" s="7">
        <f>SUM(IF(BL108="cash",CE108,0),IF(CG108="cash",CZ108,0),IF(DB108="cash",DU108,0),IF(DW108="cash",EP108,0),IF(ER108="cash",FK108,0),IF(FM108="cash",GF108,0),IF(GH108="cash",HA108,0),IF(HC108="cash",HV108,0),IF(HX108="cash",IQ108,0),IF(IS108="cash",JL108,0))</f>
        <v>0</v>
      </c>
      <c r="BH108" s="7">
        <f>SUM(BD108:BG108)</f>
        <v>-0.006421271193408799</v>
      </c>
      <c r="BI108" s="7">
        <f>G108-BH108</f>
        <v>0</v>
      </c>
      <c r="BJ108" s="9">
        <f>COUNTA(BK108,CF108,DA108,DV108,EQ108,FL108,GG108,HB108,HW108,IR108)</f>
        <v>4</v>
      </c>
      <c r="BK108" t="inlineStr">
        <is>
          <t xml:space="preserve">Treasury collateral</t>
        </is>
      </c>
      <c r="BL108" t="inlineStr">
        <is>
          <t xml:space="preserve">treasury</t>
        </is>
      </c>
      <c r="BM108" t="inlineStr">
        <is>
          <t xml:space="preserve">lease</t>
        </is>
      </c>
      <c r="BN108" t="inlineStr">
        <is>
          <t xml:space="preserve">long</t>
        </is>
      </c>
      <c r="BO108"/>
      <c r="BP108" s="4">
        <v>102.69039226796681</v>
      </c>
      <c r="BQ108" s="4">
        <v>102.7090172103453</v>
      </c>
      <c r="BR108" s="4">
        <v>0.012400289890629699</v>
      </c>
      <c r="BS108" s="6">
        <v>1</v>
      </c>
      <c r="BT108" s="4">
        <v>1.2733906331052671</v>
      </c>
      <c r="BU108" s="4">
        <v>1.2733906331052671</v>
      </c>
      <c r="BV108" s="4">
        <v>1.2736215877899564</v>
      </c>
      <c r="BW108" s="4">
        <v>0.00023095468468922923</v>
      </c>
      <c r="BX108" s="4">
        <v>2.5939536976715694e-17</v>
      </c>
      <c r="BY108" s="4">
        <v>1.687</v>
      </c>
      <c r="BZ108" s="4">
        <v>1.684</v>
      </c>
      <c r="CA108" s="6"/>
      <c r="CB108" s="6"/>
      <c r="CC108" s="6"/>
      <c r="CD108" s="9">
        <v>49</v>
      </c>
      <c r="CE108" s="7">
        <f>IFERROR(BW108/F108,0)</f>
        <v>0.0001813698630136986</v>
      </c>
      <c r="CF108" t="inlineStr">
        <is>
          <t xml:space="preserve">SI69N</t>
        </is>
      </c>
      <c r="CG108" t="inlineStr">
        <is>
          <t xml:space="preserve">future</t>
        </is>
      </c>
      <c r="CH108" t="inlineStr">
        <is>
          <t xml:space="preserve">lease</t>
        </is>
      </c>
      <c r="CI108" t="inlineStr">
        <is>
          <t xml:space="preserve">long</t>
        </is>
      </c>
      <c r="CJ108" t="inlineStr">
        <is>
          <t xml:space="preserve">regular</t>
        </is>
      </c>
      <c r="CK108" s="4">
        <v>1.666</v>
      </c>
      <c r="CL108" s="4">
        <v>1.655</v>
      </c>
      <c r="CM108" s="4">
        <v>0.764340115909524</v>
      </c>
      <c r="CN108" s="6">
        <v>0.9999999999999999</v>
      </c>
      <c r="CO108" s="4">
        <v>1.273390633105267</v>
      </c>
      <c r="CP108" s="4">
        <v>0</v>
      </c>
      <c r="CQ108" s="4">
        <v>0</v>
      </c>
      <c r="CR108" s="4">
        <v>-0.008407741275004673</v>
      </c>
      <c r="CS108" s="4">
        <v>0.008407741275004673</v>
      </c>
      <c r="CT108" s="4">
        <v>1.687</v>
      </c>
      <c r="CU108" s="4">
        <v>1.684</v>
      </c>
      <c r="CV108" s="6">
        <v>-0.012448132780083054</v>
      </c>
      <c r="CW108" s="6">
        <v>0.0662</v>
      </c>
      <c r="CX108" s="6">
        <v>0.15892588703531255</v>
      </c>
      <c r="CY108" s="9">
        <v>49</v>
      </c>
      <c r="CZ108" s="7">
        <f>IFERROR(CR108/F108,0)</f>
        <v>-0.006602641056422497</v>
      </c>
      <c r="DA108" t="inlineStr">
        <is>
          <t xml:space="preserve">Lease cash / margin / financing</t>
        </is>
      </c>
      <c r="DB108" t="inlineStr">
        <is>
          <t xml:space="preserve">cash</t>
        </is>
      </c>
      <c r="DC108" t="inlineStr">
        <is>
          <t xml:space="preserve">lease</t>
        </is>
      </c>
      <c r="DD108" t="inlineStr">
        <is>
          <t xml:space="preserve">cash</t>
        </is>
      </c>
      <c r="DE108"/>
      <c r="DF108" s="4">
        <v>1</v>
      </c>
      <c r="DG108" s="4">
        <v>1</v>
      </c>
      <c r="DH108" s="4">
        <v>8.881784197001252e-16</v>
      </c>
      <c r="DI108" s="6"/>
      <c r="DJ108" s="4">
        <v>8.881784197001252e-16</v>
      </c>
      <c r="DK108" s="4">
        <v>8.881784197001252e-16</v>
      </c>
      <c r="DL108" s="4">
        <v>-0.008407741275003811</v>
      </c>
      <c r="DM108" s="4">
        <v>0</v>
      </c>
      <c r="DN108" s="4">
        <v>-0.0084077412750047</v>
      </c>
      <c r="DO108" s="4">
        <v>1.687</v>
      </c>
      <c r="DP108" s="4">
        <v>1.684</v>
      </c>
      <c r="DQ108" s="6"/>
      <c r="DR108" s="6"/>
      <c r="DS108" s="6"/>
      <c r="DT108" s="9"/>
      <c r="DU108" s="7">
        <f>IFERROR(DM108/F108,0)</f>
        <v>0</v>
      </c>
      <c r="DV108" t="inlineStr">
        <is>
          <t xml:space="preserve">Keep cash / margin / financing</t>
        </is>
      </c>
      <c r="DW108" t="inlineStr">
        <is>
          <t xml:space="preserve">cash</t>
        </is>
      </c>
      <c r="DX108" t="inlineStr">
        <is>
          <t xml:space="preserve">keep</t>
        </is>
      </c>
      <c r="DY108" t="inlineStr">
        <is>
          <t xml:space="preserve">cash</t>
        </is>
      </c>
      <c r="DZ108"/>
      <c r="EA108" s="4">
        <v>1</v>
      </c>
      <c r="EB108" s="4">
        <v>1</v>
      </c>
      <c r="EC108" s="4">
        <v>0</v>
      </c>
      <c r="ED108" s="6"/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1.687</v>
      </c>
      <c r="EK108" s="4">
        <v>1.684</v>
      </c>
      <c r="EL108" s="6"/>
      <c r="EM108" s="6"/>
      <c r="EN108" s="6"/>
      <c r="EO108" s="9"/>
      <c r="EP108" s="7">
        <f>IFERROR(EH108/F108,0)</f>
        <v>0</v>
      </c>
      <c r="EQ108"/>
      <c r="ER108"/>
      <c r="ES108"/>
      <c r="ET108"/>
      <c r="EU108"/>
      <c r="EV108" s="4"/>
      <c r="EW108" s="4"/>
      <c r="EX108" s="4"/>
      <c r="EY108" s="6"/>
      <c r="EZ108" s="4"/>
      <c r="FA108" s="4"/>
      <c r="FB108" s="4"/>
      <c r="FC108" s="4"/>
      <c r="FD108" s="4"/>
      <c r="FE108" s="4"/>
      <c r="FF108" s="4"/>
      <c r="FG108" s="6"/>
      <c r="FH108" s="6"/>
      <c r="FI108" s="6"/>
      <c r="FJ108" s="9"/>
      <c r="FK108"/>
      <c r="FL108"/>
      <c r="FM108"/>
      <c r="FN108"/>
      <c r="FO108"/>
      <c r="FP108"/>
      <c r="FQ108" s="4"/>
      <c r="FR108" s="4"/>
      <c r="FS108" s="4"/>
      <c r="FT108" s="6"/>
      <c r="FU108" s="4"/>
      <c r="FV108" s="4"/>
      <c r="FW108" s="4"/>
      <c r="FX108" s="4"/>
      <c r="FY108" s="4"/>
      <c r="FZ108" s="4"/>
      <c r="GA108" s="4"/>
      <c r="GB108" s="6"/>
      <c r="GC108" s="6"/>
      <c r="GD108" s="6"/>
      <c r="GE108" s="9"/>
      <c r="GF108"/>
      <c r="GG108"/>
      <c r="GH108"/>
      <c r="GI108"/>
      <c r="GJ108"/>
      <c r="GK108"/>
      <c r="GL108" s="4"/>
      <c r="GM108" s="4"/>
      <c r="GN108" s="4"/>
      <c r="GO108" s="6"/>
      <c r="GP108" s="4"/>
      <c r="GQ108" s="4"/>
      <c r="GR108" s="4"/>
      <c r="GS108" s="4"/>
      <c r="GT108" s="4"/>
      <c r="GU108" s="4"/>
      <c r="GV108" s="4"/>
      <c r="GW108" s="6"/>
      <c r="GX108" s="6"/>
      <c r="GY108" s="6"/>
      <c r="GZ108" s="9"/>
      <c r="HA108"/>
      <c r="HB108"/>
      <c r="HC108"/>
      <c r="HD108"/>
      <c r="HE108"/>
      <c r="HF108"/>
      <c r="HG108" s="4"/>
      <c r="HH108" s="4"/>
      <c r="HI108" s="4"/>
      <c r="HJ108" s="6"/>
      <c r="HK108" s="4"/>
      <c r="HL108" s="4"/>
      <c r="HM108" s="4"/>
      <c r="HN108" s="4"/>
      <c r="HO108" s="4"/>
      <c r="HP108" s="4"/>
      <c r="HQ108" s="4"/>
      <c r="HR108" s="6"/>
      <c r="HS108" s="6"/>
      <c r="HT108" s="6"/>
      <c r="HU108" s="9"/>
      <c r="HV108"/>
      <c r="HW108"/>
      <c r="HX108"/>
      <c r="HY108"/>
      <c r="HZ108"/>
      <c r="IA108"/>
      <c r="IB108" s="4"/>
      <c r="IC108" s="4"/>
      <c r="ID108" s="4"/>
      <c r="IE108" s="6"/>
      <c r="IF108" s="4"/>
      <c r="IG108" s="4"/>
      <c r="IH108" s="4"/>
      <c r="II108" s="4"/>
      <c r="IJ108" s="4"/>
      <c r="IK108" s="4"/>
      <c r="IL108" s="4"/>
      <c r="IM108" s="6"/>
      <c r="IN108" s="6"/>
      <c r="IO108" s="6"/>
      <c r="IP108" s="9"/>
      <c r="IQ108"/>
      <c r="IR108"/>
      <c r="IS108"/>
      <c r="IT108"/>
      <c r="IU108"/>
      <c r="IV108"/>
      <c r="IW108" s="4"/>
      <c r="IX108" s="4"/>
      <c r="IY108" s="4"/>
      <c r="IZ108" s="6"/>
      <c r="JA108" s="4"/>
      <c r="JB108" s="4"/>
      <c r="JC108" s="4"/>
      <c r="JD108" s="4"/>
      <c r="JE108" s="4"/>
      <c r="JF108" s="4"/>
      <c r="JG108" s="4"/>
      <c r="JH108" s="6"/>
      <c r="JI108" s="6"/>
      <c r="JJ108" s="6"/>
      <c r="JK108" s="9"/>
      <c r="JL108"/>
    </row>
    <row r="109">
      <c r="A109" s="8">
        <v>25365</v>
      </c>
      <c r="B109" s="8">
        <v>25366</v>
      </c>
      <c r="C109" s="9">
        <f>B109-A109</f>
        <v>1</v>
      </c>
      <c r="D109" s="8">
        <v>25365</v>
      </c>
      <c r="E109" t="inlineStr">
        <is>
          <t xml:space="preserve">positive</t>
        </is>
      </c>
      <c r="F109" s="4">
        <v>1.2652138465149516</v>
      </c>
      <c r="G109" s="6">
        <v>0.003808665314737334</v>
      </c>
      <c r="H109" s="7">
        <f>SUM(CE109,CZ109,DU109,EP109,FK109,GF109,HA109,HV109,IQ109,JL109)</f>
        <v>0.0038086653147373336</v>
      </c>
      <c r="I109" s="7">
        <f>G109-H109</f>
        <v>4.336808689942018e-19</v>
      </c>
      <c r="J109" s="5">
        <f>F109*(1+H109)</f>
        <v>1.2700326226078986</v>
      </c>
      <c r="K109" s="4">
        <v>1.2700326226078986</v>
      </c>
      <c r="L109" s="5">
        <f>K109-J109</f>
        <v>0</v>
      </c>
      <c r="M109" s="4">
        <v>1.684</v>
      </c>
      <c r="N109" s="4">
        <v>1.685</v>
      </c>
      <c r="O109" s="5">
        <f>M109/$M$3</f>
        <v>0.8600612870275791</v>
      </c>
      <c r="P109" s="5">
        <f>N109/$M$3</f>
        <v>0.8605720122574055</v>
      </c>
      <c r="Q109" s="7">
        <f>IFERROR(N109/M109-1,0)</f>
        <v>0.000593824228028561</v>
      </c>
      <c r="R109" s="5">
        <f>SUM(IF(BM109="lease",BU109,0),IF(CH109="lease",CP109,0),IF(DC109="lease",DK109,0),IF(DX109="lease",EF109,0),IF(ES109="lease",FA109,0),IF(FN109="lease",FV109,0),IF(GI109="lease",GQ109,0),IF(HD109="lease",HL109,0),IF(HY109="lease",IG109,0),IF(IT109="lease",JB109,0))</f>
        <v>1.2652138465149525</v>
      </c>
      <c r="S109" s="5">
        <f>SUM(IF(BM109="lease",BV109,0),IF(CH109="lease",CQ109,0),IF(DC109="lease",DL109,0),IF(DX109="lease",EG109,0),IF(ES109="lease",FB109,0),IF(FN109="lease",FW109,0),IF(GI109="lease",GR109,0),IF(HD109="lease",HM109,0),IF(HY109="lease",IH109,0),IF(IT109="lease",JC109,0))</f>
        <v>1.2700326226078995</v>
      </c>
      <c r="T109" s="5">
        <f>SUM(IF(BM109="keep",BU109,0),IF(CH109="keep",CP109,0),IF(DC109="keep",DK109,0),IF(DX109="keep",EF109,0),IF(ES109="keep",FA109,0),IF(FN109="keep",FV109,0),IF(GI109="keep",GQ109,0),IF(HD109="keep",HL109,0),IF(HY109="keep",IG109,0),IF(IT109="keep",JB109,0))</f>
        <v>0</v>
      </c>
      <c r="U109" s="5">
        <f>SUM(IF(BM109="keep",BV109,0),IF(CH109="keep",CQ109,0),IF(DC109="keep",DL109,0),IF(DX109="keep",EG109,0),IF(ES109="keep",FB109,0),IF(FN109="keep",FW109,0),IF(GI109="keep",GR109,0),IF(HD109="keep",HM109,0),IF(HY109="keep",IH109,0),IF(IT109="keep",JC109,0))</f>
        <v>0</v>
      </c>
      <c r="V109" s="5">
        <f>R109/O109</f>
        <v>1.4710740566961267</v>
      </c>
      <c r="W109" s="5">
        <f>S109/P109</f>
        <v>1.4758005193271615</v>
      </c>
      <c r="X109" s="5">
        <f>T109/O109</f>
        <v>0</v>
      </c>
      <c r="Y109" s="5">
        <f>U109/P109</f>
        <v>0</v>
      </c>
      <c r="Z109" s="5">
        <f>V109+X109</f>
        <v>1.4710740566961267</v>
      </c>
      <c r="AA109" s="7">
        <f>IFERROR(W109/V109-1,0)</f>
        <v>0.003212933169149945</v>
      </c>
      <c r="AB109" s="7">
        <f>IFERROR((W109-V109)/Z109,0)</f>
        <v>0.0032129331691498567</v>
      </c>
      <c r="AC109" s="7">
        <f>IFERROR(Y109/X109-1,0)</f>
        <v>0</v>
      </c>
      <c r="AD109" s="7">
        <f>IFERROR((Y109-X109)/Z109,0)</f>
        <v>0</v>
      </c>
      <c r="AE109" s="7">
        <f>AB109+AD109</f>
        <v>0.0032129331691498567</v>
      </c>
      <c r="AF109" s="7">
        <f>(1+Q109)*(1+AE109)-1</f>
        <v>0.003808665314737336</v>
      </c>
      <c r="AG109" s="7">
        <f>G109-AF109</f>
        <v>-2.168404344971009e-18</v>
      </c>
      <c r="AH109" s="5">
        <f>SUM(IF(BM109="lease",BW109,0),IF(CH109="lease",CR109,0),IF(DC109="lease",DM109,0),IF(DX109="lease",EH109,0),IF(ES109="lease",FC109,0),IF(FN109="lease",FX109,0),IF(GI109="lease",GS109,0),IF(HD109="lease",HN109,0),IF(HY109="lease",II109,0),IF(IT109="lease",JD109,0))</f>
        <v>0.0048187760929469005</v>
      </c>
      <c r="AI109" s="5">
        <f>SUM(IF(BM109="keep",BW109,0),IF(CH109="keep",CR109,0),IF(DC109="keep",DM109,0),IF(DX109="keep",EH109,0),IF(ES109="keep",FC109,0),IF(FN109="keep",FX109,0),IF(GI109="keep",GS109,0),IF(HD109="keep",HN109,0),IF(HY109="keep",II109,0),IF(IT109="keep",JD109,0))</f>
        <v>0</v>
      </c>
      <c r="AJ109" s="5">
        <f>SUM(IF(BM109="lease",BX109,0),IF(CH109="lease",CS109,0),IF(DC109="lease",DN109,0),IF(DX109="lease",EI109,0),IF(ES109="lease",FD109,0),IF(FN109="lease",FY109,0),IF(GI109="lease",GT109,0),IF(HD109="lease",HO109,0),IF(HY109="lease",IJ109,0),IF(IT109="lease",JE109,0))</f>
        <v>0</v>
      </c>
      <c r="AK109" s="5">
        <f>SUM(IF(BM109="keep",BX109,0),IF(CH109="keep",CS109,0),IF(DC109="keep",DN109,0),IF(DX109="keep",EI109,0),IF(ES109="keep",FD109,0),IF(FN109="keep",FY109,0),IF(GI109="keep",GT109,0),IF(HD109="keep",HO109,0),IF(HY109="keep",IJ109,0),IF(IT109="keep",JE109,0))</f>
        <v>0</v>
      </c>
      <c r="AL109" s="5">
        <f>R109-S108</f>
        <v>0</v>
      </c>
      <c r="AM109" s="5">
        <f>T109-U108</f>
        <v>0</v>
      </c>
      <c r="AN109" s="5">
        <f>AN108</f>
        <v>1</v>
      </c>
      <c r="AO109" s="5">
        <f>AO108+AH109</f>
        <v>0.27003262260789945</v>
      </c>
      <c r="AP109" s="5">
        <f>AP108+AL109</f>
        <v>-4.440892098500626e-16</v>
      </c>
      <c r="AQ109" s="5">
        <f>AN109+AO109+AP109</f>
        <v>1.270032622607899</v>
      </c>
      <c r="AR109" s="5">
        <f>S109-AQ109</f>
        <v>4.440892098500626e-16</v>
      </c>
      <c r="AS109" s="5">
        <f>AS108</f>
        <v>0</v>
      </c>
      <c r="AT109" s="5">
        <f>AT108+AI109</f>
        <v>0</v>
      </c>
      <c r="AU109" s="5">
        <f>AU108+AM109</f>
        <v>0</v>
      </c>
      <c r="AV109" s="5">
        <f>AS109+AT109+AU109</f>
        <v>0</v>
      </c>
      <c r="AW109" s="5">
        <f>U109-AV109</f>
        <v>0</v>
      </c>
      <c r="AX109" s="4">
        <v>1.2652138465149525</v>
      </c>
      <c r="AY109" s="4">
        <v>1.2700326226078995</v>
      </c>
      <c r="AZ109" s="5">
        <f>S109-AY109</f>
        <v>0</v>
      </c>
      <c r="BA109" s="4">
        <v>0</v>
      </c>
      <c r="BB109" s="4">
        <v>0</v>
      </c>
      <c r="BC109" s="5">
        <f>U109-BB109</f>
        <v>0</v>
      </c>
      <c r="BD109" s="7">
        <f>SUM(IF(BL109="direct",CE109,0),IF(CG109="direct",CZ109,0),IF(DB109="direct",DU109,0),IF(DW109="direct",EP109,0),IF(ER109="direct",FK109,0),IF(FM109="direct",GF109,0),IF(GH109="direct",HA109,0),IF(HC109="direct",HV109,0),IF(HX109="direct",IQ109,0),IF(IS109="direct",JL109,0))</f>
        <v>0</v>
      </c>
      <c r="BE109" s="7">
        <f>SUM(IF(BL109="treasury",CE109,0),IF(CG109="treasury",CZ109,0),IF(DB109="treasury",DU109,0),IF(DW109="treasury",EP109,0),IF(ER109="treasury",FK109,0),IF(FM109="treasury",GF109,0),IF(GH109="treasury",HA109,0),IF(HC109="treasury",HV109,0),IF(HX109="treasury",IQ109,0),IF(IS109="treasury",JL109,0))</f>
        <v>0.0001832876712328767</v>
      </c>
      <c r="BF109" s="7">
        <f>SUM(IF(BL109="future",CE109,0),IF(CG109="future",CZ109,0),IF(DB109="future",DU109,0),IF(DW109="future",EP109,0),IF(ER109="future",FK109,0),IF(FM109="future",GF109,0),IF(GH109="future",HA109,0),IF(HC109="future",HV109,0),IF(HX109="future",IQ109,0),IF(IS109="future",JL109,0))</f>
        <v>0.003625377643504457</v>
      </c>
      <c r="BG109" s="7">
        <f>SUM(IF(BL109="cash",CE109,0),IF(CG109="cash",CZ109,0),IF(DB109="cash",DU109,0),IF(DW109="cash",EP109,0),IF(ER109="cash",FK109,0),IF(FM109="cash",GF109,0),IF(GH109="cash",HA109,0),IF(HC109="cash",HV109,0),IF(HX109="cash",IQ109,0),IF(IS109="cash",JL109,0))</f>
        <v>0</v>
      </c>
      <c r="BH109" s="7">
        <f>SUM(BD109:BG109)</f>
        <v>0.003808665314737334</v>
      </c>
      <c r="BI109" s="7">
        <f>G109-BH109</f>
        <v>0</v>
      </c>
      <c r="BJ109" s="9">
        <f>COUNTA(BK109,CF109,DA109,DV109,EQ109,FL109,GG109,HB109,HW109,IR109)</f>
        <v>4</v>
      </c>
      <c r="BK109" t="inlineStr">
        <is>
          <t xml:space="preserve">Treasury collateral</t>
        </is>
      </c>
      <c r="BL109" t="inlineStr">
        <is>
          <t xml:space="preserve">treasury</t>
        </is>
      </c>
      <c r="BM109" t="inlineStr">
        <is>
          <t xml:space="preserve">lease</t>
        </is>
      </c>
      <c r="BN109" t="inlineStr">
        <is>
          <t xml:space="preserve">long</t>
        </is>
      </c>
      <c r="BO109"/>
      <c r="BP109" s="4">
        <v>102.7090172103453</v>
      </c>
      <c r="BQ109" s="4">
        <v>102.72784250692439</v>
      </c>
      <c r="BR109" s="4">
        <v>0.012318430074389942</v>
      </c>
      <c r="BS109" s="6">
        <v>1</v>
      </c>
      <c r="BT109" s="4">
        <v>1.2652138465149516</v>
      </c>
      <c r="BU109" s="4">
        <v>1.2652138465149516</v>
      </c>
      <c r="BV109" s="4">
        <v>1.2654457446144909</v>
      </c>
      <c r="BW109" s="4">
        <v>0.00023189809953931578</v>
      </c>
      <c r="BX109" s="4">
        <v>-4.1904413966564746e-17</v>
      </c>
      <c r="BY109" s="4">
        <v>1.684</v>
      </c>
      <c r="BZ109" s="4">
        <v>1.685</v>
      </c>
      <c r="CA109" s="6"/>
      <c r="CB109" s="6"/>
      <c r="CC109" s="6"/>
      <c r="CD109" s="9">
        <v>48</v>
      </c>
      <c r="CE109" s="7">
        <f>IFERROR(BW109/F109,0)</f>
        <v>0.0001832876712328767</v>
      </c>
      <c r="CF109" t="inlineStr">
        <is>
          <t xml:space="preserve">SI69N</t>
        </is>
      </c>
      <c r="CG109" t="inlineStr">
        <is>
          <t xml:space="preserve">future</t>
        </is>
      </c>
      <c r="CH109" t="inlineStr">
        <is>
          <t xml:space="preserve">lease</t>
        </is>
      </c>
      <c r="CI109" t="inlineStr">
        <is>
          <t xml:space="preserve">long</t>
        </is>
      </c>
      <c r="CJ109" t="inlineStr">
        <is>
          <t xml:space="preserve">regular</t>
        </is>
      </c>
      <c r="CK109" s="4">
        <v>1.655</v>
      </c>
      <c r="CL109" s="4">
        <v>1.661</v>
      </c>
      <c r="CM109" s="4">
        <v>0.7644796655679466</v>
      </c>
      <c r="CN109" s="6">
        <v>1</v>
      </c>
      <c r="CO109" s="4">
        <v>1.2652138465149516</v>
      </c>
      <c r="CP109" s="4">
        <v>0</v>
      </c>
      <c r="CQ109" s="4">
        <v>0</v>
      </c>
      <c r="CR109" s="4">
        <v>0.004586877993407585</v>
      </c>
      <c r="CS109" s="4">
        <v>-0.004586877993407585</v>
      </c>
      <c r="CT109" s="4">
        <v>1.684</v>
      </c>
      <c r="CU109" s="4">
        <v>1.685</v>
      </c>
      <c r="CV109" s="6">
        <v>-0.017220902612826605</v>
      </c>
      <c r="CW109" s="6">
        <v>0.0669</v>
      </c>
      <c r="CX109" s="6">
        <v>0.19785061361836898</v>
      </c>
      <c r="CY109" s="9">
        <v>48</v>
      </c>
      <c r="CZ109" s="7">
        <f>IFERROR(CR109/F109,0)</f>
        <v>0.003625377643504457</v>
      </c>
      <c r="DA109" t="inlineStr">
        <is>
          <t xml:space="preserve">Lease cash / margin / financing</t>
        </is>
      </c>
      <c r="DB109" t="inlineStr">
        <is>
          <t xml:space="preserve">cash</t>
        </is>
      </c>
      <c r="DC109" t="inlineStr">
        <is>
          <t xml:space="preserve">lease</t>
        </is>
      </c>
      <c r="DD109" t="inlineStr">
        <is>
          <t xml:space="preserve">cash</t>
        </is>
      </c>
      <c r="DE109"/>
      <c r="DF109" s="4">
        <v>1</v>
      </c>
      <c r="DG109" s="4">
        <v>1</v>
      </c>
      <c r="DH109" s="4">
        <v>8.881784197001252e-16</v>
      </c>
      <c r="DI109" s="6"/>
      <c r="DJ109" s="4">
        <v>8.881784197001252e-16</v>
      </c>
      <c r="DK109" s="4">
        <v>8.881784197001252e-16</v>
      </c>
      <c r="DL109" s="4">
        <v>0.004586877993408515</v>
      </c>
      <c r="DM109" s="4">
        <v>0</v>
      </c>
      <c r="DN109" s="4">
        <v>0.004586877993407627</v>
      </c>
      <c r="DO109" s="4">
        <v>1.684</v>
      </c>
      <c r="DP109" s="4">
        <v>1.685</v>
      </c>
      <c r="DQ109" s="6"/>
      <c r="DR109" s="6"/>
      <c r="DS109" s="6"/>
      <c r="DT109" s="9"/>
      <c r="DU109" s="7">
        <f>IFERROR(DM109/F109,0)</f>
        <v>0</v>
      </c>
      <c r="DV109" t="inlineStr">
        <is>
          <t xml:space="preserve">Keep cash / margin / financing</t>
        </is>
      </c>
      <c r="DW109" t="inlineStr">
        <is>
          <t xml:space="preserve">cash</t>
        </is>
      </c>
      <c r="DX109" t="inlineStr">
        <is>
          <t xml:space="preserve">keep</t>
        </is>
      </c>
      <c r="DY109" t="inlineStr">
        <is>
          <t xml:space="preserve">cash</t>
        </is>
      </c>
      <c r="DZ109"/>
      <c r="EA109" s="4">
        <v>1</v>
      </c>
      <c r="EB109" s="4">
        <v>1</v>
      </c>
      <c r="EC109" s="4">
        <v>0</v>
      </c>
      <c r="ED109" s="6"/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 s="4">
        <v>1.684</v>
      </c>
      <c r="EK109" s="4">
        <v>1.685</v>
      </c>
      <c r="EL109" s="6"/>
      <c r="EM109" s="6"/>
      <c r="EN109" s="6"/>
      <c r="EO109" s="9"/>
      <c r="EP109" s="7">
        <f>IFERROR(EH109/F109,0)</f>
        <v>0</v>
      </c>
      <c r="EQ109"/>
      <c r="ER109"/>
      <c r="ES109"/>
      <c r="ET109"/>
      <c r="EU109"/>
      <c r="EV109" s="4"/>
      <c r="EW109" s="4"/>
      <c r="EX109" s="4"/>
      <c r="EY109" s="6"/>
      <c r="EZ109" s="4"/>
      <c r="FA109" s="4"/>
      <c r="FB109" s="4"/>
      <c r="FC109" s="4"/>
      <c r="FD109" s="4"/>
      <c r="FE109" s="4"/>
      <c r="FF109" s="4"/>
      <c r="FG109" s="6"/>
      <c r="FH109" s="6"/>
      <c r="FI109" s="6"/>
      <c r="FJ109" s="9"/>
      <c r="FK109"/>
      <c r="FL109"/>
      <c r="FM109"/>
      <c r="FN109"/>
      <c r="FO109"/>
      <c r="FP109"/>
      <c r="FQ109" s="4"/>
      <c r="FR109" s="4"/>
      <c r="FS109" s="4"/>
      <c r="FT109" s="6"/>
      <c r="FU109" s="4"/>
      <c r="FV109" s="4"/>
      <c r="FW109" s="4"/>
      <c r="FX109" s="4"/>
      <c r="FY109" s="4"/>
      <c r="FZ109" s="4"/>
      <c r="GA109" s="4"/>
      <c r="GB109" s="6"/>
      <c r="GC109" s="6"/>
      <c r="GD109" s="6"/>
      <c r="GE109" s="9"/>
      <c r="GF109"/>
      <c r="GG109"/>
      <c r="GH109"/>
      <c r="GI109"/>
      <c r="GJ109"/>
      <c r="GK109"/>
      <c r="GL109" s="4"/>
      <c r="GM109" s="4"/>
      <c r="GN109" s="4"/>
      <c r="GO109" s="6"/>
      <c r="GP109" s="4"/>
      <c r="GQ109" s="4"/>
      <c r="GR109" s="4"/>
      <c r="GS109" s="4"/>
      <c r="GT109" s="4"/>
      <c r="GU109" s="4"/>
      <c r="GV109" s="4"/>
      <c r="GW109" s="6"/>
      <c r="GX109" s="6"/>
      <c r="GY109" s="6"/>
      <c r="GZ109" s="9"/>
      <c r="HA109"/>
      <c r="HB109"/>
      <c r="HC109"/>
      <c r="HD109"/>
      <c r="HE109"/>
      <c r="HF109"/>
      <c r="HG109" s="4"/>
      <c r="HH109" s="4"/>
      <c r="HI109" s="4"/>
      <c r="HJ109" s="6"/>
      <c r="HK109" s="4"/>
      <c r="HL109" s="4"/>
      <c r="HM109" s="4"/>
      <c r="HN109" s="4"/>
      <c r="HO109" s="4"/>
      <c r="HP109" s="4"/>
      <c r="HQ109" s="4"/>
      <c r="HR109" s="6"/>
      <c r="HS109" s="6"/>
      <c r="HT109" s="6"/>
      <c r="HU109" s="9"/>
      <c r="HV109"/>
      <c r="HW109"/>
      <c r="HX109"/>
      <c r="HY109"/>
      <c r="HZ109"/>
      <c r="IA109"/>
      <c r="IB109" s="4"/>
      <c r="IC109" s="4"/>
      <c r="ID109" s="4"/>
      <c r="IE109" s="6"/>
      <c r="IF109" s="4"/>
      <c r="IG109" s="4"/>
      <c r="IH109" s="4"/>
      <c r="II109" s="4"/>
      <c r="IJ109" s="4"/>
      <c r="IK109" s="4"/>
      <c r="IL109" s="4"/>
      <c r="IM109" s="6"/>
      <c r="IN109" s="6"/>
      <c r="IO109" s="6"/>
      <c r="IP109" s="9"/>
      <c r="IQ109"/>
      <c r="IR109"/>
      <c r="IS109"/>
      <c r="IT109"/>
      <c r="IU109"/>
      <c r="IV109"/>
      <c r="IW109" s="4"/>
      <c r="IX109" s="4"/>
      <c r="IY109" s="4"/>
      <c r="IZ109" s="6"/>
      <c r="JA109" s="4"/>
      <c r="JB109" s="4"/>
      <c r="JC109" s="4"/>
      <c r="JD109" s="4"/>
      <c r="JE109" s="4"/>
      <c r="JF109" s="4"/>
      <c r="JG109" s="4"/>
      <c r="JH109" s="6"/>
      <c r="JI109" s="6"/>
      <c r="JJ109" s="6"/>
      <c r="JK109" s="9"/>
      <c r="JL109"/>
    </row>
    <row r="110">
      <c r="A110" s="8">
        <v>25366</v>
      </c>
      <c r="B110" s="8">
        <v>25367</v>
      </c>
      <c r="C110" s="9">
        <f>B110-A110</f>
        <v>1</v>
      </c>
      <c r="D110" s="8">
        <v>25366</v>
      </c>
      <c r="E110" t="inlineStr">
        <is>
          <t xml:space="preserve">positive</t>
        </is>
      </c>
      <c r="F110" s="4">
        <v>1.2700326226078986</v>
      </c>
      <c r="G110" s="6">
        <v>-0.006435941213825671</v>
      </c>
      <c r="H110" s="7">
        <f>SUM(CE110,CZ110,DU110,EP110,FK110,GF110,HA110,HV110,IQ110,JL110)</f>
        <v>-0.006435941213825671</v>
      </c>
      <c r="I110" s="7">
        <f>G110-H110</f>
        <v>0</v>
      </c>
      <c r="J110" s="5">
        <f>F110*(1+H110)</f>
        <v>1.2618587673091535</v>
      </c>
      <c r="K110" s="4">
        <v>1.2618587673091535</v>
      </c>
      <c r="L110" s="5">
        <f>K110-J110</f>
        <v>0</v>
      </c>
      <c r="M110" s="4">
        <v>1.685</v>
      </c>
      <c r="N110" s="4">
        <v>1.686</v>
      </c>
      <c r="O110" s="5">
        <f>M110/$M$3</f>
        <v>0.8605720122574055</v>
      </c>
      <c r="P110" s="5">
        <f>N110/$M$3</f>
        <v>0.8610827374872319</v>
      </c>
      <c r="Q110" s="7">
        <f>IFERROR(N110/M110-1,0)</f>
        <v>0.0005934718100890635</v>
      </c>
      <c r="R110" s="5">
        <f>SUM(IF(BM110="lease",BU110,0),IF(CH110="lease",CP110,0),IF(DC110="lease",DK110,0),IF(DX110="lease",EF110,0),IF(ES110="lease",FA110,0),IF(FN110="lease",FV110,0),IF(GI110="lease",GQ110,0),IF(HD110="lease",HL110,0),IF(HY110="lease",IG110,0),IF(IT110="lease",JB110,0))</f>
        <v>1.2700326226078995</v>
      </c>
      <c r="S110" s="5">
        <f>SUM(IF(BM110="lease",BV110,0),IF(CH110="lease",CQ110,0),IF(DC110="lease",DL110,0),IF(DX110="lease",EG110,0),IF(ES110="lease",FB110,0),IF(FN110="lease",FW110,0),IF(GI110="lease",GR110,0),IF(HD110="lease",HM110,0),IF(HY110="lease",IH110,0),IF(IT110="lease",JC110,0))</f>
        <v>1.2618587673091541</v>
      </c>
      <c r="T110" s="5">
        <f>SUM(IF(BM110="keep",BU110,0),IF(CH110="keep",CP110,0),IF(DC110="keep",DK110,0),IF(DX110="keep",EF110,0),IF(ES110="keep",FA110,0),IF(FN110="keep",FV110,0),IF(GI110="keep",GQ110,0),IF(HD110="keep",HL110,0),IF(HY110="keep",IG110,0),IF(IT110="keep",JB110,0))</f>
        <v>0</v>
      </c>
      <c r="U110" s="5">
        <f>SUM(IF(BM110="keep",BV110,0),IF(CH110="keep",CQ110,0),IF(DC110="keep",DL110,0),IF(DX110="keep",EG110,0),IF(ES110="keep",FB110,0),IF(FN110="keep",FW110,0),IF(GI110="keep",GR110,0),IF(HD110="keep",HM110,0),IF(HY110="keep",IH110,0),IF(IT110="keep",JC110,0))</f>
        <v>0</v>
      </c>
      <c r="V110" s="5">
        <f>R110/O110</f>
        <v>1.4758005193271615</v>
      </c>
      <c r="W110" s="5">
        <f>S110/P110</f>
        <v>1.4654326609675705</v>
      </c>
      <c r="X110" s="5">
        <f>T110/O110</f>
        <v>0</v>
      </c>
      <c r="Y110" s="5">
        <f>U110/P110</f>
        <v>0</v>
      </c>
      <c r="Z110" s="5">
        <f>V110+X110</f>
        <v>1.4758005193271615</v>
      </c>
      <c r="AA110" s="7">
        <f>IFERROR(W110/V110-1,0)</f>
        <v>-0.007025243739796072</v>
      </c>
      <c r="AB110" s="7">
        <f>IFERROR((W110-V110)/Z110,0)</f>
        <v>-0.007025243739796101</v>
      </c>
      <c r="AC110" s="7">
        <f>IFERROR(Y110/X110-1,0)</f>
        <v>0</v>
      </c>
      <c r="AD110" s="7">
        <f>IFERROR((Y110-X110)/Z110,0)</f>
        <v>0</v>
      </c>
      <c r="AE110" s="7">
        <f>AB110+AD110</f>
        <v>-0.007025243739796101</v>
      </c>
      <c r="AF110" s="7">
        <f>(1+Q110)*(1+AE110)-1</f>
        <v>-0.0064359412138256245</v>
      </c>
      <c r="AG110" s="7">
        <f>G110-AF110</f>
        <v>-4.683753385137379e-17</v>
      </c>
      <c r="AH110" s="5">
        <f>SUM(IF(BM110="lease",BW110,0),IF(CH110="lease",CR110,0),IF(DC110="lease",DM110,0),IF(DX110="lease",EH110,0),IF(ES110="lease",FC110,0),IF(FN110="lease",FX110,0),IF(GI110="lease",GS110,0),IF(HD110="lease",HN110,0),IF(HY110="lease",II110,0),IF(IT110="lease",JD110,0))</f>
        <v>-0.00817385529874528</v>
      </c>
      <c r="AI110" s="5">
        <f>SUM(IF(BM110="keep",BW110,0),IF(CH110="keep",CR110,0),IF(DC110="keep",DM110,0),IF(DX110="keep",EH110,0),IF(ES110="keep",FC110,0),IF(FN110="keep",FX110,0),IF(GI110="keep",GS110,0),IF(HD110="keep",HN110,0),IF(HY110="keep",II110,0),IF(IT110="keep",JD110,0))</f>
        <v>0</v>
      </c>
      <c r="AJ110" s="5">
        <f>SUM(IF(BM110="lease",BX110,0),IF(CH110="lease",CS110,0),IF(DC110="lease",DN110,0),IF(DX110="lease",EI110,0),IF(ES110="lease",FD110,0),IF(FN110="lease",FY110,0),IF(GI110="lease",GT110,0),IF(HD110="lease",HO110,0),IF(HY110="lease",IJ110,0),IF(IT110="lease",JE110,0))</f>
        <v>0</v>
      </c>
      <c r="AK110" s="5">
        <f>SUM(IF(BM110="keep",BX110,0),IF(CH110="keep",CS110,0),IF(DC110="keep",DN110,0),IF(DX110="keep",EI110,0),IF(ES110="keep",FD110,0),IF(FN110="keep",FY110,0),IF(GI110="keep",GT110,0),IF(HD110="keep",HO110,0),IF(HY110="keep",IJ110,0),IF(IT110="keep",JE110,0))</f>
        <v>0</v>
      </c>
      <c r="AL110" s="5">
        <f>R110-S109</f>
        <v>0</v>
      </c>
      <c r="AM110" s="5">
        <f>T110-U109</f>
        <v>0</v>
      </c>
      <c r="AN110" s="5">
        <f>AN109</f>
        <v>1</v>
      </c>
      <c r="AO110" s="5">
        <f>AO109+AH110</f>
        <v>0.2618587673091542</v>
      </c>
      <c r="AP110" s="5">
        <f>AP109+AL110</f>
        <v>-4.440892098500626e-16</v>
      </c>
      <c r="AQ110" s="5">
        <f>AN110+AO110+AP110</f>
        <v>1.2618587673091537</v>
      </c>
      <c r="AR110" s="5">
        <f>S110-AQ110</f>
        <v>4.440892098500626e-16</v>
      </c>
      <c r="AS110" s="5">
        <f>AS109</f>
        <v>0</v>
      </c>
      <c r="AT110" s="5">
        <f>AT109+AI110</f>
        <v>0</v>
      </c>
      <c r="AU110" s="5">
        <f>AU109+AM110</f>
        <v>0</v>
      </c>
      <c r="AV110" s="5">
        <f>AS110+AT110+AU110</f>
        <v>0</v>
      </c>
      <c r="AW110" s="5">
        <f>U110-AV110</f>
        <v>0</v>
      </c>
      <c r="AX110" s="4">
        <v>1.2700326226078995</v>
      </c>
      <c r="AY110" s="4">
        <v>1.2618587673091541</v>
      </c>
      <c r="AZ110" s="5">
        <f>S110-AY110</f>
        <v>0</v>
      </c>
      <c r="BA110" s="4">
        <v>0</v>
      </c>
      <c r="BB110" s="4">
        <v>0</v>
      </c>
      <c r="BC110" s="5">
        <f>U110-BB110</f>
        <v>0</v>
      </c>
      <c r="BD110" s="7">
        <f>SUM(IF(BL110="direct",CE110,0),IF(CG110="direct",CZ110,0),IF(DB110="direct",DU110,0),IF(DW110="direct",EP110,0),IF(ER110="direct",FK110,0),IF(FM110="direct",GF110,0),IF(GH110="direct",HA110,0),IF(HC110="direct",HV110,0),IF(HX110="direct",IQ110,0),IF(IS110="direct",JL110,0))</f>
        <v>0</v>
      </c>
      <c r="BE110" s="7">
        <f>SUM(IF(BL110="treasury",CE110,0),IF(CG110="treasury",CZ110,0),IF(DB110="treasury",DU110,0),IF(DW110="treasury",EP110,0),IF(ER110="treasury",FK110,0),IF(FM110="treasury",GF110,0),IF(GH110="treasury",HA110,0),IF(HC110="treasury",HV110,0),IF(HX110="treasury",IQ110,0),IF(IS110="treasury",JL110,0))</f>
        <v>0.0001865753424657534</v>
      </c>
      <c r="BF110" s="7">
        <f>SUM(IF(BL110="future",CE110,0),IF(CG110="future",CZ110,0),IF(DB110="future",DU110,0),IF(DW110="future",EP110,0),IF(ER110="future",FK110,0),IF(FM110="future",GF110,0),IF(GH110="future",HA110,0),IF(HC110="future",HV110,0),IF(HX110="future",IQ110,0),IF(IS110="future",JL110,0))</f>
        <v>-0.0066225165562914245</v>
      </c>
      <c r="BG110" s="7">
        <f>SUM(IF(BL110="cash",CE110,0),IF(CG110="cash",CZ110,0),IF(DB110="cash",DU110,0),IF(DW110="cash",EP110,0),IF(ER110="cash",FK110,0),IF(FM110="cash",GF110,0),IF(GH110="cash",HA110,0),IF(HC110="cash",HV110,0),IF(HX110="cash",IQ110,0),IF(IS110="cash",JL110,0))</f>
        <v>0</v>
      </c>
      <c r="BH110" s="7">
        <f>SUM(BD110:BG110)</f>
        <v>-0.006435941213825671</v>
      </c>
      <c r="BI110" s="7">
        <f>G110-BH110</f>
        <v>0</v>
      </c>
      <c r="BJ110" s="9">
        <f>COUNTA(BK110,CF110,DA110,DV110,EQ110,FL110,GG110,HB110,HW110,IR110)</f>
        <v>4</v>
      </c>
      <c r="BK110" t="inlineStr">
        <is>
          <t xml:space="preserve">Treasury collateral</t>
        </is>
      </c>
      <c r="BL110" t="inlineStr">
        <is>
          <t xml:space="preserve">treasury</t>
        </is>
      </c>
      <c r="BM110" t="inlineStr">
        <is>
          <t xml:space="preserve">lease</t>
        </is>
      </c>
      <c r="BN110" t="inlineStr">
        <is>
          <t xml:space="preserve">long</t>
        </is>
      </c>
      <c r="BO110"/>
      <c r="BP110" s="4">
        <v>102.72784250692439</v>
      </c>
      <c r="BQ110" s="4">
        <v>102.74700898932088</v>
      </c>
      <c r="BR110" s="4">
        <v>0.012363080851447765</v>
      </c>
      <c r="BS110" s="6">
        <v>1</v>
      </c>
      <c r="BT110" s="4">
        <v>1.2700326226078986</v>
      </c>
      <c r="BU110" s="4">
        <v>1.2700326226078986</v>
      </c>
      <c r="BV110" s="4">
        <v>1.2702695793794043</v>
      </c>
      <c r="BW110" s="4">
        <v>0.00023695677150574763</v>
      </c>
      <c r="BX110" s="4">
        <v>-4.458781434346637e-17</v>
      </c>
      <c r="BY110" s="4">
        <v>1.685</v>
      </c>
      <c r="BZ110" s="4">
        <v>1.686</v>
      </c>
      <c r="CA110" s="6"/>
      <c r="CB110" s="6"/>
      <c r="CC110" s="6"/>
      <c r="CD110" s="9">
        <v>47</v>
      </c>
      <c r="CE110" s="7">
        <f>IFERROR(BW110/F110,0)</f>
        <v>0.0001865753424657534</v>
      </c>
      <c r="CF110" t="inlineStr">
        <is>
          <t xml:space="preserve">SI69N</t>
        </is>
      </c>
      <c r="CG110" t="inlineStr">
        <is>
          <t xml:space="preserve">future</t>
        </is>
      </c>
      <c r="CH110" t="inlineStr">
        <is>
          <t xml:space="preserve">lease</t>
        </is>
      </c>
      <c r="CI110" t="inlineStr">
        <is>
          <t xml:space="preserve">long</t>
        </is>
      </c>
      <c r="CJ110" t="inlineStr">
        <is>
          <t xml:space="preserve">regular</t>
        </is>
      </c>
      <c r="CK110" s="4">
        <v>1.661</v>
      </c>
      <c r="CL110" s="4">
        <v>1.65</v>
      </c>
      <c r="CM110" s="4">
        <v>0.7646192791137258</v>
      </c>
      <c r="CN110" s="6">
        <v>1</v>
      </c>
      <c r="CO110" s="4">
        <v>1.2700326226078986</v>
      </c>
      <c r="CP110" s="4">
        <v>0</v>
      </c>
      <c r="CQ110" s="4">
        <v>0</v>
      </c>
      <c r="CR110" s="4">
        <v>-0.008410812070251027</v>
      </c>
      <c r="CS110" s="4">
        <v>0.008410812070251027</v>
      </c>
      <c r="CT110" s="4">
        <v>1.685</v>
      </c>
      <c r="CU110" s="4">
        <v>1.686</v>
      </c>
      <c r="CV110" s="6">
        <v>-0.014243323442136524</v>
      </c>
      <c r="CW110" s="6">
        <v>0.0681</v>
      </c>
      <c r="CX110" s="6">
        <v>0.17871304375276234</v>
      </c>
      <c r="CY110" s="9">
        <v>47</v>
      </c>
      <c r="CZ110" s="7">
        <f>IFERROR(CR110/F110,0)</f>
        <v>-0.0066225165562914245</v>
      </c>
      <c r="DA110" t="inlineStr">
        <is>
          <t xml:space="preserve">Lease cash / margin / financing</t>
        </is>
      </c>
      <c r="DB110" t="inlineStr">
        <is>
          <t xml:space="preserve">cash</t>
        </is>
      </c>
      <c r="DC110" t="inlineStr">
        <is>
          <t xml:space="preserve">lease</t>
        </is>
      </c>
      <c r="DD110" t="inlineStr">
        <is>
          <t xml:space="preserve">cash</t>
        </is>
      </c>
      <c r="DE110"/>
      <c r="DF110" s="4">
        <v>1</v>
      </c>
      <c r="DG110" s="4">
        <v>1</v>
      </c>
      <c r="DH110" s="4">
        <v>8.881784197001252e-16</v>
      </c>
      <c r="DI110" s="6"/>
      <c r="DJ110" s="4">
        <v>8.881784197001252e-16</v>
      </c>
      <c r="DK110" s="4">
        <v>8.881784197001252e-16</v>
      </c>
      <c r="DL110" s="4">
        <v>-0.008410812070250094</v>
      </c>
      <c r="DM110" s="4">
        <v>0</v>
      </c>
      <c r="DN110" s="4">
        <v>-0.008410812070250982</v>
      </c>
      <c r="DO110" s="4">
        <v>1.685</v>
      </c>
      <c r="DP110" s="4">
        <v>1.686</v>
      </c>
      <c r="DQ110" s="6"/>
      <c r="DR110" s="6"/>
      <c r="DS110" s="6"/>
      <c r="DT110" s="9"/>
      <c r="DU110" s="7">
        <f>IFERROR(DM110/F110,0)</f>
        <v>0</v>
      </c>
      <c r="DV110" t="inlineStr">
        <is>
          <t xml:space="preserve">Keep cash / margin / financing</t>
        </is>
      </c>
      <c r="DW110" t="inlineStr">
        <is>
          <t xml:space="preserve">cash</t>
        </is>
      </c>
      <c r="DX110" t="inlineStr">
        <is>
          <t xml:space="preserve">keep</t>
        </is>
      </c>
      <c r="DY110" t="inlineStr">
        <is>
          <t xml:space="preserve">cash</t>
        </is>
      </c>
      <c r="DZ110"/>
      <c r="EA110" s="4">
        <v>1</v>
      </c>
      <c r="EB110" s="4">
        <v>1</v>
      </c>
      <c r="EC110" s="4">
        <v>0</v>
      </c>
      <c r="ED110" s="6"/>
      <c r="EE110" s="4">
        <v>0</v>
      </c>
      <c r="EF110" s="4">
        <v>0</v>
      </c>
      <c r="EG110" s="4">
        <v>0</v>
      </c>
      <c r="EH110" s="4">
        <v>0</v>
      </c>
      <c r="EI110" s="4">
        <v>0</v>
      </c>
      <c r="EJ110" s="4">
        <v>1.685</v>
      </c>
      <c r="EK110" s="4">
        <v>1.686</v>
      </c>
      <c r="EL110" s="6"/>
      <c r="EM110" s="6"/>
      <c r="EN110" s="6"/>
      <c r="EO110" s="9"/>
      <c r="EP110" s="7">
        <f>IFERROR(EH110/F110,0)</f>
        <v>0</v>
      </c>
      <c r="EQ110"/>
      <c r="ER110"/>
      <c r="ES110"/>
      <c r="ET110"/>
      <c r="EU110"/>
      <c r="EV110" s="4"/>
      <c r="EW110" s="4"/>
      <c r="EX110" s="4"/>
      <c r="EY110" s="6"/>
      <c r="EZ110" s="4"/>
      <c r="FA110" s="4"/>
      <c r="FB110" s="4"/>
      <c r="FC110" s="4"/>
      <c r="FD110" s="4"/>
      <c r="FE110" s="4"/>
      <c r="FF110" s="4"/>
      <c r="FG110" s="6"/>
      <c r="FH110" s="6"/>
      <c r="FI110" s="6"/>
      <c r="FJ110" s="9"/>
      <c r="FK110"/>
      <c r="FL110"/>
      <c r="FM110"/>
      <c r="FN110"/>
      <c r="FO110"/>
      <c r="FP110"/>
      <c r="FQ110" s="4"/>
      <c r="FR110" s="4"/>
      <c r="FS110" s="4"/>
      <c r="FT110" s="6"/>
      <c r="FU110" s="4"/>
      <c r="FV110" s="4"/>
      <c r="FW110" s="4"/>
      <c r="FX110" s="4"/>
      <c r="FY110" s="4"/>
      <c r="FZ110" s="4"/>
      <c r="GA110" s="4"/>
      <c r="GB110" s="6"/>
      <c r="GC110" s="6"/>
      <c r="GD110" s="6"/>
      <c r="GE110" s="9"/>
      <c r="GF110"/>
      <c r="GG110"/>
      <c r="GH110"/>
      <c r="GI110"/>
      <c r="GJ110"/>
      <c r="GK110"/>
      <c r="GL110" s="4"/>
      <c r="GM110" s="4"/>
      <c r="GN110" s="4"/>
      <c r="GO110" s="6"/>
      <c r="GP110" s="4"/>
      <c r="GQ110" s="4"/>
      <c r="GR110" s="4"/>
      <c r="GS110" s="4"/>
      <c r="GT110" s="4"/>
      <c r="GU110" s="4"/>
      <c r="GV110" s="4"/>
      <c r="GW110" s="6"/>
      <c r="GX110" s="6"/>
      <c r="GY110" s="6"/>
      <c r="GZ110" s="9"/>
      <c r="HA110"/>
      <c r="HB110"/>
      <c r="HC110"/>
      <c r="HD110"/>
      <c r="HE110"/>
      <c r="HF110"/>
      <c r="HG110" s="4"/>
      <c r="HH110" s="4"/>
      <c r="HI110" s="4"/>
      <c r="HJ110" s="6"/>
      <c r="HK110" s="4"/>
      <c r="HL110" s="4"/>
      <c r="HM110" s="4"/>
      <c r="HN110" s="4"/>
      <c r="HO110" s="4"/>
      <c r="HP110" s="4"/>
      <c r="HQ110" s="4"/>
      <c r="HR110" s="6"/>
      <c r="HS110" s="6"/>
      <c r="HT110" s="6"/>
      <c r="HU110" s="9"/>
      <c r="HV110"/>
      <c r="HW110"/>
      <c r="HX110"/>
      <c r="HY110"/>
      <c r="HZ110"/>
      <c r="IA110"/>
      <c r="IB110" s="4"/>
      <c r="IC110" s="4"/>
      <c r="ID110" s="4"/>
      <c r="IE110" s="6"/>
      <c r="IF110" s="4"/>
      <c r="IG110" s="4"/>
      <c r="IH110" s="4"/>
      <c r="II110" s="4"/>
      <c r="IJ110" s="4"/>
      <c r="IK110" s="4"/>
      <c r="IL110" s="4"/>
      <c r="IM110" s="6"/>
      <c r="IN110" s="6"/>
      <c r="IO110" s="6"/>
      <c r="IP110" s="9"/>
      <c r="IQ110"/>
      <c r="IR110"/>
      <c r="IS110"/>
      <c r="IT110"/>
      <c r="IU110"/>
      <c r="IV110"/>
      <c r="IW110" s="4"/>
      <c r="IX110" s="4"/>
      <c r="IY110" s="4"/>
      <c r="IZ110" s="6"/>
      <c r="JA110" s="4"/>
      <c r="JB110" s="4"/>
      <c r="JC110" s="4"/>
      <c r="JD110" s="4"/>
      <c r="JE110" s="4"/>
      <c r="JF110" s="4"/>
      <c r="JG110" s="4"/>
      <c r="JH110" s="6"/>
      <c r="JI110" s="6"/>
      <c r="JJ110" s="6"/>
      <c r="JK110" s="9"/>
      <c r="JL110"/>
    </row>
    <row r="111">
      <c r="A111" s="8">
        <v>25367</v>
      </c>
      <c r="B111" s="8">
        <v>25370</v>
      </c>
      <c r="C111" s="9">
        <f>B111-A111</f>
        <v>3</v>
      </c>
      <c r="D111" s="8">
        <v>25367</v>
      </c>
      <c r="E111" t="inlineStr">
        <is>
          <t xml:space="preserve">positive</t>
        </is>
      </c>
      <c r="F111" s="4">
        <v>1.2618587673091535</v>
      </c>
      <c r="G111" s="6">
        <v>-0.016414080531340802</v>
      </c>
      <c r="H111" s="7">
        <f>SUM(CE111,CZ111,DU111,EP111,FK111,GF111,HA111,HV111,IQ111,JL111)</f>
        <v>-0.016414080531340802</v>
      </c>
      <c r="I111" s="7">
        <f>G111-H111</f>
        <v>0</v>
      </c>
      <c r="J111" s="5">
        <f>F111*(1+H111)</f>
        <v>1.2411465158833626</v>
      </c>
      <c r="K111" s="4">
        <v>1.2411465158833626</v>
      </c>
      <c r="L111" s="5">
        <f>K111-J111</f>
        <v>0</v>
      </c>
      <c r="M111" s="4">
        <v>1.686</v>
      </c>
      <c r="N111" s="4">
        <v>1.679</v>
      </c>
      <c r="O111" s="5">
        <f>M111/$M$3</f>
        <v>0.8610827374872319</v>
      </c>
      <c r="P111" s="5">
        <f>N111/$M$3</f>
        <v>0.8575076608784474</v>
      </c>
      <c r="Q111" s="7">
        <f>IFERROR(N111/M111-1,0)</f>
        <v>-0.004151838671411556</v>
      </c>
      <c r="R111" s="5">
        <f>SUM(IF(BM111="lease",BU111,0),IF(CH111="lease",CP111,0),IF(DC111="lease",DK111,0),IF(DX111="lease",EF111,0),IF(ES111="lease",FA111,0),IF(FN111="lease",FV111,0),IF(GI111="lease",GQ111,0),IF(HD111="lease",HL111,0),IF(HY111="lease",IG111,0),IF(IT111="lease",JB111,0))</f>
        <v>1.2618587673091541</v>
      </c>
      <c r="S111" s="5">
        <f>SUM(IF(BM111="lease",BV111,0),IF(CH111="lease",CQ111,0),IF(DC111="lease",DL111,0),IF(DX111="lease",EG111,0),IF(ES111="lease",FB111,0),IF(FN111="lease",FW111,0),IF(GI111="lease",GR111,0),IF(HD111="lease",HM111,0),IF(HY111="lease",IH111,0),IF(IT111="lease",JC111,0))</f>
        <v>1.2411465158833632</v>
      </c>
      <c r="T111" s="5">
        <f>SUM(IF(BM111="keep",BU111,0),IF(CH111="keep",CP111,0),IF(DC111="keep",DK111,0),IF(DX111="keep",EF111,0),IF(ES111="keep",FA111,0),IF(FN111="keep",FV111,0),IF(GI111="keep",GQ111,0),IF(HD111="keep",HL111,0),IF(HY111="keep",IG111,0),IF(IT111="keep",JB111,0))</f>
        <v>0</v>
      </c>
      <c r="U111" s="5">
        <f>SUM(IF(BM111="keep",BV111,0),IF(CH111="keep",CQ111,0),IF(DC111="keep",DL111,0),IF(DX111="keep",EG111,0),IF(ES111="keep",FB111,0),IF(FN111="keep",FW111,0),IF(GI111="keep",GR111,0),IF(HD111="keep",HM111,0),IF(HY111="keep",IH111,0),IF(IT111="keep",JC111,0))</f>
        <v>0</v>
      </c>
      <c r="V111" s="5">
        <f>R111/O111</f>
        <v>1.4654326609675705</v>
      </c>
      <c r="W111" s="5">
        <f>S111/P111</f>
        <v>1.4473882537817897</v>
      </c>
      <c r="X111" s="5">
        <f>T111/O111</f>
        <v>0</v>
      </c>
      <c r="Y111" s="5">
        <f>U111/P111</f>
        <v>0</v>
      </c>
      <c r="Z111" s="5">
        <f>V111+X111</f>
        <v>1.4654326609675705</v>
      </c>
      <c r="AA111" s="7">
        <f>IFERROR(W111/V111-1,0)</f>
        <v>-0.012313364964765317</v>
      </c>
      <c r="AB111" s="7">
        <f>IFERROR((W111-V111)/Z111,0)</f>
        <v>-0.012313364964765266</v>
      </c>
      <c r="AC111" s="7">
        <f>IFERROR(Y111/X111-1,0)</f>
        <v>0</v>
      </c>
      <c r="AD111" s="7">
        <f>IFERROR((Y111-X111)/Z111,0)</f>
        <v>0</v>
      </c>
      <c r="AE111" s="7">
        <f>AB111+AD111</f>
        <v>-0.012313364964765266</v>
      </c>
      <c r="AF111" s="7">
        <f>(1+Q111)*(1+AE111)-1</f>
        <v>-0.01641408053134097</v>
      </c>
      <c r="AG111" s="7">
        <f>G111-AF111</f>
        <v>1.6653345369377348e-16</v>
      </c>
      <c r="AH111" s="5">
        <f>SUM(IF(BM111="lease",BW111,0),IF(CH111="lease",CR111,0),IF(DC111="lease",DM111,0),IF(DX111="lease",EH111,0),IF(ES111="lease",FC111,0),IF(FN111="lease",FX111,0),IF(GI111="lease",GS111,0),IF(HD111="lease",HN111,0),IF(HY111="lease",II111,0),IF(IT111="lease",JD111,0))</f>
        <v>-0.02071225142579088</v>
      </c>
      <c r="AI111" s="5">
        <f>SUM(IF(BM111="keep",BW111,0),IF(CH111="keep",CR111,0),IF(DC111="keep",DM111,0),IF(DX111="keep",EH111,0),IF(ES111="keep",FC111,0),IF(FN111="keep",FX111,0),IF(GI111="keep",GS111,0),IF(HD111="keep",HN111,0),IF(HY111="keep",II111,0),IF(IT111="keep",JD111,0))</f>
        <v>0</v>
      </c>
      <c r="AJ111" s="5">
        <f>SUM(IF(BM111="lease",BX111,0),IF(CH111="lease",CS111,0),IF(DC111="lease",DN111,0),IF(DX111="lease",EI111,0),IF(ES111="lease",FD111,0),IF(FN111="lease",FY111,0),IF(GI111="lease",GT111,0),IF(HD111="lease",HO111,0),IF(HY111="lease",IJ111,0),IF(IT111="lease",JE111,0))</f>
        <v>0</v>
      </c>
      <c r="AK111" s="5">
        <f>SUM(IF(BM111="keep",BX111,0),IF(CH111="keep",CS111,0),IF(DC111="keep",DN111,0),IF(DX111="keep",EI111,0),IF(ES111="keep",FD111,0),IF(FN111="keep",FY111,0),IF(GI111="keep",GT111,0),IF(HD111="keep",HO111,0),IF(HY111="keep",IJ111,0),IF(IT111="keep",JE111,0))</f>
        <v>0</v>
      </c>
      <c r="AL111" s="5">
        <f>R111-S110</f>
        <v>0</v>
      </c>
      <c r="AM111" s="5">
        <f>T111-U110</f>
        <v>0</v>
      </c>
      <c r="AN111" s="5">
        <f>AN110</f>
        <v>1</v>
      </c>
      <c r="AO111" s="5">
        <f>AO110+AH111</f>
        <v>0.2411465158833633</v>
      </c>
      <c r="AP111" s="5">
        <f>AP110+AL111</f>
        <v>-4.440892098500626e-16</v>
      </c>
      <c r="AQ111" s="5">
        <f>AN111+AO111+AP111</f>
        <v>1.2411465158833628</v>
      </c>
      <c r="AR111" s="5">
        <f>S111-AQ111</f>
        <v>4.440892098500626e-16</v>
      </c>
      <c r="AS111" s="5">
        <f>AS110</f>
        <v>0</v>
      </c>
      <c r="AT111" s="5">
        <f>AT110+AI111</f>
        <v>0</v>
      </c>
      <c r="AU111" s="5">
        <f>AU110+AM111</f>
        <v>0</v>
      </c>
      <c r="AV111" s="5">
        <f>AS111+AT111+AU111</f>
        <v>0</v>
      </c>
      <c r="AW111" s="5">
        <f>U111-AV111</f>
        <v>0</v>
      </c>
      <c r="AX111" s="4">
        <v>1.2618587673091541</v>
      </c>
      <c r="AY111" s="4">
        <v>1.2411465158833632</v>
      </c>
      <c r="AZ111" s="5">
        <f>S111-AY111</f>
        <v>0</v>
      </c>
      <c r="BA111" s="4">
        <v>0</v>
      </c>
      <c r="BB111" s="4">
        <v>0</v>
      </c>
      <c r="BC111" s="5">
        <f>U111-BB111</f>
        <v>0</v>
      </c>
      <c r="BD111" s="7">
        <f>SUM(IF(BL111="direct",CE111,0),IF(CG111="direct",CZ111,0),IF(DB111="direct",DU111,0),IF(DW111="direct",EP111,0),IF(ER111="direct",FK111,0),IF(FM111="direct",GF111,0),IF(GH111="direct",HA111,0),IF(HC111="direct",HV111,0),IF(HX111="direct",IQ111,0),IF(IS111="direct",JL111,0))</f>
        <v>0</v>
      </c>
      <c r="BE111" s="7">
        <f>SUM(IF(BL111="treasury",CE111,0),IF(CG111="treasury",CZ111,0),IF(DB111="treasury",DU111,0),IF(DW111="treasury",EP111,0),IF(ER111="treasury",FK111,0),IF(FM111="treasury",GF111,0),IF(GH111="treasury",HA111,0),IF(HC111="treasury",HV111,0),IF(HX111="treasury",IQ111,0),IF(IS111="treasury",JL111,0))</f>
        <v>0.0005556164383561643</v>
      </c>
      <c r="BF111" s="7">
        <f>SUM(IF(BL111="future",CE111,0),IF(CG111="future",CZ111,0),IF(DB111="future",DU111,0),IF(DW111="future",EP111,0),IF(ER111="future",FK111,0),IF(FM111="future",GF111,0),IF(GH111="future",HA111,0),IF(HC111="future",HV111,0),IF(HX111="future",IQ111,0),IF(IS111="future",JL111,0))</f>
        <v>-0.016969696969696968</v>
      </c>
      <c r="BG111" s="7">
        <f>SUM(IF(BL111="cash",CE111,0),IF(CG111="cash",CZ111,0),IF(DB111="cash",DU111,0),IF(DW111="cash",EP111,0),IF(ER111="cash",FK111,0),IF(FM111="cash",GF111,0),IF(GH111="cash",HA111,0),IF(HC111="cash",HV111,0),IF(HX111="cash",IQ111,0),IF(IS111="cash",JL111,0))</f>
        <v>0</v>
      </c>
      <c r="BH111" s="7">
        <f>SUM(BD111:BG111)</f>
        <v>-0.016414080531340802</v>
      </c>
      <c r="BI111" s="7">
        <f>G111-BH111</f>
        <v>0</v>
      </c>
      <c r="BJ111" s="9">
        <f>COUNTA(BK111,CF111,DA111,DV111,EQ111,FL111,GG111,HB111,HW111,IR111)</f>
        <v>4</v>
      </c>
      <c r="BK111" t="inlineStr">
        <is>
          <t xml:space="preserve">Treasury collateral</t>
        </is>
      </c>
      <c r="BL111" t="inlineStr">
        <is>
          <t xml:space="preserve">treasury</t>
        </is>
      </c>
      <c r="BM111" t="inlineStr">
        <is>
          <t xml:space="preserve">lease</t>
        </is>
      </c>
      <c r="BN111" t="inlineStr">
        <is>
          <t xml:space="preserve">long</t>
        </is>
      </c>
      <c r="BO111"/>
      <c r="BP111" s="4">
        <v>102.74700898932088</v>
      </c>
      <c r="BQ111" s="4">
        <v>102.80409691650728</v>
      </c>
      <c r="BR111" s="4">
        <v>0.012281221416774343</v>
      </c>
      <c r="BS111" s="6">
        <v>1</v>
      </c>
      <c r="BT111" s="4">
        <v>1.2618587673091535</v>
      </c>
      <c r="BU111" s="4">
        <v>1.2618587673091535</v>
      </c>
      <c r="BV111" s="4">
        <v>1.2625598767831543</v>
      </c>
      <c r="BW111" s="4">
        <v>0.0007011094740008117</v>
      </c>
      <c r="BX111" s="4">
        <v>4.445228907190568e-18</v>
      </c>
      <c r="BY111" s="4">
        <v>1.686</v>
      </c>
      <c r="BZ111" s="4">
        <v>1.679</v>
      </c>
      <c r="CA111" s="6"/>
      <c r="CB111" s="6"/>
      <c r="CC111" s="6"/>
      <c r="CD111" s="9">
        <v>46</v>
      </c>
      <c r="CE111" s="7">
        <f>IFERROR(BW111/F111,0)</f>
        <v>0.0005556164383561643</v>
      </c>
      <c r="CF111" t="inlineStr">
        <is>
          <t xml:space="preserve">SI69N</t>
        </is>
      </c>
      <c r="CG111" t="inlineStr">
        <is>
          <t xml:space="preserve">future</t>
        </is>
      </c>
      <c r="CH111" t="inlineStr">
        <is>
          <t xml:space="preserve">lease</t>
        </is>
      </c>
      <c r="CI111" t="inlineStr">
        <is>
          <t xml:space="preserve">long</t>
        </is>
      </c>
      <c r="CJ111" t="inlineStr">
        <is>
          <t xml:space="preserve">regular</t>
        </is>
      </c>
      <c r="CK111" s="4">
        <v>1.65</v>
      </c>
      <c r="CL111" s="4">
        <v>1.6219999999999999</v>
      </c>
      <c r="CM111" s="4">
        <v>0.7647628892782748</v>
      </c>
      <c r="CN111" s="6">
        <v>1</v>
      </c>
      <c r="CO111" s="4">
        <v>1.2618587673091535</v>
      </c>
      <c r="CP111" s="4">
        <v>0</v>
      </c>
      <c r="CQ111" s="4">
        <v>0</v>
      </c>
      <c r="CR111" s="4">
        <v>-0.021413360899791692</v>
      </c>
      <c r="CS111" s="4">
        <v>0.021413360899791692</v>
      </c>
      <c r="CT111" s="4">
        <v>1.686</v>
      </c>
      <c r="CU111" s="4">
        <v>1.679</v>
      </c>
      <c r="CV111" s="6">
        <v>-0.02135231316725983</v>
      </c>
      <c r="CW111" s="6">
        <v>0.0676</v>
      </c>
      <c r="CX111" s="6">
        <v>0.23702596317499647</v>
      </c>
      <c r="CY111" s="9">
        <v>46</v>
      </c>
      <c r="CZ111" s="7">
        <f>IFERROR(CR111/F111,0)</f>
        <v>-0.016969696969696968</v>
      </c>
      <c r="DA111" t="inlineStr">
        <is>
          <t xml:space="preserve">Lease cash / margin / financing</t>
        </is>
      </c>
      <c r="DB111" t="inlineStr">
        <is>
          <t xml:space="preserve">cash</t>
        </is>
      </c>
      <c r="DC111" t="inlineStr">
        <is>
          <t xml:space="preserve">lease</t>
        </is>
      </c>
      <c r="DD111" t="inlineStr">
        <is>
          <t xml:space="preserve">cash</t>
        </is>
      </c>
      <c r="DE111"/>
      <c r="DF111" s="4">
        <v>1</v>
      </c>
      <c r="DG111" s="4">
        <v>1</v>
      </c>
      <c r="DH111" s="4">
        <v>6.661338147750939e-16</v>
      </c>
      <c r="DI111" s="6"/>
      <c r="DJ111" s="4">
        <v>6.661338147750939e-16</v>
      </c>
      <c r="DK111" s="4">
        <v>6.661338147750939e-16</v>
      </c>
      <c r="DL111" s="4">
        <v>-0.02141336089979103</v>
      </c>
      <c r="DM111" s="4">
        <v>0</v>
      </c>
      <c r="DN111" s="4">
        <v>-0.021413360899791695</v>
      </c>
      <c r="DO111" s="4">
        <v>1.686</v>
      </c>
      <c r="DP111" s="4">
        <v>1.679</v>
      </c>
      <c r="DQ111" s="6"/>
      <c r="DR111" s="6"/>
      <c r="DS111" s="6"/>
      <c r="DT111" s="9"/>
      <c r="DU111" s="7">
        <f>IFERROR(DM111/F111,0)</f>
        <v>0</v>
      </c>
      <c r="DV111" t="inlineStr">
        <is>
          <t xml:space="preserve">Keep cash / margin / financing</t>
        </is>
      </c>
      <c r="DW111" t="inlineStr">
        <is>
          <t xml:space="preserve">cash</t>
        </is>
      </c>
      <c r="DX111" t="inlineStr">
        <is>
          <t xml:space="preserve">keep</t>
        </is>
      </c>
      <c r="DY111" t="inlineStr">
        <is>
          <t xml:space="preserve">cash</t>
        </is>
      </c>
      <c r="DZ111"/>
      <c r="EA111" s="4">
        <v>1</v>
      </c>
      <c r="EB111" s="4">
        <v>1</v>
      </c>
      <c r="EC111" s="4">
        <v>0</v>
      </c>
      <c r="ED111" s="6"/>
      <c r="EE111" s="4">
        <v>0</v>
      </c>
      <c r="EF111" s="4">
        <v>0</v>
      </c>
      <c r="EG111" s="4">
        <v>0</v>
      </c>
      <c r="EH111" s="4">
        <v>0</v>
      </c>
      <c r="EI111" s="4">
        <v>0</v>
      </c>
      <c r="EJ111" s="4">
        <v>1.686</v>
      </c>
      <c r="EK111" s="4">
        <v>1.679</v>
      </c>
      <c r="EL111" s="6"/>
      <c r="EM111" s="6"/>
      <c r="EN111" s="6"/>
      <c r="EO111" s="9"/>
      <c r="EP111" s="7">
        <f>IFERROR(EH111/F111,0)</f>
        <v>0</v>
      </c>
      <c r="EQ111"/>
      <c r="ER111"/>
      <c r="ES111"/>
      <c r="ET111"/>
      <c r="EU111"/>
      <c r="EV111" s="4"/>
      <c r="EW111" s="4"/>
      <c r="EX111" s="4"/>
      <c r="EY111" s="6"/>
      <c r="EZ111" s="4"/>
      <c r="FA111" s="4"/>
      <c r="FB111" s="4"/>
      <c r="FC111" s="4"/>
      <c r="FD111" s="4"/>
      <c r="FE111" s="4"/>
      <c r="FF111" s="4"/>
      <c r="FG111" s="6"/>
      <c r="FH111" s="6"/>
      <c r="FI111" s="6"/>
      <c r="FJ111" s="9"/>
      <c r="FK111"/>
      <c r="FL111"/>
      <c r="FM111"/>
      <c r="FN111"/>
      <c r="FO111"/>
      <c r="FP111"/>
      <c r="FQ111" s="4"/>
      <c r="FR111" s="4"/>
      <c r="FS111" s="4"/>
      <c r="FT111" s="6"/>
      <c r="FU111" s="4"/>
      <c r="FV111" s="4"/>
      <c r="FW111" s="4"/>
      <c r="FX111" s="4"/>
      <c r="FY111" s="4"/>
      <c r="FZ111" s="4"/>
      <c r="GA111" s="4"/>
      <c r="GB111" s="6"/>
      <c r="GC111" s="6"/>
      <c r="GD111" s="6"/>
      <c r="GE111" s="9"/>
      <c r="GF111"/>
      <c r="GG111"/>
      <c r="GH111"/>
      <c r="GI111"/>
      <c r="GJ111"/>
      <c r="GK111"/>
      <c r="GL111" s="4"/>
      <c r="GM111" s="4"/>
      <c r="GN111" s="4"/>
      <c r="GO111" s="6"/>
      <c r="GP111" s="4"/>
      <c r="GQ111" s="4"/>
      <c r="GR111" s="4"/>
      <c r="GS111" s="4"/>
      <c r="GT111" s="4"/>
      <c r="GU111" s="4"/>
      <c r="GV111" s="4"/>
      <c r="GW111" s="6"/>
      <c r="GX111" s="6"/>
      <c r="GY111" s="6"/>
      <c r="GZ111" s="9"/>
      <c r="HA111"/>
      <c r="HB111"/>
      <c r="HC111"/>
      <c r="HD111"/>
      <c r="HE111"/>
      <c r="HF111"/>
      <c r="HG111" s="4"/>
      <c r="HH111" s="4"/>
      <c r="HI111" s="4"/>
      <c r="HJ111" s="6"/>
      <c r="HK111" s="4"/>
      <c r="HL111" s="4"/>
      <c r="HM111" s="4"/>
      <c r="HN111" s="4"/>
      <c r="HO111" s="4"/>
      <c r="HP111" s="4"/>
      <c r="HQ111" s="4"/>
      <c r="HR111" s="6"/>
      <c r="HS111" s="6"/>
      <c r="HT111" s="6"/>
      <c r="HU111" s="9"/>
      <c r="HV111"/>
      <c r="HW111"/>
      <c r="HX111"/>
      <c r="HY111"/>
      <c r="HZ111"/>
      <c r="IA111"/>
      <c r="IB111" s="4"/>
      <c r="IC111" s="4"/>
      <c r="ID111" s="4"/>
      <c r="IE111" s="6"/>
      <c r="IF111" s="4"/>
      <c r="IG111" s="4"/>
      <c r="IH111" s="4"/>
      <c r="II111" s="4"/>
      <c r="IJ111" s="4"/>
      <c r="IK111" s="4"/>
      <c r="IL111" s="4"/>
      <c r="IM111" s="6"/>
      <c r="IN111" s="6"/>
      <c r="IO111" s="6"/>
      <c r="IP111" s="9"/>
      <c r="IQ111"/>
      <c r="IR111"/>
      <c r="IS111"/>
      <c r="IT111"/>
      <c r="IU111"/>
      <c r="IV111"/>
      <c r="IW111" s="4"/>
      <c r="IX111" s="4"/>
      <c r="IY111" s="4"/>
      <c r="IZ111" s="6"/>
      <c r="JA111" s="4"/>
      <c r="JB111" s="4"/>
      <c r="JC111" s="4"/>
      <c r="JD111" s="4"/>
      <c r="JE111" s="4"/>
      <c r="JF111" s="4"/>
      <c r="JG111" s="4"/>
      <c r="JH111" s="6"/>
      <c r="JI111" s="6"/>
      <c r="JJ111" s="6"/>
      <c r="JK111" s="9"/>
      <c r="JL111"/>
    </row>
    <row r="112">
      <c r="A112" s="8">
        <v>25370</v>
      </c>
      <c r="B112" s="8">
        <v>25371</v>
      </c>
      <c r="C112" s="9">
        <f>B112-A112</f>
        <v>1</v>
      </c>
      <c r="D112" s="8">
        <v>25370</v>
      </c>
      <c r="E112" t="inlineStr">
        <is>
          <t xml:space="preserve">positive</t>
        </is>
      </c>
      <c r="F112" s="4">
        <v>1.2411465158833626</v>
      </c>
      <c r="G112" s="6">
        <v>-0.04297495295846501</v>
      </c>
      <c r="H112" s="7">
        <f>SUM(CE112,CZ112,DU112,EP112,FK112,GF112,HA112,HV112,IQ112,JL112)</f>
        <v>-0.04297495295846502</v>
      </c>
      <c r="I112" s="7">
        <f>G112-H112</f>
        <v>6.938893903907228e-18</v>
      </c>
      <c r="J112" s="5">
        <f>F112*(1+H112)</f>
        <v>1.1878083027487123</v>
      </c>
      <c r="K112" s="4">
        <v>1.1878083027487123</v>
      </c>
      <c r="L112" s="5">
        <f>K112-J112</f>
        <v>0</v>
      </c>
      <c r="M112" s="4">
        <v>1.679</v>
      </c>
      <c r="N112" s="4">
        <v>1.593</v>
      </c>
      <c r="O112" s="5">
        <f>M112/$M$3</f>
        <v>0.8575076608784474</v>
      </c>
      <c r="P112" s="5">
        <f>N112/$M$3</f>
        <v>0.813585291113381</v>
      </c>
      <c r="Q112" s="7">
        <f>IFERROR(N112/M112-1,0)</f>
        <v>-0.0512209648600358</v>
      </c>
      <c r="R112" s="5">
        <f>SUM(IF(BM112="lease",BU112,0),IF(CH112="lease",CP112,0),IF(DC112="lease",DK112,0),IF(DX112="lease",EF112,0),IF(ES112="lease",FA112,0),IF(FN112="lease",FV112,0),IF(GI112="lease",GQ112,0),IF(HD112="lease",HL112,0),IF(HY112="lease",IG112,0),IF(IT112="lease",JB112,0))</f>
        <v>1.2411465158833632</v>
      </c>
      <c r="S112" s="5">
        <f>SUM(IF(BM112="lease",BV112,0),IF(CH112="lease",CQ112,0),IF(DC112="lease",DL112,0),IF(DX112="lease",EG112,0),IF(ES112="lease",FB112,0),IF(FN112="lease",FW112,0),IF(GI112="lease",GR112,0),IF(HD112="lease",HM112,0),IF(HY112="lease",IH112,0),IF(IT112="lease",JC112,0))</f>
        <v>1.187808302748713</v>
      </c>
      <c r="T112" s="5">
        <f>SUM(IF(BM112="keep",BU112,0),IF(CH112="keep",CP112,0),IF(DC112="keep",DK112,0),IF(DX112="keep",EF112,0),IF(ES112="keep",FA112,0),IF(FN112="keep",FV112,0),IF(GI112="keep",GQ112,0),IF(HD112="keep",HL112,0),IF(HY112="keep",IG112,0),IF(IT112="keep",JB112,0))</f>
        <v>0</v>
      </c>
      <c r="U112" s="5">
        <f>SUM(IF(BM112="keep",BV112,0),IF(CH112="keep",CQ112,0),IF(DC112="keep",DL112,0),IF(DX112="keep",EG112,0),IF(ES112="keep",FB112,0),IF(FN112="keep",FW112,0),IF(GI112="keep",GR112,0),IF(HD112="keep",HM112,0),IF(HY112="keep",IH112,0),IF(IT112="keep",JC112,0))</f>
        <v>0</v>
      </c>
      <c r="V112" s="5">
        <f>R112/O112</f>
        <v>1.4473882537817897</v>
      </c>
      <c r="W112" s="5">
        <f>S112/P112</f>
        <v>1.4599677694802136</v>
      </c>
      <c r="X112" s="5">
        <f>T112/O112</f>
        <v>0</v>
      </c>
      <c r="Y112" s="5">
        <f>U112/P112</f>
        <v>0</v>
      </c>
      <c r="Z112" s="5">
        <f>V112+X112</f>
        <v>1.4473882537817897</v>
      </c>
      <c r="AA112" s="7">
        <f>IFERROR(W112/V112-1,0)</f>
        <v>0.008691182663363328</v>
      </c>
      <c r="AB112" s="7">
        <f>IFERROR((W112-V112)/Z112,0)</f>
        <v>0.008691182663363222</v>
      </c>
      <c r="AC112" s="7">
        <f>IFERROR(Y112/X112-1,0)</f>
        <v>0</v>
      </c>
      <c r="AD112" s="7">
        <f>IFERROR((Y112-X112)/Z112,0)</f>
        <v>0</v>
      </c>
      <c r="AE112" s="7">
        <f>AB112+AD112</f>
        <v>0.008691182663363222</v>
      </c>
      <c r="AF112" s="7">
        <f>(1+Q112)*(1+AE112)-1</f>
        <v>-0.04297495295846476</v>
      </c>
      <c r="AG112" s="7">
        <f>G112-AF112</f>
        <v>-2.498001805406602e-16</v>
      </c>
      <c r="AH112" s="5">
        <f>SUM(IF(BM112="lease",BW112,0),IF(CH112="lease",CR112,0),IF(DC112="lease",DM112,0),IF(DX112="lease",EH112,0),IF(ES112="lease",FC112,0),IF(FN112="lease",FX112,0),IF(GI112="lease",GS112,0),IF(HD112="lease",HN112,0),IF(HY112="lease",II112,0),IF(IT112="lease",JD112,0))</f>
        <v>-0.053338213134650266</v>
      </c>
      <c r="AI112" s="5">
        <f>SUM(IF(BM112="keep",BW112,0),IF(CH112="keep",CR112,0),IF(DC112="keep",DM112,0),IF(DX112="keep",EH112,0),IF(ES112="keep",FC112,0),IF(FN112="keep",FX112,0),IF(GI112="keep",GS112,0),IF(HD112="keep",HN112,0),IF(HY112="keep",II112,0),IF(IT112="keep",JD112,0))</f>
        <v>0</v>
      </c>
      <c r="AJ112" s="5">
        <f>SUM(IF(BM112="lease",BX112,0),IF(CH112="lease",CS112,0),IF(DC112="lease",DN112,0),IF(DX112="lease",EI112,0),IF(ES112="lease",FD112,0),IF(FN112="lease",FY112,0),IF(GI112="lease",GT112,0),IF(HD112="lease",HO112,0),IF(HY112="lease",IJ112,0),IF(IT112="lease",JE112,0))</f>
        <v>0</v>
      </c>
      <c r="AK112" s="5">
        <f>SUM(IF(BM112="keep",BX112,0),IF(CH112="keep",CS112,0),IF(DC112="keep",DN112,0),IF(DX112="keep",EI112,0),IF(ES112="keep",FD112,0),IF(FN112="keep",FY112,0),IF(GI112="keep",GT112,0),IF(HD112="keep",HO112,0),IF(HY112="keep",IJ112,0),IF(IT112="keep",JE112,0))</f>
        <v>0</v>
      </c>
      <c r="AL112" s="5">
        <f>R112-S111</f>
        <v>0</v>
      </c>
      <c r="AM112" s="5">
        <f>T112-U111</f>
        <v>0</v>
      </c>
      <c r="AN112" s="5">
        <f>AN111</f>
        <v>1</v>
      </c>
      <c r="AO112" s="5">
        <f>AO111+AH112</f>
        <v>0.18780830274871305</v>
      </c>
      <c r="AP112" s="5">
        <f>AP111+AL112</f>
        <v>-4.440892098500626e-16</v>
      </c>
      <c r="AQ112" s="5">
        <f>AN112+AO112+AP112</f>
        <v>1.1878083027487125</v>
      </c>
      <c r="AR112" s="5">
        <f>S112-AQ112</f>
        <v>4.440892098500626e-16</v>
      </c>
      <c r="AS112" s="5">
        <f>AS111</f>
        <v>0</v>
      </c>
      <c r="AT112" s="5">
        <f>AT111+AI112</f>
        <v>0</v>
      </c>
      <c r="AU112" s="5">
        <f>AU111+AM112</f>
        <v>0</v>
      </c>
      <c r="AV112" s="5">
        <f>AS112+AT112+AU112</f>
        <v>0</v>
      </c>
      <c r="AW112" s="5">
        <f>U112-AV112</f>
        <v>0</v>
      </c>
      <c r="AX112" s="4">
        <v>1.2411465158833632</v>
      </c>
      <c r="AY112" s="4">
        <v>1.187808302748713</v>
      </c>
      <c r="AZ112" s="5">
        <f>S112-AY112</f>
        <v>0</v>
      </c>
      <c r="BA112" s="4">
        <v>0</v>
      </c>
      <c r="BB112" s="4">
        <v>0</v>
      </c>
      <c r="BC112" s="5">
        <f>U112-BB112</f>
        <v>0</v>
      </c>
      <c r="BD112" s="7">
        <f>SUM(IF(BL112="direct",CE112,0),IF(CG112="direct",CZ112,0),IF(DB112="direct",DU112,0),IF(DW112="direct",EP112,0),IF(ER112="direct",FK112,0),IF(FM112="direct",GF112,0),IF(GH112="direct",HA112,0),IF(HC112="direct",HV112,0),IF(HX112="direct",IQ112,0),IF(IS112="direct",JL112,0))</f>
        <v>0</v>
      </c>
      <c r="BE112" s="7">
        <f>SUM(IF(BL112="treasury",CE112,0),IF(CG112="treasury",CZ112,0),IF(DB112="treasury",DU112,0),IF(DW112="treasury",EP112,0),IF(ER112="treasury",FK112,0),IF(FM112="treasury",GF112,0),IF(GH112="treasury",HA112,0),IF(HC112="treasury",HV112,0),IF(HX112="treasury",IQ112,0),IF(IS112="treasury",JL112,0))</f>
        <v>0.00018164383561643834</v>
      </c>
      <c r="BF112" s="7">
        <f>SUM(IF(BL112="future",CE112,0),IF(CG112="future",CZ112,0),IF(DB112="future",DU112,0),IF(DW112="future",EP112,0),IF(ER112="future",FK112,0),IF(FM112="future",GF112,0),IF(GH112="future",HA112,0),IF(HC112="future",HV112,0),IF(HX112="future",IQ112,0),IF(IS112="future",JL112,0))</f>
        <v>-0.04315659679408146</v>
      </c>
      <c r="BG112" s="7">
        <f>SUM(IF(BL112="cash",CE112,0),IF(CG112="cash",CZ112,0),IF(DB112="cash",DU112,0),IF(DW112="cash",EP112,0),IF(ER112="cash",FK112,0),IF(FM112="cash",GF112,0),IF(GH112="cash",HA112,0),IF(HC112="cash",HV112,0),IF(HX112="cash",IQ112,0),IF(IS112="cash",JL112,0))</f>
        <v>0</v>
      </c>
      <c r="BH112" s="7">
        <f>SUM(BD112:BG112)</f>
        <v>-0.04297495295846502</v>
      </c>
      <c r="BI112" s="7">
        <f>G112-BH112</f>
        <v>6.938893903907228e-18</v>
      </c>
      <c r="BJ112" s="9">
        <f>COUNTA(BK112,CF112,DA112,DV112,EQ112,FL112,GG112,HB112,HW112,IR112)</f>
        <v>4</v>
      </c>
      <c r="BK112" t="inlineStr">
        <is>
          <t xml:space="preserve">Treasury collateral</t>
        </is>
      </c>
      <c r="BL112" t="inlineStr">
        <is>
          <t xml:space="preserve">treasury</t>
        </is>
      </c>
      <c r="BM112" t="inlineStr">
        <is>
          <t xml:space="preserve">lease</t>
        </is>
      </c>
      <c r="BN112" t="inlineStr">
        <is>
          <t xml:space="preserve">long</t>
        </is>
      </c>
      <c r="BO112"/>
      <c r="BP112" s="4">
        <v>102.80409691650728</v>
      </c>
      <c r="BQ112" s="4">
        <v>102.82277064698826</v>
      </c>
      <c r="BR112" s="4">
        <v>0.012072928541859224</v>
      </c>
      <c r="BS112" s="6">
        <v>1</v>
      </c>
      <c r="BT112" s="4">
        <v>1.2411465158833626</v>
      </c>
      <c r="BU112" s="4">
        <v>1.2411465158833626</v>
      </c>
      <c r="BV112" s="4">
        <v>1.2413719624970694</v>
      </c>
      <c r="BW112" s="4">
        <v>0.0002254466137070327</v>
      </c>
      <c r="BX112" s="4">
        <v>-2.0708261494473135e-16</v>
      </c>
      <c r="BY112" s="4">
        <v>1.679</v>
      </c>
      <c r="BZ112" s="4">
        <v>1.593</v>
      </c>
      <c r="CA112" s="6"/>
      <c r="CB112" s="6"/>
      <c r="CC112" s="6"/>
      <c r="CD112" s="9">
        <v>43</v>
      </c>
      <c r="CE112" s="7">
        <f>IFERROR(BW112/F112,0)</f>
        <v>0.00018164383561643834</v>
      </c>
      <c r="CF112" t="inlineStr">
        <is>
          <t xml:space="preserve">SI69N</t>
        </is>
      </c>
      <c r="CG112" t="inlineStr">
        <is>
          <t xml:space="preserve">future</t>
        </is>
      </c>
      <c r="CH112" t="inlineStr">
        <is>
          <t xml:space="preserve">lease</t>
        </is>
      </c>
      <c r="CI112" t="inlineStr">
        <is>
          <t xml:space="preserve">long</t>
        </is>
      </c>
      <c r="CJ112" t="inlineStr">
        <is>
          <t xml:space="preserve">regular</t>
        </is>
      </c>
      <c r="CK112" s="4">
        <v>1.6219999999999999</v>
      </c>
      <c r="CL112" s="4">
        <v>1.5519999999999998</v>
      </c>
      <c r="CM112" s="4">
        <v>0.7651951392622458</v>
      </c>
      <c r="CN112" s="6">
        <v>1</v>
      </c>
      <c r="CO112" s="4">
        <v>1.2411465158833626</v>
      </c>
      <c r="CP112" s="4">
        <v>0</v>
      </c>
      <c r="CQ112" s="4">
        <v>0</v>
      </c>
      <c r="CR112" s="4">
        <v>-0.0535636597483573</v>
      </c>
      <c r="CS112" s="4">
        <v>0.0535636597483573</v>
      </c>
      <c r="CT112" s="4">
        <v>1.679</v>
      </c>
      <c r="CU112" s="4">
        <v>1.593</v>
      </c>
      <c r="CV112" s="6">
        <v>-0.03394877903514004</v>
      </c>
      <c r="CW112" s="6">
        <v>0.0663</v>
      </c>
      <c r="CX112" s="6">
        <v>0.3544698685540957</v>
      </c>
      <c r="CY112" s="9">
        <v>43</v>
      </c>
      <c r="CZ112" s="7">
        <f>IFERROR(CR112/F112,0)</f>
        <v>-0.04315659679408146</v>
      </c>
      <c r="DA112" t="inlineStr">
        <is>
          <t xml:space="preserve">Lease cash / margin / financing</t>
        </is>
      </c>
      <c r="DB112" t="inlineStr">
        <is>
          <t xml:space="preserve">cash</t>
        </is>
      </c>
      <c r="DC112" t="inlineStr">
        <is>
          <t xml:space="preserve">lease</t>
        </is>
      </c>
      <c r="DD112" t="inlineStr">
        <is>
          <t xml:space="preserve">cash</t>
        </is>
      </c>
      <c r="DE112"/>
      <c r="DF112" s="4">
        <v>1</v>
      </c>
      <c r="DG112" s="4">
        <v>1</v>
      </c>
      <c r="DH112" s="4">
        <v>6.661338147750939e-16</v>
      </c>
      <c r="DI112" s="6"/>
      <c r="DJ112" s="4">
        <v>6.661338147750939e-16</v>
      </c>
      <c r="DK112" s="4">
        <v>6.661338147750939e-16</v>
      </c>
      <c r="DL112" s="4">
        <v>-0.053563659748356425</v>
      </c>
      <c r="DM112" s="4">
        <v>0</v>
      </c>
      <c r="DN112" s="4">
        <v>-0.05356365974835709</v>
      </c>
      <c r="DO112" s="4">
        <v>1.679</v>
      </c>
      <c r="DP112" s="4">
        <v>1.593</v>
      </c>
      <c r="DQ112" s="6"/>
      <c r="DR112" s="6"/>
      <c r="DS112" s="6"/>
      <c r="DT112" s="9"/>
      <c r="DU112" s="7">
        <f>IFERROR(DM112/F112,0)</f>
        <v>0</v>
      </c>
      <c r="DV112" t="inlineStr">
        <is>
          <t xml:space="preserve">Keep cash / margin / financing</t>
        </is>
      </c>
      <c r="DW112" t="inlineStr">
        <is>
          <t xml:space="preserve">cash</t>
        </is>
      </c>
      <c r="DX112" t="inlineStr">
        <is>
          <t xml:space="preserve">keep</t>
        </is>
      </c>
      <c r="DY112" t="inlineStr">
        <is>
          <t xml:space="preserve">cash</t>
        </is>
      </c>
      <c r="DZ112"/>
      <c r="EA112" s="4">
        <v>1</v>
      </c>
      <c r="EB112" s="4">
        <v>1</v>
      </c>
      <c r="EC112" s="4">
        <v>0</v>
      </c>
      <c r="ED112" s="6"/>
      <c r="EE112" s="4">
        <v>0</v>
      </c>
      <c r="EF112" s="4">
        <v>0</v>
      </c>
      <c r="EG112" s="4">
        <v>0</v>
      </c>
      <c r="EH112" s="4">
        <v>0</v>
      </c>
      <c r="EI112" s="4">
        <v>0</v>
      </c>
      <c r="EJ112" s="4">
        <v>1.679</v>
      </c>
      <c r="EK112" s="4">
        <v>1.593</v>
      </c>
      <c r="EL112" s="6"/>
      <c r="EM112" s="6"/>
      <c r="EN112" s="6"/>
      <c r="EO112" s="9"/>
      <c r="EP112" s="7">
        <f>IFERROR(EH112/F112,0)</f>
        <v>0</v>
      </c>
      <c r="EQ112"/>
      <c r="ER112"/>
      <c r="ES112"/>
      <c r="ET112"/>
      <c r="EU112"/>
      <c r="EV112" s="4"/>
      <c r="EW112" s="4"/>
      <c r="EX112" s="4"/>
      <c r="EY112" s="6"/>
      <c r="EZ112" s="4"/>
      <c r="FA112" s="4"/>
      <c r="FB112" s="4"/>
      <c r="FC112" s="4"/>
      <c r="FD112" s="4"/>
      <c r="FE112" s="4"/>
      <c r="FF112" s="4"/>
      <c r="FG112" s="6"/>
      <c r="FH112" s="6"/>
      <c r="FI112" s="6"/>
      <c r="FJ112" s="9"/>
      <c r="FK112"/>
      <c r="FL112"/>
      <c r="FM112"/>
      <c r="FN112"/>
      <c r="FO112"/>
      <c r="FP112"/>
      <c r="FQ112" s="4"/>
      <c r="FR112" s="4"/>
      <c r="FS112" s="4"/>
      <c r="FT112" s="6"/>
      <c r="FU112" s="4"/>
      <c r="FV112" s="4"/>
      <c r="FW112" s="4"/>
      <c r="FX112" s="4"/>
      <c r="FY112" s="4"/>
      <c r="FZ112" s="4"/>
      <c r="GA112" s="4"/>
      <c r="GB112" s="6"/>
      <c r="GC112" s="6"/>
      <c r="GD112" s="6"/>
      <c r="GE112" s="9"/>
      <c r="GF112"/>
      <c r="GG112"/>
      <c r="GH112"/>
      <c r="GI112"/>
      <c r="GJ112"/>
      <c r="GK112"/>
      <c r="GL112" s="4"/>
      <c r="GM112" s="4"/>
      <c r="GN112" s="4"/>
      <c r="GO112" s="6"/>
      <c r="GP112" s="4"/>
      <c r="GQ112" s="4"/>
      <c r="GR112" s="4"/>
      <c r="GS112" s="4"/>
      <c r="GT112" s="4"/>
      <c r="GU112" s="4"/>
      <c r="GV112" s="4"/>
      <c r="GW112" s="6"/>
      <c r="GX112" s="6"/>
      <c r="GY112" s="6"/>
      <c r="GZ112" s="9"/>
      <c r="HA112"/>
      <c r="HB112"/>
      <c r="HC112"/>
      <c r="HD112"/>
      <c r="HE112"/>
      <c r="HF112"/>
      <c r="HG112" s="4"/>
      <c r="HH112" s="4"/>
      <c r="HI112" s="4"/>
      <c r="HJ112" s="6"/>
      <c r="HK112" s="4"/>
      <c r="HL112" s="4"/>
      <c r="HM112" s="4"/>
      <c r="HN112" s="4"/>
      <c r="HO112" s="4"/>
      <c r="HP112" s="4"/>
      <c r="HQ112" s="4"/>
      <c r="HR112" s="6"/>
      <c r="HS112" s="6"/>
      <c r="HT112" s="6"/>
      <c r="HU112" s="9"/>
      <c r="HV112"/>
      <c r="HW112"/>
      <c r="HX112"/>
      <c r="HY112"/>
      <c r="HZ112"/>
      <c r="IA112"/>
      <c r="IB112" s="4"/>
      <c r="IC112" s="4"/>
      <c r="ID112" s="4"/>
      <c r="IE112" s="6"/>
      <c r="IF112" s="4"/>
      <c r="IG112" s="4"/>
      <c r="IH112" s="4"/>
      <c r="II112" s="4"/>
      <c r="IJ112" s="4"/>
      <c r="IK112" s="4"/>
      <c r="IL112" s="4"/>
      <c r="IM112" s="6"/>
      <c r="IN112" s="6"/>
      <c r="IO112" s="6"/>
      <c r="IP112" s="9"/>
      <c r="IQ112"/>
      <c r="IR112"/>
      <c r="IS112"/>
      <c r="IT112"/>
      <c r="IU112"/>
      <c r="IV112"/>
      <c r="IW112" s="4"/>
      <c r="IX112" s="4"/>
      <c r="IY112" s="4"/>
      <c r="IZ112" s="6"/>
      <c r="JA112" s="4"/>
      <c r="JB112" s="4"/>
      <c r="JC112" s="4"/>
      <c r="JD112" s="4"/>
      <c r="JE112" s="4"/>
      <c r="JF112" s="4"/>
      <c r="JG112" s="4"/>
      <c r="JH112" s="6"/>
      <c r="JI112" s="6"/>
      <c r="JJ112" s="6"/>
      <c r="JK112" s="9"/>
      <c r="JL112"/>
    </row>
    <row r="113">
      <c r="A113" s="8">
        <v>25371</v>
      </c>
      <c r="B113" s="8">
        <v>25372</v>
      </c>
      <c r="C113" s="9">
        <f>B113-A113</f>
        <v>1</v>
      </c>
      <c r="D113" s="8">
        <v>25371</v>
      </c>
      <c r="E113" t="inlineStr">
        <is>
          <t xml:space="preserve">positive</t>
        </is>
      </c>
      <c r="F113" s="4">
        <v>1.1878083027487123</v>
      </c>
      <c r="G113" s="6">
        <v>0.005333269312244237</v>
      </c>
      <c r="H113" s="7">
        <f>SUM(CE113,CZ113,DU113,EP113,FK113,GF113,HA113,HV113,IQ113,JL113)</f>
        <v>0.005333269312244237</v>
      </c>
      <c r="I113" s="7">
        <f>G113-H113</f>
        <v>0</v>
      </c>
      <c r="J113" s="5">
        <f>F113*(1+H113)</f>
        <v>1.1941432043185911</v>
      </c>
      <c r="K113" s="4">
        <v>1.1941432043185911</v>
      </c>
      <c r="L113" s="5">
        <f>K113-J113</f>
        <v>0</v>
      </c>
      <c r="M113" s="4">
        <v>1.593</v>
      </c>
      <c r="N113" s="4">
        <v>1.578</v>
      </c>
      <c r="O113" s="5">
        <f>M113/$M$3</f>
        <v>0.813585291113381</v>
      </c>
      <c r="P113" s="5">
        <f>N113/$M$3</f>
        <v>0.8059244126659858</v>
      </c>
      <c r="Q113" s="7">
        <f>IFERROR(N113/M113-1,0)</f>
        <v>-0.00941619585687381</v>
      </c>
      <c r="R113" s="5">
        <f>SUM(IF(BM113="lease",BU113,0),IF(CH113="lease",CP113,0),IF(DC113="lease",DK113,0),IF(DX113="lease",EF113,0),IF(ES113="lease",FA113,0),IF(FN113="lease",FV113,0),IF(GI113="lease",GQ113,0),IF(HD113="lease",HL113,0),IF(HY113="lease",IG113,0),IF(IT113="lease",JB113,0))</f>
        <v>1.187808302748713</v>
      </c>
      <c r="S113" s="5">
        <f>SUM(IF(BM113="lease",BV113,0),IF(CH113="lease",CQ113,0),IF(DC113="lease",DL113,0),IF(DX113="lease",EG113,0),IF(ES113="lease",FB113,0),IF(FN113="lease",FW113,0),IF(GI113="lease",GR113,0),IF(HD113="lease",HM113,0),IF(HY113="lease",IH113,0),IF(IT113="lease",JC113,0))</f>
        <v>1.1941432043185916</v>
      </c>
      <c r="T113" s="5">
        <f>SUM(IF(BM113="keep",BU113,0),IF(CH113="keep",CP113,0),IF(DC113="keep",DK113,0),IF(DX113="keep",EF113,0),IF(ES113="keep",FA113,0),IF(FN113="keep",FV113,0),IF(GI113="keep",GQ113,0),IF(HD113="keep",HL113,0),IF(HY113="keep",IG113,0),IF(IT113="keep",JB113,0))</f>
        <v>0</v>
      </c>
      <c r="U113" s="5">
        <f>SUM(IF(BM113="keep",BV113,0),IF(CH113="keep",CQ113,0),IF(DC113="keep",DL113,0),IF(DX113="keep",EG113,0),IF(ES113="keep",FB113,0),IF(FN113="keep",FW113,0),IF(GI113="keep",GR113,0),IF(HD113="keep",HM113,0),IF(HY113="keep",IH113,0),IF(IT113="keep",JC113,0))</f>
        <v>0</v>
      </c>
      <c r="V113" s="5">
        <f>R113/O113</f>
        <v>1.4599677694802136</v>
      </c>
      <c r="W113" s="5">
        <f>S113/P113</f>
        <v>1.4817062066259834</v>
      </c>
      <c r="X113" s="5">
        <f>T113/O113</f>
        <v>0</v>
      </c>
      <c r="Y113" s="5">
        <f>U113/P113</f>
        <v>0</v>
      </c>
      <c r="Z113" s="5">
        <f>V113+X113</f>
        <v>1.4599677694802136</v>
      </c>
      <c r="AA113" s="7">
        <f>IFERROR(W113/V113-1,0)</f>
        <v>0.01488966921064927</v>
      </c>
      <c r="AB113" s="7">
        <f>IFERROR((W113-V113)/Z113,0)</f>
        <v>0.014889669210649279</v>
      </c>
      <c r="AC113" s="7">
        <f>IFERROR(Y113/X113-1,0)</f>
        <v>0</v>
      </c>
      <c r="AD113" s="7">
        <f>IFERROR((Y113-X113)/Z113,0)</f>
        <v>0</v>
      </c>
      <c r="AE113" s="7">
        <f>AB113+AD113</f>
        <v>0.014889669210649279</v>
      </c>
      <c r="AF113" s="7">
        <f>(1+Q113)*(1+AE113)-1</f>
        <v>0.005333269312243871</v>
      </c>
      <c r="AG113" s="7">
        <f>G113-AF113</f>
        <v>3.660266534311063e-16</v>
      </c>
      <c r="AH113" s="5">
        <f>SUM(IF(BM113="lease",BW113,0),IF(CH113="lease",CR113,0),IF(DC113="lease",DM113,0),IF(DX113="lease",EH113,0),IF(ES113="lease",FC113,0),IF(FN113="lease",FX113,0),IF(GI113="lease",GS113,0),IF(HD113="lease",HN113,0),IF(HY113="lease",II113,0),IF(IT113="lease",JD113,0))</f>
        <v>0.0063349015698786195</v>
      </c>
      <c r="AI113" s="5">
        <f>SUM(IF(BM113="keep",BW113,0),IF(CH113="keep",CR113,0),IF(DC113="keep",DM113,0),IF(DX113="keep",EH113,0),IF(ES113="keep",FC113,0),IF(FN113="keep",FX113,0),IF(GI113="keep",GS113,0),IF(HD113="keep",HN113,0),IF(HY113="keep",II113,0),IF(IT113="keep",JD113,0))</f>
        <v>0</v>
      </c>
      <c r="AJ113" s="5">
        <f>SUM(IF(BM113="lease",BX113,0),IF(CH113="lease",CS113,0),IF(DC113="lease",DN113,0),IF(DX113="lease",EI113,0),IF(ES113="lease",FD113,0),IF(FN113="lease",FY113,0),IF(GI113="lease",GT113,0),IF(HD113="lease",HO113,0),IF(HY113="lease",IJ113,0),IF(IT113="lease",JE113,0))</f>
        <v>0</v>
      </c>
      <c r="AK113" s="5">
        <f>SUM(IF(BM113="keep",BX113,0),IF(CH113="keep",CS113,0),IF(DC113="keep",DN113,0),IF(DX113="keep",EI113,0),IF(ES113="keep",FD113,0),IF(FN113="keep",FY113,0),IF(GI113="keep",GT113,0),IF(HD113="keep",HO113,0),IF(HY113="keep",IJ113,0),IF(IT113="keep",JE113,0))</f>
        <v>0</v>
      </c>
      <c r="AL113" s="5">
        <f>R113-S112</f>
        <v>0</v>
      </c>
      <c r="AM113" s="5">
        <f>T113-U112</f>
        <v>0</v>
      </c>
      <c r="AN113" s="5">
        <f>AN112</f>
        <v>1</v>
      </c>
      <c r="AO113" s="5">
        <f>AO112+AH113</f>
        <v>0.19414320431859167</v>
      </c>
      <c r="AP113" s="5">
        <f>AP112+AL113</f>
        <v>-4.440892098500626e-16</v>
      </c>
      <c r="AQ113" s="5">
        <f>AN113+AO113+AP113</f>
        <v>1.1941432043185913</v>
      </c>
      <c r="AR113" s="5">
        <f>S113-AQ113</f>
        <v>2.220446049250313e-16</v>
      </c>
      <c r="AS113" s="5">
        <f>AS112</f>
        <v>0</v>
      </c>
      <c r="AT113" s="5">
        <f>AT112+AI113</f>
        <v>0</v>
      </c>
      <c r="AU113" s="5">
        <f>AU112+AM113</f>
        <v>0</v>
      </c>
      <c r="AV113" s="5">
        <f>AS113+AT113+AU113</f>
        <v>0</v>
      </c>
      <c r="AW113" s="5">
        <f>U113-AV113</f>
        <v>0</v>
      </c>
      <c r="AX113" s="4">
        <v>1.187808302748713</v>
      </c>
      <c r="AY113" s="4">
        <v>1.1941432043185916</v>
      </c>
      <c r="AZ113" s="5">
        <f>S113-AY113</f>
        <v>0</v>
      </c>
      <c r="BA113" s="4">
        <v>0</v>
      </c>
      <c r="BB113" s="4">
        <v>0</v>
      </c>
      <c r="BC113" s="5">
        <f>U113-BB113</f>
        <v>0</v>
      </c>
      <c r="BD113" s="7">
        <f>SUM(IF(BL113="direct",CE113,0),IF(CG113="direct",CZ113,0),IF(DB113="direct",DU113,0),IF(DW113="direct",EP113,0),IF(ER113="direct",FK113,0),IF(FM113="direct",GF113,0),IF(GH113="direct",HA113,0),IF(HC113="direct",HV113,0),IF(HX113="direct",IQ113,0),IF(IS113="direct",JL113,0))</f>
        <v>0</v>
      </c>
      <c r="BE113" s="7">
        <f>SUM(IF(BL113="treasury",CE113,0),IF(CG113="treasury",CZ113,0),IF(DB113="treasury",DU113,0),IF(DW113="treasury",EP113,0),IF(ER113="treasury",FK113,0),IF(FM113="treasury",GF113,0),IF(GH113="treasury",HA113,0),IF(HC113="treasury",HV113,0),IF(HX113="treasury",IQ113,0),IF(IS113="treasury",JL113,0))</f>
        <v>0.00017863013698630136</v>
      </c>
      <c r="BF113" s="7">
        <f>SUM(IF(BL113="future",CE113,0),IF(CG113="future",CZ113,0),IF(DB113="future",DU113,0),IF(DW113="future",EP113,0),IF(ER113="future",FK113,0),IF(FM113="future",GF113,0),IF(GH113="future",HA113,0),IF(HC113="future",HV113,0),IF(HX113="future",IQ113,0),IF(IS113="future",JL113,0))</f>
        <v>0.005154639175257936</v>
      </c>
      <c r="BG113" s="7">
        <f>SUM(IF(BL113="cash",CE113,0),IF(CG113="cash",CZ113,0),IF(DB113="cash",DU113,0),IF(DW113="cash",EP113,0),IF(ER113="cash",FK113,0),IF(FM113="cash",GF113,0),IF(GH113="cash",HA113,0),IF(HC113="cash",HV113,0),IF(HX113="cash",IQ113,0),IF(IS113="cash",JL113,0))</f>
        <v>0</v>
      </c>
      <c r="BH113" s="7">
        <f>SUM(BD113:BG113)</f>
        <v>0.005333269312244237</v>
      </c>
      <c r="BI113" s="7">
        <f>G113-BH113</f>
        <v>0</v>
      </c>
      <c r="BJ113" s="9">
        <f>COUNTA(BK113,CF113,DA113,DV113,EQ113,FL113,GG113,HB113,HW113,IR113)</f>
        <v>4</v>
      </c>
      <c r="BK113" t="inlineStr">
        <is>
          <t xml:space="preserve">Treasury collateral</t>
        </is>
      </c>
      <c r="BL113" t="inlineStr">
        <is>
          <t xml:space="preserve">treasury</t>
        </is>
      </c>
      <c r="BM113" t="inlineStr">
        <is>
          <t xml:space="preserve">lease</t>
        </is>
      </c>
      <c r="BN113" t="inlineStr">
        <is>
          <t xml:space="preserve">long</t>
        </is>
      </c>
      <c r="BO113"/>
      <c r="BP113" s="4">
        <v>102.82277064698826</v>
      </c>
      <c r="BQ113" s="4">
        <v>102.84113789259426</v>
      </c>
      <c r="BR113" s="4">
        <v>0.011551996656720161</v>
      </c>
      <c r="BS113" s="6">
        <v>1</v>
      </c>
      <c r="BT113" s="4">
        <v>1.1878083027487123</v>
      </c>
      <c r="BU113" s="4">
        <v>1.1878083027487123</v>
      </c>
      <c r="BV113" s="4">
        <v>1.188020481108546</v>
      </c>
      <c r="BW113" s="4">
        <v>0.0002121783598334686</v>
      </c>
      <c r="BX113" s="4">
        <v>2.015802889193674e-16</v>
      </c>
      <c r="BY113" s="4">
        <v>1.593</v>
      </c>
      <c r="BZ113" s="4">
        <v>1.578</v>
      </c>
      <c r="CA113" s="6"/>
      <c r="CB113" s="6"/>
      <c r="CC113" s="6"/>
      <c r="CD113" s="9">
        <v>42</v>
      </c>
      <c r="CE113" s="7">
        <f>IFERROR(BW113/F113,0)</f>
        <v>0.00017863013698630136</v>
      </c>
      <c r="CF113" t="inlineStr">
        <is>
          <t xml:space="preserve">SI69N</t>
        </is>
      </c>
      <c r="CG113" t="inlineStr">
        <is>
          <t xml:space="preserve">future</t>
        </is>
      </c>
      <c r="CH113" t="inlineStr">
        <is>
          <t xml:space="preserve">lease</t>
        </is>
      </c>
      <c r="CI113" t="inlineStr">
        <is>
          <t xml:space="preserve">long</t>
        </is>
      </c>
      <c r="CJ113" t="inlineStr">
        <is>
          <t xml:space="preserve">regular</t>
        </is>
      </c>
      <c r="CK113" s="4">
        <v>1.5519999999999998</v>
      </c>
      <c r="CL113" s="4">
        <v>1.56</v>
      </c>
      <c r="CM113" s="4">
        <v>0.7653404012556136</v>
      </c>
      <c r="CN113" s="6">
        <v>1</v>
      </c>
      <c r="CO113" s="4">
        <v>1.1878083027487123</v>
      </c>
      <c r="CP113" s="4">
        <v>0</v>
      </c>
      <c r="CQ113" s="4">
        <v>0</v>
      </c>
      <c r="CR113" s="4">
        <v>0.006122723210045151</v>
      </c>
      <c r="CS113" s="4">
        <v>-0.006122723210045151</v>
      </c>
      <c r="CT113" s="4">
        <v>1.593</v>
      </c>
      <c r="CU113" s="4">
        <v>1.578</v>
      </c>
      <c r="CV113" s="6">
        <v>-0.025737602008788496</v>
      </c>
      <c r="CW113" s="6">
        <v>0.0652</v>
      </c>
      <c r="CX113" s="6">
        <v>0.2888720174573286</v>
      </c>
      <c r="CY113" s="9">
        <v>42</v>
      </c>
      <c r="CZ113" s="7">
        <f>IFERROR(CR113/F113,0)</f>
        <v>0.005154639175257936</v>
      </c>
      <c r="DA113" t="inlineStr">
        <is>
          <t xml:space="preserve">Lease cash / margin / financing</t>
        </is>
      </c>
      <c r="DB113" t="inlineStr">
        <is>
          <t xml:space="preserve">cash</t>
        </is>
      </c>
      <c r="DC113" t="inlineStr">
        <is>
          <t xml:space="preserve">lease</t>
        </is>
      </c>
      <c r="DD113" t="inlineStr">
        <is>
          <t xml:space="preserve">cash</t>
        </is>
      </c>
      <c r="DE113"/>
      <c r="DF113" s="4">
        <v>1</v>
      </c>
      <c r="DG113" s="4">
        <v>1</v>
      </c>
      <c r="DH113" s="4">
        <v>6.661338147750939e-16</v>
      </c>
      <c r="DI113" s="6"/>
      <c r="DJ113" s="4">
        <v>6.661338147750939e-16</v>
      </c>
      <c r="DK113" s="4">
        <v>6.661338147750939e-16</v>
      </c>
      <c r="DL113" s="4">
        <v>0.0061227232100456155</v>
      </c>
      <c r="DM113" s="4">
        <v>0</v>
      </c>
      <c r="DN113" s="4">
        <v>0.006122723210044949</v>
      </c>
      <c r="DO113" s="4">
        <v>1.593</v>
      </c>
      <c r="DP113" s="4">
        <v>1.578</v>
      </c>
      <c r="DQ113" s="6"/>
      <c r="DR113" s="6"/>
      <c r="DS113" s="6"/>
      <c r="DT113" s="9"/>
      <c r="DU113" s="7">
        <f>IFERROR(DM113/F113,0)</f>
        <v>0</v>
      </c>
      <c r="DV113" t="inlineStr">
        <is>
          <t xml:space="preserve">Keep cash / margin / financing</t>
        </is>
      </c>
      <c r="DW113" t="inlineStr">
        <is>
          <t xml:space="preserve">cash</t>
        </is>
      </c>
      <c r="DX113" t="inlineStr">
        <is>
          <t xml:space="preserve">keep</t>
        </is>
      </c>
      <c r="DY113" t="inlineStr">
        <is>
          <t xml:space="preserve">cash</t>
        </is>
      </c>
      <c r="DZ113"/>
      <c r="EA113" s="4">
        <v>1</v>
      </c>
      <c r="EB113" s="4">
        <v>1</v>
      </c>
      <c r="EC113" s="4">
        <v>0</v>
      </c>
      <c r="ED113" s="6"/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1.593</v>
      </c>
      <c r="EK113" s="4">
        <v>1.578</v>
      </c>
      <c r="EL113" s="6"/>
      <c r="EM113" s="6"/>
      <c r="EN113" s="6"/>
      <c r="EO113" s="9"/>
      <c r="EP113" s="7">
        <f>IFERROR(EH113/F113,0)</f>
        <v>0</v>
      </c>
      <c r="EQ113"/>
      <c r="ER113"/>
      <c r="ES113"/>
      <c r="ET113"/>
      <c r="EU113"/>
      <c r="EV113" s="4"/>
      <c r="EW113" s="4"/>
      <c r="EX113" s="4"/>
      <c r="EY113" s="6"/>
      <c r="EZ113" s="4"/>
      <c r="FA113" s="4"/>
      <c r="FB113" s="4"/>
      <c r="FC113" s="4"/>
      <c r="FD113" s="4"/>
      <c r="FE113" s="4"/>
      <c r="FF113" s="4"/>
      <c r="FG113" s="6"/>
      <c r="FH113" s="6"/>
      <c r="FI113" s="6"/>
      <c r="FJ113" s="9"/>
      <c r="FK113"/>
      <c r="FL113"/>
      <c r="FM113"/>
      <c r="FN113"/>
      <c r="FO113"/>
      <c r="FP113"/>
      <c r="FQ113" s="4"/>
      <c r="FR113" s="4"/>
      <c r="FS113" s="4"/>
      <c r="FT113" s="6"/>
      <c r="FU113" s="4"/>
      <c r="FV113" s="4"/>
      <c r="FW113" s="4"/>
      <c r="FX113" s="4"/>
      <c r="FY113" s="4"/>
      <c r="FZ113" s="4"/>
      <c r="GA113" s="4"/>
      <c r="GB113" s="6"/>
      <c r="GC113" s="6"/>
      <c r="GD113" s="6"/>
      <c r="GE113" s="9"/>
      <c r="GF113"/>
      <c r="GG113"/>
      <c r="GH113"/>
      <c r="GI113"/>
      <c r="GJ113"/>
      <c r="GK113"/>
      <c r="GL113" s="4"/>
      <c r="GM113" s="4"/>
      <c r="GN113" s="4"/>
      <c r="GO113" s="6"/>
      <c r="GP113" s="4"/>
      <c r="GQ113" s="4"/>
      <c r="GR113" s="4"/>
      <c r="GS113" s="4"/>
      <c r="GT113" s="4"/>
      <c r="GU113" s="4"/>
      <c r="GV113" s="4"/>
      <c r="GW113" s="6"/>
      <c r="GX113" s="6"/>
      <c r="GY113" s="6"/>
      <c r="GZ113" s="9"/>
      <c r="HA113"/>
      <c r="HB113"/>
      <c r="HC113"/>
      <c r="HD113"/>
      <c r="HE113"/>
      <c r="HF113"/>
      <c r="HG113" s="4"/>
      <c r="HH113" s="4"/>
      <c r="HI113" s="4"/>
      <c r="HJ113" s="6"/>
      <c r="HK113" s="4"/>
      <c r="HL113" s="4"/>
      <c r="HM113" s="4"/>
      <c r="HN113" s="4"/>
      <c r="HO113" s="4"/>
      <c r="HP113" s="4"/>
      <c r="HQ113" s="4"/>
      <c r="HR113" s="6"/>
      <c r="HS113" s="6"/>
      <c r="HT113" s="6"/>
      <c r="HU113" s="9"/>
      <c r="HV113"/>
      <c r="HW113"/>
      <c r="HX113"/>
      <c r="HY113"/>
      <c r="HZ113"/>
      <c r="IA113"/>
      <c r="IB113" s="4"/>
      <c r="IC113" s="4"/>
      <c r="ID113" s="4"/>
      <c r="IE113" s="6"/>
      <c r="IF113" s="4"/>
      <c r="IG113" s="4"/>
      <c r="IH113" s="4"/>
      <c r="II113" s="4"/>
      <c r="IJ113" s="4"/>
      <c r="IK113" s="4"/>
      <c r="IL113" s="4"/>
      <c r="IM113" s="6"/>
      <c r="IN113" s="6"/>
      <c r="IO113" s="6"/>
      <c r="IP113" s="9"/>
      <c r="IQ113"/>
      <c r="IR113"/>
      <c r="IS113"/>
      <c r="IT113"/>
      <c r="IU113"/>
      <c r="IV113"/>
      <c r="IW113" s="4"/>
      <c r="IX113" s="4"/>
      <c r="IY113" s="4"/>
      <c r="IZ113" s="6"/>
      <c r="JA113" s="4"/>
      <c r="JB113" s="4"/>
      <c r="JC113" s="4"/>
      <c r="JD113" s="4"/>
      <c r="JE113" s="4"/>
      <c r="JF113" s="4"/>
      <c r="JG113" s="4"/>
      <c r="JH113" s="6"/>
      <c r="JI113" s="6"/>
      <c r="JJ113" s="6"/>
      <c r="JK113" s="9"/>
      <c r="JL113"/>
    </row>
    <row r="114">
      <c r="A114" s="8">
        <v>25372</v>
      </c>
      <c r="B114" s="8">
        <v>25373</v>
      </c>
      <c r="C114" s="9">
        <f>B114-A114</f>
        <v>1</v>
      </c>
      <c r="D114" s="8">
        <v>25372</v>
      </c>
      <c r="E114" t="inlineStr">
        <is>
          <t xml:space="preserve">positive</t>
        </is>
      </c>
      <c r="F114" s="4">
        <v>1.1941432043185911</v>
      </c>
      <c r="G114" s="6">
        <v>0.021974323849666234</v>
      </c>
      <c r="H114" s="7">
        <f>SUM(CE114,CZ114,DU114,EP114,FK114,GF114,HA114,HV114,IQ114,JL114)</f>
        <v>0.021974323849666237</v>
      </c>
      <c r="I114" s="7">
        <f>G114-H114</f>
        <v>-3.469446951953614e-18</v>
      </c>
      <c r="J114" s="5">
        <f>F114*(1+H114)</f>
        <v>1.2203836938131658</v>
      </c>
      <c r="K114" s="4">
        <v>1.2203836938131658</v>
      </c>
      <c r="L114" s="5">
        <f>K114-J114</f>
        <v>0</v>
      </c>
      <c r="M114" s="4">
        <v>1.578</v>
      </c>
      <c r="N114" s="4">
        <v>1.603</v>
      </c>
      <c r="O114" s="5">
        <f>M114/$M$3</f>
        <v>0.8059244126659858</v>
      </c>
      <c r="P114" s="5">
        <f>N114/$M$3</f>
        <v>0.8186925434116445</v>
      </c>
      <c r="Q114" s="7">
        <f>IFERROR(N114/M114-1,0)</f>
        <v>0.01584283903675532</v>
      </c>
      <c r="R114" s="5">
        <f>SUM(IF(BM114="lease",BU114,0),IF(CH114="lease",CP114,0),IF(DC114="lease",DK114,0),IF(DX114="lease",EF114,0),IF(ES114="lease",FA114,0),IF(FN114="lease",FV114,0),IF(GI114="lease",GQ114,0),IF(HD114="lease",HL114,0),IF(HY114="lease",IG114,0),IF(IT114="lease",JB114,0))</f>
        <v>1.1941432043185916</v>
      </c>
      <c r="S114" s="5">
        <f>SUM(IF(BM114="lease",BV114,0),IF(CH114="lease",CQ114,0),IF(DC114="lease",DL114,0),IF(DX114="lease",EG114,0),IF(ES114="lease",FB114,0),IF(FN114="lease",FW114,0),IF(GI114="lease",GR114,0),IF(HD114="lease",HM114,0),IF(HY114="lease",IH114,0),IF(IT114="lease",JC114,0))</f>
        <v>1.2203836938131665</v>
      </c>
      <c r="T114" s="5">
        <f>SUM(IF(BM114="keep",BU114,0),IF(CH114="keep",CP114,0),IF(DC114="keep",DK114,0),IF(DX114="keep",EF114,0),IF(ES114="keep",FA114,0),IF(FN114="keep",FV114,0),IF(GI114="keep",GQ114,0),IF(HD114="keep",HL114,0),IF(HY114="keep",IG114,0),IF(IT114="keep",JB114,0))</f>
        <v>0</v>
      </c>
      <c r="U114" s="5">
        <f>SUM(IF(BM114="keep",BV114,0),IF(CH114="keep",CQ114,0),IF(DC114="keep",DL114,0),IF(DX114="keep",EG114,0),IF(ES114="keep",FB114,0),IF(FN114="keep",FW114,0),IF(GI114="keep",GR114,0),IF(HD114="keep",HM114,0),IF(HY114="keep",IH114,0),IF(IT114="keep",JC114,0))</f>
        <v>0</v>
      </c>
      <c r="V114" s="5">
        <f>R114/O114</f>
        <v>1.4817062066259834</v>
      </c>
      <c r="W114" s="5">
        <f>S114/P114</f>
        <v>1.490649577346338</v>
      </c>
      <c r="X114" s="5">
        <f>T114/O114</f>
        <v>0</v>
      </c>
      <c r="Y114" s="5">
        <f>U114/P114</f>
        <v>0</v>
      </c>
      <c r="Z114" s="5">
        <f>V114+X114</f>
        <v>1.4817062066259834</v>
      </c>
      <c r="AA114" s="7">
        <f>IFERROR(W114/V114-1,0)</f>
        <v>0.006035859659871301</v>
      </c>
      <c r="AB114" s="7">
        <f>IFERROR((W114-V114)/Z114,0)</f>
        <v>0.006035859659871204</v>
      </c>
      <c r="AC114" s="7">
        <f>IFERROR(Y114/X114-1,0)</f>
        <v>0</v>
      </c>
      <c r="AD114" s="7">
        <f>IFERROR((Y114-X114)/Z114,0)</f>
        <v>0</v>
      </c>
      <c r="AE114" s="7">
        <f>AB114+AD114</f>
        <v>0.006035859659871204</v>
      </c>
      <c r="AF114" s="7">
        <f>(1+Q114)*(1+AE114)-1</f>
        <v>0.021974323849666355</v>
      </c>
      <c r="AG114" s="7">
        <f>G114-AF114</f>
        <v>-1.214306433183765e-16</v>
      </c>
      <c r="AH114" s="5">
        <f>SUM(IF(BM114="lease",BW114,0),IF(CH114="lease",CR114,0),IF(DC114="lease",DM114,0),IF(DX114="lease",EH114,0),IF(ES114="lease",FC114,0),IF(FN114="lease",FX114,0),IF(GI114="lease",GS114,0),IF(HD114="lease",HN114,0),IF(HY114="lease",II114,0),IF(IT114="lease",JD114,0))</f>
        <v>0.02624048949457488</v>
      </c>
      <c r="AI114" s="5">
        <f>SUM(IF(BM114="keep",BW114,0),IF(CH114="keep",CR114,0),IF(DC114="keep",DM114,0),IF(DX114="keep",EH114,0),IF(ES114="keep",FC114,0),IF(FN114="keep",FX114,0),IF(GI114="keep",GS114,0),IF(HD114="keep",HN114,0),IF(HY114="keep",II114,0),IF(IT114="keep",JD114,0))</f>
        <v>0</v>
      </c>
      <c r="AJ114" s="5">
        <f>SUM(IF(BM114="lease",BX114,0),IF(CH114="lease",CS114,0),IF(DC114="lease",DN114,0),IF(DX114="lease",EI114,0),IF(ES114="lease",FD114,0),IF(FN114="lease",FY114,0),IF(GI114="lease",GT114,0),IF(HD114="lease",HO114,0),IF(HY114="lease",IJ114,0),IF(IT114="lease",JE114,0))</f>
        <v>0</v>
      </c>
      <c r="AK114" s="5">
        <f>SUM(IF(BM114="keep",BX114,0),IF(CH114="keep",CS114,0),IF(DC114="keep",DN114,0),IF(DX114="keep",EI114,0),IF(ES114="keep",FD114,0),IF(FN114="keep",FY114,0),IF(GI114="keep",GT114,0),IF(HD114="keep",HO114,0),IF(HY114="keep",IJ114,0),IF(IT114="keep",JE114,0))</f>
        <v>0</v>
      </c>
      <c r="AL114" s="5">
        <f>R114-S113</f>
        <v>0</v>
      </c>
      <c r="AM114" s="5">
        <f>T114-U113</f>
        <v>0</v>
      </c>
      <c r="AN114" s="5">
        <f>AN113</f>
        <v>1</v>
      </c>
      <c r="AO114" s="5">
        <f>AO113+AH114</f>
        <v>0.22038369381316655</v>
      </c>
      <c r="AP114" s="5">
        <f>AP113+AL114</f>
        <v>-4.440892098500626e-16</v>
      </c>
      <c r="AQ114" s="5">
        <f>AN114+AO114+AP114</f>
        <v>1.220383693813166</v>
      </c>
      <c r="AR114" s="5">
        <f>S114-AQ114</f>
        <v>4.440892098500626e-16</v>
      </c>
      <c r="AS114" s="5">
        <f>AS113</f>
        <v>0</v>
      </c>
      <c r="AT114" s="5">
        <f>AT113+AI114</f>
        <v>0</v>
      </c>
      <c r="AU114" s="5">
        <f>AU113+AM114</f>
        <v>0</v>
      </c>
      <c r="AV114" s="5">
        <f>AS114+AT114+AU114</f>
        <v>0</v>
      </c>
      <c r="AW114" s="5">
        <f>U114-AV114</f>
        <v>0</v>
      </c>
      <c r="AX114" s="4">
        <v>1.1941432043185916</v>
      </c>
      <c r="AY114" s="4">
        <v>1.2203836938131665</v>
      </c>
      <c r="AZ114" s="5">
        <f>S114-AY114</f>
        <v>0</v>
      </c>
      <c r="BA114" s="4">
        <v>0</v>
      </c>
      <c r="BB114" s="4">
        <v>0</v>
      </c>
      <c r="BC114" s="5">
        <f>U114-BB114</f>
        <v>0</v>
      </c>
      <c r="BD114" s="7">
        <f>SUM(IF(BL114="direct",CE114,0),IF(CG114="direct",CZ114,0),IF(DB114="direct",DU114,0),IF(DW114="direct",EP114,0),IF(ER114="direct",FK114,0),IF(FM114="direct",GF114,0),IF(GH114="direct",HA114,0),IF(HC114="direct",HV114,0),IF(HX114="direct",IQ114,0),IF(IS114="direct",JL114,0))</f>
        <v>0</v>
      </c>
      <c r="BE114" s="7">
        <f>SUM(IF(BL114="treasury",CE114,0),IF(CG114="treasury",CZ114,0),IF(DB114="treasury",DU114,0),IF(DW114="treasury",EP114,0),IF(ER114="treasury",FK114,0),IF(FM114="treasury",GF114,0),IF(GH114="treasury",HA114,0),IF(HC114="treasury",HV114,0),IF(HX114="treasury",IQ114,0),IF(IS114="treasury",JL114,0))</f>
        <v>0.00017945205479452057</v>
      </c>
      <c r="BF114" s="7">
        <f>SUM(IF(BL114="future",CE114,0),IF(CG114="future",CZ114,0),IF(DB114="future",DU114,0),IF(DW114="future",EP114,0),IF(ER114="future",FK114,0),IF(FM114="future",GF114,0),IF(GH114="future",HA114,0),IF(HC114="future",HV114,0),IF(HX114="future",IQ114,0),IF(IS114="future",JL114,0))</f>
        <v>0.021794871794871717</v>
      </c>
      <c r="BG114" s="7">
        <f>SUM(IF(BL114="cash",CE114,0),IF(CG114="cash",CZ114,0),IF(DB114="cash",DU114,0),IF(DW114="cash",EP114,0),IF(ER114="cash",FK114,0),IF(FM114="cash",GF114,0),IF(GH114="cash",HA114,0),IF(HC114="cash",HV114,0),IF(HX114="cash",IQ114,0),IF(IS114="cash",JL114,0))</f>
        <v>0</v>
      </c>
      <c r="BH114" s="7">
        <f>SUM(BD114:BG114)</f>
        <v>0.021974323849666237</v>
      </c>
      <c r="BI114" s="7">
        <f>G114-BH114</f>
        <v>-3.469446951953614e-18</v>
      </c>
      <c r="BJ114" s="9">
        <f>COUNTA(BK114,CF114,DA114,DV114,EQ114,FL114,GG114,HB114,HW114,IR114)</f>
        <v>4</v>
      </c>
      <c r="BK114" t="inlineStr">
        <is>
          <t xml:space="preserve">Treasury collateral</t>
        </is>
      </c>
      <c r="BL114" t="inlineStr">
        <is>
          <t xml:space="preserve">treasury</t>
        </is>
      </c>
      <c r="BM114" t="inlineStr">
        <is>
          <t xml:space="preserve">lease</t>
        </is>
      </c>
      <c r="BN114" t="inlineStr">
        <is>
          <t xml:space="preserve">long</t>
        </is>
      </c>
      <c r="BO114"/>
      <c r="BP114" s="4">
        <v>102.84113789259426</v>
      </c>
      <c r="BQ114" s="4">
        <v>102.85959294610647</v>
      </c>
      <c r="BR114" s="4">
        <v>0.011611532396362012</v>
      </c>
      <c r="BS114" s="6">
        <v>1</v>
      </c>
      <c r="BT114" s="4">
        <v>1.1941432043185911</v>
      </c>
      <c r="BU114" s="4">
        <v>1.1941432043185911</v>
      </c>
      <c r="BV114" s="4">
        <v>1.1943574957703247</v>
      </c>
      <c r="BW114" s="4">
        <v>0.00021429145173388418</v>
      </c>
      <c r="BX114" s="4">
        <v>-3.116268094266461e-16</v>
      </c>
      <c r="BY114" s="4">
        <v>1.578</v>
      </c>
      <c r="BZ114" s="4">
        <v>1.603</v>
      </c>
      <c r="CA114" s="6"/>
      <c r="CB114" s="6"/>
      <c r="CC114" s="6"/>
      <c r="CD114" s="9">
        <v>41</v>
      </c>
      <c r="CE114" s="7">
        <f>IFERROR(BW114/F114,0)</f>
        <v>0.00017945205479452057</v>
      </c>
      <c r="CF114" t="inlineStr">
        <is>
          <t xml:space="preserve">SI69N</t>
        </is>
      </c>
      <c r="CG114" t="inlineStr">
        <is>
          <t xml:space="preserve">future</t>
        </is>
      </c>
      <c r="CH114" t="inlineStr">
        <is>
          <t xml:space="preserve">lease</t>
        </is>
      </c>
      <c r="CI114" t="inlineStr">
        <is>
          <t xml:space="preserve">long</t>
        </is>
      </c>
      <c r="CJ114" t="inlineStr">
        <is>
          <t xml:space="preserve">regular</t>
        </is>
      </c>
      <c r="CK114" s="4">
        <v>1.56</v>
      </c>
      <c r="CL114" s="4">
        <v>1.594</v>
      </c>
      <c r="CM114" s="4">
        <v>0.7654764130247379</v>
      </c>
      <c r="CN114" s="6">
        <v>1</v>
      </c>
      <c r="CO114" s="4">
        <v>1.1941432043185911</v>
      </c>
      <c r="CP114" s="4">
        <v>0</v>
      </c>
      <c r="CQ114" s="4">
        <v>0</v>
      </c>
      <c r="CR114" s="4">
        <v>0.026026198042840995</v>
      </c>
      <c r="CS114" s="4">
        <v>-0.026026198042840995</v>
      </c>
      <c r="CT114" s="4">
        <v>1.578</v>
      </c>
      <c r="CU114" s="4">
        <v>1.603</v>
      </c>
      <c r="CV114" s="6">
        <v>-0.011406844106463865</v>
      </c>
      <c r="CW114" s="6">
        <v>0.06550000000000002</v>
      </c>
      <c r="CX114" s="6">
        <v>0.16704873411851978</v>
      </c>
      <c r="CY114" s="9">
        <v>41</v>
      </c>
      <c r="CZ114" s="7">
        <f>IFERROR(CR114/F114,0)</f>
        <v>0.021794871794871717</v>
      </c>
      <c r="DA114" t="inlineStr">
        <is>
          <t xml:space="preserve">Lease cash / margin / financing</t>
        </is>
      </c>
      <c r="DB114" t="inlineStr">
        <is>
          <t xml:space="preserve">cash</t>
        </is>
      </c>
      <c r="DC114" t="inlineStr">
        <is>
          <t xml:space="preserve">lease</t>
        </is>
      </c>
      <c r="DD114" t="inlineStr">
        <is>
          <t xml:space="preserve">cash</t>
        </is>
      </c>
      <c r="DE114"/>
      <c r="DF114" s="4">
        <v>1</v>
      </c>
      <c r="DG114" s="4">
        <v>1</v>
      </c>
      <c r="DH114" s="4">
        <v>4.440892098500626e-16</v>
      </c>
      <c r="DI114" s="6"/>
      <c r="DJ114" s="4">
        <v>4.440892098500626e-16</v>
      </c>
      <c r="DK114" s="4">
        <v>4.440892098500626e-16</v>
      </c>
      <c r="DL114" s="4">
        <v>0.02602619804284175</v>
      </c>
      <c r="DM114" s="4">
        <v>0</v>
      </c>
      <c r="DN114" s="4">
        <v>0.026026198042841307</v>
      </c>
      <c r="DO114" s="4">
        <v>1.578</v>
      </c>
      <c r="DP114" s="4">
        <v>1.603</v>
      </c>
      <c r="DQ114" s="6"/>
      <c r="DR114" s="6"/>
      <c r="DS114" s="6"/>
      <c r="DT114" s="9"/>
      <c r="DU114" s="7">
        <f>IFERROR(DM114/F114,0)</f>
        <v>0</v>
      </c>
      <c r="DV114" t="inlineStr">
        <is>
          <t xml:space="preserve">Keep cash / margin / financing</t>
        </is>
      </c>
      <c r="DW114" t="inlineStr">
        <is>
          <t xml:space="preserve">cash</t>
        </is>
      </c>
      <c r="DX114" t="inlineStr">
        <is>
          <t xml:space="preserve">keep</t>
        </is>
      </c>
      <c r="DY114" t="inlineStr">
        <is>
          <t xml:space="preserve">cash</t>
        </is>
      </c>
      <c r="DZ114"/>
      <c r="EA114" s="4">
        <v>1</v>
      </c>
      <c r="EB114" s="4">
        <v>1</v>
      </c>
      <c r="EC114" s="4">
        <v>0</v>
      </c>
      <c r="ED114" s="6"/>
      <c r="EE114" s="4">
        <v>0</v>
      </c>
      <c r="EF114" s="4">
        <v>0</v>
      </c>
      <c r="EG114" s="4">
        <v>0</v>
      </c>
      <c r="EH114" s="4">
        <v>0</v>
      </c>
      <c r="EI114" s="4">
        <v>0</v>
      </c>
      <c r="EJ114" s="4">
        <v>1.578</v>
      </c>
      <c r="EK114" s="4">
        <v>1.603</v>
      </c>
      <c r="EL114" s="6"/>
      <c r="EM114" s="6"/>
      <c r="EN114" s="6"/>
      <c r="EO114" s="9"/>
      <c r="EP114" s="7">
        <f>IFERROR(EH114/F114,0)</f>
        <v>0</v>
      </c>
      <c r="EQ114"/>
      <c r="ER114"/>
      <c r="ES114"/>
      <c r="ET114"/>
      <c r="EU114"/>
      <c r="EV114" s="4"/>
      <c r="EW114" s="4"/>
      <c r="EX114" s="4"/>
      <c r="EY114" s="6"/>
      <c r="EZ114" s="4"/>
      <c r="FA114" s="4"/>
      <c r="FB114" s="4"/>
      <c r="FC114" s="4"/>
      <c r="FD114" s="4"/>
      <c r="FE114" s="4"/>
      <c r="FF114" s="4"/>
      <c r="FG114" s="6"/>
      <c r="FH114" s="6"/>
      <c r="FI114" s="6"/>
      <c r="FJ114" s="9"/>
      <c r="FK114"/>
      <c r="FL114"/>
      <c r="FM114"/>
      <c r="FN114"/>
      <c r="FO114"/>
      <c r="FP114"/>
      <c r="FQ114" s="4"/>
      <c r="FR114" s="4"/>
      <c r="FS114" s="4"/>
      <c r="FT114" s="6"/>
      <c r="FU114" s="4"/>
      <c r="FV114" s="4"/>
      <c r="FW114" s="4"/>
      <c r="FX114" s="4"/>
      <c r="FY114" s="4"/>
      <c r="FZ114" s="4"/>
      <c r="GA114" s="4"/>
      <c r="GB114" s="6"/>
      <c r="GC114" s="6"/>
      <c r="GD114" s="6"/>
      <c r="GE114" s="9"/>
      <c r="GF114"/>
      <c r="GG114"/>
      <c r="GH114"/>
      <c r="GI114"/>
      <c r="GJ114"/>
      <c r="GK114"/>
      <c r="GL114" s="4"/>
      <c r="GM114" s="4"/>
      <c r="GN114" s="4"/>
      <c r="GO114" s="6"/>
      <c r="GP114" s="4"/>
      <c r="GQ114" s="4"/>
      <c r="GR114" s="4"/>
      <c r="GS114" s="4"/>
      <c r="GT114" s="4"/>
      <c r="GU114" s="4"/>
      <c r="GV114" s="4"/>
      <c r="GW114" s="6"/>
      <c r="GX114" s="6"/>
      <c r="GY114" s="6"/>
      <c r="GZ114" s="9"/>
      <c r="HA114"/>
      <c r="HB114"/>
      <c r="HC114"/>
      <c r="HD114"/>
      <c r="HE114"/>
      <c r="HF114"/>
      <c r="HG114" s="4"/>
      <c r="HH114" s="4"/>
      <c r="HI114" s="4"/>
      <c r="HJ114" s="6"/>
      <c r="HK114" s="4"/>
      <c r="HL114" s="4"/>
      <c r="HM114" s="4"/>
      <c r="HN114" s="4"/>
      <c r="HO114" s="4"/>
      <c r="HP114" s="4"/>
      <c r="HQ114" s="4"/>
      <c r="HR114" s="6"/>
      <c r="HS114" s="6"/>
      <c r="HT114" s="6"/>
      <c r="HU114" s="9"/>
      <c r="HV114"/>
      <c r="HW114"/>
      <c r="HX114"/>
      <c r="HY114"/>
      <c r="HZ114"/>
      <c r="IA114"/>
      <c r="IB114" s="4"/>
      <c r="IC114" s="4"/>
      <c r="ID114" s="4"/>
      <c r="IE114" s="6"/>
      <c r="IF114" s="4"/>
      <c r="IG114" s="4"/>
      <c r="IH114" s="4"/>
      <c r="II114" s="4"/>
      <c r="IJ114" s="4"/>
      <c r="IK114" s="4"/>
      <c r="IL114" s="4"/>
      <c r="IM114" s="6"/>
      <c r="IN114" s="6"/>
      <c r="IO114" s="6"/>
      <c r="IP114" s="9"/>
      <c r="IQ114"/>
      <c r="IR114"/>
      <c r="IS114"/>
      <c r="IT114"/>
      <c r="IU114"/>
      <c r="IV114"/>
      <c r="IW114" s="4"/>
      <c r="IX114" s="4"/>
      <c r="IY114" s="4"/>
      <c r="IZ114" s="6"/>
      <c r="JA114" s="4"/>
      <c r="JB114" s="4"/>
      <c r="JC114" s="4"/>
      <c r="JD114" s="4"/>
      <c r="JE114" s="4"/>
      <c r="JF114" s="4"/>
      <c r="JG114" s="4"/>
      <c r="JH114" s="6"/>
      <c r="JI114" s="6"/>
      <c r="JJ114" s="6"/>
      <c r="JK114" s="9"/>
      <c r="JL114"/>
    </row>
    <row r="115">
      <c r="A115" s="8">
        <v>25373</v>
      </c>
      <c r="B115" s="8">
        <v>25374</v>
      </c>
      <c r="C115" s="9">
        <f>B115-A115</f>
        <v>1</v>
      </c>
      <c r="D115" s="8">
        <v>25373</v>
      </c>
      <c r="E115" t="inlineStr">
        <is>
          <t xml:space="preserve">positive</t>
        </is>
      </c>
      <c r="F115" s="4">
        <v>1.2203836938131658</v>
      </c>
      <c r="G115" s="6">
        <v>-0.00969148758113723</v>
      </c>
      <c r="H115" s="7">
        <f>SUM(CE115,CZ115,DU115,EP115,FK115,GF115,HA115,HV115,IQ115,JL115)</f>
        <v>-0.00969148758113723</v>
      </c>
      <c r="I115" s="7">
        <f>G115-H115</f>
        <v>0</v>
      </c>
      <c r="J115" s="5">
        <f>F115*(1+H115)</f>
        <v>1.208556360400353</v>
      </c>
      <c r="K115" s="4">
        <v>1.208556360400353</v>
      </c>
      <c r="L115" s="5">
        <f>K115-J115</f>
        <v>0</v>
      </c>
      <c r="M115" s="4">
        <v>1.603</v>
      </c>
      <c r="N115" s="4">
        <v>1.628</v>
      </c>
      <c r="O115" s="5">
        <f>M115/$M$3</f>
        <v>0.8186925434116445</v>
      </c>
      <c r="P115" s="5">
        <f>N115/$M$3</f>
        <v>0.8314606741573033</v>
      </c>
      <c r="Q115" s="7">
        <f>IFERROR(N115/M115-1,0)</f>
        <v>0.015595757953836609</v>
      </c>
      <c r="R115" s="5">
        <f>SUM(IF(BM115="lease",BU115,0),IF(CH115="lease",CP115,0),IF(DC115="lease",DK115,0),IF(DX115="lease",EF115,0),IF(ES115="lease",FA115,0),IF(FN115="lease",FV115,0),IF(GI115="lease",GQ115,0),IF(HD115="lease",HL115,0),IF(HY115="lease",IG115,0),IF(IT115="lease",JB115,0))</f>
        <v>1.2203836938131665</v>
      </c>
      <c r="S115" s="5">
        <f>SUM(IF(BM115="lease",BV115,0),IF(CH115="lease",CQ115,0),IF(DC115="lease",DL115,0),IF(DX115="lease",EG115,0),IF(ES115="lease",FB115,0),IF(FN115="lease",FW115,0),IF(GI115="lease",GR115,0),IF(HD115="lease",HM115,0),IF(HY115="lease",IH115,0),IF(IT115="lease",JC115,0))</f>
        <v>1.2085563604003537</v>
      </c>
      <c r="T115" s="5">
        <f>SUM(IF(BM115="keep",BU115,0),IF(CH115="keep",CP115,0),IF(DC115="keep",DK115,0),IF(DX115="keep",EF115,0),IF(ES115="keep",FA115,0),IF(FN115="keep",FV115,0),IF(GI115="keep",GQ115,0),IF(HD115="keep",HL115,0),IF(HY115="keep",IG115,0),IF(IT115="keep",JB115,0))</f>
        <v>0</v>
      </c>
      <c r="U115" s="5">
        <f>SUM(IF(BM115="keep",BV115,0),IF(CH115="keep",CQ115,0),IF(DC115="keep",DL115,0),IF(DX115="keep",EG115,0),IF(ES115="keep",FB115,0),IF(FN115="keep",FW115,0),IF(GI115="keep",GR115,0),IF(HD115="keep",HM115,0),IF(HY115="keep",IH115,0),IF(IT115="keep",JC115,0))</f>
        <v>0</v>
      </c>
      <c r="V115" s="5">
        <f>R115/O115</f>
        <v>1.490649577346338</v>
      </c>
      <c r="W115" s="5">
        <f>S115/P115</f>
        <v>1.4535340010220472</v>
      </c>
      <c r="X115" s="5">
        <f>T115/O115</f>
        <v>0</v>
      </c>
      <c r="Y115" s="5">
        <f>U115/P115</f>
        <v>0</v>
      </c>
      <c r="Z115" s="5">
        <f>V115+X115</f>
        <v>1.490649577346338</v>
      </c>
      <c r="AA115" s="7">
        <f>IFERROR(W115/V115-1,0)</f>
        <v>-0.02489892788240955</v>
      </c>
      <c r="AB115" s="7">
        <f>IFERROR((W115-V115)/Z115,0)</f>
        <v>-0.02489892788240955</v>
      </c>
      <c r="AC115" s="7">
        <f>IFERROR(Y115/X115-1,0)</f>
        <v>0</v>
      </c>
      <c r="AD115" s="7">
        <f>IFERROR((Y115-X115)/Z115,0)</f>
        <v>0</v>
      </c>
      <c r="AE115" s="7">
        <f>AB115+AD115</f>
        <v>-0.02489892788240955</v>
      </c>
      <c r="AF115" s="7">
        <f>(1+Q115)*(1+AE115)-1</f>
        <v>-0.009691487581137026</v>
      </c>
      <c r="AG115" s="7">
        <f>G115-AF115</f>
        <v>-2.0469737016526324e-16</v>
      </c>
      <c r="AH115" s="5">
        <f>SUM(IF(BM115="lease",BW115,0),IF(CH115="lease",CR115,0),IF(DC115="lease",DM115,0),IF(DX115="lease",EH115,0),IF(ES115="lease",FC115,0),IF(FN115="lease",FX115,0),IF(GI115="lease",GS115,0),IF(HD115="lease",HN115,0),IF(HY115="lease",II115,0),IF(IT115="lease",JD115,0))</f>
        <v>-0.011827333412812677</v>
      </c>
      <c r="AI115" s="5">
        <f>SUM(IF(BM115="keep",BW115,0),IF(CH115="keep",CR115,0),IF(DC115="keep",DM115,0),IF(DX115="keep",EH115,0),IF(ES115="keep",FC115,0),IF(FN115="keep",FX115,0),IF(GI115="keep",GS115,0),IF(HD115="keep",HN115,0),IF(HY115="keep",II115,0),IF(IT115="keep",JD115,0))</f>
        <v>0</v>
      </c>
      <c r="AJ115" s="5">
        <f>SUM(IF(BM115="lease",BX115,0),IF(CH115="lease",CS115,0),IF(DC115="lease",DN115,0),IF(DX115="lease",EI115,0),IF(ES115="lease",FD115,0),IF(FN115="lease",FY115,0),IF(GI115="lease",GT115,0),IF(HD115="lease",HO115,0),IF(HY115="lease",IJ115,0),IF(IT115="lease",JE115,0))</f>
        <v>0</v>
      </c>
      <c r="AK115" s="5">
        <f>SUM(IF(BM115="keep",BX115,0),IF(CH115="keep",CS115,0),IF(DC115="keep",DN115,0),IF(DX115="keep",EI115,0),IF(ES115="keep",FD115,0),IF(FN115="keep",FY115,0),IF(GI115="keep",GT115,0),IF(HD115="keep",HO115,0),IF(HY115="keep",IJ115,0),IF(IT115="keep",JE115,0))</f>
        <v>0</v>
      </c>
      <c r="AL115" s="5">
        <f>R115-S114</f>
        <v>0</v>
      </c>
      <c r="AM115" s="5">
        <f>T115-U114</f>
        <v>0</v>
      </c>
      <c r="AN115" s="5">
        <f>AN114</f>
        <v>1</v>
      </c>
      <c r="AO115" s="5">
        <f>AO114+AH115</f>
        <v>0.20855636040035389</v>
      </c>
      <c r="AP115" s="5">
        <f>AP114+AL115</f>
        <v>-4.440892098500626e-16</v>
      </c>
      <c r="AQ115" s="5">
        <f>AN115+AO115+AP115</f>
        <v>1.2085563604003535</v>
      </c>
      <c r="AR115" s="5">
        <f>S115-AQ115</f>
        <v>2.220446049250313e-16</v>
      </c>
      <c r="AS115" s="5">
        <f>AS114</f>
        <v>0</v>
      </c>
      <c r="AT115" s="5">
        <f>AT114+AI115</f>
        <v>0</v>
      </c>
      <c r="AU115" s="5">
        <f>AU114+AM115</f>
        <v>0</v>
      </c>
      <c r="AV115" s="5">
        <f>AS115+AT115+AU115</f>
        <v>0</v>
      </c>
      <c r="AW115" s="5">
        <f>U115-AV115</f>
        <v>0</v>
      </c>
      <c r="AX115" s="4">
        <v>1.2203836938131665</v>
      </c>
      <c r="AY115" s="4">
        <v>1.2085563604003537</v>
      </c>
      <c r="AZ115" s="5">
        <f>S115-AY115</f>
        <v>0</v>
      </c>
      <c r="BA115" s="4">
        <v>0</v>
      </c>
      <c r="BB115" s="4">
        <v>0</v>
      </c>
      <c r="BC115" s="5">
        <f>U115-BB115</f>
        <v>0</v>
      </c>
      <c r="BD115" s="7">
        <f>SUM(IF(BL115="direct",CE115,0),IF(CG115="direct",CZ115,0),IF(DB115="direct",DU115,0),IF(DW115="direct",EP115,0),IF(ER115="direct",FK115,0),IF(FM115="direct",GF115,0),IF(GH115="direct",HA115,0),IF(HC115="direct",HV115,0),IF(HX115="direct",IQ115,0),IF(IS115="direct",JL115,0))</f>
        <v>0.0034054423126162634</v>
      </c>
      <c r="BE115" s="7">
        <f>SUM(IF(BL115="treasury",CE115,0),IF(CG115="treasury",CZ115,0),IF(DB115="treasury",DU115,0),IF(DW115="treasury",EP115,0),IF(ER115="treasury",FK115,0),IF(FM115="treasury",GF115,0),IF(GH115="treasury",HA115,0),IF(HC115="treasury",HV115,0),IF(HX115="treasury",IQ115,0),IF(IS115="treasury",JL115,0))</f>
        <v>0.00014132084533280886</v>
      </c>
      <c r="BF115" s="7">
        <f>SUM(IF(BL115="future",CE115,0),IF(CG115="future",CZ115,0),IF(DB115="future",DU115,0),IF(DW115="future",EP115,0),IF(ER115="future",FK115,0),IF(FM115="future",GF115,0),IF(GH115="future",HA115,0),IF(HC115="future",HV115,0),IF(HX115="future",IQ115,0),IF(IS115="future",JL115,0))</f>
        <v>-0.013238250739086303</v>
      </c>
      <c r="BG115" s="7">
        <f>SUM(IF(BL115="cash",CE115,0),IF(CG115="cash",CZ115,0),IF(DB115="cash",DU115,0),IF(DW115="cash",EP115,0),IF(ER115="cash",FK115,0),IF(FM115="cash",GF115,0),IF(GH115="cash",HA115,0),IF(HC115="cash",HV115,0),IF(HX115="cash",IQ115,0),IF(IS115="cash",JL115,0))</f>
        <v>0</v>
      </c>
      <c r="BH115" s="7">
        <f>SUM(BD115:BG115)</f>
        <v>-0.00969148758113723</v>
      </c>
      <c r="BI115" s="7">
        <f>G115-BH115</f>
        <v>0</v>
      </c>
      <c r="BJ115" s="9">
        <f>COUNTA(BK115,CF115,DA115,DV115,EQ115,FL115,GG115,HB115,HW115,IR115)</f>
        <v>5</v>
      </c>
      <c r="BK115" t="inlineStr">
        <is>
          <t xml:space="preserve">Direct commodity holding</t>
        </is>
      </c>
      <c r="BL115" t="inlineStr">
        <is>
          <t xml:space="preserve">direct</t>
        </is>
      </c>
      <c r="BM115" t="inlineStr">
        <is>
          <t xml:space="preserve">lease</t>
        </is>
      </c>
      <c r="BN115" t="inlineStr">
        <is>
          <t xml:space="preserve">long</t>
        </is>
      </c>
      <c r="BO115"/>
      <c r="BP115" s="4">
        <v>1.603</v>
      </c>
      <c r="BQ115" s="4">
        <v>1.628</v>
      </c>
      <c r="BR115" s="4">
        <v>0.1663108908396174</v>
      </c>
      <c r="BS115" s="6">
        <v>0.21845290081098145</v>
      </c>
      <c r="BT115" s="4">
        <v>0.2665963580159067</v>
      </c>
      <c r="BU115" s="4">
        <v>0.2665963580159067</v>
      </c>
      <c r="BV115" s="4">
        <v>0.2707541302868971</v>
      </c>
      <c r="BW115" s="4">
        <v>0.004155946268538285</v>
      </c>
      <c r="BX115" s="4">
        <v>0.0000018260024521156784</v>
      </c>
      <c r="BY115" s="4">
        <v>1.603</v>
      </c>
      <c r="BZ115" s="4">
        <v>1.628</v>
      </c>
      <c r="CA115" s="6"/>
      <c r="CB115" s="6"/>
      <c r="CC115" s="6"/>
      <c r="CD115" s="9"/>
      <c r="CE115" s="7">
        <f>IFERROR(BW115/F115,0)</f>
        <v>0.0034054423126162634</v>
      </c>
      <c r="CF115" t="inlineStr">
        <is>
          <t xml:space="preserve">Treasury collateral</t>
        </is>
      </c>
      <c r="CG115" t="inlineStr">
        <is>
          <t xml:space="preserve">treasury</t>
        </is>
      </c>
      <c r="CH115" t="inlineStr">
        <is>
          <t xml:space="preserve">lease</t>
        </is>
      </c>
      <c r="CI115" t="inlineStr">
        <is>
          <t xml:space="preserve">long</t>
        </is>
      </c>
      <c r="CJ115"/>
      <c r="CK115" s="4">
        <v>102.85959294610647</v>
      </c>
      <c r="CL115" s="4">
        <v>102.87819221496797</v>
      </c>
      <c r="CM115" s="4">
        <v>0.009272711552504377</v>
      </c>
      <c r="CN115" s="6">
        <v>0.7815470991890185</v>
      </c>
      <c r="CO115" s="4">
        <v>0.9537873357972592</v>
      </c>
      <c r="CP115" s="4">
        <v>0.9537873357972592</v>
      </c>
      <c r="CQ115" s="4">
        <v>0.9539598014524993</v>
      </c>
      <c r="CR115" s="4">
        <v>0.00017246565524005236</v>
      </c>
      <c r="CS115" s="4">
        <v>4.2582040324368187e-17</v>
      </c>
      <c r="CT115" s="4">
        <v>1.603</v>
      </c>
      <c r="CU115" s="4">
        <v>1.628</v>
      </c>
      <c r="CV115" s="6"/>
      <c r="CW115" s="6"/>
      <c r="CX115" s="6"/>
      <c r="CY115" s="9">
        <v>40</v>
      </c>
      <c r="CZ115" s="7">
        <f>IFERROR(CR115/F115,0)</f>
        <v>0.00014132084533280886</v>
      </c>
      <c r="DA115" t="inlineStr">
        <is>
          <t xml:space="preserve">SI69N</t>
        </is>
      </c>
      <c r="DB115" t="inlineStr">
        <is>
          <t xml:space="preserve">future</t>
        </is>
      </c>
      <c r="DC115" t="inlineStr">
        <is>
          <t xml:space="preserve">lease</t>
        </is>
      </c>
      <c r="DD115" t="inlineStr">
        <is>
          <t xml:space="preserve">long</t>
        </is>
      </c>
      <c r="DE115" t="inlineStr">
        <is>
          <t xml:space="preserve">regular</t>
        </is>
      </c>
      <c r="DF115" s="4">
        <v>1.594</v>
      </c>
      <c r="DG115" s="4">
        <v>1.567</v>
      </c>
      <c r="DH115" s="4">
        <v>0.5983609383922579</v>
      </c>
      <c r="DI115" s="6">
        <v>0.7815470991890185</v>
      </c>
      <c r="DJ115" s="4">
        <v>0.9537873357972592</v>
      </c>
      <c r="DK115" s="4">
        <v>0</v>
      </c>
      <c r="DL115" s="4">
        <v>0</v>
      </c>
      <c r="DM115" s="4">
        <v>-0.016155745336591015</v>
      </c>
      <c r="DN115" s="4">
        <v>0.016155745336591015</v>
      </c>
      <c r="DO115" s="4">
        <v>1.603</v>
      </c>
      <c r="DP115" s="4">
        <v>1.628</v>
      </c>
      <c r="DQ115" s="6">
        <v>-0.005614472863381126</v>
      </c>
      <c r="DR115" s="6">
        <v>0.066</v>
      </c>
      <c r="DS115" s="6">
        <v>0.11723206487835278</v>
      </c>
      <c r="DT115" s="9">
        <v>40</v>
      </c>
      <c r="DU115" s="7">
        <f>IFERROR(DM115/F115,0)</f>
        <v>-0.013238250739086303</v>
      </c>
      <c r="DV115" t="inlineStr">
        <is>
          <t xml:space="preserve">Lease cash / margin / financing</t>
        </is>
      </c>
      <c r="DW115" t="inlineStr">
        <is>
          <t xml:space="preserve">cash</t>
        </is>
      </c>
      <c r="DX115" t="inlineStr">
        <is>
          <t xml:space="preserve">lease</t>
        </is>
      </c>
      <c r="DY115" t="inlineStr">
        <is>
          <t xml:space="preserve">cash</t>
        </is>
      </c>
      <c r="DZ115"/>
      <c r="EA115" s="4">
        <v>1</v>
      </c>
      <c r="EB115" s="4">
        <v>1</v>
      </c>
      <c r="EC115" s="4">
        <v>6.661338147750939e-16</v>
      </c>
      <c r="ED115" s="6"/>
      <c r="EE115" s="4">
        <v>6.661338147750939e-16</v>
      </c>
      <c r="EF115" s="4">
        <v>6.661338147750939e-16</v>
      </c>
      <c r="EG115" s="4">
        <v>-0.01615757133904251</v>
      </c>
      <c r="EH115" s="4">
        <v>0</v>
      </c>
      <c r="EI115" s="4">
        <v>-0.016157571339043175</v>
      </c>
      <c r="EJ115" s="4">
        <v>1.603</v>
      </c>
      <c r="EK115" s="4">
        <v>1.628</v>
      </c>
      <c r="EL115" s="6"/>
      <c r="EM115" s="6"/>
      <c r="EN115" s="6"/>
      <c r="EO115" s="9"/>
      <c r="EP115" s="7">
        <f>IFERROR(EH115/F115,0)</f>
        <v>0</v>
      </c>
      <c r="EQ115" t="inlineStr">
        <is>
          <t xml:space="preserve">Keep cash / margin / financing</t>
        </is>
      </c>
      <c r="ER115" t="inlineStr">
        <is>
          <t xml:space="preserve">cash</t>
        </is>
      </c>
      <c r="ES115" t="inlineStr">
        <is>
          <t xml:space="preserve">keep</t>
        </is>
      </c>
      <c r="ET115" t="inlineStr">
        <is>
          <t xml:space="preserve">cash</t>
        </is>
      </c>
      <c r="EU115"/>
      <c r="EV115" s="4">
        <v>1</v>
      </c>
      <c r="EW115" s="4">
        <v>1</v>
      </c>
      <c r="EX115" s="4">
        <v>0</v>
      </c>
      <c r="EY115" s="6"/>
      <c r="EZ115" s="4">
        <v>0</v>
      </c>
      <c r="FA115" s="4">
        <v>0</v>
      </c>
      <c r="FB115" s="4">
        <v>0</v>
      </c>
      <c r="FC115" s="4">
        <v>0</v>
      </c>
      <c r="FD115" s="4">
        <v>0</v>
      </c>
      <c r="FE115" s="4">
        <v>1.603</v>
      </c>
      <c r="FF115" s="4">
        <v>1.628</v>
      </c>
      <c r="FG115" s="6"/>
      <c r="FH115" s="6"/>
      <c r="FI115" s="6"/>
      <c r="FJ115" s="9"/>
      <c r="FK115" s="7">
        <f>IFERROR(FC115/F115,0)</f>
        <v>0</v>
      </c>
      <c r="FL115"/>
      <c r="FM115"/>
      <c r="FN115"/>
      <c r="FO115"/>
      <c r="FP115"/>
      <c r="FQ115" s="4"/>
      <c r="FR115" s="4"/>
      <c r="FS115" s="4"/>
      <c r="FT115" s="6"/>
      <c r="FU115" s="4"/>
      <c r="FV115" s="4"/>
      <c r="FW115" s="4"/>
      <c r="FX115" s="4"/>
      <c r="FY115" s="4"/>
      <c r="FZ115" s="4"/>
      <c r="GA115" s="4"/>
      <c r="GB115" s="6"/>
      <c r="GC115" s="6"/>
      <c r="GD115" s="6"/>
      <c r="GE115" s="9"/>
      <c r="GF115"/>
      <c r="GG115"/>
      <c r="GH115"/>
      <c r="GI115"/>
      <c r="GJ115"/>
      <c r="GK115"/>
      <c r="GL115" s="4"/>
      <c r="GM115" s="4"/>
      <c r="GN115" s="4"/>
      <c r="GO115" s="6"/>
      <c r="GP115" s="4"/>
      <c r="GQ115" s="4"/>
      <c r="GR115" s="4"/>
      <c r="GS115" s="4"/>
      <c r="GT115" s="4"/>
      <c r="GU115" s="4"/>
      <c r="GV115" s="4"/>
      <c r="GW115" s="6"/>
      <c r="GX115" s="6"/>
      <c r="GY115" s="6"/>
      <c r="GZ115" s="9"/>
      <c r="HA115"/>
      <c r="HB115"/>
      <c r="HC115"/>
      <c r="HD115"/>
      <c r="HE115"/>
      <c r="HF115"/>
      <c r="HG115" s="4"/>
      <c r="HH115" s="4"/>
      <c r="HI115" s="4"/>
      <c r="HJ115" s="6"/>
      <c r="HK115" s="4"/>
      <c r="HL115" s="4"/>
      <c r="HM115" s="4"/>
      <c r="HN115" s="4"/>
      <c r="HO115" s="4"/>
      <c r="HP115" s="4"/>
      <c r="HQ115" s="4"/>
      <c r="HR115" s="6"/>
      <c r="HS115" s="6"/>
      <c r="HT115" s="6"/>
      <c r="HU115" s="9"/>
      <c r="HV115"/>
      <c r="HW115"/>
      <c r="HX115"/>
      <c r="HY115"/>
      <c r="HZ115"/>
      <c r="IA115"/>
      <c r="IB115" s="4"/>
      <c r="IC115" s="4"/>
      <c r="ID115" s="4"/>
      <c r="IE115" s="6"/>
      <c r="IF115" s="4"/>
      <c r="IG115" s="4"/>
      <c r="IH115" s="4"/>
      <c r="II115" s="4"/>
      <c r="IJ115" s="4"/>
      <c r="IK115" s="4"/>
      <c r="IL115" s="4"/>
      <c r="IM115" s="6"/>
      <c r="IN115" s="6"/>
      <c r="IO115" s="6"/>
      <c r="IP115" s="9"/>
      <c r="IQ115"/>
      <c r="IR115"/>
      <c r="IS115"/>
      <c r="IT115"/>
      <c r="IU115"/>
      <c r="IV115"/>
      <c r="IW115" s="4"/>
      <c r="IX115" s="4"/>
      <c r="IY115" s="4"/>
      <c r="IZ115" s="6"/>
      <c r="JA115" s="4"/>
      <c r="JB115" s="4"/>
      <c r="JC115" s="4"/>
      <c r="JD115" s="4"/>
      <c r="JE115" s="4"/>
      <c r="JF115" s="4"/>
      <c r="JG115" s="4"/>
      <c r="JH115" s="6"/>
      <c r="JI115" s="6"/>
      <c r="JJ115" s="6"/>
      <c r="JK115" s="9"/>
      <c r="JL115"/>
    </row>
    <row r="116">
      <c r="A116" s="8">
        <v>25374</v>
      </c>
      <c r="B116" s="8">
        <v>25377</v>
      </c>
      <c r="C116" s="9">
        <f>B116-A116</f>
        <v>3</v>
      </c>
      <c r="D116" s="8">
        <v>25374</v>
      </c>
      <c r="E116" t="inlineStr">
        <is>
          <t xml:space="preserve">positive</t>
        </is>
      </c>
      <c r="F116" s="4">
        <v>1.208556360400353</v>
      </c>
      <c r="G116" s="6">
        <v>0.0024503766904739746</v>
      </c>
      <c r="H116" s="7">
        <f>SUM(CE116,CZ116,DU116,EP116,FK116,GF116,HA116,HV116,IQ116,JL116)</f>
        <v>0.0024503766904739746</v>
      </c>
      <c r="I116" s="7">
        <f>G116-H116</f>
        <v>0</v>
      </c>
      <c r="J116" s="5">
        <f>F116*(1+H116)</f>
        <v>1.2115177787350022</v>
      </c>
      <c r="K116" s="4">
        <v>1.2115177787350022</v>
      </c>
      <c r="L116" s="5">
        <f>K116-J116</f>
        <v>0</v>
      </c>
      <c r="M116" s="4">
        <v>1.628</v>
      </c>
      <c r="N116" s="4">
        <v>1.566</v>
      </c>
      <c r="O116" s="5">
        <f>M116/$M$3</f>
        <v>0.8314606741573033</v>
      </c>
      <c r="P116" s="5">
        <f>N116/$M$3</f>
        <v>0.7997957099080695</v>
      </c>
      <c r="Q116" s="7">
        <f>IFERROR(N116/M116-1,0)</f>
        <v>-0.03808353808353804</v>
      </c>
      <c r="R116" s="5">
        <f>SUM(IF(BM116="lease",BU116,0),IF(CH116="lease",CP116,0),IF(DC116="lease",DK116,0),IF(DX116="lease",EF116,0),IF(ES116="lease",FA116,0),IF(FN116="lease",FV116,0),IF(GI116="lease",GQ116,0),IF(HD116="lease",HL116,0),IF(HY116="lease",IG116,0),IF(IT116="lease",JB116,0))</f>
        <v>1.2085563604003537</v>
      </c>
      <c r="S116" s="5">
        <f>SUM(IF(BM116="lease",BV116,0),IF(CH116="lease",CQ116,0),IF(DC116="lease",DL116,0),IF(DX116="lease",EG116,0),IF(ES116="lease",FB116,0),IF(FN116="lease",FW116,0),IF(GI116="lease",GR116,0),IF(HD116="lease",HM116,0),IF(HY116="lease",IH116,0),IF(IT116="lease",JC116,0))</f>
        <v>1.2115177787350029</v>
      </c>
      <c r="T116" s="5">
        <f>SUM(IF(BM116="keep",BU116,0),IF(CH116="keep",CP116,0),IF(DC116="keep",DK116,0),IF(DX116="keep",EF116,0),IF(ES116="keep",FA116,0),IF(FN116="keep",FV116,0),IF(GI116="keep",GQ116,0),IF(HD116="keep",HL116,0),IF(HY116="keep",IG116,0),IF(IT116="keep",JB116,0))</f>
        <v>0</v>
      </c>
      <c r="U116" s="5">
        <f>SUM(IF(BM116="keep",BV116,0),IF(CH116="keep",CQ116,0),IF(DC116="keep",DL116,0),IF(DX116="keep",EG116,0),IF(ES116="keep",FB116,0),IF(FN116="keep",FW116,0),IF(GI116="keep",GR116,0),IF(HD116="keep",HM116,0),IF(HY116="keep",IH116,0),IF(IT116="keep",JC116,0))</f>
        <v>0</v>
      </c>
      <c r="V116" s="5">
        <f>R116/O116</f>
        <v>1.4535340010220472</v>
      </c>
      <c r="W116" s="5">
        <f>S116/P116</f>
        <v>1.5147840426329091</v>
      </c>
      <c r="X116" s="5">
        <f>T116/O116</f>
        <v>0</v>
      </c>
      <c r="Y116" s="5">
        <f>U116/P116</f>
        <v>0</v>
      </c>
      <c r="Z116" s="5">
        <f>V116+X116</f>
        <v>1.4535340010220472</v>
      </c>
      <c r="AA116" s="7">
        <f>IFERROR(W116/V116-1,0)</f>
        <v>0.042138705780390584</v>
      </c>
      <c r="AB116" s="7">
        <f>IFERROR((W116-V116)/Z116,0)</f>
        <v>0.042138705780390515</v>
      </c>
      <c r="AC116" s="7">
        <f>IFERROR(Y116/X116-1,0)</f>
        <v>0</v>
      </c>
      <c r="AD116" s="7">
        <f>IFERROR((Y116-X116)/Z116,0)</f>
        <v>0</v>
      </c>
      <c r="AE116" s="7">
        <f>AB116+AD116</f>
        <v>0.042138705780390515</v>
      </c>
      <c r="AF116" s="7">
        <f>(1+Q116)*(1+AE116)-1</f>
        <v>0.0024503766904739877</v>
      </c>
      <c r="AG116" s="7">
        <f>G116-AF116</f>
        <v>-1.3010426069826053e-17</v>
      </c>
      <c r="AH116" s="5">
        <f>SUM(IF(BM116="lease",BW116,0),IF(CH116="lease",CR116,0),IF(DC116="lease",DM116,0),IF(DX116="lease",EH116,0),IF(ES116="lease",FC116,0),IF(FN116="lease",FX116,0),IF(GI116="lease",GS116,0),IF(HD116="lease",HN116,0),IF(HY116="lease",II116,0),IF(IT116="lease",JD116,0))</f>
        <v>0.002961418334649089</v>
      </c>
      <c r="AI116" s="5">
        <f>SUM(IF(BM116="keep",BW116,0),IF(CH116="keep",CR116,0),IF(DC116="keep",DM116,0),IF(DX116="keep",EH116,0),IF(ES116="keep",FC116,0),IF(FN116="keep",FX116,0),IF(GI116="keep",GS116,0),IF(HD116="keep",HN116,0),IF(HY116="keep",II116,0),IF(IT116="keep",JD116,0))</f>
        <v>0</v>
      </c>
      <c r="AJ116" s="5">
        <f>SUM(IF(BM116="lease",BX116,0),IF(CH116="lease",CS116,0),IF(DC116="lease",DN116,0),IF(DX116="lease",EI116,0),IF(ES116="lease",FD116,0),IF(FN116="lease",FY116,0),IF(GI116="lease",GT116,0),IF(HD116="lease",HO116,0),IF(HY116="lease",IJ116,0),IF(IT116="lease",JE116,0))</f>
        <v>0</v>
      </c>
      <c r="AK116" s="5">
        <f>SUM(IF(BM116="keep",BX116,0),IF(CH116="keep",CS116,0),IF(DC116="keep",DN116,0),IF(DX116="keep",EI116,0),IF(ES116="keep",FD116,0),IF(FN116="keep",FY116,0),IF(GI116="keep",GT116,0),IF(HD116="keep",HO116,0),IF(HY116="keep",IJ116,0),IF(IT116="keep",JE116,0))</f>
        <v>0</v>
      </c>
      <c r="AL116" s="5">
        <f>R116-S115</f>
        <v>0</v>
      </c>
      <c r="AM116" s="5">
        <f>T116-U115</f>
        <v>0</v>
      </c>
      <c r="AN116" s="5">
        <f>AN115</f>
        <v>1</v>
      </c>
      <c r="AO116" s="5">
        <f>AO115+AH116</f>
        <v>0.21151777873500296</v>
      </c>
      <c r="AP116" s="5">
        <f>AP115+AL116</f>
        <v>-4.440892098500626e-16</v>
      </c>
      <c r="AQ116" s="5">
        <f>AN116+AO116+AP116</f>
        <v>1.2115177787350024</v>
      </c>
      <c r="AR116" s="5">
        <f>S116-AQ116</f>
        <v>4.440892098500626e-16</v>
      </c>
      <c r="AS116" s="5">
        <f>AS115</f>
        <v>0</v>
      </c>
      <c r="AT116" s="5">
        <f>AT115+AI116</f>
        <v>0</v>
      </c>
      <c r="AU116" s="5">
        <f>AU115+AM116</f>
        <v>0</v>
      </c>
      <c r="AV116" s="5">
        <f>AS116+AT116+AU116</f>
        <v>0</v>
      </c>
      <c r="AW116" s="5">
        <f>U116-AV116</f>
        <v>0</v>
      </c>
      <c r="AX116" s="4">
        <v>1.2085563604003537</v>
      </c>
      <c r="AY116" s="4">
        <v>1.2115177787350029</v>
      </c>
      <c r="AZ116" s="5">
        <f>S116-AY116</f>
        <v>0</v>
      </c>
      <c r="BA116" s="4">
        <v>0</v>
      </c>
      <c r="BB116" s="4">
        <v>0</v>
      </c>
      <c r="BC116" s="5">
        <f>U116-BB116</f>
        <v>0</v>
      </c>
      <c r="BD116" s="7">
        <f>SUM(IF(BL116="direct",CE116,0),IF(CG116="direct",CZ116,0),IF(DB116="direct",DU116,0),IF(DW116="direct",EP116,0),IF(ER116="direct",FK116,0),IF(FM116="direct",GF116,0),IF(GH116="direct",HA116,0),IF(HC116="direct",HV116,0),IF(HX116="direct",IQ116,0),IF(IS116="direct",JL116,0))</f>
        <v>0</v>
      </c>
      <c r="BE116" s="7">
        <f>SUM(IF(BL116="treasury",CE116,0),IF(CG116="treasury",CZ116,0),IF(DB116="treasury",DU116,0),IF(DW116="treasury",EP116,0),IF(ER116="treasury",FK116,0),IF(FM116="treasury",GF116,0),IF(GH116="treasury",HA116,0),IF(HC116="treasury",HV116,0),IF(HX116="treasury",IQ116,0),IF(IS116="treasury",JL116,0))</f>
        <v>0.0005358904109589041</v>
      </c>
      <c r="BF116" s="7">
        <f>SUM(IF(BL116="future",CE116,0),IF(CG116="future",CZ116,0),IF(DB116="future",DU116,0),IF(DW116="future",EP116,0),IF(ER116="future",FK116,0),IF(FM116="future",GF116,0),IF(GH116="future",HA116,0),IF(HC116="future",HV116,0),IF(HX116="future",IQ116,0),IF(IS116="future",JL116,0))</f>
        <v>0.0019144862795150706</v>
      </c>
      <c r="BG116" s="7">
        <f>SUM(IF(BL116="cash",CE116,0),IF(CG116="cash",CZ116,0),IF(DB116="cash",DU116,0),IF(DW116="cash",EP116,0),IF(ER116="cash",FK116,0),IF(FM116="cash",GF116,0),IF(GH116="cash",HA116,0),IF(HC116="cash",HV116,0),IF(HX116="cash",IQ116,0),IF(IS116="cash",JL116,0))</f>
        <v>0</v>
      </c>
      <c r="BH116" s="7">
        <f>SUM(BD116:BG116)</f>
        <v>0.0024503766904739746</v>
      </c>
      <c r="BI116" s="7">
        <f>G116-BH116</f>
        <v>0</v>
      </c>
      <c r="BJ116" s="9">
        <f>COUNTA(BK116,CF116,DA116,DV116,EQ116,FL116,GG116,HB116,HW116,IR116)</f>
        <v>4</v>
      </c>
      <c r="BK116" t="inlineStr">
        <is>
          <t xml:space="preserve">Treasury collateral</t>
        </is>
      </c>
      <c r="BL116" t="inlineStr">
        <is>
          <t xml:space="preserve">treasury</t>
        </is>
      </c>
      <c r="BM116" t="inlineStr">
        <is>
          <t xml:space="preserve">lease</t>
        </is>
      </c>
      <c r="BN116" t="inlineStr">
        <is>
          <t xml:space="preserve">long</t>
        </is>
      </c>
      <c r="BO116"/>
      <c r="BP116" s="4">
        <v>102.87819221496797</v>
      </c>
      <c r="BQ116" s="4">
        <v>102.93332365167277</v>
      </c>
      <c r="BR116" s="4">
        <v>0.011747449429078495</v>
      </c>
      <c r="BS116" s="6">
        <v>1</v>
      </c>
      <c r="BT116" s="4">
        <v>1.208556360400353</v>
      </c>
      <c r="BU116" s="4">
        <v>1.208556360400353</v>
      </c>
      <c r="BV116" s="4">
        <v>1.2092040141649951</v>
      </c>
      <c r="BW116" s="4">
        <v>0.0006476537646419426</v>
      </c>
      <c r="BX116" s="4">
        <v>9.952975943416931e-17</v>
      </c>
      <c r="BY116" s="4">
        <v>1.628</v>
      </c>
      <c r="BZ116" s="4">
        <v>1.566</v>
      </c>
      <c r="CA116" s="6"/>
      <c r="CB116" s="6"/>
      <c r="CC116" s="6"/>
      <c r="CD116" s="9">
        <v>39</v>
      </c>
      <c r="CE116" s="7">
        <f>IFERROR(BW116/F116,0)</f>
        <v>0.0005358904109589041</v>
      </c>
      <c r="CF116" t="inlineStr">
        <is>
          <t xml:space="preserve">SI69N</t>
        </is>
      </c>
      <c r="CG116" t="inlineStr">
        <is>
          <t xml:space="preserve">future</t>
        </is>
      </c>
      <c r="CH116" t="inlineStr">
        <is>
          <t xml:space="preserve">lease</t>
        </is>
      </c>
      <c r="CI116" t="inlineStr">
        <is>
          <t xml:space="preserve">long</t>
        </is>
      </c>
      <c r="CJ116" t="inlineStr">
        <is>
          <t xml:space="preserve">regular</t>
        </is>
      </c>
      <c r="CK116" s="4">
        <v>1.567</v>
      </c>
      <c r="CL116" s="4">
        <v>1.57</v>
      </c>
      <c r="CM116" s="4">
        <v>0.7712548566690193</v>
      </c>
      <c r="CN116" s="6">
        <v>1</v>
      </c>
      <c r="CO116" s="4">
        <v>1.208556360400353</v>
      </c>
      <c r="CP116" s="4">
        <v>0</v>
      </c>
      <c r="CQ116" s="4">
        <v>0</v>
      </c>
      <c r="CR116" s="4">
        <v>0.002313764570007147</v>
      </c>
      <c r="CS116" s="4">
        <v>-0.002313764570007147</v>
      </c>
      <c r="CT116" s="4">
        <v>1.628</v>
      </c>
      <c r="CU116" s="4">
        <v>1.566</v>
      </c>
      <c r="CV116" s="6">
        <v>-0.03746928746928746</v>
      </c>
      <c r="CW116" s="6">
        <v>0.0652</v>
      </c>
      <c r="CX116" s="6">
        <v>0.4158741006741005</v>
      </c>
      <c r="CY116" s="9">
        <v>39</v>
      </c>
      <c r="CZ116" s="7">
        <f>IFERROR(CR116/F116,0)</f>
        <v>0.0019144862795150706</v>
      </c>
      <c r="DA116" t="inlineStr">
        <is>
          <t xml:space="preserve">Lease cash / margin / financing</t>
        </is>
      </c>
      <c r="DB116" t="inlineStr">
        <is>
          <t xml:space="preserve">cash</t>
        </is>
      </c>
      <c r="DC116" t="inlineStr">
        <is>
          <t xml:space="preserve">lease</t>
        </is>
      </c>
      <c r="DD116" t="inlineStr">
        <is>
          <t xml:space="preserve">cash</t>
        </is>
      </c>
      <c r="DE116"/>
      <c r="DF116" s="4">
        <v>1</v>
      </c>
      <c r="DG116" s="4">
        <v>1</v>
      </c>
      <c r="DH116" s="4">
        <v>6.661338147750939e-16</v>
      </c>
      <c r="DI116" s="6"/>
      <c r="DJ116" s="4">
        <v>6.661338147750939e-16</v>
      </c>
      <c r="DK116" s="4">
        <v>6.661338147750939e-16</v>
      </c>
      <c r="DL116" s="4">
        <v>0.002313764570007713</v>
      </c>
      <c r="DM116" s="4">
        <v>0</v>
      </c>
      <c r="DN116" s="4">
        <v>0.002313764570007047</v>
      </c>
      <c r="DO116" s="4">
        <v>1.628</v>
      </c>
      <c r="DP116" s="4">
        <v>1.566</v>
      </c>
      <c r="DQ116" s="6"/>
      <c r="DR116" s="6"/>
      <c r="DS116" s="6"/>
      <c r="DT116" s="9"/>
      <c r="DU116" s="7">
        <f>IFERROR(DM116/F116,0)</f>
        <v>0</v>
      </c>
      <c r="DV116" t="inlineStr">
        <is>
          <t xml:space="preserve">Keep cash / margin / financing</t>
        </is>
      </c>
      <c r="DW116" t="inlineStr">
        <is>
          <t xml:space="preserve">cash</t>
        </is>
      </c>
      <c r="DX116" t="inlineStr">
        <is>
          <t xml:space="preserve">keep</t>
        </is>
      </c>
      <c r="DY116" t="inlineStr">
        <is>
          <t xml:space="preserve">cash</t>
        </is>
      </c>
      <c r="DZ116"/>
      <c r="EA116" s="4">
        <v>1</v>
      </c>
      <c r="EB116" s="4">
        <v>1</v>
      </c>
      <c r="EC116" s="4">
        <v>0</v>
      </c>
      <c r="ED116" s="6"/>
      <c r="EE116" s="4">
        <v>0</v>
      </c>
      <c r="EF116" s="4">
        <v>0</v>
      </c>
      <c r="EG116" s="4">
        <v>0</v>
      </c>
      <c r="EH116" s="4">
        <v>0</v>
      </c>
      <c r="EI116" s="4">
        <v>0</v>
      </c>
      <c r="EJ116" s="4">
        <v>1.628</v>
      </c>
      <c r="EK116" s="4">
        <v>1.566</v>
      </c>
      <c r="EL116" s="6"/>
      <c r="EM116" s="6"/>
      <c r="EN116" s="6"/>
      <c r="EO116" s="9"/>
      <c r="EP116" s="7">
        <f>IFERROR(EH116/F116,0)</f>
        <v>0</v>
      </c>
      <c r="EQ116"/>
      <c r="ER116"/>
      <c r="ES116"/>
      <c r="ET116"/>
      <c r="EU116"/>
      <c r="EV116" s="4"/>
      <c r="EW116" s="4"/>
      <c r="EX116" s="4"/>
      <c r="EY116" s="6"/>
      <c r="EZ116" s="4"/>
      <c r="FA116" s="4"/>
      <c r="FB116" s="4"/>
      <c r="FC116" s="4"/>
      <c r="FD116" s="4"/>
      <c r="FE116" s="4"/>
      <c r="FF116" s="4"/>
      <c r="FG116" s="6"/>
      <c r="FH116" s="6"/>
      <c r="FI116" s="6"/>
      <c r="FJ116" s="9"/>
      <c r="FK116"/>
      <c r="FL116"/>
      <c r="FM116"/>
      <c r="FN116"/>
      <c r="FO116"/>
      <c r="FP116"/>
      <c r="FQ116" s="4"/>
      <c r="FR116" s="4"/>
      <c r="FS116" s="4"/>
      <c r="FT116" s="6"/>
      <c r="FU116" s="4"/>
      <c r="FV116" s="4"/>
      <c r="FW116" s="4"/>
      <c r="FX116" s="4"/>
      <c r="FY116" s="4"/>
      <c r="FZ116" s="4"/>
      <c r="GA116" s="4"/>
      <c r="GB116" s="6"/>
      <c r="GC116" s="6"/>
      <c r="GD116" s="6"/>
      <c r="GE116" s="9"/>
      <c r="GF116"/>
      <c r="GG116"/>
      <c r="GH116"/>
      <c r="GI116"/>
      <c r="GJ116"/>
      <c r="GK116"/>
      <c r="GL116" s="4"/>
      <c r="GM116" s="4"/>
      <c r="GN116" s="4"/>
      <c r="GO116" s="6"/>
      <c r="GP116" s="4"/>
      <c r="GQ116" s="4"/>
      <c r="GR116" s="4"/>
      <c r="GS116" s="4"/>
      <c r="GT116" s="4"/>
      <c r="GU116" s="4"/>
      <c r="GV116" s="4"/>
      <c r="GW116" s="6"/>
      <c r="GX116" s="6"/>
      <c r="GY116" s="6"/>
      <c r="GZ116" s="9"/>
      <c r="HA116"/>
      <c r="HB116"/>
      <c r="HC116"/>
      <c r="HD116"/>
      <c r="HE116"/>
      <c r="HF116"/>
      <c r="HG116" s="4"/>
      <c r="HH116" s="4"/>
      <c r="HI116" s="4"/>
      <c r="HJ116" s="6"/>
      <c r="HK116" s="4"/>
      <c r="HL116" s="4"/>
      <c r="HM116" s="4"/>
      <c r="HN116" s="4"/>
      <c r="HO116" s="4"/>
      <c r="HP116" s="4"/>
      <c r="HQ116" s="4"/>
      <c r="HR116" s="6"/>
      <c r="HS116" s="6"/>
      <c r="HT116" s="6"/>
      <c r="HU116" s="9"/>
      <c r="HV116"/>
      <c r="HW116"/>
      <c r="HX116"/>
      <c r="HY116"/>
      <c r="HZ116"/>
      <c r="IA116"/>
      <c r="IB116" s="4"/>
      <c r="IC116" s="4"/>
      <c r="ID116" s="4"/>
      <c r="IE116" s="6"/>
      <c r="IF116" s="4"/>
      <c r="IG116" s="4"/>
      <c r="IH116" s="4"/>
      <c r="II116" s="4"/>
      <c r="IJ116" s="4"/>
      <c r="IK116" s="4"/>
      <c r="IL116" s="4"/>
      <c r="IM116" s="6"/>
      <c r="IN116" s="6"/>
      <c r="IO116" s="6"/>
      <c r="IP116" s="9"/>
      <c r="IQ116"/>
      <c r="IR116"/>
      <c r="IS116"/>
      <c r="IT116"/>
      <c r="IU116"/>
      <c r="IV116"/>
      <c r="IW116" s="4"/>
      <c r="IX116" s="4"/>
      <c r="IY116" s="4"/>
      <c r="IZ116" s="6"/>
      <c r="JA116" s="4"/>
      <c r="JB116" s="4"/>
      <c r="JC116" s="4"/>
      <c r="JD116" s="4"/>
      <c r="JE116" s="4"/>
      <c r="JF116" s="4"/>
      <c r="JG116" s="4"/>
      <c r="JH116" s="6"/>
      <c r="JI116" s="6"/>
      <c r="JJ116" s="6"/>
      <c r="JK116" s="9"/>
      <c r="JL116"/>
    </row>
    <row r="117">
      <c r="A117" s="8">
        <v>25377</v>
      </c>
      <c r="B117" s="8">
        <v>25378</v>
      </c>
      <c r="C117" s="9">
        <f>B117-A117</f>
        <v>1</v>
      </c>
      <c r="D117" s="8">
        <v>25377</v>
      </c>
      <c r="E117" t="inlineStr">
        <is>
          <t xml:space="preserve">positive</t>
        </is>
      </c>
      <c r="F117" s="4">
        <v>1.2115177787350022</v>
      </c>
      <c r="G117" s="6">
        <v>0.009278451803917852</v>
      </c>
      <c r="H117" s="7">
        <f>SUM(CE117,CZ117,DU117,EP117,FK117,GF117,HA117,HV117,IQ117,JL117)</f>
        <v>0.00927845180391785</v>
      </c>
      <c r="I117" s="7">
        <f>G117-H117</f>
        <v>1.734723475976807e-18</v>
      </c>
      <c r="J117" s="5">
        <f>F117*(1+H117)</f>
        <v>1.2227587880545847</v>
      </c>
      <c r="K117" s="4">
        <v>1.2227587880545847</v>
      </c>
      <c r="L117" s="5">
        <f>K117-J117</f>
        <v>0</v>
      </c>
      <c r="M117" s="4">
        <v>1.566</v>
      </c>
      <c r="N117" s="4">
        <v>1.584</v>
      </c>
      <c r="O117" s="5">
        <f>M117/$M$3</f>
        <v>0.7997957099080695</v>
      </c>
      <c r="P117" s="5">
        <f>N117/$M$3</f>
        <v>0.8089887640449439</v>
      </c>
      <c r="Q117" s="7">
        <f>IFERROR(N117/M117-1,0)</f>
        <v>0.011494252873563315</v>
      </c>
      <c r="R117" s="5">
        <f>SUM(IF(BM117="lease",BU117,0),IF(CH117="lease",CP117,0),IF(DC117="lease",DK117,0),IF(DX117="lease",EF117,0),IF(ES117="lease",FA117,0),IF(FN117="lease",FV117,0),IF(GI117="lease",GQ117,0),IF(HD117="lease",HL117,0),IF(HY117="lease",IG117,0),IF(IT117="lease",JB117,0))</f>
        <v>1.2115177787350029</v>
      </c>
      <c r="S117" s="5">
        <f>SUM(IF(BM117="lease",BV117,0),IF(CH117="lease",CQ117,0),IF(DC117="lease",DL117,0),IF(DX117="lease",EG117,0),IF(ES117="lease",FB117,0),IF(FN117="lease",FW117,0),IF(GI117="lease",GR117,0),IF(HD117="lease",HM117,0),IF(HY117="lease",IH117,0),IF(IT117="lease",JC117,0))</f>
        <v>1.2227587880545852</v>
      </c>
      <c r="T117" s="5">
        <f>SUM(IF(BM117="keep",BU117,0),IF(CH117="keep",CP117,0),IF(DC117="keep",DK117,0),IF(DX117="keep",EF117,0),IF(ES117="keep",FA117,0),IF(FN117="keep",FV117,0),IF(GI117="keep",GQ117,0),IF(HD117="keep",HL117,0),IF(HY117="keep",IG117,0),IF(IT117="keep",JB117,0))</f>
        <v>0</v>
      </c>
      <c r="U117" s="5">
        <f>SUM(IF(BM117="keep",BV117,0),IF(CH117="keep",CQ117,0),IF(DC117="keep",DL117,0),IF(DX117="keep",EG117,0),IF(ES117="keep",FB117,0),IF(FN117="keep",FW117,0),IF(GI117="keep",GR117,0),IF(HD117="keep",HM117,0),IF(HY117="keep",IH117,0),IF(IT117="keep",JC117,0))</f>
        <v>0</v>
      </c>
      <c r="V117" s="5">
        <f>R117/O117</f>
        <v>1.5147840426329091</v>
      </c>
      <c r="W117" s="5">
        <f>S117/P117</f>
        <v>1.5114657241230287</v>
      </c>
      <c r="X117" s="5">
        <f>T117/O117</f>
        <v>0</v>
      </c>
      <c r="Y117" s="5">
        <f>U117/P117</f>
        <v>0</v>
      </c>
      <c r="Z117" s="5">
        <f>V117+X117</f>
        <v>1.5147840426329091</v>
      </c>
      <c r="AA117" s="7">
        <f>IFERROR(W117/V117-1,0)</f>
        <v>-0.002190621512035973</v>
      </c>
      <c r="AB117" s="7">
        <f>IFERROR((W117-V117)/Z117,0)</f>
        <v>-0.0021906215120359304</v>
      </c>
      <c r="AC117" s="7">
        <f>IFERROR(Y117/X117-1,0)</f>
        <v>0</v>
      </c>
      <c r="AD117" s="7">
        <f>IFERROR((Y117-X117)/Z117,0)</f>
        <v>0</v>
      </c>
      <c r="AE117" s="7">
        <f>AB117+AD117</f>
        <v>-0.0021906215120359304</v>
      </c>
      <c r="AF117" s="7">
        <f>(1+Q117)*(1+AE117)-1</f>
        <v>0.009278451803917731</v>
      </c>
      <c r="AG117" s="7">
        <f>G117-AF117</f>
        <v>1.214306433183765e-16</v>
      </c>
      <c r="AH117" s="5">
        <f>SUM(IF(BM117="lease",BW117,0),IF(CH117="lease",CR117,0),IF(DC117="lease",DM117,0),IF(DX117="lease",EH117,0),IF(ES117="lease",FC117,0),IF(FN117="lease",FX117,0),IF(GI117="lease",GS117,0),IF(HD117="lease",HN117,0),IF(HY117="lease",II117,0),IF(IT117="lease",JD117,0))</f>
        <v>0.011241009319582329</v>
      </c>
      <c r="AI117" s="5">
        <f>SUM(IF(BM117="keep",BW117,0),IF(CH117="keep",CR117,0),IF(DC117="keep",DM117,0),IF(DX117="keep",EH117,0),IF(ES117="keep",FC117,0),IF(FN117="keep",FX117,0),IF(GI117="keep",GS117,0),IF(HD117="keep",HN117,0),IF(HY117="keep",II117,0),IF(IT117="keep",JD117,0))</f>
        <v>0</v>
      </c>
      <c r="AJ117" s="5">
        <f>SUM(IF(BM117="lease",BX117,0),IF(CH117="lease",CS117,0),IF(DC117="lease",DN117,0),IF(DX117="lease",EI117,0),IF(ES117="lease",FD117,0),IF(FN117="lease",FY117,0),IF(GI117="lease",GT117,0),IF(HD117="lease",HO117,0),IF(HY117="lease",IJ117,0),IF(IT117="lease",JE117,0))</f>
        <v>0</v>
      </c>
      <c r="AK117" s="5">
        <f>SUM(IF(BM117="keep",BX117,0),IF(CH117="keep",CS117,0),IF(DC117="keep",DN117,0),IF(DX117="keep",EI117,0),IF(ES117="keep",FD117,0),IF(FN117="keep",FY117,0),IF(GI117="keep",GT117,0),IF(HD117="keep",HO117,0),IF(HY117="keep",IJ117,0),IF(IT117="keep",JE117,0))</f>
        <v>0</v>
      </c>
      <c r="AL117" s="5">
        <f>R117-S116</f>
        <v>0</v>
      </c>
      <c r="AM117" s="5">
        <f>T117-U116</f>
        <v>0</v>
      </c>
      <c r="AN117" s="5">
        <f>AN116</f>
        <v>1</v>
      </c>
      <c r="AO117" s="5">
        <f>AO116+AH117</f>
        <v>0.2227587880545853</v>
      </c>
      <c r="AP117" s="5">
        <f>AP116+AL117</f>
        <v>-4.440892098500626e-16</v>
      </c>
      <c r="AQ117" s="5">
        <f>AN117+AO117+AP117</f>
        <v>1.222758788054585</v>
      </c>
      <c r="AR117" s="5">
        <f>S117-AQ117</f>
        <v>2.220446049250313e-16</v>
      </c>
      <c r="AS117" s="5">
        <f>AS116</f>
        <v>0</v>
      </c>
      <c r="AT117" s="5">
        <f>AT116+AI117</f>
        <v>0</v>
      </c>
      <c r="AU117" s="5">
        <f>AU116+AM117</f>
        <v>0</v>
      </c>
      <c r="AV117" s="5">
        <f>AS117+AT117+AU117</f>
        <v>0</v>
      </c>
      <c r="AW117" s="5">
        <f>U117-AV117</f>
        <v>0</v>
      </c>
      <c r="AX117" s="4">
        <v>1.2115177787350029</v>
      </c>
      <c r="AY117" s="4">
        <v>1.2227587880545852</v>
      </c>
      <c r="AZ117" s="5">
        <f>S117-AY117</f>
        <v>0</v>
      </c>
      <c r="BA117" s="4">
        <v>0</v>
      </c>
      <c r="BB117" s="4">
        <v>0</v>
      </c>
      <c r="BC117" s="5">
        <f>U117-BB117</f>
        <v>0</v>
      </c>
      <c r="BD117" s="7">
        <f>SUM(IF(BL117="direct",CE117,0),IF(CG117="direct",CZ117,0),IF(DB117="direct",DU117,0),IF(DW117="direct",EP117,0),IF(ER117="direct",FK117,0),IF(FM117="direct",GF117,0),IF(GH117="direct",HA117,0),IF(HC117="direct",HV117,0),IF(HX117="direct",IQ117,0),IF(IS117="direct",JL117,0))</f>
        <v>0.008592389855433247</v>
      </c>
      <c r="BE117" s="7">
        <f>SUM(IF(BL117="treasury",CE117,0),IF(CG117="treasury",CZ117,0),IF(DB117="treasury",DU117,0),IF(DW117="treasury",EP117,0),IF(ER117="treasury",FK117,0),IF(FM117="treasury",GF117,0),IF(GH117="treasury",HA117,0),IF(HC117="treasury",HV117,0),IF(HX117="treasury",IQ117,0),IF(IS117="treasury",JL117,0))</f>
        <v>0.000043982034338261286</v>
      </c>
      <c r="BF117" s="7">
        <f>SUM(IF(BL117="future",CE117,0),IF(CG117="future",CZ117,0),IF(DB117="future",DU117,0),IF(DW117="future",EP117,0),IF(ER117="future",FK117,0),IF(FM117="future",GF117,0),IF(GH117="future",HA117,0),IF(HC117="future",HV117,0),IF(HX117="future",IQ117,0),IF(IS117="future",JL117,0))</f>
        <v>0.0006420799141463415</v>
      </c>
      <c r="BG117" s="7">
        <f>SUM(IF(BL117="cash",CE117,0),IF(CG117="cash",CZ117,0),IF(DB117="cash",DU117,0),IF(DW117="cash",EP117,0),IF(ER117="cash",FK117,0),IF(FM117="cash",GF117,0),IF(GH117="cash",HA117,0),IF(HC117="cash",HV117,0),IF(HX117="cash",IQ117,0),IF(IS117="cash",JL117,0))</f>
        <v>0</v>
      </c>
      <c r="BH117" s="7">
        <f>SUM(BD117:BG117)</f>
        <v>0.00927845180391785</v>
      </c>
      <c r="BI117" s="7">
        <f>G117-BH117</f>
        <v>1.734723475976807e-18</v>
      </c>
      <c r="BJ117" s="9">
        <f>COUNTA(BK117,CF117,DA117,DV117,EQ117,FL117,GG117,HB117,HW117,IR117)</f>
        <v>5</v>
      </c>
      <c r="BK117" t="inlineStr">
        <is>
          <t xml:space="preserve">Direct commodity holding</t>
        </is>
      </c>
      <c r="BL117" t="inlineStr">
        <is>
          <t xml:space="preserve">direct</t>
        </is>
      </c>
      <c r="BM117" t="inlineStr">
        <is>
          <t xml:space="preserve">lease</t>
        </is>
      </c>
      <c r="BN117" t="inlineStr">
        <is>
          <t xml:space="preserve">long</t>
        </is>
      </c>
      <c r="BO117"/>
      <c r="BP117" s="4">
        <v>1.566</v>
      </c>
      <c r="BQ117" s="4">
        <v>1.584</v>
      </c>
      <c r="BR117" s="4">
        <v>0.5786688827761204</v>
      </c>
      <c r="BS117" s="6">
        <v>0.7479836336975609</v>
      </c>
      <c r="BT117" s="4">
        <v>0.9061954704274046</v>
      </c>
      <c r="BU117" s="4">
        <v>0.9061954704274046</v>
      </c>
      <c r="BV117" s="4">
        <v>0.9166115103173748</v>
      </c>
      <c r="BW117" s="4">
        <v>0.010409833071679656</v>
      </c>
      <c r="BX117" s="4">
        <v>0.0000062068182905411495</v>
      </c>
      <c r="BY117" s="4">
        <v>1.566</v>
      </c>
      <c r="BZ117" s="4">
        <v>1.584</v>
      </c>
      <c r="CA117" s="6"/>
      <c r="CB117" s="6"/>
      <c r="CC117" s="6"/>
      <c r="CD117" s="9"/>
      <c r="CE117" s="7">
        <f>IFERROR(BW117/F117,0)</f>
        <v>0.008592389855433247</v>
      </c>
      <c r="CF117" t="inlineStr">
        <is>
          <t xml:space="preserve">Treasury collateral</t>
        </is>
      </c>
      <c r="CG117" t="inlineStr">
        <is>
          <t xml:space="preserve">treasury</t>
        </is>
      </c>
      <c r="CH117" t="inlineStr">
        <is>
          <t xml:space="preserve">lease</t>
        </is>
      </c>
      <c r="CI117" t="inlineStr">
        <is>
          <t xml:space="preserve">long</t>
        </is>
      </c>
      <c r="CJ117"/>
      <c r="CK117" s="4">
        <v>102.93332365167277</v>
      </c>
      <c r="CL117" s="4">
        <v>102.95128763171829</v>
      </c>
      <c r="CM117" s="4">
        <v>0.0029662144141076306</v>
      </c>
      <c r="CN117" s="6">
        <v>0.25201636630243907</v>
      </c>
      <c r="CO117" s="4">
        <v>0.30532230830759766</v>
      </c>
      <c r="CP117" s="4">
        <v>0.30532230830759766</v>
      </c>
      <c r="CQ117" s="4">
        <v>0.30537559332414344</v>
      </c>
      <c r="CR117" s="4">
        <v>0.00005328501654573691</v>
      </c>
      <c r="CS117" s="4">
        <v>4.186375638509654e-17</v>
      </c>
      <c r="CT117" s="4">
        <v>1.566</v>
      </c>
      <c r="CU117" s="4">
        <v>1.584</v>
      </c>
      <c r="CV117" s="6"/>
      <c r="CW117" s="6"/>
      <c r="CX117" s="6"/>
      <c r="CY117" s="9">
        <v>36</v>
      </c>
      <c r="CZ117" s="7">
        <f>IFERROR(CR117/F117,0)</f>
        <v>0.000043982034338261286</v>
      </c>
      <c r="DA117" t="inlineStr">
        <is>
          <t xml:space="preserve">SI69N</t>
        </is>
      </c>
      <c r="DB117" t="inlineStr">
        <is>
          <t xml:space="preserve">future</t>
        </is>
      </c>
      <c r="DC117" t="inlineStr">
        <is>
          <t xml:space="preserve">lease</t>
        </is>
      </c>
      <c r="DD117" t="inlineStr">
        <is>
          <t xml:space="preserve">long</t>
        </is>
      </c>
      <c r="DE117" t="inlineStr">
        <is>
          <t xml:space="preserve">regular</t>
        </is>
      </c>
      <c r="DF117" s="4">
        <v>1.57</v>
      </c>
      <c r="DG117" s="4">
        <v>1.574</v>
      </c>
      <c r="DH117" s="4">
        <v>0.19447280783923418</v>
      </c>
      <c r="DI117" s="6">
        <v>0.25201636630243907</v>
      </c>
      <c r="DJ117" s="4">
        <v>0.30532230830759766</v>
      </c>
      <c r="DK117" s="4">
        <v>0</v>
      </c>
      <c r="DL117" s="4">
        <v>0</v>
      </c>
      <c r="DM117" s="4">
        <v>0.0007778912313569365</v>
      </c>
      <c r="DN117" s="4">
        <v>-0.0007778912313569365</v>
      </c>
      <c r="DO117" s="4">
        <v>1.566</v>
      </c>
      <c r="DP117" s="4">
        <v>1.584</v>
      </c>
      <c r="DQ117" s="6">
        <v>0.0025542784163474774</v>
      </c>
      <c r="DR117" s="6">
        <v>0.0637</v>
      </c>
      <c r="DS117" s="6">
        <v>0.03780245494536586</v>
      </c>
      <c r="DT117" s="9">
        <v>36</v>
      </c>
      <c r="DU117" s="7">
        <f>IFERROR(DM117/F117,0)</f>
        <v>0.0006420799141463415</v>
      </c>
      <c r="DV117" t="inlineStr">
        <is>
          <t xml:space="preserve">Lease cash / margin / financing</t>
        </is>
      </c>
      <c r="DW117" t="inlineStr">
        <is>
          <t xml:space="preserve">cash</t>
        </is>
      </c>
      <c r="DX117" t="inlineStr">
        <is>
          <t xml:space="preserve">lease</t>
        </is>
      </c>
      <c r="DY117" t="inlineStr">
        <is>
          <t xml:space="preserve">cash</t>
        </is>
      </c>
      <c r="DZ117"/>
      <c r="EA117" s="4">
        <v>1</v>
      </c>
      <c r="EB117" s="4">
        <v>1</v>
      </c>
      <c r="EC117" s="4">
        <v>6.661338147750939e-16</v>
      </c>
      <c r="ED117" s="6"/>
      <c r="EE117" s="4">
        <v>6.661338147750939e-16</v>
      </c>
      <c r="EF117" s="4">
        <v>6.661338147750939e-16</v>
      </c>
      <c r="EG117" s="4">
        <v>0.0007716844130670196</v>
      </c>
      <c r="EH117" s="4">
        <v>0</v>
      </c>
      <c r="EI117" s="4">
        <v>0.0007716844130663535</v>
      </c>
      <c r="EJ117" s="4">
        <v>1.566</v>
      </c>
      <c r="EK117" s="4">
        <v>1.584</v>
      </c>
      <c r="EL117" s="6"/>
      <c r="EM117" s="6"/>
      <c r="EN117" s="6"/>
      <c r="EO117" s="9"/>
      <c r="EP117" s="7">
        <f>IFERROR(EH117/F117,0)</f>
        <v>0</v>
      </c>
      <c r="EQ117" t="inlineStr">
        <is>
          <t xml:space="preserve">Keep cash / margin / financing</t>
        </is>
      </c>
      <c r="ER117" t="inlineStr">
        <is>
          <t xml:space="preserve">cash</t>
        </is>
      </c>
      <c r="ES117" t="inlineStr">
        <is>
          <t xml:space="preserve">keep</t>
        </is>
      </c>
      <c r="ET117" t="inlineStr">
        <is>
          <t xml:space="preserve">cash</t>
        </is>
      </c>
      <c r="EU117"/>
      <c r="EV117" s="4">
        <v>1</v>
      </c>
      <c r="EW117" s="4">
        <v>1</v>
      </c>
      <c r="EX117" s="4">
        <v>0</v>
      </c>
      <c r="EY117" s="6"/>
      <c r="EZ117" s="4">
        <v>0</v>
      </c>
      <c r="FA117" s="4">
        <v>0</v>
      </c>
      <c r="FB117" s="4">
        <v>0</v>
      </c>
      <c r="FC117" s="4">
        <v>0</v>
      </c>
      <c r="FD117" s="4">
        <v>0</v>
      </c>
      <c r="FE117" s="4">
        <v>1.566</v>
      </c>
      <c r="FF117" s="4">
        <v>1.584</v>
      </c>
      <c r="FG117" s="6"/>
      <c r="FH117" s="6"/>
      <c r="FI117" s="6"/>
      <c r="FJ117" s="9"/>
      <c r="FK117" s="7">
        <f>IFERROR(FC117/F117,0)</f>
        <v>0</v>
      </c>
      <c r="FL117"/>
      <c r="FM117"/>
      <c r="FN117"/>
      <c r="FO117"/>
      <c r="FP117"/>
      <c r="FQ117" s="4"/>
      <c r="FR117" s="4"/>
      <c r="FS117" s="4"/>
      <c r="FT117" s="6"/>
      <c r="FU117" s="4"/>
      <c r="FV117" s="4"/>
      <c r="FW117" s="4"/>
      <c r="FX117" s="4"/>
      <c r="FY117" s="4"/>
      <c r="FZ117" s="4"/>
      <c r="GA117" s="4"/>
      <c r="GB117" s="6"/>
      <c r="GC117" s="6"/>
      <c r="GD117" s="6"/>
      <c r="GE117" s="9"/>
      <c r="GF117"/>
      <c r="GG117"/>
      <c r="GH117"/>
      <c r="GI117"/>
      <c r="GJ117"/>
      <c r="GK117"/>
      <c r="GL117" s="4"/>
      <c r="GM117" s="4"/>
      <c r="GN117" s="4"/>
      <c r="GO117" s="6"/>
      <c r="GP117" s="4"/>
      <c r="GQ117" s="4"/>
      <c r="GR117" s="4"/>
      <c r="GS117" s="4"/>
      <c r="GT117" s="4"/>
      <c r="GU117" s="4"/>
      <c r="GV117" s="4"/>
      <c r="GW117" s="6"/>
      <c r="GX117" s="6"/>
      <c r="GY117" s="6"/>
      <c r="GZ117" s="9"/>
      <c r="HA117"/>
      <c r="HB117"/>
      <c r="HC117"/>
      <c r="HD117"/>
      <c r="HE117"/>
      <c r="HF117"/>
      <c r="HG117" s="4"/>
      <c r="HH117" s="4"/>
      <c r="HI117" s="4"/>
      <c r="HJ117" s="6"/>
      <c r="HK117" s="4"/>
      <c r="HL117" s="4"/>
      <c r="HM117" s="4"/>
      <c r="HN117" s="4"/>
      <c r="HO117" s="4"/>
      <c r="HP117" s="4"/>
      <c r="HQ117" s="4"/>
      <c r="HR117" s="6"/>
      <c r="HS117" s="6"/>
      <c r="HT117" s="6"/>
      <c r="HU117" s="9"/>
      <c r="HV117"/>
      <c r="HW117"/>
      <c r="HX117"/>
      <c r="HY117"/>
      <c r="HZ117"/>
      <c r="IA117"/>
      <c r="IB117" s="4"/>
      <c r="IC117" s="4"/>
      <c r="ID117" s="4"/>
      <c r="IE117" s="6"/>
      <c r="IF117" s="4"/>
      <c r="IG117" s="4"/>
      <c r="IH117" s="4"/>
      <c r="II117" s="4"/>
      <c r="IJ117" s="4"/>
      <c r="IK117" s="4"/>
      <c r="IL117" s="4"/>
      <c r="IM117" s="6"/>
      <c r="IN117" s="6"/>
      <c r="IO117" s="6"/>
      <c r="IP117" s="9"/>
      <c r="IQ117"/>
      <c r="IR117"/>
      <c r="IS117"/>
      <c r="IT117"/>
      <c r="IU117"/>
      <c r="IV117"/>
      <c r="IW117" s="4"/>
      <c r="IX117" s="4"/>
      <c r="IY117" s="4"/>
      <c r="IZ117" s="6"/>
      <c r="JA117" s="4"/>
      <c r="JB117" s="4"/>
      <c r="JC117" s="4"/>
      <c r="JD117" s="4"/>
      <c r="JE117" s="4"/>
      <c r="JF117" s="4"/>
      <c r="JG117" s="4"/>
      <c r="JH117" s="6"/>
      <c r="JI117" s="6"/>
      <c r="JJ117" s="6"/>
      <c r="JK117" s="9"/>
      <c r="JL117"/>
    </row>
    <row r="118">
      <c r="A118" s="8">
        <v>25378</v>
      </c>
      <c r="B118" s="8">
        <v>25379</v>
      </c>
      <c r="C118" s="9">
        <f>B118-A118</f>
        <v>1</v>
      </c>
      <c r="D118" s="8">
        <v>25378</v>
      </c>
      <c r="E118" t="inlineStr">
        <is>
          <t xml:space="preserve">positive</t>
        </is>
      </c>
      <c r="F118" s="4">
        <v>1.2227587880545847</v>
      </c>
      <c r="G118" s="6">
        <v>-0.005699334723535363</v>
      </c>
      <c r="H118" s="7">
        <f>SUM(CE118,CZ118,DU118,EP118,FK118,GF118,HA118,HV118,IQ118,JL118)</f>
        <v>-0.005699334723535363</v>
      </c>
      <c r="I118" s="7">
        <f>G118-H118</f>
        <v>0</v>
      </c>
      <c r="J118" s="5">
        <f>F118*(1+H118)</f>
        <v>1.2157898764353172</v>
      </c>
      <c r="K118" s="4">
        <v>1.2157898764353172</v>
      </c>
      <c r="L118" s="5">
        <f>K118-J118</f>
        <v>0</v>
      </c>
      <c r="M118" s="4">
        <v>1.584</v>
      </c>
      <c r="N118" s="4">
        <v>1.587</v>
      </c>
      <c r="O118" s="5">
        <f>M118/$M$3</f>
        <v>0.8089887640449439</v>
      </c>
      <c r="P118" s="5">
        <f>N118/$M$3</f>
        <v>0.8105209397344229</v>
      </c>
      <c r="Q118" s="7">
        <f>IFERROR(N118/M118-1,0)</f>
        <v>0.0018939393939392257</v>
      </c>
      <c r="R118" s="5">
        <f>SUM(IF(BM118="lease",BU118,0),IF(CH118="lease",CP118,0),IF(DC118="lease",DK118,0),IF(DX118="lease",EF118,0),IF(ES118="lease",FA118,0),IF(FN118="lease",FV118,0),IF(GI118="lease",GQ118,0),IF(HD118="lease",HL118,0),IF(HY118="lease",IG118,0),IF(IT118="lease",JB118,0))</f>
        <v>1.2227587880545852</v>
      </c>
      <c r="S118" s="5">
        <f>SUM(IF(BM118="lease",BV118,0),IF(CH118="lease",CQ118,0),IF(DC118="lease",DL118,0),IF(DX118="lease",EG118,0),IF(ES118="lease",FB118,0),IF(FN118="lease",FW118,0),IF(GI118="lease",GR118,0),IF(HD118="lease",HM118,0),IF(HY118="lease",IH118,0),IF(IT118="lease",JC118,0))</f>
        <v>1.2157898764353177</v>
      </c>
      <c r="T118" s="5">
        <f>SUM(IF(BM118="keep",BU118,0),IF(CH118="keep",CP118,0),IF(DC118="keep",DK118,0),IF(DX118="keep",EF118,0),IF(ES118="keep",FA118,0),IF(FN118="keep",FV118,0),IF(GI118="keep",GQ118,0),IF(HD118="keep",HL118,0),IF(HY118="keep",IG118,0),IF(IT118="keep",JB118,0))</f>
        <v>0</v>
      </c>
      <c r="U118" s="5">
        <f>SUM(IF(BM118="keep",BV118,0),IF(CH118="keep",CQ118,0),IF(DC118="keep",DL118,0),IF(DX118="keep",EG118,0),IF(ES118="keep",FB118,0),IF(FN118="keep",FW118,0),IF(GI118="keep",GR118,0),IF(HD118="keep",HM118,0),IF(HY118="keep",IH118,0),IF(IT118="keep",JC118,0))</f>
        <v>0</v>
      </c>
      <c r="V118" s="5">
        <f>R118/O118</f>
        <v>1.5114657241230287</v>
      </c>
      <c r="W118" s="5">
        <f>S118/P118</f>
        <v>1.5000104461627928</v>
      </c>
      <c r="X118" s="5">
        <f>T118/O118</f>
        <v>0</v>
      </c>
      <c r="Y118" s="5">
        <f>U118/P118</f>
        <v>0</v>
      </c>
      <c r="Z118" s="5">
        <f>V118+X118</f>
        <v>1.5114657241230287</v>
      </c>
      <c r="AA118" s="7">
        <f>IFERROR(W118/V118-1,0)</f>
        <v>-0.007578920102129572</v>
      </c>
      <c r="AB118" s="7">
        <f>IFERROR((W118-V118)/Z118,0)</f>
        <v>-0.007578920102129625</v>
      </c>
      <c r="AC118" s="7">
        <f>IFERROR(Y118/X118-1,0)</f>
        <v>0</v>
      </c>
      <c r="AD118" s="7">
        <f>IFERROR((Y118-X118)/Z118,0)</f>
        <v>0</v>
      </c>
      <c r="AE118" s="7">
        <f>AB118+AD118</f>
        <v>-0.007578920102129625</v>
      </c>
      <c r="AF118" s="7">
        <f>(1+Q118)*(1+AE118)-1</f>
        <v>-0.005699334723535232</v>
      </c>
      <c r="AG118" s="7">
        <f>G118-AF118</f>
        <v>-1.3097162243624894e-16</v>
      </c>
      <c r="AH118" s="5">
        <f>SUM(IF(BM118="lease",BW118,0),IF(CH118="lease",CR118,0),IF(DC118="lease",DM118,0),IF(DX118="lease",EH118,0),IF(ES118="lease",FC118,0),IF(FN118="lease",FX118,0),IF(GI118="lease",GS118,0),IF(HD118="lease",HN118,0),IF(HY118="lease",II118,0),IF(IT118="lease",JD118,0))</f>
        <v>-0.006968911619267512</v>
      </c>
      <c r="AI118" s="5">
        <f>SUM(IF(BM118="keep",BW118,0),IF(CH118="keep",CR118,0),IF(DC118="keep",DM118,0),IF(DX118="keep",EH118,0),IF(ES118="keep",FC118,0),IF(FN118="keep",FX118,0),IF(GI118="keep",GS118,0),IF(HD118="keep",HN118,0),IF(HY118="keep",II118,0),IF(IT118="keep",JD118,0))</f>
        <v>0</v>
      </c>
      <c r="AJ118" s="5">
        <f>SUM(IF(BM118="lease",BX118,0),IF(CH118="lease",CS118,0),IF(DC118="lease",DN118,0),IF(DX118="lease",EI118,0),IF(ES118="lease",FD118,0),IF(FN118="lease",FY118,0),IF(GI118="lease",GT118,0),IF(HD118="lease",HO118,0),IF(HY118="lease",IJ118,0),IF(IT118="lease",JE118,0))</f>
        <v>0</v>
      </c>
      <c r="AK118" s="5">
        <f>SUM(IF(BM118="keep",BX118,0),IF(CH118="keep",CS118,0),IF(DC118="keep",DN118,0),IF(DX118="keep",EI118,0),IF(ES118="keep",FD118,0),IF(FN118="keep",FY118,0),IF(GI118="keep",GT118,0),IF(HD118="keep",HO118,0),IF(HY118="keep",IJ118,0),IF(IT118="keep",JE118,0))</f>
        <v>0</v>
      </c>
      <c r="AL118" s="5">
        <f>R118-S117</f>
        <v>0</v>
      </c>
      <c r="AM118" s="5">
        <f>T118-U117</f>
        <v>0</v>
      </c>
      <c r="AN118" s="5">
        <f>AN117</f>
        <v>1</v>
      </c>
      <c r="AO118" s="5">
        <f>AO117+AH118</f>
        <v>0.21578987643531777</v>
      </c>
      <c r="AP118" s="5">
        <f>AP117+AL118</f>
        <v>-4.440892098500626e-16</v>
      </c>
      <c r="AQ118" s="5">
        <f>AN118+AO118+AP118</f>
        <v>1.2157898764353172</v>
      </c>
      <c r="AR118" s="5">
        <f>S118-AQ118</f>
        <v>4.440892098500626e-16</v>
      </c>
      <c r="AS118" s="5">
        <f>AS117</f>
        <v>0</v>
      </c>
      <c r="AT118" s="5">
        <f>AT117+AI118</f>
        <v>0</v>
      </c>
      <c r="AU118" s="5">
        <f>AU117+AM118</f>
        <v>0</v>
      </c>
      <c r="AV118" s="5">
        <f>AS118+AT118+AU118</f>
        <v>0</v>
      </c>
      <c r="AW118" s="5">
        <f>U118-AV118</f>
        <v>0</v>
      </c>
      <c r="AX118" s="4">
        <v>1.2227587880545852</v>
      </c>
      <c r="AY118" s="4">
        <v>1.2157898764353177</v>
      </c>
      <c r="AZ118" s="5">
        <f>S118-AY118</f>
        <v>0</v>
      </c>
      <c r="BA118" s="4">
        <v>0</v>
      </c>
      <c r="BB118" s="4">
        <v>0</v>
      </c>
      <c r="BC118" s="5">
        <f>U118-BB118</f>
        <v>0</v>
      </c>
      <c r="BD118" s="7">
        <f>SUM(IF(BL118="direct",CE118,0),IF(CG118="direct",CZ118,0),IF(DB118="direct",DU118,0),IF(DW118="direct",EP118,0),IF(ER118="direct",FK118,0),IF(FM118="direct",GF118,0),IF(GH118="direct",HA118,0),IF(HC118="direct",HV118,0),IF(HX118="direct",IQ118,0),IF(IS118="direct",JL118,0))</f>
        <v>0.00024108279218281738</v>
      </c>
      <c r="BE118" s="7">
        <f>SUM(IF(BL118="treasury",CE118,0),IF(CG118="treasury",CZ118,0),IF(DB118="treasury",DU118,0),IF(DW118="treasury",EP118,0),IF(ER118="treasury",FK118,0),IF(FM118="treasury",GF118,0),IF(GH118="treasury",HA118,0),IF(HC118="treasury",HV118,0),IF(HX118="treasury",IQ118,0),IF(IS118="treasury",JL118,0))</f>
        <v>0.00015533152793426717</v>
      </c>
      <c r="BF118" s="7">
        <f>SUM(IF(BL118="future",CE118,0),IF(CG118="future",CZ118,0),IF(DB118="future",DU118,0),IF(DW118="future",EP118,0),IF(ER118="future",FK118,0),IF(FM118="future",GF118,0),IF(GH118="future",HA118,0),IF(HC118="future",HV118,0),IF(HX118="future",IQ118,0),IF(IS118="future",JL118,0))</f>
        <v>-0.006095749043652447</v>
      </c>
      <c r="BG118" s="7">
        <f>SUM(IF(BL118="cash",CE118,0),IF(CG118="cash",CZ118,0),IF(DB118="cash",DU118,0),IF(DW118="cash",EP118,0),IF(ER118="cash",FK118,0),IF(FM118="cash",GF118,0),IF(GH118="cash",HA118,0),IF(HC118="cash",HV118,0),IF(HX118="cash",IQ118,0),IF(IS118="cash",JL118,0))</f>
        <v>0</v>
      </c>
      <c r="BH118" s="7">
        <f>SUM(BD118:BG118)</f>
        <v>-0.005699334723535363</v>
      </c>
      <c r="BI118" s="7">
        <f>G118-BH118</f>
        <v>0</v>
      </c>
      <c r="BJ118" s="9">
        <f>COUNTA(BK118,CF118,DA118,DV118,EQ118,FL118,GG118,HB118,HW118,IR118)</f>
        <v>5</v>
      </c>
      <c r="BK118" t="inlineStr">
        <is>
          <t xml:space="preserve">Direct commodity holding</t>
        </is>
      </c>
      <c r="BL118" t="inlineStr">
        <is>
          <t xml:space="preserve">direct</t>
        </is>
      </c>
      <c r="BM118" t="inlineStr">
        <is>
          <t xml:space="preserve">lease</t>
        </is>
      </c>
      <c r="BN118" t="inlineStr">
        <is>
          <t xml:space="preserve">long</t>
        </is>
      </c>
      <c r="BO118"/>
      <c r="BP118" s="4">
        <v>1.584</v>
      </c>
      <c r="BQ118" s="4">
        <v>1.587</v>
      </c>
      <c r="BR118" s="4">
        <v>0.09861868265000434</v>
      </c>
      <c r="BS118" s="6">
        <v>0.1277537277537305</v>
      </c>
      <c r="BT118" s="4">
        <v>0.15621199331760688</v>
      </c>
      <c r="BU118" s="4">
        <v>0.15621199331760688</v>
      </c>
      <c r="BV118" s="4">
        <v>0.1565078493655569</v>
      </c>
      <c r="BW118" s="4">
        <v>0.0002947861027902771</v>
      </c>
      <c r="BX118" s="4">
        <v>0.0000010699451597389665</v>
      </c>
      <c r="BY118" s="4">
        <v>1.584</v>
      </c>
      <c r="BZ118" s="4">
        <v>1.587</v>
      </c>
      <c r="CA118" s="6"/>
      <c r="CB118" s="6"/>
      <c r="CC118" s="6"/>
      <c r="CD118" s="9"/>
      <c r="CE118" s="7">
        <f>IFERROR(BW118/F118,0)</f>
        <v>0.00024108279218281738</v>
      </c>
      <c r="CF118" t="inlineStr">
        <is>
          <t xml:space="preserve">Treasury collateral</t>
        </is>
      </c>
      <c r="CG118" t="inlineStr">
        <is>
          <t xml:space="preserve">treasury</t>
        </is>
      </c>
      <c r="CH118" t="inlineStr">
        <is>
          <t xml:space="preserve">lease</t>
        </is>
      </c>
      <c r="CI118" t="inlineStr">
        <is>
          <t xml:space="preserve">long</t>
        </is>
      </c>
      <c r="CJ118"/>
      <c r="CK118" s="4">
        <v>102.95128763171829</v>
      </c>
      <c r="CL118" s="4">
        <v>102.96962142266639</v>
      </c>
      <c r="CM118" s="4">
        <v>0.010359722731708555</v>
      </c>
      <c r="CN118" s="6">
        <v>0.8722462722462694</v>
      </c>
      <c r="CO118" s="4">
        <v>1.0665467947369778</v>
      </c>
      <c r="CP118" s="4">
        <v>1.0665467947369778</v>
      </c>
      <c r="CQ118" s="4">
        <v>1.0667367277278212</v>
      </c>
      <c r="CR118" s="4">
        <v>0.00018993299084357139</v>
      </c>
      <c r="CS118" s="4">
        <v>-1.04788139970724e-16</v>
      </c>
      <c r="CT118" s="4">
        <v>1.584</v>
      </c>
      <c r="CU118" s="4">
        <v>1.587</v>
      </c>
      <c r="CV118" s="6"/>
      <c r="CW118" s="6"/>
      <c r="CX118" s="6"/>
      <c r="CY118" s="9">
        <v>35</v>
      </c>
      <c r="CZ118" s="7">
        <f>IFERROR(CR118/F118,0)</f>
        <v>0.00015533152793426717</v>
      </c>
      <c r="DA118" t="inlineStr">
        <is>
          <t xml:space="preserve">SI69N</t>
        </is>
      </c>
      <c r="DB118" t="inlineStr">
        <is>
          <t xml:space="preserve">future</t>
        </is>
      </c>
      <c r="DC118" t="inlineStr">
        <is>
          <t xml:space="preserve">lease</t>
        </is>
      </c>
      <c r="DD118" t="inlineStr">
        <is>
          <t xml:space="preserve">long</t>
        </is>
      </c>
      <c r="DE118" t="inlineStr">
        <is>
          <t xml:space="preserve">regular</t>
        </is>
      </c>
      <c r="DF118" s="4">
        <v>1.574</v>
      </c>
      <c r="DG118" s="4">
        <v>1.5630000000000002</v>
      </c>
      <c r="DH118" s="4">
        <v>0.6776027920819426</v>
      </c>
      <c r="DI118" s="6">
        <v>0.8722462722462694</v>
      </c>
      <c r="DJ118" s="4">
        <v>1.0665467947369778</v>
      </c>
      <c r="DK118" s="4">
        <v>0</v>
      </c>
      <c r="DL118" s="4">
        <v>0</v>
      </c>
      <c r="DM118" s="4">
        <v>-0.0074536307129013605</v>
      </c>
      <c r="DN118" s="4">
        <v>0.0074536307129013605</v>
      </c>
      <c r="DO118" s="4">
        <v>1.584</v>
      </c>
      <c r="DP118" s="4">
        <v>1.587</v>
      </c>
      <c r="DQ118" s="6">
        <v>-0.0063131313131312705</v>
      </c>
      <c r="DR118" s="6">
        <v>0.065</v>
      </c>
      <c r="DS118" s="6">
        <v>0.13083694083694042</v>
      </c>
      <c r="DT118" s="9">
        <v>35</v>
      </c>
      <c r="DU118" s="7">
        <f>IFERROR(DM118/F118,0)</f>
        <v>-0.006095749043652447</v>
      </c>
      <c r="DV118" t="inlineStr">
        <is>
          <t xml:space="preserve">Lease cash / margin / financing</t>
        </is>
      </c>
      <c r="DW118" t="inlineStr">
        <is>
          <t xml:space="preserve">cash</t>
        </is>
      </c>
      <c r="DX118" t="inlineStr">
        <is>
          <t xml:space="preserve">lease</t>
        </is>
      </c>
      <c r="DY118" t="inlineStr">
        <is>
          <t xml:space="preserve">cash</t>
        </is>
      </c>
      <c r="DZ118"/>
      <c r="EA118" s="4">
        <v>1</v>
      </c>
      <c r="EB118" s="4">
        <v>1</v>
      </c>
      <c r="EC118" s="4">
        <v>4.440892098500626e-16</v>
      </c>
      <c r="ED118" s="6"/>
      <c r="EE118" s="4">
        <v>4.440892098500626e-16</v>
      </c>
      <c r="EF118" s="4">
        <v>4.440892098500626e-16</v>
      </c>
      <c r="EG118" s="4">
        <v>-0.00745470065806055</v>
      </c>
      <c r="EH118" s="4">
        <v>0</v>
      </c>
      <c r="EI118" s="4">
        <v>-0.0074547006580609945</v>
      </c>
      <c r="EJ118" s="4">
        <v>1.584</v>
      </c>
      <c r="EK118" s="4">
        <v>1.587</v>
      </c>
      <c r="EL118" s="6"/>
      <c r="EM118" s="6"/>
      <c r="EN118" s="6"/>
      <c r="EO118" s="9"/>
      <c r="EP118" s="7">
        <f>IFERROR(EH118/F118,0)</f>
        <v>0</v>
      </c>
      <c r="EQ118" t="inlineStr">
        <is>
          <t xml:space="preserve">Keep cash / margin / financing</t>
        </is>
      </c>
      <c r="ER118" t="inlineStr">
        <is>
          <t xml:space="preserve">cash</t>
        </is>
      </c>
      <c r="ES118" t="inlineStr">
        <is>
          <t xml:space="preserve">keep</t>
        </is>
      </c>
      <c r="ET118" t="inlineStr">
        <is>
          <t xml:space="preserve">cash</t>
        </is>
      </c>
      <c r="EU118"/>
      <c r="EV118" s="4">
        <v>1</v>
      </c>
      <c r="EW118" s="4">
        <v>1</v>
      </c>
      <c r="EX118" s="4">
        <v>0</v>
      </c>
      <c r="EY118" s="6"/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1.584</v>
      </c>
      <c r="FF118" s="4">
        <v>1.587</v>
      </c>
      <c r="FG118" s="6"/>
      <c r="FH118" s="6"/>
      <c r="FI118" s="6"/>
      <c r="FJ118" s="9"/>
      <c r="FK118" s="7">
        <f>IFERROR(FC118/F118,0)</f>
        <v>0</v>
      </c>
      <c r="FL118"/>
      <c r="FM118"/>
      <c r="FN118"/>
      <c r="FO118"/>
      <c r="FP118"/>
      <c r="FQ118" s="4"/>
      <c r="FR118" s="4"/>
      <c r="FS118" s="4"/>
      <c r="FT118" s="6"/>
      <c r="FU118" s="4"/>
      <c r="FV118" s="4"/>
      <c r="FW118" s="4"/>
      <c r="FX118" s="4"/>
      <c r="FY118" s="4"/>
      <c r="FZ118" s="4"/>
      <c r="GA118" s="4"/>
      <c r="GB118" s="6"/>
      <c r="GC118" s="6"/>
      <c r="GD118" s="6"/>
      <c r="GE118" s="9"/>
      <c r="GF118"/>
      <c r="GG118"/>
      <c r="GH118"/>
      <c r="GI118"/>
      <c r="GJ118"/>
      <c r="GK118"/>
      <c r="GL118" s="4"/>
      <c r="GM118" s="4"/>
      <c r="GN118" s="4"/>
      <c r="GO118" s="6"/>
      <c r="GP118" s="4"/>
      <c r="GQ118" s="4"/>
      <c r="GR118" s="4"/>
      <c r="GS118" s="4"/>
      <c r="GT118" s="4"/>
      <c r="GU118" s="4"/>
      <c r="GV118" s="4"/>
      <c r="GW118" s="6"/>
      <c r="GX118" s="6"/>
      <c r="GY118" s="6"/>
      <c r="GZ118" s="9"/>
      <c r="HA118"/>
      <c r="HB118"/>
      <c r="HC118"/>
      <c r="HD118"/>
      <c r="HE118"/>
      <c r="HF118"/>
      <c r="HG118" s="4"/>
      <c r="HH118" s="4"/>
      <c r="HI118" s="4"/>
      <c r="HJ118" s="6"/>
      <c r="HK118" s="4"/>
      <c r="HL118" s="4"/>
      <c r="HM118" s="4"/>
      <c r="HN118" s="4"/>
      <c r="HO118" s="4"/>
      <c r="HP118" s="4"/>
      <c r="HQ118" s="4"/>
      <c r="HR118" s="6"/>
      <c r="HS118" s="6"/>
      <c r="HT118" s="6"/>
      <c r="HU118" s="9"/>
      <c r="HV118"/>
      <c r="HW118"/>
      <c r="HX118"/>
      <c r="HY118"/>
      <c r="HZ118"/>
      <c r="IA118"/>
      <c r="IB118" s="4"/>
      <c r="IC118" s="4"/>
      <c r="ID118" s="4"/>
      <c r="IE118" s="6"/>
      <c r="IF118" s="4"/>
      <c r="IG118" s="4"/>
      <c r="IH118" s="4"/>
      <c r="II118" s="4"/>
      <c r="IJ118" s="4"/>
      <c r="IK118" s="4"/>
      <c r="IL118" s="4"/>
      <c r="IM118" s="6"/>
      <c r="IN118" s="6"/>
      <c r="IO118" s="6"/>
      <c r="IP118" s="9"/>
      <c r="IQ118"/>
      <c r="IR118"/>
      <c r="IS118"/>
      <c r="IT118"/>
      <c r="IU118"/>
      <c r="IV118"/>
      <c r="IW118" s="4"/>
      <c r="IX118" s="4"/>
      <c r="IY118" s="4"/>
      <c r="IZ118" s="6"/>
      <c r="JA118" s="4"/>
      <c r="JB118" s="4"/>
      <c r="JC118" s="4"/>
      <c r="JD118" s="4"/>
      <c r="JE118" s="4"/>
      <c r="JF118" s="4"/>
      <c r="JG118" s="4"/>
      <c r="JH118" s="6"/>
      <c r="JI118" s="6"/>
      <c r="JJ118" s="6"/>
      <c r="JK118" s="9"/>
      <c r="JL118"/>
    </row>
    <row r="119">
      <c r="A119" s="8">
        <v>25379</v>
      </c>
      <c r="B119" s="8">
        <v>25380</v>
      </c>
      <c r="C119" s="9">
        <f>B119-A119</f>
        <v>1</v>
      </c>
      <c r="D119" s="8">
        <v>25379</v>
      </c>
      <c r="E119" t="inlineStr">
        <is>
          <t xml:space="preserve">positive</t>
        </is>
      </c>
      <c r="F119" s="4">
        <v>1.2157898764353172</v>
      </c>
      <c r="G119" s="6">
        <v>-0.013260358110062575</v>
      </c>
      <c r="H119" s="7">
        <f>SUM(CE119,CZ119,DU119,EP119,FK119,GF119,HA119,HV119,IQ119,JL119)</f>
        <v>-0.013260358110062577</v>
      </c>
      <c r="I119" s="7">
        <f>G119-H119</f>
        <v>1.734723475976807e-18</v>
      </c>
      <c r="J119" s="5">
        <f>F119*(1+H119)</f>
        <v>1.1996680672871962</v>
      </c>
      <c r="K119" s="4">
        <v>1.1996680672871962</v>
      </c>
      <c r="L119" s="5">
        <f>K119-J119</f>
        <v>0</v>
      </c>
      <c r="M119" s="4">
        <v>1.587</v>
      </c>
      <c r="N119" s="4">
        <v>1.579</v>
      </c>
      <c r="O119" s="5">
        <f>M119/$M$3</f>
        <v>0.8105209397344229</v>
      </c>
      <c r="P119" s="5">
        <f>N119/$M$3</f>
        <v>0.806435137895812</v>
      </c>
      <c r="Q119" s="7">
        <f>IFERROR(N119/M119-1,0)</f>
        <v>-0.00504095778197855</v>
      </c>
      <c r="R119" s="5">
        <f>SUM(IF(BM119="lease",BU119,0),IF(CH119="lease",CP119,0),IF(DC119="lease",DK119,0),IF(DX119="lease",EF119,0),IF(ES119="lease",FA119,0),IF(FN119="lease",FV119,0),IF(GI119="lease",GQ119,0),IF(HD119="lease",HL119,0),IF(HY119="lease",IG119,0),IF(IT119="lease",JB119,0))</f>
        <v>1.2157898764353177</v>
      </c>
      <c r="S119" s="5">
        <f>SUM(IF(BM119="lease",BV119,0),IF(CH119="lease",CQ119,0),IF(DC119="lease",DL119,0),IF(DX119="lease",EG119,0),IF(ES119="lease",FB119,0),IF(FN119="lease",FW119,0),IF(GI119="lease",GR119,0),IF(HD119="lease",HM119,0),IF(HY119="lease",IH119,0),IF(IT119="lease",JC119,0))</f>
        <v>1.1996680672871967</v>
      </c>
      <c r="T119" s="5">
        <f>SUM(IF(BM119="keep",BU119,0),IF(CH119="keep",CP119,0),IF(DC119="keep",DK119,0),IF(DX119="keep",EF119,0),IF(ES119="keep",FA119,0),IF(FN119="keep",FV119,0),IF(GI119="keep",GQ119,0),IF(HD119="keep",HL119,0),IF(HY119="keep",IG119,0),IF(IT119="keep",JB119,0))</f>
        <v>0</v>
      </c>
      <c r="U119" s="5">
        <f>SUM(IF(BM119="keep",BV119,0),IF(CH119="keep",CQ119,0),IF(DC119="keep",DL119,0),IF(DX119="keep",EG119,0),IF(ES119="keep",FB119,0),IF(FN119="keep",FW119,0),IF(GI119="keep",GR119,0),IF(HD119="keep",HM119,0),IF(HY119="keep",IH119,0),IF(IT119="keep",JC119,0))</f>
        <v>0</v>
      </c>
      <c r="V119" s="5">
        <f>R119/O119</f>
        <v>1.5000104461627928</v>
      </c>
      <c r="W119" s="5">
        <f>S119/P119</f>
        <v>1.4876187940141425</v>
      </c>
      <c r="X119" s="5">
        <f>T119/O119</f>
        <v>0</v>
      </c>
      <c r="Y119" s="5">
        <f>U119/P119</f>
        <v>0</v>
      </c>
      <c r="Z119" s="5">
        <f>V119+X119</f>
        <v>1.5000104461627928</v>
      </c>
      <c r="AA119" s="7">
        <f>IFERROR(W119/V119-1,0)</f>
        <v>-0.008261043901627185</v>
      </c>
      <c r="AB119" s="7">
        <f>IFERROR((W119-V119)/Z119,0)</f>
        <v>-0.0082610439016272</v>
      </c>
      <c r="AC119" s="7">
        <f>IFERROR(Y119/X119-1,0)</f>
        <v>0</v>
      </c>
      <c r="AD119" s="7">
        <f>IFERROR((Y119-X119)/Z119,0)</f>
        <v>0</v>
      </c>
      <c r="AE119" s="7">
        <f>AB119+AD119</f>
        <v>-0.0082610439016272</v>
      </c>
      <c r="AF119" s="7">
        <f>(1+Q119)*(1+AE119)-1</f>
        <v>-0.013260358110062542</v>
      </c>
      <c r="AG119" s="7">
        <f>G119-AF119</f>
        <v>-3.2959746043559335e-17</v>
      </c>
      <c r="AH119" s="5">
        <f>SUM(IF(BM119="lease",BW119,0),IF(CH119="lease",CR119,0),IF(DC119="lease",DM119,0),IF(DX119="lease",EH119,0),IF(ES119="lease",FC119,0),IF(FN119="lease",FX119,0),IF(GI119="lease",GS119,0),IF(HD119="lease",HN119,0),IF(HY119="lease",II119,0),IF(IT119="lease",JD119,0))</f>
        <v>-0.016121809148121037</v>
      </c>
      <c r="AI119" s="5">
        <f>SUM(IF(BM119="keep",BW119,0),IF(CH119="keep",CR119,0),IF(DC119="keep",DM119,0),IF(DX119="keep",EH119,0),IF(ES119="keep",FC119,0),IF(FN119="keep",FX119,0),IF(GI119="keep",GS119,0),IF(HD119="keep",HN119,0),IF(HY119="keep",II119,0),IF(IT119="keep",JD119,0))</f>
        <v>0</v>
      </c>
      <c r="AJ119" s="5">
        <f>SUM(IF(BM119="lease",BX119,0),IF(CH119="lease",CS119,0),IF(DC119="lease",DN119,0),IF(DX119="lease",EI119,0),IF(ES119="lease",FD119,0),IF(FN119="lease",FY119,0),IF(GI119="lease",GT119,0),IF(HD119="lease",HO119,0),IF(HY119="lease",IJ119,0),IF(IT119="lease",JE119,0))</f>
        <v>0</v>
      </c>
      <c r="AK119" s="5">
        <f>SUM(IF(BM119="keep",BX119,0),IF(CH119="keep",CS119,0),IF(DC119="keep",DN119,0),IF(DX119="keep",EI119,0),IF(ES119="keep",FD119,0),IF(FN119="keep",FY119,0),IF(GI119="keep",GT119,0),IF(HD119="keep",HO119,0),IF(HY119="keep",IJ119,0),IF(IT119="keep",JE119,0))</f>
        <v>0</v>
      </c>
      <c r="AL119" s="5">
        <f>R119-S118</f>
        <v>0</v>
      </c>
      <c r="AM119" s="5">
        <f>T119-U118</f>
        <v>0</v>
      </c>
      <c r="AN119" s="5">
        <f>AN118</f>
        <v>1</v>
      </c>
      <c r="AO119" s="5">
        <f>AO118+AH119</f>
        <v>0.19966806728719674</v>
      </c>
      <c r="AP119" s="5">
        <f>AP118+AL119</f>
        <v>-4.440892098500626e-16</v>
      </c>
      <c r="AQ119" s="5">
        <f>AN119+AO119+AP119</f>
        <v>1.1996680672871962</v>
      </c>
      <c r="AR119" s="5">
        <f>S119-AQ119</f>
        <v>4.440892098500626e-16</v>
      </c>
      <c r="AS119" s="5">
        <f>AS118</f>
        <v>0</v>
      </c>
      <c r="AT119" s="5">
        <f>AT118+AI119</f>
        <v>0</v>
      </c>
      <c r="AU119" s="5">
        <f>AU118+AM119</f>
        <v>0</v>
      </c>
      <c r="AV119" s="5">
        <f>AS119+AT119+AU119</f>
        <v>0</v>
      </c>
      <c r="AW119" s="5">
        <f>U119-AV119</f>
        <v>0</v>
      </c>
      <c r="AX119" s="4">
        <v>1.2157898764353177</v>
      </c>
      <c r="AY119" s="4">
        <v>1.1996680672871967</v>
      </c>
      <c r="AZ119" s="5">
        <f>S119-AY119</f>
        <v>0</v>
      </c>
      <c r="BA119" s="4">
        <v>0</v>
      </c>
      <c r="BB119" s="4">
        <v>0</v>
      </c>
      <c r="BC119" s="5">
        <f>U119-BB119</f>
        <v>0</v>
      </c>
      <c r="BD119" s="7">
        <f>SUM(IF(BL119="direct",CE119,0),IF(CG119="direct",CZ119,0),IF(DB119="direct",DU119,0),IF(DW119="direct",EP119,0),IF(ER119="direct",FK119,0),IF(FM119="direct",GF119,0),IF(GH119="direct",HA119,0),IF(HC119="direct",HV119,0),IF(HX119="direct",IQ119,0),IF(IS119="direct",JL119,0))</f>
        <v>0</v>
      </c>
      <c r="BE119" s="7">
        <f>SUM(IF(BL119="treasury",CE119,0),IF(CG119="treasury",CZ119,0),IF(DB119="treasury",DU119,0),IF(DW119="treasury",EP119,0),IF(ER119="treasury",FK119,0),IF(FM119="treasury",GF119,0),IF(GH119="treasury",HA119,0),IF(HC119="treasury",HV119,0),IF(HX119="treasury",IQ119,0),IF(IS119="treasury",JL119,0))</f>
        <v>0.00017534246575342467</v>
      </c>
      <c r="BF119" s="7">
        <f>SUM(IF(BL119="future",CE119,0),IF(CG119="future",CZ119,0),IF(DB119="future",DU119,0),IF(DW119="future",EP119,0),IF(ER119="future",FK119,0),IF(FM119="future",GF119,0),IF(GH119="future",HA119,0),IF(HC119="future",HV119,0),IF(HX119="future",IQ119,0),IF(IS119="future",JL119,0))</f>
        <v>-0.013435700575816</v>
      </c>
      <c r="BG119" s="7">
        <f>SUM(IF(BL119="cash",CE119,0),IF(CG119="cash",CZ119,0),IF(DB119="cash",DU119,0),IF(DW119="cash",EP119,0),IF(ER119="cash",FK119,0),IF(FM119="cash",GF119,0),IF(GH119="cash",HA119,0),IF(HC119="cash",HV119,0),IF(HX119="cash",IQ119,0),IF(IS119="cash",JL119,0))</f>
        <v>0</v>
      </c>
      <c r="BH119" s="7">
        <f>SUM(BD119:BG119)</f>
        <v>-0.013260358110062577</v>
      </c>
      <c r="BI119" s="7">
        <f>G119-BH119</f>
        <v>1.734723475976807e-18</v>
      </c>
      <c r="BJ119" s="9">
        <f>COUNTA(BK119,CF119,DA119,DV119,EQ119,FL119,GG119,HB119,HW119,IR119)</f>
        <v>4</v>
      </c>
      <c r="BK119" t="inlineStr">
        <is>
          <t xml:space="preserve">Treasury collateral</t>
        </is>
      </c>
      <c r="BL119" t="inlineStr">
        <is>
          <t xml:space="preserve">treasury</t>
        </is>
      </c>
      <c r="BM119" t="inlineStr">
        <is>
          <t xml:space="preserve">lease</t>
        </is>
      </c>
      <c r="BN119" t="inlineStr">
        <is>
          <t xml:space="preserve">long</t>
        </is>
      </c>
      <c r="BO119"/>
      <c r="BP119" s="4">
        <v>102.96962142266639</v>
      </c>
      <c r="BQ119" s="4">
        <v>102.98767636998434</v>
      </c>
      <c r="BR119" s="4">
        <v>0.011807267615802742</v>
      </c>
      <c r="BS119" s="6">
        <v>1</v>
      </c>
      <c r="BT119" s="4">
        <v>1.2157898764353172</v>
      </c>
      <c r="BU119" s="4">
        <v>1.2157898764353172</v>
      </c>
      <c r="BV119" s="4">
        <v>1.2160030560300894</v>
      </c>
      <c r="BW119" s="4">
        <v>0.00021317959477222003</v>
      </c>
      <c r="BX119" s="4">
        <v>-3.629366772395226e-17</v>
      </c>
      <c r="BY119" s="4">
        <v>1.587</v>
      </c>
      <c r="BZ119" s="4">
        <v>1.579</v>
      </c>
      <c r="CA119" s="6"/>
      <c r="CB119" s="6"/>
      <c r="CC119" s="6"/>
      <c r="CD119" s="9">
        <v>34</v>
      </c>
      <c r="CE119" s="7">
        <f>IFERROR(BW119/F119,0)</f>
        <v>0.00017534246575342467</v>
      </c>
      <c r="CF119" t="inlineStr">
        <is>
          <t xml:space="preserve">SI69N</t>
        </is>
      </c>
      <c r="CG119" t="inlineStr">
        <is>
          <t xml:space="preserve">future</t>
        </is>
      </c>
      <c r="CH119" t="inlineStr">
        <is>
          <t xml:space="preserve">lease</t>
        </is>
      </c>
      <c r="CI119" t="inlineStr">
        <is>
          <t xml:space="preserve">long</t>
        </is>
      </c>
      <c r="CJ119" t="inlineStr">
        <is>
          <t xml:space="preserve">regular</t>
        </is>
      </c>
      <c r="CK119" s="4">
        <v>1.5630000000000002</v>
      </c>
      <c r="CL119" s="4">
        <v>1.5419999999999998</v>
      </c>
      <c r="CM119" s="4">
        <v>0.7778566068044254</v>
      </c>
      <c r="CN119" s="6">
        <v>0.9999999999999999</v>
      </c>
      <c r="CO119" s="4">
        <v>1.215789876435317</v>
      </c>
      <c r="CP119" s="4">
        <v>0</v>
      </c>
      <c r="CQ119" s="4">
        <v>0</v>
      </c>
      <c r="CR119" s="4">
        <v>-0.016334988742893256</v>
      </c>
      <c r="CS119" s="4">
        <v>0.016334988742893256</v>
      </c>
      <c r="CT119" s="4">
        <v>1.587</v>
      </c>
      <c r="CU119" s="4">
        <v>1.579</v>
      </c>
      <c r="CV119" s="6">
        <v>-0.01512287334593565</v>
      </c>
      <c r="CW119" s="6">
        <v>0.064</v>
      </c>
      <c r="CX119" s="6">
        <v>0.2263484932725445</v>
      </c>
      <c r="CY119" s="9">
        <v>34</v>
      </c>
      <c r="CZ119" s="7">
        <f>IFERROR(CR119/F119,0)</f>
        <v>-0.013435700575816</v>
      </c>
      <c r="DA119" t="inlineStr">
        <is>
          <t xml:space="preserve">Lease cash / margin / financing</t>
        </is>
      </c>
      <c r="DB119" t="inlineStr">
        <is>
          <t xml:space="preserve">cash</t>
        </is>
      </c>
      <c r="DC119" t="inlineStr">
        <is>
          <t xml:space="preserve">lease</t>
        </is>
      </c>
      <c r="DD119" t="inlineStr">
        <is>
          <t xml:space="preserve">cash</t>
        </is>
      </c>
      <c r="DE119"/>
      <c r="DF119" s="4">
        <v>1</v>
      </c>
      <c r="DG119" s="4">
        <v>1</v>
      </c>
      <c r="DH119" s="4">
        <v>4.440892098500626e-16</v>
      </c>
      <c r="DI119" s="6"/>
      <c r="DJ119" s="4">
        <v>4.440892098500626e-16</v>
      </c>
      <c r="DK119" s="4">
        <v>4.440892098500626e-16</v>
      </c>
      <c r="DL119" s="4">
        <v>-0.016334988742892777</v>
      </c>
      <c r="DM119" s="4">
        <v>0</v>
      </c>
      <c r="DN119" s="4">
        <v>-0.01633498874289322</v>
      </c>
      <c r="DO119" s="4">
        <v>1.587</v>
      </c>
      <c r="DP119" s="4">
        <v>1.579</v>
      </c>
      <c r="DQ119" s="6"/>
      <c r="DR119" s="6"/>
      <c r="DS119" s="6"/>
      <c r="DT119" s="9"/>
      <c r="DU119" s="7">
        <f>IFERROR(DM119/F119,0)</f>
        <v>0</v>
      </c>
      <c r="DV119" t="inlineStr">
        <is>
          <t xml:space="preserve">Keep cash / margin / financing</t>
        </is>
      </c>
      <c r="DW119" t="inlineStr">
        <is>
          <t xml:space="preserve">cash</t>
        </is>
      </c>
      <c r="DX119" t="inlineStr">
        <is>
          <t xml:space="preserve">keep</t>
        </is>
      </c>
      <c r="DY119" t="inlineStr">
        <is>
          <t xml:space="preserve">cash</t>
        </is>
      </c>
      <c r="DZ119"/>
      <c r="EA119" s="4">
        <v>1</v>
      </c>
      <c r="EB119" s="4">
        <v>1</v>
      </c>
      <c r="EC119" s="4">
        <v>0</v>
      </c>
      <c r="ED119" s="6"/>
      <c r="EE119" s="4">
        <v>0</v>
      </c>
      <c r="EF119" s="4">
        <v>0</v>
      </c>
      <c r="EG119" s="4">
        <v>0</v>
      </c>
      <c r="EH119" s="4">
        <v>0</v>
      </c>
      <c r="EI119" s="4">
        <v>0</v>
      </c>
      <c r="EJ119" s="4">
        <v>1.587</v>
      </c>
      <c r="EK119" s="4">
        <v>1.579</v>
      </c>
      <c r="EL119" s="6"/>
      <c r="EM119" s="6"/>
      <c r="EN119" s="6"/>
      <c r="EO119" s="9"/>
      <c r="EP119" s="7">
        <f>IFERROR(EH119/F119,0)</f>
        <v>0</v>
      </c>
      <c r="EQ119"/>
      <c r="ER119"/>
      <c r="ES119"/>
      <c r="ET119"/>
      <c r="EU119"/>
      <c r="EV119" s="4"/>
      <c r="EW119" s="4"/>
      <c r="EX119" s="4"/>
      <c r="EY119" s="6"/>
      <c r="EZ119" s="4"/>
      <c r="FA119" s="4"/>
      <c r="FB119" s="4"/>
      <c r="FC119" s="4"/>
      <c r="FD119" s="4"/>
      <c r="FE119" s="4"/>
      <c r="FF119" s="4"/>
      <c r="FG119" s="6"/>
      <c r="FH119" s="6"/>
      <c r="FI119" s="6"/>
      <c r="FJ119" s="9"/>
      <c r="FK119"/>
      <c r="FL119"/>
      <c r="FM119"/>
      <c r="FN119"/>
      <c r="FO119"/>
      <c r="FP119"/>
      <c r="FQ119" s="4"/>
      <c r="FR119" s="4"/>
      <c r="FS119" s="4"/>
      <c r="FT119" s="6"/>
      <c r="FU119" s="4"/>
      <c r="FV119" s="4"/>
      <c r="FW119" s="4"/>
      <c r="FX119" s="4"/>
      <c r="FY119" s="4"/>
      <c r="FZ119" s="4"/>
      <c r="GA119" s="4"/>
      <c r="GB119" s="6"/>
      <c r="GC119" s="6"/>
      <c r="GD119" s="6"/>
      <c r="GE119" s="9"/>
      <c r="GF119"/>
      <c r="GG119"/>
      <c r="GH119"/>
      <c r="GI119"/>
      <c r="GJ119"/>
      <c r="GK119"/>
      <c r="GL119" s="4"/>
      <c r="GM119" s="4"/>
      <c r="GN119" s="4"/>
      <c r="GO119" s="6"/>
      <c r="GP119" s="4"/>
      <c r="GQ119" s="4"/>
      <c r="GR119" s="4"/>
      <c r="GS119" s="4"/>
      <c r="GT119" s="4"/>
      <c r="GU119" s="4"/>
      <c r="GV119" s="4"/>
      <c r="GW119" s="6"/>
      <c r="GX119" s="6"/>
      <c r="GY119" s="6"/>
      <c r="GZ119" s="9"/>
      <c r="HA119"/>
      <c r="HB119"/>
      <c r="HC119"/>
      <c r="HD119"/>
      <c r="HE119"/>
      <c r="HF119"/>
      <c r="HG119" s="4"/>
      <c r="HH119" s="4"/>
      <c r="HI119" s="4"/>
      <c r="HJ119" s="6"/>
      <c r="HK119" s="4"/>
      <c r="HL119" s="4"/>
      <c r="HM119" s="4"/>
      <c r="HN119" s="4"/>
      <c r="HO119" s="4"/>
      <c r="HP119" s="4"/>
      <c r="HQ119" s="4"/>
      <c r="HR119" s="6"/>
      <c r="HS119" s="6"/>
      <c r="HT119" s="6"/>
      <c r="HU119" s="9"/>
      <c r="HV119"/>
      <c r="HW119"/>
      <c r="HX119"/>
      <c r="HY119"/>
      <c r="HZ119"/>
      <c r="IA119"/>
      <c r="IB119" s="4"/>
      <c r="IC119" s="4"/>
      <c r="ID119" s="4"/>
      <c r="IE119" s="6"/>
      <c r="IF119" s="4"/>
      <c r="IG119" s="4"/>
      <c r="IH119" s="4"/>
      <c r="II119" s="4"/>
      <c r="IJ119" s="4"/>
      <c r="IK119" s="4"/>
      <c r="IL119" s="4"/>
      <c r="IM119" s="6"/>
      <c r="IN119" s="6"/>
      <c r="IO119" s="6"/>
      <c r="IP119" s="9"/>
      <c r="IQ119"/>
      <c r="IR119"/>
      <c r="IS119"/>
      <c r="IT119"/>
      <c r="IU119"/>
      <c r="IV119"/>
      <c r="IW119" s="4"/>
      <c r="IX119" s="4"/>
      <c r="IY119" s="4"/>
      <c r="IZ119" s="6"/>
      <c r="JA119" s="4"/>
      <c r="JB119" s="4"/>
      <c r="JC119" s="4"/>
      <c r="JD119" s="4"/>
      <c r="JE119" s="4"/>
      <c r="JF119" s="4"/>
      <c r="JG119" s="4"/>
      <c r="JH119" s="6"/>
      <c r="JI119" s="6"/>
      <c r="JJ119" s="6"/>
      <c r="JK119" s="9"/>
      <c r="JL119"/>
    </row>
    <row r="120">
      <c r="A120" s="8">
        <v>25380</v>
      </c>
      <c r="B120" s="8">
        <v>25381</v>
      </c>
      <c r="C120" s="9">
        <f>B120-A120</f>
        <v>1</v>
      </c>
      <c r="D120" s="8">
        <v>25380</v>
      </c>
      <c r="E120" t="inlineStr">
        <is>
          <t xml:space="preserve">positive</t>
        </is>
      </c>
      <c r="F120" s="4">
        <v>1.1996680672871962</v>
      </c>
      <c r="G120" s="6">
        <v>-0.004373257644404155</v>
      </c>
      <c r="H120" s="7">
        <f>SUM(CE120,CZ120,DU120,EP120,FK120,GF120,HA120,HV120,IQ120,JL120)</f>
        <v>-0.004373257644404155</v>
      </c>
      <c r="I120" s="7">
        <f>G120-H120</f>
        <v>0</v>
      </c>
      <c r="J120" s="5">
        <f>F120*(1+H120)</f>
        <v>1.194421609741185</v>
      </c>
      <c r="K120" s="4">
        <v>1.194421609741185</v>
      </c>
      <c r="L120" s="5">
        <f>K120-J120</f>
        <v>0</v>
      </c>
      <c r="M120" s="4">
        <v>1.579</v>
      </c>
      <c r="N120" s="4">
        <v>1.559</v>
      </c>
      <c r="O120" s="5">
        <f>M120/$M$3</f>
        <v>0.806435137895812</v>
      </c>
      <c r="P120" s="5">
        <f>N120/$M$3</f>
        <v>0.7962206332992849</v>
      </c>
      <c r="Q120" s="7">
        <f>IFERROR(N120/M120-1,0)</f>
        <v>-0.01266624445851805</v>
      </c>
      <c r="R120" s="5">
        <f>SUM(IF(BM120="lease",BU120,0),IF(CH120="lease",CP120,0),IF(DC120="lease",DK120,0),IF(DX120="lease",EF120,0),IF(ES120="lease",FA120,0),IF(FN120="lease",FV120,0),IF(GI120="lease",GQ120,0),IF(HD120="lease",HL120,0),IF(HY120="lease",IG120,0),IF(IT120="lease",JB120,0))</f>
        <v>1.1996680672871967</v>
      </c>
      <c r="S120" s="5">
        <f>SUM(IF(BM120="lease",BV120,0),IF(CH120="lease",CQ120,0),IF(DC120="lease",DL120,0),IF(DX120="lease",EG120,0),IF(ES120="lease",FB120,0),IF(FN120="lease",FW120,0),IF(GI120="lease",GR120,0),IF(HD120="lease",HM120,0),IF(HY120="lease",IH120,0),IF(IT120="lease",JC120,0))</f>
        <v>1.1944216097411853</v>
      </c>
      <c r="T120" s="5">
        <f>SUM(IF(BM120="keep",BU120,0),IF(CH120="keep",CP120,0),IF(DC120="keep",DK120,0),IF(DX120="keep",EF120,0),IF(ES120="keep",FA120,0),IF(FN120="keep",FV120,0),IF(GI120="keep",GQ120,0),IF(HD120="keep",HL120,0),IF(HY120="keep",IG120,0),IF(IT120="keep",JB120,0))</f>
        <v>0</v>
      </c>
      <c r="U120" s="5">
        <f>SUM(IF(BM120="keep",BV120,0),IF(CH120="keep",CQ120,0),IF(DC120="keep",DL120,0),IF(DX120="keep",EG120,0),IF(ES120="keep",FB120,0),IF(FN120="keep",FW120,0),IF(GI120="keep",GR120,0),IF(HD120="keep",HM120,0),IF(HY120="keep",IH120,0),IF(IT120="keep",JC120,0))</f>
        <v>0</v>
      </c>
      <c r="V120" s="5">
        <f>R120/O120</f>
        <v>1.4876187940141425</v>
      </c>
      <c r="W120" s="5">
        <f>S120/P120</f>
        <v>1.500113862651213</v>
      </c>
      <c r="X120" s="5">
        <f>T120/O120</f>
        <v>0</v>
      </c>
      <c r="Y120" s="5">
        <f>U120/P120</f>
        <v>0</v>
      </c>
      <c r="Z120" s="5">
        <f>V120+X120</f>
        <v>1.4876187940141425</v>
      </c>
      <c r="AA120" s="7">
        <f>IFERROR(W120/V120-1,0)</f>
        <v>0.008399375355667704</v>
      </c>
      <c r="AB120" s="7">
        <f>IFERROR((W120-V120)/Z120,0)</f>
        <v>0.008399375355667633</v>
      </c>
      <c r="AC120" s="7">
        <f>IFERROR(Y120/X120-1,0)</f>
        <v>0</v>
      </c>
      <c r="AD120" s="7">
        <f>IFERROR((Y120-X120)/Z120,0)</f>
        <v>0</v>
      </c>
      <c r="AE120" s="7">
        <f>AB120+AD120</f>
        <v>0.008399375355667633</v>
      </c>
      <c r="AF120" s="7">
        <f>(1+Q120)*(1+AE120)-1</f>
        <v>-0.004373257644404105</v>
      </c>
      <c r="AG120" s="7">
        <f>G120-AF120</f>
        <v>-5.0306980803327406e-17</v>
      </c>
      <c r="AH120" s="5">
        <f>SUM(IF(BM120="lease",BW120,0),IF(CH120="lease",CR120,0),IF(DC120="lease",DM120,0),IF(DX120="lease",EH120,0),IF(ES120="lease",FC120,0),IF(FN120="lease",FX120,0),IF(GI120="lease",GS120,0),IF(HD120="lease",HN120,0),IF(HY120="lease",II120,0),IF(IT120="lease",JD120,0))</f>
        <v>-0.0052464575460112895</v>
      </c>
      <c r="AI120" s="5">
        <f>SUM(IF(BM120="keep",BW120,0),IF(CH120="keep",CR120,0),IF(DC120="keep",DM120,0),IF(DX120="keep",EH120,0),IF(ES120="keep",FC120,0),IF(FN120="keep",FX120,0),IF(GI120="keep",GS120,0),IF(HD120="keep",HN120,0),IF(HY120="keep",II120,0),IF(IT120="keep",JD120,0))</f>
        <v>0</v>
      </c>
      <c r="AJ120" s="5">
        <f>SUM(IF(BM120="lease",BX120,0),IF(CH120="lease",CS120,0),IF(DC120="lease",DN120,0),IF(DX120="lease",EI120,0),IF(ES120="lease",FD120,0),IF(FN120="lease",FY120,0),IF(GI120="lease",GT120,0),IF(HD120="lease",HO120,0),IF(HY120="lease",IJ120,0),IF(IT120="lease",JE120,0))</f>
        <v>0</v>
      </c>
      <c r="AK120" s="5">
        <f>SUM(IF(BM120="keep",BX120,0),IF(CH120="keep",CS120,0),IF(DC120="keep",DN120,0),IF(DX120="keep",EI120,0),IF(ES120="keep",FD120,0),IF(FN120="keep",FY120,0),IF(GI120="keep",GT120,0),IF(HD120="keep",HO120,0),IF(HY120="keep",IJ120,0),IF(IT120="keep",JE120,0))</f>
        <v>0</v>
      </c>
      <c r="AL120" s="5">
        <f>R120-S119</f>
        <v>0</v>
      </c>
      <c r="AM120" s="5">
        <f>T120-U119</f>
        <v>0</v>
      </c>
      <c r="AN120" s="5">
        <f>AN119</f>
        <v>1</v>
      </c>
      <c r="AO120" s="5">
        <f>AO119+AH120</f>
        <v>0.19442160974118544</v>
      </c>
      <c r="AP120" s="5">
        <f>AP119+AL120</f>
        <v>-4.440892098500626e-16</v>
      </c>
      <c r="AQ120" s="5">
        <f>AN120+AO120+AP120</f>
        <v>1.194421609741185</v>
      </c>
      <c r="AR120" s="5">
        <f>S120-AQ120</f>
        <v>2.220446049250313e-16</v>
      </c>
      <c r="AS120" s="5">
        <f>AS119</f>
        <v>0</v>
      </c>
      <c r="AT120" s="5">
        <f>AT119+AI120</f>
        <v>0</v>
      </c>
      <c r="AU120" s="5">
        <f>AU119+AM120</f>
        <v>0</v>
      </c>
      <c r="AV120" s="5">
        <f>AS120+AT120+AU120</f>
        <v>0</v>
      </c>
      <c r="AW120" s="5">
        <f>U120-AV120</f>
        <v>0</v>
      </c>
      <c r="AX120" s="4">
        <v>1.1996680672871967</v>
      </c>
      <c r="AY120" s="4">
        <v>1.1944216097411853</v>
      </c>
      <c r="AZ120" s="5">
        <f>S120-AY120</f>
        <v>0</v>
      </c>
      <c r="BA120" s="4">
        <v>0</v>
      </c>
      <c r="BB120" s="4">
        <v>0</v>
      </c>
      <c r="BC120" s="5">
        <f>U120-BB120</f>
        <v>0</v>
      </c>
      <c r="BD120" s="7">
        <f>SUM(IF(BL120="direct",CE120,0),IF(CG120="direct",CZ120,0),IF(DB120="direct",DU120,0),IF(DW120="direct",EP120,0),IF(ER120="direct",FK120,0),IF(FM120="direct",GF120,0),IF(GH120="direct",HA120,0),IF(HC120="direct",HV120,0),IF(HX120="direct",IQ120,0),IF(IS120="direct",JL120,0))</f>
        <v>0</v>
      </c>
      <c r="BE120" s="7">
        <f>SUM(IF(BL120="treasury",CE120,0),IF(CG120="treasury",CZ120,0),IF(DB120="treasury",DU120,0),IF(DW120="treasury",EP120,0),IF(ER120="treasury",FK120,0),IF(FM120="treasury",GF120,0),IF(GH120="treasury",HA120,0),IF(HC120="treasury",HV120,0),IF(HX120="treasury",IQ120,0),IF(IS120="treasury",JL120,0))</f>
        <v>0.00016630136986301372</v>
      </c>
      <c r="BF120" s="7">
        <f>SUM(IF(BL120="future",CE120,0),IF(CG120="future",CZ120,0),IF(DB120="future",DU120,0),IF(DW120="future",EP120,0),IF(ER120="future",FK120,0),IF(FM120="future",GF120,0),IF(GH120="future",HA120,0),IF(HC120="future",HV120,0),IF(HX120="future",IQ120,0),IF(IS120="future",JL120,0))</f>
        <v>-0.004539559014267169</v>
      </c>
      <c r="BG120" s="7">
        <f>SUM(IF(BL120="cash",CE120,0),IF(CG120="cash",CZ120,0),IF(DB120="cash",DU120,0),IF(DW120="cash",EP120,0),IF(ER120="cash",FK120,0),IF(FM120="cash",GF120,0),IF(GH120="cash",HA120,0),IF(HC120="cash",HV120,0),IF(HX120="cash",IQ120,0),IF(IS120="cash",JL120,0))</f>
        <v>0</v>
      </c>
      <c r="BH120" s="7">
        <f>SUM(BD120:BG120)</f>
        <v>-0.004373257644404155</v>
      </c>
      <c r="BI120" s="7">
        <f>G120-BH120</f>
        <v>0</v>
      </c>
      <c r="BJ120" s="9">
        <f>COUNTA(BK120,CF120,DA120,DV120,EQ120,FL120,GG120,HB120,HW120,IR120)</f>
        <v>4</v>
      </c>
      <c r="BK120" t="inlineStr">
        <is>
          <t xml:space="preserve">Treasury collateral</t>
        </is>
      </c>
      <c r="BL120" t="inlineStr">
        <is>
          <t xml:space="preserve">treasury</t>
        </is>
      </c>
      <c r="BM120" t="inlineStr">
        <is>
          <t xml:space="preserve">lease</t>
        </is>
      </c>
      <c r="BN120" t="inlineStr">
        <is>
          <t xml:space="preserve">long</t>
        </is>
      </c>
      <c r="BO120"/>
      <c r="BP120" s="4">
        <v>102.98767636998434</v>
      </c>
      <c r="BQ120" s="4">
        <v>103.00480336164367</v>
      </c>
      <c r="BR120" s="4">
        <v>0.011648656514759841</v>
      </c>
      <c r="BS120" s="6">
        <v>1</v>
      </c>
      <c r="BT120" s="4">
        <v>1.1996680672871962</v>
      </c>
      <c r="BU120" s="4">
        <v>1.1996680672871962</v>
      </c>
      <c r="BV120" s="4">
        <v>1.199867573730167</v>
      </c>
      <c r="BW120" s="4">
        <v>0.00019950644297077484</v>
      </c>
      <c r="BX120" s="4">
        <v>-4.323256162785949e-17</v>
      </c>
      <c r="BY120" s="4">
        <v>1.579</v>
      </c>
      <c r="BZ120" s="4">
        <v>1.559</v>
      </c>
      <c r="CA120" s="6"/>
      <c r="CB120" s="6"/>
      <c r="CC120" s="6"/>
      <c r="CD120" s="9">
        <v>33</v>
      </c>
      <c r="CE120" s="7">
        <f>IFERROR(BW120/F120,0)</f>
        <v>0.00016630136986301372</v>
      </c>
      <c r="CF120" t="inlineStr">
        <is>
          <t xml:space="preserve">SI69N</t>
        </is>
      </c>
      <c r="CG120" t="inlineStr">
        <is>
          <t xml:space="preserve">future</t>
        </is>
      </c>
      <c r="CH120" t="inlineStr">
        <is>
          <t xml:space="preserve">lease</t>
        </is>
      </c>
      <c r="CI120" t="inlineStr">
        <is>
          <t xml:space="preserve">long</t>
        </is>
      </c>
      <c r="CJ120" t="inlineStr">
        <is>
          <t xml:space="preserve">regular</t>
        </is>
      </c>
      <c r="CK120" s="4">
        <v>1.5419999999999998</v>
      </c>
      <c r="CL120" s="4">
        <v>1.535</v>
      </c>
      <c r="CM120" s="4">
        <v>0.7779948555688693</v>
      </c>
      <c r="CN120" s="6">
        <v>1</v>
      </c>
      <c r="CO120" s="4">
        <v>1.1996680672871962</v>
      </c>
      <c r="CP120" s="4">
        <v>0</v>
      </c>
      <c r="CQ120" s="4">
        <v>0</v>
      </c>
      <c r="CR120" s="4">
        <v>-0.0054459639889820645</v>
      </c>
      <c r="CS120" s="4">
        <v>0.0054459639889820645</v>
      </c>
      <c r="CT120" s="4">
        <v>1.579</v>
      </c>
      <c r="CU120" s="4">
        <v>1.559</v>
      </c>
      <c r="CV120" s="6">
        <v>-0.023432552248258465</v>
      </c>
      <c r="CW120" s="6">
        <v>0.0607</v>
      </c>
      <c r="CX120" s="6">
        <v>0.3198782294125557</v>
      </c>
      <c r="CY120" s="9">
        <v>33</v>
      </c>
      <c r="CZ120" s="7">
        <f>IFERROR(CR120/F120,0)</f>
        <v>-0.004539559014267169</v>
      </c>
      <c r="DA120" t="inlineStr">
        <is>
          <t xml:space="preserve">Lease cash / margin / financing</t>
        </is>
      </c>
      <c r="DB120" t="inlineStr">
        <is>
          <t xml:space="preserve">cash</t>
        </is>
      </c>
      <c r="DC120" t="inlineStr">
        <is>
          <t xml:space="preserve">lease</t>
        </is>
      </c>
      <c r="DD120" t="inlineStr">
        <is>
          <t xml:space="preserve">cash</t>
        </is>
      </c>
      <c r="DE120"/>
      <c r="DF120" s="4">
        <v>1</v>
      </c>
      <c r="DG120" s="4">
        <v>1</v>
      </c>
      <c r="DH120" s="4">
        <v>4.440892098500626e-16</v>
      </c>
      <c r="DI120" s="6"/>
      <c r="DJ120" s="4">
        <v>4.440892098500626e-16</v>
      </c>
      <c r="DK120" s="4">
        <v>4.440892098500626e-16</v>
      </c>
      <c r="DL120" s="4">
        <v>-0.005445963988981577</v>
      </c>
      <c r="DM120" s="4">
        <v>0</v>
      </c>
      <c r="DN120" s="4">
        <v>-0.005445963988982021</v>
      </c>
      <c r="DO120" s="4">
        <v>1.579</v>
      </c>
      <c r="DP120" s="4">
        <v>1.559</v>
      </c>
      <c r="DQ120" s="6"/>
      <c r="DR120" s="6"/>
      <c r="DS120" s="6"/>
      <c r="DT120" s="9"/>
      <c r="DU120" s="7">
        <f>IFERROR(DM120/F120,0)</f>
        <v>0</v>
      </c>
      <c r="DV120" t="inlineStr">
        <is>
          <t xml:space="preserve">Keep cash / margin / financing</t>
        </is>
      </c>
      <c r="DW120" t="inlineStr">
        <is>
          <t xml:space="preserve">cash</t>
        </is>
      </c>
      <c r="DX120" t="inlineStr">
        <is>
          <t xml:space="preserve">keep</t>
        </is>
      </c>
      <c r="DY120" t="inlineStr">
        <is>
          <t xml:space="preserve">cash</t>
        </is>
      </c>
      <c r="DZ120"/>
      <c r="EA120" s="4">
        <v>1</v>
      </c>
      <c r="EB120" s="4">
        <v>1</v>
      </c>
      <c r="EC120" s="4">
        <v>0</v>
      </c>
      <c r="ED120" s="6"/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1.579</v>
      </c>
      <c r="EK120" s="4">
        <v>1.559</v>
      </c>
      <c r="EL120" s="6"/>
      <c r="EM120" s="6"/>
      <c r="EN120" s="6"/>
      <c r="EO120" s="9"/>
      <c r="EP120" s="7">
        <f>IFERROR(EH120/F120,0)</f>
        <v>0</v>
      </c>
      <c r="EQ120"/>
      <c r="ER120"/>
      <c r="ES120"/>
      <c r="ET120"/>
      <c r="EU120"/>
      <c r="EV120" s="4"/>
      <c r="EW120" s="4"/>
      <c r="EX120" s="4"/>
      <c r="EY120" s="6"/>
      <c r="EZ120" s="4"/>
      <c r="FA120" s="4"/>
      <c r="FB120" s="4"/>
      <c r="FC120" s="4"/>
      <c r="FD120" s="4"/>
      <c r="FE120" s="4"/>
      <c r="FF120" s="4"/>
      <c r="FG120" s="6"/>
      <c r="FH120" s="6"/>
      <c r="FI120" s="6"/>
      <c r="FJ120" s="9"/>
      <c r="FK120"/>
      <c r="FL120"/>
      <c r="FM120"/>
      <c r="FN120"/>
      <c r="FO120"/>
      <c r="FP120"/>
      <c r="FQ120" s="4"/>
      <c r="FR120" s="4"/>
      <c r="FS120" s="4"/>
      <c r="FT120" s="6"/>
      <c r="FU120" s="4"/>
      <c r="FV120" s="4"/>
      <c r="FW120" s="4"/>
      <c r="FX120" s="4"/>
      <c r="FY120" s="4"/>
      <c r="FZ120" s="4"/>
      <c r="GA120" s="4"/>
      <c r="GB120" s="6"/>
      <c r="GC120" s="6"/>
      <c r="GD120" s="6"/>
      <c r="GE120" s="9"/>
      <c r="GF120"/>
      <c r="GG120"/>
      <c r="GH120"/>
      <c r="GI120"/>
      <c r="GJ120"/>
      <c r="GK120"/>
      <c r="GL120" s="4"/>
      <c r="GM120" s="4"/>
      <c r="GN120" s="4"/>
      <c r="GO120" s="6"/>
      <c r="GP120" s="4"/>
      <c r="GQ120" s="4"/>
      <c r="GR120" s="4"/>
      <c r="GS120" s="4"/>
      <c r="GT120" s="4"/>
      <c r="GU120" s="4"/>
      <c r="GV120" s="4"/>
      <c r="GW120" s="6"/>
      <c r="GX120" s="6"/>
      <c r="GY120" s="6"/>
      <c r="GZ120" s="9"/>
      <c r="HA120"/>
      <c r="HB120"/>
      <c r="HC120"/>
      <c r="HD120"/>
      <c r="HE120"/>
      <c r="HF120"/>
      <c r="HG120" s="4"/>
      <c r="HH120" s="4"/>
      <c r="HI120" s="4"/>
      <c r="HJ120" s="6"/>
      <c r="HK120" s="4"/>
      <c r="HL120" s="4"/>
      <c r="HM120" s="4"/>
      <c r="HN120" s="4"/>
      <c r="HO120" s="4"/>
      <c r="HP120" s="4"/>
      <c r="HQ120" s="4"/>
      <c r="HR120" s="6"/>
      <c r="HS120" s="6"/>
      <c r="HT120" s="6"/>
      <c r="HU120" s="9"/>
      <c r="HV120"/>
      <c r="HW120"/>
      <c r="HX120"/>
      <c r="HY120"/>
      <c r="HZ120"/>
      <c r="IA120"/>
      <c r="IB120" s="4"/>
      <c r="IC120" s="4"/>
      <c r="ID120" s="4"/>
      <c r="IE120" s="6"/>
      <c r="IF120" s="4"/>
      <c r="IG120" s="4"/>
      <c r="IH120" s="4"/>
      <c r="II120" s="4"/>
      <c r="IJ120" s="4"/>
      <c r="IK120" s="4"/>
      <c r="IL120" s="4"/>
      <c r="IM120" s="6"/>
      <c r="IN120" s="6"/>
      <c r="IO120" s="6"/>
      <c r="IP120" s="9"/>
      <c r="IQ120"/>
      <c r="IR120"/>
      <c r="IS120"/>
      <c r="IT120"/>
      <c r="IU120"/>
      <c r="IV120"/>
      <c r="IW120" s="4"/>
      <c r="IX120" s="4"/>
      <c r="IY120" s="4"/>
      <c r="IZ120" s="6"/>
      <c r="JA120" s="4"/>
      <c r="JB120" s="4"/>
      <c r="JC120" s="4"/>
      <c r="JD120" s="4"/>
      <c r="JE120" s="4"/>
      <c r="JF120" s="4"/>
      <c r="JG120" s="4"/>
      <c r="JH120" s="6"/>
      <c r="JI120" s="6"/>
      <c r="JJ120" s="6"/>
      <c r="JK120" s="9"/>
      <c r="JL120"/>
    </row>
    <row r="121">
      <c r="A121" s="8">
        <v>25381</v>
      </c>
      <c r="B121" s="8">
        <v>25384</v>
      </c>
      <c r="C121" s="9">
        <f>B121-A121</f>
        <v>3</v>
      </c>
      <c r="D121" s="8">
        <v>25381</v>
      </c>
      <c r="E121" t="inlineStr">
        <is>
          <t xml:space="preserve">positive</t>
        </is>
      </c>
      <c r="F121" s="4">
        <v>1.194421609741185</v>
      </c>
      <c r="G121" s="6">
        <v>0.023306782383650897</v>
      </c>
      <c r="H121" s="7">
        <f>SUM(CE121,CZ121,DU121,EP121,FK121,GF121,HA121,HV121,IQ121,JL121)</f>
        <v>0.023306782383650897</v>
      </c>
      <c r="I121" s="7">
        <f>G121-H121</f>
        <v>0</v>
      </c>
      <c r="J121" s="5">
        <f>F121*(1+H121)</f>
        <v>1.2222597342737527</v>
      </c>
      <c r="K121" s="4">
        <v>1.2222597342737527</v>
      </c>
      <c r="L121" s="5">
        <f>K121-J121</f>
        <v>0</v>
      </c>
      <c r="M121" s="4">
        <v>1.559</v>
      </c>
      <c r="N121" s="4">
        <v>1.564</v>
      </c>
      <c r="O121" s="5">
        <f>M121/$M$3</f>
        <v>0.7962206332992849</v>
      </c>
      <c r="P121" s="5">
        <f>N121/$M$3</f>
        <v>0.7987742594484168</v>
      </c>
      <c r="Q121" s="7">
        <f>IFERROR(N121/M121-1,0)</f>
        <v>0.003207184092366866</v>
      </c>
      <c r="R121" s="5">
        <f>SUM(IF(BM121="lease",BU121,0),IF(CH121="lease",CP121,0),IF(DC121="lease",DK121,0),IF(DX121="lease",EF121,0),IF(ES121="lease",FA121,0),IF(FN121="lease",FV121,0),IF(GI121="lease",GQ121,0),IF(HD121="lease",HL121,0),IF(HY121="lease",IG121,0),IF(IT121="lease",JB121,0))</f>
        <v>1.1944216097411853</v>
      </c>
      <c r="S121" s="5">
        <f>SUM(IF(BM121="lease",BV121,0),IF(CH121="lease",CQ121,0),IF(DC121="lease",DL121,0),IF(DX121="lease",EG121,0),IF(ES121="lease",FB121,0),IF(FN121="lease",FW121,0),IF(GI121="lease",GR121,0),IF(HD121="lease",HM121,0),IF(HY121="lease",IH121,0),IF(IT121="lease",JC121,0))</f>
        <v>1.2222597342737531</v>
      </c>
      <c r="T121" s="5">
        <f>SUM(IF(BM121="keep",BU121,0),IF(CH121="keep",CP121,0),IF(DC121="keep",DK121,0),IF(DX121="keep",EF121,0),IF(ES121="keep",FA121,0),IF(FN121="keep",FV121,0),IF(GI121="keep",GQ121,0),IF(HD121="keep",HL121,0),IF(HY121="keep",IG121,0),IF(IT121="keep",JB121,0))</f>
        <v>0</v>
      </c>
      <c r="U121" s="5">
        <f>SUM(IF(BM121="keep",BV121,0),IF(CH121="keep",CQ121,0),IF(DC121="keep",DL121,0),IF(DX121="keep",EG121,0),IF(ES121="keep",FB121,0),IF(FN121="keep",FW121,0),IF(GI121="keep",GR121,0),IF(HD121="keep",HM121,0),IF(HY121="keep",IH121,0),IF(IT121="keep",JC121,0))</f>
        <v>0</v>
      </c>
      <c r="V121" s="5">
        <f>R121/O121</f>
        <v>1.500113862651213</v>
      </c>
      <c r="W121" s="5">
        <f>S121/P121</f>
        <v>1.5301691558235346</v>
      </c>
      <c r="X121" s="5">
        <f>T121/O121</f>
        <v>0</v>
      </c>
      <c r="Y121" s="5">
        <f>U121/P121</f>
        <v>0</v>
      </c>
      <c r="Z121" s="5">
        <f>V121+X121</f>
        <v>1.500113862651213</v>
      </c>
      <c r="AA121" s="7">
        <f>IFERROR(W121/V121-1,0)</f>
        <v>0.020035341263498374</v>
      </c>
      <c r="AB121" s="7">
        <f>IFERROR((W121-V121)/Z121,0)</f>
        <v>0.02003534126349832</v>
      </c>
      <c r="AC121" s="7">
        <f>IFERROR(Y121/X121-1,0)</f>
        <v>0</v>
      </c>
      <c r="AD121" s="7">
        <f>IFERROR((Y121-X121)/Z121,0)</f>
        <v>0</v>
      </c>
      <c r="AE121" s="7">
        <f>AB121+AD121</f>
        <v>0.02003534126349832</v>
      </c>
      <c r="AF121" s="7">
        <f>(1+Q121)*(1+AE121)-1</f>
        <v>0.02330678238365058</v>
      </c>
      <c r="AG121" s="7">
        <f>G121-AF121</f>
        <v>3.157196726277789e-16</v>
      </c>
      <c r="AH121" s="5">
        <f>SUM(IF(BM121="lease",BW121,0),IF(CH121="lease",CR121,0),IF(DC121="lease",DM121,0),IF(DX121="lease",EH121,0),IF(ES121="lease",FC121,0),IF(FN121="lease",FX121,0),IF(GI121="lease",GS121,0),IF(HD121="lease",HN121,0),IF(HY121="lease",II121,0),IF(IT121="lease",JD121,0))</f>
        <v>0.027838124532567798</v>
      </c>
      <c r="AI121" s="5">
        <f>SUM(IF(BM121="keep",BW121,0),IF(CH121="keep",CR121,0),IF(DC121="keep",DM121,0),IF(DX121="keep",EH121,0),IF(ES121="keep",FC121,0),IF(FN121="keep",FX121,0),IF(GI121="keep",GS121,0),IF(HD121="keep",HN121,0),IF(HY121="keep",II121,0),IF(IT121="keep",JD121,0))</f>
        <v>0</v>
      </c>
      <c r="AJ121" s="5">
        <f>SUM(IF(BM121="lease",BX121,0),IF(CH121="lease",CS121,0),IF(DC121="lease",DN121,0),IF(DX121="lease",EI121,0),IF(ES121="lease",FD121,0),IF(FN121="lease",FY121,0),IF(GI121="lease",GT121,0),IF(HD121="lease",HO121,0),IF(HY121="lease",IJ121,0),IF(IT121="lease",JE121,0))</f>
        <v>0</v>
      </c>
      <c r="AK121" s="5">
        <f>SUM(IF(BM121="keep",BX121,0),IF(CH121="keep",CS121,0),IF(DC121="keep",DN121,0),IF(DX121="keep",EI121,0),IF(ES121="keep",FD121,0),IF(FN121="keep",FY121,0),IF(GI121="keep",GT121,0),IF(HD121="keep",HO121,0),IF(HY121="keep",IJ121,0),IF(IT121="keep",JE121,0))</f>
        <v>0</v>
      </c>
      <c r="AL121" s="5">
        <f>R121-S120</f>
        <v>0</v>
      </c>
      <c r="AM121" s="5">
        <f>T121-U120</f>
        <v>0</v>
      </c>
      <c r="AN121" s="5">
        <f>AN120</f>
        <v>1</v>
      </c>
      <c r="AO121" s="5">
        <f>AO120+AH121</f>
        <v>0.22225973427375323</v>
      </c>
      <c r="AP121" s="5">
        <f>AP120+AL121</f>
        <v>-4.440892098500626e-16</v>
      </c>
      <c r="AQ121" s="5">
        <f>AN121+AO121+AP121</f>
        <v>1.2222597342737527</v>
      </c>
      <c r="AR121" s="5">
        <f>S121-AQ121</f>
        <v>4.440892098500626e-16</v>
      </c>
      <c r="AS121" s="5">
        <f>AS120</f>
        <v>0</v>
      </c>
      <c r="AT121" s="5">
        <f>AT120+AI121</f>
        <v>0</v>
      </c>
      <c r="AU121" s="5">
        <f>AU120+AM121</f>
        <v>0</v>
      </c>
      <c r="AV121" s="5">
        <f>AS121+AT121+AU121</f>
        <v>0</v>
      </c>
      <c r="AW121" s="5">
        <f>U121-AV121</f>
        <v>0</v>
      </c>
      <c r="AX121" s="4">
        <v>1.1944216097411853</v>
      </c>
      <c r="AY121" s="4">
        <v>1.2222597342737531</v>
      </c>
      <c r="AZ121" s="5">
        <f>S121-AY121</f>
        <v>0</v>
      </c>
      <c r="BA121" s="4">
        <v>0</v>
      </c>
      <c r="BB121" s="4">
        <v>0</v>
      </c>
      <c r="BC121" s="5">
        <f>U121-BB121</f>
        <v>0</v>
      </c>
      <c r="BD121" s="7">
        <f>SUM(IF(BL121="direct",CE121,0),IF(CG121="direct",CZ121,0),IF(DB121="direct",DU121,0),IF(DW121="direct",EP121,0),IF(ER121="direct",FK121,0),IF(FM121="direct",GF121,0),IF(GH121="direct",HA121,0),IF(HC121="direct",HV121,0),IF(HX121="direct",IQ121,0),IF(IS121="direct",JL121,0))</f>
        <v>0</v>
      </c>
      <c r="BE121" s="7">
        <f>SUM(IF(BL121="treasury",CE121,0),IF(CG121="treasury",CZ121,0),IF(DB121="treasury",DU121,0),IF(DW121="treasury",EP121,0),IF(ER121="treasury",FK121,0),IF(FM121="treasury",GF121,0),IF(GH121="treasury",HA121,0),IF(HC121="treasury",HV121,0),IF(HX121="treasury",IQ121,0),IF(IS121="treasury",JL121,0))</f>
        <v>0.0005054794520547946</v>
      </c>
      <c r="BF121" s="7">
        <f>SUM(IF(BL121="future",CE121,0),IF(CG121="future",CZ121,0),IF(DB121="future",DU121,0),IF(DW121="future",EP121,0),IF(ER121="future",FK121,0),IF(FM121="future",GF121,0),IF(GH121="future",HA121,0),IF(HC121="future",HV121,0),IF(HX121="future",IQ121,0),IF(IS121="future",JL121,0))</f>
        <v>0.0228013029315961</v>
      </c>
      <c r="BG121" s="7">
        <f>SUM(IF(BL121="cash",CE121,0),IF(CG121="cash",CZ121,0),IF(DB121="cash",DU121,0),IF(DW121="cash",EP121,0),IF(ER121="cash",FK121,0),IF(FM121="cash",GF121,0),IF(GH121="cash",HA121,0),IF(HC121="cash",HV121,0),IF(HX121="cash",IQ121,0),IF(IS121="cash",JL121,0))</f>
        <v>0</v>
      </c>
      <c r="BH121" s="7">
        <f>SUM(BD121:BG121)</f>
        <v>0.023306782383650897</v>
      </c>
      <c r="BI121" s="7">
        <f>G121-BH121</f>
        <v>0</v>
      </c>
      <c r="BJ121" s="9">
        <f>COUNTA(BK121,CF121,DA121,DV121,EQ121,FL121,GG121,HB121,HW121,IR121)</f>
        <v>4</v>
      </c>
      <c r="BK121" t="inlineStr">
        <is>
          <t xml:space="preserve">Treasury collateral</t>
        </is>
      </c>
      <c r="BL121" t="inlineStr">
        <is>
          <t xml:space="preserve">treasury</t>
        </is>
      </c>
      <c r="BM121" t="inlineStr">
        <is>
          <t xml:space="preserve">lease</t>
        </is>
      </c>
      <c r="BN121" t="inlineStr">
        <is>
          <t xml:space="preserve">long</t>
        </is>
      </c>
      <c r="BO121"/>
      <c r="BP121" s="4">
        <v>103.00480336164367</v>
      </c>
      <c r="BQ121" s="4">
        <v>103.05687017320591</v>
      </c>
      <c r="BR121" s="4">
        <v>0.011595785543589095</v>
      </c>
      <c r="BS121" s="6">
        <v>1</v>
      </c>
      <c r="BT121" s="4">
        <v>1.194421609741185</v>
      </c>
      <c r="BU121" s="4">
        <v>1.194421609741185</v>
      </c>
      <c r="BV121" s="4">
        <v>1.1950253653219993</v>
      </c>
      <c r="BW121" s="4">
        <v>0.00060375558081438</v>
      </c>
      <c r="BX121" s="4">
        <v>-1.1080546202801855e-16</v>
      </c>
      <c r="BY121" s="4">
        <v>1.559</v>
      </c>
      <c r="BZ121" s="4">
        <v>1.564</v>
      </c>
      <c r="CA121" s="6"/>
      <c r="CB121" s="6"/>
      <c r="CC121" s="6"/>
      <c r="CD121" s="9">
        <v>32</v>
      </c>
      <c r="CE121" s="7">
        <f>IFERROR(BW121/F121,0)</f>
        <v>0.0005054794520547946</v>
      </c>
      <c r="CF121" t="inlineStr">
        <is>
          <t xml:space="preserve">SI69N</t>
        </is>
      </c>
      <c r="CG121" t="inlineStr">
        <is>
          <t xml:space="preserve">future</t>
        </is>
      </c>
      <c r="CH121" t="inlineStr">
        <is>
          <t xml:space="preserve">lease</t>
        </is>
      </c>
      <c r="CI121" t="inlineStr">
        <is>
          <t xml:space="preserve">long</t>
        </is>
      </c>
      <c r="CJ121" t="inlineStr">
        <is>
          <t xml:space="preserve">regular</t>
        </is>
      </c>
      <c r="CK121" s="4">
        <v>1.535</v>
      </c>
      <c r="CL121" s="4">
        <v>1.57</v>
      </c>
      <c r="CM121" s="4">
        <v>0.7781248271929545</v>
      </c>
      <c r="CN121" s="6">
        <v>1</v>
      </c>
      <c r="CO121" s="4">
        <v>1.194421609741185</v>
      </c>
      <c r="CP121" s="4">
        <v>0</v>
      </c>
      <c r="CQ121" s="4">
        <v>0</v>
      </c>
      <c r="CR121" s="4">
        <v>0.027234368951753418</v>
      </c>
      <c r="CS121" s="4">
        <v>-0.027234368951753418</v>
      </c>
      <c r="CT121" s="4">
        <v>1.559</v>
      </c>
      <c r="CU121" s="4">
        <v>1.564</v>
      </c>
      <c r="CV121" s="6">
        <v>-0.015394483643361156</v>
      </c>
      <c r="CW121" s="6">
        <v>0.061500000000000006</v>
      </c>
      <c r="CX121" s="6">
        <v>0.2370933290570882</v>
      </c>
      <c r="CY121" s="9">
        <v>32</v>
      </c>
      <c r="CZ121" s="7">
        <f>IFERROR(CR121/F121,0)</f>
        <v>0.0228013029315961</v>
      </c>
      <c r="DA121" t="inlineStr">
        <is>
          <t xml:space="preserve">Lease cash / margin / financing</t>
        </is>
      </c>
      <c r="DB121" t="inlineStr">
        <is>
          <t xml:space="preserve">cash</t>
        </is>
      </c>
      <c r="DC121" t="inlineStr">
        <is>
          <t xml:space="preserve">lease</t>
        </is>
      </c>
      <c r="DD121" t="inlineStr">
        <is>
          <t xml:space="preserve">cash</t>
        </is>
      </c>
      <c r="DE121"/>
      <c r="DF121" s="4">
        <v>1</v>
      </c>
      <c r="DG121" s="4">
        <v>1</v>
      </c>
      <c r="DH121" s="4">
        <v>2.220446049250313e-16</v>
      </c>
      <c r="DI121" s="6"/>
      <c r="DJ121" s="4">
        <v>2.220446049250313e-16</v>
      </c>
      <c r="DK121" s="4">
        <v>2.220446049250313e-16</v>
      </c>
      <c r="DL121" s="4">
        <v>0.02723436895175375</v>
      </c>
      <c r="DM121" s="4">
        <v>0</v>
      </c>
      <c r="DN121" s="4">
        <v>0.02723436895175353</v>
      </c>
      <c r="DO121" s="4">
        <v>1.559</v>
      </c>
      <c r="DP121" s="4">
        <v>1.564</v>
      </c>
      <c r="DQ121" s="6"/>
      <c r="DR121" s="6"/>
      <c r="DS121" s="6"/>
      <c r="DT121" s="9"/>
      <c r="DU121" s="7">
        <f>IFERROR(DM121/F121,0)</f>
        <v>0</v>
      </c>
      <c r="DV121" t="inlineStr">
        <is>
          <t xml:space="preserve">Keep cash / margin / financing</t>
        </is>
      </c>
      <c r="DW121" t="inlineStr">
        <is>
          <t xml:space="preserve">cash</t>
        </is>
      </c>
      <c r="DX121" t="inlineStr">
        <is>
          <t xml:space="preserve">keep</t>
        </is>
      </c>
      <c r="DY121" t="inlineStr">
        <is>
          <t xml:space="preserve">cash</t>
        </is>
      </c>
      <c r="DZ121"/>
      <c r="EA121" s="4">
        <v>1</v>
      </c>
      <c r="EB121" s="4">
        <v>1</v>
      </c>
      <c r="EC121" s="4">
        <v>0</v>
      </c>
      <c r="ED121" s="6"/>
      <c r="EE121" s="4">
        <v>0</v>
      </c>
      <c r="EF121" s="4">
        <v>0</v>
      </c>
      <c r="EG121" s="4">
        <v>0</v>
      </c>
      <c r="EH121" s="4">
        <v>0</v>
      </c>
      <c r="EI121" s="4">
        <v>0</v>
      </c>
      <c r="EJ121" s="4">
        <v>1.559</v>
      </c>
      <c r="EK121" s="4">
        <v>1.564</v>
      </c>
      <c r="EL121" s="6"/>
      <c r="EM121" s="6"/>
      <c r="EN121" s="6"/>
      <c r="EO121" s="9"/>
      <c r="EP121" s="7">
        <f>IFERROR(EH121/F121,0)</f>
        <v>0</v>
      </c>
      <c r="EQ121"/>
      <c r="ER121"/>
      <c r="ES121"/>
      <c r="ET121"/>
      <c r="EU121"/>
      <c r="EV121" s="4"/>
      <c r="EW121" s="4"/>
      <c r="EX121" s="4"/>
      <c r="EY121" s="6"/>
      <c r="EZ121" s="4"/>
      <c r="FA121" s="4"/>
      <c r="FB121" s="4"/>
      <c r="FC121" s="4"/>
      <c r="FD121" s="4"/>
      <c r="FE121" s="4"/>
      <c r="FF121" s="4"/>
      <c r="FG121" s="6"/>
      <c r="FH121" s="6"/>
      <c r="FI121" s="6"/>
      <c r="FJ121" s="9"/>
      <c r="FK121"/>
      <c r="FL121"/>
      <c r="FM121"/>
      <c r="FN121"/>
      <c r="FO121"/>
      <c r="FP121"/>
      <c r="FQ121" s="4"/>
      <c r="FR121" s="4"/>
      <c r="FS121" s="4"/>
      <c r="FT121" s="6"/>
      <c r="FU121" s="4"/>
      <c r="FV121" s="4"/>
      <c r="FW121" s="4"/>
      <c r="FX121" s="4"/>
      <c r="FY121" s="4"/>
      <c r="FZ121" s="4"/>
      <c r="GA121" s="4"/>
      <c r="GB121" s="6"/>
      <c r="GC121" s="6"/>
      <c r="GD121" s="6"/>
      <c r="GE121" s="9"/>
      <c r="GF121"/>
      <c r="GG121"/>
      <c r="GH121"/>
      <c r="GI121"/>
      <c r="GJ121"/>
      <c r="GK121"/>
      <c r="GL121" s="4"/>
      <c r="GM121" s="4"/>
      <c r="GN121" s="4"/>
      <c r="GO121" s="6"/>
      <c r="GP121" s="4"/>
      <c r="GQ121" s="4"/>
      <c r="GR121" s="4"/>
      <c r="GS121" s="4"/>
      <c r="GT121" s="4"/>
      <c r="GU121" s="4"/>
      <c r="GV121" s="4"/>
      <c r="GW121" s="6"/>
      <c r="GX121" s="6"/>
      <c r="GY121" s="6"/>
      <c r="GZ121" s="9"/>
      <c r="HA121"/>
      <c r="HB121"/>
      <c r="HC121"/>
      <c r="HD121"/>
      <c r="HE121"/>
      <c r="HF121"/>
      <c r="HG121" s="4"/>
      <c r="HH121" s="4"/>
      <c r="HI121" s="4"/>
      <c r="HJ121" s="6"/>
      <c r="HK121" s="4"/>
      <c r="HL121" s="4"/>
      <c r="HM121" s="4"/>
      <c r="HN121" s="4"/>
      <c r="HO121" s="4"/>
      <c r="HP121" s="4"/>
      <c r="HQ121" s="4"/>
      <c r="HR121" s="6"/>
      <c r="HS121" s="6"/>
      <c r="HT121" s="6"/>
      <c r="HU121" s="9"/>
      <c r="HV121"/>
      <c r="HW121"/>
      <c r="HX121"/>
      <c r="HY121"/>
      <c r="HZ121"/>
      <c r="IA121"/>
      <c r="IB121" s="4"/>
      <c r="IC121" s="4"/>
      <c r="ID121" s="4"/>
      <c r="IE121" s="6"/>
      <c r="IF121" s="4"/>
      <c r="IG121" s="4"/>
      <c r="IH121" s="4"/>
      <c r="II121" s="4"/>
      <c r="IJ121" s="4"/>
      <c r="IK121" s="4"/>
      <c r="IL121" s="4"/>
      <c r="IM121" s="6"/>
      <c r="IN121" s="6"/>
      <c r="IO121" s="6"/>
      <c r="IP121" s="9"/>
      <c r="IQ121"/>
      <c r="IR121"/>
      <c r="IS121"/>
      <c r="IT121"/>
      <c r="IU121"/>
      <c r="IV121"/>
      <c r="IW121" s="4"/>
      <c r="IX121" s="4"/>
      <c r="IY121" s="4"/>
      <c r="IZ121" s="6"/>
      <c r="JA121" s="4"/>
      <c r="JB121" s="4"/>
      <c r="JC121" s="4"/>
      <c r="JD121" s="4"/>
      <c r="JE121" s="4"/>
      <c r="JF121" s="4"/>
      <c r="JG121" s="4"/>
      <c r="JH121" s="6"/>
      <c r="JI121" s="6"/>
      <c r="JJ121" s="6"/>
      <c r="JK121" s="9"/>
      <c r="JL121"/>
    </row>
    <row r="122">
      <c r="A122" s="8">
        <v>25384</v>
      </c>
      <c r="B122" s="8">
        <v>25385</v>
      </c>
      <c r="C122" s="9">
        <f>B122-A122</f>
        <v>1</v>
      </c>
      <c r="D122" s="8">
        <v>25384</v>
      </c>
      <c r="E122" t="inlineStr">
        <is>
          <t xml:space="preserve">positive</t>
        </is>
      </c>
      <c r="F122" s="4">
        <v>1.2222597342737527</v>
      </c>
      <c r="G122" s="6">
        <v>0.016659099329095036</v>
      </c>
      <c r="H122" s="7">
        <f>SUM(CE122,CZ122,DU122,EP122,FK122,GF122,HA122,HV122,IQ122,JL122)</f>
        <v>0.016659099329095036</v>
      </c>
      <c r="I122" s="7">
        <f>G122-H122</f>
        <v>0</v>
      </c>
      <c r="J122" s="5">
        <f>F122*(1+H122)</f>
        <v>1.2426214805929723</v>
      </c>
      <c r="K122" s="4">
        <v>1.2426214805929723</v>
      </c>
      <c r="L122" s="5">
        <f>K122-J122</f>
        <v>0</v>
      </c>
      <c r="M122" s="4">
        <v>1.564</v>
      </c>
      <c r="N122" s="4">
        <v>1.595</v>
      </c>
      <c r="O122" s="5">
        <f>M122/$M$3</f>
        <v>0.7987742594484168</v>
      </c>
      <c r="P122" s="5">
        <f>N122/$M$3</f>
        <v>0.8146067415730337</v>
      </c>
      <c r="Q122" s="7">
        <f>IFERROR(N122/M122-1,0)</f>
        <v>0.01982097186700771</v>
      </c>
      <c r="R122" s="5">
        <f>SUM(IF(BM122="lease",BU122,0),IF(CH122="lease",CP122,0),IF(DC122="lease",DK122,0),IF(DX122="lease",EF122,0),IF(ES122="lease",FA122,0),IF(FN122="lease",FV122,0),IF(GI122="lease",GQ122,0),IF(HD122="lease",HL122,0),IF(HY122="lease",IG122,0),IF(IT122="lease",JB122,0))</f>
        <v>1.2222597342737531</v>
      </c>
      <c r="S122" s="5">
        <f>SUM(IF(BM122="lease",BV122,0),IF(CH122="lease",CQ122,0),IF(DC122="lease",DL122,0),IF(DX122="lease",EG122,0),IF(ES122="lease",FB122,0),IF(FN122="lease",FW122,0),IF(GI122="lease",GR122,0),IF(HD122="lease",HM122,0),IF(HY122="lease",IH122,0),IF(IT122="lease",JC122,0))</f>
        <v>1.242621480592973</v>
      </c>
      <c r="T122" s="5">
        <f>SUM(IF(BM122="keep",BU122,0),IF(CH122="keep",CP122,0),IF(DC122="keep",DK122,0),IF(DX122="keep",EF122,0),IF(ES122="keep",FA122,0),IF(FN122="keep",FV122,0),IF(GI122="keep",GQ122,0),IF(HD122="keep",HL122,0),IF(HY122="keep",IG122,0),IF(IT122="keep",JB122,0))</f>
        <v>0</v>
      </c>
      <c r="U122" s="5">
        <f>SUM(IF(BM122="keep",BV122,0),IF(CH122="keep",CQ122,0),IF(DC122="keep",DL122,0),IF(DX122="keep",EG122,0),IF(ES122="keep",FB122,0),IF(FN122="keep",FW122,0),IF(GI122="keep",GR122,0),IF(HD122="keep",HM122,0),IF(HY122="keep",IH122,0),IF(IT122="keep",JC122,0))</f>
        <v>0</v>
      </c>
      <c r="V122" s="5">
        <f>R122/O122</f>
        <v>1.5301691558235346</v>
      </c>
      <c r="W122" s="5">
        <f>S122/P122</f>
        <v>1.5254249899693046</v>
      </c>
      <c r="X122" s="5">
        <f>T122/O122</f>
        <v>0</v>
      </c>
      <c r="Y122" s="5">
        <f>U122/P122</f>
        <v>0</v>
      </c>
      <c r="Z122" s="5">
        <f>V122+X122</f>
        <v>1.5301691558235346</v>
      </c>
      <c r="AA122" s="7">
        <f>IFERROR(W122/V122-1,0)</f>
        <v>-0.0031004192158590183</v>
      </c>
      <c r="AB122" s="7">
        <f>IFERROR((W122-V122)/Z122,0)</f>
        <v>-0.003100419215858971</v>
      </c>
      <c r="AC122" s="7">
        <f>IFERROR(Y122/X122-1,0)</f>
        <v>0</v>
      </c>
      <c r="AD122" s="7">
        <f>IFERROR((Y122-X122)/Z122,0)</f>
        <v>0</v>
      </c>
      <c r="AE122" s="7">
        <f>AB122+AD122</f>
        <v>-0.003100419215858971</v>
      </c>
      <c r="AF122" s="7">
        <f>(1+Q122)*(1+AE122)-1</f>
        <v>0.01665909932909515</v>
      </c>
      <c r="AG122" s="7">
        <f>G122-AF122</f>
        <v>-1.1449174941446927e-16</v>
      </c>
      <c r="AH122" s="5">
        <f>SUM(IF(BM122="lease",BW122,0),IF(CH122="lease",CR122,0),IF(DC122="lease",DM122,0),IF(DX122="lease",EH122,0),IF(ES122="lease",FC122,0),IF(FN122="lease",FX122,0),IF(GI122="lease",GS122,0),IF(HD122="lease",HN122,0),IF(HY122="lease",II122,0),IF(IT122="lease",JD122,0))</f>
        <v>0.02036174631921975</v>
      </c>
      <c r="AI122" s="5">
        <f>SUM(IF(BM122="keep",BW122,0),IF(CH122="keep",CR122,0),IF(DC122="keep",DM122,0),IF(DX122="keep",EH122,0),IF(ES122="keep",FC122,0),IF(FN122="keep",FX122,0),IF(GI122="keep",GS122,0),IF(HD122="keep",HN122,0),IF(HY122="keep",II122,0),IF(IT122="keep",JD122,0))</f>
        <v>0</v>
      </c>
      <c r="AJ122" s="5">
        <f>SUM(IF(BM122="lease",BX122,0),IF(CH122="lease",CS122,0),IF(DC122="lease",DN122,0),IF(DX122="lease",EI122,0),IF(ES122="lease",FD122,0),IF(FN122="lease",FY122,0),IF(GI122="lease",GT122,0),IF(HD122="lease",HO122,0),IF(HY122="lease",IJ122,0),IF(IT122="lease",JE122,0))</f>
        <v>0</v>
      </c>
      <c r="AK122" s="5">
        <f>SUM(IF(BM122="keep",BX122,0),IF(CH122="keep",CS122,0),IF(DC122="keep",DN122,0),IF(DX122="keep",EI122,0),IF(ES122="keep",FD122,0),IF(FN122="keep",FY122,0),IF(GI122="keep",GT122,0),IF(HD122="keep",HO122,0),IF(HY122="keep",IJ122,0),IF(IT122="keep",JE122,0))</f>
        <v>0</v>
      </c>
      <c r="AL122" s="5">
        <f>R122-S121</f>
        <v>0</v>
      </c>
      <c r="AM122" s="5">
        <f>T122-U121</f>
        <v>0</v>
      </c>
      <c r="AN122" s="5">
        <f>AN121</f>
        <v>1</v>
      </c>
      <c r="AO122" s="5">
        <f>AO121+AH122</f>
        <v>0.24262148059297298</v>
      </c>
      <c r="AP122" s="5">
        <f>AP121+AL122</f>
        <v>-4.440892098500626e-16</v>
      </c>
      <c r="AQ122" s="5">
        <f>AN122+AO122+AP122</f>
        <v>1.2426214805929725</v>
      </c>
      <c r="AR122" s="5">
        <f>S122-AQ122</f>
        <v>4.440892098500626e-16</v>
      </c>
      <c r="AS122" s="5">
        <f>AS121</f>
        <v>0</v>
      </c>
      <c r="AT122" s="5">
        <f>AT121+AI122</f>
        <v>0</v>
      </c>
      <c r="AU122" s="5">
        <f>AU121+AM122</f>
        <v>0</v>
      </c>
      <c r="AV122" s="5">
        <f>AS122+AT122+AU122</f>
        <v>0</v>
      </c>
      <c r="AW122" s="5">
        <f>U122-AV122</f>
        <v>0</v>
      </c>
      <c r="AX122" s="4">
        <v>1.2222597342737531</v>
      </c>
      <c r="AY122" s="4">
        <v>1.242621480592973</v>
      </c>
      <c r="AZ122" s="5">
        <f>S122-AY122</f>
        <v>0</v>
      </c>
      <c r="BA122" s="4">
        <v>0</v>
      </c>
      <c r="BB122" s="4">
        <v>0</v>
      </c>
      <c r="BC122" s="5">
        <f>U122-BB122</f>
        <v>0</v>
      </c>
      <c r="BD122" s="7">
        <f>SUM(IF(BL122="direct",CE122,0),IF(CG122="direct",CZ122,0),IF(DB122="direct",DU122,0),IF(DW122="direct",EP122,0),IF(ER122="direct",FK122,0),IF(FM122="direct",GF122,0),IF(GH122="direct",HA122,0),IF(HC122="direct",HV122,0),IF(HX122="direct",IQ122,0),IF(IS122="direct",JL122,0))</f>
        <v>0.017883524431536145</v>
      </c>
      <c r="BE122" s="7">
        <f>SUM(IF(BL122="treasury",CE122,0),IF(CG122="treasury",CZ122,0),IF(DB122="treasury",DU122,0),IF(DW122="treasury",EP122,0),IF(ER122="treasury",FK122,0),IF(FM122="treasury",GF122,0),IF(GH122="treasury",HA122,0),IF(HC122="treasury",HV122,0),IF(HX122="treasury",IQ122,0),IF(IS122="treasury",JL122,0))</f>
        <v>0.000016790932478967448</v>
      </c>
      <c r="BF122" s="7">
        <f>SUM(IF(BL122="future",CE122,0),IF(CG122="future",CZ122,0),IF(DB122="future",DU122,0),IF(DW122="future",EP122,0),IF(ER122="future",FK122,0),IF(FM122="future",GF122,0),IF(GH122="future",HA122,0),IF(HC122="future",HV122,0),IF(HX122="future",IQ122,0),IF(IS122="future",JL122,0))</f>
        <v>-0.0012412160349200769</v>
      </c>
      <c r="BG122" s="7">
        <f>SUM(IF(BL122="cash",CE122,0),IF(CG122="cash",CZ122,0),IF(DB122="cash",DU122,0),IF(DW122="cash",EP122,0),IF(ER122="cash",FK122,0),IF(FM122="cash",GF122,0),IF(GH122="cash",HA122,0),IF(HC122="cash",HV122,0),IF(HX122="cash",IQ122,0),IF(IS122="cash",JL122,0))</f>
        <v>0</v>
      </c>
      <c r="BH122" s="7">
        <f>SUM(BD122:BG122)</f>
        <v>0.016659099329095036</v>
      </c>
      <c r="BI122" s="7">
        <f>G122-BH122</f>
        <v>0</v>
      </c>
      <c r="BJ122" s="9">
        <f>COUNTA(BK122,CF122,DA122,DV122,EQ122,FL122,GG122,HB122,HW122,IR122)</f>
        <v>5</v>
      </c>
      <c r="BK122" t="inlineStr">
        <is>
          <t xml:space="preserve">Direct commodity holding</t>
        </is>
      </c>
      <c r="BL122" t="inlineStr">
        <is>
          <t xml:space="preserve">direct</t>
        </is>
      </c>
      <c r="BM122" t="inlineStr">
        <is>
          <t xml:space="preserve">lease</t>
        </is>
      </c>
      <c r="BN122" t="inlineStr">
        <is>
          <t xml:space="preserve">long</t>
        </is>
      </c>
      <c r="BO122"/>
      <c r="BP122" s="4">
        <v>1.564</v>
      </c>
      <c r="BQ122" s="4">
        <v>1.595</v>
      </c>
      <c r="BR122" s="4">
        <v>0.7053505731226729</v>
      </c>
      <c r="BS122" s="6">
        <v>0.902564541258774</v>
      </c>
      <c r="BT122" s="4">
        <v>1.1031682963638605</v>
      </c>
      <c r="BU122" s="4">
        <v>1.1031682963638605</v>
      </c>
      <c r="BV122" s="4">
        <v>1.1250341641306634</v>
      </c>
      <c r="BW122" s="4">
        <v>0.021858311819567534</v>
      </c>
      <c r="BX122" s="4">
        <v>0.0000075559472353485535</v>
      </c>
      <c r="BY122" s="4">
        <v>1.564</v>
      </c>
      <c r="BZ122" s="4">
        <v>1.595</v>
      </c>
      <c r="CA122" s="6"/>
      <c r="CB122" s="6"/>
      <c r="CC122" s="6"/>
      <c r="CD122" s="9"/>
      <c r="CE122" s="7">
        <f>IFERROR(BW122/F122,0)</f>
        <v>0.017883524431536145</v>
      </c>
      <c r="CF122" t="inlineStr">
        <is>
          <t xml:space="preserve">Treasury collateral</t>
        </is>
      </c>
      <c r="CG122" t="inlineStr">
        <is>
          <t xml:space="preserve">treasury</t>
        </is>
      </c>
      <c r="CH122" t="inlineStr">
        <is>
          <t xml:space="preserve">lease</t>
        </is>
      </c>
      <c r="CI122" t="inlineStr">
        <is>
          <t xml:space="preserve">long</t>
        </is>
      </c>
      <c r="CJ122"/>
      <c r="CK122" s="4">
        <v>103.05687017320591</v>
      </c>
      <c r="CL122" s="4">
        <v>103.07462983658644</v>
      </c>
      <c r="CM122" s="4">
        <v>0.0011555895081010827</v>
      </c>
      <c r="CN122" s="6">
        <v>0.09743545874122607</v>
      </c>
      <c r="CO122" s="4">
        <v>0.11909143790989216</v>
      </c>
      <c r="CP122" s="4">
        <v>0.11909143790989216</v>
      </c>
      <c r="CQ122" s="4">
        <v>0.1191119607905621</v>
      </c>
      <c r="CR122" s="4">
        <v>0.000020522880669951275</v>
      </c>
      <c r="CS122" s="4">
        <v>-2.6020852139652106e-18</v>
      </c>
      <c r="CT122" s="4">
        <v>1.564</v>
      </c>
      <c r="CU122" s="4">
        <v>1.595</v>
      </c>
      <c r="CV122" s="6"/>
      <c r="CW122" s="6"/>
      <c r="CX122" s="6"/>
      <c r="CY122" s="9">
        <v>29</v>
      </c>
      <c r="CZ122" s="7">
        <f>IFERROR(CR122/F122,0)</f>
        <v>0.000016790932478967448</v>
      </c>
      <c r="DA122" t="inlineStr">
        <is>
          <t xml:space="preserve">SI69N</t>
        </is>
      </c>
      <c r="DB122" t="inlineStr">
        <is>
          <t xml:space="preserve">future</t>
        </is>
      </c>
      <c r="DC122" t="inlineStr">
        <is>
          <t xml:space="preserve">lease</t>
        </is>
      </c>
      <c r="DD122" t="inlineStr">
        <is>
          <t xml:space="preserve">long</t>
        </is>
      </c>
      <c r="DE122" t="inlineStr">
        <is>
          <t xml:space="preserve">regular</t>
        </is>
      </c>
      <c r="DF122" s="4">
        <v>1.57</v>
      </c>
      <c r="DG122" s="4">
        <v>1.55</v>
      </c>
      <c r="DH122" s="4">
        <v>0.07585441905088672</v>
      </c>
      <c r="DI122" s="6">
        <v>0.09743545874122607</v>
      </c>
      <c r="DJ122" s="4">
        <v>0.11909143790989216</v>
      </c>
      <c r="DK122" s="4">
        <v>0</v>
      </c>
      <c r="DL122" s="4">
        <v>0</v>
      </c>
      <c r="DM122" s="4">
        <v>-0.001517088381017734</v>
      </c>
      <c r="DN122" s="4">
        <v>0.001517088381017734</v>
      </c>
      <c r="DO122" s="4">
        <v>1.564</v>
      </c>
      <c r="DP122" s="4">
        <v>1.595</v>
      </c>
      <c r="DQ122" s="6">
        <v>0.0038363171355497716</v>
      </c>
      <c r="DR122" s="6">
        <v>0.0629</v>
      </c>
      <c r="DS122" s="6">
        <v>0.014615318811183907</v>
      </c>
      <c r="DT122" s="9">
        <v>29</v>
      </c>
      <c r="DU122" s="7">
        <f>IFERROR(DM122/F122,0)</f>
        <v>-0.0012412160349200769</v>
      </c>
      <c r="DV122" t="inlineStr">
        <is>
          <t xml:space="preserve">Lease cash / margin / financing</t>
        </is>
      </c>
      <c r="DW122" t="inlineStr">
        <is>
          <t xml:space="preserve">cash</t>
        </is>
      </c>
      <c r="DX122" t="inlineStr">
        <is>
          <t xml:space="preserve">lease</t>
        </is>
      </c>
      <c r="DY122" t="inlineStr">
        <is>
          <t xml:space="preserve">cash</t>
        </is>
      </c>
      <c r="DZ122"/>
      <c r="EA122" s="4">
        <v>1</v>
      </c>
      <c r="EB122" s="4">
        <v>1</v>
      </c>
      <c r="EC122" s="4">
        <v>4.440892098500626e-16</v>
      </c>
      <c r="ED122" s="6"/>
      <c r="EE122" s="4">
        <v>4.440892098500626e-16</v>
      </c>
      <c r="EF122" s="4">
        <v>4.440892098500626e-16</v>
      </c>
      <c r="EG122" s="4">
        <v>-0.001524644328252636</v>
      </c>
      <c r="EH122" s="4">
        <v>0</v>
      </c>
      <c r="EI122" s="4">
        <v>-0.00152464432825308</v>
      </c>
      <c r="EJ122" s="4">
        <v>1.564</v>
      </c>
      <c r="EK122" s="4">
        <v>1.595</v>
      </c>
      <c r="EL122" s="6"/>
      <c r="EM122" s="6"/>
      <c r="EN122" s="6"/>
      <c r="EO122" s="9"/>
      <c r="EP122" s="7">
        <f>IFERROR(EH122/F122,0)</f>
        <v>0</v>
      </c>
      <c r="EQ122" t="inlineStr">
        <is>
          <t xml:space="preserve">Keep cash / margin / financing</t>
        </is>
      </c>
      <c r="ER122" t="inlineStr">
        <is>
          <t xml:space="preserve">cash</t>
        </is>
      </c>
      <c r="ES122" t="inlineStr">
        <is>
          <t xml:space="preserve">keep</t>
        </is>
      </c>
      <c r="ET122" t="inlineStr">
        <is>
          <t xml:space="preserve">cash</t>
        </is>
      </c>
      <c r="EU122"/>
      <c r="EV122" s="4">
        <v>1</v>
      </c>
      <c r="EW122" s="4">
        <v>1</v>
      </c>
      <c r="EX122" s="4">
        <v>0</v>
      </c>
      <c r="EY122" s="6"/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1.564</v>
      </c>
      <c r="FF122" s="4">
        <v>1.595</v>
      </c>
      <c r="FG122" s="6"/>
      <c r="FH122" s="6"/>
      <c r="FI122" s="6"/>
      <c r="FJ122" s="9"/>
      <c r="FK122" s="7">
        <f>IFERROR(FC122/F122,0)</f>
        <v>0</v>
      </c>
      <c r="FL122"/>
      <c r="FM122"/>
      <c r="FN122"/>
      <c r="FO122"/>
      <c r="FP122"/>
      <c r="FQ122" s="4"/>
      <c r="FR122" s="4"/>
      <c r="FS122" s="4"/>
      <c r="FT122" s="6"/>
      <c r="FU122" s="4"/>
      <c r="FV122" s="4"/>
      <c r="FW122" s="4"/>
      <c r="FX122" s="4"/>
      <c r="FY122" s="4"/>
      <c r="FZ122" s="4"/>
      <c r="GA122" s="4"/>
      <c r="GB122" s="6"/>
      <c r="GC122" s="6"/>
      <c r="GD122" s="6"/>
      <c r="GE122" s="9"/>
      <c r="GF122"/>
      <c r="GG122"/>
      <c r="GH122"/>
      <c r="GI122"/>
      <c r="GJ122"/>
      <c r="GK122"/>
      <c r="GL122" s="4"/>
      <c r="GM122" s="4"/>
      <c r="GN122" s="4"/>
      <c r="GO122" s="6"/>
      <c r="GP122" s="4"/>
      <c r="GQ122" s="4"/>
      <c r="GR122" s="4"/>
      <c r="GS122" s="4"/>
      <c r="GT122" s="4"/>
      <c r="GU122" s="4"/>
      <c r="GV122" s="4"/>
      <c r="GW122" s="6"/>
      <c r="GX122" s="6"/>
      <c r="GY122" s="6"/>
      <c r="GZ122" s="9"/>
      <c r="HA122"/>
      <c r="HB122"/>
      <c r="HC122"/>
      <c r="HD122"/>
      <c r="HE122"/>
      <c r="HF122"/>
      <c r="HG122" s="4"/>
      <c r="HH122" s="4"/>
      <c r="HI122" s="4"/>
      <c r="HJ122" s="6"/>
      <c r="HK122" s="4"/>
      <c r="HL122" s="4"/>
      <c r="HM122" s="4"/>
      <c r="HN122" s="4"/>
      <c r="HO122" s="4"/>
      <c r="HP122" s="4"/>
      <c r="HQ122" s="4"/>
      <c r="HR122" s="6"/>
      <c r="HS122" s="6"/>
      <c r="HT122" s="6"/>
      <c r="HU122" s="9"/>
      <c r="HV122"/>
      <c r="HW122"/>
      <c r="HX122"/>
      <c r="HY122"/>
      <c r="HZ122"/>
      <c r="IA122"/>
      <c r="IB122" s="4"/>
      <c r="IC122" s="4"/>
      <c r="ID122" s="4"/>
      <c r="IE122" s="6"/>
      <c r="IF122" s="4"/>
      <c r="IG122" s="4"/>
      <c r="IH122" s="4"/>
      <c r="II122" s="4"/>
      <c r="IJ122" s="4"/>
      <c r="IK122" s="4"/>
      <c r="IL122" s="4"/>
      <c r="IM122" s="6"/>
      <c r="IN122" s="6"/>
      <c r="IO122" s="6"/>
      <c r="IP122" s="9"/>
      <c r="IQ122"/>
      <c r="IR122"/>
      <c r="IS122"/>
      <c r="IT122"/>
      <c r="IU122"/>
      <c r="IV122"/>
      <c r="IW122" s="4"/>
      <c r="IX122" s="4"/>
      <c r="IY122" s="4"/>
      <c r="IZ122" s="6"/>
      <c r="JA122" s="4"/>
      <c r="JB122" s="4"/>
      <c r="JC122" s="4"/>
      <c r="JD122" s="4"/>
      <c r="JE122" s="4"/>
      <c r="JF122" s="4"/>
      <c r="JG122" s="4"/>
      <c r="JH122" s="6"/>
      <c r="JI122" s="6"/>
      <c r="JJ122" s="6"/>
      <c r="JK122" s="9"/>
      <c r="JL122"/>
    </row>
    <row r="123">
      <c r="A123" s="8">
        <v>25385</v>
      </c>
      <c r="B123" s="8">
        <v>25386</v>
      </c>
      <c r="C123" s="9">
        <f>B123-A123</f>
        <v>1</v>
      </c>
      <c r="D123" s="8">
        <v>25385</v>
      </c>
      <c r="E123" t="inlineStr">
        <is>
          <t xml:space="preserve">positive</t>
        </is>
      </c>
      <c r="F123" s="4">
        <v>1.2426214805929723</v>
      </c>
      <c r="G123" s="6">
        <v>0.0034085461776402533</v>
      </c>
      <c r="H123" s="7">
        <f>SUM(CE123,CZ123,DU123,EP123,FK123,GF123,HA123,HV123,IQ123,JL123)</f>
        <v>0.0034085461776402533</v>
      </c>
      <c r="I123" s="7">
        <f>G123-H123</f>
        <v>0</v>
      </c>
      <c r="J123" s="5">
        <f>F123*(1+H123)</f>
        <v>1.2468570132909012</v>
      </c>
      <c r="K123" s="4">
        <v>1.2468570132909012</v>
      </c>
      <c r="L123" s="5">
        <f>K123-J123</f>
        <v>0</v>
      </c>
      <c r="M123" s="4">
        <v>1.595</v>
      </c>
      <c r="N123" s="4">
        <v>1.57</v>
      </c>
      <c r="O123" s="5">
        <f>M123/$M$3</f>
        <v>0.8146067415730337</v>
      </c>
      <c r="P123" s="5">
        <f>N123/$M$3</f>
        <v>0.801838610827375</v>
      </c>
      <c r="Q123" s="7">
        <f>IFERROR(N123/M123-1,0)</f>
        <v>-0.01567398119122254</v>
      </c>
      <c r="R123" s="5">
        <f>SUM(IF(BM123="lease",BU123,0),IF(CH123="lease",CP123,0),IF(DC123="lease",DK123,0),IF(DX123="lease",EF123,0),IF(ES123="lease",FA123,0),IF(FN123="lease",FV123,0),IF(GI123="lease",GQ123,0),IF(HD123="lease",HL123,0),IF(HY123="lease",IG123,0),IF(IT123="lease",JB123,0))</f>
        <v>1.242621480592973</v>
      </c>
      <c r="S123" s="5">
        <f>SUM(IF(BM123="lease",BV123,0),IF(CH123="lease",CQ123,0),IF(DC123="lease",DL123,0),IF(DX123="lease",EG123,0),IF(ES123="lease",FB123,0),IF(FN123="lease",FW123,0),IF(GI123="lease",GR123,0),IF(HD123="lease",HM123,0),IF(HY123="lease",IH123,0),IF(IT123="lease",JC123,0))</f>
        <v>1.2468570132909018</v>
      </c>
      <c r="T123" s="5">
        <f>SUM(IF(BM123="keep",BU123,0),IF(CH123="keep",CP123,0),IF(DC123="keep",DK123,0),IF(DX123="keep",EF123,0),IF(ES123="keep",FA123,0),IF(FN123="keep",FV123,0),IF(GI123="keep",GQ123,0),IF(HD123="keep",HL123,0),IF(HY123="keep",IG123,0),IF(IT123="keep",JB123,0))</f>
        <v>0</v>
      </c>
      <c r="U123" s="5">
        <f>SUM(IF(BM123="keep",BV123,0),IF(CH123="keep",CQ123,0),IF(DC123="keep",DL123,0),IF(DX123="keep",EG123,0),IF(ES123="keep",FB123,0),IF(FN123="keep",FW123,0),IF(GI123="keep",GR123,0),IF(HD123="keep",HM123,0),IF(HY123="keep",IH123,0),IF(IT123="keep",JC123,0))</f>
        <v>0</v>
      </c>
      <c r="V123" s="5">
        <f>R123/O123</f>
        <v>1.5254249899693046</v>
      </c>
      <c r="W123" s="5">
        <f>S123/P123</f>
        <v>1.5549974726264877</v>
      </c>
      <c r="X123" s="5">
        <f>T123/O123</f>
        <v>0</v>
      </c>
      <c r="Y123" s="5">
        <f>U123/P123</f>
        <v>0</v>
      </c>
      <c r="Z123" s="5">
        <f>V123+X123</f>
        <v>1.5254249899693046</v>
      </c>
      <c r="AA123" s="7">
        <f>IFERROR(W123/V123-1,0)</f>
        <v>0.01938638926964087</v>
      </c>
      <c r="AB123" s="7">
        <f>IFERROR((W123-V123)/Z123,0)</f>
        <v>0.019386389269640925</v>
      </c>
      <c r="AC123" s="7">
        <f>IFERROR(Y123/X123-1,0)</f>
        <v>0</v>
      </c>
      <c r="AD123" s="7">
        <f>IFERROR((Y123-X123)/Z123,0)</f>
        <v>0</v>
      </c>
      <c r="AE123" s="7">
        <f>AB123+AD123</f>
        <v>0.019386389269640925</v>
      </c>
      <c r="AF123" s="7">
        <f>(1+Q123)*(1+AE123)-1</f>
        <v>0.0034085461776403037</v>
      </c>
      <c r="AG123" s="7">
        <f>G123-AF123</f>
        <v>-5.0306980803327406e-17</v>
      </c>
      <c r="AH123" s="5">
        <f>SUM(IF(BM123="lease",BW123,0),IF(CH123="lease",CR123,0),IF(DC123="lease",DM123,0),IF(DX123="lease",EH123,0),IF(ES123="lease",FC123,0),IF(FN123="lease",FX123,0),IF(GI123="lease",GS123,0),IF(HD123="lease",HN123,0),IF(HY123="lease",II123,0),IF(IT123="lease",JD123,0))</f>
        <v>0.004235532697928848</v>
      </c>
      <c r="AI123" s="5">
        <f>SUM(IF(BM123="keep",BW123,0),IF(CH123="keep",CR123,0),IF(DC123="keep",DM123,0),IF(DX123="keep",EH123,0),IF(ES123="keep",FC123,0),IF(FN123="keep",FX123,0),IF(GI123="keep",GS123,0),IF(HD123="keep",HN123,0),IF(HY123="keep",II123,0),IF(IT123="keep",JD123,0))</f>
        <v>0</v>
      </c>
      <c r="AJ123" s="5">
        <f>SUM(IF(BM123="lease",BX123,0),IF(CH123="lease",CS123,0),IF(DC123="lease",DN123,0),IF(DX123="lease",EI123,0),IF(ES123="lease",FD123,0),IF(FN123="lease",FY123,0),IF(GI123="lease",GT123,0),IF(HD123="lease",HO123,0),IF(HY123="lease",IJ123,0),IF(IT123="lease",JE123,0))</f>
        <v>0</v>
      </c>
      <c r="AK123" s="5">
        <f>SUM(IF(BM123="keep",BX123,0),IF(CH123="keep",CS123,0),IF(DC123="keep",DN123,0),IF(DX123="keep",EI123,0),IF(ES123="keep",FD123,0),IF(FN123="keep",FY123,0),IF(GI123="keep",GT123,0),IF(HD123="keep",HO123,0),IF(HY123="keep",IJ123,0),IF(IT123="keep",JE123,0))</f>
        <v>0</v>
      </c>
      <c r="AL123" s="5">
        <f>R123-S122</f>
        <v>0</v>
      </c>
      <c r="AM123" s="5">
        <f>T123-U122</f>
        <v>0</v>
      </c>
      <c r="AN123" s="5">
        <f>AN122</f>
        <v>1</v>
      </c>
      <c r="AO123" s="5">
        <f>AO122+AH123</f>
        <v>0.24685701329090182</v>
      </c>
      <c r="AP123" s="5">
        <f>AP122+AL123</f>
        <v>-4.440892098500626e-16</v>
      </c>
      <c r="AQ123" s="5">
        <f>AN123+AO123+AP123</f>
        <v>1.2468570132909014</v>
      </c>
      <c r="AR123" s="5">
        <f>S123-AQ123</f>
        <v>4.440892098500626e-16</v>
      </c>
      <c r="AS123" s="5">
        <f>AS122</f>
        <v>0</v>
      </c>
      <c r="AT123" s="5">
        <f>AT122+AI123</f>
        <v>0</v>
      </c>
      <c r="AU123" s="5">
        <f>AU122+AM123</f>
        <v>0</v>
      </c>
      <c r="AV123" s="5">
        <f>AS123+AT123+AU123</f>
        <v>0</v>
      </c>
      <c r="AW123" s="5">
        <f>U123-AV123</f>
        <v>0</v>
      </c>
      <c r="AX123" s="4">
        <v>1.242621480592973</v>
      </c>
      <c r="AY123" s="4">
        <v>1.2468570132909018</v>
      </c>
      <c r="AZ123" s="5">
        <f>S123-AY123</f>
        <v>0</v>
      </c>
      <c r="BA123" s="4">
        <v>0</v>
      </c>
      <c r="BB123" s="4">
        <v>0</v>
      </c>
      <c r="BC123" s="5">
        <f>U123-BB123</f>
        <v>0</v>
      </c>
      <c r="BD123" s="7">
        <f>SUM(IF(BL123="direct",CE123,0),IF(CG123="direct",CZ123,0),IF(DB123="direct",DU123,0),IF(DW123="direct",EP123,0),IF(ER123="direct",FK123,0),IF(FM123="direct",GF123,0),IF(GH123="direct",HA123,0),IF(HC123="direct",HV123,0),IF(HX123="direct",IQ123,0),IF(IS123="direct",JL123,0))</f>
        <v>0</v>
      </c>
      <c r="BE123" s="7">
        <f>SUM(IF(BL123="treasury",CE123,0),IF(CG123="treasury",CZ123,0),IF(DB123="treasury",DU123,0),IF(DW123="treasury",EP123,0),IF(ER123="treasury",FK123,0),IF(FM123="treasury",GF123,0),IF(GH123="treasury",HA123,0),IF(HC123="treasury",HV123,0),IF(HX123="treasury",IQ123,0),IF(IS123="treasury",JL123,0))</f>
        <v>0.00018273972602739726</v>
      </c>
      <c r="BF123" s="7">
        <f>SUM(IF(BL123="future",CE123,0),IF(CG123="future",CZ123,0),IF(DB123="future",DU123,0),IF(DW123="future",EP123,0),IF(ER123="future",FK123,0),IF(FM123="future",GF123,0),IF(GH123="future",HA123,0),IF(HC123="future",HV123,0),IF(HX123="future",IQ123,0),IF(IS123="future",JL123,0))</f>
        <v>0.003225806451612856</v>
      </c>
      <c r="BG123" s="7">
        <f>SUM(IF(BL123="cash",CE123,0),IF(CG123="cash",CZ123,0),IF(DB123="cash",DU123,0),IF(DW123="cash",EP123,0),IF(ER123="cash",FK123,0),IF(FM123="cash",GF123,0),IF(GH123="cash",HA123,0),IF(HC123="cash",HV123,0),IF(HX123="cash",IQ123,0),IF(IS123="cash",JL123,0))</f>
        <v>0</v>
      </c>
      <c r="BH123" s="7">
        <f>SUM(BD123:BG123)</f>
        <v>0.0034085461776402533</v>
      </c>
      <c r="BI123" s="7">
        <f>G123-BH123</f>
        <v>0</v>
      </c>
      <c r="BJ123" s="9">
        <f>COUNTA(BK123,CF123,DA123,DV123,EQ123,FL123,GG123,HB123,HW123,IR123)</f>
        <v>4</v>
      </c>
      <c r="BK123" t="inlineStr">
        <is>
          <t xml:space="preserve">Treasury collateral</t>
        </is>
      </c>
      <c r="BL123" t="inlineStr">
        <is>
          <t xml:space="preserve">treasury</t>
        </is>
      </c>
      <c r="BM123" t="inlineStr">
        <is>
          <t xml:space="preserve">lease</t>
        </is>
      </c>
      <c r="BN123" t="inlineStr">
        <is>
          <t xml:space="preserve">long</t>
        </is>
      </c>
      <c r="BO123"/>
      <c r="BP123" s="4">
        <v>103.07462983658644</v>
      </c>
      <c r="BQ123" s="4">
        <v>103.09346566620317</v>
      </c>
      <c r="BR123" s="4">
        <v>0.012055551230821908</v>
      </c>
      <c r="BS123" s="6">
        <v>1</v>
      </c>
      <c r="BT123" s="4">
        <v>1.2426214805929723</v>
      </c>
      <c r="BU123" s="4">
        <v>1.2426214805929723</v>
      </c>
      <c r="BV123" s="4">
        <v>1.2428485569018917</v>
      </c>
      <c r="BW123" s="4">
        <v>0.0002270763089193185</v>
      </c>
      <c r="BX123" s="4">
        <v>6.429318882839041e-17</v>
      </c>
      <c r="BY123" s="4">
        <v>1.595</v>
      </c>
      <c r="BZ123" s="4">
        <v>1.57</v>
      </c>
      <c r="CA123" s="6"/>
      <c r="CB123" s="6"/>
      <c r="CC123" s="6"/>
      <c r="CD123" s="9">
        <v>28</v>
      </c>
      <c r="CE123" s="7">
        <f>IFERROR(BW123/F123,0)</f>
        <v>0.00018273972602739726</v>
      </c>
      <c r="CF123" t="inlineStr">
        <is>
          <t xml:space="preserve">SI69N</t>
        </is>
      </c>
      <c r="CG123" t="inlineStr">
        <is>
          <t xml:space="preserve">future</t>
        </is>
      </c>
      <c r="CH123" t="inlineStr">
        <is>
          <t xml:space="preserve">lease</t>
        </is>
      </c>
      <c r="CI123" t="inlineStr">
        <is>
          <t xml:space="preserve">long</t>
        </is>
      </c>
      <c r="CJ123" t="inlineStr">
        <is>
          <t xml:space="preserve">regular</t>
        </is>
      </c>
      <c r="CK123" s="4">
        <v>1.55</v>
      </c>
      <c r="CL123" s="4">
        <v>1.555</v>
      </c>
      <c r="CM123" s="4">
        <v>0.8016912778019176</v>
      </c>
      <c r="CN123" s="6">
        <v>1</v>
      </c>
      <c r="CO123" s="4">
        <v>1.2426214805929723</v>
      </c>
      <c r="CP123" s="4">
        <v>0</v>
      </c>
      <c r="CQ123" s="4">
        <v>0</v>
      </c>
      <c r="CR123" s="4">
        <v>0.004008456389009529</v>
      </c>
      <c r="CS123" s="4">
        <v>-0.004008456389009529</v>
      </c>
      <c r="CT123" s="4">
        <v>1.595</v>
      </c>
      <c r="CU123" s="4">
        <v>1.57</v>
      </c>
      <c r="CV123" s="6">
        <v>-0.028213166144200552</v>
      </c>
      <c r="CW123" s="6">
        <v>0.0667</v>
      </c>
      <c r="CX123" s="6">
        <v>0.43447877295118575</v>
      </c>
      <c r="CY123" s="9">
        <v>28</v>
      </c>
      <c r="CZ123" s="7">
        <f>IFERROR(CR123/F123,0)</f>
        <v>0.003225806451612856</v>
      </c>
      <c r="DA123" t="inlineStr">
        <is>
          <t xml:space="preserve">Lease cash / margin / financing</t>
        </is>
      </c>
      <c r="DB123" t="inlineStr">
        <is>
          <t xml:space="preserve">cash</t>
        </is>
      </c>
      <c r="DC123" t="inlineStr">
        <is>
          <t xml:space="preserve">lease</t>
        </is>
      </c>
      <c r="DD123" t="inlineStr">
        <is>
          <t xml:space="preserve">cash</t>
        </is>
      </c>
      <c r="DE123"/>
      <c r="DF123" s="4">
        <v>1</v>
      </c>
      <c r="DG123" s="4">
        <v>1</v>
      </c>
      <c r="DH123" s="4">
        <v>6.661338147750939e-16</v>
      </c>
      <c r="DI123" s="6"/>
      <c r="DJ123" s="4">
        <v>6.661338147750939e-16</v>
      </c>
      <c r="DK123" s="4">
        <v>6.661338147750939e-16</v>
      </c>
      <c r="DL123" s="4">
        <v>0.004008456389010131</v>
      </c>
      <c r="DM123" s="4">
        <v>0</v>
      </c>
      <c r="DN123" s="4">
        <v>0.004008456389009465</v>
      </c>
      <c r="DO123" s="4">
        <v>1.595</v>
      </c>
      <c r="DP123" s="4">
        <v>1.57</v>
      </c>
      <c r="DQ123" s="6"/>
      <c r="DR123" s="6"/>
      <c r="DS123" s="6"/>
      <c r="DT123" s="9"/>
      <c r="DU123" s="7">
        <f>IFERROR(DM123/F123,0)</f>
        <v>0</v>
      </c>
      <c r="DV123" t="inlineStr">
        <is>
          <t xml:space="preserve">Keep cash / margin / financing</t>
        </is>
      </c>
      <c r="DW123" t="inlineStr">
        <is>
          <t xml:space="preserve">cash</t>
        </is>
      </c>
      <c r="DX123" t="inlineStr">
        <is>
          <t xml:space="preserve">keep</t>
        </is>
      </c>
      <c r="DY123" t="inlineStr">
        <is>
          <t xml:space="preserve">cash</t>
        </is>
      </c>
      <c r="DZ123"/>
      <c r="EA123" s="4">
        <v>1</v>
      </c>
      <c r="EB123" s="4">
        <v>1</v>
      </c>
      <c r="EC123" s="4">
        <v>0</v>
      </c>
      <c r="ED123" s="6"/>
      <c r="EE123" s="4">
        <v>0</v>
      </c>
      <c r="EF123" s="4">
        <v>0</v>
      </c>
      <c r="EG123" s="4">
        <v>0</v>
      </c>
      <c r="EH123" s="4">
        <v>0</v>
      </c>
      <c r="EI123" s="4">
        <v>0</v>
      </c>
      <c r="EJ123" s="4">
        <v>1.595</v>
      </c>
      <c r="EK123" s="4">
        <v>1.57</v>
      </c>
      <c r="EL123" s="6"/>
      <c r="EM123" s="6"/>
      <c r="EN123" s="6"/>
      <c r="EO123" s="9"/>
      <c r="EP123" s="7">
        <f>IFERROR(EH123/F123,0)</f>
        <v>0</v>
      </c>
      <c r="EQ123"/>
      <c r="ER123"/>
      <c r="ES123"/>
      <c r="ET123"/>
      <c r="EU123"/>
      <c r="EV123" s="4"/>
      <c r="EW123" s="4"/>
      <c r="EX123" s="4"/>
      <c r="EY123" s="6"/>
      <c r="EZ123" s="4"/>
      <c r="FA123" s="4"/>
      <c r="FB123" s="4"/>
      <c r="FC123" s="4"/>
      <c r="FD123" s="4"/>
      <c r="FE123" s="4"/>
      <c r="FF123" s="4"/>
      <c r="FG123" s="6"/>
      <c r="FH123" s="6"/>
      <c r="FI123" s="6"/>
      <c r="FJ123" s="9"/>
      <c r="FK123"/>
      <c r="FL123"/>
      <c r="FM123"/>
      <c r="FN123"/>
      <c r="FO123"/>
      <c r="FP123"/>
      <c r="FQ123" s="4"/>
      <c r="FR123" s="4"/>
      <c r="FS123" s="4"/>
      <c r="FT123" s="6"/>
      <c r="FU123" s="4"/>
      <c r="FV123" s="4"/>
      <c r="FW123" s="4"/>
      <c r="FX123" s="4"/>
      <c r="FY123" s="4"/>
      <c r="FZ123" s="4"/>
      <c r="GA123" s="4"/>
      <c r="GB123" s="6"/>
      <c r="GC123" s="6"/>
      <c r="GD123" s="6"/>
      <c r="GE123" s="9"/>
      <c r="GF123"/>
      <c r="GG123"/>
      <c r="GH123"/>
      <c r="GI123"/>
      <c r="GJ123"/>
      <c r="GK123"/>
      <c r="GL123" s="4"/>
      <c r="GM123" s="4"/>
      <c r="GN123" s="4"/>
      <c r="GO123" s="6"/>
      <c r="GP123" s="4"/>
      <c r="GQ123" s="4"/>
      <c r="GR123" s="4"/>
      <c r="GS123" s="4"/>
      <c r="GT123" s="4"/>
      <c r="GU123" s="4"/>
      <c r="GV123" s="4"/>
      <c r="GW123" s="6"/>
      <c r="GX123" s="6"/>
      <c r="GY123" s="6"/>
      <c r="GZ123" s="9"/>
      <c r="HA123"/>
      <c r="HB123"/>
      <c r="HC123"/>
      <c r="HD123"/>
      <c r="HE123"/>
      <c r="HF123"/>
      <c r="HG123" s="4"/>
      <c r="HH123" s="4"/>
      <c r="HI123" s="4"/>
      <c r="HJ123" s="6"/>
      <c r="HK123" s="4"/>
      <c r="HL123" s="4"/>
      <c r="HM123" s="4"/>
      <c r="HN123" s="4"/>
      <c r="HO123" s="4"/>
      <c r="HP123" s="4"/>
      <c r="HQ123" s="4"/>
      <c r="HR123" s="6"/>
      <c r="HS123" s="6"/>
      <c r="HT123" s="6"/>
      <c r="HU123" s="9"/>
      <c r="HV123"/>
      <c r="HW123"/>
      <c r="HX123"/>
      <c r="HY123"/>
      <c r="HZ123"/>
      <c r="IA123"/>
      <c r="IB123" s="4"/>
      <c r="IC123" s="4"/>
      <c r="ID123" s="4"/>
      <c r="IE123" s="6"/>
      <c r="IF123" s="4"/>
      <c r="IG123" s="4"/>
      <c r="IH123" s="4"/>
      <c r="II123" s="4"/>
      <c r="IJ123" s="4"/>
      <c r="IK123" s="4"/>
      <c r="IL123" s="4"/>
      <c r="IM123" s="6"/>
      <c r="IN123" s="6"/>
      <c r="IO123" s="6"/>
      <c r="IP123" s="9"/>
      <c r="IQ123"/>
      <c r="IR123"/>
      <c r="IS123"/>
      <c r="IT123"/>
      <c r="IU123"/>
      <c r="IV123"/>
      <c r="IW123" s="4"/>
      <c r="IX123" s="4"/>
      <c r="IY123" s="4"/>
      <c r="IZ123" s="6"/>
      <c r="JA123" s="4"/>
      <c r="JB123" s="4"/>
      <c r="JC123" s="4"/>
      <c r="JD123" s="4"/>
      <c r="JE123" s="4"/>
      <c r="JF123" s="4"/>
      <c r="JG123" s="4"/>
      <c r="JH123" s="6"/>
      <c r="JI123" s="6"/>
      <c r="JJ123" s="6"/>
      <c r="JK123" s="9"/>
      <c r="JL123"/>
    </row>
    <row r="124">
      <c r="A124" s="8">
        <v>25386</v>
      </c>
      <c r="B124" s="8">
        <v>25387</v>
      </c>
      <c r="C124" s="9">
        <f>B124-A124</f>
        <v>1</v>
      </c>
      <c r="D124" s="8">
        <v>25386</v>
      </c>
      <c r="E124" t="inlineStr">
        <is>
          <t xml:space="preserve">positive</t>
        </is>
      </c>
      <c r="F124" s="4">
        <v>1.2468570132909012</v>
      </c>
      <c r="G124" s="6">
        <v>0.0027570048011278446</v>
      </c>
      <c r="H124" s="7">
        <f>SUM(CE124,CZ124,DU124,EP124,FK124,GF124,HA124,HV124,IQ124,JL124)</f>
        <v>0.0027570048011278455</v>
      </c>
      <c r="I124" s="7">
        <f>G124-H124</f>
        <v>-8.673617379884035e-19</v>
      </c>
      <c r="J124" s="5">
        <f>F124*(1+H124)</f>
        <v>1.2502946040628642</v>
      </c>
      <c r="K124" s="4">
        <v>1.2502946040628642</v>
      </c>
      <c r="L124" s="5">
        <f>K124-J124</f>
        <v>0</v>
      </c>
      <c r="M124" s="4">
        <v>1.57</v>
      </c>
      <c r="N124" s="4">
        <v>1.573</v>
      </c>
      <c r="O124" s="5">
        <f>M124/$M$3</f>
        <v>0.801838610827375</v>
      </c>
      <c r="P124" s="5">
        <f>N124/$M$3</f>
        <v>0.8033707865168539</v>
      </c>
      <c r="Q124" s="7">
        <f>IFERROR(N124/M124-1,0)</f>
        <v>0.0019108280254775956</v>
      </c>
      <c r="R124" s="5">
        <f>SUM(IF(BM124="lease",BU124,0),IF(CH124="lease",CP124,0),IF(DC124="lease",DK124,0),IF(DX124="lease",EF124,0),IF(ES124="lease",FA124,0),IF(FN124="lease",FV124,0),IF(GI124="lease",GQ124,0),IF(HD124="lease",HL124,0),IF(HY124="lease",IG124,0),IF(IT124="lease",JB124,0))</f>
        <v>1.2468570132909018</v>
      </c>
      <c r="S124" s="5">
        <f>SUM(IF(BM124="lease",BV124,0),IF(CH124="lease",CQ124,0),IF(DC124="lease",DL124,0),IF(DX124="lease",EG124,0),IF(ES124="lease",FB124,0),IF(FN124="lease",FW124,0),IF(GI124="lease",GR124,0),IF(HD124="lease",HM124,0),IF(HY124="lease",IH124,0),IF(IT124="lease",JC124,0))</f>
        <v>1.2502946040628649</v>
      </c>
      <c r="T124" s="5">
        <f>SUM(IF(BM124="keep",BU124,0),IF(CH124="keep",CP124,0),IF(DC124="keep",DK124,0),IF(DX124="keep",EF124,0),IF(ES124="keep",FA124,0),IF(FN124="keep",FV124,0),IF(GI124="keep",GQ124,0),IF(HD124="keep",HL124,0),IF(HY124="keep",IG124,0),IF(IT124="keep",JB124,0))</f>
        <v>0</v>
      </c>
      <c r="U124" s="5">
        <f>SUM(IF(BM124="keep",BV124,0),IF(CH124="keep",CQ124,0),IF(DC124="keep",DL124,0),IF(DX124="keep",EG124,0),IF(ES124="keep",FB124,0),IF(FN124="keep",FW124,0),IF(GI124="keep",GR124,0),IF(HD124="keep",HM124,0),IF(HY124="keep",IH124,0),IF(IT124="keep",JC124,0))</f>
        <v>0</v>
      </c>
      <c r="V124" s="5">
        <f>R124/O124</f>
        <v>1.5549974726264877</v>
      </c>
      <c r="W124" s="5">
        <f>S124/P124</f>
        <v>1.5563107658964332</v>
      </c>
      <c r="X124" s="5">
        <f>T124/O124</f>
        <v>0</v>
      </c>
      <c r="Y124" s="5">
        <f>U124/P124</f>
        <v>0</v>
      </c>
      <c r="Z124" s="5">
        <f>V124+X124</f>
        <v>1.5549974726264877</v>
      </c>
      <c r="AA124" s="7">
        <f>IFERROR(W124/V124-1,0)</f>
        <v>0.000844562961074935</v>
      </c>
      <c r="AB124" s="7">
        <f>IFERROR((W124-V124)/Z124,0)</f>
        <v>0.0008445629610749944</v>
      </c>
      <c r="AC124" s="7">
        <f>IFERROR(Y124/X124-1,0)</f>
        <v>0</v>
      </c>
      <c r="AD124" s="7">
        <f>IFERROR((Y124-X124)/Z124,0)</f>
        <v>0</v>
      </c>
      <c r="AE124" s="7">
        <f>AB124+AD124</f>
        <v>0.0008445629610749944</v>
      </c>
      <c r="AF124" s="7">
        <f>(1+Q124)*(1+AE124)-1</f>
        <v>0.002757004801127838</v>
      </c>
      <c r="AG124" s="7">
        <f>G124-AF124</f>
        <v>6.5052130349130266e-18</v>
      </c>
      <c r="AH124" s="5">
        <f>SUM(IF(BM124="lease",BW124,0),IF(CH124="lease",CR124,0),IF(DC124="lease",DM124,0),IF(DX124="lease",EH124,0),IF(ES124="lease",FC124,0),IF(FN124="lease",FX124,0),IF(GI124="lease",GS124,0),IF(HD124="lease",HN124,0),IF(HY124="lease",II124,0),IF(IT124="lease",JD124,0))</f>
        <v>0.00343759077196294</v>
      </c>
      <c r="AI124" s="5">
        <f>SUM(IF(BM124="keep",BW124,0),IF(CH124="keep",CR124,0),IF(DC124="keep",DM124,0),IF(DX124="keep",EH124,0),IF(ES124="keep",FC124,0),IF(FN124="keep",FX124,0),IF(GI124="keep",GS124,0),IF(HD124="keep",HN124,0),IF(HY124="keep",II124,0),IF(IT124="keep",JD124,0))</f>
        <v>0</v>
      </c>
      <c r="AJ124" s="5">
        <f>SUM(IF(BM124="lease",BX124,0),IF(CH124="lease",CS124,0),IF(DC124="lease",DN124,0),IF(DX124="lease",EI124,0),IF(ES124="lease",FD124,0),IF(FN124="lease",FY124,0),IF(GI124="lease",GT124,0),IF(HD124="lease",HO124,0),IF(HY124="lease",IJ124,0),IF(IT124="lease",JE124,0))</f>
        <v>0</v>
      </c>
      <c r="AK124" s="5">
        <f>SUM(IF(BM124="keep",BX124,0),IF(CH124="keep",CS124,0),IF(DC124="keep",DN124,0),IF(DX124="keep",EI124,0),IF(ES124="keep",FD124,0),IF(FN124="keep",FY124,0),IF(GI124="keep",GT124,0),IF(HD124="keep",HO124,0),IF(HY124="keep",IJ124,0),IF(IT124="keep",JE124,0))</f>
        <v>0</v>
      </c>
      <c r="AL124" s="5">
        <f>R124-S123</f>
        <v>0</v>
      </c>
      <c r="AM124" s="5">
        <f>T124-U123</f>
        <v>0</v>
      </c>
      <c r="AN124" s="5">
        <f>AN123</f>
        <v>1</v>
      </c>
      <c r="AO124" s="5">
        <f>AO123+AH124</f>
        <v>0.25029460406286475</v>
      </c>
      <c r="AP124" s="5">
        <f>AP123+AL124</f>
        <v>-4.440892098500626e-16</v>
      </c>
      <c r="AQ124" s="5">
        <f>AN124+AO124+AP124</f>
        <v>1.2502946040628644</v>
      </c>
      <c r="AR124" s="5">
        <f>S124-AQ124</f>
        <v>4.440892098500626e-16</v>
      </c>
      <c r="AS124" s="5">
        <f>AS123</f>
        <v>0</v>
      </c>
      <c r="AT124" s="5">
        <f>AT123+AI124</f>
        <v>0</v>
      </c>
      <c r="AU124" s="5">
        <f>AU123+AM124</f>
        <v>0</v>
      </c>
      <c r="AV124" s="5">
        <f>AS124+AT124+AU124</f>
        <v>0</v>
      </c>
      <c r="AW124" s="5">
        <f>U124-AV124</f>
        <v>0</v>
      </c>
      <c r="AX124" s="4">
        <v>1.2468570132909018</v>
      </c>
      <c r="AY124" s="4">
        <v>1.2502946040628649</v>
      </c>
      <c r="AZ124" s="5">
        <f>S124-AY124</f>
        <v>0</v>
      </c>
      <c r="BA124" s="4">
        <v>0</v>
      </c>
      <c r="BB124" s="4">
        <v>0</v>
      </c>
      <c r="BC124" s="5">
        <f>U124-BB124</f>
        <v>0</v>
      </c>
      <c r="BD124" s="7">
        <f>SUM(IF(BL124="direct",CE124,0),IF(CG124="direct",CZ124,0),IF(DB124="direct",DU124,0),IF(DW124="direct",EP124,0),IF(ER124="direct",FK124,0),IF(FM124="direct",GF124,0),IF(GH124="direct",HA124,0),IF(HC124="direct",HV124,0),IF(HX124="direct",IQ124,0),IF(IS124="direct",JL124,0))</f>
        <v>0</v>
      </c>
      <c r="BE124" s="7">
        <f>SUM(IF(BL124="treasury",CE124,0),IF(CG124="treasury",CZ124,0),IF(DB124="treasury",DU124,0),IF(DW124="treasury",EP124,0),IF(ER124="treasury",FK124,0),IF(FM124="treasury",GF124,0),IF(GH124="treasury",HA124,0),IF(HC124="treasury",HV124,0),IF(HX124="treasury",IQ124,0),IF(IS124="treasury",JL124,0))</f>
        <v>0.00018465753424657535</v>
      </c>
      <c r="BF124" s="7">
        <f>SUM(IF(BL124="future",CE124,0),IF(CG124="future",CZ124,0),IF(DB124="future",DU124,0),IF(DW124="future",EP124,0),IF(ER124="future",FK124,0),IF(FM124="future",GF124,0),IF(GH124="future",HA124,0),IF(HC124="future",HV124,0),IF(HX124="future",IQ124,0),IF(IS124="future",JL124,0))</f>
        <v>0.0025723472668812697</v>
      </c>
      <c r="BG124" s="7">
        <f>SUM(IF(BL124="cash",CE124,0),IF(CG124="cash",CZ124,0),IF(DB124="cash",DU124,0),IF(DW124="cash",EP124,0),IF(ER124="cash",FK124,0),IF(FM124="cash",GF124,0),IF(GH124="cash",HA124,0),IF(HC124="cash",HV124,0),IF(HX124="cash",IQ124,0),IF(IS124="cash",JL124,0))</f>
        <v>0</v>
      </c>
      <c r="BH124" s="7">
        <f>SUM(BD124:BG124)</f>
        <v>0.002757004801127845</v>
      </c>
      <c r="BI124" s="7">
        <f>G124-BH124</f>
        <v>-4.336808689942018e-19</v>
      </c>
      <c r="BJ124" s="9">
        <f>COUNTA(BK124,CF124,DA124,DV124,EQ124,FL124,GG124,HB124,HW124,IR124)</f>
        <v>4</v>
      </c>
      <c r="BK124" t="inlineStr">
        <is>
          <t xml:space="preserve">Treasury collateral</t>
        </is>
      </c>
      <c r="BL124" t="inlineStr">
        <is>
          <t xml:space="preserve">treasury</t>
        </is>
      </c>
      <c r="BM124" t="inlineStr">
        <is>
          <t xml:space="preserve">lease</t>
        </is>
      </c>
      <c r="BN124" t="inlineStr">
        <is>
          <t xml:space="preserve">long</t>
        </is>
      </c>
      <c r="BO124"/>
      <c r="BP124" s="4">
        <v>103.09346566620317</v>
      </c>
      <c r="BQ124" s="4">
        <v>103.11250265137002</v>
      </c>
      <c r="BR124" s="4">
        <v>0.0120944330005161</v>
      </c>
      <c r="BS124" s="6">
        <v>1</v>
      </c>
      <c r="BT124" s="4">
        <v>1.2468570132909012</v>
      </c>
      <c r="BU124" s="4">
        <v>1.2468570132909012</v>
      </c>
      <c r="BV124" s="4">
        <v>1.2470872548325334</v>
      </c>
      <c r="BW124" s="4">
        <v>0.00023024154163234724</v>
      </c>
      <c r="BX124" s="4">
        <v>-1.4379231312589003e-16</v>
      </c>
      <c r="BY124" s="4">
        <v>1.57</v>
      </c>
      <c r="BZ124" s="4">
        <v>1.573</v>
      </c>
      <c r="CA124" s="6"/>
      <c r="CB124" s="6"/>
      <c r="CC124" s="6"/>
      <c r="CD124" s="9">
        <v>27</v>
      </c>
      <c r="CE124" s="7">
        <f>IFERROR(BW124/F124,0)</f>
        <v>0.00018465753424657535</v>
      </c>
      <c r="CF124" t="inlineStr">
        <is>
          <t xml:space="preserve">SI69N</t>
        </is>
      </c>
      <c r="CG124" t="inlineStr">
        <is>
          <t xml:space="preserve">future</t>
        </is>
      </c>
      <c r="CH124" t="inlineStr">
        <is>
          <t xml:space="preserve">lease</t>
        </is>
      </c>
      <c r="CI124" t="inlineStr">
        <is>
          <t xml:space="preserve">long</t>
        </is>
      </c>
      <c r="CJ124" t="inlineStr">
        <is>
          <t xml:space="preserve">regular</t>
        </is>
      </c>
      <c r="CK124" s="4">
        <v>1.555</v>
      </c>
      <c r="CL124" s="4">
        <v>1.5590000000000002</v>
      </c>
      <c r="CM124" s="4">
        <v>0.8018373075825731</v>
      </c>
      <c r="CN124" s="6">
        <v>1</v>
      </c>
      <c r="CO124" s="4">
        <v>1.2468570132909012</v>
      </c>
      <c r="CP124" s="4">
        <v>0</v>
      </c>
      <c r="CQ124" s="4">
        <v>0</v>
      </c>
      <c r="CR124" s="4">
        <v>0.0032073492303305927</v>
      </c>
      <c r="CS124" s="4">
        <v>-0.0032073492303305927</v>
      </c>
      <c r="CT124" s="4">
        <v>1.57</v>
      </c>
      <c r="CU124" s="4">
        <v>1.573</v>
      </c>
      <c r="CV124" s="6">
        <v>-0.009554140127388644</v>
      </c>
      <c r="CW124" s="6">
        <v>0.0674</v>
      </c>
      <c r="CX124" s="6">
        <v>0.19655782024062426</v>
      </c>
      <c r="CY124" s="9">
        <v>27</v>
      </c>
      <c r="CZ124" s="7">
        <f>IFERROR(CR124/F124,0)</f>
        <v>0.0025723472668812697</v>
      </c>
      <c r="DA124" t="inlineStr">
        <is>
          <t xml:space="preserve">Lease cash / margin / financing</t>
        </is>
      </c>
      <c r="DB124" t="inlineStr">
        <is>
          <t xml:space="preserve">cash</t>
        </is>
      </c>
      <c r="DC124" t="inlineStr">
        <is>
          <t xml:space="preserve">lease</t>
        </is>
      </c>
      <c r="DD124" t="inlineStr">
        <is>
          <t xml:space="preserve">cash</t>
        </is>
      </c>
      <c r="DE124"/>
      <c r="DF124" s="4">
        <v>1</v>
      </c>
      <c r="DG124" s="4">
        <v>1</v>
      </c>
      <c r="DH124" s="4">
        <v>6.661338147750939e-16</v>
      </c>
      <c r="DI124" s="6"/>
      <c r="DJ124" s="4">
        <v>6.661338147750939e-16</v>
      </c>
      <c r="DK124" s="4">
        <v>6.661338147750939e-16</v>
      </c>
      <c r="DL124" s="4">
        <v>0.003207349230331403</v>
      </c>
      <c r="DM124" s="4">
        <v>0</v>
      </c>
      <c r="DN124" s="4">
        <v>0.0032073492303307367</v>
      </c>
      <c r="DO124" s="4">
        <v>1.57</v>
      </c>
      <c r="DP124" s="4">
        <v>1.573</v>
      </c>
      <c r="DQ124" s="6"/>
      <c r="DR124" s="6"/>
      <c r="DS124" s="6"/>
      <c r="DT124" s="9"/>
      <c r="DU124" s="7">
        <f>IFERROR(DM124/F124,0)</f>
        <v>0</v>
      </c>
      <c r="DV124" t="inlineStr">
        <is>
          <t xml:space="preserve">Keep cash / margin / financing</t>
        </is>
      </c>
      <c r="DW124" t="inlineStr">
        <is>
          <t xml:space="preserve">cash</t>
        </is>
      </c>
      <c r="DX124" t="inlineStr">
        <is>
          <t xml:space="preserve">keep</t>
        </is>
      </c>
      <c r="DY124" t="inlineStr">
        <is>
          <t xml:space="preserve">cash</t>
        </is>
      </c>
      <c r="DZ124"/>
      <c r="EA124" s="4">
        <v>1</v>
      </c>
      <c r="EB124" s="4">
        <v>1</v>
      </c>
      <c r="EC124" s="4">
        <v>0</v>
      </c>
      <c r="ED124" s="6"/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1.57</v>
      </c>
      <c r="EK124" s="4">
        <v>1.573</v>
      </c>
      <c r="EL124" s="6"/>
      <c r="EM124" s="6"/>
      <c r="EN124" s="6"/>
      <c r="EO124" s="9"/>
      <c r="EP124" s="7">
        <f>IFERROR(EH124/F124,0)</f>
        <v>0</v>
      </c>
      <c r="EQ124"/>
      <c r="ER124"/>
      <c r="ES124"/>
      <c r="ET124"/>
      <c r="EU124"/>
      <c r="EV124" s="4"/>
      <c r="EW124" s="4"/>
      <c r="EX124" s="4"/>
      <c r="EY124" s="6"/>
      <c r="EZ124" s="4"/>
      <c r="FA124" s="4"/>
      <c r="FB124" s="4"/>
      <c r="FC124" s="4"/>
      <c r="FD124" s="4"/>
      <c r="FE124" s="4"/>
      <c r="FF124" s="4"/>
      <c r="FG124" s="6"/>
      <c r="FH124" s="6"/>
      <c r="FI124" s="6"/>
      <c r="FJ124" s="9"/>
      <c r="FK124"/>
      <c r="FL124"/>
      <c r="FM124"/>
      <c r="FN124"/>
      <c r="FO124"/>
      <c r="FP124"/>
      <c r="FQ124" s="4"/>
      <c r="FR124" s="4"/>
      <c r="FS124" s="4"/>
      <c r="FT124" s="6"/>
      <c r="FU124" s="4"/>
      <c r="FV124" s="4"/>
      <c r="FW124" s="4"/>
      <c r="FX124" s="4"/>
      <c r="FY124" s="4"/>
      <c r="FZ124" s="4"/>
      <c r="GA124" s="4"/>
      <c r="GB124" s="6"/>
      <c r="GC124" s="6"/>
      <c r="GD124" s="6"/>
      <c r="GE124" s="9"/>
      <c r="GF124"/>
      <c r="GG124"/>
      <c r="GH124"/>
      <c r="GI124"/>
      <c r="GJ124"/>
      <c r="GK124"/>
      <c r="GL124" s="4"/>
      <c r="GM124" s="4"/>
      <c r="GN124" s="4"/>
      <c r="GO124" s="6"/>
      <c r="GP124" s="4"/>
      <c r="GQ124" s="4"/>
      <c r="GR124" s="4"/>
      <c r="GS124" s="4"/>
      <c r="GT124" s="4"/>
      <c r="GU124" s="4"/>
      <c r="GV124" s="4"/>
      <c r="GW124" s="6"/>
      <c r="GX124" s="6"/>
      <c r="GY124" s="6"/>
      <c r="GZ124" s="9"/>
      <c r="HA124"/>
      <c r="HB124"/>
      <c r="HC124"/>
      <c r="HD124"/>
      <c r="HE124"/>
      <c r="HF124"/>
      <c r="HG124" s="4"/>
      <c r="HH124" s="4"/>
      <c r="HI124" s="4"/>
      <c r="HJ124" s="6"/>
      <c r="HK124" s="4"/>
      <c r="HL124" s="4"/>
      <c r="HM124" s="4"/>
      <c r="HN124" s="4"/>
      <c r="HO124" s="4"/>
      <c r="HP124" s="4"/>
      <c r="HQ124" s="4"/>
      <c r="HR124" s="6"/>
      <c r="HS124" s="6"/>
      <c r="HT124" s="6"/>
      <c r="HU124" s="9"/>
      <c r="HV124"/>
      <c r="HW124"/>
      <c r="HX124"/>
      <c r="HY124"/>
      <c r="HZ124"/>
      <c r="IA124"/>
      <c r="IB124" s="4"/>
      <c r="IC124" s="4"/>
      <c r="ID124" s="4"/>
      <c r="IE124" s="6"/>
      <c r="IF124" s="4"/>
      <c r="IG124" s="4"/>
      <c r="IH124" s="4"/>
      <c r="II124" s="4"/>
      <c r="IJ124" s="4"/>
      <c r="IK124" s="4"/>
      <c r="IL124" s="4"/>
      <c r="IM124" s="6"/>
      <c r="IN124" s="6"/>
      <c r="IO124" s="6"/>
      <c r="IP124" s="9"/>
      <c r="IQ124"/>
      <c r="IR124"/>
      <c r="IS124"/>
      <c r="IT124"/>
      <c r="IU124"/>
      <c r="IV124"/>
      <c r="IW124" s="4"/>
      <c r="IX124" s="4"/>
      <c r="IY124" s="4"/>
      <c r="IZ124" s="6"/>
      <c r="JA124" s="4"/>
      <c r="JB124" s="4"/>
      <c r="JC124" s="4"/>
      <c r="JD124" s="4"/>
      <c r="JE124" s="4"/>
      <c r="JF124" s="4"/>
      <c r="JG124" s="4"/>
      <c r="JH124" s="6"/>
      <c r="JI124" s="6"/>
      <c r="JJ124" s="6"/>
      <c r="JK124" s="9"/>
      <c r="JL124"/>
    </row>
    <row r="125">
      <c r="A125" s="8">
        <v>25387</v>
      </c>
      <c r="B125" s="8">
        <v>25391</v>
      </c>
      <c r="C125" s="9">
        <f>B125-A125</f>
        <v>4</v>
      </c>
      <c r="D125" s="8">
        <v>25387</v>
      </c>
      <c r="E125" t="inlineStr">
        <is>
          <t xml:space="preserve">positive</t>
        </is>
      </c>
      <c r="F125" s="4">
        <v>1.2502946040628642</v>
      </c>
      <c r="G125" s="6">
        <v>0.022555153197958012</v>
      </c>
      <c r="H125" s="7">
        <f>SUM(CE125,CZ125,DU125,EP125,FK125,GF125,HA125,HV125,IQ125,JL125)</f>
        <v>0.022555153197958012</v>
      </c>
      <c r="I125" s="7">
        <f>G125-H125</f>
        <v>0</v>
      </c>
      <c r="J125" s="5">
        <f>F125*(1+H125)</f>
        <v>1.2784951904000823</v>
      </c>
      <c r="K125" s="4">
        <v>1.2784951904000823</v>
      </c>
      <c r="L125" s="5">
        <f>K125-J125</f>
        <v>0</v>
      </c>
      <c r="M125" s="4">
        <v>1.573</v>
      </c>
      <c r="N125" s="4">
        <v>1.594</v>
      </c>
      <c r="O125" s="5">
        <f>M125/$M$3</f>
        <v>0.8033707865168539</v>
      </c>
      <c r="P125" s="5">
        <f>N125/$M$3</f>
        <v>0.8140960163432074</v>
      </c>
      <c r="Q125" s="7">
        <f>IFERROR(N125/M125-1,0)</f>
        <v>0.013350286077558948</v>
      </c>
      <c r="R125" s="5">
        <f>SUM(IF(BM125="lease",BU125,0),IF(CH125="lease",CP125,0),IF(DC125="lease",DK125,0),IF(DX125="lease",EF125,0),IF(ES125="lease",FA125,0),IF(FN125="lease",FV125,0),IF(GI125="lease",GQ125,0),IF(HD125="lease",HL125,0),IF(HY125="lease",IG125,0),IF(IT125="lease",JB125,0))</f>
        <v>1.2502946040628649</v>
      </c>
      <c r="S125" s="5">
        <f>SUM(IF(BM125="lease",BV125,0),IF(CH125="lease",CQ125,0),IF(DC125="lease",DL125,0),IF(DX125="lease",EG125,0),IF(ES125="lease",FB125,0),IF(FN125="lease",FW125,0),IF(GI125="lease",GR125,0),IF(HD125="lease",HM125,0),IF(HY125="lease",IH125,0),IF(IT125="lease",JC125,0))</f>
        <v>1.278495190400083</v>
      </c>
      <c r="T125" s="5">
        <f>SUM(IF(BM125="keep",BU125,0),IF(CH125="keep",CP125,0),IF(DC125="keep",DK125,0),IF(DX125="keep",EF125,0),IF(ES125="keep",FA125,0),IF(FN125="keep",FV125,0),IF(GI125="keep",GQ125,0),IF(HD125="keep",HL125,0),IF(HY125="keep",IG125,0),IF(IT125="keep",JB125,0))</f>
        <v>0</v>
      </c>
      <c r="U125" s="5">
        <f>SUM(IF(BM125="keep",BV125,0),IF(CH125="keep",CQ125,0),IF(DC125="keep",DL125,0),IF(DX125="keep",EG125,0),IF(ES125="keep",FB125,0),IF(FN125="keep",FW125,0),IF(GI125="keep",GR125,0),IF(HD125="keep",HM125,0),IF(HY125="keep",IH125,0),IF(IT125="keep",JC125,0))</f>
        <v>0</v>
      </c>
      <c r="V125" s="5">
        <f>R125/O125</f>
        <v>1.5563107658964332</v>
      </c>
      <c r="W125" s="5">
        <f>S125/P125</f>
        <v>1.5704476680071282</v>
      </c>
      <c r="X125" s="5">
        <f>T125/O125</f>
        <v>0</v>
      </c>
      <c r="Y125" s="5">
        <f>U125/P125</f>
        <v>0</v>
      </c>
      <c r="Z125" s="5">
        <f>V125+X125</f>
        <v>1.5563107658964332</v>
      </c>
      <c r="AA125" s="7">
        <f>IFERROR(W125/V125-1,0)</f>
        <v>0.009083598482050093</v>
      </c>
      <c r="AB125" s="7">
        <f>IFERROR((W125-V125)/Z125,0)</f>
        <v>0.00908359848205003</v>
      </c>
      <c r="AC125" s="7">
        <f>IFERROR(Y125/X125-1,0)</f>
        <v>0</v>
      </c>
      <c r="AD125" s="7">
        <f>IFERROR((Y125-X125)/Z125,0)</f>
        <v>0</v>
      </c>
      <c r="AE125" s="7">
        <f>AB125+AD125</f>
        <v>0.00908359848205003</v>
      </c>
      <c r="AF125" s="7">
        <f>(1+Q125)*(1+AE125)-1</f>
        <v>0.0225551531979582</v>
      </c>
      <c r="AG125" s="7">
        <f>G125-AF125</f>
        <v>-1.8735013540549517e-16</v>
      </c>
      <c r="AH125" s="5">
        <f>SUM(IF(BM125="lease",BW125,0),IF(CH125="lease",CR125,0),IF(DC125="lease",DM125,0),IF(DX125="lease",EH125,0),IF(ES125="lease",FC125,0),IF(FN125="lease",FX125,0),IF(GI125="lease",GS125,0),IF(HD125="lease",HN125,0),IF(HY125="lease",II125,0),IF(IT125="lease",JD125,0))</f>
        <v>0.02820058633721816</v>
      </c>
      <c r="AI125" s="5">
        <f>SUM(IF(BM125="keep",BW125,0),IF(CH125="keep",CR125,0),IF(DC125="keep",DM125,0),IF(DX125="keep",EH125,0),IF(ES125="keep",FC125,0),IF(FN125="keep",FX125,0),IF(GI125="keep",GS125,0),IF(HD125="keep",HN125,0),IF(HY125="keep",II125,0),IF(IT125="keep",JD125,0))</f>
        <v>0</v>
      </c>
      <c r="AJ125" s="5">
        <f>SUM(IF(BM125="lease",BX125,0),IF(CH125="lease",CS125,0),IF(DC125="lease",DN125,0),IF(DX125="lease",EI125,0),IF(ES125="lease",FD125,0),IF(FN125="lease",FY125,0),IF(GI125="lease",GT125,0),IF(HD125="lease",HO125,0),IF(HY125="lease",IJ125,0),IF(IT125="lease",JE125,0))</f>
        <v>0</v>
      </c>
      <c r="AK125" s="5">
        <f>SUM(IF(BM125="keep",BX125,0),IF(CH125="keep",CS125,0),IF(DC125="keep",DN125,0),IF(DX125="keep",EI125,0),IF(ES125="keep",FD125,0),IF(FN125="keep",FY125,0),IF(GI125="keep",GT125,0),IF(HD125="keep",HO125,0),IF(HY125="keep",IJ125,0),IF(IT125="keep",JE125,0))</f>
        <v>0</v>
      </c>
      <c r="AL125" s="5">
        <f>R125-S124</f>
        <v>0</v>
      </c>
      <c r="AM125" s="5">
        <f>T125-U124</f>
        <v>0</v>
      </c>
      <c r="AN125" s="5">
        <f>AN124</f>
        <v>1</v>
      </c>
      <c r="AO125" s="5">
        <f>AO124+AH125</f>
        <v>0.2784951904000829</v>
      </c>
      <c r="AP125" s="5">
        <f>AP124+AL125</f>
        <v>-4.440892098500626e-16</v>
      </c>
      <c r="AQ125" s="5">
        <f>AN125+AO125+AP125</f>
        <v>1.2784951904000825</v>
      </c>
      <c r="AR125" s="5">
        <f>S125-AQ125</f>
        <v>4.440892098500626e-16</v>
      </c>
      <c r="AS125" s="5">
        <f>AS124</f>
        <v>0</v>
      </c>
      <c r="AT125" s="5">
        <f>AT124+AI125</f>
        <v>0</v>
      </c>
      <c r="AU125" s="5">
        <f>AU124+AM125</f>
        <v>0</v>
      </c>
      <c r="AV125" s="5">
        <f>AS125+AT125+AU125</f>
        <v>0</v>
      </c>
      <c r="AW125" s="5">
        <f>U125-AV125</f>
        <v>0</v>
      </c>
      <c r="AX125" s="4">
        <v>1.2502946040628649</v>
      </c>
      <c r="AY125" s="4">
        <v>1.278495190400083</v>
      </c>
      <c r="AZ125" s="5">
        <f>S125-AY125</f>
        <v>0</v>
      </c>
      <c r="BA125" s="4">
        <v>0</v>
      </c>
      <c r="BB125" s="4">
        <v>0</v>
      </c>
      <c r="BC125" s="5">
        <f>U125-BB125</f>
        <v>0</v>
      </c>
      <c r="BD125" s="7">
        <f>SUM(IF(BL125="direct",CE125,0),IF(CG125="direct",CZ125,0),IF(DB125="direct",DU125,0),IF(DW125="direct",EP125,0),IF(ER125="direct",FK125,0),IF(FM125="direct",GF125,0),IF(GH125="direct",HA125,0),IF(HC125="direct",HV125,0),IF(HX125="direct",IQ125,0),IF(IS125="direct",JL125,0))</f>
        <v>0</v>
      </c>
      <c r="BE125" s="7">
        <f>SUM(IF(BL125="treasury",CE125,0),IF(CG125="treasury",CZ125,0),IF(DB125="treasury",DU125,0),IF(DW125="treasury",EP125,0),IF(ER125="treasury",FK125,0),IF(FM125="treasury",GF125,0),IF(GH125="treasury",HA125,0),IF(HC125="treasury",HV125,0),IF(HX125="treasury",IQ125,0),IF(IS125="treasury",JL125,0))</f>
        <v>0.0007463013698630136</v>
      </c>
      <c r="BF125" s="7">
        <f>SUM(IF(BL125="future",CE125,0),IF(CG125="future",CZ125,0),IF(DB125="future",DU125,0),IF(DW125="future",EP125,0),IF(ER125="future",FK125,0),IF(FM125="future",GF125,0),IF(GH125="future",HA125,0),IF(HC125="future",HV125,0),IF(HX125="future",IQ125,0),IF(IS125="future",JL125,0))</f>
        <v>0.021808851828095</v>
      </c>
      <c r="BG125" s="7">
        <f>SUM(IF(BL125="cash",CE125,0),IF(CG125="cash",CZ125,0),IF(DB125="cash",DU125,0),IF(DW125="cash",EP125,0),IF(ER125="cash",FK125,0),IF(FM125="cash",GF125,0),IF(GH125="cash",HA125,0),IF(HC125="cash",HV125,0),IF(HX125="cash",IQ125,0),IF(IS125="cash",JL125,0))</f>
        <v>0</v>
      </c>
      <c r="BH125" s="7">
        <f>SUM(BD125:BG125)</f>
        <v>0.022555153197958012</v>
      </c>
      <c r="BI125" s="7">
        <f>G125-BH125</f>
        <v>0</v>
      </c>
      <c r="BJ125" s="9">
        <f>COUNTA(BK125,CF125,DA125,DV125,EQ125,FL125,GG125,HB125,HW125,IR125)</f>
        <v>4</v>
      </c>
      <c r="BK125" t="inlineStr">
        <is>
          <t xml:space="preserve">Treasury collateral</t>
        </is>
      </c>
      <c r="BL125" t="inlineStr">
        <is>
          <t xml:space="preserve">treasury</t>
        </is>
      </c>
      <c r="BM125" t="inlineStr">
        <is>
          <t xml:space="preserve">lease</t>
        </is>
      </c>
      <c r="BN125" t="inlineStr">
        <is>
          <t xml:space="preserve">long</t>
        </is>
      </c>
      <c r="BO125"/>
      <c r="BP125" s="4">
        <v>103.11250265137002</v>
      </c>
      <c r="BQ125" s="4">
        <v>103.18945565334874</v>
      </c>
      <c r="BR125" s="4">
        <v>0.012125538338354471</v>
      </c>
      <c r="BS125" s="6">
        <v>1</v>
      </c>
      <c r="BT125" s="4">
        <v>1.2502946040628642</v>
      </c>
      <c r="BU125" s="4">
        <v>1.2502946040628642</v>
      </c>
      <c r="BV125" s="4">
        <v>1.2512277006386088</v>
      </c>
      <c r="BW125" s="4">
        <v>0.0009330965757444497</v>
      </c>
      <c r="BX125" s="4">
        <v>1.3552527156068805e-16</v>
      </c>
      <c r="BY125" s="4">
        <v>1.573</v>
      </c>
      <c r="BZ125" s="4">
        <v>1.594</v>
      </c>
      <c r="CA125" s="6"/>
      <c r="CB125" s="6"/>
      <c r="CC125" s="6"/>
      <c r="CD125" s="9">
        <v>26</v>
      </c>
      <c r="CE125" s="7">
        <f>IFERROR(BW125/F125,0)</f>
        <v>0.0007463013698630136</v>
      </c>
      <c r="CF125" t="inlineStr">
        <is>
          <t xml:space="preserve">SI69N</t>
        </is>
      </c>
      <c r="CG125" t="inlineStr">
        <is>
          <t xml:space="preserve">future</t>
        </is>
      </c>
      <c r="CH125" t="inlineStr">
        <is>
          <t xml:space="preserve">lease</t>
        </is>
      </c>
      <c r="CI125" t="inlineStr">
        <is>
          <t xml:space="preserve">long</t>
        </is>
      </c>
      <c r="CJ125" t="inlineStr">
        <is>
          <t xml:space="preserve">regular</t>
        </is>
      </c>
      <c r="CK125" s="4">
        <v>1.5590000000000002</v>
      </c>
      <c r="CL125" s="4">
        <v>1.5930000000000002</v>
      </c>
      <c r="CM125" s="4">
        <v>0.8019849929845183</v>
      </c>
      <c r="CN125" s="6">
        <v>1</v>
      </c>
      <c r="CO125" s="4">
        <v>1.2502946040628642</v>
      </c>
      <c r="CP125" s="4">
        <v>0</v>
      </c>
      <c r="CQ125" s="4">
        <v>0</v>
      </c>
      <c r="CR125" s="4">
        <v>0.02726748976147371</v>
      </c>
      <c r="CS125" s="4">
        <v>-0.02726748976147371</v>
      </c>
      <c r="CT125" s="4">
        <v>1.573</v>
      </c>
      <c r="CU125" s="4">
        <v>1.594</v>
      </c>
      <c r="CV125" s="6">
        <v>-0.008900190718372447</v>
      </c>
      <c r="CW125" s="6">
        <v>0.0681</v>
      </c>
      <c r="CX125" s="6">
        <v>0.19304498508484397</v>
      </c>
      <c r="CY125" s="9">
        <v>26</v>
      </c>
      <c r="CZ125" s="7">
        <f>IFERROR(CR125/F125,0)</f>
        <v>0.021808851828095</v>
      </c>
      <c r="DA125" t="inlineStr">
        <is>
          <t xml:space="preserve">Lease cash / margin / financing</t>
        </is>
      </c>
      <c r="DB125" t="inlineStr">
        <is>
          <t xml:space="preserve">cash</t>
        </is>
      </c>
      <c r="DC125" t="inlineStr">
        <is>
          <t xml:space="preserve">lease</t>
        </is>
      </c>
      <c r="DD125" t="inlineStr">
        <is>
          <t xml:space="preserve">cash</t>
        </is>
      </c>
      <c r="DE125"/>
      <c r="DF125" s="4">
        <v>1</v>
      </c>
      <c r="DG125" s="4">
        <v>1</v>
      </c>
      <c r="DH125" s="4">
        <v>6.661338147750939e-16</v>
      </c>
      <c r="DI125" s="6"/>
      <c r="DJ125" s="4">
        <v>6.661338147750939e-16</v>
      </c>
      <c r="DK125" s="4">
        <v>6.661338147750939e-16</v>
      </c>
      <c r="DL125" s="4">
        <v>0.02726748976147424</v>
      </c>
      <c r="DM125" s="4">
        <v>0</v>
      </c>
      <c r="DN125" s="4">
        <v>0.027267489761473574</v>
      </c>
      <c r="DO125" s="4">
        <v>1.573</v>
      </c>
      <c r="DP125" s="4">
        <v>1.594</v>
      </c>
      <c r="DQ125" s="6"/>
      <c r="DR125" s="6"/>
      <c r="DS125" s="6"/>
      <c r="DT125" s="9"/>
      <c r="DU125" s="7">
        <f>IFERROR(DM125/F125,0)</f>
        <v>0</v>
      </c>
      <c r="DV125" t="inlineStr">
        <is>
          <t xml:space="preserve">Keep cash / margin / financing</t>
        </is>
      </c>
      <c r="DW125" t="inlineStr">
        <is>
          <t xml:space="preserve">cash</t>
        </is>
      </c>
      <c r="DX125" t="inlineStr">
        <is>
          <t xml:space="preserve">keep</t>
        </is>
      </c>
      <c r="DY125" t="inlineStr">
        <is>
          <t xml:space="preserve">cash</t>
        </is>
      </c>
      <c r="DZ125"/>
      <c r="EA125" s="4">
        <v>1</v>
      </c>
      <c r="EB125" s="4">
        <v>1</v>
      </c>
      <c r="EC125" s="4">
        <v>0</v>
      </c>
      <c r="ED125" s="6"/>
      <c r="EE125" s="4">
        <v>0</v>
      </c>
      <c r="EF125" s="4">
        <v>0</v>
      </c>
      <c r="EG125" s="4">
        <v>0</v>
      </c>
      <c r="EH125" s="4">
        <v>0</v>
      </c>
      <c r="EI125" s="4">
        <v>0</v>
      </c>
      <c r="EJ125" s="4">
        <v>1.573</v>
      </c>
      <c r="EK125" s="4">
        <v>1.594</v>
      </c>
      <c r="EL125" s="6"/>
      <c r="EM125" s="6"/>
      <c r="EN125" s="6"/>
      <c r="EO125" s="9"/>
      <c r="EP125" s="7">
        <f>IFERROR(EH125/F125,0)</f>
        <v>0</v>
      </c>
      <c r="EQ125"/>
      <c r="ER125"/>
      <c r="ES125"/>
      <c r="ET125"/>
      <c r="EU125"/>
      <c r="EV125" s="4"/>
      <c r="EW125" s="4"/>
      <c r="EX125" s="4"/>
      <c r="EY125" s="6"/>
      <c r="EZ125" s="4"/>
      <c r="FA125" s="4"/>
      <c r="FB125" s="4"/>
      <c r="FC125" s="4"/>
      <c r="FD125" s="4"/>
      <c r="FE125" s="4"/>
      <c r="FF125" s="4"/>
      <c r="FG125" s="6"/>
      <c r="FH125" s="6"/>
      <c r="FI125" s="6"/>
      <c r="FJ125" s="9"/>
      <c r="FK125"/>
      <c r="FL125"/>
      <c r="FM125"/>
      <c r="FN125"/>
      <c r="FO125"/>
      <c r="FP125"/>
      <c r="FQ125" s="4"/>
      <c r="FR125" s="4"/>
      <c r="FS125" s="4"/>
      <c r="FT125" s="6"/>
      <c r="FU125" s="4"/>
      <c r="FV125" s="4"/>
      <c r="FW125" s="4"/>
      <c r="FX125" s="4"/>
      <c r="FY125" s="4"/>
      <c r="FZ125" s="4"/>
      <c r="GA125" s="4"/>
      <c r="GB125" s="6"/>
      <c r="GC125" s="6"/>
      <c r="GD125" s="6"/>
      <c r="GE125" s="9"/>
      <c r="GF125"/>
      <c r="GG125"/>
      <c r="GH125"/>
      <c r="GI125"/>
      <c r="GJ125"/>
      <c r="GK125"/>
      <c r="GL125" s="4"/>
      <c r="GM125" s="4"/>
      <c r="GN125" s="4"/>
      <c r="GO125" s="6"/>
      <c r="GP125" s="4"/>
      <c r="GQ125" s="4"/>
      <c r="GR125" s="4"/>
      <c r="GS125" s="4"/>
      <c r="GT125" s="4"/>
      <c r="GU125" s="4"/>
      <c r="GV125" s="4"/>
      <c r="GW125" s="6"/>
      <c r="GX125" s="6"/>
      <c r="GY125" s="6"/>
      <c r="GZ125" s="9"/>
      <c r="HA125"/>
      <c r="HB125"/>
      <c r="HC125"/>
      <c r="HD125"/>
      <c r="HE125"/>
      <c r="HF125"/>
      <c r="HG125" s="4"/>
      <c r="HH125" s="4"/>
      <c r="HI125" s="4"/>
      <c r="HJ125" s="6"/>
      <c r="HK125" s="4"/>
      <c r="HL125" s="4"/>
      <c r="HM125" s="4"/>
      <c r="HN125" s="4"/>
      <c r="HO125" s="4"/>
      <c r="HP125" s="4"/>
      <c r="HQ125" s="4"/>
      <c r="HR125" s="6"/>
      <c r="HS125" s="6"/>
      <c r="HT125" s="6"/>
      <c r="HU125" s="9"/>
      <c r="HV125"/>
      <c r="HW125"/>
      <c r="HX125"/>
      <c r="HY125"/>
      <c r="HZ125"/>
      <c r="IA125"/>
      <c r="IB125" s="4"/>
      <c r="IC125" s="4"/>
      <c r="ID125" s="4"/>
      <c r="IE125" s="6"/>
      <c r="IF125" s="4"/>
      <c r="IG125" s="4"/>
      <c r="IH125" s="4"/>
      <c r="II125" s="4"/>
      <c r="IJ125" s="4"/>
      <c r="IK125" s="4"/>
      <c r="IL125" s="4"/>
      <c r="IM125" s="6"/>
      <c r="IN125" s="6"/>
      <c r="IO125" s="6"/>
      <c r="IP125" s="9"/>
      <c r="IQ125"/>
      <c r="IR125"/>
      <c r="IS125"/>
      <c r="IT125"/>
      <c r="IU125"/>
      <c r="IV125"/>
      <c r="IW125" s="4"/>
      <c r="IX125" s="4"/>
      <c r="IY125" s="4"/>
      <c r="IZ125" s="6"/>
      <c r="JA125" s="4"/>
      <c r="JB125" s="4"/>
      <c r="JC125" s="4"/>
      <c r="JD125" s="4"/>
      <c r="JE125" s="4"/>
      <c r="JF125" s="4"/>
      <c r="JG125" s="4"/>
      <c r="JH125" s="6"/>
      <c r="JI125" s="6"/>
      <c r="JJ125" s="6"/>
      <c r="JK125" s="9"/>
      <c r="JL125"/>
    </row>
    <row r="126">
      <c r="A126" s="8">
        <v>25391</v>
      </c>
      <c r="B126" s="8">
        <v>25392</v>
      </c>
      <c r="C126" s="9">
        <f>B126-A126</f>
        <v>1</v>
      </c>
      <c r="D126" s="8">
        <v>25391</v>
      </c>
      <c r="E126" t="inlineStr">
        <is>
          <t xml:space="preserve">positive</t>
        </is>
      </c>
      <c r="F126" s="4">
        <v>1.2784951904000823</v>
      </c>
      <c r="G126" s="6">
        <v>0.005721736757684743</v>
      </c>
      <c r="H126" s="7">
        <f>SUM(CE126,CZ126,DU126,EP126,FK126,GF126,HA126,HV126,IQ126,JL126)</f>
        <v>0.005721736757684743</v>
      </c>
      <c r="I126" s="7">
        <f>G126-H126</f>
        <v>0</v>
      </c>
      <c r="J126" s="5">
        <f>F126*(1+H126)</f>
        <v>1.2858104033255175</v>
      </c>
      <c r="K126" s="4">
        <v>1.2858104033255175</v>
      </c>
      <c r="L126" s="5">
        <f>K126-J126</f>
        <v>0</v>
      </c>
      <c r="M126" s="4">
        <v>1.594</v>
      </c>
      <c r="N126" s="4">
        <v>1.613</v>
      </c>
      <c r="O126" s="5">
        <f>M126/$M$3</f>
        <v>0.8140960163432074</v>
      </c>
      <c r="P126" s="5">
        <f>N126/$M$3</f>
        <v>0.8237997957099081</v>
      </c>
      <c r="Q126" s="7">
        <f>IFERROR(N126/M126-1,0)</f>
        <v>0.011919698870765272</v>
      </c>
      <c r="R126" s="5">
        <f>SUM(IF(BM126="lease",BU126,0),IF(CH126="lease",CP126,0),IF(DC126="lease",DK126,0),IF(DX126="lease",EF126,0),IF(ES126="lease",FA126,0),IF(FN126="lease",FV126,0),IF(GI126="lease",GQ126,0),IF(HD126="lease",HL126,0),IF(HY126="lease",IG126,0),IF(IT126="lease",JB126,0))</f>
        <v>1.278495190400083</v>
      </c>
      <c r="S126" s="5">
        <f>SUM(IF(BM126="lease",BV126,0),IF(CH126="lease",CQ126,0),IF(DC126="lease",DL126,0),IF(DX126="lease",EG126,0),IF(ES126="lease",FB126,0),IF(FN126="lease",FW126,0),IF(GI126="lease",GR126,0),IF(HD126="lease",HM126,0),IF(HY126="lease",IH126,0),IF(IT126="lease",JC126,0))</f>
        <v>1.2858104033255182</v>
      </c>
      <c r="T126" s="5">
        <f>SUM(IF(BM126="keep",BU126,0),IF(CH126="keep",CP126,0),IF(DC126="keep",DK126,0),IF(DX126="keep",EF126,0),IF(ES126="keep",FA126,0),IF(FN126="keep",FV126,0),IF(GI126="keep",GQ126,0),IF(HD126="keep",HL126,0),IF(HY126="keep",IG126,0),IF(IT126="keep",JB126,0))</f>
        <v>0</v>
      </c>
      <c r="U126" s="5">
        <f>SUM(IF(BM126="keep",BV126,0),IF(CH126="keep",CQ126,0),IF(DC126="keep",DL126,0),IF(DX126="keep",EG126,0),IF(ES126="keep",FB126,0),IF(FN126="keep",FW126,0),IF(GI126="keep",GR126,0),IF(HD126="keep",HM126,0),IF(HY126="keep",IH126,0),IF(IT126="keep",JC126,0))</f>
        <v>0</v>
      </c>
      <c r="V126" s="5">
        <f>R126/O126</f>
        <v>1.5704476680071282</v>
      </c>
      <c r="W126" s="5">
        <f>S126/P126</f>
        <v>1.5608287474961962</v>
      </c>
      <c r="X126" s="5">
        <f>T126/O126</f>
        <v>0</v>
      </c>
      <c r="Y126" s="5">
        <f>U126/P126</f>
        <v>0</v>
      </c>
      <c r="Z126" s="5">
        <f>V126+X126</f>
        <v>1.5704476680071282</v>
      </c>
      <c r="AA126" s="7">
        <f>IFERROR(W126/V126-1,0)</f>
        <v>-0.006124954499845403</v>
      </c>
      <c r="AB126" s="7">
        <f>IFERROR((W126-V126)/Z126,0)</f>
        <v>-0.006124954499845447</v>
      </c>
      <c r="AC126" s="7">
        <f>IFERROR(Y126/X126-1,0)</f>
        <v>0</v>
      </c>
      <c r="AD126" s="7">
        <f>IFERROR((Y126-X126)/Z126,0)</f>
        <v>0</v>
      </c>
      <c r="AE126" s="7">
        <f>AB126+AD126</f>
        <v>-0.006124954499845447</v>
      </c>
      <c r="AF126" s="7">
        <f>(1+Q126)*(1+AE126)-1</f>
        <v>0.0057217367576845035</v>
      </c>
      <c r="AG126" s="7">
        <f>G126-AF126</f>
        <v>2.393918396847994e-16</v>
      </c>
      <c r="AH126" s="5">
        <f>SUM(IF(BM126="lease",BW126,0),IF(CH126="lease",CR126,0),IF(DC126="lease",DM126,0),IF(DX126="lease",EH126,0),IF(ES126="lease",FC126,0),IF(FN126="lease",FX126,0),IF(GI126="lease",GS126,0),IF(HD126="lease",HN126,0),IF(HY126="lease",II126,0),IF(IT126="lease",JD126,0))</f>
        <v>0.007315212925435305</v>
      </c>
      <c r="AI126" s="5">
        <f>SUM(IF(BM126="keep",BW126,0),IF(CH126="keep",CR126,0),IF(DC126="keep",DM126,0),IF(DX126="keep",EH126,0),IF(ES126="keep",FC126,0),IF(FN126="keep",FX126,0),IF(GI126="keep",GS126,0),IF(HD126="keep",HN126,0),IF(HY126="keep",II126,0),IF(IT126="keep",JD126,0))</f>
        <v>0</v>
      </c>
      <c r="AJ126" s="5">
        <f>SUM(IF(BM126="lease",BX126,0),IF(CH126="lease",CS126,0),IF(DC126="lease",DN126,0),IF(DX126="lease",EI126,0),IF(ES126="lease",FD126,0),IF(FN126="lease",FY126,0),IF(GI126="lease",GT126,0),IF(HD126="lease",HO126,0),IF(HY126="lease",IJ126,0),IF(IT126="lease",JE126,0))</f>
        <v>0</v>
      </c>
      <c r="AK126" s="5">
        <f>SUM(IF(BM126="keep",BX126,0),IF(CH126="keep",CS126,0),IF(DC126="keep",DN126,0),IF(DX126="keep",EI126,0),IF(ES126="keep",FD126,0),IF(FN126="keep",FY126,0),IF(GI126="keep",GT126,0),IF(HD126="keep",HO126,0),IF(HY126="keep",IJ126,0),IF(IT126="keep",JE126,0))</f>
        <v>0</v>
      </c>
      <c r="AL126" s="5">
        <f>R126-S125</f>
        <v>0</v>
      </c>
      <c r="AM126" s="5">
        <f>T126-U125</f>
        <v>0</v>
      </c>
      <c r="AN126" s="5">
        <f>AN125</f>
        <v>1</v>
      </c>
      <c r="AO126" s="5">
        <f>AO125+AH126</f>
        <v>0.2858104033255182</v>
      </c>
      <c r="AP126" s="5">
        <f>AP125+AL126</f>
        <v>-4.440892098500626e-16</v>
      </c>
      <c r="AQ126" s="5">
        <f>AN126+AO126+AP126</f>
        <v>1.2858104033255178</v>
      </c>
      <c r="AR126" s="5">
        <f>S126-AQ126</f>
        <v>4.440892098500626e-16</v>
      </c>
      <c r="AS126" s="5">
        <f>AS125</f>
        <v>0</v>
      </c>
      <c r="AT126" s="5">
        <f>AT125+AI126</f>
        <v>0</v>
      </c>
      <c r="AU126" s="5">
        <f>AU125+AM126</f>
        <v>0</v>
      </c>
      <c r="AV126" s="5">
        <f>AS126+AT126+AU126</f>
        <v>0</v>
      </c>
      <c r="AW126" s="5">
        <f>U126-AV126</f>
        <v>0</v>
      </c>
      <c r="AX126" s="4">
        <v>1.278495190400083</v>
      </c>
      <c r="AY126" s="4">
        <v>1.2858104033255182</v>
      </c>
      <c r="AZ126" s="5">
        <f>S126-AY126</f>
        <v>0</v>
      </c>
      <c r="BA126" s="4">
        <v>0</v>
      </c>
      <c r="BB126" s="4">
        <v>0</v>
      </c>
      <c r="BC126" s="5">
        <f>U126-BB126</f>
        <v>0</v>
      </c>
      <c r="BD126" s="7">
        <f>SUM(IF(BL126="direct",CE126,0),IF(CG126="direct",CZ126,0),IF(DB126="direct",DU126,0),IF(DW126="direct",EP126,0),IF(ER126="direct",FK126,0),IF(FM126="direct",GF126,0),IF(GH126="direct",HA126,0),IF(HC126="direct",HV126,0),IF(HX126="direct",IQ126,0),IF(IS126="direct",JL126,0))</f>
        <v>0.0056222018819755545</v>
      </c>
      <c r="BE126" s="7">
        <f>SUM(IF(BL126="treasury",CE126,0),IF(CG126="treasury",CZ126,0),IF(DB126="treasury",DU126,0),IF(DW126="treasury",EP126,0),IF(ER126="treasury",FK126,0),IF(FM126="treasury",GF126,0),IF(GH126="treasury",HA126,0),IF(HC126="treasury",HV126,0),IF(HX126="treasury",IQ126,0),IF(IS126="treasury",JL126,0))</f>
        <v>0.0000995348757091892</v>
      </c>
      <c r="BF126" s="7">
        <f>SUM(IF(BL126="future",CE126,0),IF(CG126="future",CZ126,0),IF(DB126="future",DU126,0),IF(DW126="future",EP126,0),IF(ER126="future",FK126,0),IF(FM126="future",GF126,0),IF(GH126="future",HA126,0),IF(HC126="future",HV126,0),IF(HX126="future",IQ126,0),IF(IS126="future",JL126,0))</f>
        <v>0</v>
      </c>
      <c r="BG126" s="7">
        <f>SUM(IF(BL126="cash",CE126,0),IF(CG126="cash",CZ126,0),IF(DB126="cash",DU126,0),IF(DW126="cash",EP126,0),IF(ER126="cash",FK126,0),IF(FM126="cash",GF126,0),IF(GH126="cash",HA126,0),IF(HC126="cash",HV126,0),IF(HX126="cash",IQ126,0),IF(IS126="cash",JL126,0))</f>
        <v>0</v>
      </c>
      <c r="BH126" s="7">
        <f>SUM(BD126:BG126)</f>
        <v>0.005721736757684744</v>
      </c>
      <c r="BI126" s="7">
        <f>G126-BH126</f>
        <v>-8.673617379884035e-19</v>
      </c>
      <c r="BJ126" s="9">
        <f>COUNTA(BK126,CF126,DA126,DV126,EQ126,FL126,GG126,HB126,HW126,IR126)</f>
        <v>5</v>
      </c>
      <c r="BK126" t="inlineStr">
        <is>
          <t xml:space="preserve">Direct commodity holding</t>
        </is>
      </c>
      <c r="BL126" t="inlineStr">
        <is>
          <t xml:space="preserve">direct</t>
        </is>
      </c>
      <c r="BM126" t="inlineStr">
        <is>
          <t xml:space="preserve">lease</t>
        </is>
      </c>
      <c r="BN126" t="inlineStr">
        <is>
          <t xml:space="preserve">long</t>
        </is>
      </c>
      <c r="BO126"/>
      <c r="BP126" s="4">
        <v>1.594</v>
      </c>
      <c r="BQ126" s="4">
        <v>1.613</v>
      </c>
      <c r="BR126" s="4">
        <v>0.3785310944978326</v>
      </c>
      <c r="BS126" s="6">
        <v>0.47194433671723757</v>
      </c>
      <c r="BT126" s="4">
        <v>0.6033785646295452</v>
      </c>
      <c r="BU126" s="4">
        <v>0.6033785646295452</v>
      </c>
      <c r="BV126" s="4">
        <v>0.610570655425004</v>
      </c>
      <c r="BW126" s="4">
        <v>0.007187958065564037</v>
      </c>
      <c r="BX126" s="4">
        <v>0.000004132729894757055</v>
      </c>
      <c r="BY126" s="4">
        <v>1.594</v>
      </c>
      <c r="BZ126" s="4">
        <v>1.613</v>
      </c>
      <c r="CA126" s="6"/>
      <c r="CB126" s="6"/>
      <c r="CC126" s="6"/>
      <c r="CD126" s="9"/>
      <c r="CE126" s="7">
        <f>IFERROR(BW126/F126,0)</f>
        <v>0.0056222018819755545</v>
      </c>
      <c r="CF126" t="inlineStr">
        <is>
          <t xml:space="preserve">Treasury collateral</t>
        </is>
      </c>
      <c r="CG126" t="inlineStr">
        <is>
          <t xml:space="preserve">treasury</t>
        </is>
      </c>
      <c r="CH126" t="inlineStr">
        <is>
          <t xml:space="preserve">lease</t>
        </is>
      </c>
      <c r="CI126" t="inlineStr">
        <is>
          <t xml:space="preserve">long</t>
        </is>
      </c>
      <c r="CJ126"/>
      <c r="CK126" s="4">
        <v>103.18945565334874</v>
      </c>
      <c r="CL126" s="4">
        <v>103.20890615896232</v>
      </c>
      <c r="CM126" s="4">
        <v>0.006542496241461934</v>
      </c>
      <c r="CN126" s="6">
        <v>0.5280556632827624</v>
      </c>
      <c r="CO126" s="4">
        <v>0.6751166257705371</v>
      </c>
      <c r="CP126" s="4">
        <v>0.6751166257705371</v>
      </c>
      <c r="CQ126" s="4">
        <v>0.6752438806304084</v>
      </c>
      <c r="CR126" s="4">
        <v>0.00012725485987126838</v>
      </c>
      <c r="CS126" s="4">
        <v>3.797418109130479e-17</v>
      </c>
      <c r="CT126" s="4">
        <v>1.594</v>
      </c>
      <c r="CU126" s="4">
        <v>1.613</v>
      </c>
      <c r="CV126" s="6"/>
      <c r="CW126" s="6"/>
      <c r="CX126" s="6"/>
      <c r="CY126" s="9">
        <v>22</v>
      </c>
      <c r="CZ126" s="7">
        <f>IFERROR(CR126/F126,0)</f>
        <v>0.0000995348757091892</v>
      </c>
      <c r="DA126" t="inlineStr">
        <is>
          <t xml:space="preserve">SI69N</t>
        </is>
      </c>
      <c r="DB126" t="inlineStr">
        <is>
          <t xml:space="preserve">future</t>
        </is>
      </c>
      <c r="DC126" t="inlineStr">
        <is>
          <t xml:space="preserve">lease</t>
        </is>
      </c>
      <c r="DD126" t="inlineStr">
        <is>
          <t xml:space="preserve">long</t>
        </is>
      </c>
      <c r="DE126" t="inlineStr">
        <is>
          <t xml:space="preserve">regular</t>
        </is>
      </c>
      <c r="DF126" s="4">
        <v>1.5930000000000002</v>
      </c>
      <c r="DG126" s="4">
        <v>1.5930000000000002</v>
      </c>
      <c r="DH126" s="4">
        <v>0.42380202496581104</v>
      </c>
      <c r="DI126" s="6">
        <v>0.5280556632827624</v>
      </c>
      <c r="DJ126" s="4">
        <v>0.6751166257705371</v>
      </c>
      <c r="DK126" s="4">
        <v>0</v>
      </c>
      <c r="DL126" s="4">
        <v>0</v>
      </c>
      <c r="DM126" s="4">
        <v>0</v>
      </c>
      <c r="DN126" s="4">
        <v>0</v>
      </c>
      <c r="DO126" s="4">
        <v>1.594</v>
      </c>
      <c r="DP126" s="4">
        <v>1.613</v>
      </c>
      <c r="DQ126" s="6">
        <v>-0.0006273525721455231</v>
      </c>
      <c r="DR126" s="6">
        <v>0.0688</v>
      </c>
      <c r="DS126" s="6">
        <v>0.07920834949241436</v>
      </c>
      <c r="DT126" s="9">
        <v>22</v>
      </c>
      <c r="DU126" s="7">
        <f>IFERROR(DM126/F126,0)</f>
        <v>0</v>
      </c>
      <c r="DV126" t="inlineStr">
        <is>
          <t xml:space="preserve">Lease cash / margin / financing</t>
        </is>
      </c>
      <c r="DW126" t="inlineStr">
        <is>
          <t xml:space="preserve">cash</t>
        </is>
      </c>
      <c r="DX126" t="inlineStr">
        <is>
          <t xml:space="preserve">lease</t>
        </is>
      </c>
      <c r="DY126" t="inlineStr">
        <is>
          <t xml:space="preserve">cash</t>
        </is>
      </c>
      <c r="DZ126"/>
      <c r="EA126" s="4">
        <v>1</v>
      </c>
      <c r="EB126" s="4">
        <v>1</v>
      </c>
      <c r="EC126" s="4">
        <v>6.661338147750939e-16</v>
      </c>
      <c r="ED126" s="6"/>
      <c r="EE126" s="4">
        <v>6.661338147750939e-16</v>
      </c>
      <c r="EF126" s="4">
        <v>6.661338147750939e-16</v>
      </c>
      <c r="EG126" s="4">
        <v>-0.000004132729894128895</v>
      </c>
      <c r="EH126" s="4">
        <v>0</v>
      </c>
      <c r="EI126" s="4">
        <v>-0.000004132729894795029</v>
      </c>
      <c r="EJ126" s="4">
        <v>1.594</v>
      </c>
      <c r="EK126" s="4">
        <v>1.613</v>
      </c>
      <c r="EL126" s="6"/>
      <c r="EM126" s="6"/>
      <c r="EN126" s="6"/>
      <c r="EO126" s="9"/>
      <c r="EP126" s="7">
        <f>IFERROR(EH126/F126,0)</f>
        <v>0</v>
      </c>
      <c r="EQ126" t="inlineStr">
        <is>
          <t xml:space="preserve">Keep cash / margin / financing</t>
        </is>
      </c>
      <c r="ER126" t="inlineStr">
        <is>
          <t xml:space="preserve">cash</t>
        </is>
      </c>
      <c r="ES126" t="inlineStr">
        <is>
          <t xml:space="preserve">keep</t>
        </is>
      </c>
      <c r="ET126" t="inlineStr">
        <is>
          <t xml:space="preserve">cash</t>
        </is>
      </c>
      <c r="EU126"/>
      <c r="EV126" s="4">
        <v>1</v>
      </c>
      <c r="EW126" s="4">
        <v>1</v>
      </c>
      <c r="EX126" s="4">
        <v>0</v>
      </c>
      <c r="EY126" s="6"/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1.594</v>
      </c>
      <c r="FF126" s="4">
        <v>1.613</v>
      </c>
      <c r="FG126" s="6"/>
      <c r="FH126" s="6"/>
      <c r="FI126" s="6"/>
      <c r="FJ126" s="9"/>
      <c r="FK126" s="7">
        <f>IFERROR(FC126/F126,0)</f>
        <v>0</v>
      </c>
      <c r="FL126"/>
      <c r="FM126"/>
      <c r="FN126"/>
      <c r="FO126"/>
      <c r="FP126"/>
      <c r="FQ126" s="4"/>
      <c r="FR126" s="4"/>
      <c r="FS126" s="4"/>
      <c r="FT126" s="6"/>
      <c r="FU126" s="4"/>
      <c r="FV126" s="4"/>
      <c r="FW126" s="4"/>
      <c r="FX126" s="4"/>
      <c r="FY126" s="4"/>
      <c r="FZ126" s="4"/>
      <c r="GA126" s="4"/>
      <c r="GB126" s="6"/>
      <c r="GC126" s="6"/>
      <c r="GD126" s="6"/>
      <c r="GE126" s="9"/>
      <c r="GF126"/>
      <c r="GG126"/>
      <c r="GH126"/>
      <c r="GI126"/>
      <c r="GJ126"/>
      <c r="GK126"/>
      <c r="GL126" s="4"/>
      <c r="GM126" s="4"/>
      <c r="GN126" s="4"/>
      <c r="GO126" s="6"/>
      <c r="GP126" s="4"/>
      <c r="GQ126" s="4"/>
      <c r="GR126" s="4"/>
      <c r="GS126" s="4"/>
      <c r="GT126" s="4"/>
      <c r="GU126" s="4"/>
      <c r="GV126" s="4"/>
      <c r="GW126" s="6"/>
      <c r="GX126" s="6"/>
      <c r="GY126" s="6"/>
      <c r="GZ126" s="9"/>
      <c r="HA126"/>
      <c r="HB126"/>
      <c r="HC126"/>
      <c r="HD126"/>
      <c r="HE126"/>
      <c r="HF126"/>
      <c r="HG126" s="4"/>
      <c r="HH126" s="4"/>
      <c r="HI126" s="4"/>
      <c r="HJ126" s="6"/>
      <c r="HK126" s="4"/>
      <c r="HL126" s="4"/>
      <c r="HM126" s="4"/>
      <c r="HN126" s="4"/>
      <c r="HO126" s="4"/>
      <c r="HP126" s="4"/>
      <c r="HQ126" s="4"/>
      <c r="HR126" s="6"/>
      <c r="HS126" s="6"/>
      <c r="HT126" s="6"/>
      <c r="HU126" s="9"/>
      <c r="HV126"/>
      <c r="HW126"/>
      <c r="HX126"/>
      <c r="HY126"/>
      <c r="HZ126"/>
      <c r="IA126"/>
      <c r="IB126" s="4"/>
      <c r="IC126" s="4"/>
      <c r="ID126" s="4"/>
      <c r="IE126" s="6"/>
      <c r="IF126" s="4"/>
      <c r="IG126" s="4"/>
      <c r="IH126" s="4"/>
      <c r="II126" s="4"/>
      <c r="IJ126" s="4"/>
      <c r="IK126" s="4"/>
      <c r="IL126" s="4"/>
      <c r="IM126" s="6"/>
      <c r="IN126" s="6"/>
      <c r="IO126" s="6"/>
      <c r="IP126" s="9"/>
      <c r="IQ126"/>
      <c r="IR126"/>
      <c r="IS126"/>
      <c r="IT126"/>
      <c r="IU126"/>
      <c r="IV126"/>
      <c r="IW126" s="4"/>
      <c r="IX126" s="4"/>
      <c r="IY126" s="4"/>
      <c r="IZ126" s="6"/>
      <c r="JA126" s="4"/>
      <c r="JB126" s="4"/>
      <c r="JC126" s="4"/>
      <c r="JD126" s="4"/>
      <c r="JE126" s="4"/>
      <c r="JF126" s="4"/>
      <c r="JG126" s="4"/>
      <c r="JH126" s="6"/>
      <c r="JI126" s="6"/>
      <c r="JJ126" s="6"/>
      <c r="JK126" s="9"/>
      <c r="JL126"/>
    </row>
    <row r="127">
      <c r="A127" s="8">
        <v>25392</v>
      </c>
      <c r="B127" s="8">
        <v>25393</v>
      </c>
      <c r="C127" s="9">
        <f>B127-A127</f>
        <v>1</v>
      </c>
      <c r="D127" s="8">
        <v>25392</v>
      </c>
      <c r="E127" t="inlineStr">
        <is>
          <t xml:space="preserve">positive</t>
        </is>
      </c>
      <c r="F127" s="4">
        <v>1.2858104033255175</v>
      </c>
      <c r="G127" s="6">
        <v>0.025928834885500823</v>
      </c>
      <c r="H127" s="7">
        <f>SUM(CE127,CZ127,DU127,EP127,FK127,GF127,HA127,HV127,IQ127,JL127)</f>
        <v>0.025928834885500827</v>
      </c>
      <c r="I127" s="7">
        <f>G127-H127</f>
        <v>-3.469446951953614e-18</v>
      </c>
      <c r="J127" s="5">
        <f>F127*(1+H127)</f>
        <v>1.3191499689674042</v>
      </c>
      <c r="K127" s="4">
        <v>1.3191499689674042</v>
      </c>
      <c r="L127" s="5">
        <f>K127-J127</f>
        <v>0</v>
      </c>
      <c r="M127" s="4">
        <v>1.613</v>
      </c>
      <c r="N127" s="4">
        <v>1.618</v>
      </c>
      <c r="O127" s="5">
        <f>M127/$M$3</f>
        <v>0.8237997957099081</v>
      </c>
      <c r="P127" s="5">
        <f>N127/$M$3</f>
        <v>0.8263534218590399</v>
      </c>
      <c r="Q127" s="7">
        <f>IFERROR(N127/M127-1,0)</f>
        <v>0.0030998140111593298</v>
      </c>
      <c r="R127" s="5">
        <f>SUM(IF(BM127="lease",BU127,0),IF(CH127="lease",CP127,0),IF(DC127="lease",DK127,0),IF(DX127="lease",EF127,0),IF(ES127="lease",FA127,0),IF(FN127="lease",FV127,0),IF(GI127="lease",GQ127,0),IF(HD127="lease",HL127,0),IF(HY127="lease",IG127,0),IF(IT127="lease",JB127,0))</f>
        <v>1.2858104033255182</v>
      </c>
      <c r="S127" s="5">
        <f>SUM(IF(BM127="lease",BV127,0),IF(CH127="lease",CQ127,0),IF(DC127="lease",DL127,0),IF(DX127="lease",EG127,0),IF(ES127="lease",FB127,0),IF(FN127="lease",FW127,0),IF(GI127="lease",GR127,0),IF(HD127="lease",HM127,0),IF(HY127="lease",IH127,0),IF(IT127="lease",JC127,0))</f>
        <v>1.3191499689674049</v>
      </c>
      <c r="T127" s="5">
        <f>SUM(IF(BM127="keep",BU127,0),IF(CH127="keep",CP127,0),IF(DC127="keep",DK127,0),IF(DX127="keep",EF127,0),IF(ES127="keep",FA127,0),IF(FN127="keep",FV127,0),IF(GI127="keep",GQ127,0),IF(HD127="keep",HL127,0),IF(HY127="keep",IG127,0),IF(IT127="keep",JB127,0))</f>
        <v>0</v>
      </c>
      <c r="U127" s="5">
        <f>SUM(IF(BM127="keep",BV127,0),IF(CH127="keep",CQ127,0),IF(DC127="keep",DL127,0),IF(DX127="keep",EG127,0),IF(ES127="keep",FB127,0),IF(FN127="keep",FW127,0),IF(GI127="keep",GR127,0),IF(HD127="keep",HM127,0),IF(HY127="keep",IH127,0),IF(IT127="keep",JC127,0))</f>
        <v>0</v>
      </c>
      <c r="V127" s="5">
        <f>R127/O127</f>
        <v>1.5608287474961962</v>
      </c>
      <c r="W127" s="5">
        <f>S127/P127</f>
        <v>1.5963508277121004</v>
      </c>
      <c r="X127" s="5">
        <f>T127/O127</f>
        <v>0</v>
      </c>
      <c r="Y127" s="5">
        <f>U127/P127</f>
        <v>0</v>
      </c>
      <c r="Z127" s="5">
        <f>V127+X127</f>
        <v>1.5608287474961962</v>
      </c>
      <c r="AA127" s="7">
        <f>IFERROR(W127/V127-1,0)</f>
        <v>0.022758473838265125</v>
      </c>
      <c r="AB127" s="7">
        <f>IFERROR((W127-V127)/Z127,0)</f>
        <v>0.022758473838265056</v>
      </c>
      <c r="AC127" s="7">
        <f>IFERROR(Y127/X127-1,0)</f>
        <v>0</v>
      </c>
      <c r="AD127" s="7">
        <f>IFERROR((Y127-X127)/Z127,0)</f>
        <v>0</v>
      </c>
      <c r="AE127" s="7">
        <f>AB127+AD127</f>
        <v>0.022758473838265056</v>
      </c>
      <c r="AF127" s="7">
        <f>(1+Q127)*(1+AE127)-1</f>
        <v>0.025928834885500907</v>
      </c>
      <c r="AG127" s="7">
        <f>G127-AF127</f>
        <v>-8.326672684688674e-17</v>
      </c>
      <c r="AH127" s="5">
        <f>SUM(IF(BM127="lease",BW127,0),IF(CH127="lease",CR127,0),IF(DC127="lease",DM127,0),IF(DX127="lease",EH127,0),IF(ES127="lease",FC127,0),IF(FN127="lease",FX127,0),IF(GI127="lease",GS127,0),IF(HD127="lease",HN127,0),IF(HY127="lease",II127,0),IF(IT127="lease",JD127,0))</f>
        <v>0.033339565641886566</v>
      </c>
      <c r="AI127" s="5">
        <f>SUM(IF(BM127="keep",BW127,0),IF(CH127="keep",CR127,0),IF(DC127="keep",DM127,0),IF(DX127="keep",EH127,0),IF(ES127="keep",FC127,0),IF(FN127="keep",FX127,0),IF(GI127="keep",GS127,0),IF(HD127="keep",HN127,0),IF(HY127="keep",II127,0),IF(IT127="keep",JD127,0))</f>
        <v>0</v>
      </c>
      <c r="AJ127" s="5">
        <f>SUM(IF(BM127="lease",BX127,0),IF(CH127="lease",CS127,0),IF(DC127="lease",DN127,0),IF(DX127="lease",EI127,0),IF(ES127="lease",FD127,0),IF(FN127="lease",FY127,0),IF(GI127="lease",GT127,0),IF(HD127="lease",HO127,0),IF(HY127="lease",IJ127,0),IF(IT127="lease",JE127,0))</f>
        <v>0</v>
      </c>
      <c r="AK127" s="5">
        <f>SUM(IF(BM127="keep",BX127,0),IF(CH127="keep",CS127,0),IF(DC127="keep",DN127,0),IF(DX127="keep",EI127,0),IF(ES127="keep",FD127,0),IF(FN127="keep",FY127,0),IF(GI127="keep",GT127,0),IF(HD127="keep",HO127,0),IF(HY127="keep",IJ127,0),IF(IT127="keep",JE127,0))</f>
        <v>0</v>
      </c>
      <c r="AL127" s="5">
        <f>R127-S126</f>
        <v>0</v>
      </c>
      <c r="AM127" s="5">
        <f>T127-U126</f>
        <v>0</v>
      </c>
      <c r="AN127" s="5">
        <f>AN126</f>
        <v>1</v>
      </c>
      <c r="AO127" s="5">
        <f>AO126+AH127</f>
        <v>0.3191499689674048</v>
      </c>
      <c r="AP127" s="5">
        <f>AP126+AL127</f>
        <v>-4.440892098500626e-16</v>
      </c>
      <c r="AQ127" s="5">
        <f>AN127+AO127+AP127</f>
        <v>1.3191499689674044</v>
      </c>
      <c r="AR127" s="5">
        <f>S127-AQ127</f>
        <v>4.440892098500626e-16</v>
      </c>
      <c r="AS127" s="5">
        <f>AS126</f>
        <v>0</v>
      </c>
      <c r="AT127" s="5">
        <f>AT126+AI127</f>
        <v>0</v>
      </c>
      <c r="AU127" s="5">
        <f>AU126+AM127</f>
        <v>0</v>
      </c>
      <c r="AV127" s="5">
        <f>AS127+AT127+AU127</f>
        <v>0</v>
      </c>
      <c r="AW127" s="5">
        <f>U127-AV127</f>
        <v>0</v>
      </c>
      <c r="AX127" s="4">
        <v>1.2858104033255182</v>
      </c>
      <c r="AY127" s="4">
        <v>1.3191499689674049</v>
      </c>
      <c r="AZ127" s="5">
        <f>S127-AY127</f>
        <v>0</v>
      </c>
      <c r="BA127" s="4">
        <v>0</v>
      </c>
      <c r="BB127" s="4">
        <v>0</v>
      </c>
      <c r="BC127" s="5">
        <f>U127-BB127</f>
        <v>0</v>
      </c>
      <c r="BD127" s="7">
        <f>SUM(IF(BL127="direct",CE127,0),IF(CG127="direct",CZ127,0),IF(DB127="direct",DU127,0),IF(DW127="direct",EP127,0),IF(ER127="direct",FK127,0),IF(FM127="direct",GF127,0),IF(GH127="direct",HA127,0),IF(HC127="direct",HV127,0),IF(HX127="direct",IQ127,0),IF(IS127="direct",JL127,0))</f>
        <v>0</v>
      </c>
      <c r="BE127" s="7">
        <f>SUM(IF(BL127="treasury",CE127,0),IF(CG127="treasury",CZ127,0),IF(DB127="treasury",DU127,0),IF(DW127="treasury",EP127,0),IF(ER127="treasury",FK127,0),IF(FM127="treasury",GF127,0),IF(GH127="treasury",HA127,0),IF(HC127="treasury",HV127,0),IF(HX127="treasury",IQ127,0),IF(IS127="treasury",JL127,0))</f>
        <v>0.00019123287671232877</v>
      </c>
      <c r="BF127" s="7">
        <f>SUM(IF(BL127="future",CE127,0),IF(CG127="future",CZ127,0),IF(DB127="future",DU127,0),IF(DW127="future",EP127,0),IF(ER127="future",FK127,0),IF(FM127="future",GF127,0),IF(GH127="future",HA127,0),IF(HC127="future",HV127,0),IF(HX127="future",IQ127,0),IF(IS127="future",JL127,0))</f>
        <v>0.025737602008788496</v>
      </c>
      <c r="BG127" s="7">
        <f>SUM(IF(BL127="cash",CE127,0),IF(CG127="cash",CZ127,0),IF(DB127="cash",DU127,0),IF(DW127="cash",EP127,0),IF(ER127="cash",FK127,0),IF(FM127="cash",GF127,0),IF(GH127="cash",HA127,0),IF(HC127="cash",HV127,0),IF(HX127="cash",IQ127,0),IF(IS127="cash",JL127,0))</f>
        <v>0</v>
      </c>
      <c r="BH127" s="7">
        <f>SUM(BD127:BG127)</f>
        <v>0.025928834885500823</v>
      </c>
      <c r="BI127" s="7">
        <f>G127-BH127</f>
        <v>0</v>
      </c>
      <c r="BJ127" s="9">
        <f>COUNTA(BK127,CF127,DA127,DV127,EQ127,FL127,GG127,HB127,HW127,IR127)</f>
        <v>4</v>
      </c>
      <c r="BK127" t="inlineStr">
        <is>
          <t xml:space="preserve">Treasury collateral</t>
        </is>
      </c>
      <c r="BL127" t="inlineStr">
        <is>
          <t xml:space="preserve">treasury</t>
        </is>
      </c>
      <c r="BM127" t="inlineStr">
        <is>
          <t xml:space="preserve">lease</t>
        </is>
      </c>
      <c r="BN127" t="inlineStr">
        <is>
          <t xml:space="preserve">long</t>
        </is>
      </c>
      <c r="BO127"/>
      <c r="BP127" s="4">
        <v>103.20890615896232</v>
      </c>
      <c r="BQ127" s="4">
        <v>103.22864309498945</v>
      </c>
      <c r="BR127" s="4">
        <v>0.012458327979419846</v>
      </c>
      <c r="BS127" s="6">
        <v>1</v>
      </c>
      <c r="BT127" s="4">
        <v>1.2858104033255175</v>
      </c>
      <c r="BU127" s="4">
        <v>1.2858104033255175</v>
      </c>
      <c r="BV127" s="4">
        <v>1.2860562925478523</v>
      </c>
      <c r="BW127" s="4">
        <v>0.00024588922233457843</v>
      </c>
      <c r="BX127" s="4">
        <v>1.269058642894283e-16</v>
      </c>
      <c r="BY127" s="4">
        <v>1.613</v>
      </c>
      <c r="BZ127" s="4">
        <v>1.618</v>
      </c>
      <c r="CA127" s="6"/>
      <c r="CB127" s="6"/>
      <c r="CC127" s="6"/>
      <c r="CD127" s="9">
        <v>21</v>
      </c>
      <c r="CE127" s="7">
        <f>IFERROR(BW127/F127,0)</f>
        <v>0.00019123287671232877</v>
      </c>
      <c r="CF127" t="inlineStr">
        <is>
          <t xml:space="preserve">SI69N</t>
        </is>
      </c>
      <c r="CG127" t="inlineStr">
        <is>
          <t xml:space="preserve">future</t>
        </is>
      </c>
      <c r="CH127" t="inlineStr">
        <is>
          <t xml:space="preserve">lease</t>
        </is>
      </c>
      <c r="CI127" t="inlineStr">
        <is>
          <t xml:space="preserve">long</t>
        </is>
      </c>
      <c r="CJ127" t="inlineStr">
        <is>
          <t xml:space="preserve">regular</t>
        </is>
      </c>
      <c r="CK127" s="4">
        <v>1.5930000000000002</v>
      </c>
      <c r="CL127" s="4">
        <v>1.6340000000000001</v>
      </c>
      <c r="CM127" s="4">
        <v>0.8071628395012664</v>
      </c>
      <c r="CN127" s="6">
        <v>1</v>
      </c>
      <c r="CO127" s="4">
        <v>1.2858104033255175</v>
      </c>
      <c r="CP127" s="4">
        <v>0</v>
      </c>
      <c r="CQ127" s="4">
        <v>0</v>
      </c>
      <c r="CR127" s="4">
        <v>0.033093676419551986</v>
      </c>
      <c r="CS127" s="4">
        <v>-0.033093676419551986</v>
      </c>
      <c r="CT127" s="4">
        <v>1.613</v>
      </c>
      <c r="CU127" s="4">
        <v>1.618</v>
      </c>
      <c r="CV127" s="6">
        <v>-0.012399256044637208</v>
      </c>
      <c r="CW127" s="6">
        <v>0.0698</v>
      </c>
      <c r="CX127" s="6">
        <v>0.28531087887107526</v>
      </c>
      <c r="CY127" s="9">
        <v>21</v>
      </c>
      <c r="CZ127" s="7">
        <f>IFERROR(CR127/F127,0)</f>
        <v>0.025737602008788496</v>
      </c>
      <c r="DA127" t="inlineStr">
        <is>
          <t xml:space="preserve">Lease cash / margin / financing</t>
        </is>
      </c>
      <c r="DB127" t="inlineStr">
        <is>
          <t xml:space="preserve">cash</t>
        </is>
      </c>
      <c r="DC127" t="inlineStr">
        <is>
          <t xml:space="preserve">lease</t>
        </is>
      </c>
      <c r="DD127" t="inlineStr">
        <is>
          <t xml:space="preserve">cash</t>
        </is>
      </c>
      <c r="DE127"/>
      <c r="DF127" s="4">
        <v>1</v>
      </c>
      <c r="DG127" s="4">
        <v>1</v>
      </c>
      <c r="DH127" s="4">
        <v>6.661338147750939e-16</v>
      </c>
      <c r="DI127" s="6"/>
      <c r="DJ127" s="4">
        <v>6.661338147750939e-16</v>
      </c>
      <c r="DK127" s="4">
        <v>6.661338147750939e-16</v>
      </c>
      <c r="DL127" s="4">
        <v>0.03309367641955253</v>
      </c>
      <c r="DM127" s="4">
        <v>0</v>
      </c>
      <c r="DN127" s="4">
        <v>0.03309367641955186</v>
      </c>
      <c r="DO127" s="4">
        <v>1.613</v>
      </c>
      <c r="DP127" s="4">
        <v>1.618</v>
      </c>
      <c r="DQ127" s="6"/>
      <c r="DR127" s="6"/>
      <c r="DS127" s="6"/>
      <c r="DT127" s="9"/>
      <c r="DU127" s="7">
        <f>IFERROR(DM127/F127,0)</f>
        <v>0</v>
      </c>
      <c r="DV127" t="inlineStr">
        <is>
          <t xml:space="preserve">Keep cash / margin / financing</t>
        </is>
      </c>
      <c r="DW127" t="inlineStr">
        <is>
          <t xml:space="preserve">cash</t>
        </is>
      </c>
      <c r="DX127" t="inlineStr">
        <is>
          <t xml:space="preserve">keep</t>
        </is>
      </c>
      <c r="DY127" t="inlineStr">
        <is>
          <t xml:space="preserve">cash</t>
        </is>
      </c>
      <c r="DZ127"/>
      <c r="EA127" s="4">
        <v>1</v>
      </c>
      <c r="EB127" s="4">
        <v>1</v>
      </c>
      <c r="EC127" s="4">
        <v>0</v>
      </c>
      <c r="ED127" s="6"/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 s="4">
        <v>1.613</v>
      </c>
      <c r="EK127" s="4">
        <v>1.618</v>
      </c>
      <c r="EL127" s="6"/>
      <c r="EM127" s="6"/>
      <c r="EN127" s="6"/>
      <c r="EO127" s="9"/>
      <c r="EP127" s="7">
        <f>IFERROR(EH127/F127,0)</f>
        <v>0</v>
      </c>
      <c r="EQ127"/>
      <c r="ER127"/>
      <c r="ES127"/>
      <c r="ET127"/>
      <c r="EU127"/>
      <c r="EV127" s="4"/>
      <c r="EW127" s="4"/>
      <c r="EX127" s="4"/>
      <c r="EY127" s="6"/>
      <c r="EZ127" s="4"/>
      <c r="FA127" s="4"/>
      <c r="FB127" s="4"/>
      <c r="FC127" s="4"/>
      <c r="FD127" s="4"/>
      <c r="FE127" s="4"/>
      <c r="FF127" s="4"/>
      <c r="FG127" s="6"/>
      <c r="FH127" s="6"/>
      <c r="FI127" s="6"/>
      <c r="FJ127" s="9"/>
      <c r="FK127"/>
      <c r="FL127"/>
      <c r="FM127"/>
      <c r="FN127"/>
      <c r="FO127"/>
      <c r="FP127"/>
      <c r="FQ127" s="4"/>
      <c r="FR127" s="4"/>
      <c r="FS127" s="4"/>
      <c r="FT127" s="6"/>
      <c r="FU127" s="4"/>
      <c r="FV127" s="4"/>
      <c r="FW127" s="4"/>
      <c r="FX127" s="4"/>
      <c r="FY127" s="4"/>
      <c r="FZ127" s="4"/>
      <c r="GA127" s="4"/>
      <c r="GB127" s="6"/>
      <c r="GC127" s="6"/>
      <c r="GD127" s="6"/>
      <c r="GE127" s="9"/>
      <c r="GF127"/>
      <c r="GG127"/>
      <c r="GH127"/>
      <c r="GI127"/>
      <c r="GJ127"/>
      <c r="GK127"/>
      <c r="GL127" s="4"/>
      <c r="GM127" s="4"/>
      <c r="GN127" s="4"/>
      <c r="GO127" s="6"/>
      <c r="GP127" s="4"/>
      <c r="GQ127" s="4"/>
      <c r="GR127" s="4"/>
      <c r="GS127" s="4"/>
      <c r="GT127" s="4"/>
      <c r="GU127" s="4"/>
      <c r="GV127" s="4"/>
      <c r="GW127" s="6"/>
      <c r="GX127" s="6"/>
      <c r="GY127" s="6"/>
      <c r="GZ127" s="9"/>
      <c r="HA127"/>
      <c r="HB127"/>
      <c r="HC127"/>
      <c r="HD127"/>
      <c r="HE127"/>
      <c r="HF127"/>
      <c r="HG127" s="4"/>
      <c r="HH127" s="4"/>
      <c r="HI127" s="4"/>
      <c r="HJ127" s="6"/>
      <c r="HK127" s="4"/>
      <c r="HL127" s="4"/>
      <c r="HM127" s="4"/>
      <c r="HN127" s="4"/>
      <c r="HO127" s="4"/>
      <c r="HP127" s="4"/>
      <c r="HQ127" s="4"/>
      <c r="HR127" s="6"/>
      <c r="HS127" s="6"/>
      <c r="HT127" s="6"/>
      <c r="HU127" s="9"/>
      <c r="HV127"/>
      <c r="HW127"/>
      <c r="HX127"/>
      <c r="HY127"/>
      <c r="HZ127"/>
      <c r="IA127"/>
      <c r="IB127" s="4"/>
      <c r="IC127" s="4"/>
      <c r="ID127" s="4"/>
      <c r="IE127" s="6"/>
      <c r="IF127" s="4"/>
      <c r="IG127" s="4"/>
      <c r="IH127" s="4"/>
      <c r="II127" s="4"/>
      <c r="IJ127" s="4"/>
      <c r="IK127" s="4"/>
      <c r="IL127" s="4"/>
      <c r="IM127" s="6"/>
      <c r="IN127" s="6"/>
      <c r="IO127" s="6"/>
      <c r="IP127" s="9"/>
      <c r="IQ127"/>
      <c r="IR127"/>
      <c r="IS127"/>
      <c r="IT127"/>
      <c r="IU127"/>
      <c r="IV127"/>
      <c r="IW127" s="4"/>
      <c r="IX127" s="4"/>
      <c r="IY127" s="4"/>
      <c r="IZ127" s="6"/>
      <c r="JA127" s="4"/>
      <c r="JB127" s="4"/>
      <c r="JC127" s="4"/>
      <c r="JD127" s="4"/>
      <c r="JE127" s="4"/>
      <c r="JF127" s="4"/>
      <c r="JG127" s="4"/>
      <c r="JH127" s="6"/>
      <c r="JI127" s="6"/>
      <c r="JJ127" s="6"/>
      <c r="JK127" s="9"/>
      <c r="JL127"/>
    </row>
    <row r="128">
      <c r="A128" s="8">
        <v>25393</v>
      </c>
      <c r="B128" s="8">
        <v>25394</v>
      </c>
      <c r="C128" s="9">
        <f>B128-A128</f>
        <v>1</v>
      </c>
      <c r="D128" s="8">
        <v>25393</v>
      </c>
      <c r="E128" t="inlineStr">
        <is>
          <t xml:space="preserve">neutral</t>
        </is>
      </c>
      <c r="F128" s="4">
        <v>1.3191499689674042</v>
      </c>
      <c r="G128" s="6">
        <v>0.027805264405574136</v>
      </c>
      <c r="H128" s="7">
        <f>SUM(CE128,CZ128,DU128,EP128,FK128,GF128,HA128,HV128,IQ128,JL128)</f>
        <v>0.027805264405574133</v>
      </c>
      <c r="I128" s="7">
        <f>G128-H128</f>
        <v>3.469446951953614e-18</v>
      </c>
      <c r="J128" s="5">
        <f>F128*(1+H128)</f>
        <v>1.355829282645148</v>
      </c>
      <c r="K128" s="4">
        <v>1.355829282645148</v>
      </c>
      <c r="L128" s="5">
        <f>K128-J128</f>
        <v>0</v>
      </c>
      <c r="M128" s="4">
        <v>1.618</v>
      </c>
      <c r="N128" s="4">
        <v>1.663</v>
      </c>
      <c r="O128" s="5">
        <f>M128/$M$3</f>
        <v>0.8263534218590399</v>
      </c>
      <c r="P128" s="5">
        <f>N128/$M$3</f>
        <v>0.8493360572012257</v>
      </c>
      <c r="Q128" s="7">
        <f>IFERROR(N128/M128-1,0)</f>
        <v>0.02781211372064263</v>
      </c>
      <c r="R128" s="5">
        <f>SUM(IF(BM128="lease",BU128,0),IF(CH128="lease",CP128,0),IF(DC128="lease",DK128,0),IF(DX128="lease",EF128,0),IF(ES128="lease",FA128,0),IF(FN128="lease",FV128,0),IF(GI128="lease",GQ128,0),IF(HD128="lease",HL128,0),IF(HY128="lease",IG128,0),IF(IT128="lease",JB128,0))</f>
        <v>1.3191499689674049</v>
      </c>
      <c r="S128" s="5">
        <f>SUM(IF(BM128="lease",BV128,0),IF(CH128="lease",CQ128,0),IF(DC128="lease",DL128,0),IF(DX128="lease",EG128,0),IF(ES128="lease",FB128,0),IF(FN128="lease",FW128,0),IF(GI128="lease",GR128,0),IF(HD128="lease",HM128,0),IF(HY128="lease",IH128,0),IF(IT128="lease",JC128,0))</f>
        <v>1.3558292826451486</v>
      </c>
      <c r="T128" s="5">
        <f>SUM(IF(BM128="keep",BU128,0),IF(CH128="keep",CP128,0),IF(DC128="keep",DK128,0),IF(DX128="keep",EF128,0),IF(ES128="keep",FA128,0),IF(FN128="keep",FV128,0),IF(GI128="keep",GQ128,0),IF(HD128="keep",HL128,0),IF(HY128="keep",IG128,0),IF(IT128="keep",JB128,0))</f>
        <v>0</v>
      </c>
      <c r="U128" s="5">
        <f>SUM(IF(BM128="keep",BV128,0),IF(CH128="keep",CQ128,0),IF(DC128="keep",DL128,0),IF(DX128="keep",EG128,0),IF(ES128="keep",FB128,0),IF(FN128="keep",FW128,0),IF(GI128="keep",GR128,0),IF(HD128="keep",HM128,0),IF(HY128="keep",IH128,0),IF(IT128="keep",JC128,0))</f>
        <v>0</v>
      </c>
      <c r="V128" s="5">
        <f>R128/O128</f>
        <v>1.5963508277121004</v>
      </c>
      <c r="W128" s="5">
        <f>S128/P128</f>
        <v>1.5963401896687919</v>
      </c>
      <c r="X128" s="5">
        <f>T128/O128</f>
        <v>0</v>
      </c>
      <c r="Y128" s="5">
        <f>U128/P128</f>
        <v>0</v>
      </c>
      <c r="Z128" s="5">
        <f>V128+X128</f>
        <v>1.5963508277121004</v>
      </c>
      <c r="AA128" s="7">
        <f>IFERROR(W128/V128-1,0)</f>
        <v>-0.0000066639758151687545</v>
      </c>
      <c r="AB128" s="7">
        <f>IFERROR((W128-V128)/Z128,0)</f>
        <v>-0.0000066639758152170625</v>
      </c>
      <c r="AC128" s="7">
        <f>IFERROR(Y128/X128-1,0)</f>
        <v>0</v>
      </c>
      <c r="AD128" s="7">
        <f>IFERROR((Y128-X128)/Z128,0)</f>
        <v>0</v>
      </c>
      <c r="AE128" s="7">
        <f>AB128+AD128</f>
        <v>-0.0000066639758152170625</v>
      </c>
      <c r="AF128" s="7">
        <f>(1+Q128)*(1+AE128)-1</f>
        <v>0.02780526440557418</v>
      </c>
      <c r="AG128" s="7">
        <f>G128-AF128</f>
        <v>-4.5102810375396984e-17</v>
      </c>
      <c r="AH128" s="5">
        <f>SUM(IF(BM128="lease",BW128,0),IF(CH128="lease",CR128,0),IF(DC128="lease",DM128,0),IF(DX128="lease",EH128,0),IF(ES128="lease",FC128,0),IF(FN128="lease",FX128,0),IF(GI128="lease",GS128,0),IF(HD128="lease",HN128,0),IF(HY128="lease",II128,0),IF(IT128="lease",JD128,0))</f>
        <v>0.03667931367774359</v>
      </c>
      <c r="AI128" s="5">
        <f>SUM(IF(BM128="keep",BW128,0),IF(CH128="keep",CR128,0),IF(DC128="keep",DM128,0),IF(DX128="keep",EH128,0),IF(ES128="keep",FC128,0),IF(FN128="keep",FX128,0),IF(GI128="keep",GS128,0),IF(HD128="keep",HN128,0),IF(HY128="keep",II128,0),IF(IT128="keep",JD128,0))</f>
        <v>0</v>
      </c>
      <c r="AJ128" s="5">
        <f>SUM(IF(BM128="lease",BX128,0),IF(CH128="lease",CS128,0),IF(DC128="lease",DN128,0),IF(DX128="lease",EI128,0),IF(ES128="lease",FD128,0),IF(FN128="lease",FY128,0),IF(GI128="lease",GT128,0),IF(HD128="lease",HO128,0),IF(HY128="lease",IJ128,0),IF(IT128="lease",JE128,0))</f>
        <v>0</v>
      </c>
      <c r="AK128" s="5">
        <f>SUM(IF(BM128="keep",BX128,0),IF(CH128="keep",CS128,0),IF(DC128="keep",DN128,0),IF(DX128="keep",EI128,0),IF(ES128="keep",FD128,0),IF(FN128="keep",FY128,0),IF(GI128="keep",GT128,0),IF(HD128="keep",HO128,0),IF(HY128="keep",IJ128,0),IF(IT128="keep",JE128,0))</f>
        <v>0</v>
      </c>
      <c r="AL128" s="5">
        <f>R128-S127</f>
        <v>0</v>
      </c>
      <c r="AM128" s="5">
        <f>T128-U127</f>
        <v>0</v>
      </c>
      <c r="AN128" s="5">
        <f>AN127</f>
        <v>1</v>
      </c>
      <c r="AO128" s="5">
        <f>AO127+AH128</f>
        <v>0.35582928264514835</v>
      </c>
      <c r="AP128" s="5">
        <f>AP127+AL128</f>
        <v>-4.440892098500626e-16</v>
      </c>
      <c r="AQ128" s="5">
        <f>AN128+AO128+AP128</f>
        <v>1.355829282645148</v>
      </c>
      <c r="AR128" s="5">
        <f>S128-AQ128</f>
        <v>6.661338147750939e-16</v>
      </c>
      <c r="AS128" s="5">
        <f>AS127</f>
        <v>0</v>
      </c>
      <c r="AT128" s="5">
        <f>AT127+AI128</f>
        <v>0</v>
      </c>
      <c r="AU128" s="5">
        <f>AU127+AM128</f>
        <v>0</v>
      </c>
      <c r="AV128" s="5">
        <f>AS128+AT128+AU128</f>
        <v>0</v>
      </c>
      <c r="AW128" s="5">
        <f>U128-AV128</f>
        <v>0</v>
      </c>
      <c r="AX128" s="4">
        <v>1.3191499689674049</v>
      </c>
      <c r="AY128" s="4">
        <v>1.3558292826451486</v>
      </c>
      <c r="AZ128" s="5">
        <f>S128-AY128</f>
        <v>0</v>
      </c>
      <c r="BA128" s="4">
        <v>0</v>
      </c>
      <c r="BB128" s="4">
        <v>0</v>
      </c>
      <c r="BC128" s="5">
        <f>U128-BB128</f>
        <v>0</v>
      </c>
      <c r="BD128" s="7">
        <f>SUM(IF(BL128="direct",CE128,0),IF(CG128="direct",CZ128,0),IF(DB128="direct",DU128,0),IF(DW128="direct",EP128,0),IF(ER128="direct",FK128,0),IF(FM128="direct",GF128,0),IF(GH128="direct",HA128,0),IF(HC128="direct",HV128,0),IF(HX128="direct",IQ128,0),IF(IS128="direct",JL128,0))</f>
        <v>0.027805264405574133</v>
      </c>
      <c r="BE128" s="7">
        <f>SUM(IF(BL128="treasury",CE128,0),IF(CG128="treasury",CZ128,0),IF(DB128="treasury",DU128,0),IF(DW128="treasury",EP128,0),IF(ER128="treasury",FK128,0),IF(FM128="treasury",GF128,0),IF(GH128="treasury",HA128,0),IF(HC128="treasury",HV128,0),IF(HX128="treasury",IQ128,0),IF(IS128="treasury",JL128,0))</f>
        <v>0</v>
      </c>
      <c r="BF128" s="7">
        <f>SUM(IF(BL128="future",CE128,0),IF(CG128="future",CZ128,0),IF(DB128="future",DU128,0),IF(DW128="future",EP128,0),IF(ER128="future",FK128,0),IF(FM128="future",GF128,0),IF(GH128="future",HA128,0),IF(HC128="future",HV128,0),IF(HX128="future",IQ128,0),IF(IS128="future",JL128,0))</f>
        <v>0</v>
      </c>
      <c r="BG128" s="7">
        <f>SUM(IF(BL128="cash",CE128,0),IF(CG128="cash",CZ128,0),IF(DB128="cash",DU128,0),IF(DW128="cash",EP128,0),IF(ER128="cash",FK128,0),IF(FM128="cash",GF128,0),IF(GH128="cash",HA128,0),IF(HC128="cash",HV128,0),IF(HX128="cash",IQ128,0),IF(IS128="cash",JL128,0))</f>
        <v>0</v>
      </c>
      <c r="BH128" s="7">
        <f>SUM(BD128:BG128)</f>
        <v>0.027805264405574133</v>
      </c>
      <c r="BI128" s="7">
        <f>G128-BH128</f>
        <v>3.469446951953614e-18</v>
      </c>
      <c r="BJ128" s="9">
        <f>COUNTA(BK128,CF128,DA128,DV128,EQ128,FL128,GG128,HB128,HW128,IR128)</f>
        <v>3</v>
      </c>
      <c r="BK128" t="inlineStr">
        <is>
          <t xml:space="preserve">Direct commodity holding</t>
        </is>
      </c>
      <c r="BL128" t="inlineStr">
        <is>
          <t xml:space="preserve">direct</t>
        </is>
      </c>
      <c r="BM128" t="inlineStr">
        <is>
          <t xml:space="preserve">lease</t>
        </is>
      </c>
      <c r="BN128" t="inlineStr">
        <is>
          <t xml:space="preserve">long</t>
        </is>
      </c>
      <c r="BO128"/>
      <c r="BP128" s="4">
        <v>1.618</v>
      </c>
      <c r="BQ128" s="4">
        <v>1.663</v>
      </c>
      <c r="BR128" s="4">
        <v>0.8152966433667517</v>
      </c>
      <c r="BS128" s="6">
        <v>1</v>
      </c>
      <c r="BT128" s="4">
        <v>1.3191499689674042</v>
      </c>
      <c r="BU128" s="4">
        <v>1.3191499689674042</v>
      </c>
      <c r="BV128" s="4">
        <v>1.355838317918908</v>
      </c>
      <c r="BW128" s="4">
        <v>0.03667931367774359</v>
      </c>
      <c r="BX128" s="4">
        <v>0.000009035273760157891</v>
      </c>
      <c r="BY128" s="4">
        <v>1.618</v>
      </c>
      <c r="BZ128" s="4">
        <v>1.663</v>
      </c>
      <c r="CA128" s="6"/>
      <c r="CB128" s="6"/>
      <c r="CC128" s="6"/>
      <c r="CD128" s="9"/>
      <c r="CE128" s="7">
        <f>IFERROR(BW128/F128,0)</f>
        <v>0.027805264405574133</v>
      </c>
      <c r="CF128" t="inlineStr">
        <is>
          <t xml:space="preserve">Lease cash / margin / financing</t>
        </is>
      </c>
      <c r="CG128" t="inlineStr">
        <is>
          <t xml:space="preserve">cash</t>
        </is>
      </c>
      <c r="CH128" t="inlineStr">
        <is>
          <t xml:space="preserve">lease</t>
        </is>
      </c>
      <c r="CI128" t="inlineStr">
        <is>
          <t xml:space="preserve">cash</t>
        </is>
      </c>
      <c r="CJ128"/>
      <c r="CK128" s="4">
        <v>1</v>
      </c>
      <c r="CL128" s="4">
        <v>1</v>
      </c>
      <c r="CM128" s="4">
        <v>6.661338147750939e-16</v>
      </c>
      <c r="CN128" s="6"/>
      <c r="CO128" s="4">
        <v>6.661338147750939e-16</v>
      </c>
      <c r="CP128" s="4">
        <v>6.661338147750939e-16</v>
      </c>
      <c r="CQ128" s="4">
        <v>-0.000009035273759491758</v>
      </c>
      <c r="CR128" s="4">
        <v>0</v>
      </c>
      <c r="CS128" s="4">
        <v>-0.000009035273760157891</v>
      </c>
      <c r="CT128" s="4">
        <v>1.618</v>
      </c>
      <c r="CU128" s="4">
        <v>1.663</v>
      </c>
      <c r="CV128" s="6"/>
      <c r="CW128" s="6"/>
      <c r="CX128" s="6"/>
      <c r="CY128" s="9"/>
      <c r="CZ128" s="7">
        <f>IFERROR(CR128/F128,0)</f>
        <v>0</v>
      </c>
      <c r="DA128" t="inlineStr">
        <is>
          <t xml:space="preserve">Keep cash / margin / financing</t>
        </is>
      </c>
      <c r="DB128" t="inlineStr">
        <is>
          <t xml:space="preserve">cash</t>
        </is>
      </c>
      <c r="DC128" t="inlineStr">
        <is>
          <t xml:space="preserve">keep</t>
        </is>
      </c>
      <c r="DD128" t="inlineStr">
        <is>
          <t xml:space="preserve">cash</t>
        </is>
      </c>
      <c r="DE128"/>
      <c r="DF128" s="4">
        <v>1</v>
      </c>
      <c r="DG128" s="4">
        <v>1</v>
      </c>
      <c r="DH128" s="4">
        <v>0</v>
      </c>
      <c r="DI128" s="6"/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1.618</v>
      </c>
      <c r="DP128" s="4">
        <v>1.663</v>
      </c>
      <c r="DQ128" s="6"/>
      <c r="DR128" s="6"/>
      <c r="DS128" s="6"/>
      <c r="DT128" s="9"/>
      <c r="DU128" s="7">
        <f>IFERROR(DM128/F128,0)</f>
        <v>0</v>
      </c>
      <c r="DV128"/>
      <c r="DW128"/>
      <c r="DX128"/>
      <c r="DY128"/>
      <c r="DZ128"/>
      <c r="EA128" s="4"/>
      <c r="EB128" s="4"/>
      <c r="EC128" s="4"/>
      <c r="ED128" s="6"/>
      <c r="EE128" s="4"/>
      <c r="EF128" s="4"/>
      <c r="EG128" s="4"/>
      <c r="EH128" s="4"/>
      <c r="EI128" s="4"/>
      <c r="EJ128" s="4"/>
      <c r="EK128" s="4"/>
      <c r="EL128" s="6"/>
      <c r="EM128" s="6"/>
      <c r="EN128" s="6"/>
      <c r="EO128" s="9"/>
      <c r="EP128"/>
      <c r="EQ128"/>
      <c r="ER128"/>
      <c r="ES128"/>
      <c r="ET128"/>
      <c r="EU128"/>
      <c r="EV128" s="4"/>
      <c r="EW128" s="4"/>
      <c r="EX128" s="4"/>
      <c r="EY128" s="6"/>
      <c r="EZ128" s="4"/>
      <c r="FA128" s="4"/>
      <c r="FB128" s="4"/>
      <c r="FC128" s="4"/>
      <c r="FD128" s="4"/>
      <c r="FE128" s="4"/>
      <c r="FF128" s="4"/>
      <c r="FG128" s="6"/>
      <c r="FH128" s="6"/>
      <c r="FI128" s="6"/>
      <c r="FJ128" s="9"/>
      <c r="FK128"/>
      <c r="FL128"/>
      <c r="FM128"/>
      <c r="FN128"/>
      <c r="FO128"/>
      <c r="FP128"/>
      <c r="FQ128" s="4"/>
      <c r="FR128" s="4"/>
      <c r="FS128" s="4"/>
      <c r="FT128" s="6"/>
      <c r="FU128" s="4"/>
      <c r="FV128" s="4"/>
      <c r="FW128" s="4"/>
      <c r="FX128" s="4"/>
      <c r="FY128" s="4"/>
      <c r="FZ128" s="4"/>
      <c r="GA128" s="4"/>
      <c r="GB128" s="6"/>
      <c r="GC128" s="6"/>
      <c r="GD128" s="6"/>
      <c r="GE128" s="9"/>
      <c r="GF128"/>
      <c r="GG128"/>
      <c r="GH128"/>
      <c r="GI128"/>
      <c r="GJ128"/>
      <c r="GK128"/>
      <c r="GL128" s="4"/>
      <c r="GM128" s="4"/>
      <c r="GN128" s="4"/>
      <c r="GO128" s="6"/>
      <c r="GP128" s="4"/>
      <c r="GQ128" s="4"/>
      <c r="GR128" s="4"/>
      <c r="GS128" s="4"/>
      <c r="GT128" s="4"/>
      <c r="GU128" s="4"/>
      <c r="GV128" s="4"/>
      <c r="GW128" s="6"/>
      <c r="GX128" s="6"/>
      <c r="GY128" s="6"/>
      <c r="GZ128" s="9"/>
      <c r="HA128"/>
      <c r="HB128"/>
      <c r="HC128"/>
      <c r="HD128"/>
      <c r="HE128"/>
      <c r="HF128"/>
      <c r="HG128" s="4"/>
      <c r="HH128" s="4"/>
      <c r="HI128" s="4"/>
      <c r="HJ128" s="6"/>
      <c r="HK128" s="4"/>
      <c r="HL128" s="4"/>
      <c r="HM128" s="4"/>
      <c r="HN128" s="4"/>
      <c r="HO128" s="4"/>
      <c r="HP128" s="4"/>
      <c r="HQ128" s="4"/>
      <c r="HR128" s="6"/>
      <c r="HS128" s="6"/>
      <c r="HT128" s="6"/>
      <c r="HU128" s="9"/>
      <c r="HV128"/>
      <c r="HW128"/>
      <c r="HX128"/>
      <c r="HY128"/>
      <c r="HZ128"/>
      <c r="IA128"/>
      <c r="IB128" s="4"/>
      <c r="IC128" s="4"/>
      <c r="ID128" s="4"/>
      <c r="IE128" s="6"/>
      <c r="IF128" s="4"/>
      <c r="IG128" s="4"/>
      <c r="IH128" s="4"/>
      <c r="II128" s="4"/>
      <c r="IJ128" s="4"/>
      <c r="IK128" s="4"/>
      <c r="IL128" s="4"/>
      <c r="IM128" s="6"/>
      <c r="IN128" s="6"/>
      <c r="IO128" s="6"/>
      <c r="IP128" s="9"/>
      <c r="IQ128"/>
      <c r="IR128"/>
      <c r="IS128"/>
      <c r="IT128"/>
      <c r="IU128"/>
      <c r="IV128"/>
      <c r="IW128" s="4"/>
      <c r="IX128" s="4"/>
      <c r="IY128" s="4"/>
      <c r="IZ128" s="6"/>
      <c r="JA128" s="4"/>
      <c r="JB128" s="4"/>
      <c r="JC128" s="4"/>
      <c r="JD128" s="4"/>
      <c r="JE128" s="4"/>
      <c r="JF128" s="4"/>
      <c r="JG128" s="4"/>
      <c r="JH128" s="6"/>
      <c r="JI128" s="6"/>
      <c r="JJ128" s="6"/>
      <c r="JK128" s="9"/>
      <c r="JL128"/>
    </row>
    <row r="129">
      <c r="A129" s="8">
        <v>25394</v>
      </c>
      <c r="B129" s="8">
        <v>25395</v>
      </c>
      <c r="C129" s="9">
        <f>B129-A129</f>
        <v>1</v>
      </c>
      <c r="D129" s="8">
        <v>25394</v>
      </c>
      <c r="E129" t="inlineStr">
        <is>
          <t xml:space="preserve">positive</t>
        </is>
      </c>
      <c r="F129" s="4">
        <v>1.355829282645148</v>
      </c>
      <c r="G129" s="6">
        <v>0.003886362102705842</v>
      </c>
      <c r="H129" s="7">
        <f>SUM(CE129,CZ129,DU129,EP129,FK129,GF129,HA129,HV129,IQ129,JL129)</f>
        <v>0.0038863621027058425</v>
      </c>
      <c r="I129" s="7">
        <f>G129-H129</f>
        <v>-4.336808689942018e-19</v>
      </c>
      <c r="J129" s="5">
        <f>F129*(1+H129)</f>
        <v>1.3610985261869588</v>
      </c>
      <c r="K129" s="4">
        <v>1.3610985261869588</v>
      </c>
      <c r="L129" s="5">
        <f>K129-J129</f>
        <v>0</v>
      </c>
      <c r="M129" s="4">
        <v>1.663</v>
      </c>
      <c r="N129" s="4">
        <v>1.631</v>
      </c>
      <c r="O129" s="5">
        <f>M129/$M$3</f>
        <v>0.8493360572012257</v>
      </c>
      <c r="P129" s="5">
        <f>N129/$M$3</f>
        <v>0.8329928498467825</v>
      </c>
      <c r="Q129" s="7">
        <f>IFERROR(N129/M129-1,0)</f>
        <v>-0.019242333132892364</v>
      </c>
      <c r="R129" s="5">
        <f>SUM(IF(BM129="lease",BU129,0),IF(CH129="lease",CP129,0),IF(DC129="lease",DK129,0),IF(DX129="lease",EF129,0),IF(ES129="lease",FA129,0),IF(FN129="lease",FV129,0),IF(GI129="lease",GQ129,0),IF(HD129="lease",HL129,0),IF(HY129="lease",IG129,0),IF(IT129="lease",JB129,0))</f>
        <v>1.3558292826451486</v>
      </c>
      <c r="S129" s="5">
        <f>SUM(IF(BM129="lease",BV129,0),IF(CH129="lease",CQ129,0),IF(DC129="lease",DL129,0),IF(DX129="lease",EG129,0),IF(ES129="lease",FB129,0),IF(FN129="lease",FW129,0),IF(GI129="lease",GR129,0),IF(HD129="lease",HM129,0),IF(HY129="lease",IH129,0),IF(IT129="lease",JC129,0))</f>
        <v>1.3610985261869595</v>
      </c>
      <c r="T129" s="5">
        <f>SUM(IF(BM129="keep",BU129,0),IF(CH129="keep",CP129,0),IF(DC129="keep",DK129,0),IF(DX129="keep",EF129,0),IF(ES129="keep",FA129,0),IF(FN129="keep",FV129,0),IF(GI129="keep",GQ129,0),IF(HD129="keep",HL129,0),IF(HY129="keep",IG129,0),IF(IT129="keep",JB129,0))</f>
        <v>0</v>
      </c>
      <c r="U129" s="5">
        <f>SUM(IF(BM129="keep",BV129,0),IF(CH129="keep",CQ129,0),IF(DC129="keep",DL129,0),IF(DX129="keep",EG129,0),IF(ES129="keep",FB129,0),IF(FN129="keep",FW129,0),IF(GI129="keep",GR129,0),IF(HD129="keep",HM129,0),IF(HY129="keep",IH129,0),IF(IT129="keep",JC129,0))</f>
        <v>0</v>
      </c>
      <c r="V129" s="5">
        <f>R129/O129</f>
        <v>1.5963401896687919</v>
      </c>
      <c r="W129" s="5">
        <f>S129/P129</f>
        <v>1.633985845661598</v>
      </c>
      <c r="X129" s="5">
        <f>T129/O129</f>
        <v>0</v>
      </c>
      <c r="Y129" s="5">
        <f>U129/P129</f>
        <v>0</v>
      </c>
      <c r="Z129" s="5">
        <f>V129+X129</f>
        <v>1.5963401896687919</v>
      </c>
      <c r="AA129" s="7">
        <f>IFERROR(W129/V129-1,0)</f>
        <v>0.023582477116370182</v>
      </c>
      <c r="AB129" s="7">
        <f>IFERROR((W129-V129)/Z129,0)</f>
        <v>0.023582477116370123</v>
      </c>
      <c r="AC129" s="7">
        <f>IFERROR(Y129/X129-1,0)</f>
        <v>0</v>
      </c>
      <c r="AD129" s="7">
        <f>IFERROR((Y129-X129)/Z129,0)</f>
        <v>0</v>
      </c>
      <c r="AE129" s="7">
        <f>AB129+AD129</f>
        <v>0.023582477116370123</v>
      </c>
      <c r="AF129" s="7">
        <f>(1+Q129)*(1+AE129)-1</f>
        <v>0.003886362102705876</v>
      </c>
      <c r="AG129" s="7">
        <f>G129-AF129</f>
        <v>-3.382710778154774e-17</v>
      </c>
      <c r="AH129" s="5">
        <f>SUM(IF(BM129="lease",BW129,0),IF(CH129="lease",CR129,0),IF(DC129="lease",DM129,0),IF(DX129="lease",EH129,0),IF(ES129="lease",FC129,0),IF(FN129="lease",FX129,0),IF(GI129="lease",GS129,0),IF(HD129="lease",HN129,0),IF(HY129="lease",II129,0),IF(IT129="lease",JD129,0))</f>
        <v>0.005269243541810951</v>
      </c>
      <c r="AI129" s="5">
        <f>SUM(IF(BM129="keep",BW129,0),IF(CH129="keep",CR129,0),IF(DC129="keep",DM129,0),IF(DX129="keep",EH129,0),IF(ES129="keep",FC129,0),IF(FN129="keep",FX129,0),IF(GI129="keep",GS129,0),IF(HD129="keep",HN129,0),IF(HY129="keep",II129,0),IF(IT129="keep",JD129,0))</f>
        <v>0</v>
      </c>
      <c r="AJ129" s="5">
        <f>SUM(IF(BM129="lease",BX129,0),IF(CH129="lease",CS129,0),IF(DC129="lease",DN129,0),IF(DX129="lease",EI129,0),IF(ES129="lease",FD129,0),IF(FN129="lease",FY129,0),IF(GI129="lease",GT129,0),IF(HD129="lease",HO129,0),IF(HY129="lease",IJ129,0),IF(IT129="lease",JE129,0))</f>
        <v>0</v>
      </c>
      <c r="AK129" s="5">
        <f>SUM(IF(BM129="keep",BX129,0),IF(CH129="keep",CS129,0),IF(DC129="keep",DN129,0),IF(DX129="keep",EI129,0),IF(ES129="keep",FD129,0),IF(FN129="keep",FY129,0),IF(GI129="keep",GT129,0),IF(HD129="keep",HO129,0),IF(HY129="keep",IJ129,0),IF(IT129="keep",JE129,0))</f>
        <v>0</v>
      </c>
      <c r="AL129" s="5">
        <f>R129-S128</f>
        <v>0</v>
      </c>
      <c r="AM129" s="5">
        <f>T129-U128</f>
        <v>0</v>
      </c>
      <c r="AN129" s="5">
        <f>AN128</f>
        <v>1</v>
      </c>
      <c r="AO129" s="5">
        <f>AO128+AH129</f>
        <v>0.3610985261869593</v>
      </c>
      <c r="AP129" s="5">
        <f>AP128+AL129</f>
        <v>-4.440892098500626e-16</v>
      </c>
      <c r="AQ129" s="5">
        <f>AN129+AO129+AP129</f>
        <v>1.3610985261869588</v>
      </c>
      <c r="AR129" s="5">
        <f>S129-AQ129</f>
        <v>6.661338147750939e-16</v>
      </c>
      <c r="AS129" s="5">
        <f>AS128</f>
        <v>0</v>
      </c>
      <c r="AT129" s="5">
        <f>AT128+AI129</f>
        <v>0</v>
      </c>
      <c r="AU129" s="5">
        <f>AU128+AM129</f>
        <v>0</v>
      </c>
      <c r="AV129" s="5">
        <f>AS129+AT129+AU129</f>
        <v>0</v>
      </c>
      <c r="AW129" s="5">
        <f>U129-AV129</f>
        <v>0</v>
      </c>
      <c r="AX129" s="4">
        <v>1.3558292826451486</v>
      </c>
      <c r="AY129" s="4">
        <v>1.3610985261869595</v>
      </c>
      <c r="AZ129" s="5">
        <f>S129-AY129</f>
        <v>0</v>
      </c>
      <c r="BA129" s="4">
        <v>0</v>
      </c>
      <c r="BB129" s="4">
        <v>0</v>
      </c>
      <c r="BC129" s="5">
        <f>U129-BB129</f>
        <v>0</v>
      </c>
      <c r="BD129" s="7">
        <f>SUM(IF(BL129="direct",CE129,0),IF(CG129="direct",CZ129,0),IF(DB129="direct",DU129,0),IF(DW129="direct",EP129,0),IF(ER129="direct",FK129,0),IF(FM129="direct",GF129,0),IF(GH129="direct",HA129,0),IF(HC129="direct",HV129,0),IF(HX129="direct",IQ129,0),IF(IS129="direct",JL129,0))</f>
        <v>0</v>
      </c>
      <c r="BE129" s="7">
        <f>SUM(IF(BL129="treasury",CE129,0),IF(CG129="treasury",CZ129,0),IF(DB129="treasury",DU129,0),IF(DW129="treasury",EP129,0),IF(ER129="treasury",FK129,0),IF(FM129="treasury",GF129,0),IF(GH129="treasury",HA129,0),IF(HC129="treasury",HV129,0),IF(HX129="treasury",IQ129,0),IF(IS129="treasury",JL129,0))</f>
        <v>0.0001917808219178082</v>
      </c>
      <c r="BF129" s="7">
        <f>SUM(IF(BL129="future",CE129,0),IF(CG129="future",CZ129,0),IF(DB129="future",DU129,0),IF(DW129="future",EP129,0),IF(ER129="future",FK129,0),IF(FM129="future",GF129,0),IF(GH129="future",HA129,0),IF(HC129="future",HV129,0),IF(HX129="future",IQ129,0),IF(IS129="future",JL129,0))</f>
        <v>0.003694581280788034</v>
      </c>
      <c r="BG129" s="7">
        <f>SUM(IF(BL129="cash",CE129,0),IF(CG129="cash",CZ129,0),IF(DB129="cash",DU129,0),IF(DW129="cash",EP129,0),IF(ER129="cash",FK129,0),IF(FM129="cash",GF129,0),IF(GH129="cash",HA129,0),IF(HC129="cash",HV129,0),IF(HX129="cash",IQ129,0),IF(IS129="cash",JL129,0))</f>
        <v>0</v>
      </c>
      <c r="BH129" s="7">
        <f>SUM(BD129:BG129)</f>
        <v>0.003886362102705842</v>
      </c>
      <c r="BI129" s="7">
        <f>G129-BH129</f>
        <v>0</v>
      </c>
      <c r="BJ129" s="9">
        <f>COUNTA(BK129,CF129,DA129,DV129,EQ129,FL129,GG129,HB129,HW129,IR129)</f>
        <v>4</v>
      </c>
      <c r="BK129" t="inlineStr">
        <is>
          <t xml:space="preserve">Treasury collateral</t>
        </is>
      </c>
      <c r="BL129" t="inlineStr">
        <is>
          <t xml:space="preserve">treasury</t>
        </is>
      </c>
      <c r="BM129" t="inlineStr">
        <is>
          <t xml:space="preserve">lease</t>
        </is>
      </c>
      <c r="BN129" t="inlineStr">
        <is>
          <t xml:space="preserve">long</t>
        </is>
      </c>
      <c r="BO129"/>
      <c r="BP129" s="4">
        <v>103.24855349628777</v>
      </c>
      <c r="BQ129" s="4">
        <v>103.26835458873911</v>
      </c>
      <c r="BR129" s="4">
        <v>0.01313170244747202</v>
      </c>
      <c r="BS129" s="6">
        <v>1</v>
      </c>
      <c r="BT129" s="4">
        <v>1.355829282645148</v>
      </c>
      <c r="BU129" s="4">
        <v>1.355829282645148</v>
      </c>
      <c r="BV129" s="4">
        <v>1.3560893046993538</v>
      </c>
      <c r="BW129" s="4">
        <v>0.0002600220542059188</v>
      </c>
      <c r="BX129" s="4">
        <v>2.5153490401663703e-17</v>
      </c>
      <c r="BY129" s="4">
        <v>1.663</v>
      </c>
      <c r="BZ129" s="4">
        <v>1.631</v>
      </c>
      <c r="CA129" s="6"/>
      <c r="CB129" s="6"/>
      <c r="CC129" s="6"/>
      <c r="CD129" s="9">
        <v>19</v>
      </c>
      <c r="CE129" s="7">
        <f>IFERROR(BW129/F129,0)</f>
        <v>0.0001917808219178082</v>
      </c>
      <c r="CF129" t="inlineStr">
        <is>
          <t xml:space="preserve">SI69N</t>
        </is>
      </c>
      <c r="CG129" t="inlineStr">
        <is>
          <t xml:space="preserve">future</t>
        </is>
      </c>
      <c r="CH129" t="inlineStr">
        <is>
          <t xml:space="preserve">lease</t>
        </is>
      </c>
      <c r="CI129" t="inlineStr">
        <is>
          <t xml:space="preserve">long</t>
        </is>
      </c>
      <c r="CJ129" t="inlineStr">
        <is>
          <t xml:space="preserve">regular</t>
        </is>
      </c>
      <c r="CK129" s="4">
        <v>1.624</v>
      </c>
      <c r="CL129" s="4">
        <v>1.63</v>
      </c>
      <c r="CM129" s="4">
        <v>0.8348702479342043</v>
      </c>
      <c r="CN129" s="6">
        <v>1</v>
      </c>
      <c r="CO129" s="4">
        <v>1.355829282645148</v>
      </c>
      <c r="CP129" s="4">
        <v>0</v>
      </c>
      <c r="CQ129" s="4">
        <v>0</v>
      </c>
      <c r="CR129" s="4">
        <v>0.005009221487605032</v>
      </c>
      <c r="CS129" s="4">
        <v>-0.005009221487605032</v>
      </c>
      <c r="CT129" s="4">
        <v>1.663</v>
      </c>
      <c r="CU129" s="4">
        <v>1.631</v>
      </c>
      <c r="CV129" s="6">
        <v>-0.023451593505712576</v>
      </c>
      <c r="CW129" s="6">
        <v>0.07</v>
      </c>
      <c r="CX129" s="6">
        <v>0.520517454188689</v>
      </c>
      <c r="CY129" s="9">
        <v>19</v>
      </c>
      <c r="CZ129" s="7">
        <f>IFERROR(CR129/F129,0)</f>
        <v>0.003694581280788034</v>
      </c>
      <c r="DA129" t="inlineStr">
        <is>
          <t xml:space="preserve">Lease cash / margin / financing</t>
        </is>
      </c>
      <c r="DB129" t="inlineStr">
        <is>
          <t xml:space="preserve">cash</t>
        </is>
      </c>
      <c r="DC129" t="inlineStr">
        <is>
          <t xml:space="preserve">lease</t>
        </is>
      </c>
      <c r="DD129" t="inlineStr">
        <is>
          <t xml:space="preserve">cash</t>
        </is>
      </c>
      <c r="DE129"/>
      <c r="DF129" s="4">
        <v>1</v>
      </c>
      <c r="DG129" s="4">
        <v>1</v>
      </c>
      <c r="DH129" s="4">
        <v>6.661338147750939e-16</v>
      </c>
      <c r="DI129" s="6"/>
      <c r="DJ129" s="4">
        <v>6.661338147750939e-16</v>
      </c>
      <c r="DK129" s="4">
        <v>6.661338147750939e-16</v>
      </c>
      <c r="DL129" s="4">
        <v>0.005009221487605673</v>
      </c>
      <c r="DM129" s="4">
        <v>0</v>
      </c>
      <c r="DN129" s="4">
        <v>0.005009221487605007</v>
      </c>
      <c r="DO129" s="4">
        <v>1.663</v>
      </c>
      <c r="DP129" s="4">
        <v>1.631</v>
      </c>
      <c r="DQ129" s="6"/>
      <c r="DR129" s="6"/>
      <c r="DS129" s="6"/>
      <c r="DT129" s="9"/>
      <c r="DU129" s="7">
        <f>IFERROR(DM129/F129,0)</f>
        <v>0</v>
      </c>
      <c r="DV129" t="inlineStr">
        <is>
          <t xml:space="preserve">Keep cash / margin / financing</t>
        </is>
      </c>
      <c r="DW129" t="inlineStr">
        <is>
          <t xml:space="preserve">cash</t>
        </is>
      </c>
      <c r="DX129" t="inlineStr">
        <is>
          <t xml:space="preserve">keep</t>
        </is>
      </c>
      <c r="DY129" t="inlineStr">
        <is>
          <t xml:space="preserve">cash</t>
        </is>
      </c>
      <c r="DZ129"/>
      <c r="EA129" s="4">
        <v>1</v>
      </c>
      <c r="EB129" s="4">
        <v>1</v>
      </c>
      <c r="EC129" s="4">
        <v>0</v>
      </c>
      <c r="ED129" s="6"/>
      <c r="EE129" s="4">
        <v>0</v>
      </c>
      <c r="EF129" s="4">
        <v>0</v>
      </c>
      <c r="EG129" s="4">
        <v>0</v>
      </c>
      <c r="EH129" s="4">
        <v>0</v>
      </c>
      <c r="EI129" s="4">
        <v>0</v>
      </c>
      <c r="EJ129" s="4">
        <v>1.663</v>
      </c>
      <c r="EK129" s="4">
        <v>1.631</v>
      </c>
      <c r="EL129" s="6"/>
      <c r="EM129" s="6"/>
      <c r="EN129" s="6"/>
      <c r="EO129" s="9"/>
      <c r="EP129" s="7">
        <f>IFERROR(EH129/F129,0)</f>
        <v>0</v>
      </c>
      <c r="EQ129"/>
      <c r="ER129"/>
      <c r="ES129"/>
      <c r="ET129"/>
      <c r="EU129"/>
      <c r="EV129" s="4"/>
      <c r="EW129" s="4"/>
      <c r="EX129" s="4"/>
      <c r="EY129" s="6"/>
      <c r="EZ129" s="4"/>
      <c r="FA129" s="4"/>
      <c r="FB129" s="4"/>
      <c r="FC129" s="4"/>
      <c r="FD129" s="4"/>
      <c r="FE129" s="4"/>
      <c r="FF129" s="4"/>
      <c r="FG129" s="6"/>
      <c r="FH129" s="6"/>
      <c r="FI129" s="6"/>
      <c r="FJ129" s="9"/>
      <c r="FK129"/>
      <c r="FL129"/>
      <c r="FM129"/>
      <c r="FN129"/>
      <c r="FO129"/>
      <c r="FP129"/>
      <c r="FQ129" s="4"/>
      <c r="FR129" s="4"/>
      <c r="FS129" s="4"/>
      <c r="FT129" s="6"/>
      <c r="FU129" s="4"/>
      <c r="FV129" s="4"/>
      <c r="FW129" s="4"/>
      <c r="FX129" s="4"/>
      <c r="FY129" s="4"/>
      <c r="FZ129" s="4"/>
      <c r="GA129" s="4"/>
      <c r="GB129" s="6"/>
      <c r="GC129" s="6"/>
      <c r="GD129" s="6"/>
      <c r="GE129" s="9"/>
      <c r="GF129"/>
      <c r="GG129"/>
      <c r="GH129"/>
      <c r="GI129"/>
      <c r="GJ129"/>
      <c r="GK129"/>
      <c r="GL129" s="4"/>
      <c r="GM129" s="4"/>
      <c r="GN129" s="4"/>
      <c r="GO129" s="6"/>
      <c r="GP129" s="4"/>
      <c r="GQ129" s="4"/>
      <c r="GR129" s="4"/>
      <c r="GS129" s="4"/>
      <c r="GT129" s="4"/>
      <c r="GU129" s="4"/>
      <c r="GV129" s="4"/>
      <c r="GW129" s="6"/>
      <c r="GX129" s="6"/>
      <c r="GY129" s="6"/>
      <c r="GZ129" s="9"/>
      <c r="HA129"/>
      <c r="HB129"/>
      <c r="HC129"/>
      <c r="HD129"/>
      <c r="HE129"/>
      <c r="HF129"/>
      <c r="HG129" s="4"/>
      <c r="HH129" s="4"/>
      <c r="HI129" s="4"/>
      <c r="HJ129" s="6"/>
      <c r="HK129" s="4"/>
      <c r="HL129" s="4"/>
      <c r="HM129" s="4"/>
      <c r="HN129" s="4"/>
      <c r="HO129" s="4"/>
      <c r="HP129" s="4"/>
      <c r="HQ129" s="4"/>
      <c r="HR129" s="6"/>
      <c r="HS129" s="6"/>
      <c r="HT129" s="6"/>
      <c r="HU129" s="9"/>
      <c r="HV129"/>
      <c r="HW129"/>
      <c r="HX129"/>
      <c r="HY129"/>
      <c r="HZ129"/>
      <c r="IA129"/>
      <c r="IB129" s="4"/>
      <c r="IC129" s="4"/>
      <c r="ID129" s="4"/>
      <c r="IE129" s="6"/>
      <c r="IF129" s="4"/>
      <c r="IG129" s="4"/>
      <c r="IH129" s="4"/>
      <c r="II129" s="4"/>
      <c r="IJ129" s="4"/>
      <c r="IK129" s="4"/>
      <c r="IL129" s="4"/>
      <c r="IM129" s="6"/>
      <c r="IN129" s="6"/>
      <c r="IO129" s="6"/>
      <c r="IP129" s="9"/>
      <c r="IQ129"/>
      <c r="IR129"/>
      <c r="IS129"/>
      <c r="IT129"/>
      <c r="IU129"/>
      <c r="IV129"/>
      <c r="IW129" s="4"/>
      <c r="IX129" s="4"/>
      <c r="IY129" s="4"/>
      <c r="IZ129" s="6"/>
      <c r="JA129" s="4"/>
      <c r="JB129" s="4"/>
      <c r="JC129" s="4"/>
      <c r="JD129" s="4"/>
      <c r="JE129" s="4"/>
      <c r="JF129" s="4"/>
      <c r="JG129" s="4"/>
      <c r="JH129" s="6"/>
      <c r="JI129" s="6"/>
      <c r="JJ129" s="6"/>
      <c r="JK129" s="9"/>
      <c r="JL129"/>
    </row>
    <row r="130">
      <c r="A130" s="8">
        <v>25395</v>
      </c>
      <c r="B130" s="8">
        <v>25398</v>
      </c>
      <c r="C130" s="9">
        <f>B130-A130</f>
        <v>3</v>
      </c>
      <c r="D130" s="8">
        <v>25395</v>
      </c>
      <c r="E130" t="inlineStr">
        <is>
          <t xml:space="preserve">positive</t>
        </is>
      </c>
      <c r="F130" s="4">
        <v>1.3610985261869588</v>
      </c>
      <c r="G130" s="6">
        <v>0.017169262223350357</v>
      </c>
      <c r="H130" s="7">
        <f>SUM(CE130,CZ130,DU130,EP130,FK130,GF130,HA130,HV130,IQ130,JL130)</f>
        <v>0.01716926222335036</v>
      </c>
      <c r="I130" s="7">
        <f>G130-H130</f>
        <v>-3.469446951953614e-18</v>
      </c>
      <c r="J130" s="5">
        <f>F130*(1+H130)</f>
        <v>1.3844675836948783</v>
      </c>
      <c r="K130" s="4">
        <v>1.3844675836948783</v>
      </c>
      <c r="L130" s="5">
        <f>K130-J130</f>
        <v>0</v>
      </c>
      <c r="M130" s="4">
        <v>1.631</v>
      </c>
      <c r="N130" s="4">
        <v>1.652</v>
      </c>
      <c r="O130" s="5">
        <f>M130/$M$3</f>
        <v>0.8329928498467825</v>
      </c>
      <c r="P130" s="5">
        <f>N130/$M$3</f>
        <v>0.8437180796731358</v>
      </c>
      <c r="Q130" s="7">
        <f>IFERROR(N130/M130-1,0)</f>
        <v>0.012875536480686733</v>
      </c>
      <c r="R130" s="5">
        <f>SUM(IF(BM130="lease",BU130,0),IF(CH130="lease",CP130,0),IF(DC130="lease",DK130,0),IF(DX130="lease",EF130,0),IF(ES130="lease",FA130,0),IF(FN130="lease",FV130,0),IF(GI130="lease",GQ130,0),IF(HD130="lease",HL130,0),IF(HY130="lease",IG130,0),IF(IT130="lease",JB130,0))</f>
        <v>1.3610985261869595</v>
      </c>
      <c r="S130" s="5">
        <f>SUM(IF(BM130="lease",BV130,0),IF(CH130="lease",CQ130,0),IF(DC130="lease",DL130,0),IF(DX130="lease",EG130,0),IF(ES130="lease",FB130,0),IF(FN130="lease",FW130,0),IF(GI130="lease",GR130,0),IF(HD130="lease",HM130,0),IF(HY130="lease",IH130,0),IF(IT130="lease",JC130,0))</f>
        <v>1.384467583694879</v>
      </c>
      <c r="T130" s="5">
        <f>SUM(IF(BM130="keep",BU130,0),IF(CH130="keep",CP130,0),IF(DC130="keep",DK130,0),IF(DX130="keep",EF130,0),IF(ES130="keep",FA130,0),IF(FN130="keep",FV130,0),IF(GI130="keep",GQ130,0),IF(HD130="keep",HL130,0),IF(HY130="keep",IG130,0),IF(IT130="keep",JB130,0))</f>
        <v>0</v>
      </c>
      <c r="U130" s="5">
        <f>SUM(IF(BM130="keep",BV130,0),IF(CH130="keep",CQ130,0),IF(DC130="keep",DL130,0),IF(DX130="keep",EG130,0),IF(ES130="keep",FB130,0),IF(FN130="keep",FW130,0),IF(GI130="keep",GR130,0),IF(HD130="keep",HM130,0),IF(HY130="keep",IH130,0),IF(IT130="keep",JC130,0))</f>
        <v>0</v>
      </c>
      <c r="V130" s="5">
        <f>R130/O130</f>
        <v>1.633985845661598</v>
      </c>
      <c r="W130" s="5">
        <f>S130/P130</f>
        <v>1.640912547744899</v>
      </c>
      <c r="X130" s="5">
        <f>T130/O130</f>
        <v>0</v>
      </c>
      <c r="Y130" s="5">
        <f>U130/P130</f>
        <v>0</v>
      </c>
      <c r="Z130" s="5">
        <f>V130+X130</f>
        <v>1.633985845661598</v>
      </c>
      <c r="AA130" s="7">
        <f>IFERROR(W130/V130-1,0)</f>
        <v>0.004239144483223045</v>
      </c>
      <c r="AB130" s="7">
        <f>IFERROR((W130-V130)/Z130,0)</f>
        <v>0.004239144483222991</v>
      </c>
      <c r="AC130" s="7">
        <f>IFERROR(Y130/X130-1,0)</f>
        <v>0</v>
      </c>
      <c r="AD130" s="7">
        <f>IFERROR((Y130-X130)/Z130,0)</f>
        <v>0</v>
      </c>
      <c r="AE130" s="7">
        <f>AB130+AD130</f>
        <v>0.004239144483222991</v>
      </c>
      <c r="AF130" s="7">
        <f>(1+Q130)*(1+AE130)-1</f>
        <v>0.017169262223350357</v>
      </c>
      <c r="AG130" s="7">
        <f>G130-AF130</f>
        <v>0</v>
      </c>
      <c r="AH130" s="5">
        <f>SUM(IF(BM130="lease",BW130,0),IF(CH130="lease",CR130,0),IF(DC130="lease",DM130,0),IF(DX130="lease",EH130,0),IF(ES130="lease",FC130,0),IF(FN130="lease",FX130,0),IF(GI130="lease",GS130,0),IF(HD130="lease",HN130,0),IF(HY130="lease",II130,0),IF(IT130="lease",JD130,0))</f>
        <v>0.0233690575079196</v>
      </c>
      <c r="AI130" s="5">
        <f>SUM(IF(BM130="keep",BW130,0),IF(CH130="keep",CR130,0),IF(DC130="keep",DM130,0),IF(DX130="keep",EH130,0),IF(ES130="keep",FC130,0),IF(FN130="keep",FX130,0),IF(GI130="keep",GS130,0),IF(HD130="keep",HN130,0),IF(HY130="keep",II130,0),IF(IT130="keep",JD130,0))</f>
        <v>0</v>
      </c>
      <c r="AJ130" s="5">
        <f>SUM(IF(BM130="lease",BX130,0),IF(CH130="lease",CS130,0),IF(DC130="lease",DN130,0),IF(DX130="lease",EI130,0),IF(ES130="lease",FD130,0),IF(FN130="lease",FY130,0),IF(GI130="lease",GT130,0),IF(HD130="lease",HO130,0),IF(HY130="lease",IJ130,0),IF(IT130="lease",JE130,0))</f>
        <v>0</v>
      </c>
      <c r="AK130" s="5">
        <f>SUM(IF(BM130="keep",BX130,0),IF(CH130="keep",CS130,0),IF(DC130="keep",DN130,0),IF(DX130="keep",EI130,0),IF(ES130="keep",FD130,0),IF(FN130="keep",FY130,0),IF(GI130="keep",GT130,0),IF(HD130="keep",HO130,0),IF(HY130="keep",IJ130,0),IF(IT130="keep",JE130,0))</f>
        <v>0</v>
      </c>
      <c r="AL130" s="5">
        <f>R130-S129</f>
        <v>0</v>
      </c>
      <c r="AM130" s="5">
        <f>T130-U129</f>
        <v>0</v>
      </c>
      <c r="AN130" s="5">
        <f>AN129</f>
        <v>1</v>
      </c>
      <c r="AO130" s="5">
        <f>AO129+AH130</f>
        <v>0.38446758369487893</v>
      </c>
      <c r="AP130" s="5">
        <f>AP129+AL130</f>
        <v>-4.440892098500626e-16</v>
      </c>
      <c r="AQ130" s="5">
        <f>AN130+AO130+AP130</f>
        <v>1.3844675836948785</v>
      </c>
      <c r="AR130" s="5">
        <f>S130-AQ130</f>
        <v>4.440892098500626e-16</v>
      </c>
      <c r="AS130" s="5">
        <f>AS129</f>
        <v>0</v>
      </c>
      <c r="AT130" s="5">
        <f>AT129+AI130</f>
        <v>0</v>
      </c>
      <c r="AU130" s="5">
        <f>AU129+AM130</f>
        <v>0</v>
      </c>
      <c r="AV130" s="5">
        <f>AS130+AT130+AU130</f>
        <v>0</v>
      </c>
      <c r="AW130" s="5">
        <f>U130-AV130</f>
        <v>0</v>
      </c>
      <c r="AX130" s="4">
        <v>1.3610985261869595</v>
      </c>
      <c r="AY130" s="4">
        <v>1.384467583694879</v>
      </c>
      <c r="AZ130" s="5">
        <f>S130-AY130</f>
        <v>0</v>
      </c>
      <c r="BA130" s="4">
        <v>0</v>
      </c>
      <c r="BB130" s="4">
        <v>0</v>
      </c>
      <c r="BC130" s="5">
        <f>U130-BB130</f>
        <v>0</v>
      </c>
      <c r="BD130" s="7">
        <f>SUM(IF(BL130="direct",CE130,0),IF(CG130="direct",CZ130,0),IF(DB130="direct",DU130,0),IF(DW130="direct",EP130,0),IF(ER130="direct",FK130,0),IF(FM130="direct",GF130,0),IF(GH130="direct",HA130,0),IF(HC130="direct",HV130,0),IF(HX130="direct",IQ130,0),IF(IS130="direct",JL130,0))</f>
        <v>0.005884780045708939</v>
      </c>
      <c r="BE130" s="7">
        <f>SUM(IF(BL130="treasury",CE130,0),IF(CG130="treasury",CZ130,0),IF(DB130="treasury",DU130,0),IF(DW130="treasury",EP130,0),IF(ER130="treasury",FK130,0),IF(FM130="treasury",GF130,0),IF(GH130="treasury",HA130,0),IF(HC130="treasury",HV130,0),IF(HX130="treasury",IQ130,0),IF(IS130="treasury",JL130,0))</f>
        <v>0.0003070588981930271</v>
      </c>
      <c r="BF130" s="7">
        <f>SUM(IF(BL130="future",CE130,0),IF(CG130="future",CZ130,0),IF(DB130="future",DU130,0),IF(DW130="future",EP130,0),IF(ER130="future",FK130,0),IF(FM130="future",GF130,0),IF(GH130="future",HA130,0),IF(HC130="future",HV130,0),IF(HX130="future",IQ130,0),IF(IS130="future",JL130,0))</f>
        <v>0.010977423279448392</v>
      </c>
      <c r="BG130" s="7">
        <f>SUM(IF(BL130="cash",CE130,0),IF(CG130="cash",CZ130,0),IF(DB130="cash",DU130,0),IF(DW130="cash",EP130,0),IF(ER130="cash",FK130,0),IF(FM130="cash",GF130,0),IF(GH130="cash",HA130,0),IF(HC130="cash",HV130,0),IF(HX130="cash",IQ130,0),IF(IS130="cash",JL130,0))</f>
        <v>0</v>
      </c>
      <c r="BH130" s="7">
        <f>SUM(BD130:BG130)</f>
        <v>0.017169262223350357</v>
      </c>
      <c r="BI130" s="7">
        <f>G130-BH130</f>
        <v>0</v>
      </c>
      <c r="BJ130" s="9">
        <f>COUNTA(BK130,CF130,DA130,DV130,EQ130,FL130,GG130,HB130,HW130,IR130)</f>
        <v>5</v>
      </c>
      <c r="BK130" t="inlineStr">
        <is>
          <t xml:space="preserve">Direct commodity holding</t>
        </is>
      </c>
      <c r="BL130" t="inlineStr">
        <is>
          <t xml:space="preserve">direct</t>
        </is>
      </c>
      <c r="BM130" t="inlineStr">
        <is>
          <t xml:space="preserve">lease</t>
        </is>
      </c>
      <c r="BN130" t="inlineStr">
        <is>
          <t xml:space="preserve">long</t>
        </is>
      </c>
      <c r="BO130"/>
      <c r="BP130" s="4">
        <v>1.631</v>
      </c>
      <c r="BQ130" s="4">
        <v>1.652</v>
      </c>
      <c r="BR130" s="4">
        <v>0.3820270755918465</v>
      </c>
      <c r="BS130" s="6">
        <v>0.4577818198333096</v>
      </c>
      <c r="BT130" s="4">
        <v>0.6230861602903016</v>
      </c>
      <c r="BU130" s="4">
        <v>0.6230861602903016</v>
      </c>
      <c r="BV130" s="4">
        <v>0.6311087288777304</v>
      </c>
      <c r="BW130" s="4">
        <v>0.008009765447148862</v>
      </c>
      <c r="BX130" s="4">
        <v>0.000012803140279918357</v>
      </c>
      <c r="BY130" s="4">
        <v>1.631</v>
      </c>
      <c r="BZ130" s="4">
        <v>1.652</v>
      </c>
      <c r="CA130" s="6"/>
      <c r="CB130" s="6"/>
      <c r="CC130" s="6"/>
      <c r="CD130" s="9"/>
      <c r="CE130" s="7">
        <f>IFERROR(BW130/F130,0)</f>
        <v>0.005884780045708939</v>
      </c>
      <c r="CF130" t="inlineStr">
        <is>
          <t xml:space="preserve">Treasury collateral</t>
        </is>
      </c>
      <c r="CG130" t="inlineStr">
        <is>
          <t xml:space="preserve">treasury</t>
        </is>
      </c>
      <c r="CH130" t="inlineStr">
        <is>
          <t xml:space="preserve">lease</t>
        </is>
      </c>
      <c r="CI130" t="inlineStr">
        <is>
          <t xml:space="preserve">long</t>
        </is>
      </c>
      <c r="CJ130"/>
      <c r="CK130" s="4">
        <v>103.26835458873911</v>
      </c>
      <c r="CL130" s="4">
        <v>103.32683559940621</v>
      </c>
      <c r="CM130" s="4">
        <v>0.007146549093725307</v>
      </c>
      <c r="CN130" s="6">
        <v>0.5422181801666904</v>
      </c>
      <c r="CO130" s="4">
        <v>0.7380123658966572</v>
      </c>
      <c r="CP130" s="4">
        <v>0.7380123658966572</v>
      </c>
      <c r="CQ130" s="4">
        <v>0.7384303033104402</v>
      </c>
      <c r="CR130" s="4">
        <v>0.0004179374137831206</v>
      </c>
      <c r="CS130" s="4">
        <v>-7.789992609308349e-17</v>
      </c>
      <c r="CT130" s="4">
        <v>1.631</v>
      </c>
      <c r="CU130" s="4">
        <v>1.652</v>
      </c>
      <c r="CV130" s="6"/>
      <c r="CW130" s="6"/>
      <c r="CX130" s="6"/>
      <c r="CY130" s="9">
        <v>18</v>
      </c>
      <c r="CZ130" s="7">
        <f>IFERROR(CR130/F130,0)</f>
        <v>0.0003070588981930271</v>
      </c>
      <c r="DA130" t="inlineStr">
        <is>
          <t xml:space="preserve">SI69N</t>
        </is>
      </c>
      <c r="DB130" t="inlineStr">
        <is>
          <t xml:space="preserve">future</t>
        </is>
      </c>
      <c r="DC130" t="inlineStr">
        <is>
          <t xml:space="preserve">lease</t>
        </is>
      </c>
      <c r="DD130" t="inlineStr">
        <is>
          <t xml:space="preserve">long</t>
        </is>
      </c>
      <c r="DE130" t="inlineStr">
        <is>
          <t xml:space="preserve">regular</t>
        </is>
      </c>
      <c r="DF130" s="4">
        <v>1.63</v>
      </c>
      <c r="DG130" s="4">
        <v>1.663</v>
      </c>
      <c r="DH130" s="4">
        <v>0.45276832263598604</v>
      </c>
      <c r="DI130" s="6">
        <v>0.5422181801666904</v>
      </c>
      <c r="DJ130" s="4">
        <v>0.7380123658966572</v>
      </c>
      <c r="DK130" s="4">
        <v>0</v>
      </c>
      <c r="DL130" s="4">
        <v>0</v>
      </c>
      <c r="DM130" s="4">
        <v>0.014941354646987618</v>
      </c>
      <c r="DN130" s="4">
        <v>-0.014941354646987618</v>
      </c>
      <c r="DO130" s="4">
        <v>1.631</v>
      </c>
      <c r="DP130" s="4">
        <v>1.652</v>
      </c>
      <c r="DQ130" s="6">
        <v>-0.0006131207847946962</v>
      </c>
      <c r="DR130" s="6">
        <v>0.0689</v>
      </c>
      <c r="DS130" s="6">
        <v>0.08133272702500356</v>
      </c>
      <c r="DT130" s="9">
        <v>18</v>
      </c>
      <c r="DU130" s="7">
        <f>IFERROR(DM130/F130,0)</f>
        <v>0.010977423279448392</v>
      </c>
      <c r="DV130" t="inlineStr">
        <is>
          <t xml:space="preserve">Lease cash / margin / financing</t>
        </is>
      </c>
      <c r="DW130" t="inlineStr">
        <is>
          <t xml:space="preserve">cash</t>
        </is>
      </c>
      <c r="DX130" t="inlineStr">
        <is>
          <t xml:space="preserve">lease</t>
        </is>
      </c>
      <c r="DY130" t="inlineStr">
        <is>
          <t xml:space="preserve">cash</t>
        </is>
      </c>
      <c r="DZ130"/>
      <c r="EA130" s="4">
        <v>1</v>
      </c>
      <c r="EB130" s="4">
        <v>1</v>
      </c>
      <c r="EC130" s="4">
        <v>6.661338147750939e-16</v>
      </c>
      <c r="ED130" s="6"/>
      <c r="EE130" s="4">
        <v>6.661338147750939e-16</v>
      </c>
      <c r="EF130" s="4">
        <v>6.661338147750939e-16</v>
      </c>
      <c r="EG130" s="4">
        <v>0.014928551506708444</v>
      </c>
      <c r="EH130" s="4">
        <v>0</v>
      </c>
      <c r="EI130" s="4">
        <v>0.014928551506707778</v>
      </c>
      <c r="EJ130" s="4">
        <v>1.631</v>
      </c>
      <c r="EK130" s="4">
        <v>1.652</v>
      </c>
      <c r="EL130" s="6"/>
      <c r="EM130" s="6"/>
      <c r="EN130" s="6"/>
      <c r="EO130" s="9"/>
      <c r="EP130" s="7">
        <f>IFERROR(EH130/F130,0)</f>
        <v>0</v>
      </c>
      <c r="EQ130" t="inlineStr">
        <is>
          <t xml:space="preserve">Keep cash / margin / financing</t>
        </is>
      </c>
      <c r="ER130" t="inlineStr">
        <is>
          <t xml:space="preserve">cash</t>
        </is>
      </c>
      <c r="ES130" t="inlineStr">
        <is>
          <t xml:space="preserve">keep</t>
        </is>
      </c>
      <c r="ET130" t="inlineStr">
        <is>
          <t xml:space="preserve">cash</t>
        </is>
      </c>
      <c r="EU130"/>
      <c r="EV130" s="4">
        <v>1</v>
      </c>
      <c r="EW130" s="4">
        <v>1</v>
      </c>
      <c r="EX130" s="4">
        <v>0</v>
      </c>
      <c r="EY130" s="6"/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1.631</v>
      </c>
      <c r="FF130" s="4">
        <v>1.652</v>
      </c>
      <c r="FG130" s="6"/>
      <c r="FH130" s="6"/>
      <c r="FI130" s="6"/>
      <c r="FJ130" s="9"/>
      <c r="FK130" s="7">
        <f>IFERROR(FC130/F130,0)</f>
        <v>0</v>
      </c>
      <c r="FL130"/>
      <c r="FM130"/>
      <c r="FN130"/>
      <c r="FO130"/>
      <c r="FP130"/>
      <c r="FQ130" s="4"/>
      <c r="FR130" s="4"/>
      <c r="FS130" s="4"/>
      <c r="FT130" s="6"/>
      <c r="FU130" s="4"/>
      <c r="FV130" s="4"/>
      <c r="FW130" s="4"/>
      <c r="FX130" s="4"/>
      <c r="FY130" s="4"/>
      <c r="FZ130" s="4"/>
      <c r="GA130" s="4"/>
      <c r="GB130" s="6"/>
      <c r="GC130" s="6"/>
      <c r="GD130" s="6"/>
      <c r="GE130" s="9"/>
      <c r="GF130"/>
      <c r="GG130"/>
      <c r="GH130"/>
      <c r="GI130"/>
      <c r="GJ130"/>
      <c r="GK130"/>
      <c r="GL130" s="4"/>
      <c r="GM130" s="4"/>
      <c r="GN130" s="4"/>
      <c r="GO130" s="6"/>
      <c r="GP130" s="4"/>
      <c r="GQ130" s="4"/>
      <c r="GR130" s="4"/>
      <c r="GS130" s="4"/>
      <c r="GT130" s="4"/>
      <c r="GU130" s="4"/>
      <c r="GV130" s="4"/>
      <c r="GW130" s="6"/>
      <c r="GX130" s="6"/>
      <c r="GY130" s="6"/>
      <c r="GZ130" s="9"/>
      <c r="HA130"/>
      <c r="HB130"/>
      <c r="HC130"/>
      <c r="HD130"/>
      <c r="HE130"/>
      <c r="HF130"/>
      <c r="HG130" s="4"/>
      <c r="HH130" s="4"/>
      <c r="HI130" s="4"/>
      <c r="HJ130" s="6"/>
      <c r="HK130" s="4"/>
      <c r="HL130" s="4"/>
      <c r="HM130" s="4"/>
      <c r="HN130" s="4"/>
      <c r="HO130" s="4"/>
      <c r="HP130" s="4"/>
      <c r="HQ130" s="4"/>
      <c r="HR130" s="6"/>
      <c r="HS130" s="6"/>
      <c r="HT130" s="6"/>
      <c r="HU130" s="9"/>
      <c r="HV130"/>
      <c r="HW130"/>
      <c r="HX130"/>
      <c r="HY130"/>
      <c r="HZ130"/>
      <c r="IA130"/>
      <c r="IB130" s="4"/>
      <c r="IC130" s="4"/>
      <c r="ID130" s="4"/>
      <c r="IE130" s="6"/>
      <c r="IF130" s="4"/>
      <c r="IG130" s="4"/>
      <c r="IH130" s="4"/>
      <c r="II130" s="4"/>
      <c r="IJ130" s="4"/>
      <c r="IK130" s="4"/>
      <c r="IL130" s="4"/>
      <c r="IM130" s="6"/>
      <c r="IN130" s="6"/>
      <c r="IO130" s="6"/>
      <c r="IP130" s="9"/>
      <c r="IQ130"/>
      <c r="IR130"/>
      <c r="IS130"/>
      <c r="IT130"/>
      <c r="IU130"/>
      <c r="IV130"/>
      <c r="IW130" s="4"/>
      <c r="IX130" s="4"/>
      <c r="IY130" s="4"/>
      <c r="IZ130" s="6"/>
      <c r="JA130" s="4"/>
      <c r="JB130" s="4"/>
      <c r="JC130" s="4"/>
      <c r="JD130" s="4"/>
      <c r="JE130" s="4"/>
      <c r="JF130" s="4"/>
      <c r="JG130" s="4"/>
      <c r="JH130" s="6"/>
      <c r="JI130" s="6"/>
      <c r="JJ130" s="6"/>
      <c r="JK130" s="9"/>
      <c r="JL130"/>
    </row>
    <row r="131">
      <c r="A131" s="8">
        <v>25398</v>
      </c>
      <c r="B131" s="8">
        <v>25399</v>
      </c>
      <c r="C131" s="9">
        <f>B131-A131</f>
        <v>1</v>
      </c>
      <c r="D131" s="8">
        <v>25398</v>
      </c>
      <c r="E131" t="inlineStr">
        <is>
          <t xml:space="preserve">neutral</t>
        </is>
      </c>
      <c r="F131" s="4">
        <v>1.3844675836948783</v>
      </c>
      <c r="G131" s="6">
        <v>0.01875828385684448</v>
      </c>
      <c r="H131" s="7">
        <f>SUM(CE131,CZ131,DU131,EP131,FK131,GF131,HA131,HV131,IQ131,JL131)</f>
        <v>0.01875828385684448</v>
      </c>
      <c r="I131" s="7">
        <f>G131-H131</f>
        <v>0</v>
      </c>
      <c r="J131" s="5">
        <f>F131*(1+H131)</f>
        <v>1.4104378196204266</v>
      </c>
      <c r="K131" s="4">
        <v>1.4104378196204266</v>
      </c>
      <c r="L131" s="5">
        <f>K131-J131</f>
        <v>0</v>
      </c>
      <c r="M131" s="4">
        <v>1.652</v>
      </c>
      <c r="N131" s="4">
        <v>1.683</v>
      </c>
      <c r="O131" s="5">
        <f>M131/$M$3</f>
        <v>0.8437180796731358</v>
      </c>
      <c r="P131" s="5">
        <f>N131/$M$3</f>
        <v>0.8595505617977528</v>
      </c>
      <c r="Q131" s="7">
        <f>IFERROR(N131/M131-1,0)</f>
        <v>0.018765133171912973</v>
      </c>
      <c r="R131" s="5">
        <f>SUM(IF(BM131="lease",BU131,0),IF(CH131="lease",CP131,0),IF(DC131="lease",DK131,0),IF(DX131="lease",EF131,0),IF(ES131="lease",FA131,0),IF(FN131="lease",FV131,0),IF(GI131="lease",GQ131,0),IF(HD131="lease",HL131,0),IF(HY131="lease",IG131,0),IF(IT131="lease",JB131,0))</f>
        <v>1.384467583694879</v>
      </c>
      <c r="S131" s="5">
        <f>SUM(IF(BM131="lease",BV131,0),IF(CH131="lease",CQ131,0),IF(DC131="lease",DL131,0),IF(DX131="lease",EG131,0),IF(ES131="lease",FB131,0),IF(FN131="lease",FW131,0),IF(GI131="lease",GR131,0),IF(HD131="lease",HM131,0),IF(HY131="lease",IH131,0),IF(IT131="lease",JC131,0))</f>
        <v>1.410437819620427</v>
      </c>
      <c r="T131" s="5">
        <f>SUM(IF(BM131="keep",BU131,0),IF(CH131="keep",CP131,0),IF(DC131="keep",DK131,0),IF(DX131="keep",EF131,0),IF(ES131="keep",FA131,0),IF(FN131="keep",FV131,0),IF(GI131="keep",GQ131,0),IF(HD131="keep",HL131,0),IF(HY131="keep",IG131,0),IF(IT131="keep",JB131,0))</f>
        <v>0</v>
      </c>
      <c r="U131" s="5">
        <f>SUM(IF(BM131="keep",BV131,0),IF(CH131="keep",CQ131,0),IF(DC131="keep",DL131,0),IF(DX131="keep",EG131,0),IF(ES131="keep",FB131,0),IF(FN131="keep",FW131,0),IF(GI131="keep",GR131,0),IF(HD131="keep",HM131,0),IF(HY131="keep",IH131,0),IF(IT131="keep",JC131,0))</f>
        <v>0</v>
      </c>
      <c r="V131" s="5">
        <f>R131/O131</f>
        <v>1.640912547744899</v>
      </c>
      <c r="W131" s="5">
        <f>S131/P131</f>
        <v>1.6409015156368367</v>
      </c>
      <c r="X131" s="5">
        <f>T131/O131</f>
        <v>0</v>
      </c>
      <c r="Y131" s="5">
        <f>U131/P131</f>
        <v>0</v>
      </c>
      <c r="Z131" s="5">
        <f>V131+X131</f>
        <v>1.640912547744899</v>
      </c>
      <c r="AA131" s="7">
        <f>IFERROR(W131/V131-1,0)</f>
        <v>-0.000006723154184706814</v>
      </c>
      <c r="AB131" s="7">
        <f>IFERROR((W131-V131)/Z131,0)</f>
        <v>-0.000006723154184757517</v>
      </c>
      <c r="AC131" s="7">
        <f>IFERROR(Y131/X131-1,0)</f>
        <v>0</v>
      </c>
      <c r="AD131" s="7">
        <f>IFERROR((Y131-X131)/Z131,0)</f>
        <v>0</v>
      </c>
      <c r="AE131" s="7">
        <f>AB131+AD131</f>
        <v>-0.000006723154184757517</v>
      </c>
      <c r="AF131" s="7">
        <f>(1+Q131)*(1+AE131)-1</f>
        <v>0.01875828385684475</v>
      </c>
      <c r="AG131" s="7">
        <f>G131-AF131</f>
        <v>-2.671474153004283e-16</v>
      </c>
      <c r="AH131" s="5">
        <f>SUM(IF(BM131="lease",BW131,0),IF(CH131="lease",CR131,0),IF(DC131="lease",DM131,0),IF(DX131="lease",EH131,0),IF(ES131="lease",FC131,0),IF(FN131="lease",FX131,0),IF(GI131="lease",GS131,0),IF(HD131="lease",HN131,0),IF(HY131="lease",II131,0),IF(IT131="lease",JD131,0))</f>
        <v>0.025970235925548122</v>
      </c>
      <c r="AI131" s="5">
        <f>SUM(IF(BM131="keep",BW131,0),IF(CH131="keep",CR131,0),IF(DC131="keep",DM131,0),IF(DX131="keep",EH131,0),IF(ES131="keep",FC131,0),IF(FN131="keep",FX131,0),IF(GI131="keep",GS131,0),IF(HD131="keep",HN131,0),IF(HY131="keep",II131,0),IF(IT131="keep",JD131,0))</f>
        <v>0</v>
      </c>
      <c r="AJ131" s="5">
        <f>SUM(IF(BM131="lease",BX131,0),IF(CH131="lease",CS131,0),IF(DC131="lease",DN131,0),IF(DX131="lease",EI131,0),IF(ES131="lease",FD131,0),IF(FN131="lease",FY131,0),IF(GI131="lease",GT131,0),IF(HD131="lease",HO131,0),IF(HY131="lease",IJ131,0),IF(IT131="lease",JE131,0))</f>
        <v>0</v>
      </c>
      <c r="AK131" s="5">
        <f>SUM(IF(BM131="keep",BX131,0),IF(CH131="keep",CS131,0),IF(DC131="keep",DN131,0),IF(DX131="keep",EI131,0),IF(ES131="keep",FD131,0),IF(FN131="keep",FY131,0),IF(GI131="keep",GT131,0),IF(HD131="keep",HO131,0),IF(HY131="keep",IJ131,0),IF(IT131="keep",JE131,0))</f>
        <v>0</v>
      </c>
      <c r="AL131" s="5">
        <f>R131-S130</f>
        <v>0</v>
      </c>
      <c r="AM131" s="5">
        <f>T131-U130</f>
        <v>0</v>
      </c>
      <c r="AN131" s="5">
        <f>AN130</f>
        <v>1</v>
      </c>
      <c r="AO131" s="5">
        <f>AO130+AH131</f>
        <v>0.4104378196204271</v>
      </c>
      <c r="AP131" s="5">
        <f>AP130+AL131</f>
        <v>-4.440892098500626e-16</v>
      </c>
      <c r="AQ131" s="5">
        <f>AN131+AO131+AP131</f>
        <v>1.4104378196204266</v>
      </c>
      <c r="AR131" s="5">
        <f>S131-AQ131</f>
        <v>4.440892098500626e-16</v>
      </c>
      <c r="AS131" s="5">
        <f>AS130</f>
        <v>0</v>
      </c>
      <c r="AT131" s="5">
        <f>AT130+AI131</f>
        <v>0</v>
      </c>
      <c r="AU131" s="5">
        <f>AU130+AM131</f>
        <v>0</v>
      </c>
      <c r="AV131" s="5">
        <f>AS131+AT131+AU131</f>
        <v>0</v>
      </c>
      <c r="AW131" s="5">
        <f>U131-AV131</f>
        <v>0</v>
      </c>
      <c r="AX131" s="4">
        <v>1.384467583694879</v>
      </c>
      <c r="AY131" s="4">
        <v>1.410437819620427</v>
      </c>
      <c r="AZ131" s="5">
        <f>S131-AY131</f>
        <v>0</v>
      </c>
      <c r="BA131" s="4">
        <v>0</v>
      </c>
      <c r="BB131" s="4">
        <v>0</v>
      </c>
      <c r="BC131" s="5">
        <f>U131-BB131</f>
        <v>0</v>
      </c>
      <c r="BD131" s="7">
        <f>SUM(IF(BL131="direct",CE131,0),IF(CG131="direct",CZ131,0),IF(DB131="direct",DU131,0),IF(DW131="direct",EP131,0),IF(ER131="direct",FK131,0),IF(FM131="direct",GF131,0),IF(GH131="direct",HA131,0),IF(HC131="direct",HV131,0),IF(HX131="direct",IQ131,0),IF(IS131="direct",JL131,0))</f>
        <v>0.01875828385684448</v>
      </c>
      <c r="BE131" s="7">
        <f>SUM(IF(BL131="treasury",CE131,0),IF(CG131="treasury",CZ131,0),IF(DB131="treasury",DU131,0),IF(DW131="treasury",EP131,0),IF(ER131="treasury",FK131,0),IF(FM131="treasury",GF131,0),IF(GH131="treasury",HA131,0),IF(HC131="treasury",HV131,0),IF(HX131="treasury",IQ131,0),IF(IS131="treasury",JL131,0))</f>
        <v>0</v>
      </c>
      <c r="BF131" s="7">
        <f>SUM(IF(BL131="future",CE131,0),IF(CG131="future",CZ131,0),IF(DB131="future",DU131,0),IF(DW131="future",EP131,0),IF(ER131="future",FK131,0),IF(FM131="future",GF131,0),IF(GH131="future",HA131,0),IF(HC131="future",HV131,0),IF(HX131="future",IQ131,0),IF(IS131="future",JL131,0))</f>
        <v>0</v>
      </c>
      <c r="BG131" s="7">
        <f>SUM(IF(BL131="cash",CE131,0),IF(CG131="cash",CZ131,0),IF(DB131="cash",DU131,0),IF(DW131="cash",EP131,0),IF(ER131="cash",FK131,0),IF(FM131="cash",GF131,0),IF(GH131="cash",HA131,0),IF(HC131="cash",HV131,0),IF(HX131="cash",IQ131,0),IF(IS131="cash",JL131,0))</f>
        <v>0</v>
      </c>
      <c r="BH131" s="7">
        <f>SUM(BD131:BG131)</f>
        <v>0.01875828385684448</v>
      </c>
      <c r="BI131" s="7">
        <f>G131-BH131</f>
        <v>0</v>
      </c>
      <c r="BJ131" s="9">
        <f>COUNTA(BK131,CF131,DA131,DV131,EQ131,FL131,GG131,HB131,HW131,IR131)</f>
        <v>3</v>
      </c>
      <c r="BK131" t="inlineStr">
        <is>
          <t xml:space="preserve">Direct commodity holding</t>
        </is>
      </c>
      <c r="BL131" t="inlineStr">
        <is>
          <t xml:space="preserve">direct</t>
        </is>
      </c>
      <c r="BM131" t="inlineStr">
        <is>
          <t xml:space="preserve">lease</t>
        </is>
      </c>
      <c r="BN131" t="inlineStr">
        <is>
          <t xml:space="preserve">long</t>
        </is>
      </c>
      <c r="BO131"/>
      <c r="BP131" s="4">
        <v>1.652</v>
      </c>
      <c r="BQ131" s="4">
        <v>1.683</v>
      </c>
      <c r="BR131" s="4">
        <v>0.8380554380719603</v>
      </c>
      <c r="BS131" s="6">
        <v>1</v>
      </c>
      <c r="BT131" s="4">
        <v>1.3844675836948783</v>
      </c>
      <c r="BU131" s="4">
        <v>1.3844675836948783</v>
      </c>
      <c r="BV131" s="4">
        <v>1.4104473022751092</v>
      </c>
      <c r="BW131" s="4">
        <v>0.025970235925548122</v>
      </c>
      <c r="BX131" s="4">
        <v>0.000009482654682726327</v>
      </c>
      <c r="BY131" s="4">
        <v>1.652</v>
      </c>
      <c r="BZ131" s="4">
        <v>1.683</v>
      </c>
      <c r="CA131" s="6"/>
      <c r="CB131" s="6"/>
      <c r="CC131" s="6"/>
      <c r="CD131" s="9"/>
      <c r="CE131" s="7">
        <f>IFERROR(BW131/F131,0)</f>
        <v>0.01875828385684448</v>
      </c>
      <c r="CF131" t="inlineStr">
        <is>
          <t xml:space="preserve">Lease cash / margin / financing</t>
        </is>
      </c>
      <c r="CG131" t="inlineStr">
        <is>
          <t xml:space="preserve">cash</t>
        </is>
      </c>
      <c r="CH131" t="inlineStr">
        <is>
          <t xml:space="preserve">lease</t>
        </is>
      </c>
      <c r="CI131" t="inlineStr">
        <is>
          <t xml:space="preserve">cash</t>
        </is>
      </c>
      <c r="CJ131"/>
      <c r="CK131" s="4">
        <v>1</v>
      </c>
      <c r="CL131" s="4">
        <v>1</v>
      </c>
      <c r="CM131" s="4">
        <v>6.661338147750939e-16</v>
      </c>
      <c r="CN131" s="6"/>
      <c r="CO131" s="4">
        <v>6.661338147750939e-16</v>
      </c>
      <c r="CP131" s="4">
        <v>6.661338147750939e-16</v>
      </c>
      <c r="CQ131" s="4">
        <v>-0.000009482654682060193</v>
      </c>
      <c r="CR131" s="4">
        <v>0</v>
      </c>
      <c r="CS131" s="4">
        <v>-0.000009482654682726327</v>
      </c>
      <c r="CT131" s="4">
        <v>1.652</v>
      </c>
      <c r="CU131" s="4">
        <v>1.683</v>
      </c>
      <c r="CV131" s="6"/>
      <c r="CW131" s="6"/>
      <c r="CX131" s="6"/>
      <c r="CY131" s="9"/>
      <c r="CZ131" s="7">
        <f>IFERROR(CR131/F131,0)</f>
        <v>0</v>
      </c>
      <c r="DA131" t="inlineStr">
        <is>
          <t xml:space="preserve">Keep cash / margin / financing</t>
        </is>
      </c>
      <c r="DB131" t="inlineStr">
        <is>
          <t xml:space="preserve">cash</t>
        </is>
      </c>
      <c r="DC131" t="inlineStr">
        <is>
          <t xml:space="preserve">keep</t>
        </is>
      </c>
      <c r="DD131" t="inlineStr">
        <is>
          <t xml:space="preserve">cash</t>
        </is>
      </c>
      <c r="DE131"/>
      <c r="DF131" s="4">
        <v>1</v>
      </c>
      <c r="DG131" s="4">
        <v>1</v>
      </c>
      <c r="DH131" s="4">
        <v>0</v>
      </c>
      <c r="DI131" s="6"/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1.652</v>
      </c>
      <c r="DP131" s="4">
        <v>1.683</v>
      </c>
      <c r="DQ131" s="6"/>
      <c r="DR131" s="6"/>
      <c r="DS131" s="6"/>
      <c r="DT131" s="9"/>
      <c r="DU131" s="7">
        <f>IFERROR(DM131/F131,0)</f>
        <v>0</v>
      </c>
      <c r="DV131"/>
      <c r="DW131"/>
      <c r="DX131"/>
      <c r="DY131"/>
      <c r="DZ131"/>
      <c r="EA131" s="4"/>
      <c r="EB131" s="4"/>
      <c r="EC131" s="4"/>
      <c r="ED131" s="6"/>
      <c r="EE131" s="4"/>
      <c r="EF131" s="4"/>
      <c r="EG131" s="4"/>
      <c r="EH131" s="4"/>
      <c r="EI131" s="4"/>
      <c r="EJ131" s="4"/>
      <c r="EK131" s="4"/>
      <c r="EL131" s="6"/>
      <c r="EM131" s="6"/>
      <c r="EN131" s="6"/>
      <c r="EO131" s="9"/>
      <c r="EP131"/>
      <c r="EQ131"/>
      <c r="ER131"/>
      <c r="ES131"/>
      <c r="ET131"/>
      <c r="EU131"/>
      <c r="EV131" s="4"/>
      <c r="EW131" s="4"/>
      <c r="EX131" s="4"/>
      <c r="EY131" s="6"/>
      <c r="EZ131" s="4"/>
      <c r="FA131" s="4"/>
      <c r="FB131" s="4"/>
      <c r="FC131" s="4"/>
      <c r="FD131" s="4"/>
      <c r="FE131" s="4"/>
      <c r="FF131" s="4"/>
      <c r="FG131" s="6"/>
      <c r="FH131" s="6"/>
      <c r="FI131" s="6"/>
      <c r="FJ131" s="9"/>
      <c r="FK131"/>
      <c r="FL131"/>
      <c r="FM131"/>
      <c r="FN131"/>
      <c r="FO131"/>
      <c r="FP131"/>
      <c r="FQ131" s="4"/>
      <c r="FR131" s="4"/>
      <c r="FS131" s="4"/>
      <c r="FT131" s="6"/>
      <c r="FU131" s="4"/>
      <c r="FV131" s="4"/>
      <c r="FW131" s="4"/>
      <c r="FX131" s="4"/>
      <c r="FY131" s="4"/>
      <c r="FZ131" s="4"/>
      <c r="GA131" s="4"/>
      <c r="GB131" s="6"/>
      <c r="GC131" s="6"/>
      <c r="GD131" s="6"/>
      <c r="GE131" s="9"/>
      <c r="GF131"/>
      <c r="GG131"/>
      <c r="GH131"/>
      <c r="GI131"/>
      <c r="GJ131"/>
      <c r="GK131"/>
      <c r="GL131" s="4"/>
      <c r="GM131" s="4"/>
      <c r="GN131" s="4"/>
      <c r="GO131" s="6"/>
      <c r="GP131" s="4"/>
      <c r="GQ131" s="4"/>
      <c r="GR131" s="4"/>
      <c r="GS131" s="4"/>
      <c r="GT131" s="4"/>
      <c r="GU131" s="4"/>
      <c r="GV131" s="4"/>
      <c r="GW131" s="6"/>
      <c r="GX131" s="6"/>
      <c r="GY131" s="6"/>
      <c r="GZ131" s="9"/>
      <c r="HA131"/>
      <c r="HB131"/>
      <c r="HC131"/>
      <c r="HD131"/>
      <c r="HE131"/>
      <c r="HF131"/>
      <c r="HG131" s="4"/>
      <c r="HH131" s="4"/>
      <c r="HI131" s="4"/>
      <c r="HJ131" s="6"/>
      <c r="HK131" s="4"/>
      <c r="HL131" s="4"/>
      <c r="HM131" s="4"/>
      <c r="HN131" s="4"/>
      <c r="HO131" s="4"/>
      <c r="HP131" s="4"/>
      <c r="HQ131" s="4"/>
      <c r="HR131" s="6"/>
      <c r="HS131" s="6"/>
      <c r="HT131" s="6"/>
      <c r="HU131" s="9"/>
      <c r="HV131"/>
      <c r="HW131"/>
      <c r="HX131"/>
      <c r="HY131"/>
      <c r="HZ131"/>
      <c r="IA131"/>
      <c r="IB131" s="4"/>
      <c r="IC131" s="4"/>
      <c r="ID131" s="4"/>
      <c r="IE131" s="6"/>
      <c r="IF131" s="4"/>
      <c r="IG131" s="4"/>
      <c r="IH131" s="4"/>
      <c r="II131" s="4"/>
      <c r="IJ131" s="4"/>
      <c r="IK131" s="4"/>
      <c r="IL131" s="4"/>
      <c r="IM131" s="6"/>
      <c r="IN131" s="6"/>
      <c r="IO131" s="6"/>
      <c r="IP131" s="9"/>
      <c r="IQ131"/>
      <c r="IR131"/>
      <c r="IS131"/>
      <c r="IT131"/>
      <c r="IU131"/>
      <c r="IV131"/>
      <c r="IW131" s="4"/>
      <c r="IX131" s="4"/>
      <c r="IY131" s="4"/>
      <c r="IZ131" s="6"/>
      <c r="JA131" s="4"/>
      <c r="JB131" s="4"/>
      <c r="JC131" s="4"/>
      <c r="JD131" s="4"/>
      <c r="JE131" s="4"/>
      <c r="JF131" s="4"/>
      <c r="JG131" s="4"/>
      <c r="JH131" s="6"/>
      <c r="JI131" s="6"/>
      <c r="JJ131" s="6"/>
      <c r="JK131" s="9"/>
      <c r="JL131"/>
    </row>
    <row r="132">
      <c r="A132" s="8">
        <v>25399</v>
      </c>
      <c r="B132" s="8">
        <v>25400</v>
      </c>
      <c r="C132" s="9">
        <f>B132-A132</f>
        <v>1</v>
      </c>
      <c r="D132" s="8">
        <v>25399</v>
      </c>
      <c r="E132" t="inlineStr">
        <is>
          <t xml:space="preserve">positive</t>
        </is>
      </c>
      <c r="F132" s="4">
        <v>1.4104378196204266</v>
      </c>
      <c r="G132" s="6">
        <v>-0.019082861858392402</v>
      </c>
      <c r="H132" s="7">
        <f>SUM(CE132,CZ132,DU132,EP132,FK132,GF132,HA132,HV132,IQ132,JL132)</f>
        <v>-0.019082861858392395</v>
      </c>
      <c r="I132" s="7">
        <f>G132-H132</f>
        <v>-6.938893903907228e-18</v>
      </c>
      <c r="J132" s="5">
        <f>F132*(1+H132)</f>
        <v>1.383522629548758</v>
      </c>
      <c r="K132" s="4">
        <v>1.383522629548758</v>
      </c>
      <c r="L132" s="5">
        <f>K132-J132</f>
        <v>0</v>
      </c>
      <c r="M132" s="4">
        <v>1.683</v>
      </c>
      <c r="N132" s="4">
        <v>1.669</v>
      </c>
      <c r="O132" s="5">
        <f>M132/$M$3</f>
        <v>0.8595505617977528</v>
      </c>
      <c r="P132" s="5">
        <f>N132/$M$3</f>
        <v>0.8524004085801838</v>
      </c>
      <c r="Q132" s="7">
        <f>IFERROR(N132/M132-1,0)</f>
        <v>-0.008318478906714222</v>
      </c>
      <c r="R132" s="5">
        <f>SUM(IF(BM132="lease",BU132,0),IF(CH132="lease",CP132,0),IF(DC132="lease",DK132,0),IF(DX132="lease",EF132,0),IF(ES132="lease",FA132,0),IF(FN132="lease",FV132,0),IF(GI132="lease",GQ132,0),IF(HD132="lease",HL132,0),IF(HY132="lease",IG132,0),IF(IT132="lease",JB132,0))</f>
        <v>1.410437819620427</v>
      </c>
      <c r="S132" s="5">
        <f>SUM(IF(BM132="lease",BV132,0),IF(CH132="lease",CQ132,0),IF(DC132="lease",DL132,0),IF(DX132="lease",EG132,0),IF(ES132="lease",FB132,0),IF(FN132="lease",FW132,0),IF(GI132="lease",GR132,0),IF(HD132="lease",HM132,0),IF(HY132="lease",IH132,0),IF(IT132="lease",JC132,0))</f>
        <v>1.3835226295487582</v>
      </c>
      <c r="T132" s="5">
        <f>SUM(IF(BM132="keep",BU132,0),IF(CH132="keep",CP132,0),IF(DC132="keep",DK132,0),IF(DX132="keep",EF132,0),IF(ES132="keep",FA132,0),IF(FN132="keep",FV132,0),IF(GI132="keep",GQ132,0),IF(HD132="keep",HL132,0),IF(HY132="keep",IG132,0),IF(IT132="keep",JB132,0))</f>
        <v>0</v>
      </c>
      <c r="U132" s="5">
        <f>SUM(IF(BM132="keep",BV132,0),IF(CH132="keep",CQ132,0),IF(DC132="keep",DL132,0),IF(DX132="keep",EG132,0),IF(ES132="keep",FB132,0),IF(FN132="keep",FW132,0),IF(GI132="keep",GR132,0),IF(HD132="keep",HM132,0),IF(HY132="keep",IH132,0),IF(IT132="keep",JC132,0))</f>
        <v>0</v>
      </c>
      <c r="V132" s="5">
        <f>R132/O132</f>
        <v>1.6409015156368367</v>
      </c>
      <c r="W132" s="5">
        <f>S132/P132</f>
        <v>1.6230900591111255</v>
      </c>
      <c r="X132" s="5">
        <f>T132/O132</f>
        <v>0</v>
      </c>
      <c r="Y132" s="5">
        <f>U132/P132</f>
        <v>0</v>
      </c>
      <c r="Z132" s="5">
        <f>V132+X132</f>
        <v>1.6409015156368367</v>
      </c>
      <c r="AA132" s="7">
        <f>IFERROR(W132/V132-1,0)</f>
        <v>-0.010854677356305964</v>
      </c>
      <c r="AB132" s="7">
        <f>IFERROR((W132-V132)/Z132,0)</f>
        <v>-0.010854677356305931</v>
      </c>
      <c r="AC132" s="7">
        <f>IFERROR(Y132/X132-1,0)</f>
        <v>0</v>
      </c>
      <c r="AD132" s="7">
        <f>IFERROR((Y132-X132)/Z132,0)</f>
        <v>0</v>
      </c>
      <c r="AE132" s="7">
        <f>AB132+AD132</f>
        <v>-0.010854677356305931</v>
      </c>
      <c r="AF132" s="7">
        <f>(1+Q132)*(1+AE132)-1</f>
        <v>-0.019082861858392586</v>
      </c>
      <c r="AG132" s="7">
        <f>G132-AF132</f>
        <v>1.8388068845354155e-16</v>
      </c>
      <c r="AH132" s="5">
        <f>SUM(IF(BM132="lease",BW132,0),IF(CH132="lease",CR132,0),IF(DC132="lease",DM132,0),IF(DX132="lease",EH132,0),IF(ES132="lease",FC132,0),IF(FN132="lease",FX132,0),IF(GI132="lease",GS132,0),IF(HD132="lease",HN132,0),IF(HY132="lease",II132,0),IF(IT132="lease",JD132,0))</f>
        <v>-0.02691519007166877</v>
      </c>
      <c r="AI132" s="5">
        <f>SUM(IF(BM132="keep",BW132,0),IF(CH132="keep",CR132,0),IF(DC132="keep",DM132,0),IF(DX132="keep",EH132,0),IF(ES132="keep",FC132,0),IF(FN132="keep",FX132,0),IF(GI132="keep",GS132,0),IF(HD132="keep",HN132,0),IF(HY132="keep",II132,0),IF(IT132="keep",JD132,0))</f>
        <v>0</v>
      </c>
      <c r="AJ132" s="5">
        <f>SUM(IF(BM132="lease",BX132,0),IF(CH132="lease",CS132,0),IF(DC132="lease",DN132,0),IF(DX132="lease",EI132,0),IF(ES132="lease",FD132,0),IF(FN132="lease",FY132,0),IF(GI132="lease",GT132,0),IF(HD132="lease",HO132,0),IF(HY132="lease",IJ132,0),IF(IT132="lease",JE132,0))</f>
        <v>0</v>
      </c>
      <c r="AK132" s="5">
        <f>SUM(IF(BM132="keep",BX132,0),IF(CH132="keep",CS132,0),IF(DC132="keep",DN132,0),IF(DX132="keep",EI132,0),IF(ES132="keep",FD132,0),IF(FN132="keep",FY132,0),IF(GI132="keep",GT132,0),IF(HD132="keep",HO132,0),IF(HY132="keep",IJ132,0),IF(IT132="keep",JE132,0))</f>
        <v>0</v>
      </c>
      <c r="AL132" s="5">
        <f>R132-S131</f>
        <v>0</v>
      </c>
      <c r="AM132" s="5">
        <f>T132-U131</f>
        <v>0</v>
      </c>
      <c r="AN132" s="5">
        <f>AN131</f>
        <v>1</v>
      </c>
      <c r="AO132" s="5">
        <f>AO131+AH132</f>
        <v>0.3835226295487583</v>
      </c>
      <c r="AP132" s="5">
        <f>AP131+AL132</f>
        <v>-4.440892098500626e-16</v>
      </c>
      <c r="AQ132" s="5">
        <f>AN132+AO132+AP132</f>
        <v>1.383522629548758</v>
      </c>
      <c r="AR132" s="5">
        <f>S132-AQ132</f>
        <v>2.220446049250313e-16</v>
      </c>
      <c r="AS132" s="5">
        <f>AS131</f>
        <v>0</v>
      </c>
      <c r="AT132" s="5">
        <f>AT131+AI132</f>
        <v>0</v>
      </c>
      <c r="AU132" s="5">
        <f>AU131+AM132</f>
        <v>0</v>
      </c>
      <c r="AV132" s="5">
        <f>AS132+AT132+AU132</f>
        <v>0</v>
      </c>
      <c r="AW132" s="5">
        <f>U132-AV132</f>
        <v>0</v>
      </c>
      <c r="AX132" s="4">
        <v>1.410437819620427</v>
      </c>
      <c r="AY132" s="4">
        <v>1.3835226295487582</v>
      </c>
      <c r="AZ132" s="5">
        <f>S132-AY132</f>
        <v>0</v>
      </c>
      <c r="BA132" s="4">
        <v>0</v>
      </c>
      <c r="BB132" s="4">
        <v>0</v>
      </c>
      <c r="BC132" s="5">
        <f>U132-BB132</f>
        <v>0</v>
      </c>
      <c r="BD132" s="7">
        <f>SUM(IF(BL132="direct",CE132,0),IF(CG132="direct",CZ132,0),IF(DB132="direct",DU132,0),IF(DW132="direct",EP132,0),IF(ER132="direct",FK132,0),IF(FM132="direct",GF132,0),IF(GH132="direct",HA132,0),IF(HC132="direct",HV132,0),IF(HX132="direct",IQ132,0),IF(IS132="direct",JL132,0))</f>
        <v>0</v>
      </c>
      <c r="BE132" s="7">
        <f>SUM(IF(BL132="treasury",CE132,0),IF(CG132="treasury",CZ132,0),IF(DB132="treasury",DU132,0),IF(DW132="treasury",EP132,0),IF(ER132="treasury",FK132,0),IF(FM132="treasury",GF132,0),IF(GH132="treasury",HA132,0),IF(HC132="treasury",HV132,0),IF(HX132="treasury",IQ132,0),IF(IS132="treasury",JL132,0))</f>
        <v>0.00019424657534246578</v>
      </c>
      <c r="BF132" s="7">
        <f>SUM(IF(BL132="future",CE132,0),IF(CG132="future",CZ132,0),IF(DB132="future",DU132,0),IF(DW132="future",EP132,0),IF(ER132="future",FK132,0),IF(FM132="future",GF132,0),IF(GH132="future",HA132,0),IF(HC132="future",HV132,0),IF(HX132="future",IQ132,0),IF(IS132="future",JL132,0))</f>
        <v>-0.01927710843373486</v>
      </c>
      <c r="BG132" s="7">
        <f>SUM(IF(BL132="cash",CE132,0),IF(CG132="cash",CZ132,0),IF(DB132="cash",DU132,0),IF(DW132="cash",EP132,0),IF(ER132="cash",FK132,0),IF(FM132="cash",GF132,0),IF(GH132="cash",HA132,0),IF(HC132="cash",HV132,0),IF(HX132="cash",IQ132,0),IF(IS132="cash",JL132,0))</f>
        <v>0</v>
      </c>
      <c r="BH132" s="7">
        <f>SUM(BD132:BG132)</f>
        <v>-0.019082861858392395</v>
      </c>
      <c r="BI132" s="7">
        <f>G132-BH132</f>
        <v>-6.938893903907228e-18</v>
      </c>
      <c r="BJ132" s="9">
        <f>COUNTA(BK132,CF132,DA132,DV132,EQ132,FL132,GG132,HB132,HW132,IR132)</f>
        <v>4</v>
      </c>
      <c r="BK132" t="inlineStr">
        <is>
          <t xml:space="preserve">Treasury collateral</t>
        </is>
      </c>
      <c r="BL132" t="inlineStr">
        <is>
          <t xml:space="preserve">treasury</t>
        </is>
      </c>
      <c r="BM132" t="inlineStr">
        <is>
          <t xml:space="preserve">lease</t>
        </is>
      </c>
      <c r="BN132" t="inlineStr">
        <is>
          <t xml:space="preserve">long</t>
        </is>
      </c>
      <c r="BO132"/>
      <c r="BP132" s="4">
        <v>103.34648185253113</v>
      </c>
      <c r="BQ132" s="4">
        <v>103.36655655270465</v>
      </c>
      <c r="BR132" s="4">
        <v>0.013647661674956985</v>
      </c>
      <c r="BS132" s="6">
        <v>1</v>
      </c>
      <c r="BT132" s="4">
        <v>1.4104378196204266</v>
      </c>
      <c r="BU132" s="4">
        <v>1.4104378196204266</v>
      </c>
      <c r="BV132" s="4">
        <v>1.410711792336621</v>
      </c>
      <c r="BW132" s="4">
        <v>0.00027397271619476233</v>
      </c>
      <c r="BX132" s="4">
        <v>-3.1403915926042636e-16</v>
      </c>
      <c r="BY132" s="4">
        <v>1.683</v>
      </c>
      <c r="BZ132" s="4">
        <v>1.669</v>
      </c>
      <c r="CA132" s="6"/>
      <c r="CB132" s="6"/>
      <c r="CC132" s="6"/>
      <c r="CD132" s="9">
        <v>14</v>
      </c>
      <c r="CE132" s="7">
        <f>IFERROR(BW132/F132,0)</f>
        <v>0.00019424657534246578</v>
      </c>
      <c r="CF132" t="inlineStr">
        <is>
          <t xml:space="preserve">SI69N</t>
        </is>
      </c>
      <c r="CG132" t="inlineStr">
        <is>
          <t xml:space="preserve">future</t>
        </is>
      </c>
      <c r="CH132" t="inlineStr">
        <is>
          <t xml:space="preserve">lease</t>
        </is>
      </c>
      <c r="CI132" t="inlineStr">
        <is>
          <t xml:space="preserve">long</t>
        </is>
      </c>
      <c r="CJ132" t="inlineStr">
        <is>
          <t xml:space="preserve">regular</t>
        </is>
      </c>
      <c r="CK132" s="4">
        <v>1.66</v>
      </c>
      <c r="CL132" s="4">
        <v>1.6280000000000001</v>
      </c>
      <c r="CM132" s="4">
        <v>0.8496613371207387</v>
      </c>
      <c r="CN132" s="6">
        <v>0.9999999999999997</v>
      </c>
      <c r="CO132" s="4">
        <v>1.4104378196204261</v>
      </c>
      <c r="CP132" s="4">
        <v>0</v>
      </c>
      <c r="CQ132" s="4">
        <v>0</v>
      </c>
      <c r="CR132" s="4">
        <v>-0.027189162787863534</v>
      </c>
      <c r="CS132" s="4">
        <v>0.027189162787863534</v>
      </c>
      <c r="CT132" s="4">
        <v>1.683</v>
      </c>
      <c r="CU132" s="4">
        <v>1.669</v>
      </c>
      <c r="CV132" s="6">
        <v>-0.013666072489601944</v>
      </c>
      <c r="CW132" s="6">
        <v>0.0709</v>
      </c>
      <c r="CX132" s="6">
        <v>0.42719403276462214</v>
      </c>
      <c r="CY132" s="9">
        <v>14</v>
      </c>
      <c r="CZ132" s="7">
        <f>IFERROR(CR132/F132,0)</f>
        <v>-0.01927710843373486</v>
      </c>
      <c r="DA132" t="inlineStr">
        <is>
          <t xml:space="preserve">Lease cash / margin / financing</t>
        </is>
      </c>
      <c r="DB132" t="inlineStr">
        <is>
          <t xml:space="preserve">cash</t>
        </is>
      </c>
      <c r="DC132" t="inlineStr">
        <is>
          <t xml:space="preserve">lease</t>
        </is>
      </c>
      <c r="DD132" t="inlineStr">
        <is>
          <t xml:space="preserve">cash</t>
        </is>
      </c>
      <c r="DE132"/>
      <c r="DF132" s="4">
        <v>1</v>
      </c>
      <c r="DG132" s="4">
        <v>1</v>
      </c>
      <c r="DH132" s="4">
        <v>4.440892098500626e-16</v>
      </c>
      <c r="DI132" s="6"/>
      <c r="DJ132" s="4">
        <v>4.440892098500626e-16</v>
      </c>
      <c r="DK132" s="4">
        <v>4.440892098500626e-16</v>
      </c>
      <c r="DL132" s="4">
        <v>-0.027189162787862774</v>
      </c>
      <c r="DM132" s="4">
        <v>0</v>
      </c>
      <c r="DN132" s="4">
        <v>-0.02718916278786322</v>
      </c>
      <c r="DO132" s="4">
        <v>1.683</v>
      </c>
      <c r="DP132" s="4">
        <v>1.669</v>
      </c>
      <c r="DQ132" s="6"/>
      <c r="DR132" s="6"/>
      <c r="DS132" s="6"/>
      <c r="DT132" s="9"/>
      <c r="DU132" s="7">
        <f>IFERROR(DM132/F132,0)</f>
        <v>0</v>
      </c>
      <c r="DV132" t="inlineStr">
        <is>
          <t xml:space="preserve">Keep cash / margin / financing</t>
        </is>
      </c>
      <c r="DW132" t="inlineStr">
        <is>
          <t xml:space="preserve">cash</t>
        </is>
      </c>
      <c r="DX132" t="inlineStr">
        <is>
          <t xml:space="preserve">keep</t>
        </is>
      </c>
      <c r="DY132" t="inlineStr">
        <is>
          <t xml:space="preserve">cash</t>
        </is>
      </c>
      <c r="DZ132"/>
      <c r="EA132" s="4">
        <v>1</v>
      </c>
      <c r="EB132" s="4">
        <v>1</v>
      </c>
      <c r="EC132" s="4">
        <v>0</v>
      </c>
      <c r="ED132" s="6"/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1.683</v>
      </c>
      <c r="EK132" s="4">
        <v>1.669</v>
      </c>
      <c r="EL132" s="6"/>
      <c r="EM132" s="6"/>
      <c r="EN132" s="6"/>
      <c r="EO132" s="9"/>
      <c r="EP132" s="7">
        <f>IFERROR(EH132/F132,0)</f>
        <v>0</v>
      </c>
      <c r="EQ132"/>
      <c r="ER132"/>
      <c r="ES132"/>
      <c r="ET132"/>
      <c r="EU132"/>
      <c r="EV132" s="4"/>
      <c r="EW132" s="4"/>
      <c r="EX132" s="4"/>
      <c r="EY132" s="6"/>
      <c r="EZ132" s="4"/>
      <c r="FA132" s="4"/>
      <c r="FB132" s="4"/>
      <c r="FC132" s="4"/>
      <c r="FD132" s="4"/>
      <c r="FE132" s="4"/>
      <c r="FF132" s="4"/>
      <c r="FG132" s="6"/>
      <c r="FH132" s="6"/>
      <c r="FI132" s="6"/>
      <c r="FJ132" s="9"/>
      <c r="FK132"/>
      <c r="FL132"/>
      <c r="FM132"/>
      <c r="FN132"/>
      <c r="FO132"/>
      <c r="FP132"/>
      <c r="FQ132" s="4"/>
      <c r="FR132" s="4"/>
      <c r="FS132" s="4"/>
      <c r="FT132" s="6"/>
      <c r="FU132" s="4"/>
      <c r="FV132" s="4"/>
      <c r="FW132" s="4"/>
      <c r="FX132" s="4"/>
      <c r="FY132" s="4"/>
      <c r="FZ132" s="4"/>
      <c r="GA132" s="4"/>
      <c r="GB132" s="6"/>
      <c r="GC132" s="6"/>
      <c r="GD132" s="6"/>
      <c r="GE132" s="9"/>
      <c r="GF132"/>
      <c r="GG132"/>
      <c r="GH132"/>
      <c r="GI132"/>
      <c r="GJ132"/>
      <c r="GK132"/>
      <c r="GL132" s="4"/>
      <c r="GM132" s="4"/>
      <c r="GN132" s="4"/>
      <c r="GO132" s="6"/>
      <c r="GP132" s="4"/>
      <c r="GQ132" s="4"/>
      <c r="GR132" s="4"/>
      <c r="GS132" s="4"/>
      <c r="GT132" s="4"/>
      <c r="GU132" s="4"/>
      <c r="GV132" s="4"/>
      <c r="GW132" s="6"/>
      <c r="GX132" s="6"/>
      <c r="GY132" s="6"/>
      <c r="GZ132" s="9"/>
      <c r="HA132"/>
      <c r="HB132"/>
      <c r="HC132"/>
      <c r="HD132"/>
      <c r="HE132"/>
      <c r="HF132"/>
      <c r="HG132" s="4"/>
      <c r="HH132" s="4"/>
      <c r="HI132" s="4"/>
      <c r="HJ132" s="6"/>
      <c r="HK132" s="4"/>
      <c r="HL132" s="4"/>
      <c r="HM132" s="4"/>
      <c r="HN132" s="4"/>
      <c r="HO132" s="4"/>
      <c r="HP132" s="4"/>
      <c r="HQ132" s="4"/>
      <c r="HR132" s="6"/>
      <c r="HS132" s="6"/>
      <c r="HT132" s="6"/>
      <c r="HU132" s="9"/>
      <c r="HV132"/>
      <c r="HW132"/>
      <c r="HX132"/>
      <c r="HY132"/>
      <c r="HZ132"/>
      <c r="IA132"/>
      <c r="IB132" s="4"/>
      <c r="IC132" s="4"/>
      <c r="ID132" s="4"/>
      <c r="IE132" s="6"/>
      <c r="IF132" s="4"/>
      <c r="IG132" s="4"/>
      <c r="IH132" s="4"/>
      <c r="II132" s="4"/>
      <c r="IJ132" s="4"/>
      <c r="IK132" s="4"/>
      <c r="IL132" s="4"/>
      <c r="IM132" s="6"/>
      <c r="IN132" s="6"/>
      <c r="IO132" s="6"/>
      <c r="IP132" s="9"/>
      <c r="IQ132"/>
      <c r="IR132"/>
      <c r="IS132"/>
      <c r="IT132"/>
      <c r="IU132"/>
      <c r="IV132"/>
      <c r="IW132" s="4"/>
      <c r="IX132" s="4"/>
      <c r="IY132" s="4"/>
      <c r="IZ132" s="6"/>
      <c r="JA132" s="4"/>
      <c r="JB132" s="4"/>
      <c r="JC132" s="4"/>
      <c r="JD132" s="4"/>
      <c r="JE132" s="4"/>
      <c r="JF132" s="4"/>
      <c r="JG132" s="4"/>
      <c r="JH132" s="6"/>
      <c r="JI132" s="6"/>
      <c r="JJ132" s="6"/>
      <c r="JK132" s="9"/>
      <c r="JL132"/>
    </row>
    <row r="133">
      <c r="A133" s="8">
        <v>25400</v>
      </c>
      <c r="B133" s="8">
        <v>25401</v>
      </c>
      <c r="C133" s="9">
        <f>B133-A133</f>
        <v>1</v>
      </c>
      <c r="D133" s="8">
        <v>25400</v>
      </c>
      <c r="E133" t="inlineStr">
        <is>
          <t xml:space="preserve">positive</t>
        </is>
      </c>
      <c r="F133" s="4">
        <v>1.383522629548758</v>
      </c>
      <c r="G133" s="6">
        <v>0.0075625142203222225</v>
      </c>
      <c r="H133" s="7">
        <f>SUM(CE133,CZ133,DU133,EP133,FK133,GF133,HA133,HV133,IQ133,JL133)</f>
        <v>0.007562514220322223</v>
      </c>
      <c r="I133" s="7">
        <f>G133-H133</f>
        <v>-8.673617379884035e-19</v>
      </c>
      <c r="J133" s="5">
        <f>F133*(1+H133)</f>
        <v>1.393985539108858</v>
      </c>
      <c r="K133" s="4">
        <v>1.393985539108858</v>
      </c>
      <c r="L133" s="5">
        <f>K133-J133</f>
        <v>0</v>
      </c>
      <c r="M133" s="4">
        <v>1.669</v>
      </c>
      <c r="N133" s="4">
        <v>1.636</v>
      </c>
      <c r="O133" s="5">
        <f>M133/$M$3</f>
        <v>0.8524004085801838</v>
      </c>
      <c r="P133" s="5">
        <f>N133/$M$3</f>
        <v>0.8355464759959141</v>
      </c>
      <c r="Q133" s="7">
        <f>IFERROR(N133/M133-1,0)</f>
        <v>-0.019772318753744855</v>
      </c>
      <c r="R133" s="5">
        <f>SUM(IF(BM133="lease",BU133,0),IF(CH133="lease",CP133,0),IF(DC133="lease",DK133,0),IF(DX133="lease",EF133,0),IF(ES133="lease",FA133,0),IF(FN133="lease",FV133,0),IF(GI133="lease",GQ133,0),IF(HD133="lease",HL133,0),IF(HY133="lease",IG133,0),IF(IT133="lease",JB133,0))</f>
        <v>1.3835226295487582</v>
      </c>
      <c r="S133" s="5">
        <f>SUM(IF(BM133="lease",BV133,0),IF(CH133="lease",CQ133,0),IF(DC133="lease",DL133,0),IF(DX133="lease",EG133,0),IF(ES133="lease",FB133,0),IF(FN133="lease",FW133,0),IF(GI133="lease",GR133,0),IF(HD133="lease",HM133,0),IF(HY133="lease",IH133,0),IF(IT133="lease",JC133,0))</f>
        <v>1.3939855391088583</v>
      </c>
      <c r="T133" s="5">
        <f>SUM(IF(BM133="keep",BU133,0),IF(CH133="keep",CP133,0),IF(DC133="keep",DK133,0),IF(DX133="keep",EF133,0),IF(ES133="keep",FA133,0),IF(FN133="keep",FV133,0),IF(GI133="keep",GQ133,0),IF(HD133="keep",HL133,0),IF(HY133="keep",IG133,0),IF(IT133="keep",JB133,0))</f>
        <v>0</v>
      </c>
      <c r="U133" s="5">
        <f>SUM(IF(BM133="keep",BV133,0),IF(CH133="keep",CQ133,0),IF(DC133="keep",DL133,0),IF(DX133="keep",EG133,0),IF(ES133="keep",FB133,0),IF(FN133="keep",FW133,0),IF(GI133="keep",GR133,0),IF(HD133="keep",HM133,0),IF(HY133="keep",IH133,0),IF(IT133="keep",JC133,0))</f>
        <v>0</v>
      </c>
      <c r="V133" s="5">
        <f>R133/O133</f>
        <v>1.6230900591111255</v>
      </c>
      <c r="W133" s="5">
        <f>S133/P133</f>
        <v>1.668351886048377</v>
      </c>
      <c r="X133" s="5">
        <f>T133/O133</f>
        <v>0</v>
      </c>
      <c r="Y133" s="5">
        <f>U133/P133</f>
        <v>0</v>
      </c>
      <c r="Z133" s="5">
        <f>V133+X133</f>
        <v>1.6230900591111255</v>
      </c>
      <c r="AA133" s="7">
        <f>IFERROR(W133/V133-1,0)</f>
        <v>0.027886207966820287</v>
      </c>
      <c r="AB133" s="7">
        <f>IFERROR((W133-V133)/Z133,0)</f>
        <v>0.02788620796682034</v>
      </c>
      <c r="AC133" s="7">
        <f>IFERROR(Y133/X133-1,0)</f>
        <v>0</v>
      </c>
      <c r="AD133" s="7">
        <f>IFERROR((Y133-X133)/Z133,0)</f>
        <v>0</v>
      </c>
      <c r="AE133" s="7">
        <f>AB133+AD133</f>
        <v>0.02788620796682034</v>
      </c>
      <c r="AF133" s="7">
        <f>(1+Q133)*(1+AE133)-1</f>
        <v>0.00756251422032217</v>
      </c>
      <c r="AG133" s="7">
        <f>G133-AF133</f>
        <v>5.2909066017292616e-17</v>
      </c>
      <c r="AH133" s="5">
        <f>SUM(IF(BM133="lease",BW133,0),IF(CH133="lease",CR133,0),IF(DC133="lease",DM133,0),IF(DX133="lease",EH133,0),IF(ES133="lease",FC133,0),IF(FN133="lease",FX133,0),IF(GI133="lease",GS133,0),IF(HD133="lease",HN133,0),IF(HY133="lease",II133,0),IF(IT133="lease",JD133,0))</f>
        <v>0.010462909560100077</v>
      </c>
      <c r="AI133" s="5">
        <f>SUM(IF(BM133="keep",BW133,0),IF(CH133="keep",CR133,0),IF(DC133="keep",DM133,0),IF(DX133="keep",EH133,0),IF(ES133="keep",FC133,0),IF(FN133="keep",FX133,0),IF(GI133="keep",GS133,0),IF(HD133="keep",HN133,0),IF(HY133="keep",II133,0),IF(IT133="keep",JD133,0))</f>
        <v>0</v>
      </c>
      <c r="AJ133" s="5">
        <f>SUM(IF(BM133="lease",BX133,0),IF(CH133="lease",CS133,0),IF(DC133="lease",DN133,0),IF(DX133="lease",EI133,0),IF(ES133="lease",FD133,0),IF(FN133="lease",FY133,0),IF(GI133="lease",GT133,0),IF(HD133="lease",HO133,0),IF(HY133="lease",IJ133,0),IF(IT133="lease",JE133,0))</f>
        <v>0</v>
      </c>
      <c r="AK133" s="5">
        <f>SUM(IF(BM133="keep",BX133,0),IF(CH133="keep",CS133,0),IF(DC133="keep",DN133,0),IF(DX133="keep",EI133,0),IF(ES133="keep",FD133,0),IF(FN133="keep",FY133,0),IF(GI133="keep",GT133,0),IF(HD133="keep",HO133,0),IF(HY133="keep",IJ133,0),IF(IT133="keep",JE133,0))</f>
        <v>0</v>
      </c>
      <c r="AL133" s="5">
        <f>R133-S132</f>
        <v>0</v>
      </c>
      <c r="AM133" s="5">
        <f>T133-U132</f>
        <v>0</v>
      </c>
      <c r="AN133" s="5">
        <f>AN132</f>
        <v>1</v>
      </c>
      <c r="AO133" s="5">
        <f>AO132+AH133</f>
        <v>0.3939855391088584</v>
      </c>
      <c r="AP133" s="5">
        <f>AP132+AL133</f>
        <v>-4.440892098500626e-16</v>
      </c>
      <c r="AQ133" s="5">
        <f>AN133+AO133+AP133</f>
        <v>1.393985539108858</v>
      </c>
      <c r="AR133" s="5">
        <f>S133-AQ133</f>
        <v>2.220446049250313e-16</v>
      </c>
      <c r="AS133" s="5">
        <f>AS132</f>
        <v>0</v>
      </c>
      <c r="AT133" s="5">
        <f>AT132+AI133</f>
        <v>0</v>
      </c>
      <c r="AU133" s="5">
        <f>AU132+AM133</f>
        <v>0</v>
      </c>
      <c r="AV133" s="5">
        <f>AS133+AT133+AU133</f>
        <v>0</v>
      </c>
      <c r="AW133" s="5">
        <f>U133-AV133</f>
        <v>0</v>
      </c>
      <c r="AX133" s="4">
        <v>1.3835226295487582</v>
      </c>
      <c r="AY133" s="4">
        <v>1.3939855391088583</v>
      </c>
      <c r="AZ133" s="5">
        <f>S133-AY133</f>
        <v>0</v>
      </c>
      <c r="BA133" s="4">
        <v>0</v>
      </c>
      <c r="BB133" s="4">
        <v>0</v>
      </c>
      <c r="BC133" s="5">
        <f>U133-BB133</f>
        <v>0</v>
      </c>
      <c r="BD133" s="7">
        <f>SUM(IF(BL133="direct",CE133,0),IF(CG133="direct",CZ133,0),IF(DB133="direct",DU133,0),IF(DW133="direct",EP133,0),IF(ER133="direct",FK133,0),IF(FM133="direct",GF133,0),IF(GH133="direct",HA133,0),IF(HC133="direct",HV133,0),IF(HX133="direct",IQ133,0),IF(IS133="direct",JL133,0))</f>
        <v>0</v>
      </c>
      <c r="BE133" s="7">
        <f>SUM(IF(BL133="treasury",CE133,0),IF(CG133="treasury",CZ133,0),IF(DB133="treasury",DU133,0),IF(DW133="treasury",EP133,0),IF(ER133="treasury",FK133,0),IF(FM133="treasury",GF133,0),IF(GH133="treasury",HA133,0),IF(HC133="treasury",HV133,0),IF(HX133="treasury",IQ133,0),IF(IS133="treasury",JL133,0))</f>
        <v>0.0001915068493150685</v>
      </c>
      <c r="BF133" s="7">
        <f>SUM(IF(BL133="future",CE133,0),IF(CG133="future",CZ133,0),IF(DB133="future",DU133,0),IF(DW133="future",EP133,0),IF(ER133="future",FK133,0),IF(FM133="future",GF133,0),IF(GH133="future",HA133,0),IF(HC133="future",HV133,0),IF(HX133="future",IQ133,0),IF(IS133="future",JL133,0))</f>
        <v>0.007371007371007155</v>
      </c>
      <c r="BG133" s="7">
        <f>SUM(IF(BL133="cash",CE133,0),IF(CG133="cash",CZ133,0),IF(DB133="cash",DU133,0),IF(DW133="cash",EP133,0),IF(ER133="cash",FK133,0),IF(FM133="cash",GF133,0),IF(GH133="cash",HA133,0),IF(HC133="cash",HV133,0),IF(HX133="cash",IQ133,0),IF(IS133="cash",JL133,0))</f>
        <v>0</v>
      </c>
      <c r="BH133" s="7">
        <f>SUM(BD133:BG133)</f>
        <v>0.007562514220322223</v>
      </c>
      <c r="BI133" s="7">
        <f>G133-BH133</f>
        <v>-8.673617379884035e-19</v>
      </c>
      <c r="BJ133" s="9">
        <f>COUNTA(BK133,CF133,DA133,DV133,EQ133,FL133,GG133,HB133,HW133,IR133)</f>
        <v>4</v>
      </c>
      <c r="BK133" t="inlineStr">
        <is>
          <t xml:space="preserve">Treasury collateral</t>
        </is>
      </c>
      <c r="BL133" t="inlineStr">
        <is>
          <t xml:space="preserve">treasury</t>
        </is>
      </c>
      <c r="BM133" t="inlineStr">
        <is>
          <t xml:space="preserve">lease</t>
        </is>
      </c>
      <c r="BN133" t="inlineStr">
        <is>
          <t xml:space="preserve">long</t>
        </is>
      </c>
      <c r="BO133"/>
      <c r="BP133" s="4">
        <v>103.36655655270465</v>
      </c>
      <c r="BQ133" s="4">
        <v>103.38635195627461</v>
      </c>
      <c r="BR133" s="4">
        <v>0.013384625314894049</v>
      </c>
      <c r="BS133" s="6">
        <v>1</v>
      </c>
      <c r="BT133" s="4">
        <v>1.383522629548758</v>
      </c>
      <c r="BU133" s="4">
        <v>1.383522629548758</v>
      </c>
      <c r="BV133" s="4">
        <v>1.383787583608499</v>
      </c>
      <c r="BW133" s="4">
        <v>0.00026495405974098134</v>
      </c>
      <c r="BX133" s="4">
        <v>4.8030156241107846e-17</v>
      </c>
      <c r="BY133" s="4">
        <v>1.669</v>
      </c>
      <c r="BZ133" s="4">
        <v>1.636</v>
      </c>
      <c r="CA133" s="6"/>
      <c r="CB133" s="6"/>
      <c r="CC133" s="6"/>
      <c r="CD133" s="9">
        <v>13</v>
      </c>
      <c r="CE133" s="7">
        <f>IFERROR(BW133/F133,0)</f>
        <v>0.0001915068493150685</v>
      </c>
      <c r="CF133" t="inlineStr">
        <is>
          <t xml:space="preserve">SI69N</t>
        </is>
      </c>
      <c r="CG133" t="inlineStr">
        <is>
          <t xml:space="preserve">future</t>
        </is>
      </c>
      <c r="CH133" t="inlineStr">
        <is>
          <t xml:space="preserve">lease</t>
        </is>
      </c>
      <c r="CI133" t="inlineStr">
        <is>
          <t xml:space="preserve">long</t>
        </is>
      </c>
      <c r="CJ133" t="inlineStr">
        <is>
          <t xml:space="preserve">regular</t>
        </is>
      </c>
      <c r="CK133" s="4">
        <v>1.6280000000000001</v>
      </c>
      <c r="CL133" s="4">
        <v>1.64</v>
      </c>
      <c r="CM133" s="4">
        <v>0.8498296250299495</v>
      </c>
      <c r="CN133" s="6">
        <v>1</v>
      </c>
      <c r="CO133" s="4">
        <v>1.383522629548758</v>
      </c>
      <c r="CP133" s="4">
        <v>0</v>
      </c>
      <c r="CQ133" s="4">
        <v>0</v>
      </c>
      <c r="CR133" s="4">
        <v>0.010197955500359096</v>
      </c>
      <c r="CS133" s="4">
        <v>-0.010197955500359096</v>
      </c>
      <c r="CT133" s="4">
        <v>1.669</v>
      </c>
      <c r="CU133" s="4">
        <v>1.636</v>
      </c>
      <c r="CV133" s="6">
        <v>-0.024565608148591878</v>
      </c>
      <c r="CW133" s="6">
        <v>0.0699</v>
      </c>
      <c r="CX133" s="6">
        <v>0.7596266903258488</v>
      </c>
      <c r="CY133" s="9">
        <v>13</v>
      </c>
      <c r="CZ133" s="7">
        <f>IFERROR(CR133/F133,0)</f>
        <v>0.007371007371007155</v>
      </c>
      <c r="DA133" t="inlineStr">
        <is>
          <t xml:space="preserve">Lease cash / margin / financing</t>
        </is>
      </c>
      <c r="DB133" t="inlineStr">
        <is>
          <t xml:space="preserve">cash</t>
        </is>
      </c>
      <c r="DC133" t="inlineStr">
        <is>
          <t xml:space="preserve">lease</t>
        </is>
      </c>
      <c r="DD133" t="inlineStr">
        <is>
          <t xml:space="preserve">cash</t>
        </is>
      </c>
      <c r="DE133"/>
      <c r="DF133" s="4">
        <v>1</v>
      </c>
      <c r="DG133" s="4">
        <v>1</v>
      </c>
      <c r="DH133" s="4">
        <v>2.220446049250313e-16</v>
      </c>
      <c r="DI133" s="6"/>
      <c r="DJ133" s="4">
        <v>2.220446049250313e-16</v>
      </c>
      <c r="DK133" s="4">
        <v>2.220446049250313e-16</v>
      </c>
      <c r="DL133" s="4">
        <v>0.01019795550035927</v>
      </c>
      <c r="DM133" s="4">
        <v>0</v>
      </c>
      <c r="DN133" s="4">
        <v>0.010197955500359047</v>
      </c>
      <c r="DO133" s="4">
        <v>1.669</v>
      </c>
      <c r="DP133" s="4">
        <v>1.636</v>
      </c>
      <c r="DQ133" s="6"/>
      <c r="DR133" s="6"/>
      <c r="DS133" s="6"/>
      <c r="DT133" s="9"/>
      <c r="DU133" s="7">
        <f>IFERROR(DM133/F133,0)</f>
        <v>0</v>
      </c>
      <c r="DV133" t="inlineStr">
        <is>
          <t xml:space="preserve">Keep cash / margin / financing</t>
        </is>
      </c>
      <c r="DW133" t="inlineStr">
        <is>
          <t xml:space="preserve">cash</t>
        </is>
      </c>
      <c r="DX133" t="inlineStr">
        <is>
          <t xml:space="preserve">keep</t>
        </is>
      </c>
      <c r="DY133" t="inlineStr">
        <is>
          <t xml:space="preserve">cash</t>
        </is>
      </c>
      <c r="DZ133"/>
      <c r="EA133" s="4">
        <v>1</v>
      </c>
      <c r="EB133" s="4">
        <v>1</v>
      </c>
      <c r="EC133" s="4">
        <v>0</v>
      </c>
      <c r="ED133" s="6"/>
      <c r="EE133" s="4">
        <v>0</v>
      </c>
      <c r="EF133" s="4">
        <v>0</v>
      </c>
      <c r="EG133" s="4">
        <v>0</v>
      </c>
      <c r="EH133" s="4">
        <v>0</v>
      </c>
      <c r="EI133" s="4">
        <v>0</v>
      </c>
      <c r="EJ133" s="4">
        <v>1.669</v>
      </c>
      <c r="EK133" s="4">
        <v>1.636</v>
      </c>
      <c r="EL133" s="6"/>
      <c r="EM133" s="6"/>
      <c r="EN133" s="6"/>
      <c r="EO133" s="9"/>
      <c r="EP133" s="7">
        <f>IFERROR(EH133/F133,0)</f>
        <v>0</v>
      </c>
      <c r="EQ133"/>
      <c r="ER133"/>
      <c r="ES133"/>
      <c r="ET133"/>
      <c r="EU133"/>
      <c r="EV133" s="4"/>
      <c r="EW133" s="4"/>
      <c r="EX133" s="4"/>
      <c r="EY133" s="6"/>
      <c r="EZ133" s="4"/>
      <c r="FA133" s="4"/>
      <c r="FB133" s="4"/>
      <c r="FC133" s="4"/>
      <c r="FD133" s="4"/>
      <c r="FE133" s="4"/>
      <c r="FF133" s="4"/>
      <c r="FG133" s="6"/>
      <c r="FH133" s="6"/>
      <c r="FI133" s="6"/>
      <c r="FJ133" s="9"/>
      <c r="FK133"/>
      <c r="FL133"/>
      <c r="FM133"/>
      <c r="FN133"/>
      <c r="FO133"/>
      <c r="FP133"/>
      <c r="FQ133" s="4"/>
      <c r="FR133" s="4"/>
      <c r="FS133" s="4"/>
      <c r="FT133" s="6"/>
      <c r="FU133" s="4"/>
      <c r="FV133" s="4"/>
      <c r="FW133" s="4"/>
      <c r="FX133" s="4"/>
      <c r="FY133" s="4"/>
      <c r="FZ133" s="4"/>
      <c r="GA133" s="4"/>
      <c r="GB133" s="6"/>
      <c r="GC133" s="6"/>
      <c r="GD133" s="6"/>
      <c r="GE133" s="9"/>
      <c r="GF133"/>
      <c r="GG133"/>
      <c r="GH133"/>
      <c r="GI133"/>
      <c r="GJ133"/>
      <c r="GK133"/>
      <c r="GL133" s="4"/>
      <c r="GM133" s="4"/>
      <c r="GN133" s="4"/>
      <c r="GO133" s="6"/>
      <c r="GP133" s="4"/>
      <c r="GQ133" s="4"/>
      <c r="GR133" s="4"/>
      <c r="GS133" s="4"/>
      <c r="GT133" s="4"/>
      <c r="GU133" s="4"/>
      <c r="GV133" s="4"/>
      <c r="GW133" s="6"/>
      <c r="GX133" s="6"/>
      <c r="GY133" s="6"/>
      <c r="GZ133" s="9"/>
      <c r="HA133"/>
      <c r="HB133"/>
      <c r="HC133"/>
      <c r="HD133"/>
      <c r="HE133"/>
      <c r="HF133"/>
      <c r="HG133" s="4"/>
      <c r="HH133" s="4"/>
      <c r="HI133" s="4"/>
      <c r="HJ133" s="6"/>
      <c r="HK133" s="4"/>
      <c r="HL133" s="4"/>
      <c r="HM133" s="4"/>
      <c r="HN133" s="4"/>
      <c r="HO133" s="4"/>
      <c r="HP133" s="4"/>
      <c r="HQ133" s="4"/>
      <c r="HR133" s="6"/>
      <c r="HS133" s="6"/>
      <c r="HT133" s="6"/>
      <c r="HU133" s="9"/>
      <c r="HV133"/>
      <c r="HW133"/>
      <c r="HX133"/>
      <c r="HY133"/>
      <c r="HZ133"/>
      <c r="IA133"/>
      <c r="IB133" s="4"/>
      <c r="IC133" s="4"/>
      <c r="ID133" s="4"/>
      <c r="IE133" s="6"/>
      <c r="IF133" s="4"/>
      <c r="IG133" s="4"/>
      <c r="IH133" s="4"/>
      <c r="II133" s="4"/>
      <c r="IJ133" s="4"/>
      <c r="IK133" s="4"/>
      <c r="IL133" s="4"/>
      <c r="IM133" s="6"/>
      <c r="IN133" s="6"/>
      <c r="IO133" s="6"/>
      <c r="IP133" s="9"/>
      <c r="IQ133"/>
      <c r="IR133"/>
      <c r="IS133"/>
      <c r="IT133"/>
      <c r="IU133"/>
      <c r="IV133"/>
      <c r="IW133" s="4"/>
      <c r="IX133" s="4"/>
      <c r="IY133" s="4"/>
      <c r="IZ133" s="6"/>
      <c r="JA133" s="4"/>
      <c r="JB133" s="4"/>
      <c r="JC133" s="4"/>
      <c r="JD133" s="4"/>
      <c r="JE133" s="4"/>
      <c r="JF133" s="4"/>
      <c r="JG133" s="4"/>
      <c r="JH133" s="6"/>
      <c r="JI133" s="6"/>
      <c r="JJ133" s="6"/>
      <c r="JK133" s="9"/>
      <c r="JL133"/>
    </row>
    <row r="134">
      <c r="A134" s="8">
        <v>25401</v>
      </c>
      <c r="B134" s="8">
        <v>25402</v>
      </c>
      <c r="C134" s="9">
        <f>B134-A134</f>
        <v>1</v>
      </c>
      <c r="D134" s="8">
        <v>25401</v>
      </c>
      <c r="E134" t="inlineStr">
        <is>
          <t xml:space="preserve">neutral</t>
        </is>
      </c>
      <c r="F134" s="4">
        <v>1.393985539108858</v>
      </c>
      <c r="G134" s="6">
        <v>0.010384348728941404</v>
      </c>
      <c r="H134" s="7">
        <f>SUM(CE134,CZ134,DU134,EP134,FK134,GF134,HA134,HV134,IQ134,JL134)</f>
        <v>0.010384348728941404</v>
      </c>
      <c r="I134" s="7">
        <f>G134-H134</f>
        <v>0</v>
      </c>
      <c r="J134" s="5">
        <f>F134*(1+H134)</f>
        <v>1.4084611710700659</v>
      </c>
      <c r="K134" s="4">
        <v>1.4084611710700659</v>
      </c>
      <c r="L134" s="5">
        <f>K134-J134</f>
        <v>0</v>
      </c>
      <c r="M134" s="4">
        <v>1.636</v>
      </c>
      <c r="N134" s="4">
        <v>1.653</v>
      </c>
      <c r="O134" s="5">
        <f>M134/$M$3</f>
        <v>0.8355464759959141</v>
      </c>
      <c r="P134" s="5">
        <f>N134/$M$3</f>
        <v>0.8442288049029623</v>
      </c>
      <c r="Q134" s="7">
        <f>IFERROR(N134/M134-1,0)</f>
        <v>0.010391198044009897</v>
      </c>
      <c r="R134" s="5">
        <f>SUM(IF(BM134="lease",BU134,0),IF(CH134="lease",CP134,0),IF(DC134="lease",DK134,0),IF(DX134="lease",EF134,0),IF(ES134="lease",FA134,0),IF(FN134="lease",FV134,0),IF(GI134="lease",GQ134,0),IF(HD134="lease",HL134,0),IF(HY134="lease",IG134,0),IF(IT134="lease",JB134,0))</f>
        <v>1.3939855391088583</v>
      </c>
      <c r="S134" s="5">
        <f>SUM(IF(BM134="lease",BV134,0),IF(CH134="lease",CQ134,0),IF(DC134="lease",DL134,0),IF(DX134="lease",EG134,0),IF(ES134="lease",FB134,0),IF(FN134="lease",FW134,0),IF(GI134="lease",GR134,0),IF(HD134="lease",HM134,0),IF(HY134="lease",IH134,0),IF(IT134="lease",JC134,0))</f>
        <v>1.408461171070066</v>
      </c>
      <c r="T134" s="5">
        <f>SUM(IF(BM134="keep",BU134,0),IF(CH134="keep",CP134,0),IF(DC134="keep",DK134,0),IF(DX134="keep",EF134,0),IF(ES134="keep",FA134,0),IF(FN134="keep",FV134,0),IF(GI134="keep",GQ134,0),IF(HD134="keep",HL134,0),IF(HY134="keep",IG134,0),IF(IT134="keep",JB134,0))</f>
        <v>0</v>
      </c>
      <c r="U134" s="5">
        <f>SUM(IF(BM134="keep",BV134,0),IF(CH134="keep",CQ134,0),IF(DC134="keep",DL134,0),IF(DX134="keep",EG134,0),IF(ES134="keep",FB134,0),IF(FN134="keep",FW134,0),IF(GI134="keep",GR134,0),IF(HD134="keep",HM134,0),IF(HY134="keep",IH134,0),IF(IT134="keep",JC134,0))</f>
        <v>0</v>
      </c>
      <c r="V134" s="5">
        <f>R134/O134</f>
        <v>1.668351886048377</v>
      </c>
      <c r="W134" s="5">
        <f>S134/P134</f>
        <v>1.668340576500417</v>
      </c>
      <c r="X134" s="5">
        <f>T134/O134</f>
        <v>0</v>
      </c>
      <c r="Y134" s="5">
        <f>U134/P134</f>
        <v>0</v>
      </c>
      <c r="Z134" s="5">
        <f>V134+X134</f>
        <v>1.668351886048377</v>
      </c>
      <c r="AA134" s="7">
        <f>IFERROR(W134/V134-1,0)</f>
        <v>-0.000006778874441670801</v>
      </c>
      <c r="AB134" s="7">
        <f>IFERROR((W134-V134)/Z134,0)</f>
        <v>-0.000006778874441724742</v>
      </c>
      <c r="AC134" s="7">
        <f>IFERROR(Y134/X134-1,0)</f>
        <v>0</v>
      </c>
      <c r="AD134" s="7">
        <f>IFERROR((Y134-X134)/Z134,0)</f>
        <v>0</v>
      </c>
      <c r="AE134" s="7">
        <f>AB134+AD134</f>
        <v>-0.000006778874441724742</v>
      </c>
      <c r="AF134" s="7">
        <f>(1+Q134)*(1+AE134)-1</f>
        <v>0.01038434872894145</v>
      </c>
      <c r="AG134" s="7">
        <f>G134-AF134</f>
        <v>-4.683753385137379e-17</v>
      </c>
      <c r="AH134" s="5">
        <f>SUM(IF(BM134="lease",BW134,0),IF(CH134="lease",CR134,0),IF(DC134="lease",DM134,0),IF(DX134="lease",EH134,0),IF(ES134="lease",FC134,0),IF(FN134="lease",FX134,0),IF(GI134="lease",GS134,0),IF(HD134="lease",HN134,0),IF(HY134="lease",II134,0),IF(IT134="lease",JD134,0))</f>
        <v>0.014475631961207767</v>
      </c>
      <c r="AI134" s="5">
        <f>SUM(IF(BM134="keep",BW134,0),IF(CH134="keep",CR134,0),IF(DC134="keep",DM134,0),IF(DX134="keep",EH134,0),IF(ES134="keep",FC134,0),IF(FN134="keep",FX134,0),IF(GI134="keep",GS134,0),IF(HD134="keep",HN134,0),IF(HY134="keep",II134,0),IF(IT134="keep",JD134,0))</f>
        <v>0</v>
      </c>
      <c r="AJ134" s="5">
        <f>SUM(IF(BM134="lease",BX134,0),IF(CH134="lease",CS134,0),IF(DC134="lease",DN134,0),IF(DX134="lease",EI134,0),IF(ES134="lease",FD134,0),IF(FN134="lease",FY134,0),IF(GI134="lease",GT134,0),IF(HD134="lease",HO134,0),IF(HY134="lease",IJ134,0),IF(IT134="lease",JE134,0))</f>
        <v>0</v>
      </c>
      <c r="AK134" s="5">
        <f>SUM(IF(BM134="keep",BX134,0),IF(CH134="keep",CS134,0),IF(DC134="keep",DN134,0),IF(DX134="keep",EI134,0),IF(ES134="keep",FD134,0),IF(FN134="keep",FY134,0),IF(GI134="keep",GT134,0),IF(HD134="keep",HO134,0),IF(HY134="keep",IJ134,0),IF(IT134="keep",JE134,0))</f>
        <v>0</v>
      </c>
      <c r="AL134" s="5">
        <f>R134-S133</f>
        <v>0</v>
      </c>
      <c r="AM134" s="5">
        <f>T134-U133</f>
        <v>0</v>
      </c>
      <c r="AN134" s="5">
        <f>AN133</f>
        <v>1</v>
      </c>
      <c r="AO134" s="5">
        <f>AO133+AH134</f>
        <v>0.4084611710700662</v>
      </c>
      <c r="AP134" s="5">
        <f>AP133+AL134</f>
        <v>-4.440892098500626e-16</v>
      </c>
      <c r="AQ134" s="5">
        <f>AN134+AO134+AP134</f>
        <v>1.4084611710700656</v>
      </c>
      <c r="AR134" s="5">
        <f>S134-AQ134</f>
        <v>4.440892098500626e-16</v>
      </c>
      <c r="AS134" s="5">
        <f>AS133</f>
        <v>0</v>
      </c>
      <c r="AT134" s="5">
        <f>AT133+AI134</f>
        <v>0</v>
      </c>
      <c r="AU134" s="5">
        <f>AU133+AM134</f>
        <v>0</v>
      </c>
      <c r="AV134" s="5">
        <f>AS134+AT134+AU134</f>
        <v>0</v>
      </c>
      <c r="AW134" s="5">
        <f>U134-AV134</f>
        <v>0</v>
      </c>
      <c r="AX134" s="4">
        <v>1.3939855391088583</v>
      </c>
      <c r="AY134" s="4">
        <v>1.408461171070066</v>
      </c>
      <c r="AZ134" s="5">
        <f>S134-AY134</f>
        <v>0</v>
      </c>
      <c r="BA134" s="4">
        <v>0</v>
      </c>
      <c r="BB134" s="4">
        <v>0</v>
      </c>
      <c r="BC134" s="5">
        <f>U134-BB134</f>
        <v>0</v>
      </c>
      <c r="BD134" s="7">
        <f>SUM(IF(BL134="direct",CE134,0),IF(CG134="direct",CZ134,0),IF(DB134="direct",DU134,0),IF(DW134="direct",EP134,0),IF(ER134="direct",FK134,0),IF(FM134="direct",GF134,0),IF(GH134="direct",HA134,0),IF(HC134="direct",HV134,0),IF(HX134="direct",IQ134,0),IF(IS134="direct",JL134,0))</f>
        <v>0.010384348728941404</v>
      </c>
      <c r="BE134" s="7">
        <f>SUM(IF(BL134="treasury",CE134,0),IF(CG134="treasury",CZ134,0),IF(DB134="treasury",DU134,0),IF(DW134="treasury",EP134,0),IF(ER134="treasury",FK134,0),IF(FM134="treasury",GF134,0),IF(GH134="treasury",HA134,0),IF(HC134="treasury",HV134,0),IF(HX134="treasury",IQ134,0),IF(IS134="treasury",JL134,0))</f>
        <v>0</v>
      </c>
      <c r="BF134" s="7">
        <f>SUM(IF(BL134="future",CE134,0),IF(CG134="future",CZ134,0),IF(DB134="future",DU134,0),IF(DW134="future",EP134,0),IF(ER134="future",FK134,0),IF(FM134="future",GF134,0),IF(GH134="future",HA134,0),IF(HC134="future",HV134,0),IF(HX134="future",IQ134,0),IF(IS134="future",JL134,0))</f>
        <v>0</v>
      </c>
      <c r="BG134" s="7">
        <f>SUM(IF(BL134="cash",CE134,0),IF(CG134="cash",CZ134,0),IF(DB134="cash",DU134,0),IF(DW134="cash",EP134,0),IF(ER134="cash",FK134,0),IF(FM134="cash",GF134,0),IF(GH134="cash",HA134,0),IF(HC134="cash",HV134,0),IF(HX134="cash",IQ134,0),IF(IS134="cash",JL134,0))</f>
        <v>0</v>
      </c>
      <c r="BH134" s="7">
        <f>SUM(BD134:BG134)</f>
        <v>0.010384348728941404</v>
      </c>
      <c r="BI134" s="7">
        <f>G134-BH134</f>
        <v>0</v>
      </c>
      <c r="BJ134" s="9">
        <f>COUNTA(BK134,CF134,DA134,DV134,EQ134,FL134,GG134,HB134,HW134,IR134)</f>
        <v>3</v>
      </c>
      <c r="BK134" t="inlineStr">
        <is>
          <t xml:space="preserve">Direct commodity holding</t>
        </is>
      </c>
      <c r="BL134" t="inlineStr">
        <is>
          <t xml:space="preserve">direct</t>
        </is>
      </c>
      <c r="BM134" t="inlineStr">
        <is>
          <t xml:space="preserve">lease</t>
        </is>
      </c>
      <c r="BN134" t="inlineStr">
        <is>
          <t xml:space="preserve">long</t>
        </is>
      </c>
      <c r="BO134"/>
      <c r="BP134" s="4">
        <v>1.636</v>
      </c>
      <c r="BQ134" s="4">
        <v>1.653</v>
      </c>
      <c r="BR134" s="4">
        <v>0.8520694004332874</v>
      </c>
      <c r="BS134" s="6">
        <v>1</v>
      </c>
      <c r="BT134" s="4">
        <v>1.393985539108858</v>
      </c>
      <c r="BU134" s="4">
        <v>1.393985539108858</v>
      </c>
      <c r="BV134" s="4">
        <v>1.408470718916224</v>
      </c>
      <c r="BW134" s="4">
        <v>0.014475631961207767</v>
      </c>
      <c r="BX134" s="4">
        <v>0.000009547846158199438</v>
      </c>
      <c r="BY134" s="4">
        <v>1.636</v>
      </c>
      <c r="BZ134" s="4">
        <v>1.653</v>
      </c>
      <c r="CA134" s="6"/>
      <c r="CB134" s="6"/>
      <c r="CC134" s="6"/>
      <c r="CD134" s="9"/>
      <c r="CE134" s="7">
        <f>IFERROR(BW134/F134,0)</f>
        <v>0.010384348728941404</v>
      </c>
      <c r="CF134" t="inlineStr">
        <is>
          <t xml:space="preserve">Lease cash / margin / financing</t>
        </is>
      </c>
      <c r="CG134" t="inlineStr">
        <is>
          <t xml:space="preserve">cash</t>
        </is>
      </c>
      <c r="CH134" t="inlineStr">
        <is>
          <t xml:space="preserve">lease</t>
        </is>
      </c>
      <c r="CI134" t="inlineStr">
        <is>
          <t xml:space="preserve">cash</t>
        </is>
      </c>
      <c r="CJ134"/>
      <c r="CK134" s="4">
        <v>1</v>
      </c>
      <c r="CL134" s="4">
        <v>1</v>
      </c>
      <c r="CM134" s="4">
        <v>2.220446049250313e-16</v>
      </c>
      <c r="CN134" s="6"/>
      <c r="CO134" s="4">
        <v>2.220446049250313e-16</v>
      </c>
      <c r="CP134" s="4">
        <v>2.220446049250313e-16</v>
      </c>
      <c r="CQ134" s="4">
        <v>-0.000009547846157977394</v>
      </c>
      <c r="CR134" s="4">
        <v>0</v>
      </c>
      <c r="CS134" s="4">
        <v>-0.000009547846158199438</v>
      </c>
      <c r="CT134" s="4">
        <v>1.636</v>
      </c>
      <c r="CU134" s="4">
        <v>1.653</v>
      </c>
      <c r="CV134" s="6"/>
      <c r="CW134" s="6"/>
      <c r="CX134" s="6"/>
      <c r="CY134" s="9"/>
      <c r="CZ134" s="7">
        <f>IFERROR(CR134/F134,0)</f>
        <v>0</v>
      </c>
      <c r="DA134" t="inlineStr">
        <is>
          <t xml:space="preserve">Keep cash / margin / financing</t>
        </is>
      </c>
      <c r="DB134" t="inlineStr">
        <is>
          <t xml:space="preserve">cash</t>
        </is>
      </c>
      <c r="DC134" t="inlineStr">
        <is>
          <t xml:space="preserve">keep</t>
        </is>
      </c>
      <c r="DD134" t="inlineStr">
        <is>
          <t xml:space="preserve">cash</t>
        </is>
      </c>
      <c r="DE134"/>
      <c r="DF134" s="4">
        <v>1</v>
      </c>
      <c r="DG134" s="4">
        <v>1</v>
      </c>
      <c r="DH134" s="4">
        <v>0</v>
      </c>
      <c r="DI134" s="6"/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1.636</v>
      </c>
      <c r="DP134" s="4">
        <v>1.653</v>
      </c>
      <c r="DQ134" s="6"/>
      <c r="DR134" s="6"/>
      <c r="DS134" s="6"/>
      <c r="DT134" s="9"/>
      <c r="DU134" s="7">
        <f>IFERROR(DM134/F134,0)</f>
        <v>0</v>
      </c>
      <c r="DV134"/>
      <c r="DW134"/>
      <c r="DX134"/>
      <c r="DY134"/>
      <c r="DZ134"/>
      <c r="EA134" s="4"/>
      <c r="EB134" s="4"/>
      <c r="EC134" s="4"/>
      <c r="ED134" s="6"/>
      <c r="EE134" s="4"/>
      <c r="EF134" s="4"/>
      <c r="EG134" s="4"/>
      <c r="EH134" s="4"/>
      <c r="EI134" s="4"/>
      <c r="EJ134" s="4"/>
      <c r="EK134" s="4"/>
      <c r="EL134" s="6"/>
      <c r="EM134" s="6"/>
      <c r="EN134" s="6"/>
      <c r="EO134" s="9"/>
      <c r="EP134"/>
      <c r="EQ134"/>
      <c r="ER134"/>
      <c r="ES134"/>
      <c r="ET134"/>
      <c r="EU134"/>
      <c r="EV134" s="4"/>
      <c r="EW134" s="4"/>
      <c r="EX134" s="4"/>
      <c r="EY134" s="6"/>
      <c r="EZ134" s="4"/>
      <c r="FA134" s="4"/>
      <c r="FB134" s="4"/>
      <c r="FC134" s="4"/>
      <c r="FD134" s="4"/>
      <c r="FE134" s="4"/>
      <c r="FF134" s="4"/>
      <c r="FG134" s="6"/>
      <c r="FH134" s="6"/>
      <c r="FI134" s="6"/>
      <c r="FJ134" s="9"/>
      <c r="FK134"/>
      <c r="FL134"/>
      <c r="FM134"/>
      <c r="FN134"/>
      <c r="FO134"/>
      <c r="FP134"/>
      <c r="FQ134" s="4"/>
      <c r="FR134" s="4"/>
      <c r="FS134" s="4"/>
      <c r="FT134" s="6"/>
      <c r="FU134" s="4"/>
      <c r="FV134" s="4"/>
      <c r="FW134" s="4"/>
      <c r="FX134" s="4"/>
      <c r="FY134" s="4"/>
      <c r="FZ134" s="4"/>
      <c r="GA134" s="4"/>
      <c r="GB134" s="6"/>
      <c r="GC134" s="6"/>
      <c r="GD134" s="6"/>
      <c r="GE134" s="9"/>
      <c r="GF134"/>
      <c r="GG134"/>
      <c r="GH134"/>
      <c r="GI134"/>
      <c r="GJ134"/>
      <c r="GK134"/>
      <c r="GL134" s="4"/>
      <c r="GM134" s="4"/>
      <c r="GN134" s="4"/>
      <c r="GO134" s="6"/>
      <c r="GP134" s="4"/>
      <c r="GQ134" s="4"/>
      <c r="GR134" s="4"/>
      <c r="GS134" s="4"/>
      <c r="GT134" s="4"/>
      <c r="GU134" s="4"/>
      <c r="GV134" s="4"/>
      <c r="GW134" s="6"/>
      <c r="GX134" s="6"/>
      <c r="GY134" s="6"/>
      <c r="GZ134" s="9"/>
      <c r="HA134"/>
      <c r="HB134"/>
      <c r="HC134"/>
      <c r="HD134"/>
      <c r="HE134"/>
      <c r="HF134"/>
      <c r="HG134" s="4"/>
      <c r="HH134" s="4"/>
      <c r="HI134" s="4"/>
      <c r="HJ134" s="6"/>
      <c r="HK134" s="4"/>
      <c r="HL134" s="4"/>
      <c r="HM134" s="4"/>
      <c r="HN134" s="4"/>
      <c r="HO134" s="4"/>
      <c r="HP134" s="4"/>
      <c r="HQ134" s="4"/>
      <c r="HR134" s="6"/>
      <c r="HS134" s="6"/>
      <c r="HT134" s="6"/>
      <c r="HU134" s="9"/>
      <c r="HV134"/>
      <c r="HW134"/>
      <c r="HX134"/>
      <c r="HY134"/>
      <c r="HZ134"/>
      <c r="IA134"/>
      <c r="IB134" s="4"/>
      <c r="IC134" s="4"/>
      <c r="ID134" s="4"/>
      <c r="IE134" s="6"/>
      <c r="IF134" s="4"/>
      <c r="IG134" s="4"/>
      <c r="IH134" s="4"/>
      <c r="II134" s="4"/>
      <c r="IJ134" s="4"/>
      <c r="IK134" s="4"/>
      <c r="IL134" s="4"/>
      <c r="IM134" s="6"/>
      <c r="IN134" s="6"/>
      <c r="IO134" s="6"/>
      <c r="IP134" s="9"/>
      <c r="IQ134"/>
      <c r="IR134"/>
      <c r="IS134"/>
      <c r="IT134"/>
      <c r="IU134"/>
      <c r="IV134"/>
      <c r="IW134" s="4"/>
      <c r="IX134" s="4"/>
      <c r="IY134" s="4"/>
      <c r="IZ134" s="6"/>
      <c r="JA134" s="4"/>
      <c r="JB134" s="4"/>
      <c r="JC134" s="4"/>
      <c r="JD134" s="4"/>
      <c r="JE134" s="4"/>
      <c r="JF134" s="4"/>
      <c r="JG134" s="4"/>
      <c r="JH134" s="6"/>
      <c r="JI134" s="6"/>
      <c r="JJ134" s="6"/>
      <c r="JK134" s="9"/>
      <c r="JL134"/>
    </row>
    <row r="135">
      <c r="A135" s="8">
        <v>25402</v>
      </c>
      <c r="B135" s="8">
        <v>25406</v>
      </c>
      <c r="C135" s="9">
        <f>B135-A135</f>
        <v>4</v>
      </c>
      <c r="D135" s="8">
        <v>25402</v>
      </c>
      <c r="E135" t="inlineStr">
        <is>
          <t xml:space="preserve">positive</t>
        </is>
      </c>
      <c r="F135" s="4">
        <v>1.4084611710700659</v>
      </c>
      <c r="G135" s="6">
        <v>0.011725174686866005</v>
      </c>
      <c r="H135" s="7">
        <f>SUM(CE135,CZ135,DU135,EP135,FK135,GF135,HA135,HV135,IQ135,JL135)</f>
        <v>0.011725174686866005</v>
      </c>
      <c r="I135" s="7">
        <f>G135-H135</f>
        <v>0</v>
      </c>
      <c r="J135" s="5">
        <f>F135*(1+H135)</f>
        <v>1.4249756243405303</v>
      </c>
      <c r="K135" s="4">
        <v>1.4249756243405303</v>
      </c>
      <c r="L135" s="5">
        <f>K135-J135</f>
        <v>0</v>
      </c>
      <c r="M135" s="4">
        <v>1.653</v>
      </c>
      <c r="N135" s="4">
        <v>1.675</v>
      </c>
      <c r="O135" s="5">
        <f>M135/$M$3</f>
        <v>0.8442288049029623</v>
      </c>
      <c r="P135" s="5">
        <f>N135/$M$3</f>
        <v>0.8554647599591421</v>
      </c>
      <c r="Q135" s="7">
        <f>IFERROR(N135/M135-1,0)</f>
        <v>0.01330913490623109</v>
      </c>
      <c r="R135" s="5">
        <f>SUM(IF(BM135="lease",BU135,0),IF(CH135="lease",CP135,0),IF(DC135="lease",DK135,0),IF(DX135="lease",EF135,0),IF(ES135="lease",FA135,0),IF(FN135="lease",FV135,0),IF(GI135="lease",GQ135,0),IF(HD135="lease",HL135,0),IF(HY135="lease",IG135,0),IF(IT135="lease",JB135,0))</f>
        <v>1.408461171070066</v>
      </c>
      <c r="S135" s="5">
        <f>SUM(IF(BM135="lease",BV135,0),IF(CH135="lease",CQ135,0),IF(DC135="lease",DL135,0),IF(DX135="lease",EG135,0),IF(ES135="lease",FB135,0),IF(FN135="lease",FW135,0),IF(GI135="lease",GR135,0),IF(HD135="lease",HM135,0),IF(HY135="lease",IH135,0),IF(IT135="lease",JC135,0))</f>
        <v>1.4249756243405305</v>
      </c>
      <c r="T135" s="5">
        <f>SUM(IF(BM135="keep",BU135,0),IF(CH135="keep",CP135,0),IF(DC135="keep",DK135,0),IF(DX135="keep",EF135,0),IF(ES135="keep",FA135,0),IF(FN135="keep",FV135,0),IF(GI135="keep",GQ135,0),IF(HD135="keep",HL135,0),IF(HY135="keep",IG135,0),IF(IT135="keep",JB135,0))</f>
        <v>0</v>
      </c>
      <c r="U135" s="5">
        <f>SUM(IF(BM135="keep",BV135,0),IF(CH135="keep",CQ135,0),IF(DC135="keep",DL135,0),IF(DX135="keep",EG135,0),IF(ES135="keep",FB135,0),IF(FN135="keep",FW135,0),IF(GI135="keep",GR135,0),IF(HD135="keep",HM135,0),IF(HY135="keep",IH135,0),IF(IT135="keep",JC135,0))</f>
        <v>0</v>
      </c>
      <c r="V135" s="5">
        <f>R135/O135</f>
        <v>1.668340576500417</v>
      </c>
      <c r="W135" s="5">
        <f>S135/P135</f>
        <v>1.665732699975378</v>
      </c>
      <c r="X135" s="5">
        <f>T135/O135</f>
        <v>0</v>
      </c>
      <c r="Y135" s="5">
        <f>U135/P135</f>
        <v>0</v>
      </c>
      <c r="Z135" s="5">
        <f>V135+X135</f>
        <v>1.668340576500417</v>
      </c>
      <c r="AA135" s="7">
        <f>IFERROR(W135/V135-1,0)</f>
        <v>-0.0015631559657376393</v>
      </c>
      <c r="AB135" s="7">
        <f>IFERROR((W135-V135)/Z135,0)</f>
        <v>-0.0015631559657376393</v>
      </c>
      <c r="AC135" s="7">
        <f>IFERROR(Y135/X135-1,0)</f>
        <v>0</v>
      </c>
      <c r="AD135" s="7">
        <f>IFERROR((Y135-X135)/Z135,0)</f>
        <v>0</v>
      </c>
      <c r="AE135" s="7">
        <f>AB135+AD135</f>
        <v>-0.0015631559657376393</v>
      </c>
      <c r="AF135" s="7">
        <f>(1+Q135)*(1+AE135)-1</f>
        <v>0.011725174686866069</v>
      </c>
      <c r="AG135" s="7">
        <f>G135-AF135</f>
        <v>-6.418476861114186e-17</v>
      </c>
      <c r="AH135" s="5">
        <f>SUM(IF(BM135="lease",BW135,0),IF(CH135="lease",CR135,0),IF(DC135="lease",DM135,0),IF(DX135="lease",EH135,0),IF(ES135="lease",FC135,0),IF(FN135="lease",FX135,0),IF(GI135="lease",GS135,0),IF(HD135="lease",HN135,0),IF(HY135="lease",II135,0),IF(IT135="lease",JD135,0))</f>
        <v>0.016514453270464385</v>
      </c>
      <c r="AI135" s="5">
        <f>SUM(IF(BM135="keep",BW135,0),IF(CH135="keep",CR135,0),IF(DC135="keep",DM135,0),IF(DX135="keep",EH135,0),IF(ES135="keep",FC135,0),IF(FN135="keep",FX135,0),IF(GI135="keep",GS135,0),IF(HD135="keep",HN135,0),IF(HY135="keep",II135,0),IF(IT135="keep",JD135,0))</f>
        <v>0</v>
      </c>
      <c r="AJ135" s="5">
        <f>SUM(IF(BM135="lease",BX135,0),IF(CH135="lease",CS135,0),IF(DC135="lease",DN135,0),IF(DX135="lease",EI135,0),IF(ES135="lease",FD135,0),IF(FN135="lease",FY135,0),IF(GI135="lease",GT135,0),IF(HD135="lease",HO135,0),IF(HY135="lease",IJ135,0),IF(IT135="lease",JE135,0))</f>
        <v>0</v>
      </c>
      <c r="AK135" s="5">
        <f>SUM(IF(BM135="keep",BX135,0),IF(CH135="keep",CS135,0),IF(DC135="keep",DN135,0),IF(DX135="keep",EI135,0),IF(ES135="keep",FD135,0),IF(FN135="keep",FY135,0),IF(GI135="keep",GT135,0),IF(HD135="keep",HO135,0),IF(HY135="keep",IJ135,0),IF(IT135="keep",JE135,0))</f>
        <v>0</v>
      </c>
      <c r="AL135" s="5">
        <f>R135-S134</f>
        <v>0</v>
      </c>
      <c r="AM135" s="5">
        <f>T135-U134</f>
        <v>0</v>
      </c>
      <c r="AN135" s="5">
        <f>AN134</f>
        <v>1</v>
      </c>
      <c r="AO135" s="5">
        <f>AO134+AH135</f>
        <v>0.4249756243405306</v>
      </c>
      <c r="AP135" s="5">
        <f>AP134+AL135</f>
        <v>-4.440892098500626e-16</v>
      </c>
      <c r="AQ135" s="5">
        <f>AN135+AO135+AP135</f>
        <v>1.4249756243405303</v>
      </c>
      <c r="AR135" s="5">
        <f>S135-AQ135</f>
        <v>2.220446049250313e-16</v>
      </c>
      <c r="AS135" s="5">
        <f>AS134</f>
        <v>0</v>
      </c>
      <c r="AT135" s="5">
        <f>AT134+AI135</f>
        <v>0</v>
      </c>
      <c r="AU135" s="5">
        <f>AU134+AM135</f>
        <v>0</v>
      </c>
      <c r="AV135" s="5">
        <f>AS135+AT135+AU135</f>
        <v>0</v>
      </c>
      <c r="AW135" s="5">
        <f>U135-AV135</f>
        <v>0</v>
      </c>
      <c r="AX135" s="4">
        <v>1.408461171070066</v>
      </c>
      <c r="AY135" s="4">
        <v>1.4249756243405305</v>
      </c>
      <c r="AZ135" s="5">
        <f>S135-AY135</f>
        <v>0</v>
      </c>
      <c r="BA135" s="4">
        <v>0</v>
      </c>
      <c r="BB135" s="4">
        <v>0</v>
      </c>
      <c r="BC135" s="5">
        <f>U135-BB135</f>
        <v>0</v>
      </c>
      <c r="BD135" s="7">
        <f>SUM(IF(BL135="direct",CE135,0),IF(CG135="direct",CZ135,0),IF(DB135="direct",DU135,0),IF(DW135="direct",EP135,0),IF(ER135="direct",FK135,0),IF(FM135="direct",GF135,0),IF(GH135="direct",HA135,0),IF(HC135="direct",HV135,0),IF(HX135="direct",IQ135,0),IF(IS135="direct",JL135,0))</f>
        <v>0.012371592019589386</v>
      </c>
      <c r="BE135" s="7">
        <f>SUM(IF(BL135="treasury",CE135,0),IF(CG135="treasury",CZ135,0),IF(DB135="treasury",DU135,0),IF(DW135="treasury",EP135,0),IF(ER135="treasury",FK135,0),IF(FM135="treasury",GF135,0),IF(GH135="treasury",HA135,0),IF(HC135="treasury",HV135,0),IF(HX135="treasury",IQ135,0),IF(IS135="treasury",JL135,0))</f>
        <v>0.00005294344936074038</v>
      </c>
      <c r="BF135" s="7">
        <f>SUM(IF(BL135="future",CE135,0),IF(CG135="future",CZ135,0),IF(DB135="future",DU135,0),IF(DW135="future",EP135,0),IF(ER135="future",FK135,0),IF(FM135="future",GF135,0),IF(GH135="future",HA135,0),IF(HC135="future",HV135,0),IF(HX135="future",IQ135,0),IF(IS135="future",JL135,0))</f>
        <v>-0.0006993607820841228</v>
      </c>
      <c r="BG135" s="7">
        <f>SUM(IF(BL135="cash",CE135,0),IF(CG135="cash",CZ135,0),IF(DB135="cash",DU135,0),IF(DW135="cash",EP135,0),IF(ER135="cash",FK135,0),IF(FM135="cash",GF135,0),IF(GH135="cash",HA135,0),IF(HC135="cash",HV135,0),IF(HX135="cash",IQ135,0),IF(IS135="cash",JL135,0))</f>
        <v>0</v>
      </c>
      <c r="BH135" s="7">
        <f>SUM(BD135:BG135)</f>
        <v>0.011725174686866005</v>
      </c>
      <c r="BI135" s="7">
        <f>G135-BH135</f>
        <v>0</v>
      </c>
      <c r="BJ135" s="9">
        <f>COUNTA(BK135,CF135,DA135,DV135,EQ135,FL135,GG135,HB135,HW135,IR135)</f>
        <v>6</v>
      </c>
      <c r="BK135" t="inlineStr">
        <is>
          <t xml:space="preserve">Direct commodity holding</t>
        </is>
      </c>
      <c r="BL135" t="inlineStr">
        <is>
          <t xml:space="preserve">direct</t>
        </is>
      </c>
      <c r="BM135" t="inlineStr">
        <is>
          <t xml:space="preserve">lease</t>
        </is>
      </c>
      <c r="BN135" t="inlineStr">
        <is>
          <t xml:space="preserve">long</t>
        </is>
      </c>
      <c r="BO135"/>
      <c r="BP135" s="4">
        <v>1.653</v>
      </c>
      <c r="BQ135" s="4">
        <v>1.675</v>
      </c>
      <c r="BR135" s="4">
        <v>0.7936750308078602</v>
      </c>
      <c r="BS135" s="6">
        <v>0.9314739041962048</v>
      </c>
      <c r="BT135" s="4">
        <v>1.311944825925393</v>
      </c>
      <c r="BU135" s="4">
        <v>1.311944825925393</v>
      </c>
      <c r="BV135" s="4">
        <v>1.3294056766031659</v>
      </c>
      <c r="BW135" s="4">
        <v>0.01742490698391195</v>
      </c>
      <c r="BX135" s="4">
        <v>0.00003594369386097224</v>
      </c>
      <c r="BY135" s="4">
        <v>1.653</v>
      </c>
      <c r="BZ135" s="4">
        <v>1.675</v>
      </c>
      <c r="CA135" s="6"/>
      <c r="CB135" s="6"/>
      <c r="CC135" s="6"/>
      <c r="CD135" s="9"/>
      <c r="CE135" s="7">
        <f>IFERROR(BW135/F135,0)</f>
        <v>0.012371592019589386</v>
      </c>
      <c r="CF135" t="inlineStr">
        <is>
          <t xml:space="preserve">Treasury collateral</t>
        </is>
      </c>
      <c r="CG135" t="inlineStr">
        <is>
          <t xml:space="preserve">treasury</t>
        </is>
      </c>
      <c r="CH135" t="inlineStr">
        <is>
          <t xml:space="preserve">lease</t>
        </is>
      </c>
      <c r="CI135" t="inlineStr">
        <is>
          <t xml:space="preserve">long</t>
        </is>
      </c>
      <c r="CJ135"/>
      <c r="CK135" s="4">
        <v>103.4062927759396</v>
      </c>
      <c r="CL135" s="4">
        <v>103.4861847610432</v>
      </c>
      <c r="CM135" s="4">
        <v>0.000933370132065407</v>
      </c>
      <c r="CN135" s="6">
        <v>0.06852609580379518</v>
      </c>
      <c r="CO135" s="4">
        <v>0.09651634514467289</v>
      </c>
      <c r="CP135" s="4">
        <v>0.09651634514467289</v>
      </c>
      <c r="CQ135" s="4">
        <v>0.09659091393736001</v>
      </c>
      <c r="CR135" s="4">
        <v>0.00007456879268711713</v>
      </c>
      <c r="CS135" s="4">
        <v>4.228388472693467e-18</v>
      </c>
      <c r="CT135" s="4">
        <v>1.653</v>
      </c>
      <c r="CU135" s="4">
        <v>1.675</v>
      </c>
      <c r="CV135" s="6"/>
      <c r="CW135" s="6"/>
      <c r="CX135" s="6"/>
      <c r="CY135" s="9">
        <v>11</v>
      </c>
      <c r="CZ135" s="7">
        <f>IFERROR(CR135/F135,0)</f>
        <v>0.00005294344936074038</v>
      </c>
      <c r="DA135" t="inlineStr">
        <is>
          <t xml:space="preserve">SI69N</t>
        </is>
      </c>
      <c r="DB135" t="inlineStr">
        <is>
          <t xml:space="preserve">future</t>
        </is>
      </c>
      <c r="DC135" t="inlineStr">
        <is>
          <t xml:space="preserve">lease</t>
        </is>
      </c>
      <c r="DD135" t="inlineStr">
        <is>
          <t xml:space="preserve">long</t>
        </is>
      </c>
      <c r="DE135" t="inlineStr">
        <is>
          <t xml:space="preserve">regular</t>
        </is>
      </c>
      <c r="DF135" s="4">
        <v>1.656</v>
      </c>
      <c r="DG135" s="4">
        <v>1.64</v>
      </c>
      <c r="DH135" s="4">
        <v>0.03958004791002268</v>
      </c>
      <c r="DI135" s="6">
        <v>0.04653629129811272</v>
      </c>
      <c r="DJ135" s="4">
        <v>0.06554455933899755</v>
      </c>
      <c r="DK135" s="4">
        <v>0</v>
      </c>
      <c r="DL135" s="4">
        <v>0</v>
      </c>
      <c r="DM135" s="4">
        <v>-0.0006332807665603657</v>
      </c>
      <c r="DN135" s="4">
        <v>0.0006332807665603657</v>
      </c>
      <c r="DO135" s="4">
        <v>1.653</v>
      </c>
      <c r="DP135" s="4">
        <v>1.675</v>
      </c>
      <c r="DQ135" s="6">
        <v>0.001814882032667775</v>
      </c>
      <c r="DR135" s="6">
        <v>0.0705</v>
      </c>
      <c r="DS135" s="6">
        <v>0.010278914370569277</v>
      </c>
      <c r="DT135" s="9">
        <v>11</v>
      </c>
      <c r="DU135" s="7">
        <f>IFERROR(DM135/F135,0)</f>
        <v>-0.00044962600288031817</v>
      </c>
      <c r="DV135" t="inlineStr">
        <is>
          <t xml:space="preserve">SI69U</t>
        </is>
      </c>
      <c r="DW135" t="inlineStr">
        <is>
          <t xml:space="preserve">future</t>
        </is>
      </c>
      <c r="DX135" t="inlineStr">
        <is>
          <t xml:space="preserve">lease</t>
        </is>
      </c>
      <c r="DY135" t="inlineStr">
        <is>
          <t xml:space="preserve">long</t>
        </is>
      </c>
      <c r="DZ135" t="inlineStr">
        <is>
          <t xml:space="preserve">regular</t>
        </is>
      </c>
      <c r="EA135" s="4">
        <v>1.673</v>
      </c>
      <c r="EB135" s="4">
        <v>1.6540000000000001</v>
      </c>
      <c r="EC135" s="4">
        <v>0.018512723135490333</v>
      </c>
      <c r="ED135" s="6">
        <v>0.02198980450568246</v>
      </c>
      <c r="EE135" s="4">
        <v>0.030971785805675327</v>
      </c>
      <c r="EF135" s="4">
        <v>0</v>
      </c>
      <c r="EG135" s="4">
        <v>0</v>
      </c>
      <c r="EH135" s="4">
        <v>-0.000351741739574315</v>
      </c>
      <c r="EI135" s="4">
        <v>0.000351741739574315</v>
      </c>
      <c r="EJ135" s="4">
        <v>1.653</v>
      </c>
      <c r="EK135" s="4">
        <v>1.675</v>
      </c>
      <c r="EL135" s="6">
        <v>0.012099213551119092</v>
      </c>
      <c r="EM135" s="6">
        <v>0.0705</v>
      </c>
      <c r="EN135" s="6">
        <v>0.007411243626307586</v>
      </c>
      <c r="EO135" s="9">
        <v>70</v>
      </c>
      <c r="EP135" s="7">
        <f>IFERROR(EH135/F135,0)</f>
        <v>-0.00024973477920380466</v>
      </c>
      <c r="EQ135" t="inlineStr">
        <is>
          <t xml:space="preserve">Lease cash / margin / financing</t>
        </is>
      </c>
      <c r="ER135" t="inlineStr">
        <is>
          <t xml:space="preserve">cash</t>
        </is>
      </c>
      <c r="ES135" t="inlineStr">
        <is>
          <t xml:space="preserve">lease</t>
        </is>
      </c>
      <c r="ET135" t="inlineStr">
        <is>
          <t xml:space="preserve">cash</t>
        </is>
      </c>
      <c r="EU135"/>
      <c r="EV135" s="4">
        <v>1</v>
      </c>
      <c r="EW135" s="4">
        <v>1</v>
      </c>
      <c r="EX135" s="4">
        <v>2.220446049250313e-16</v>
      </c>
      <c r="EY135" s="6"/>
      <c r="EZ135" s="4">
        <v>2.220446049250313e-16</v>
      </c>
      <c r="FA135" s="4">
        <v>2.220446049250313e-16</v>
      </c>
      <c r="FB135" s="4">
        <v>-0.001020966199995435</v>
      </c>
      <c r="FC135" s="4">
        <v>0</v>
      </c>
      <c r="FD135" s="4">
        <v>-0.001020966199995657</v>
      </c>
      <c r="FE135" s="4">
        <v>1.653</v>
      </c>
      <c r="FF135" s="4">
        <v>1.675</v>
      </c>
      <c r="FG135" s="6"/>
      <c r="FH135" s="6"/>
      <c r="FI135" s="6"/>
      <c r="FJ135" s="9"/>
      <c r="FK135" s="7">
        <f>IFERROR(FC135/F135,0)</f>
        <v>0</v>
      </c>
      <c r="FL135" t="inlineStr">
        <is>
          <t xml:space="preserve">Keep cash / margin / financing</t>
        </is>
      </c>
      <c r="FM135" t="inlineStr">
        <is>
          <t xml:space="preserve">cash</t>
        </is>
      </c>
      <c r="FN135" t="inlineStr">
        <is>
          <t xml:space="preserve">keep</t>
        </is>
      </c>
      <c r="FO135" t="inlineStr">
        <is>
          <t xml:space="preserve">cash</t>
        </is>
      </c>
      <c r="FP135"/>
      <c r="FQ135" s="4">
        <v>1</v>
      </c>
      <c r="FR135" s="4">
        <v>1</v>
      </c>
      <c r="FS135" s="4">
        <v>0</v>
      </c>
      <c r="FT135" s="6"/>
      <c r="FU135" s="4">
        <v>0</v>
      </c>
      <c r="FV135" s="4">
        <v>0</v>
      </c>
      <c r="FW135" s="4">
        <v>0</v>
      </c>
      <c r="FX135" s="4">
        <v>0</v>
      </c>
      <c r="FY135" s="4">
        <v>0</v>
      </c>
      <c r="FZ135" s="4">
        <v>1.653</v>
      </c>
      <c r="GA135" s="4">
        <v>1.675</v>
      </c>
      <c r="GB135" s="6"/>
      <c r="GC135" s="6"/>
      <c r="GD135" s="6"/>
      <c r="GE135" s="9"/>
      <c r="GF135" s="7">
        <f>IFERROR(FX135/F135,0)</f>
        <v>0</v>
      </c>
      <c r="GG135"/>
      <c r="GH135"/>
      <c r="GI135"/>
      <c r="GJ135"/>
      <c r="GK135"/>
      <c r="GL135" s="4"/>
      <c r="GM135" s="4"/>
      <c r="GN135" s="4"/>
      <c r="GO135" s="6"/>
      <c r="GP135" s="4"/>
      <c r="GQ135" s="4"/>
      <c r="GR135" s="4"/>
      <c r="GS135" s="4"/>
      <c r="GT135" s="4"/>
      <c r="GU135" s="4"/>
      <c r="GV135" s="4"/>
      <c r="GW135" s="6"/>
      <c r="GX135" s="6"/>
      <c r="GY135" s="6"/>
      <c r="GZ135" s="9"/>
      <c r="HA135"/>
      <c r="HB135"/>
      <c r="HC135"/>
      <c r="HD135"/>
      <c r="HE135"/>
      <c r="HF135"/>
      <c r="HG135" s="4"/>
      <c r="HH135" s="4"/>
      <c r="HI135" s="4"/>
      <c r="HJ135" s="6"/>
      <c r="HK135" s="4"/>
      <c r="HL135" s="4"/>
      <c r="HM135" s="4"/>
      <c r="HN135" s="4"/>
      <c r="HO135" s="4"/>
      <c r="HP135" s="4"/>
      <c r="HQ135" s="4"/>
      <c r="HR135" s="6"/>
      <c r="HS135" s="6"/>
      <c r="HT135" s="6"/>
      <c r="HU135" s="9"/>
      <c r="HV135"/>
      <c r="HW135"/>
      <c r="HX135"/>
      <c r="HY135"/>
      <c r="HZ135"/>
      <c r="IA135"/>
      <c r="IB135" s="4"/>
      <c r="IC135" s="4"/>
      <c r="ID135" s="4"/>
      <c r="IE135" s="6"/>
      <c r="IF135" s="4"/>
      <c r="IG135" s="4"/>
      <c r="IH135" s="4"/>
      <c r="II135" s="4"/>
      <c r="IJ135" s="4"/>
      <c r="IK135" s="4"/>
      <c r="IL135" s="4"/>
      <c r="IM135" s="6"/>
      <c r="IN135" s="6"/>
      <c r="IO135" s="6"/>
      <c r="IP135" s="9"/>
      <c r="IQ135"/>
      <c r="IR135"/>
      <c r="IS135"/>
      <c r="IT135"/>
      <c r="IU135"/>
      <c r="IV135"/>
      <c r="IW135" s="4"/>
      <c r="IX135" s="4"/>
      <c r="IY135" s="4"/>
      <c r="IZ135" s="6"/>
      <c r="JA135" s="4"/>
      <c r="JB135" s="4"/>
      <c r="JC135" s="4"/>
      <c r="JD135" s="4"/>
      <c r="JE135" s="4"/>
      <c r="JF135" s="4"/>
      <c r="JG135" s="4"/>
      <c r="JH135" s="6"/>
      <c r="JI135" s="6"/>
      <c r="JJ135" s="6"/>
      <c r="JK135" s="9"/>
      <c r="JL135"/>
    </row>
    <row r="136">
      <c r="A136" s="8">
        <v>25406</v>
      </c>
      <c r="B136" s="8">
        <v>25407</v>
      </c>
      <c r="C136" s="9">
        <f>B136-A136</f>
        <v>1</v>
      </c>
      <c r="D136" s="8">
        <v>25406</v>
      </c>
      <c r="E136" t="inlineStr">
        <is>
          <t xml:space="preserve">positive</t>
        </is>
      </c>
      <c r="F136" s="4">
        <v>1.4249756243405303</v>
      </c>
      <c r="G136" s="6">
        <v>-0.012834513978460608</v>
      </c>
      <c r="H136" s="7">
        <f>SUM(CE136,CZ136,DU136,EP136,FK136,GF136,HA136,HV136,IQ136,JL136)</f>
        <v>-0.012834513978460608</v>
      </c>
      <c r="I136" s="7">
        <f>G136-H136</f>
        <v>0</v>
      </c>
      <c r="J136" s="5">
        <f>F136*(1+H136)</f>
        <v>1.406686754770966</v>
      </c>
      <c r="K136" s="4">
        <v>1.406686754770966</v>
      </c>
      <c r="L136" s="5">
        <f>K136-J136</f>
        <v>0</v>
      </c>
      <c r="M136" s="4">
        <v>1.675</v>
      </c>
      <c r="N136" s="4">
        <v>1.66</v>
      </c>
      <c r="O136" s="5">
        <f>M136/$M$3</f>
        <v>0.8554647599591421</v>
      </c>
      <c r="P136" s="5">
        <f>N136/$M$3</f>
        <v>0.8478038815117467</v>
      </c>
      <c r="Q136" s="7">
        <f>IFERROR(N136/M136-1,0)</f>
        <v>-0.008955223880597107</v>
      </c>
      <c r="R136" s="5">
        <f>SUM(IF(BM136="lease",BU136,0),IF(CH136="lease",CP136,0),IF(DC136="lease",DK136,0),IF(DX136="lease",EF136,0),IF(ES136="lease",FA136,0),IF(FN136="lease",FV136,0),IF(GI136="lease",GQ136,0),IF(HD136="lease",HL136,0),IF(HY136="lease",IG136,0),IF(IT136="lease",JB136,0))</f>
        <v>1.4249756243405305</v>
      </c>
      <c r="S136" s="5">
        <f>SUM(IF(BM136="lease",BV136,0),IF(CH136="lease",CQ136,0),IF(DC136="lease",DL136,0),IF(DX136="lease",EG136,0),IF(ES136="lease",FB136,0),IF(FN136="lease",FW136,0),IF(GI136="lease",GR136,0),IF(HD136="lease",HM136,0),IF(HY136="lease",IH136,0),IF(IT136="lease",JC136,0))</f>
        <v>1.4066867547709663</v>
      </c>
      <c r="T136" s="5">
        <f>SUM(IF(BM136="keep",BU136,0),IF(CH136="keep",CP136,0),IF(DC136="keep",DK136,0),IF(DX136="keep",EF136,0),IF(ES136="keep",FA136,0),IF(FN136="keep",FV136,0),IF(GI136="keep",GQ136,0),IF(HD136="keep",HL136,0),IF(HY136="keep",IG136,0),IF(IT136="keep",JB136,0))</f>
        <v>0</v>
      </c>
      <c r="U136" s="5">
        <f>SUM(IF(BM136="keep",BV136,0),IF(CH136="keep",CQ136,0),IF(DC136="keep",DL136,0),IF(DX136="keep",EG136,0),IF(ES136="keep",FB136,0),IF(FN136="keep",FW136,0),IF(GI136="keep",GR136,0),IF(HD136="keep",HM136,0),IF(HY136="keep",IH136,0),IF(IT136="keep",JC136,0))</f>
        <v>0</v>
      </c>
      <c r="V136" s="5">
        <f>R136/O136</f>
        <v>1.665732699975378</v>
      </c>
      <c r="W136" s="5">
        <f>S136/P136</f>
        <v>1.6592124493021396</v>
      </c>
      <c r="X136" s="5">
        <f>T136/O136</f>
        <v>0</v>
      </c>
      <c r="Y136" s="5">
        <f>U136/P136</f>
        <v>0</v>
      </c>
      <c r="Z136" s="5">
        <f>V136+X136</f>
        <v>1.665732699975378</v>
      </c>
      <c r="AA136" s="7">
        <f>IFERROR(W136/V136-1,0)</f>
        <v>-0.003914343924049102</v>
      </c>
      <c r="AB136" s="7">
        <f>IFERROR((W136-V136)/Z136,0)</f>
        <v>-0.003914343924049068</v>
      </c>
      <c r="AC136" s="7">
        <f>IFERROR(Y136/X136-1,0)</f>
        <v>0</v>
      </c>
      <c r="AD136" s="7">
        <f>IFERROR((Y136-X136)/Z136,0)</f>
        <v>0</v>
      </c>
      <c r="AE136" s="7">
        <f>AB136+AD136</f>
        <v>-0.003914343924049068</v>
      </c>
      <c r="AF136" s="7">
        <f>(1+Q136)*(1+AE136)-1</f>
        <v>-0.012834513978460693</v>
      </c>
      <c r="AG136" s="7">
        <f>G136-AF136</f>
        <v>8.500145032286355e-17</v>
      </c>
      <c r="AH136" s="5">
        <f>SUM(IF(BM136="lease",BW136,0),IF(CH136="lease",CR136,0),IF(DC136="lease",DM136,0),IF(DX136="lease",EH136,0),IF(ES136="lease",FC136,0),IF(FN136="lease",FX136,0),IF(GI136="lease",GS136,0),IF(HD136="lease",HN136,0),IF(HY136="lease",II136,0),IF(IT136="lease",JD136,0))</f>
        <v>-0.01828886956956417</v>
      </c>
      <c r="AI136" s="5">
        <f>SUM(IF(BM136="keep",BW136,0),IF(CH136="keep",CR136,0),IF(DC136="keep",DM136,0),IF(DX136="keep",EH136,0),IF(ES136="keep",FC136,0),IF(FN136="keep",FX136,0),IF(GI136="keep",GS136,0),IF(HD136="keep",HN136,0),IF(HY136="keep",II136,0),IF(IT136="keep",JD136,0))</f>
        <v>0</v>
      </c>
      <c r="AJ136" s="5">
        <f>SUM(IF(BM136="lease",BX136,0),IF(CH136="lease",CS136,0),IF(DC136="lease",DN136,0),IF(DX136="lease",EI136,0),IF(ES136="lease",FD136,0),IF(FN136="lease",FY136,0),IF(GI136="lease",GT136,0),IF(HD136="lease",HO136,0),IF(HY136="lease",IJ136,0),IF(IT136="lease",JE136,0))</f>
        <v>0</v>
      </c>
      <c r="AK136" s="5">
        <f>SUM(IF(BM136="keep",BX136,0),IF(CH136="keep",CS136,0),IF(DC136="keep",DN136,0),IF(DX136="keep",EI136,0),IF(ES136="keep",FD136,0),IF(FN136="keep",FY136,0),IF(GI136="keep",GT136,0),IF(HD136="keep",HO136,0),IF(HY136="keep",IJ136,0),IF(IT136="keep",JE136,0))</f>
        <v>0</v>
      </c>
      <c r="AL136" s="5">
        <f>R136-S135</f>
        <v>0</v>
      </c>
      <c r="AM136" s="5">
        <f>T136-U135</f>
        <v>0</v>
      </c>
      <c r="AN136" s="5">
        <f>AN135</f>
        <v>1</v>
      </c>
      <c r="AO136" s="5">
        <f>AO135+AH136</f>
        <v>0.40668675477096644</v>
      </c>
      <c r="AP136" s="5">
        <f>AP135+AL136</f>
        <v>-4.440892098500626e-16</v>
      </c>
      <c r="AQ136" s="5">
        <f>AN136+AO136+AP136</f>
        <v>1.406686754770966</v>
      </c>
      <c r="AR136" s="5">
        <f>S136-AQ136</f>
        <v>2.220446049250313e-16</v>
      </c>
      <c r="AS136" s="5">
        <f>AS135</f>
        <v>0</v>
      </c>
      <c r="AT136" s="5">
        <f>AT135+AI136</f>
        <v>0</v>
      </c>
      <c r="AU136" s="5">
        <f>AU135+AM136</f>
        <v>0</v>
      </c>
      <c r="AV136" s="5">
        <f>AS136+AT136+AU136</f>
        <v>0</v>
      </c>
      <c r="AW136" s="5">
        <f>U136-AV136</f>
        <v>0</v>
      </c>
      <c r="AX136" s="4">
        <v>1.4249756243405305</v>
      </c>
      <c r="AY136" s="4">
        <v>1.4066867547709663</v>
      </c>
      <c r="AZ136" s="5">
        <f>S136-AY136</f>
        <v>0</v>
      </c>
      <c r="BA136" s="4">
        <v>0</v>
      </c>
      <c r="BB136" s="4">
        <v>0</v>
      </c>
      <c r="BC136" s="5">
        <f>U136-BB136</f>
        <v>0</v>
      </c>
      <c r="BD136" s="7">
        <f>SUM(IF(BL136="direct",CE136,0),IF(CG136="direct",CZ136,0),IF(DB136="direct",DU136,0),IF(DW136="direct",EP136,0),IF(ER136="direct",FK136,0),IF(FM136="direct",GF136,0),IF(GH136="direct",HA136,0),IF(HC136="direct",HV136,0),IF(HX136="direct",IQ136,0),IF(IS136="direct",JL136,0))</f>
        <v>-0.0005893971683561031</v>
      </c>
      <c r="BE136" s="7">
        <f>SUM(IF(BL136="treasury",CE136,0),IF(CG136="treasury",CZ136,0),IF(DB136="treasury",DU136,0),IF(DW136="treasury",EP136,0),IF(ER136="treasury",FK136,0),IF(FM136="treasury",GF136,0),IF(GH136="treasury",HA136,0),IF(HC136="treasury",HV136,0),IF(HX136="treasury",IQ136,0),IF(IS136="treasury",JL136,0))</f>
        <v>0.00018121585546737053</v>
      </c>
      <c r="BF136" s="7">
        <f>SUM(IF(BL136="future",CE136,0),IF(CG136="future",CZ136,0),IF(DB136="future",DU136,0),IF(DW136="future",EP136,0),IF(ER136="future",FK136,0),IF(FM136="future",GF136,0),IF(GH136="future",HA136,0),IF(HC136="future",HV136,0),IF(HX136="future",IQ136,0),IF(IS136="future",JL136,0))</f>
        <v>-0.012426332665571875</v>
      </c>
      <c r="BG136" s="7">
        <f>SUM(IF(BL136="cash",CE136,0),IF(CG136="cash",CZ136,0),IF(DB136="cash",DU136,0),IF(DW136="cash",EP136,0),IF(ER136="cash",FK136,0),IF(FM136="cash",GF136,0),IF(GH136="cash",HA136,0),IF(HC136="cash",HV136,0),IF(HX136="cash",IQ136,0),IF(IS136="cash",JL136,0))</f>
        <v>0</v>
      </c>
      <c r="BH136" s="7">
        <f>SUM(BD136:BG136)</f>
        <v>-0.012834513978460608</v>
      </c>
      <c r="BI136" s="7">
        <f>G136-BH136</f>
        <v>0</v>
      </c>
      <c r="BJ136" s="9">
        <f>COUNTA(BK136,CF136,DA136,DV136,EQ136,FL136,GG136,HB136,HW136,IR136)</f>
        <v>5</v>
      </c>
      <c r="BK136" t="inlineStr">
        <is>
          <t xml:space="preserve">Direct commodity holding</t>
        </is>
      </c>
      <c r="BL136" t="inlineStr">
        <is>
          <t xml:space="preserve">direct</t>
        </is>
      </c>
      <c r="BM136" t="inlineStr">
        <is>
          <t xml:space="preserve">lease</t>
        </is>
      </c>
      <c r="BN136" t="inlineStr">
        <is>
          <t xml:space="preserve">long</t>
        </is>
      </c>
      <c r="BO136"/>
      <c r="BP136" s="4">
        <v>1.675</v>
      </c>
      <c r="BQ136" s="4">
        <v>1.66</v>
      </c>
      <c r="BR136" s="4">
        <v>0.05594898116854206</v>
      </c>
      <c r="BS136" s="6">
        <v>0.0657657168701945</v>
      </c>
      <c r="BT136" s="4">
        <v>0.09371454345730795</v>
      </c>
      <c r="BU136" s="4">
        <v>0.09371454345730795</v>
      </c>
      <c r="BV136" s="4">
        <v>0.09287530873977981</v>
      </c>
      <c r="BW136" s="4">
        <v>-0.0008398765979627787</v>
      </c>
      <c r="BX136" s="4">
        <v>6.418804346364475e-7</v>
      </c>
      <c r="BY136" s="4">
        <v>1.675</v>
      </c>
      <c r="BZ136" s="4">
        <v>1.66</v>
      </c>
      <c r="CA136" s="6"/>
      <c r="CB136" s="6"/>
      <c r="CC136" s="6"/>
      <c r="CD136" s="9"/>
      <c r="CE136" s="7">
        <f>IFERROR(BW136/F136,0)</f>
        <v>-0.0005893971683561031</v>
      </c>
      <c r="CF136" t="inlineStr">
        <is>
          <t xml:space="preserve">Treasury collateral</t>
        </is>
      </c>
      <c r="CG136" t="inlineStr">
        <is>
          <t xml:space="preserve">treasury</t>
        </is>
      </c>
      <c r="CH136" t="inlineStr">
        <is>
          <t xml:space="preserve">lease</t>
        </is>
      </c>
      <c r="CI136" t="inlineStr">
        <is>
          <t xml:space="preserve">long</t>
        </is>
      </c>
      <c r="CJ136"/>
      <c r="CK136" s="4">
        <v>103.4861847610432</v>
      </c>
      <c r="CL136" s="4">
        <v>103.50625824564892</v>
      </c>
      <c r="CM136" s="4">
        <v>0.012864143015390864</v>
      </c>
      <c r="CN136" s="6">
        <v>0.9342342831298055</v>
      </c>
      <c r="CO136" s="4">
        <v>1.3312610808832224</v>
      </c>
      <c r="CP136" s="4">
        <v>1.3312610808832224</v>
      </c>
      <c r="CQ136" s="4">
        <v>1.3315193090600075</v>
      </c>
      <c r="CR136" s="4">
        <v>0.0002582281767850196</v>
      </c>
      <c r="CS136" s="4">
        <v>9.394611824586896e-17</v>
      </c>
      <c r="CT136" s="4">
        <v>1.675</v>
      </c>
      <c r="CU136" s="4">
        <v>1.66</v>
      </c>
      <c r="CV136" s="6"/>
      <c r="CW136" s="6"/>
      <c r="CX136" s="6"/>
      <c r="CY136" s="9">
        <v>66</v>
      </c>
      <c r="CZ136" s="7">
        <f>IFERROR(CR136/F136,0)</f>
        <v>0.00018121585546737053</v>
      </c>
      <c r="DA136" t="inlineStr">
        <is>
          <t xml:space="preserve">SI69U</t>
        </is>
      </c>
      <c r="DB136" t="inlineStr">
        <is>
          <t xml:space="preserve">future</t>
        </is>
      </c>
      <c r="DC136" t="inlineStr">
        <is>
          <t xml:space="preserve">lease</t>
        </is>
      </c>
      <c r="DD136" t="inlineStr">
        <is>
          <t xml:space="preserve">long</t>
        </is>
      </c>
      <c r="DE136" t="inlineStr">
        <is>
          <t xml:space="preserve">regular</t>
        </is>
      </c>
      <c r="DF136" s="4">
        <v>1.6540000000000001</v>
      </c>
      <c r="DG136" s="4">
        <v>1.632</v>
      </c>
      <c r="DH136" s="4">
        <v>0.8048736885630122</v>
      </c>
      <c r="DI136" s="6">
        <v>0.9342342831298055</v>
      </c>
      <c r="DJ136" s="4">
        <v>1.3312610808832224</v>
      </c>
      <c r="DK136" s="4">
        <v>0</v>
      </c>
      <c r="DL136" s="4">
        <v>0</v>
      </c>
      <c r="DM136" s="4">
        <v>-0.01770722114838641</v>
      </c>
      <c r="DN136" s="4">
        <v>0.01770722114838641</v>
      </c>
      <c r="DO136" s="4">
        <v>1.675</v>
      </c>
      <c r="DP136" s="4">
        <v>1.66</v>
      </c>
      <c r="DQ136" s="6">
        <v>-0.012537313432835817</v>
      </c>
      <c r="DR136" s="6">
        <v>0.0708</v>
      </c>
      <c r="DS136" s="6">
        <v>0.1401351424694708</v>
      </c>
      <c r="DT136" s="9">
        <v>66</v>
      </c>
      <c r="DU136" s="7">
        <f>IFERROR(DM136/F136,0)</f>
        <v>-0.012426332665571875</v>
      </c>
      <c r="DV136" t="inlineStr">
        <is>
          <t xml:space="preserve">Lease cash / margin / financing</t>
        </is>
      </c>
      <c r="DW136" t="inlineStr">
        <is>
          <t xml:space="preserve">cash</t>
        </is>
      </c>
      <c r="DX136" t="inlineStr">
        <is>
          <t xml:space="preserve">lease</t>
        </is>
      </c>
      <c r="DY136" t="inlineStr">
        <is>
          <t xml:space="preserve">cash</t>
        </is>
      </c>
      <c r="DZ136"/>
      <c r="EA136" s="4">
        <v>1</v>
      </c>
      <c r="EB136" s="4">
        <v>1</v>
      </c>
      <c r="EC136" s="4">
        <v>2.220446049250313e-16</v>
      </c>
      <c r="ED136" s="6"/>
      <c r="EE136" s="4">
        <v>2.220446049250313e-16</v>
      </c>
      <c r="EF136" s="4">
        <v>2.220446049250313e-16</v>
      </c>
      <c r="EG136" s="4">
        <v>-0.01770786302882092</v>
      </c>
      <c r="EH136" s="4">
        <v>0</v>
      </c>
      <c r="EI136" s="4">
        <v>-0.01770786302882114</v>
      </c>
      <c r="EJ136" s="4">
        <v>1.675</v>
      </c>
      <c r="EK136" s="4">
        <v>1.66</v>
      </c>
      <c r="EL136" s="6"/>
      <c r="EM136" s="6"/>
      <c r="EN136" s="6"/>
      <c r="EO136" s="9"/>
      <c r="EP136" s="7">
        <f>IFERROR(EH136/F136,0)</f>
        <v>0</v>
      </c>
      <c r="EQ136" t="inlineStr">
        <is>
          <t xml:space="preserve">Keep cash / margin / financing</t>
        </is>
      </c>
      <c r="ER136" t="inlineStr">
        <is>
          <t xml:space="preserve">cash</t>
        </is>
      </c>
      <c r="ES136" t="inlineStr">
        <is>
          <t xml:space="preserve">keep</t>
        </is>
      </c>
      <c r="ET136" t="inlineStr">
        <is>
          <t xml:space="preserve">cash</t>
        </is>
      </c>
      <c r="EU136"/>
      <c r="EV136" s="4">
        <v>1</v>
      </c>
      <c r="EW136" s="4">
        <v>1</v>
      </c>
      <c r="EX136" s="4">
        <v>0</v>
      </c>
      <c r="EY136" s="6"/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1.675</v>
      </c>
      <c r="FF136" s="4">
        <v>1.66</v>
      </c>
      <c r="FG136" s="6"/>
      <c r="FH136" s="6"/>
      <c r="FI136" s="6"/>
      <c r="FJ136" s="9"/>
      <c r="FK136" s="7">
        <f>IFERROR(FC136/F136,0)</f>
        <v>0</v>
      </c>
      <c r="FL136"/>
      <c r="FM136"/>
      <c r="FN136"/>
      <c r="FO136"/>
      <c r="FP136"/>
      <c r="FQ136" s="4"/>
      <c r="FR136" s="4"/>
      <c r="FS136" s="4"/>
      <c r="FT136" s="6"/>
      <c r="FU136" s="4"/>
      <c r="FV136" s="4"/>
      <c r="FW136" s="4"/>
      <c r="FX136" s="4"/>
      <c r="FY136" s="4"/>
      <c r="FZ136" s="4"/>
      <c r="GA136" s="4"/>
      <c r="GB136" s="6"/>
      <c r="GC136" s="6"/>
      <c r="GD136" s="6"/>
      <c r="GE136" s="9"/>
      <c r="GF136"/>
      <c r="GG136"/>
      <c r="GH136"/>
      <c r="GI136"/>
      <c r="GJ136"/>
      <c r="GK136"/>
      <c r="GL136" s="4"/>
      <c r="GM136" s="4"/>
      <c r="GN136" s="4"/>
      <c r="GO136" s="6"/>
      <c r="GP136" s="4"/>
      <c r="GQ136" s="4"/>
      <c r="GR136" s="4"/>
      <c r="GS136" s="4"/>
      <c r="GT136" s="4"/>
      <c r="GU136" s="4"/>
      <c r="GV136" s="4"/>
      <c r="GW136" s="6"/>
      <c r="GX136" s="6"/>
      <c r="GY136" s="6"/>
      <c r="GZ136" s="9"/>
      <c r="HA136"/>
      <c r="HB136"/>
      <c r="HC136"/>
      <c r="HD136"/>
      <c r="HE136"/>
      <c r="HF136"/>
      <c r="HG136" s="4"/>
      <c r="HH136" s="4"/>
      <c r="HI136" s="4"/>
      <c r="HJ136" s="6"/>
      <c r="HK136" s="4"/>
      <c r="HL136" s="4"/>
      <c r="HM136" s="4"/>
      <c r="HN136" s="4"/>
      <c r="HO136" s="4"/>
      <c r="HP136" s="4"/>
      <c r="HQ136" s="4"/>
      <c r="HR136" s="6"/>
      <c r="HS136" s="6"/>
      <c r="HT136" s="6"/>
      <c r="HU136" s="9"/>
      <c r="HV136"/>
      <c r="HW136"/>
      <c r="HX136"/>
      <c r="HY136"/>
      <c r="HZ136"/>
      <c r="IA136"/>
      <c r="IB136" s="4"/>
      <c r="IC136" s="4"/>
      <c r="ID136" s="4"/>
      <c r="IE136" s="6"/>
      <c r="IF136" s="4"/>
      <c r="IG136" s="4"/>
      <c r="IH136" s="4"/>
      <c r="II136" s="4"/>
      <c r="IJ136" s="4"/>
      <c r="IK136" s="4"/>
      <c r="IL136" s="4"/>
      <c r="IM136" s="6"/>
      <c r="IN136" s="6"/>
      <c r="IO136" s="6"/>
      <c r="IP136" s="9"/>
      <c r="IQ136"/>
      <c r="IR136"/>
      <c r="IS136"/>
      <c r="IT136"/>
      <c r="IU136"/>
      <c r="IV136"/>
      <c r="IW136" s="4"/>
      <c r="IX136" s="4"/>
      <c r="IY136" s="4"/>
      <c r="IZ136" s="6"/>
      <c r="JA136" s="4"/>
      <c r="JB136" s="4"/>
      <c r="JC136" s="4"/>
      <c r="JD136" s="4"/>
      <c r="JE136" s="4"/>
      <c r="JF136" s="4"/>
      <c r="JG136" s="4"/>
      <c r="JH136" s="6"/>
      <c r="JI136" s="6"/>
      <c r="JJ136" s="6"/>
      <c r="JK136" s="9"/>
      <c r="JL136"/>
    </row>
    <row r="137">
      <c r="A137" s="8">
        <v>25407</v>
      </c>
      <c r="B137" s="8">
        <v>25408</v>
      </c>
      <c r="C137" s="9">
        <f>B137-A137</f>
        <v>1</v>
      </c>
      <c r="D137" s="8">
        <v>25407</v>
      </c>
      <c r="E137" t="inlineStr">
        <is>
          <t xml:space="preserve">positive</t>
        </is>
      </c>
      <c r="F137" s="4">
        <v>1.406686754770966</v>
      </c>
      <c r="G137" s="6">
        <v>0.0020335777598711764</v>
      </c>
      <c r="H137" s="7">
        <f>SUM(CE137,CZ137,DU137,EP137,FK137,GF137,HA137,HV137,IQ137,JL137)</f>
        <v>0.002033577759871176</v>
      </c>
      <c r="I137" s="7">
        <f>G137-H137</f>
        <v>4.336808689942018e-19</v>
      </c>
      <c r="J137" s="5">
        <f>F137*(1+H137)</f>
        <v>1.4095473616705738</v>
      </c>
      <c r="K137" s="4">
        <v>1.4095473616705738</v>
      </c>
      <c r="L137" s="5">
        <f>K137-J137</f>
        <v>0</v>
      </c>
      <c r="M137" s="4">
        <v>1.66</v>
      </c>
      <c r="N137" s="4">
        <v>1.643</v>
      </c>
      <c r="O137" s="5">
        <f>M137/$M$3</f>
        <v>0.8478038815117467</v>
      </c>
      <c r="P137" s="5">
        <f>N137/$M$3</f>
        <v>0.8391215526046987</v>
      </c>
      <c r="Q137" s="7">
        <f>IFERROR(N137/M137-1,0)</f>
        <v>-0.010240963855421614</v>
      </c>
      <c r="R137" s="5">
        <f>SUM(IF(BM137="lease",BU137,0),IF(CH137="lease",CP137,0),IF(DC137="lease",DK137,0),IF(DX137="lease",EF137,0),IF(ES137="lease",FA137,0),IF(FN137="lease",FV137,0),IF(GI137="lease",GQ137,0),IF(HD137="lease",HL137,0),IF(HY137="lease",IG137,0),IF(IT137="lease",JB137,0))</f>
        <v>1.4066867547709663</v>
      </c>
      <c r="S137" s="5">
        <f>SUM(IF(BM137="lease",BV137,0),IF(CH137="lease",CQ137,0),IF(DC137="lease",DL137,0),IF(DX137="lease",EG137,0),IF(ES137="lease",FB137,0),IF(FN137="lease",FW137,0),IF(GI137="lease",GR137,0),IF(HD137="lease",HM137,0),IF(HY137="lease",IH137,0),IF(IT137="lease",JC137,0))</f>
        <v>1.4095473616705738</v>
      </c>
      <c r="T137" s="5">
        <f>SUM(IF(BM137="keep",BU137,0),IF(CH137="keep",CP137,0),IF(DC137="keep",DK137,0),IF(DX137="keep",EF137,0),IF(ES137="keep",FA137,0),IF(FN137="keep",FV137,0),IF(GI137="keep",GQ137,0),IF(HD137="keep",HL137,0),IF(HY137="keep",IG137,0),IF(IT137="keep",JB137,0))</f>
        <v>0</v>
      </c>
      <c r="U137" s="5">
        <f>SUM(IF(BM137="keep",BV137,0),IF(CH137="keep",CQ137,0),IF(DC137="keep",DL137,0),IF(DX137="keep",EG137,0),IF(ES137="keep",FB137,0),IF(FN137="keep",FW137,0),IF(GI137="keep",GR137,0),IF(HD137="keep",HM137,0),IF(HY137="keep",IH137,0),IF(IT137="keep",JC137,0))</f>
        <v>0</v>
      </c>
      <c r="V137" s="5">
        <f>R137/O137</f>
        <v>1.6592124493021396</v>
      </c>
      <c r="W137" s="5">
        <f>S137/P137</f>
        <v>1.679789247809485</v>
      </c>
      <c r="X137" s="5">
        <f>T137/O137</f>
        <v>0</v>
      </c>
      <c r="Y137" s="5">
        <f>U137/P137</f>
        <v>0</v>
      </c>
      <c r="Z137" s="5">
        <f>V137+X137</f>
        <v>1.6592124493021396</v>
      </c>
      <c r="AA137" s="7">
        <f>IFERROR(W137/V137-1,0)</f>
        <v>0.012401545393418312</v>
      </c>
      <c r="AB137" s="7">
        <f>IFERROR((W137-V137)/Z137,0)</f>
        <v>0.012401545393418324</v>
      </c>
      <c r="AC137" s="7">
        <f>IFERROR(Y137/X137-1,0)</f>
        <v>0</v>
      </c>
      <c r="AD137" s="7">
        <f>IFERROR((Y137-X137)/Z137,0)</f>
        <v>0</v>
      </c>
      <c r="AE137" s="7">
        <f>AB137+AD137</f>
        <v>0.012401545393418324</v>
      </c>
      <c r="AF137" s="7">
        <f>(1+Q137)*(1+AE137)-1</f>
        <v>0.00203357775987123</v>
      </c>
      <c r="AG137" s="7">
        <f>G137-AF137</f>
        <v>-5.377642775528102e-17</v>
      </c>
      <c r="AH137" s="5">
        <f>SUM(IF(BM137="lease",BW137,0),IF(CH137="lease",CR137,0),IF(DC137="lease",DM137,0),IF(DX137="lease",EH137,0),IF(ES137="lease",FC137,0),IF(FN137="lease",FX137,0),IF(GI137="lease",GS137,0),IF(HD137="lease",HN137,0),IF(HY137="lease",II137,0),IF(IT137="lease",JD137,0))</f>
        <v>0.0028606068996075954</v>
      </c>
      <c r="AI137" s="5">
        <f>SUM(IF(BM137="keep",BW137,0),IF(CH137="keep",CR137,0),IF(DC137="keep",DM137,0),IF(DX137="keep",EH137,0),IF(ES137="keep",FC137,0),IF(FN137="keep",FX137,0),IF(GI137="keep",GS137,0),IF(HD137="keep",HN137,0),IF(HY137="keep",II137,0),IF(IT137="keep",JD137,0))</f>
        <v>0</v>
      </c>
      <c r="AJ137" s="5">
        <f>SUM(IF(BM137="lease",BX137,0),IF(CH137="lease",CS137,0),IF(DC137="lease",DN137,0),IF(DX137="lease",EI137,0),IF(ES137="lease",FD137,0),IF(FN137="lease",FY137,0),IF(GI137="lease",GT137,0),IF(HD137="lease",HO137,0),IF(HY137="lease",IJ137,0),IF(IT137="lease",JE137,0))</f>
        <v>0</v>
      </c>
      <c r="AK137" s="5">
        <f>SUM(IF(BM137="keep",BX137,0),IF(CH137="keep",CS137,0),IF(DC137="keep",DN137,0),IF(DX137="keep",EI137,0),IF(ES137="keep",FD137,0),IF(FN137="keep",FY137,0),IF(GI137="keep",GT137,0),IF(HD137="keep",HO137,0),IF(HY137="keep",IJ137,0),IF(IT137="keep",JE137,0))</f>
        <v>0</v>
      </c>
      <c r="AL137" s="5">
        <f>R137-S136</f>
        <v>0</v>
      </c>
      <c r="AM137" s="5">
        <f>T137-U136</f>
        <v>0</v>
      </c>
      <c r="AN137" s="5">
        <f>AN136</f>
        <v>1</v>
      </c>
      <c r="AO137" s="5">
        <f>AO136+AH137</f>
        <v>0.40954736167057404</v>
      </c>
      <c r="AP137" s="5">
        <f>AP136+AL137</f>
        <v>-4.440892098500626e-16</v>
      </c>
      <c r="AQ137" s="5">
        <f>AN137+AO137+AP137</f>
        <v>1.4095473616705736</v>
      </c>
      <c r="AR137" s="5">
        <f>S137-AQ137</f>
        <v>2.220446049250313e-16</v>
      </c>
      <c r="AS137" s="5">
        <f>AS136</f>
        <v>0</v>
      </c>
      <c r="AT137" s="5">
        <f>AT136+AI137</f>
        <v>0</v>
      </c>
      <c r="AU137" s="5">
        <f>AU136+AM137</f>
        <v>0</v>
      </c>
      <c r="AV137" s="5">
        <f>AS137+AT137+AU137</f>
        <v>0</v>
      </c>
      <c r="AW137" s="5">
        <f>U137-AV137</f>
        <v>0</v>
      </c>
      <c r="AX137" s="4">
        <v>1.4066867547709663</v>
      </c>
      <c r="AY137" s="4">
        <v>1.4095473616705738</v>
      </c>
      <c r="AZ137" s="5">
        <f>S137-AY137</f>
        <v>0</v>
      </c>
      <c r="BA137" s="4">
        <v>0</v>
      </c>
      <c r="BB137" s="4">
        <v>0</v>
      </c>
      <c r="BC137" s="5">
        <f>U137-BB137</f>
        <v>0</v>
      </c>
      <c r="BD137" s="7">
        <f>SUM(IF(BL137="direct",CE137,0),IF(CG137="direct",CZ137,0),IF(DB137="direct",DU137,0),IF(DW137="direct",EP137,0),IF(ER137="direct",FK137,0),IF(FM137="direct",GF137,0),IF(GH137="direct",HA137,0),IF(HC137="direct",HV137,0),IF(HX137="direct",IQ137,0),IF(IS137="direct",JL137,0))</f>
        <v>0</v>
      </c>
      <c r="BE137" s="7">
        <f>SUM(IF(BL137="treasury",CE137,0),IF(CG137="treasury",CZ137,0),IF(DB137="treasury",DU137,0),IF(DW137="treasury",EP137,0),IF(ER137="treasury",FK137,0),IF(FM137="treasury",GF137,0),IF(GH137="treasury",HA137,0),IF(HC137="treasury",HV137,0),IF(HX137="treasury",IQ137,0),IF(IS137="treasury",JL137,0))</f>
        <v>0.00019534246575342464</v>
      </c>
      <c r="BF137" s="7">
        <f>SUM(IF(BL137="future",CE137,0),IF(CG137="future",CZ137,0),IF(DB137="future",DU137,0),IF(DW137="future",EP137,0),IF(ER137="future",FK137,0),IF(FM137="future",GF137,0),IF(GH137="future",HA137,0),IF(HC137="future",HV137,0),IF(HX137="future",IQ137,0),IF(IS137="future",JL137,0))</f>
        <v>0.0018382352941177513</v>
      </c>
      <c r="BG137" s="7">
        <f>SUM(IF(BL137="cash",CE137,0),IF(CG137="cash",CZ137,0),IF(DB137="cash",DU137,0),IF(DW137="cash",EP137,0),IF(ER137="cash",FK137,0),IF(FM137="cash",GF137,0),IF(GH137="cash",HA137,0),IF(HC137="cash",HV137,0),IF(HX137="cash",IQ137,0),IF(IS137="cash",JL137,0))</f>
        <v>0</v>
      </c>
      <c r="BH137" s="7">
        <f>SUM(BD137:BG137)</f>
        <v>0.002033577759871176</v>
      </c>
      <c r="BI137" s="7">
        <f>G137-BH137</f>
        <v>4.336808689942018e-19</v>
      </c>
      <c r="BJ137" s="9">
        <f>COUNTA(BK137,CF137,DA137,DV137,EQ137,FL137,GG137,HB137,HW137,IR137)</f>
        <v>4</v>
      </c>
      <c r="BK137" t="inlineStr">
        <is>
          <t xml:space="preserve">Treasury collateral</t>
        </is>
      </c>
      <c r="BL137" t="inlineStr">
        <is>
          <t xml:space="preserve">treasury</t>
        </is>
      </c>
      <c r="BM137" t="inlineStr">
        <is>
          <t xml:space="preserve">lease</t>
        </is>
      </c>
      <c r="BN137" t="inlineStr">
        <is>
          <t xml:space="preserve">long</t>
        </is>
      </c>
      <c r="BO137"/>
      <c r="BP137" s="4">
        <v>103.50625824564892</v>
      </c>
      <c r="BQ137" s="4">
        <v>103.52647741335555</v>
      </c>
      <c r="BR137" s="4">
        <v>0.01359035461829284</v>
      </c>
      <c r="BS137" s="6">
        <v>1</v>
      </c>
      <c r="BT137" s="4">
        <v>1.406686754770966</v>
      </c>
      <c r="BU137" s="4">
        <v>1.406686754770966</v>
      </c>
      <c r="BV137" s="4">
        <v>1.4069615404301858</v>
      </c>
      <c r="BW137" s="4">
        <v>0.0002747856592196435</v>
      </c>
      <c r="BX137" s="4">
        <v>1.4598782252517317e-16</v>
      </c>
      <c r="BY137" s="4">
        <v>1.66</v>
      </c>
      <c r="BZ137" s="4">
        <v>1.643</v>
      </c>
      <c r="CA137" s="6"/>
      <c r="CB137" s="6"/>
      <c r="CC137" s="6"/>
      <c r="CD137" s="9">
        <v>65</v>
      </c>
      <c r="CE137" s="7">
        <f>IFERROR(BW137/F137,0)</f>
        <v>0.00019534246575342464</v>
      </c>
      <c r="CF137" t="inlineStr">
        <is>
          <t xml:space="preserve">SI69U</t>
        </is>
      </c>
      <c r="CG137" t="inlineStr">
        <is>
          <t xml:space="preserve">future</t>
        </is>
      </c>
      <c r="CH137" t="inlineStr">
        <is>
          <t xml:space="preserve">lease</t>
        </is>
      </c>
      <c r="CI137" t="inlineStr">
        <is>
          <t xml:space="preserve">long</t>
        </is>
      </c>
      <c r="CJ137" t="inlineStr">
        <is>
          <t xml:space="preserve">regular</t>
        </is>
      </c>
      <c r="CK137" s="4">
        <v>1.632</v>
      </c>
      <c r="CL137" s="4">
        <v>1.635</v>
      </c>
      <c r="CM137" s="4">
        <v>0.8619404134626018</v>
      </c>
      <c r="CN137" s="6">
        <v>1</v>
      </c>
      <c r="CO137" s="4">
        <v>1.406686754770966</v>
      </c>
      <c r="CP137" s="4">
        <v>0</v>
      </c>
      <c r="CQ137" s="4">
        <v>0</v>
      </c>
      <c r="CR137" s="4">
        <v>0.002585821240387952</v>
      </c>
      <c r="CS137" s="4">
        <v>-0.002585821240387952</v>
      </c>
      <c r="CT137" s="4">
        <v>1.66</v>
      </c>
      <c r="CU137" s="4">
        <v>1.643</v>
      </c>
      <c r="CV137" s="6">
        <v>-0.016867469879518038</v>
      </c>
      <c r="CW137" s="6">
        <v>0.0713</v>
      </c>
      <c r="CX137" s="6">
        <v>0.166017330861909</v>
      </c>
      <c r="CY137" s="9">
        <v>65</v>
      </c>
      <c r="CZ137" s="7">
        <f>IFERROR(CR137/F137,0)</f>
        <v>0.0018382352941177513</v>
      </c>
      <c r="DA137" t="inlineStr">
        <is>
          <t xml:space="preserve">Lease cash / margin / financing</t>
        </is>
      </c>
      <c r="DB137" t="inlineStr">
        <is>
          <t xml:space="preserve">cash</t>
        </is>
      </c>
      <c r="DC137" t="inlineStr">
        <is>
          <t xml:space="preserve">lease</t>
        </is>
      </c>
      <c r="DD137" t="inlineStr">
        <is>
          <t xml:space="preserve">cash</t>
        </is>
      </c>
      <c r="DE137"/>
      <c r="DF137" s="4">
        <v>1</v>
      </c>
      <c r="DG137" s="4">
        <v>1</v>
      </c>
      <c r="DH137" s="4">
        <v>2.220446049250313e-16</v>
      </c>
      <c r="DI137" s="6"/>
      <c r="DJ137" s="4">
        <v>2.220446049250313e-16</v>
      </c>
      <c r="DK137" s="4">
        <v>2.220446049250313e-16</v>
      </c>
      <c r="DL137" s="4">
        <v>0.002585821240388028</v>
      </c>
      <c r="DM137" s="4">
        <v>0</v>
      </c>
      <c r="DN137" s="4">
        <v>0.002585821240387806</v>
      </c>
      <c r="DO137" s="4">
        <v>1.66</v>
      </c>
      <c r="DP137" s="4">
        <v>1.643</v>
      </c>
      <c r="DQ137" s="6"/>
      <c r="DR137" s="6"/>
      <c r="DS137" s="6"/>
      <c r="DT137" s="9"/>
      <c r="DU137" s="7">
        <f>IFERROR(DM137/F137,0)</f>
        <v>0</v>
      </c>
      <c r="DV137" t="inlineStr">
        <is>
          <t xml:space="preserve">Keep cash / margin / financing</t>
        </is>
      </c>
      <c r="DW137" t="inlineStr">
        <is>
          <t xml:space="preserve">cash</t>
        </is>
      </c>
      <c r="DX137" t="inlineStr">
        <is>
          <t xml:space="preserve">keep</t>
        </is>
      </c>
      <c r="DY137" t="inlineStr">
        <is>
          <t xml:space="preserve">cash</t>
        </is>
      </c>
      <c r="DZ137"/>
      <c r="EA137" s="4">
        <v>1</v>
      </c>
      <c r="EB137" s="4">
        <v>1</v>
      </c>
      <c r="EC137" s="4">
        <v>0</v>
      </c>
      <c r="ED137" s="6"/>
      <c r="EE137" s="4">
        <v>0</v>
      </c>
      <c r="EF137" s="4">
        <v>0</v>
      </c>
      <c r="EG137" s="4">
        <v>0</v>
      </c>
      <c r="EH137" s="4">
        <v>0</v>
      </c>
      <c r="EI137" s="4">
        <v>0</v>
      </c>
      <c r="EJ137" s="4">
        <v>1.66</v>
      </c>
      <c r="EK137" s="4">
        <v>1.643</v>
      </c>
      <c r="EL137" s="6"/>
      <c r="EM137" s="6"/>
      <c r="EN137" s="6"/>
      <c r="EO137" s="9"/>
      <c r="EP137" s="7">
        <f>IFERROR(EH137/F137,0)</f>
        <v>0</v>
      </c>
      <c r="EQ137"/>
      <c r="ER137"/>
      <c r="ES137"/>
      <c r="ET137"/>
      <c r="EU137"/>
      <c r="EV137" s="4"/>
      <c r="EW137" s="4"/>
      <c r="EX137" s="4"/>
      <c r="EY137" s="6"/>
      <c r="EZ137" s="4"/>
      <c r="FA137" s="4"/>
      <c r="FB137" s="4"/>
      <c r="FC137" s="4"/>
      <c r="FD137" s="4"/>
      <c r="FE137" s="4"/>
      <c r="FF137" s="4"/>
      <c r="FG137" s="6"/>
      <c r="FH137" s="6"/>
      <c r="FI137" s="6"/>
      <c r="FJ137" s="9"/>
      <c r="FK137"/>
      <c r="FL137"/>
      <c r="FM137"/>
      <c r="FN137"/>
      <c r="FO137"/>
      <c r="FP137"/>
      <c r="FQ137" s="4"/>
      <c r="FR137" s="4"/>
      <c r="FS137" s="4"/>
      <c r="FT137" s="6"/>
      <c r="FU137" s="4"/>
      <c r="FV137" s="4"/>
      <c r="FW137" s="4"/>
      <c r="FX137" s="4"/>
      <c r="FY137" s="4"/>
      <c r="FZ137" s="4"/>
      <c r="GA137" s="4"/>
      <c r="GB137" s="6"/>
      <c r="GC137" s="6"/>
      <c r="GD137" s="6"/>
      <c r="GE137" s="9"/>
      <c r="GF137"/>
      <c r="GG137"/>
      <c r="GH137"/>
      <c r="GI137"/>
      <c r="GJ137"/>
      <c r="GK137"/>
      <c r="GL137" s="4"/>
      <c r="GM137" s="4"/>
      <c r="GN137" s="4"/>
      <c r="GO137" s="6"/>
      <c r="GP137" s="4"/>
      <c r="GQ137" s="4"/>
      <c r="GR137" s="4"/>
      <c r="GS137" s="4"/>
      <c r="GT137" s="4"/>
      <c r="GU137" s="4"/>
      <c r="GV137" s="4"/>
      <c r="GW137" s="6"/>
      <c r="GX137" s="6"/>
      <c r="GY137" s="6"/>
      <c r="GZ137" s="9"/>
      <c r="HA137"/>
      <c r="HB137"/>
      <c r="HC137"/>
      <c r="HD137"/>
      <c r="HE137"/>
      <c r="HF137"/>
      <c r="HG137" s="4"/>
      <c r="HH137" s="4"/>
      <c r="HI137" s="4"/>
      <c r="HJ137" s="6"/>
      <c r="HK137" s="4"/>
      <c r="HL137" s="4"/>
      <c r="HM137" s="4"/>
      <c r="HN137" s="4"/>
      <c r="HO137" s="4"/>
      <c r="HP137" s="4"/>
      <c r="HQ137" s="4"/>
      <c r="HR137" s="6"/>
      <c r="HS137" s="6"/>
      <c r="HT137" s="6"/>
      <c r="HU137" s="9"/>
      <c r="HV137"/>
      <c r="HW137"/>
      <c r="HX137"/>
      <c r="HY137"/>
      <c r="HZ137"/>
      <c r="IA137"/>
      <c r="IB137" s="4"/>
      <c r="IC137" s="4"/>
      <c r="ID137" s="4"/>
      <c r="IE137" s="6"/>
      <c r="IF137" s="4"/>
      <c r="IG137" s="4"/>
      <c r="IH137" s="4"/>
      <c r="II137" s="4"/>
      <c r="IJ137" s="4"/>
      <c r="IK137" s="4"/>
      <c r="IL137" s="4"/>
      <c r="IM137" s="6"/>
      <c r="IN137" s="6"/>
      <c r="IO137" s="6"/>
      <c r="IP137" s="9"/>
      <c r="IQ137"/>
      <c r="IR137"/>
      <c r="IS137"/>
      <c r="IT137"/>
      <c r="IU137"/>
      <c r="IV137"/>
      <c r="IW137" s="4"/>
      <c r="IX137" s="4"/>
      <c r="IY137" s="4"/>
      <c r="IZ137" s="6"/>
      <c r="JA137" s="4"/>
      <c r="JB137" s="4"/>
      <c r="JC137" s="4"/>
      <c r="JD137" s="4"/>
      <c r="JE137" s="4"/>
      <c r="JF137" s="4"/>
      <c r="JG137" s="4"/>
      <c r="JH137" s="6"/>
      <c r="JI137" s="6"/>
      <c r="JJ137" s="6"/>
      <c r="JK137" s="9"/>
      <c r="JL137"/>
    </row>
    <row r="138">
      <c r="A138" s="8">
        <v>25408</v>
      </c>
      <c r="B138" s="8">
        <v>25409</v>
      </c>
      <c r="C138" s="9">
        <f>B138-A138</f>
        <v>1</v>
      </c>
      <c r="D138" s="8">
        <v>25408</v>
      </c>
      <c r="E138" t="inlineStr">
        <is>
          <t xml:space="preserve">positive</t>
        </is>
      </c>
      <c r="F138" s="4">
        <v>1.4095473616705738</v>
      </c>
      <c r="G138" s="6">
        <v>0.005383036890006012</v>
      </c>
      <c r="H138" s="7">
        <f>SUM(CE138,CZ138,DU138,EP138,FK138,GF138,HA138,HV138,IQ138,JL138)</f>
        <v>0.005383036890006012</v>
      </c>
      <c r="I138" s="7">
        <f>G138-H138</f>
        <v>0</v>
      </c>
      <c r="J138" s="5">
        <f>F138*(1+H138)</f>
        <v>1.4171350071166573</v>
      </c>
      <c r="K138" s="4">
        <v>1.4171350071166573</v>
      </c>
      <c r="L138" s="5">
        <f>K138-J138</f>
        <v>0</v>
      </c>
      <c r="M138" s="4">
        <v>1.643</v>
      </c>
      <c r="N138" s="4">
        <v>1.645</v>
      </c>
      <c r="O138" s="5">
        <f>M138/$M$3</f>
        <v>0.8391215526046987</v>
      </c>
      <c r="P138" s="5">
        <f>N138/$M$3</f>
        <v>0.8401430030643514</v>
      </c>
      <c r="Q138" s="7">
        <f>IFERROR(N138/M138-1,0)</f>
        <v>0.00121728545343891</v>
      </c>
      <c r="R138" s="5">
        <f>SUM(IF(BM138="lease",BU138,0),IF(CH138="lease",CP138,0),IF(DC138="lease",DK138,0),IF(DX138="lease",EF138,0),IF(ES138="lease",FA138,0),IF(FN138="lease",FV138,0),IF(GI138="lease",GQ138,0),IF(HD138="lease",HL138,0),IF(HY138="lease",IG138,0),IF(IT138="lease",JB138,0))</f>
        <v>1.4095473616705738</v>
      </c>
      <c r="S138" s="5">
        <f>SUM(IF(BM138="lease",BV138,0),IF(CH138="lease",CQ138,0),IF(DC138="lease",DL138,0),IF(DX138="lease",EG138,0),IF(ES138="lease",FB138,0),IF(FN138="lease",FW138,0),IF(GI138="lease",GR138,0),IF(HD138="lease",HM138,0),IF(HY138="lease",IH138,0),IF(IT138="lease",JC138,0))</f>
        <v>1.417135007116657</v>
      </c>
      <c r="T138" s="5">
        <f>SUM(IF(BM138="keep",BU138,0),IF(CH138="keep",CP138,0),IF(DC138="keep",DK138,0),IF(DX138="keep",EF138,0),IF(ES138="keep",FA138,0),IF(FN138="keep",FV138,0),IF(GI138="keep",GQ138,0),IF(HD138="keep",HL138,0),IF(HY138="keep",IG138,0),IF(IT138="keep",JB138,0))</f>
        <v>0</v>
      </c>
      <c r="U138" s="5">
        <f>SUM(IF(BM138="keep",BV138,0),IF(CH138="keep",CQ138,0),IF(DC138="keep",DL138,0),IF(DX138="keep",EG138,0),IF(ES138="keep",FB138,0),IF(FN138="keep",FW138,0),IF(GI138="keep",GR138,0),IF(HD138="keep",HM138,0),IF(HY138="keep",IH138,0),IF(IT138="keep",JC138,0))</f>
        <v>0</v>
      </c>
      <c r="V138" s="5">
        <f>R138/O138</f>
        <v>1.679789247809485</v>
      </c>
      <c r="W138" s="5">
        <f>S138/P138</f>
        <v>1.686778324580191</v>
      </c>
      <c r="X138" s="5">
        <f>T138/O138</f>
        <v>0</v>
      </c>
      <c r="Y138" s="5">
        <f>U138/P138</f>
        <v>0</v>
      </c>
      <c r="Z138" s="5">
        <f>V138+X138</f>
        <v>1.679789247809485</v>
      </c>
      <c r="AA138" s="7">
        <f>IFERROR(W138/V138-1,0)</f>
        <v>0.004160686693178928</v>
      </c>
      <c r="AB138" s="7">
        <f>IFERROR((W138-V138)/Z138,0)</f>
        <v>0.004160686693179038</v>
      </c>
      <c r="AC138" s="7">
        <f>IFERROR(Y138/X138-1,0)</f>
        <v>0</v>
      </c>
      <c r="AD138" s="7">
        <f>IFERROR((Y138-X138)/Z138,0)</f>
        <v>0</v>
      </c>
      <c r="AE138" s="7">
        <f>AB138+AD138</f>
        <v>0.004160686693179038</v>
      </c>
      <c r="AF138" s="7">
        <f>(1+Q138)*(1+AE138)-1</f>
        <v>0.0053830368900058545</v>
      </c>
      <c r="AG138" s="7">
        <f>G138-AF138</f>
        <v>1.5785983631388945e-16</v>
      </c>
      <c r="AH138" s="5">
        <f>SUM(IF(BM138="lease",BW138,0),IF(CH138="lease",CR138,0),IF(DC138="lease",DM138,0),IF(DX138="lease",EH138,0),IF(ES138="lease",FC138,0),IF(FN138="lease",FX138,0),IF(GI138="lease",GS138,0),IF(HD138="lease",HN138,0),IF(HY138="lease",II138,0),IF(IT138="lease",JD138,0))</f>
        <v>0.007587645446083346</v>
      </c>
      <c r="AI138" s="5">
        <f>SUM(IF(BM138="keep",BW138,0),IF(CH138="keep",CR138,0),IF(DC138="keep",DM138,0),IF(DX138="keep",EH138,0),IF(ES138="keep",FC138,0),IF(FN138="keep",FX138,0),IF(GI138="keep",GS138,0),IF(HD138="keep",HN138,0),IF(HY138="keep",II138,0),IF(IT138="keep",JD138,0))</f>
        <v>0</v>
      </c>
      <c r="AJ138" s="5">
        <f>SUM(IF(BM138="lease",BX138,0),IF(CH138="lease",CS138,0),IF(DC138="lease",DN138,0),IF(DX138="lease",EI138,0),IF(ES138="lease",FD138,0),IF(FN138="lease",FY138,0),IF(GI138="lease",GT138,0),IF(HD138="lease",HO138,0),IF(HY138="lease",IJ138,0),IF(IT138="lease",JE138,0))</f>
        <v>0</v>
      </c>
      <c r="AK138" s="5">
        <f>SUM(IF(BM138="keep",BX138,0),IF(CH138="keep",CS138,0),IF(DC138="keep",DN138,0),IF(DX138="keep",EI138,0),IF(ES138="keep",FD138,0),IF(FN138="keep",FY138,0),IF(GI138="keep",GT138,0),IF(HD138="keep",HO138,0),IF(HY138="keep",IJ138,0),IF(IT138="keep",JE138,0))</f>
        <v>0</v>
      </c>
      <c r="AL138" s="5">
        <f>R138-S137</f>
        <v>0</v>
      </c>
      <c r="AM138" s="5">
        <f>T138-U137</f>
        <v>0</v>
      </c>
      <c r="AN138" s="5">
        <f>AN137</f>
        <v>1</v>
      </c>
      <c r="AO138" s="5">
        <f>AO137+AH138</f>
        <v>0.4171350071166574</v>
      </c>
      <c r="AP138" s="5">
        <f>AP137+AL138</f>
        <v>-4.440892098500626e-16</v>
      </c>
      <c r="AQ138" s="5">
        <f>AN138+AO138+AP138</f>
        <v>1.417135007116657</v>
      </c>
      <c r="AR138" s="5">
        <f>S138-AQ138</f>
        <v>0</v>
      </c>
      <c r="AS138" s="5">
        <f>AS137</f>
        <v>0</v>
      </c>
      <c r="AT138" s="5">
        <f>AT137+AI138</f>
        <v>0</v>
      </c>
      <c r="AU138" s="5">
        <f>AU137+AM138</f>
        <v>0</v>
      </c>
      <c r="AV138" s="5">
        <f>AS138+AT138+AU138</f>
        <v>0</v>
      </c>
      <c r="AW138" s="5">
        <f>U138-AV138</f>
        <v>0</v>
      </c>
      <c r="AX138" s="4">
        <v>1.4095473616705738</v>
      </c>
      <c r="AY138" s="4">
        <v>1.417135007116657</v>
      </c>
      <c r="AZ138" s="5">
        <f>S138-AY138</f>
        <v>0</v>
      </c>
      <c r="BA138" s="4">
        <v>0</v>
      </c>
      <c r="BB138" s="4">
        <v>0</v>
      </c>
      <c r="BC138" s="5">
        <f>U138-BB138</f>
        <v>0</v>
      </c>
      <c r="BD138" s="7">
        <f>SUM(IF(BL138="direct",CE138,0),IF(CG138="direct",CZ138,0),IF(DB138="direct",DU138,0),IF(DW138="direct",EP138,0),IF(ER138="direct",FK138,0),IF(FM138="direct",GF138,0),IF(GH138="direct",HA138,0),IF(HC138="direct",HV138,0),IF(HX138="direct",IQ138,0),IF(IS138="direct",JL138,0))</f>
        <v>0.00041179582602493976</v>
      </c>
      <c r="BE138" s="7">
        <f>SUM(IF(BL138="treasury",CE138,0),IF(CG138="treasury",CZ138,0),IF(DB138="treasury",DU138,0),IF(DW138="treasury",EP138,0),IF(ER138="treasury",FK138,0),IF(FM138="treasury",GF138,0),IF(GH138="treasury",HA138,0),IF(HC138="treasury",HV138,0),IF(HX138="treasury",IQ138,0),IF(IS138="treasury",JL138,0))</f>
        <v>0.00012870531320087697</v>
      </c>
      <c r="BF138" s="7">
        <f>SUM(IF(BL138="future",CE138,0),IF(CG138="future",CZ138,0),IF(DB138="future",DU138,0),IF(DW138="future",EP138,0),IF(ER138="future",FK138,0),IF(FM138="future",GF138,0),IF(GH138="future",HA138,0),IF(HC138="future",HV138,0),IF(HX138="future",IQ138,0),IF(IS138="future",JL138,0))</f>
        <v>0.004842535750780196</v>
      </c>
      <c r="BG138" s="7">
        <f>SUM(IF(BL138="cash",CE138,0),IF(CG138="cash",CZ138,0),IF(DB138="cash",DU138,0),IF(DW138="cash",EP138,0),IF(ER138="cash",FK138,0),IF(FM138="cash",GF138,0),IF(GH138="cash",HA138,0),IF(HC138="cash",HV138,0),IF(HX138="cash",IQ138,0),IF(IS138="cash",JL138,0))</f>
        <v>0</v>
      </c>
      <c r="BH138" s="7">
        <f>SUM(BD138:BG138)</f>
        <v>0.005383036890006012</v>
      </c>
      <c r="BI138" s="7">
        <f>G138-BH138</f>
        <v>0</v>
      </c>
      <c r="BJ138" s="9">
        <f>COUNTA(BK138,CF138,DA138,DV138,EQ138,FL138,GG138,HB138,HW138,IR138)</f>
        <v>5</v>
      </c>
      <c r="BK138" t="inlineStr">
        <is>
          <t xml:space="preserve">Direct commodity holding</t>
        </is>
      </c>
      <c r="BL138" t="inlineStr">
        <is>
          <t xml:space="preserve">direct</t>
        </is>
      </c>
      <c r="BM138" t="inlineStr">
        <is>
          <t xml:space="preserve">lease</t>
        </is>
      </c>
      <c r="BN138" t="inlineStr">
        <is>
          <t xml:space="preserve">long</t>
        </is>
      </c>
      <c r="BO138"/>
      <c r="BP138" s="4">
        <v>1.643</v>
      </c>
      <c r="BQ138" s="4">
        <v>1.645</v>
      </c>
      <c r="BR138" s="4">
        <v>0.2918651010224453</v>
      </c>
      <c r="BS138" s="6">
        <v>0.3402045039561784</v>
      </c>
      <c r="BT138" s="4">
        <v>0.47953436097987756</v>
      </c>
      <c r="BU138" s="4">
        <v>0.47953436097987756</v>
      </c>
      <c r="BV138" s="4">
        <v>0.4801180911819225</v>
      </c>
      <c r="BW138" s="4">
        <v>0.0005804457201204085</v>
      </c>
      <c r="BX138" s="4">
        <v>0.0000032844819245323896</v>
      </c>
      <c r="BY138" s="4">
        <v>1.643</v>
      </c>
      <c r="BZ138" s="4">
        <v>1.645</v>
      </c>
      <c r="CA138" s="6"/>
      <c r="CB138" s="6"/>
      <c r="CC138" s="6"/>
      <c r="CD138" s="9"/>
      <c r="CE138" s="7">
        <f>IFERROR(BW138/F138,0)</f>
        <v>0.00041179582602493976</v>
      </c>
      <c r="CF138" t="inlineStr">
        <is>
          <t xml:space="preserve">Treasury collateral</t>
        </is>
      </c>
      <c r="CG138" t="inlineStr">
        <is>
          <t xml:space="preserve">treasury</t>
        </is>
      </c>
      <c r="CH138" t="inlineStr">
        <is>
          <t xml:space="preserve">lease</t>
        </is>
      </c>
      <c r="CI138" t="inlineStr">
        <is>
          <t xml:space="preserve">long</t>
        </is>
      </c>
      <c r="CJ138"/>
      <c r="CK138" s="4">
        <v>103.52647741335555</v>
      </c>
      <c r="CL138" s="4">
        <v>103.54667216730576</v>
      </c>
      <c r="CM138" s="4">
        <v>0.008983334736459592</v>
      </c>
      <c r="CN138" s="6">
        <v>0.6597954960438216</v>
      </c>
      <c r="CO138" s="4">
        <v>0.9300130006906963</v>
      </c>
      <c r="CP138" s="4">
        <v>0.9300130006906963</v>
      </c>
      <c r="CQ138" s="4">
        <v>0.9301944169253514</v>
      </c>
      <c r="CR138" s="4">
        <v>0.00018141623465528102</v>
      </c>
      <c r="CS138" s="4">
        <v>-1.0703785947863143e-16</v>
      </c>
      <c r="CT138" s="4">
        <v>1.643</v>
      </c>
      <c r="CU138" s="4">
        <v>1.645</v>
      </c>
      <c r="CV138" s="6"/>
      <c r="CW138" s="6"/>
      <c r="CX138" s="6"/>
      <c r="CY138" s="9">
        <v>64</v>
      </c>
      <c r="CZ138" s="7">
        <f>IFERROR(CR138/F138,0)</f>
        <v>0.00012870531320087697</v>
      </c>
      <c r="DA138" t="inlineStr">
        <is>
          <t xml:space="preserve">SI69U</t>
        </is>
      </c>
      <c r="DB138" t="inlineStr">
        <is>
          <t xml:space="preserve">future</t>
        </is>
      </c>
      <c r="DC138" t="inlineStr">
        <is>
          <t xml:space="preserve">lease</t>
        </is>
      </c>
      <c r="DD138" t="inlineStr">
        <is>
          <t xml:space="preserve">long</t>
        </is>
      </c>
      <c r="DE138" t="inlineStr">
        <is>
          <t xml:space="preserve">regular</t>
        </is>
      </c>
      <c r="DF138" s="4">
        <v>1.635</v>
      </c>
      <c r="DG138" s="4">
        <v>1.6469999999999998</v>
      </c>
      <c r="DH138" s="4">
        <v>0.5688152909423219</v>
      </c>
      <c r="DI138" s="6">
        <v>0.6597954960438216</v>
      </c>
      <c r="DJ138" s="4">
        <v>0.9300130006906963</v>
      </c>
      <c r="DK138" s="4">
        <v>0</v>
      </c>
      <c r="DL138" s="4">
        <v>0</v>
      </c>
      <c r="DM138" s="4">
        <v>0.006825783491307657</v>
      </c>
      <c r="DN138" s="4">
        <v>-0.006825783491307657</v>
      </c>
      <c r="DO138" s="4">
        <v>1.643</v>
      </c>
      <c r="DP138" s="4">
        <v>1.645</v>
      </c>
      <c r="DQ138" s="6">
        <v>-0.004869141813755307</v>
      </c>
      <c r="DR138" s="6">
        <v>0.0712</v>
      </c>
      <c r="DS138" s="6">
        <v>0.09896932440657323</v>
      </c>
      <c r="DT138" s="9">
        <v>64</v>
      </c>
      <c r="DU138" s="7">
        <f>IFERROR(DM138/F138,0)</f>
        <v>0.004842535750780196</v>
      </c>
      <c r="DV138" t="inlineStr">
        <is>
          <t xml:space="preserve">Lease cash / margin / financing</t>
        </is>
      </c>
      <c r="DW138" t="inlineStr">
        <is>
          <t xml:space="preserve">cash</t>
        </is>
      </c>
      <c r="DX138" t="inlineStr">
        <is>
          <t xml:space="preserve">lease</t>
        </is>
      </c>
      <c r="DY138" t="inlineStr">
        <is>
          <t xml:space="preserve">cash</t>
        </is>
      </c>
      <c r="DZ138"/>
      <c r="EA138" s="4">
        <v>1</v>
      </c>
      <c r="EB138" s="4">
        <v>1</v>
      </c>
      <c r="EC138" s="4">
        <v>0</v>
      </c>
      <c r="ED138" s="6"/>
      <c r="EE138" s="4">
        <v>0</v>
      </c>
      <c r="EF138" s="4">
        <v>0</v>
      </c>
      <c r="EG138" s="4">
        <v>0.006822499009383232</v>
      </c>
      <c r="EH138" s="4">
        <v>0</v>
      </c>
      <c r="EI138" s="4">
        <v>0.006822499009383232</v>
      </c>
      <c r="EJ138" s="4">
        <v>1.643</v>
      </c>
      <c r="EK138" s="4">
        <v>1.645</v>
      </c>
      <c r="EL138" s="6"/>
      <c r="EM138" s="6"/>
      <c r="EN138" s="6"/>
      <c r="EO138" s="9"/>
      <c r="EP138" s="7">
        <f>IFERROR(EH138/F138,0)</f>
        <v>0</v>
      </c>
      <c r="EQ138" t="inlineStr">
        <is>
          <t xml:space="preserve">Keep cash / margin / financing</t>
        </is>
      </c>
      <c r="ER138" t="inlineStr">
        <is>
          <t xml:space="preserve">cash</t>
        </is>
      </c>
      <c r="ES138" t="inlineStr">
        <is>
          <t xml:space="preserve">keep</t>
        </is>
      </c>
      <c r="ET138" t="inlineStr">
        <is>
          <t xml:space="preserve">cash</t>
        </is>
      </c>
      <c r="EU138"/>
      <c r="EV138" s="4">
        <v>1</v>
      </c>
      <c r="EW138" s="4">
        <v>1</v>
      </c>
      <c r="EX138" s="4">
        <v>0</v>
      </c>
      <c r="EY138" s="6"/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1.643</v>
      </c>
      <c r="FF138" s="4">
        <v>1.645</v>
      </c>
      <c r="FG138" s="6"/>
      <c r="FH138" s="6"/>
      <c r="FI138" s="6"/>
      <c r="FJ138" s="9"/>
      <c r="FK138" s="7">
        <f>IFERROR(FC138/F138,0)</f>
        <v>0</v>
      </c>
      <c r="FL138"/>
      <c r="FM138"/>
      <c r="FN138"/>
      <c r="FO138"/>
      <c r="FP138"/>
      <c r="FQ138" s="4"/>
      <c r="FR138" s="4"/>
      <c r="FS138" s="4"/>
      <c r="FT138" s="6"/>
      <c r="FU138" s="4"/>
      <c r="FV138" s="4"/>
      <c r="FW138" s="4"/>
      <c r="FX138" s="4"/>
      <c r="FY138" s="4"/>
      <c r="FZ138" s="4"/>
      <c r="GA138" s="4"/>
      <c r="GB138" s="6"/>
      <c r="GC138" s="6"/>
      <c r="GD138" s="6"/>
      <c r="GE138" s="9"/>
      <c r="GF138"/>
      <c r="GG138"/>
      <c r="GH138"/>
      <c r="GI138"/>
      <c r="GJ138"/>
      <c r="GK138"/>
      <c r="GL138" s="4"/>
      <c r="GM138" s="4"/>
      <c r="GN138" s="4"/>
      <c r="GO138" s="6"/>
      <c r="GP138" s="4"/>
      <c r="GQ138" s="4"/>
      <c r="GR138" s="4"/>
      <c r="GS138" s="4"/>
      <c r="GT138" s="4"/>
      <c r="GU138" s="4"/>
      <c r="GV138" s="4"/>
      <c r="GW138" s="6"/>
      <c r="GX138" s="6"/>
      <c r="GY138" s="6"/>
      <c r="GZ138" s="9"/>
      <c r="HA138"/>
      <c r="HB138"/>
      <c r="HC138"/>
      <c r="HD138"/>
      <c r="HE138"/>
      <c r="HF138"/>
      <c r="HG138" s="4"/>
      <c r="HH138" s="4"/>
      <c r="HI138" s="4"/>
      <c r="HJ138" s="6"/>
      <c r="HK138" s="4"/>
      <c r="HL138" s="4"/>
      <c r="HM138" s="4"/>
      <c r="HN138" s="4"/>
      <c r="HO138" s="4"/>
      <c r="HP138" s="4"/>
      <c r="HQ138" s="4"/>
      <c r="HR138" s="6"/>
      <c r="HS138" s="6"/>
      <c r="HT138" s="6"/>
      <c r="HU138" s="9"/>
      <c r="HV138"/>
      <c r="HW138"/>
      <c r="HX138"/>
      <c r="HY138"/>
      <c r="HZ138"/>
      <c r="IA138"/>
      <c r="IB138" s="4"/>
      <c r="IC138" s="4"/>
      <c r="ID138" s="4"/>
      <c r="IE138" s="6"/>
      <c r="IF138" s="4"/>
      <c r="IG138" s="4"/>
      <c r="IH138" s="4"/>
      <c r="II138" s="4"/>
      <c r="IJ138" s="4"/>
      <c r="IK138" s="4"/>
      <c r="IL138" s="4"/>
      <c r="IM138" s="6"/>
      <c r="IN138" s="6"/>
      <c r="IO138" s="6"/>
      <c r="IP138" s="9"/>
      <c r="IQ138"/>
      <c r="IR138"/>
      <c r="IS138"/>
      <c r="IT138"/>
      <c r="IU138"/>
      <c r="IV138"/>
      <c r="IW138" s="4"/>
      <c r="IX138" s="4"/>
      <c r="IY138" s="4"/>
      <c r="IZ138" s="6"/>
      <c r="JA138" s="4"/>
      <c r="JB138" s="4"/>
      <c r="JC138" s="4"/>
      <c r="JD138" s="4"/>
      <c r="JE138" s="4"/>
      <c r="JF138" s="4"/>
      <c r="JG138" s="4"/>
      <c r="JH138" s="6"/>
      <c r="JI138" s="6"/>
      <c r="JJ138" s="6"/>
      <c r="JK138" s="9"/>
      <c r="JL138"/>
    </row>
    <row r="139">
      <c r="A139" s="8">
        <v>25409</v>
      </c>
      <c r="B139" s="8">
        <v>25412</v>
      </c>
      <c r="C139" s="9">
        <f>B139-A139</f>
        <v>3</v>
      </c>
      <c r="D139" s="8">
        <v>25409</v>
      </c>
      <c r="E139" t="inlineStr">
        <is>
          <t xml:space="preserve">positive</t>
        </is>
      </c>
      <c r="F139" s="4">
        <v>1.4171350071166573</v>
      </c>
      <c r="G139" s="6">
        <v>-0.00660421306725734</v>
      </c>
      <c r="H139" s="7">
        <f>SUM(CE139,CZ139,DU139,EP139,FK139,GF139,HA139,HV139,IQ139,JL139)</f>
        <v>-0.006604213067257339</v>
      </c>
      <c r="I139" s="7">
        <f>G139-H139</f>
        <v>-8.673617379884035e-19</v>
      </c>
      <c r="J139" s="5">
        <f>F139*(1+H139)</f>
        <v>1.4077759455845897</v>
      </c>
      <c r="K139" s="4">
        <v>1.4077759455845897</v>
      </c>
      <c r="L139" s="5">
        <f>K139-J139</f>
        <v>0</v>
      </c>
      <c r="M139" s="4">
        <v>1.645</v>
      </c>
      <c r="N139" s="4">
        <v>1.653</v>
      </c>
      <c r="O139" s="5">
        <f>M139/$M$3</f>
        <v>0.8401430030643514</v>
      </c>
      <c r="P139" s="5">
        <f>N139/$M$3</f>
        <v>0.8442288049029623</v>
      </c>
      <c r="Q139" s="7">
        <f>IFERROR(N139/M139-1,0)</f>
        <v>0.004863221884498392</v>
      </c>
      <c r="R139" s="5">
        <f>SUM(IF(BM139="lease",BU139,0),IF(CH139="lease",CP139,0),IF(DC139="lease",DK139,0),IF(DX139="lease",EF139,0),IF(ES139="lease",FA139,0),IF(FN139="lease",FV139,0),IF(GI139="lease",GQ139,0),IF(HD139="lease",HL139,0),IF(HY139="lease",IG139,0),IF(IT139="lease",JB139,0))</f>
        <v>1.417135007116657</v>
      </c>
      <c r="S139" s="5">
        <f>SUM(IF(BM139="lease",BV139,0),IF(CH139="lease",CQ139,0),IF(DC139="lease",DL139,0),IF(DX139="lease",EG139,0),IF(ES139="lease",FB139,0),IF(FN139="lease",FW139,0),IF(GI139="lease",GR139,0),IF(HD139="lease",HM139,0),IF(HY139="lease",IH139,0),IF(IT139="lease",JC139,0))</f>
        <v>1.4077759455845895</v>
      </c>
      <c r="T139" s="5">
        <f>SUM(IF(BM139="keep",BU139,0),IF(CH139="keep",CP139,0),IF(DC139="keep",DK139,0),IF(DX139="keep",EF139,0),IF(ES139="keep",FA139,0),IF(FN139="keep",FV139,0),IF(GI139="keep",GQ139,0),IF(HD139="keep",HL139,0),IF(HY139="keep",IG139,0),IF(IT139="keep",JB139,0))</f>
        <v>0</v>
      </c>
      <c r="U139" s="5">
        <f>SUM(IF(BM139="keep",BV139,0),IF(CH139="keep",CQ139,0),IF(DC139="keep",DL139,0),IF(DX139="keep",EG139,0),IF(ES139="keep",FB139,0),IF(FN139="keep",FW139,0),IF(GI139="keep",GR139,0),IF(HD139="keep",HM139,0),IF(HY139="keep",IH139,0),IF(IT139="keep",JC139,0))</f>
        <v>0</v>
      </c>
      <c r="V139" s="5">
        <f>R139/O139</f>
        <v>1.686778324580191</v>
      </c>
      <c r="W139" s="5">
        <f>S139/P139</f>
        <v>1.6675289180003787</v>
      </c>
      <c r="X139" s="5">
        <f>T139/O139</f>
        <v>0</v>
      </c>
      <c r="Y139" s="5">
        <f>U139/P139</f>
        <v>0</v>
      </c>
      <c r="Z139" s="5">
        <f>V139+X139</f>
        <v>1.686778324580191</v>
      </c>
      <c r="AA139" s="7">
        <f>IFERROR(W139/V139-1,0)</f>
        <v>-0.011411936174009818</v>
      </c>
      <c r="AB139" s="7">
        <f>IFERROR((W139-V139)/Z139,0)</f>
        <v>-0.011411936174009804</v>
      </c>
      <c r="AC139" s="7">
        <f>IFERROR(Y139/X139-1,0)</f>
        <v>0</v>
      </c>
      <c r="AD139" s="7">
        <f>IFERROR((Y139-X139)/Z139,0)</f>
        <v>0</v>
      </c>
      <c r="AE139" s="7">
        <f>AB139+AD139</f>
        <v>-0.011411936174009804</v>
      </c>
      <c r="AF139" s="7">
        <f>(1+Q139)*(1+AE139)-1</f>
        <v>-0.006604213067257336</v>
      </c>
      <c r="AG139" s="7">
        <f>G139-AF139</f>
        <v>-3.469446951953614e-18</v>
      </c>
      <c r="AH139" s="5">
        <f>SUM(IF(BM139="lease",BW139,0),IF(CH139="lease",CR139,0),IF(DC139="lease",DM139,0),IF(DX139="lease",EH139,0),IF(ES139="lease",FC139,0),IF(FN139="lease",FX139,0),IF(GI139="lease",GS139,0),IF(HD139="lease",HN139,0),IF(HY139="lease",II139,0),IF(IT139="lease",JD139,0))</f>
        <v>-0.00935906153206765</v>
      </c>
      <c r="AI139" s="5">
        <f>SUM(IF(BM139="keep",BW139,0),IF(CH139="keep",CR139,0),IF(DC139="keep",DM139,0),IF(DX139="keep",EH139,0),IF(ES139="keep",FC139,0),IF(FN139="keep",FX139,0),IF(GI139="keep",GS139,0),IF(HD139="keep",HN139,0),IF(HY139="keep",II139,0),IF(IT139="keep",JD139,0))</f>
        <v>0</v>
      </c>
      <c r="AJ139" s="5">
        <f>SUM(IF(BM139="lease",BX139,0),IF(CH139="lease",CS139,0),IF(DC139="lease",DN139,0),IF(DX139="lease",EI139,0),IF(ES139="lease",FD139,0),IF(FN139="lease",FY139,0),IF(GI139="lease",GT139,0),IF(HD139="lease",HO139,0),IF(HY139="lease",IJ139,0),IF(IT139="lease",JE139,0))</f>
        <v>0</v>
      </c>
      <c r="AK139" s="5">
        <f>SUM(IF(BM139="keep",BX139,0),IF(CH139="keep",CS139,0),IF(DC139="keep",DN139,0),IF(DX139="keep",EI139,0),IF(ES139="keep",FD139,0),IF(FN139="keep",FY139,0),IF(GI139="keep",GT139,0),IF(HD139="keep",HO139,0),IF(HY139="keep",IJ139,0),IF(IT139="keep",JE139,0))</f>
        <v>0</v>
      </c>
      <c r="AL139" s="5">
        <f>R139-S138</f>
        <v>0</v>
      </c>
      <c r="AM139" s="5">
        <f>T139-U138</f>
        <v>0</v>
      </c>
      <c r="AN139" s="5">
        <f>AN138</f>
        <v>1</v>
      </c>
      <c r="AO139" s="5">
        <f>AO138+AH139</f>
        <v>0.40777594558458974</v>
      </c>
      <c r="AP139" s="5">
        <f>AP138+AL139</f>
        <v>-4.440892098500626e-16</v>
      </c>
      <c r="AQ139" s="5">
        <f>AN139+AO139+AP139</f>
        <v>1.4077759455845893</v>
      </c>
      <c r="AR139" s="5">
        <f>S139-AQ139</f>
        <v>2.220446049250313e-16</v>
      </c>
      <c r="AS139" s="5">
        <f>AS138</f>
        <v>0</v>
      </c>
      <c r="AT139" s="5">
        <f>AT138+AI139</f>
        <v>0</v>
      </c>
      <c r="AU139" s="5">
        <f>AU138+AM139</f>
        <v>0</v>
      </c>
      <c r="AV139" s="5">
        <f>AS139+AT139+AU139</f>
        <v>0</v>
      </c>
      <c r="AW139" s="5">
        <f>U139-AV139</f>
        <v>0</v>
      </c>
      <c r="AX139" s="4">
        <v>1.417135007116657</v>
      </c>
      <c r="AY139" s="4">
        <v>1.4077759455845895</v>
      </c>
      <c r="AZ139" s="5">
        <f>S139-AY139</f>
        <v>0</v>
      </c>
      <c r="BA139" s="4">
        <v>0</v>
      </c>
      <c r="BB139" s="4">
        <v>0</v>
      </c>
      <c r="BC139" s="5">
        <f>U139-BB139</f>
        <v>0</v>
      </c>
      <c r="BD139" s="7">
        <f>SUM(IF(BL139="direct",CE139,0),IF(CG139="direct",CZ139,0),IF(DB139="direct",DU139,0),IF(DW139="direct",EP139,0),IF(ER139="direct",FK139,0),IF(FM139="direct",GF139,0),IF(GH139="direct",HA139,0),IF(HC139="direct",HV139,0),IF(HX139="direct",IQ139,0),IF(IS139="direct",JL139,0))</f>
        <v>0.0027682000227570967</v>
      </c>
      <c r="BE139" s="7">
        <f>SUM(IF(BL139="treasury",CE139,0),IF(CG139="treasury",CZ139,0),IF(DB139="treasury",DU139,0),IF(DW139="treasury",EP139,0),IF(ER139="treasury",FK139,0),IF(FM139="treasury",GF139,0),IF(GH139="treasury",HA139,0),IF(HC139="treasury",HV139,0),IF(HX139="treasury",IQ139,0),IF(IS139="treasury",JL139,0))</f>
        <v>0.00025103869581797976</v>
      </c>
      <c r="BF139" s="7">
        <f>SUM(IF(BL139="future",CE139,0),IF(CG139="future",CZ139,0),IF(DB139="future",DU139,0),IF(DW139="future",EP139,0),IF(ER139="future",FK139,0),IF(FM139="future",GF139,0),IF(GH139="future",HA139,0),IF(HC139="future",HV139,0),IF(HX139="future",IQ139,0),IF(IS139="future",JL139,0))</f>
        <v>-0.009623451785832416</v>
      </c>
      <c r="BG139" s="7">
        <f>SUM(IF(BL139="cash",CE139,0),IF(CG139="cash",CZ139,0),IF(DB139="cash",DU139,0),IF(DW139="cash",EP139,0),IF(ER139="cash",FK139,0),IF(FM139="cash",GF139,0),IF(GH139="cash",HA139,0),IF(HC139="cash",HV139,0),IF(HX139="cash",IQ139,0),IF(IS139="cash",JL139,0))</f>
        <v>0</v>
      </c>
      <c r="BH139" s="7">
        <f>SUM(BD139:BG139)</f>
        <v>-0.00660421306725734</v>
      </c>
      <c r="BI139" s="7">
        <f>G139-BH139</f>
        <v>0</v>
      </c>
      <c r="BJ139" s="9">
        <f>COUNTA(BK139,CF139,DA139,DV139,EQ139,FL139,GG139,HB139,HW139,IR139)</f>
        <v>5</v>
      </c>
      <c r="BK139" t="inlineStr">
        <is>
          <t xml:space="preserve">Direct commodity holding</t>
        </is>
      </c>
      <c r="BL139" t="inlineStr">
        <is>
          <t xml:space="preserve">direct</t>
        </is>
      </c>
      <c r="BM139" t="inlineStr">
        <is>
          <t xml:space="preserve">lease</t>
        </is>
      </c>
      <c r="BN139" t="inlineStr">
        <is>
          <t xml:space="preserve">long</t>
        </is>
      </c>
      <c r="BO139"/>
      <c r="BP139" s="4">
        <v>1.645</v>
      </c>
      <c r="BQ139" s="4">
        <v>1.653</v>
      </c>
      <c r="BR139" s="4">
        <v>0.4924448085074702</v>
      </c>
      <c r="BS139" s="6">
        <v>0.5716263488847002</v>
      </c>
      <c r="BT139" s="4">
        <v>0.8100717099947885</v>
      </c>
      <c r="BU139" s="4">
        <v>0.8100717099947885</v>
      </c>
      <c r="BV139" s="4">
        <v>0.8140112684628482</v>
      </c>
      <c r="BW139" s="4">
        <v>0.003922913158950209</v>
      </c>
      <c r="BX139" s="4">
        <v>0.00001664530910950278</v>
      </c>
      <c r="BY139" s="4">
        <v>1.645</v>
      </c>
      <c r="BZ139" s="4">
        <v>1.653</v>
      </c>
      <c r="CA139" s="6"/>
      <c r="CB139" s="6"/>
      <c r="CC139" s="6"/>
      <c r="CD139" s="9"/>
      <c r="CE139" s="7">
        <f>IFERROR(BW139/F139,0)</f>
        <v>0.0027682000227570967</v>
      </c>
      <c r="CF139" t="inlineStr">
        <is>
          <t xml:space="preserve">Treasury collateral</t>
        </is>
      </c>
      <c r="CG139" t="inlineStr">
        <is>
          <t xml:space="preserve">treasury</t>
        </is>
      </c>
      <c r="CH139" t="inlineStr">
        <is>
          <t xml:space="preserve">lease</t>
        </is>
      </c>
      <c r="CI139" t="inlineStr">
        <is>
          <t xml:space="preserve">long</t>
        </is>
      </c>
      <c r="CJ139"/>
      <c r="CK139" s="4">
        <v>103.54667216730576</v>
      </c>
      <c r="CL139" s="4">
        <v>103.60735335409092</v>
      </c>
      <c r="CM139" s="4">
        <v>0.0058627021459560285</v>
      </c>
      <c r="CN139" s="6">
        <v>0.4283736511152998</v>
      </c>
      <c r="CO139" s="4">
        <v>0.6070632971218688</v>
      </c>
      <c r="CP139" s="4">
        <v>0.6070632971218688</v>
      </c>
      <c r="CQ139" s="4">
        <v>0.6074190528458534</v>
      </c>
      <c r="CR139" s="4">
        <v>0.00035575572398456915</v>
      </c>
      <c r="CS139" s="4">
        <v>3.848917712323541e-17</v>
      </c>
      <c r="CT139" s="4">
        <v>1.645</v>
      </c>
      <c r="CU139" s="4">
        <v>1.653</v>
      </c>
      <c r="CV139" s="6"/>
      <c r="CW139" s="6"/>
      <c r="CX139" s="6"/>
      <c r="CY139" s="9">
        <v>63</v>
      </c>
      <c r="CZ139" s="7">
        <f>IFERROR(CR139/F139,0)</f>
        <v>0.00025103869581797976</v>
      </c>
      <c r="DA139" t="inlineStr">
        <is>
          <t xml:space="preserve">SI69U</t>
        </is>
      </c>
      <c r="DB139" t="inlineStr">
        <is>
          <t xml:space="preserve">future</t>
        </is>
      </c>
      <c r="DC139" t="inlineStr">
        <is>
          <t xml:space="preserve">lease</t>
        </is>
      </c>
      <c r="DD139" t="inlineStr">
        <is>
          <t xml:space="preserve">long</t>
        </is>
      </c>
      <c r="DE139" t="inlineStr">
        <is>
          <t xml:space="preserve">regular</t>
        </is>
      </c>
      <c r="DF139" s="4">
        <v>1.6469999999999998</v>
      </c>
      <c r="DG139" s="4">
        <v>1.61</v>
      </c>
      <c r="DH139" s="4">
        <v>0.3685873085135816</v>
      </c>
      <c r="DI139" s="6">
        <v>0.42837365111529985</v>
      </c>
      <c r="DJ139" s="4">
        <v>0.6070632971218689</v>
      </c>
      <c r="DK139" s="4">
        <v>0</v>
      </c>
      <c r="DL139" s="4">
        <v>0</v>
      </c>
      <c r="DM139" s="4">
        <v>-0.013637730415002429</v>
      </c>
      <c r="DN139" s="4">
        <v>0.013637730415002429</v>
      </c>
      <c r="DO139" s="4">
        <v>1.645</v>
      </c>
      <c r="DP139" s="4">
        <v>1.653</v>
      </c>
      <c r="DQ139" s="6">
        <v>0.0012158054711244315</v>
      </c>
      <c r="DR139" s="6">
        <v>0.0713</v>
      </c>
      <c r="DS139" s="6">
        <v>0.06425604766729497</v>
      </c>
      <c r="DT139" s="9">
        <v>63</v>
      </c>
      <c r="DU139" s="7">
        <f>IFERROR(DM139/F139,0)</f>
        <v>-0.009623451785832416</v>
      </c>
      <c r="DV139" t="inlineStr">
        <is>
          <t xml:space="preserve">Lease cash / margin / financing</t>
        </is>
      </c>
      <c r="DW139" t="inlineStr">
        <is>
          <t xml:space="preserve">cash</t>
        </is>
      </c>
      <c r="DX139" t="inlineStr">
        <is>
          <t xml:space="preserve">lease</t>
        </is>
      </c>
      <c r="DY139" t="inlineStr">
        <is>
          <t xml:space="preserve">cash</t>
        </is>
      </c>
      <c r="DZ139"/>
      <c r="EA139" s="4">
        <v>1</v>
      </c>
      <c r="EB139" s="4">
        <v>1</v>
      </c>
      <c r="EC139" s="4">
        <v>-2.220446049250313e-16</v>
      </c>
      <c r="ED139" s="6"/>
      <c r="EE139" s="4">
        <v>-2.220446049250313e-16</v>
      </c>
      <c r="EF139" s="4">
        <v>-2.220446049250313e-16</v>
      </c>
      <c r="EG139" s="4">
        <v>-0.013654375724112192</v>
      </c>
      <c r="EH139" s="4">
        <v>0</v>
      </c>
      <c r="EI139" s="4">
        <v>-0.01365437572411197</v>
      </c>
      <c r="EJ139" s="4">
        <v>1.645</v>
      </c>
      <c r="EK139" s="4">
        <v>1.653</v>
      </c>
      <c r="EL139" s="6"/>
      <c r="EM139" s="6"/>
      <c r="EN139" s="6"/>
      <c r="EO139" s="9"/>
      <c r="EP139" s="7">
        <f>IFERROR(EH139/F139,0)</f>
        <v>0</v>
      </c>
      <c r="EQ139" t="inlineStr">
        <is>
          <t xml:space="preserve">Keep cash / margin / financing</t>
        </is>
      </c>
      <c r="ER139" t="inlineStr">
        <is>
          <t xml:space="preserve">cash</t>
        </is>
      </c>
      <c r="ES139" t="inlineStr">
        <is>
          <t xml:space="preserve">keep</t>
        </is>
      </c>
      <c r="ET139" t="inlineStr">
        <is>
          <t xml:space="preserve">cash</t>
        </is>
      </c>
      <c r="EU139"/>
      <c r="EV139" s="4">
        <v>1</v>
      </c>
      <c r="EW139" s="4">
        <v>1</v>
      </c>
      <c r="EX139" s="4">
        <v>0</v>
      </c>
      <c r="EY139" s="6"/>
      <c r="EZ139" s="4">
        <v>0</v>
      </c>
      <c r="FA139" s="4">
        <v>0</v>
      </c>
      <c r="FB139" s="4">
        <v>0</v>
      </c>
      <c r="FC139" s="4">
        <v>0</v>
      </c>
      <c r="FD139" s="4">
        <v>0</v>
      </c>
      <c r="FE139" s="4">
        <v>1.645</v>
      </c>
      <c r="FF139" s="4">
        <v>1.653</v>
      </c>
      <c r="FG139" s="6"/>
      <c r="FH139" s="6"/>
      <c r="FI139" s="6"/>
      <c r="FJ139" s="9"/>
      <c r="FK139" s="7">
        <f>IFERROR(FC139/F139,0)</f>
        <v>0</v>
      </c>
      <c r="FL139"/>
      <c r="FM139"/>
      <c r="FN139"/>
      <c r="FO139"/>
      <c r="FP139"/>
      <c r="FQ139" s="4"/>
      <c r="FR139" s="4"/>
      <c r="FS139" s="4"/>
      <c r="FT139" s="6"/>
      <c r="FU139" s="4"/>
      <c r="FV139" s="4"/>
      <c r="FW139" s="4"/>
      <c r="FX139" s="4"/>
      <c r="FY139" s="4"/>
      <c r="FZ139" s="4"/>
      <c r="GA139" s="4"/>
      <c r="GB139" s="6"/>
      <c r="GC139" s="6"/>
      <c r="GD139" s="6"/>
      <c r="GE139" s="9"/>
      <c r="GF139"/>
      <c r="GG139"/>
      <c r="GH139"/>
      <c r="GI139"/>
      <c r="GJ139"/>
      <c r="GK139"/>
      <c r="GL139" s="4"/>
      <c r="GM139" s="4"/>
      <c r="GN139" s="4"/>
      <c r="GO139" s="6"/>
      <c r="GP139" s="4"/>
      <c r="GQ139" s="4"/>
      <c r="GR139" s="4"/>
      <c r="GS139" s="4"/>
      <c r="GT139" s="4"/>
      <c r="GU139" s="4"/>
      <c r="GV139" s="4"/>
      <c r="GW139" s="6"/>
      <c r="GX139" s="6"/>
      <c r="GY139" s="6"/>
      <c r="GZ139" s="9"/>
      <c r="HA139"/>
      <c r="HB139"/>
      <c r="HC139"/>
      <c r="HD139"/>
      <c r="HE139"/>
      <c r="HF139"/>
      <c r="HG139" s="4"/>
      <c r="HH139" s="4"/>
      <c r="HI139" s="4"/>
      <c r="HJ139" s="6"/>
      <c r="HK139" s="4"/>
      <c r="HL139" s="4"/>
      <c r="HM139" s="4"/>
      <c r="HN139" s="4"/>
      <c r="HO139" s="4"/>
      <c r="HP139" s="4"/>
      <c r="HQ139" s="4"/>
      <c r="HR139" s="6"/>
      <c r="HS139" s="6"/>
      <c r="HT139" s="6"/>
      <c r="HU139" s="9"/>
      <c r="HV139"/>
      <c r="HW139"/>
      <c r="HX139"/>
      <c r="HY139"/>
      <c r="HZ139"/>
      <c r="IA139"/>
      <c r="IB139" s="4"/>
      <c r="IC139" s="4"/>
      <c r="ID139" s="4"/>
      <c r="IE139" s="6"/>
      <c r="IF139" s="4"/>
      <c r="IG139" s="4"/>
      <c r="IH139" s="4"/>
      <c r="II139" s="4"/>
      <c r="IJ139" s="4"/>
      <c r="IK139" s="4"/>
      <c r="IL139" s="4"/>
      <c r="IM139" s="6"/>
      <c r="IN139" s="6"/>
      <c r="IO139" s="6"/>
      <c r="IP139" s="9"/>
      <c r="IQ139"/>
      <c r="IR139"/>
      <c r="IS139"/>
      <c r="IT139"/>
      <c r="IU139"/>
      <c r="IV139"/>
      <c r="IW139" s="4"/>
      <c r="IX139" s="4"/>
      <c r="IY139" s="4"/>
      <c r="IZ139" s="6"/>
      <c r="JA139" s="4"/>
      <c r="JB139" s="4"/>
      <c r="JC139" s="4"/>
      <c r="JD139" s="4"/>
      <c r="JE139" s="4"/>
      <c r="JF139" s="4"/>
      <c r="JG139" s="4"/>
      <c r="JH139" s="6"/>
      <c r="JI139" s="6"/>
      <c r="JJ139" s="6"/>
      <c r="JK139" s="9"/>
      <c r="JL139"/>
    </row>
    <row r="140">
      <c r="A140" s="8">
        <v>25412</v>
      </c>
      <c r="B140" s="8">
        <v>25413</v>
      </c>
      <c r="C140" s="9">
        <f>B140-A140</f>
        <v>1</v>
      </c>
      <c r="D140" s="8">
        <v>25412</v>
      </c>
      <c r="E140" t="inlineStr">
        <is>
          <t xml:space="preserve">positive</t>
        </is>
      </c>
      <c r="F140" s="4">
        <v>1.4077759455845897</v>
      </c>
      <c r="G140" s="6">
        <v>-0.006016111631072929</v>
      </c>
      <c r="H140" s="7">
        <f>SUM(CE140,CZ140,DU140,EP140,FK140,GF140,HA140,HV140,IQ140,JL140)</f>
        <v>-0.006016111631072929</v>
      </c>
      <c r="I140" s="7">
        <f>G140-H140</f>
        <v>0</v>
      </c>
      <c r="J140" s="5">
        <f>F140*(1+H140)</f>
        <v>1.3993066083444134</v>
      </c>
      <c r="K140" s="4">
        <v>1.3993066083444134</v>
      </c>
      <c r="L140" s="5">
        <f>K140-J140</f>
        <v>0</v>
      </c>
      <c r="M140" s="4">
        <v>1.653</v>
      </c>
      <c r="N140" s="4">
        <v>1.621</v>
      </c>
      <c r="O140" s="5">
        <f>M140/$M$3</f>
        <v>0.8442288049029623</v>
      </c>
      <c r="P140" s="5">
        <f>N140/$M$3</f>
        <v>0.8278855975485189</v>
      </c>
      <c r="Q140" s="7">
        <f>IFERROR(N140/M140-1,0)</f>
        <v>-0.019358741681790748</v>
      </c>
      <c r="R140" s="5">
        <f>SUM(IF(BM140="lease",BU140,0),IF(CH140="lease",CP140,0),IF(DC140="lease",DK140,0),IF(DX140="lease",EF140,0),IF(ES140="lease",FA140,0),IF(FN140="lease",FV140,0),IF(GI140="lease",GQ140,0),IF(HD140="lease",HL140,0),IF(HY140="lease",IG140,0),IF(IT140="lease",JB140,0))</f>
        <v>1.4077759455845895</v>
      </c>
      <c r="S140" s="5">
        <f>SUM(IF(BM140="lease",BV140,0),IF(CH140="lease",CQ140,0),IF(DC140="lease",DL140,0),IF(DX140="lease",EG140,0),IF(ES140="lease",FB140,0),IF(FN140="lease",FW140,0),IF(GI140="lease",GR140,0),IF(HD140="lease",HM140,0),IF(HY140="lease",IH140,0),IF(IT140="lease",JC140,0))</f>
        <v>1.3993066083444134</v>
      </c>
      <c r="T140" s="5">
        <f>SUM(IF(BM140="keep",BU140,0),IF(CH140="keep",CP140,0),IF(DC140="keep",DK140,0),IF(DX140="keep",EF140,0),IF(ES140="keep",FA140,0),IF(FN140="keep",FV140,0),IF(GI140="keep",GQ140,0),IF(HD140="keep",HL140,0),IF(HY140="keep",IG140,0),IF(IT140="keep",JB140,0))</f>
        <v>0</v>
      </c>
      <c r="U140" s="5">
        <f>SUM(IF(BM140="keep",BV140,0),IF(CH140="keep",CQ140,0),IF(DC140="keep",DL140,0),IF(DX140="keep",EG140,0),IF(ES140="keep",FB140,0),IF(FN140="keep",FW140,0),IF(GI140="keep",GR140,0),IF(HD140="keep",HM140,0),IF(HY140="keep",IH140,0),IF(IT140="keep",JC140,0))</f>
        <v>0</v>
      </c>
      <c r="V140" s="5">
        <f>R140/O140</f>
        <v>1.6675289180003787</v>
      </c>
      <c r="W140" s="5">
        <f>S140/P140</f>
        <v>1.6902173591229868</v>
      </c>
      <c r="X140" s="5">
        <f>T140/O140</f>
        <v>0</v>
      </c>
      <c r="Y140" s="5">
        <f>U140/P140</f>
        <v>0</v>
      </c>
      <c r="Z140" s="5">
        <f>V140+X140</f>
        <v>1.6675289180003787</v>
      </c>
      <c r="AA140" s="7">
        <f>IFERROR(W140/V140-1,0)</f>
        <v>0.013606025585340298</v>
      </c>
      <c r="AB140" s="7">
        <f>IFERROR((W140-V140)/Z140,0)</f>
        <v>0.013606025585340334</v>
      </c>
      <c r="AC140" s="7">
        <f>IFERROR(Y140/X140-1,0)</f>
        <v>0</v>
      </c>
      <c r="AD140" s="7">
        <f>IFERROR((Y140-X140)/Z140,0)</f>
        <v>0</v>
      </c>
      <c r="AE140" s="7">
        <f>AB140+AD140</f>
        <v>0.013606025585340334</v>
      </c>
      <c r="AF140" s="7">
        <f>(1+Q140)*(1+AE140)-1</f>
        <v>-0.006016111631072851</v>
      </c>
      <c r="AG140" s="7">
        <f>G140-AF140</f>
        <v>-7.806255641895632e-17</v>
      </c>
      <c r="AH140" s="5">
        <f>SUM(IF(BM140="lease",BW140,0),IF(CH140="lease",CR140,0),IF(DC140="lease",DM140,0),IF(DX140="lease",EH140,0),IF(ES140="lease",FC140,0),IF(FN140="lease",FX140,0),IF(GI140="lease",GS140,0),IF(HD140="lease",HN140,0),IF(HY140="lease",II140,0),IF(IT140="lease",JD140,0))</f>
        <v>-0.008469337240176142</v>
      </c>
      <c r="AI140" s="5">
        <f>SUM(IF(BM140="keep",BW140,0),IF(CH140="keep",CR140,0),IF(DC140="keep",DM140,0),IF(DX140="keep",EH140,0),IF(ES140="keep",FC140,0),IF(FN140="keep",FX140,0),IF(GI140="keep",GS140,0),IF(HD140="keep",HN140,0),IF(HY140="keep",II140,0),IF(IT140="keep",JD140,0))</f>
        <v>0</v>
      </c>
      <c r="AJ140" s="5">
        <f>SUM(IF(BM140="lease",BX140,0),IF(CH140="lease",CS140,0),IF(DC140="lease",DN140,0),IF(DX140="lease",EI140,0),IF(ES140="lease",FD140,0),IF(FN140="lease",FY140,0),IF(GI140="lease",GT140,0),IF(HD140="lease",HO140,0),IF(HY140="lease",IJ140,0),IF(IT140="lease",JE140,0))</f>
        <v>0</v>
      </c>
      <c r="AK140" s="5">
        <f>SUM(IF(BM140="keep",BX140,0),IF(CH140="keep",CS140,0),IF(DC140="keep",DN140,0),IF(DX140="keep",EI140,0),IF(ES140="keep",FD140,0),IF(FN140="keep",FY140,0),IF(GI140="keep",GT140,0),IF(HD140="keep",HO140,0),IF(HY140="keep",IJ140,0),IF(IT140="keep",JE140,0))</f>
        <v>0</v>
      </c>
      <c r="AL140" s="5">
        <f>R140-S139</f>
        <v>0</v>
      </c>
      <c r="AM140" s="5">
        <f>T140-U139</f>
        <v>0</v>
      </c>
      <c r="AN140" s="5">
        <f>AN139</f>
        <v>1</v>
      </c>
      <c r="AO140" s="5">
        <f>AO139+AH140</f>
        <v>0.3993066083444136</v>
      </c>
      <c r="AP140" s="5">
        <f>AP139+AL140</f>
        <v>-4.440892098500626e-16</v>
      </c>
      <c r="AQ140" s="5">
        <f>AN140+AO140+AP140</f>
        <v>1.3993066083444132</v>
      </c>
      <c r="AR140" s="5">
        <f>S140-AQ140</f>
        <v>2.220446049250313e-16</v>
      </c>
      <c r="AS140" s="5">
        <f>AS139</f>
        <v>0</v>
      </c>
      <c r="AT140" s="5">
        <f>AT139+AI140</f>
        <v>0</v>
      </c>
      <c r="AU140" s="5">
        <f>AU139+AM140</f>
        <v>0</v>
      </c>
      <c r="AV140" s="5">
        <f>AS140+AT140+AU140</f>
        <v>0</v>
      </c>
      <c r="AW140" s="5">
        <f>U140-AV140</f>
        <v>0</v>
      </c>
      <c r="AX140" s="4">
        <v>1.4077759455845895</v>
      </c>
      <c r="AY140" s="4">
        <v>1.3993066083444134</v>
      </c>
      <c r="AZ140" s="5">
        <f>S140-AY140</f>
        <v>0</v>
      </c>
      <c r="BA140" s="4">
        <v>0</v>
      </c>
      <c r="BB140" s="4">
        <v>0</v>
      </c>
      <c r="BC140" s="5">
        <f>U140-BB140</f>
        <v>0</v>
      </c>
      <c r="BD140" s="7">
        <f>SUM(IF(BL140="direct",CE140,0),IF(CG140="direct",CZ140,0),IF(DB140="direct",DU140,0),IF(DW140="direct",EP140,0),IF(ER140="direct",FK140,0),IF(FM140="direct",GF140,0),IF(GH140="direct",HA140,0),IF(HC140="direct",HV140,0),IF(HX140="direct",IQ140,0),IF(IS140="direct",JL140,0))</f>
        <v>0</v>
      </c>
      <c r="BE140" s="7">
        <f>SUM(IF(BL140="treasury",CE140,0),IF(CG140="treasury",CZ140,0),IF(DB140="treasury",DU140,0),IF(DW140="treasury",EP140,0),IF(ER140="treasury",FK140,0),IF(FM140="treasury",GF140,0),IF(GH140="treasury",HA140,0),IF(HC140="treasury",HV140,0),IF(HX140="treasury",IQ140,0),IF(IS140="treasury",JL140,0))</f>
        <v>0.00019506849315068493</v>
      </c>
      <c r="BF140" s="7">
        <f>SUM(IF(BL140="future",CE140,0),IF(CG140="future",CZ140,0),IF(DB140="future",DU140,0),IF(DW140="future",EP140,0),IF(ER140="future",FK140,0),IF(FM140="future",GF140,0),IF(GH140="future",HA140,0),IF(HC140="future",HV140,0),IF(HX140="future",IQ140,0),IF(IS140="future",JL140,0))</f>
        <v>-0.006211180124223614</v>
      </c>
      <c r="BG140" s="7">
        <f>SUM(IF(BL140="cash",CE140,0),IF(CG140="cash",CZ140,0),IF(DB140="cash",DU140,0),IF(DW140="cash",EP140,0),IF(ER140="cash",FK140,0),IF(FM140="cash",GF140,0),IF(GH140="cash",HA140,0),IF(HC140="cash",HV140,0),IF(HX140="cash",IQ140,0),IF(IS140="cash",JL140,0))</f>
        <v>0</v>
      </c>
      <c r="BH140" s="7">
        <f>SUM(BD140:BG140)</f>
        <v>-0.006016111631072929</v>
      </c>
      <c r="BI140" s="7">
        <f>G140-BH140</f>
        <v>0</v>
      </c>
      <c r="BJ140" s="9">
        <f>COUNTA(BK140,CF140,DA140,DV140,EQ140,FL140,GG140,HB140,HW140,IR140)</f>
        <v>4</v>
      </c>
      <c r="BK140" t="inlineStr">
        <is>
          <t xml:space="preserve">Treasury collateral</t>
        </is>
      </c>
      <c r="BL140" t="inlineStr">
        <is>
          <t xml:space="preserve">treasury</t>
        </is>
      </c>
      <c r="BM140" t="inlineStr">
        <is>
          <t xml:space="preserve">lease</t>
        </is>
      </c>
      <c r="BN140" t="inlineStr">
        <is>
          <t xml:space="preserve">long</t>
        </is>
      </c>
      <c r="BO140"/>
      <c r="BP140" s="4">
        <v>103.60735335409092</v>
      </c>
      <c r="BQ140" s="4">
        <v>103.62756388438903</v>
      </c>
      <c r="BR140" s="4">
        <v>0.013587606477827318</v>
      </c>
      <c r="BS140" s="6">
        <v>1</v>
      </c>
      <c r="BT140" s="4">
        <v>1.4077759455845897</v>
      </c>
      <c r="BU140" s="4">
        <v>1.4077759455845897</v>
      </c>
      <c r="BV140" s="4">
        <v>1.4080505583169887</v>
      </c>
      <c r="BW140" s="4">
        <v>0.00027461273239896654</v>
      </c>
      <c r="BX140" s="4">
        <v>-3.984442983884229e-17</v>
      </c>
      <c r="BY140" s="4">
        <v>1.653</v>
      </c>
      <c r="BZ140" s="4">
        <v>1.621</v>
      </c>
      <c r="CA140" s="6"/>
      <c r="CB140" s="6"/>
      <c r="CC140" s="6"/>
      <c r="CD140" s="9">
        <v>60</v>
      </c>
      <c r="CE140" s="7">
        <f>IFERROR(BW140/F140,0)</f>
        <v>0.00019506849315068493</v>
      </c>
      <c r="CF140" t="inlineStr">
        <is>
          <t xml:space="preserve">SI69U</t>
        </is>
      </c>
      <c r="CG140" t="inlineStr">
        <is>
          <t xml:space="preserve">future</t>
        </is>
      </c>
      <c r="CH140" t="inlineStr">
        <is>
          <t xml:space="preserve">lease</t>
        </is>
      </c>
      <c r="CI140" t="inlineStr">
        <is>
          <t xml:space="preserve">long</t>
        </is>
      </c>
      <c r="CJ140" t="inlineStr">
        <is>
          <t xml:space="preserve">regular</t>
        </is>
      </c>
      <c r="CK140" s="4">
        <v>1.61</v>
      </c>
      <c r="CL140" s="4">
        <v>1.6</v>
      </c>
      <c r="CM140" s="4">
        <v>0.8743949972575091</v>
      </c>
      <c r="CN140" s="6">
        <v>1</v>
      </c>
      <c r="CO140" s="4">
        <v>1.4077759455845897</v>
      </c>
      <c r="CP140" s="4">
        <v>0</v>
      </c>
      <c r="CQ140" s="4">
        <v>0</v>
      </c>
      <c r="CR140" s="4">
        <v>-0.008743949972575108</v>
      </c>
      <c r="CS140" s="4">
        <v>0.008743949972575108</v>
      </c>
      <c r="CT140" s="4">
        <v>1.653</v>
      </c>
      <c r="CU140" s="4">
        <v>1.621</v>
      </c>
      <c r="CV140" s="6">
        <v>-0.026013309134906182</v>
      </c>
      <c r="CW140" s="6">
        <v>0.0712</v>
      </c>
      <c r="CX140" s="6">
        <v>0.2294476305706793</v>
      </c>
      <c r="CY140" s="9">
        <v>60</v>
      </c>
      <c r="CZ140" s="7">
        <f>IFERROR(CR140/F140,0)</f>
        <v>-0.006211180124223614</v>
      </c>
      <c r="DA140" t="inlineStr">
        <is>
          <t xml:space="preserve">Lease cash / margin / financing</t>
        </is>
      </c>
      <c r="DB140" t="inlineStr">
        <is>
          <t xml:space="preserve">cash</t>
        </is>
      </c>
      <c r="DC140" t="inlineStr">
        <is>
          <t xml:space="preserve">lease</t>
        </is>
      </c>
      <c r="DD140" t="inlineStr">
        <is>
          <t xml:space="preserve">cash</t>
        </is>
      </c>
      <c r="DE140"/>
      <c r="DF140" s="4">
        <v>1</v>
      </c>
      <c r="DG140" s="4">
        <v>1</v>
      </c>
      <c r="DH140" s="4">
        <v>-2.220446049250313e-16</v>
      </c>
      <c r="DI140" s="6"/>
      <c r="DJ140" s="4">
        <v>-2.220446049250313e-16</v>
      </c>
      <c r="DK140" s="4">
        <v>-2.220446049250313e-16</v>
      </c>
      <c r="DL140" s="4">
        <v>-0.00874394997257529</v>
      </c>
      <c r="DM140" s="4">
        <v>0</v>
      </c>
      <c r="DN140" s="4">
        <v>-0.008743949972575068</v>
      </c>
      <c r="DO140" s="4">
        <v>1.653</v>
      </c>
      <c r="DP140" s="4">
        <v>1.621</v>
      </c>
      <c r="DQ140" s="6"/>
      <c r="DR140" s="6"/>
      <c r="DS140" s="6"/>
      <c r="DT140" s="9"/>
      <c r="DU140" s="7">
        <f>IFERROR(DM140/F140,0)</f>
        <v>0</v>
      </c>
      <c r="DV140" t="inlineStr">
        <is>
          <t xml:space="preserve">Keep cash / margin / financing</t>
        </is>
      </c>
      <c r="DW140" t="inlineStr">
        <is>
          <t xml:space="preserve">cash</t>
        </is>
      </c>
      <c r="DX140" t="inlineStr">
        <is>
          <t xml:space="preserve">keep</t>
        </is>
      </c>
      <c r="DY140" t="inlineStr">
        <is>
          <t xml:space="preserve">cash</t>
        </is>
      </c>
      <c r="DZ140"/>
      <c r="EA140" s="4">
        <v>1</v>
      </c>
      <c r="EB140" s="4">
        <v>1</v>
      </c>
      <c r="EC140" s="4">
        <v>0</v>
      </c>
      <c r="ED140" s="6"/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1.653</v>
      </c>
      <c r="EK140" s="4">
        <v>1.621</v>
      </c>
      <c r="EL140" s="6"/>
      <c r="EM140" s="6"/>
      <c r="EN140" s="6"/>
      <c r="EO140" s="9"/>
      <c r="EP140" s="7">
        <f>IFERROR(EH140/F140,0)</f>
        <v>0</v>
      </c>
      <c r="EQ140"/>
      <c r="ER140"/>
      <c r="ES140"/>
      <c r="ET140"/>
      <c r="EU140"/>
      <c r="EV140" s="4"/>
      <c r="EW140" s="4"/>
      <c r="EX140" s="4"/>
      <c r="EY140" s="6"/>
      <c r="EZ140" s="4"/>
      <c r="FA140" s="4"/>
      <c r="FB140" s="4"/>
      <c r="FC140" s="4"/>
      <c r="FD140" s="4"/>
      <c r="FE140" s="4"/>
      <c r="FF140" s="4"/>
      <c r="FG140" s="6"/>
      <c r="FH140" s="6"/>
      <c r="FI140" s="6"/>
      <c r="FJ140" s="9"/>
      <c r="FK140"/>
      <c r="FL140"/>
      <c r="FM140"/>
      <c r="FN140"/>
      <c r="FO140"/>
      <c r="FP140"/>
      <c r="FQ140" s="4"/>
      <c r="FR140" s="4"/>
      <c r="FS140" s="4"/>
      <c r="FT140" s="6"/>
      <c r="FU140" s="4"/>
      <c r="FV140" s="4"/>
      <c r="FW140" s="4"/>
      <c r="FX140" s="4"/>
      <c r="FY140" s="4"/>
      <c r="FZ140" s="4"/>
      <c r="GA140" s="4"/>
      <c r="GB140" s="6"/>
      <c r="GC140" s="6"/>
      <c r="GD140" s="6"/>
      <c r="GE140" s="9"/>
      <c r="GF140"/>
      <c r="GG140"/>
      <c r="GH140"/>
      <c r="GI140"/>
      <c r="GJ140"/>
      <c r="GK140"/>
      <c r="GL140" s="4"/>
      <c r="GM140" s="4"/>
      <c r="GN140" s="4"/>
      <c r="GO140" s="6"/>
      <c r="GP140" s="4"/>
      <c r="GQ140" s="4"/>
      <c r="GR140" s="4"/>
      <c r="GS140" s="4"/>
      <c r="GT140" s="4"/>
      <c r="GU140" s="4"/>
      <c r="GV140" s="4"/>
      <c r="GW140" s="6"/>
      <c r="GX140" s="6"/>
      <c r="GY140" s="6"/>
      <c r="GZ140" s="9"/>
      <c r="HA140"/>
      <c r="HB140"/>
      <c r="HC140"/>
      <c r="HD140"/>
      <c r="HE140"/>
      <c r="HF140"/>
      <c r="HG140" s="4"/>
      <c r="HH140" s="4"/>
      <c r="HI140" s="4"/>
      <c r="HJ140" s="6"/>
      <c r="HK140" s="4"/>
      <c r="HL140" s="4"/>
      <c r="HM140" s="4"/>
      <c r="HN140" s="4"/>
      <c r="HO140" s="4"/>
      <c r="HP140" s="4"/>
      <c r="HQ140" s="4"/>
      <c r="HR140" s="6"/>
      <c r="HS140" s="6"/>
      <c r="HT140" s="6"/>
      <c r="HU140" s="9"/>
      <c r="HV140"/>
      <c r="HW140"/>
      <c r="HX140"/>
      <c r="HY140"/>
      <c r="HZ140"/>
      <c r="IA140"/>
      <c r="IB140" s="4"/>
      <c r="IC140" s="4"/>
      <c r="ID140" s="4"/>
      <c r="IE140" s="6"/>
      <c r="IF140" s="4"/>
      <c r="IG140" s="4"/>
      <c r="IH140" s="4"/>
      <c r="II140" s="4"/>
      <c r="IJ140" s="4"/>
      <c r="IK140" s="4"/>
      <c r="IL140" s="4"/>
      <c r="IM140" s="6"/>
      <c r="IN140" s="6"/>
      <c r="IO140" s="6"/>
      <c r="IP140" s="9"/>
      <c r="IQ140"/>
      <c r="IR140"/>
      <c r="IS140"/>
      <c r="IT140"/>
      <c r="IU140"/>
      <c r="IV140"/>
      <c r="IW140" s="4"/>
      <c r="IX140" s="4"/>
      <c r="IY140" s="4"/>
      <c r="IZ140" s="6"/>
      <c r="JA140" s="4"/>
      <c r="JB140" s="4"/>
      <c r="JC140" s="4"/>
      <c r="JD140" s="4"/>
      <c r="JE140" s="4"/>
      <c r="JF140" s="4"/>
      <c r="JG140" s="4"/>
      <c r="JH140" s="6"/>
      <c r="JI140" s="6"/>
      <c r="JJ140" s="6"/>
      <c r="JK140" s="9"/>
      <c r="JL140"/>
    </row>
    <row r="141">
      <c r="A141" s="8">
        <v>25413</v>
      </c>
      <c r="B141" s="8">
        <v>25414</v>
      </c>
      <c r="C141" s="9">
        <f>B141-A141</f>
        <v>1</v>
      </c>
      <c r="D141" s="8">
        <v>25413</v>
      </c>
      <c r="E141" t="inlineStr">
        <is>
          <t xml:space="preserve">positive</t>
        </is>
      </c>
      <c r="F141" s="4">
        <v>1.3993066083444134</v>
      </c>
      <c r="G141" s="6">
        <v>0.01269561643835612</v>
      </c>
      <c r="H141" s="7">
        <f>SUM(CE141,CZ141,DU141,EP141,FK141,GF141,HA141,HV141,IQ141,JL141)</f>
        <v>0.012695616438356117</v>
      </c>
      <c r="I141" s="7">
        <f>G141-H141</f>
        <v>3.469446951953614e-18</v>
      </c>
      <c r="J141" s="5">
        <f>F141*(1+H141)</f>
        <v>1.417071668323611</v>
      </c>
      <c r="K141" s="4">
        <v>1.417071668323611</v>
      </c>
      <c r="L141" s="5">
        <f>K141-J141</f>
        <v>0</v>
      </c>
      <c r="M141" s="4">
        <v>1.621</v>
      </c>
      <c r="N141" s="4">
        <v>1.622</v>
      </c>
      <c r="O141" s="5">
        <f>M141/$M$3</f>
        <v>0.8278855975485189</v>
      </c>
      <c r="P141" s="5">
        <f>N141/$M$3</f>
        <v>0.8283963227783453</v>
      </c>
      <c r="Q141" s="7">
        <f>IFERROR(N141/M141-1,0)</f>
        <v>0.0006169031462062158</v>
      </c>
      <c r="R141" s="5">
        <f>SUM(IF(BM141="lease",BU141,0),IF(CH141="lease",CP141,0),IF(DC141="lease",DK141,0),IF(DX141="lease",EF141,0),IF(ES141="lease",FA141,0),IF(FN141="lease",FV141,0),IF(GI141="lease",GQ141,0),IF(HD141="lease",HL141,0),IF(HY141="lease",IG141,0),IF(IT141="lease",JB141,0))</f>
        <v>1.3993066083444134</v>
      </c>
      <c r="S141" s="5">
        <f>SUM(IF(BM141="lease",BV141,0),IF(CH141="lease",CQ141,0),IF(DC141="lease",DL141,0),IF(DX141="lease",EG141,0),IF(ES141="lease",FB141,0),IF(FN141="lease",FW141,0),IF(GI141="lease",GR141,0),IF(HD141="lease",HM141,0),IF(HY141="lease",IH141,0),IF(IT141="lease",JC141,0))</f>
        <v>1.417071668323611</v>
      </c>
      <c r="T141" s="5">
        <f>SUM(IF(BM141="keep",BU141,0),IF(CH141="keep",CP141,0),IF(DC141="keep",DK141,0),IF(DX141="keep",EF141,0),IF(ES141="keep",FA141,0),IF(FN141="keep",FV141,0),IF(GI141="keep",GQ141,0),IF(HD141="keep",HL141,0),IF(HY141="keep",IG141,0),IF(IT141="keep",JB141,0))</f>
        <v>0</v>
      </c>
      <c r="U141" s="5">
        <f>SUM(IF(BM141="keep",BV141,0),IF(CH141="keep",CQ141,0),IF(DC141="keep",DL141,0),IF(DX141="keep",EG141,0),IF(ES141="keep",FB141,0),IF(FN141="keep",FW141,0),IF(GI141="keep",GR141,0),IF(HD141="keep",HM141,0),IF(HY141="keep",IH141,0),IF(IT141="keep",JC141,0))</f>
        <v>0</v>
      </c>
      <c r="V141" s="5">
        <f>R141/O141</f>
        <v>1.6902173591229868</v>
      </c>
      <c r="W141" s="5">
        <f>S141/P141</f>
        <v>1.710620423290771</v>
      </c>
      <c r="X141" s="5">
        <f>T141/O141</f>
        <v>0</v>
      </c>
      <c r="Y141" s="5">
        <f>U141/P141</f>
        <v>0</v>
      </c>
      <c r="Z141" s="5">
        <f>V141+X141</f>
        <v>1.6902173591229868</v>
      </c>
      <c r="AA141" s="7">
        <f>IFERROR(W141/V141-1,0)</f>
        <v>0.012071266489873667</v>
      </c>
      <c r="AB141" s="7">
        <f>IFERROR((W141-V141)/Z141,0)</f>
        <v>0.012071266489873708</v>
      </c>
      <c r="AC141" s="7">
        <f>IFERROR(Y141/X141-1,0)</f>
        <v>0</v>
      </c>
      <c r="AD141" s="7">
        <f>IFERROR((Y141-X141)/Z141,0)</f>
        <v>0</v>
      </c>
      <c r="AE141" s="7">
        <f>AB141+AD141</f>
        <v>0.012071266489873708</v>
      </c>
      <c r="AF141" s="7">
        <f>(1+Q141)*(1+AE141)-1</f>
        <v>0.01269561643835626</v>
      </c>
      <c r="AG141" s="7">
        <f>G141-AF141</f>
        <v>-1.4051260155412137e-16</v>
      </c>
      <c r="AH141" s="5">
        <f>SUM(IF(BM141="lease",BW141,0),IF(CH141="lease",CR141,0),IF(DC141="lease",DM141,0),IF(DX141="lease",EH141,0),IF(ES141="lease",FC141,0),IF(FN141="lease",FX141,0),IF(GI141="lease",GS141,0),IF(HD141="lease",HN141,0),IF(HY141="lease",II141,0),IF(IT141="lease",JD141,0))</f>
        <v>0.01776505997919768</v>
      </c>
      <c r="AI141" s="5">
        <f>SUM(IF(BM141="keep",BW141,0),IF(CH141="keep",CR141,0),IF(DC141="keep",DM141,0),IF(DX141="keep",EH141,0),IF(ES141="keep",FC141,0),IF(FN141="keep",FX141,0),IF(GI141="keep",GS141,0),IF(HD141="keep",HN141,0),IF(HY141="keep",II141,0),IF(IT141="keep",JD141,0))</f>
        <v>0</v>
      </c>
      <c r="AJ141" s="5">
        <f>SUM(IF(BM141="lease",BX141,0),IF(CH141="lease",CS141,0),IF(DC141="lease",DN141,0),IF(DX141="lease",EI141,0),IF(ES141="lease",FD141,0),IF(FN141="lease",FY141,0),IF(GI141="lease",GT141,0),IF(HD141="lease",HO141,0),IF(HY141="lease",IJ141,0),IF(IT141="lease",JE141,0))</f>
        <v>0</v>
      </c>
      <c r="AK141" s="5">
        <f>SUM(IF(BM141="keep",BX141,0),IF(CH141="keep",CS141,0),IF(DC141="keep",DN141,0),IF(DX141="keep",EI141,0),IF(ES141="keep",FD141,0),IF(FN141="keep",FY141,0),IF(GI141="keep",GT141,0),IF(HD141="keep",HO141,0),IF(HY141="keep",IJ141,0),IF(IT141="keep",JE141,0))</f>
        <v>0</v>
      </c>
      <c r="AL141" s="5">
        <f>R141-S140</f>
        <v>0</v>
      </c>
      <c r="AM141" s="5">
        <f>T141-U140</f>
        <v>0</v>
      </c>
      <c r="AN141" s="5">
        <f>AN140</f>
        <v>1</v>
      </c>
      <c r="AO141" s="5">
        <f>AO140+AH141</f>
        <v>0.4170716683236113</v>
      </c>
      <c r="AP141" s="5">
        <f>AP140+AL141</f>
        <v>-4.440892098500626e-16</v>
      </c>
      <c r="AQ141" s="5">
        <f>AN141+AO141+AP141</f>
        <v>1.4170716683236109</v>
      </c>
      <c r="AR141" s="5">
        <f>S141-AQ141</f>
        <v>2.220446049250313e-16</v>
      </c>
      <c r="AS141" s="5">
        <f>AS140</f>
        <v>0</v>
      </c>
      <c r="AT141" s="5">
        <f>AT140+AI141</f>
        <v>0</v>
      </c>
      <c r="AU141" s="5">
        <f>AU140+AM141</f>
        <v>0</v>
      </c>
      <c r="AV141" s="5">
        <f>AS141+AT141+AU141</f>
        <v>0</v>
      </c>
      <c r="AW141" s="5">
        <f>U141-AV141</f>
        <v>0</v>
      </c>
      <c r="AX141" s="4">
        <v>1.3993066083444134</v>
      </c>
      <c r="AY141" s="4">
        <v>1.417071668323611</v>
      </c>
      <c r="AZ141" s="5">
        <f>S141-AY141</f>
        <v>0</v>
      </c>
      <c r="BA141" s="4">
        <v>0</v>
      </c>
      <c r="BB141" s="4">
        <v>0</v>
      </c>
      <c r="BC141" s="5">
        <f>U141-BB141</f>
        <v>0</v>
      </c>
      <c r="BD141" s="7">
        <f>SUM(IF(BL141="direct",CE141,0),IF(CG141="direct",CZ141,0),IF(DB141="direct",DU141,0),IF(DW141="direct",EP141,0),IF(ER141="direct",FK141,0),IF(FM141="direct",GF141,0),IF(GH141="direct",HA141,0),IF(HC141="direct",HV141,0),IF(HX141="direct",IQ141,0),IF(IS141="direct",JL141,0))</f>
        <v>0</v>
      </c>
      <c r="BE141" s="7">
        <f>SUM(IF(BL141="treasury",CE141,0),IF(CG141="treasury",CZ141,0),IF(DB141="treasury",DU141,0),IF(DW141="treasury",EP141,0),IF(ER141="treasury",FK141,0),IF(FM141="treasury",GF141,0),IF(GH141="treasury",HA141,0),IF(HC141="treasury",HV141,0),IF(HX141="treasury",IQ141,0),IF(IS141="treasury",JL141,0))</f>
        <v>0.00019561643835616437</v>
      </c>
      <c r="BF141" s="7">
        <f>SUM(IF(BL141="future",CE141,0),IF(CG141="future",CZ141,0),IF(DB141="future",DU141,0),IF(DW141="future",EP141,0),IF(ER141="future",FK141,0),IF(FM141="future",GF141,0),IF(GH141="future",HA141,0),IF(HC141="future",HV141,0),IF(HX141="future",IQ141,0),IF(IS141="future",JL141,0))</f>
        <v>0.012499999999999954</v>
      </c>
      <c r="BG141" s="7">
        <f>SUM(IF(BL141="cash",CE141,0),IF(CG141="cash",CZ141,0),IF(DB141="cash",DU141,0),IF(DW141="cash",EP141,0),IF(ER141="cash",FK141,0),IF(FM141="cash",GF141,0),IF(GH141="cash",HA141,0),IF(HC141="cash",HV141,0),IF(HX141="cash",IQ141,0),IF(IS141="cash",JL141,0))</f>
        <v>0</v>
      </c>
      <c r="BH141" s="7">
        <f>SUM(BD141:BG141)</f>
        <v>0.012695616438356119</v>
      </c>
      <c r="BI141" s="7">
        <f>G141-BH141</f>
        <v>1.734723475976807e-18</v>
      </c>
      <c r="BJ141" s="9">
        <f>COUNTA(BK141,CF141,DA141,DV141,EQ141,FL141,GG141,HB141,HW141,IR141)</f>
        <v>4</v>
      </c>
      <c r="BK141" t="inlineStr">
        <is>
          <t xml:space="preserve">Treasury collateral</t>
        </is>
      </c>
      <c r="BL141" t="inlineStr">
        <is>
          <t xml:space="preserve">treasury</t>
        </is>
      </c>
      <c r="BM141" t="inlineStr">
        <is>
          <t xml:space="preserve">lease</t>
        </is>
      </c>
      <c r="BN141" t="inlineStr">
        <is>
          <t xml:space="preserve">long</t>
        </is>
      </c>
      <c r="BO141"/>
      <c r="BP141" s="4">
        <v>103.62756388438903</v>
      </c>
      <c r="BQ141" s="4">
        <v>103.64783513935161</v>
      </c>
      <c r="BR141" s="4">
        <v>0.0135032278661451</v>
      </c>
      <c r="BS141" s="6">
        <v>1</v>
      </c>
      <c r="BT141" s="4">
        <v>1.3993066083444134</v>
      </c>
      <c r="BU141" s="4">
        <v>1.3993066083444134</v>
      </c>
      <c r="BV141" s="4">
        <v>1.399580335719306</v>
      </c>
      <c r="BW141" s="4">
        <v>0.0002737273748925784</v>
      </c>
      <c r="BX141" s="4">
        <v>-7.106945240642482e-17</v>
      </c>
      <c r="BY141" s="4">
        <v>1.621</v>
      </c>
      <c r="BZ141" s="4">
        <v>1.622</v>
      </c>
      <c r="CA141" s="6"/>
      <c r="CB141" s="6"/>
      <c r="CC141" s="6"/>
      <c r="CD141" s="9">
        <v>59</v>
      </c>
      <c r="CE141" s="7">
        <f>IFERROR(BW141/F141,0)</f>
        <v>0.00019561643835616437</v>
      </c>
      <c r="CF141" t="inlineStr">
        <is>
          <t xml:space="preserve">SI69U</t>
        </is>
      </c>
      <c r="CG141" t="inlineStr">
        <is>
          <t xml:space="preserve">future</t>
        </is>
      </c>
      <c r="CH141" t="inlineStr">
        <is>
          <t xml:space="preserve">lease</t>
        </is>
      </c>
      <c r="CI141" t="inlineStr">
        <is>
          <t xml:space="preserve">long</t>
        </is>
      </c>
      <c r="CJ141" t="inlineStr">
        <is>
          <t xml:space="preserve">regular</t>
        </is>
      </c>
      <c r="CK141" s="4">
        <v>1.6</v>
      </c>
      <c r="CL141" s="4">
        <v>1.62</v>
      </c>
      <c r="CM141" s="4">
        <v>0.8745666302152584</v>
      </c>
      <c r="CN141" s="6">
        <v>1</v>
      </c>
      <c r="CO141" s="4">
        <v>1.3993066083444134</v>
      </c>
      <c r="CP141" s="4">
        <v>0</v>
      </c>
      <c r="CQ141" s="4">
        <v>0</v>
      </c>
      <c r="CR141" s="4">
        <v>0.017491332604305104</v>
      </c>
      <c r="CS141" s="4">
        <v>-0.017491332604305104</v>
      </c>
      <c r="CT141" s="4">
        <v>1.621</v>
      </c>
      <c r="CU141" s="4">
        <v>1.622</v>
      </c>
      <c r="CV141" s="6">
        <v>-0.012954966070326868</v>
      </c>
      <c r="CW141" s="6">
        <v>0.07139999999999999</v>
      </c>
      <c r="CX141" s="6">
        <v>0.15154512907914078</v>
      </c>
      <c r="CY141" s="9">
        <v>59</v>
      </c>
      <c r="CZ141" s="7">
        <f>IFERROR(CR141/F141,0)</f>
        <v>0.012499999999999954</v>
      </c>
      <c r="DA141" t="inlineStr">
        <is>
          <t xml:space="preserve">Lease cash / margin / financing</t>
        </is>
      </c>
      <c r="DB141" t="inlineStr">
        <is>
          <t xml:space="preserve">cash</t>
        </is>
      </c>
      <c r="DC141" t="inlineStr">
        <is>
          <t xml:space="preserve">lease</t>
        </is>
      </c>
      <c r="DD141" t="inlineStr">
        <is>
          <t xml:space="preserve">cash</t>
        </is>
      </c>
      <c r="DE141"/>
      <c r="DF141" s="4">
        <v>1</v>
      </c>
      <c r="DG141" s="4">
        <v>1</v>
      </c>
      <c r="DH141" s="4">
        <v>0</v>
      </c>
      <c r="DI141" s="6"/>
      <c r="DJ141" s="4">
        <v>0</v>
      </c>
      <c r="DK141" s="4">
        <v>0</v>
      </c>
      <c r="DL141" s="4">
        <v>0.017491332604305174</v>
      </c>
      <c r="DM141" s="4">
        <v>0</v>
      </c>
      <c r="DN141" s="4">
        <v>0.017491332604305174</v>
      </c>
      <c r="DO141" s="4">
        <v>1.621</v>
      </c>
      <c r="DP141" s="4">
        <v>1.622</v>
      </c>
      <c r="DQ141" s="6"/>
      <c r="DR141" s="6"/>
      <c r="DS141" s="6"/>
      <c r="DT141" s="9"/>
      <c r="DU141" s="7">
        <f>IFERROR(DM141/F141,0)</f>
        <v>0</v>
      </c>
      <c r="DV141" t="inlineStr">
        <is>
          <t xml:space="preserve">Keep cash / margin / financing</t>
        </is>
      </c>
      <c r="DW141" t="inlineStr">
        <is>
          <t xml:space="preserve">cash</t>
        </is>
      </c>
      <c r="DX141" t="inlineStr">
        <is>
          <t xml:space="preserve">keep</t>
        </is>
      </c>
      <c r="DY141" t="inlineStr">
        <is>
          <t xml:space="preserve">cash</t>
        </is>
      </c>
      <c r="DZ141"/>
      <c r="EA141" s="4">
        <v>1</v>
      </c>
      <c r="EB141" s="4">
        <v>1</v>
      </c>
      <c r="EC141" s="4">
        <v>0</v>
      </c>
      <c r="ED141" s="6"/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1.621</v>
      </c>
      <c r="EK141" s="4">
        <v>1.622</v>
      </c>
      <c r="EL141" s="6"/>
      <c r="EM141" s="6"/>
      <c r="EN141" s="6"/>
      <c r="EO141" s="9"/>
      <c r="EP141" s="7">
        <f>IFERROR(EH141/F141,0)</f>
        <v>0</v>
      </c>
      <c r="EQ141"/>
      <c r="ER141"/>
      <c r="ES141"/>
      <c r="ET141"/>
      <c r="EU141"/>
      <c r="EV141" s="4"/>
      <c r="EW141" s="4"/>
      <c r="EX141" s="4"/>
      <c r="EY141" s="6"/>
      <c r="EZ141" s="4"/>
      <c r="FA141" s="4"/>
      <c r="FB141" s="4"/>
      <c r="FC141" s="4"/>
      <c r="FD141" s="4"/>
      <c r="FE141" s="4"/>
      <c r="FF141" s="4"/>
      <c r="FG141" s="6"/>
      <c r="FH141" s="6"/>
      <c r="FI141" s="6"/>
      <c r="FJ141" s="9"/>
      <c r="FK141"/>
      <c r="FL141"/>
      <c r="FM141"/>
      <c r="FN141"/>
      <c r="FO141"/>
      <c r="FP141"/>
      <c r="FQ141" s="4"/>
      <c r="FR141" s="4"/>
      <c r="FS141" s="4"/>
      <c r="FT141" s="6"/>
      <c r="FU141" s="4"/>
      <c r="FV141" s="4"/>
      <c r="FW141" s="4"/>
      <c r="FX141" s="4"/>
      <c r="FY141" s="4"/>
      <c r="FZ141" s="4"/>
      <c r="GA141" s="4"/>
      <c r="GB141" s="6"/>
      <c r="GC141" s="6"/>
      <c r="GD141" s="6"/>
      <c r="GE141" s="9"/>
      <c r="GF141"/>
      <c r="GG141"/>
      <c r="GH141"/>
      <c r="GI141"/>
      <c r="GJ141"/>
      <c r="GK141"/>
      <c r="GL141" s="4"/>
      <c r="GM141" s="4"/>
      <c r="GN141" s="4"/>
      <c r="GO141" s="6"/>
      <c r="GP141" s="4"/>
      <c r="GQ141" s="4"/>
      <c r="GR141" s="4"/>
      <c r="GS141" s="4"/>
      <c r="GT141" s="4"/>
      <c r="GU141" s="4"/>
      <c r="GV141" s="4"/>
      <c r="GW141" s="6"/>
      <c r="GX141" s="6"/>
      <c r="GY141" s="6"/>
      <c r="GZ141" s="9"/>
      <c r="HA141"/>
      <c r="HB141"/>
      <c r="HC141"/>
      <c r="HD141"/>
      <c r="HE141"/>
      <c r="HF141"/>
      <c r="HG141" s="4"/>
      <c r="HH141" s="4"/>
      <c r="HI141" s="4"/>
      <c r="HJ141" s="6"/>
      <c r="HK141" s="4"/>
      <c r="HL141" s="4"/>
      <c r="HM141" s="4"/>
      <c r="HN141" s="4"/>
      <c r="HO141" s="4"/>
      <c r="HP141" s="4"/>
      <c r="HQ141" s="4"/>
      <c r="HR141" s="6"/>
      <c r="HS141" s="6"/>
      <c r="HT141" s="6"/>
      <c r="HU141" s="9"/>
      <c r="HV141"/>
      <c r="HW141"/>
      <c r="HX141"/>
      <c r="HY141"/>
      <c r="HZ141"/>
      <c r="IA141"/>
      <c r="IB141" s="4"/>
      <c r="IC141" s="4"/>
      <c r="ID141" s="4"/>
      <c r="IE141" s="6"/>
      <c r="IF141" s="4"/>
      <c r="IG141" s="4"/>
      <c r="IH141" s="4"/>
      <c r="II141" s="4"/>
      <c r="IJ141" s="4"/>
      <c r="IK141" s="4"/>
      <c r="IL141" s="4"/>
      <c r="IM141" s="6"/>
      <c r="IN141" s="6"/>
      <c r="IO141" s="6"/>
      <c r="IP141" s="9"/>
      <c r="IQ141"/>
      <c r="IR141"/>
      <c r="IS141"/>
      <c r="IT141"/>
      <c r="IU141"/>
      <c r="IV141"/>
      <c r="IW141" s="4"/>
      <c r="IX141" s="4"/>
      <c r="IY141" s="4"/>
      <c r="IZ141" s="6"/>
      <c r="JA141" s="4"/>
      <c r="JB141" s="4"/>
      <c r="JC141" s="4"/>
      <c r="JD141" s="4"/>
      <c r="JE141" s="4"/>
      <c r="JF141" s="4"/>
      <c r="JG141" s="4"/>
      <c r="JH141" s="6"/>
      <c r="JI141" s="6"/>
      <c r="JJ141" s="6"/>
      <c r="JK141" s="9"/>
      <c r="JL141"/>
    </row>
    <row r="142">
      <c r="A142" s="8">
        <v>25414</v>
      </c>
      <c r="B142" s="8">
        <v>25415</v>
      </c>
      <c r="C142" s="9">
        <f>B142-A142</f>
        <v>1</v>
      </c>
      <c r="D142" s="8">
        <v>25414</v>
      </c>
      <c r="E142" t="inlineStr">
        <is>
          <t xml:space="preserve">positive</t>
        </is>
      </c>
      <c r="F142" s="4">
        <v>1.417071668323611</v>
      </c>
      <c r="G142" s="6">
        <v>-0.0036955142713089484</v>
      </c>
      <c r="H142" s="7">
        <f>SUM(CE142,CZ142,DU142,EP142,FK142,GF142,HA142,HV142,IQ142,JL142)</f>
        <v>-0.003695514271308948</v>
      </c>
      <c r="I142" s="7">
        <f>G142-H142</f>
        <v>-4.336808689942018e-19</v>
      </c>
      <c r="J142" s="5">
        <f>F142*(1+H142)</f>
        <v>1.4118348597498536</v>
      </c>
      <c r="K142" s="4">
        <v>1.4118348597498536</v>
      </c>
      <c r="L142" s="5">
        <f>K142-J142</f>
        <v>0</v>
      </c>
      <c r="M142" s="4">
        <v>1.622</v>
      </c>
      <c r="N142" s="4">
        <v>1.629</v>
      </c>
      <c r="O142" s="5">
        <f>M142/$M$3</f>
        <v>0.8283963227783453</v>
      </c>
      <c r="P142" s="5">
        <f>N142/$M$3</f>
        <v>0.8319713993871297</v>
      </c>
      <c r="Q142" s="7">
        <f>IFERROR(N142/M142-1,0)</f>
        <v>0.004315659679408057</v>
      </c>
      <c r="R142" s="5">
        <f>SUM(IF(BM142="lease",BU142,0),IF(CH142="lease",CP142,0),IF(DC142="lease",DK142,0),IF(DX142="lease",EF142,0),IF(ES142="lease",FA142,0),IF(FN142="lease",FV142,0),IF(GI142="lease",GQ142,0),IF(HD142="lease",HL142,0),IF(HY142="lease",IG142,0),IF(IT142="lease",JB142,0))</f>
        <v>1.417071668323611</v>
      </c>
      <c r="S142" s="5">
        <f>SUM(IF(BM142="lease",BV142,0),IF(CH142="lease",CQ142,0),IF(DC142="lease",DL142,0),IF(DX142="lease",EG142,0),IF(ES142="lease",FB142,0),IF(FN142="lease",FW142,0),IF(GI142="lease",GR142,0),IF(HD142="lease",HM142,0),IF(HY142="lease",IH142,0),IF(IT142="lease",JC142,0))</f>
        <v>1.4118348597498538</v>
      </c>
      <c r="T142" s="5">
        <f>SUM(IF(BM142="keep",BU142,0),IF(CH142="keep",CP142,0),IF(DC142="keep",DK142,0),IF(DX142="keep",EF142,0),IF(ES142="keep",FA142,0),IF(FN142="keep",FV142,0),IF(GI142="keep",GQ142,0),IF(HD142="keep",HL142,0),IF(HY142="keep",IG142,0),IF(IT142="keep",JB142,0))</f>
        <v>0</v>
      </c>
      <c r="U142" s="5">
        <f>SUM(IF(BM142="keep",BV142,0),IF(CH142="keep",CQ142,0),IF(DC142="keep",DL142,0),IF(DX142="keep",EG142,0),IF(ES142="keep",FB142,0),IF(FN142="keep",FW142,0),IF(GI142="keep",GR142,0),IF(HD142="keep",HM142,0),IF(HY142="keep",IH142,0),IF(IT142="keep",JC142,0))</f>
        <v>0</v>
      </c>
      <c r="V142" s="5">
        <f>R142/O142</f>
        <v>1.710620423290771</v>
      </c>
      <c r="W142" s="5">
        <f>S142/P142</f>
        <v>1.6969752335114878</v>
      </c>
      <c r="X142" s="5">
        <f>T142/O142</f>
        <v>0</v>
      </c>
      <c r="Y142" s="5">
        <f>U142/P142</f>
        <v>0</v>
      </c>
      <c r="Z142" s="5">
        <f>V142+X142</f>
        <v>1.710620423290771</v>
      </c>
      <c r="AA142" s="7">
        <f>IFERROR(W142/V142-1,0)</f>
        <v>-0.00797674901661316</v>
      </c>
      <c r="AB142" s="7">
        <f>IFERROR((W142-V142)/Z142,0)</f>
        <v>-0.007976749016613183</v>
      </c>
      <c r="AC142" s="7">
        <f>IFERROR(Y142/X142-1,0)</f>
        <v>0</v>
      </c>
      <c r="AD142" s="7">
        <f>IFERROR((Y142-X142)/Z142,0)</f>
        <v>0</v>
      </c>
      <c r="AE142" s="7">
        <f>AB142+AD142</f>
        <v>-0.007976749016613183</v>
      </c>
      <c r="AF142" s="7">
        <f>(1+Q142)*(1+AE142)-1</f>
        <v>-0.003695514271308875</v>
      </c>
      <c r="AG142" s="7">
        <f>G142-AF142</f>
        <v>-7.32920668600201e-17</v>
      </c>
      <c r="AH142" s="5">
        <f>SUM(IF(BM142="lease",BW142,0),IF(CH142="lease",CR142,0),IF(DC142="lease",DM142,0),IF(DX142="lease",EH142,0),IF(ES142="lease",FC142,0),IF(FN142="lease",FX142,0),IF(GI142="lease",GS142,0),IF(HD142="lease",HN142,0),IF(HY142="lease",II142,0),IF(IT142="lease",JD142,0))</f>
        <v>-0.005236808573757485</v>
      </c>
      <c r="AI142" s="5">
        <f>SUM(IF(BM142="keep",BW142,0),IF(CH142="keep",CR142,0),IF(DC142="keep",DM142,0),IF(DX142="keep",EH142,0),IF(ES142="keep",FC142,0),IF(FN142="keep",FX142,0),IF(GI142="keep",GS142,0),IF(HD142="keep",HN142,0),IF(HY142="keep",II142,0),IF(IT142="keep",JD142,0))</f>
        <v>0</v>
      </c>
      <c r="AJ142" s="5">
        <f>SUM(IF(BM142="lease",BX142,0),IF(CH142="lease",CS142,0),IF(DC142="lease",DN142,0),IF(DX142="lease",EI142,0),IF(ES142="lease",FD142,0),IF(FN142="lease",FY142,0),IF(GI142="lease",GT142,0),IF(HD142="lease",HO142,0),IF(HY142="lease",IJ142,0),IF(IT142="lease",JE142,0))</f>
        <v>0</v>
      </c>
      <c r="AK142" s="5">
        <f>SUM(IF(BM142="keep",BX142,0),IF(CH142="keep",CS142,0),IF(DC142="keep",DN142,0),IF(DX142="keep",EI142,0),IF(ES142="keep",FD142,0),IF(FN142="keep",FY142,0),IF(GI142="keep",GT142,0),IF(HD142="keep",HO142,0),IF(HY142="keep",IJ142,0),IF(IT142="keep",JE142,0))</f>
        <v>0</v>
      </c>
      <c r="AL142" s="5">
        <f>R142-S141</f>
        <v>0</v>
      </c>
      <c r="AM142" s="5">
        <f>T142-U141</f>
        <v>0</v>
      </c>
      <c r="AN142" s="5">
        <f>AN141</f>
        <v>1</v>
      </c>
      <c r="AO142" s="5">
        <f>AO141+AH142</f>
        <v>0.41183485974985384</v>
      </c>
      <c r="AP142" s="5">
        <f>AP141+AL142</f>
        <v>-4.440892098500626e-16</v>
      </c>
      <c r="AQ142" s="5">
        <f>AN142+AO142+AP142</f>
        <v>1.4118348597498533</v>
      </c>
      <c r="AR142" s="5">
        <f>S142-AQ142</f>
        <v>4.440892098500626e-16</v>
      </c>
      <c r="AS142" s="5">
        <f>AS141</f>
        <v>0</v>
      </c>
      <c r="AT142" s="5">
        <f>AT141+AI142</f>
        <v>0</v>
      </c>
      <c r="AU142" s="5">
        <f>AU141+AM142</f>
        <v>0</v>
      </c>
      <c r="AV142" s="5">
        <f>AS142+AT142+AU142</f>
        <v>0</v>
      </c>
      <c r="AW142" s="5">
        <f>U142-AV142</f>
        <v>0</v>
      </c>
      <c r="AX142" s="4">
        <v>1.417071668323611</v>
      </c>
      <c r="AY142" s="4">
        <v>1.4118348597498536</v>
      </c>
      <c r="AZ142" s="5">
        <f>S142-AY142</f>
        <v>2.220446049250313e-16</v>
      </c>
      <c r="BA142" s="4">
        <v>0</v>
      </c>
      <c r="BB142" s="4">
        <v>0</v>
      </c>
      <c r="BC142" s="5">
        <f>U142-BB142</f>
        <v>0</v>
      </c>
      <c r="BD142" s="7">
        <f>SUM(IF(BL142="direct",CE142,0),IF(CG142="direct",CZ142,0),IF(DB142="direct",DU142,0),IF(DW142="direct",EP142,0),IF(ER142="direct",FK142,0),IF(FM142="direct",GF142,0),IF(GH142="direct",HA142,0),IF(HC142="direct",HV142,0),IF(HX142="direct",IQ142,0),IF(IS142="direct",JL142,0))</f>
        <v>0.00204353421578736</v>
      </c>
      <c r="BE142" s="7">
        <f>SUM(IF(BL142="treasury",CE142,0),IF(CG142="treasury",CZ142,0),IF(DB142="treasury",DU142,0),IF(DW142="treasury",EP142,0),IF(ER142="treasury",FK142,0),IF(FM142="treasury",GF142,0),IF(GH142="treasury",HA142,0),IF(HC142="treasury",HV142,0),IF(HX142="treasury",IQ142,0),IF(IS142="treasury",JL142,0))</f>
        <v>0.00010240956179410726</v>
      </c>
      <c r="BF142" s="7">
        <f>SUM(IF(BL142="future",CE142,0),IF(CG142="future",CZ142,0),IF(DB142="future",DU142,0),IF(DW142="future",EP142,0),IF(ER142="future",FK142,0),IF(FM142="future",GF142,0),IF(GH142="future",HA142,0),IF(HC142="future",HV142,0),IF(HX142="future",IQ142,0),IF(IS142="future",JL142,0))</f>
        <v>-0.005841458048890416</v>
      </c>
      <c r="BG142" s="7">
        <f>SUM(IF(BL142="cash",CE142,0),IF(CG142="cash",CZ142,0),IF(DB142="cash",DU142,0),IF(DW142="cash",EP142,0),IF(ER142="cash",FK142,0),IF(FM142="cash",GF142,0),IF(GH142="cash",HA142,0),IF(HC142="cash",HV142,0),IF(HX142="cash",IQ142,0),IF(IS142="cash",JL142,0))</f>
        <v>0</v>
      </c>
      <c r="BH142" s="7">
        <f>SUM(BD142:BG142)</f>
        <v>-0.003695514271308949</v>
      </c>
      <c r="BI142" s="7">
        <f>G142-BH142</f>
        <v>4.336808689942018e-19</v>
      </c>
      <c r="BJ142" s="9">
        <f>COUNTA(BK142,CF142,DA142,DV142,EQ142,FL142,GG142,HB142,HW142,IR142)</f>
        <v>5</v>
      </c>
      <c r="BK142" t="inlineStr">
        <is>
          <t xml:space="preserve">Direct commodity holding</t>
        </is>
      </c>
      <c r="BL142" t="inlineStr">
        <is>
          <t xml:space="preserve">direct</t>
        </is>
      </c>
      <c r="BM142" t="inlineStr">
        <is>
          <t xml:space="preserve">lease</t>
        </is>
      </c>
      <c r="BN142" t="inlineStr">
        <is>
          <t xml:space="preserve">long</t>
        </is>
      </c>
      <c r="BO142"/>
      <c r="BP142" s="4">
        <v>1.622</v>
      </c>
      <c r="BQ142" s="4">
        <v>1.629</v>
      </c>
      <c r="BR142" s="4">
        <v>0.414348239872445</v>
      </c>
      <c r="BS142" s="6">
        <v>0.47426877559987124</v>
      </c>
      <c r="BT142" s="4">
        <v>0.6720728450731058</v>
      </c>
      <c r="BU142" s="4">
        <v>0.6720728450731058</v>
      </c>
      <c r="BV142" s="4">
        <v>0.6749732827522129</v>
      </c>
      <c r="BW142" s="4">
        <v>0.0028958344404421766</v>
      </c>
      <c r="BX142" s="4">
        <v>0.000004603238664905272</v>
      </c>
      <c r="BY142" s="4">
        <v>1.622</v>
      </c>
      <c r="BZ142" s="4">
        <v>1.629</v>
      </c>
      <c r="CA142" s="6"/>
      <c r="CB142" s="6"/>
      <c r="CC142" s="6"/>
      <c r="CD142" s="9"/>
      <c r="CE142" s="7">
        <f>IFERROR(BW142/F142,0)</f>
        <v>0.00204353421578736</v>
      </c>
      <c r="CF142" t="inlineStr">
        <is>
          <t xml:space="preserve">Treasury collateral</t>
        </is>
      </c>
      <c r="CG142" t="inlineStr">
        <is>
          <t xml:space="preserve">treasury</t>
        </is>
      </c>
      <c r="CH142" t="inlineStr">
        <is>
          <t xml:space="preserve">lease</t>
        </is>
      </c>
      <c r="CI142" t="inlineStr">
        <is>
          <t xml:space="preserve">long</t>
        </is>
      </c>
      <c r="CJ142"/>
      <c r="CK142" s="4">
        <v>103.64783513935161</v>
      </c>
      <c r="CL142" s="4">
        <v>103.66802516970341</v>
      </c>
      <c r="CM142" s="4">
        <v>0.007187789520628918</v>
      </c>
      <c r="CN142" s="6">
        <v>0.5257312244001288</v>
      </c>
      <c r="CO142" s="4">
        <v>0.7449988232505053</v>
      </c>
      <c r="CP142" s="4">
        <v>0.7449988232505053</v>
      </c>
      <c r="CQ142" s="4">
        <v>0.7451439449390891</v>
      </c>
      <c r="CR142" s="4">
        <v>0.00014512168858386553</v>
      </c>
      <c r="CS142" s="4">
        <v>-3.8624702394796095e-17</v>
      </c>
      <c r="CT142" s="4">
        <v>1.622</v>
      </c>
      <c r="CU142" s="4">
        <v>1.629</v>
      </c>
      <c r="CV142" s="6"/>
      <c r="CW142" s="6"/>
      <c r="CX142" s="6"/>
      <c r="CY142" s="9">
        <v>58</v>
      </c>
      <c r="CZ142" s="7">
        <f>IFERROR(CR142/F142,0)</f>
        <v>0.00010240956179410726</v>
      </c>
      <c r="DA142" t="inlineStr">
        <is>
          <t xml:space="preserve">SI69U</t>
        </is>
      </c>
      <c r="DB142" t="inlineStr">
        <is>
          <t xml:space="preserve">future</t>
        </is>
      </c>
      <c r="DC142" t="inlineStr">
        <is>
          <t xml:space="preserve">lease</t>
        </is>
      </c>
      <c r="DD142" t="inlineStr">
        <is>
          <t xml:space="preserve">long</t>
        </is>
      </c>
      <c r="DE142" t="inlineStr">
        <is>
          <t xml:space="preserve">regular</t>
        </is>
      </c>
      <c r="DF142" s="4">
        <v>1.62</v>
      </c>
      <c r="DG142" s="4">
        <v>1.6019999999999999</v>
      </c>
      <c r="DH142" s="4">
        <v>0.4598758168212995</v>
      </c>
      <c r="DI142" s="6">
        <v>0.5257312244001288</v>
      </c>
      <c r="DJ142" s="4">
        <v>0.7449988232505053</v>
      </c>
      <c r="DK142" s="4">
        <v>0</v>
      </c>
      <c r="DL142" s="4">
        <v>0</v>
      </c>
      <c r="DM142" s="4">
        <v>-0.008277764702783528</v>
      </c>
      <c r="DN142" s="4">
        <v>0.008277764702783528</v>
      </c>
      <c r="DO142" s="4">
        <v>1.622</v>
      </c>
      <c r="DP142" s="4">
        <v>1.629</v>
      </c>
      <c r="DQ142" s="6">
        <v>-0.0012330456226880004</v>
      </c>
      <c r="DR142" s="6">
        <v>0.0711</v>
      </c>
      <c r="DS142" s="6">
        <v>0.0788596836600193</v>
      </c>
      <c r="DT142" s="9">
        <v>58</v>
      </c>
      <c r="DU142" s="7">
        <f>IFERROR(DM142/F142,0)</f>
        <v>-0.005841458048890416</v>
      </c>
      <c r="DV142" t="inlineStr">
        <is>
          <t xml:space="preserve">Lease cash / margin / financing</t>
        </is>
      </c>
      <c r="DW142" t="inlineStr">
        <is>
          <t xml:space="preserve">cash</t>
        </is>
      </c>
      <c r="DX142" t="inlineStr">
        <is>
          <t xml:space="preserve">lease</t>
        </is>
      </c>
      <c r="DY142" t="inlineStr">
        <is>
          <t xml:space="preserve">cash</t>
        </is>
      </c>
      <c r="DZ142"/>
      <c r="EA142" s="4">
        <v>1</v>
      </c>
      <c r="EB142" s="4">
        <v>1</v>
      </c>
      <c r="EC142" s="4">
        <v>0</v>
      </c>
      <c r="ED142" s="6"/>
      <c r="EE142" s="4">
        <v>0</v>
      </c>
      <c r="EF142" s="4">
        <v>0</v>
      </c>
      <c r="EG142" s="4">
        <v>-0.008282367941448394</v>
      </c>
      <c r="EH142" s="4">
        <v>0</v>
      </c>
      <c r="EI142" s="4">
        <v>-0.008282367941448394</v>
      </c>
      <c r="EJ142" s="4">
        <v>1.622</v>
      </c>
      <c r="EK142" s="4">
        <v>1.629</v>
      </c>
      <c r="EL142" s="6"/>
      <c r="EM142" s="6"/>
      <c r="EN142" s="6"/>
      <c r="EO142" s="9"/>
      <c r="EP142" s="7">
        <f>IFERROR(EH142/F142,0)</f>
        <v>0</v>
      </c>
      <c r="EQ142" t="inlineStr">
        <is>
          <t xml:space="preserve">Keep cash / margin / financing</t>
        </is>
      </c>
      <c r="ER142" t="inlineStr">
        <is>
          <t xml:space="preserve">cash</t>
        </is>
      </c>
      <c r="ES142" t="inlineStr">
        <is>
          <t xml:space="preserve">keep</t>
        </is>
      </c>
      <c r="ET142" t="inlineStr">
        <is>
          <t xml:space="preserve">cash</t>
        </is>
      </c>
      <c r="EU142"/>
      <c r="EV142" s="4">
        <v>1</v>
      </c>
      <c r="EW142" s="4">
        <v>1</v>
      </c>
      <c r="EX142" s="4">
        <v>0</v>
      </c>
      <c r="EY142" s="6"/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1.622</v>
      </c>
      <c r="FF142" s="4">
        <v>1.629</v>
      </c>
      <c r="FG142" s="6"/>
      <c r="FH142" s="6"/>
      <c r="FI142" s="6"/>
      <c r="FJ142" s="9"/>
      <c r="FK142" s="7">
        <f>IFERROR(FC142/F142,0)</f>
        <v>0</v>
      </c>
      <c r="FL142"/>
      <c r="FM142"/>
      <c r="FN142"/>
      <c r="FO142"/>
      <c r="FP142"/>
      <c r="FQ142" s="4"/>
      <c r="FR142" s="4"/>
      <c r="FS142" s="4"/>
      <c r="FT142" s="6"/>
      <c r="FU142" s="4"/>
      <c r="FV142" s="4"/>
      <c r="FW142" s="4"/>
      <c r="FX142" s="4"/>
      <c r="FY142" s="4"/>
      <c r="FZ142" s="4"/>
      <c r="GA142" s="4"/>
      <c r="GB142" s="6"/>
      <c r="GC142" s="6"/>
      <c r="GD142" s="6"/>
      <c r="GE142" s="9"/>
      <c r="GF142"/>
      <c r="GG142"/>
      <c r="GH142"/>
      <c r="GI142"/>
      <c r="GJ142"/>
      <c r="GK142"/>
      <c r="GL142" s="4"/>
      <c r="GM142" s="4"/>
      <c r="GN142" s="4"/>
      <c r="GO142" s="6"/>
      <c r="GP142" s="4"/>
      <c r="GQ142" s="4"/>
      <c r="GR142" s="4"/>
      <c r="GS142" s="4"/>
      <c r="GT142" s="4"/>
      <c r="GU142" s="4"/>
      <c r="GV142" s="4"/>
      <c r="GW142" s="6"/>
      <c r="GX142" s="6"/>
      <c r="GY142" s="6"/>
      <c r="GZ142" s="9"/>
      <c r="HA142"/>
      <c r="HB142"/>
      <c r="HC142"/>
      <c r="HD142"/>
      <c r="HE142"/>
      <c r="HF142"/>
      <c r="HG142" s="4"/>
      <c r="HH142" s="4"/>
      <c r="HI142" s="4"/>
      <c r="HJ142" s="6"/>
      <c r="HK142" s="4"/>
      <c r="HL142" s="4"/>
      <c r="HM142" s="4"/>
      <c r="HN142" s="4"/>
      <c r="HO142" s="4"/>
      <c r="HP142" s="4"/>
      <c r="HQ142" s="4"/>
      <c r="HR142" s="6"/>
      <c r="HS142" s="6"/>
      <c r="HT142" s="6"/>
      <c r="HU142" s="9"/>
      <c r="HV142"/>
      <c r="HW142"/>
      <c r="HX142"/>
      <c r="HY142"/>
      <c r="HZ142"/>
      <c r="IA142"/>
      <c r="IB142" s="4"/>
      <c r="IC142" s="4"/>
      <c r="ID142" s="4"/>
      <c r="IE142" s="6"/>
      <c r="IF142" s="4"/>
      <c r="IG142" s="4"/>
      <c r="IH142" s="4"/>
      <c r="II142" s="4"/>
      <c r="IJ142" s="4"/>
      <c r="IK142" s="4"/>
      <c r="IL142" s="4"/>
      <c r="IM142" s="6"/>
      <c r="IN142" s="6"/>
      <c r="IO142" s="6"/>
      <c r="IP142" s="9"/>
      <c r="IQ142"/>
      <c r="IR142"/>
      <c r="IS142"/>
      <c r="IT142"/>
      <c r="IU142"/>
      <c r="IV142"/>
      <c r="IW142" s="4"/>
      <c r="IX142" s="4"/>
      <c r="IY142" s="4"/>
      <c r="IZ142" s="6"/>
      <c r="JA142" s="4"/>
      <c r="JB142" s="4"/>
      <c r="JC142" s="4"/>
      <c r="JD142" s="4"/>
      <c r="JE142" s="4"/>
      <c r="JF142" s="4"/>
      <c r="JG142" s="4"/>
      <c r="JH142" s="6"/>
      <c r="JI142" s="6"/>
      <c r="JJ142" s="6"/>
      <c r="JK142" s="9"/>
      <c r="JL142"/>
    </row>
    <row r="143">
      <c r="A143" s="8">
        <v>25415</v>
      </c>
      <c r="B143" s="8">
        <v>25416</v>
      </c>
      <c r="C143" s="9">
        <f>B143-A143</f>
        <v>1</v>
      </c>
      <c r="D143" s="8">
        <v>25415</v>
      </c>
      <c r="E143" t="inlineStr">
        <is>
          <t xml:space="preserve">positive</t>
        </is>
      </c>
      <c r="F143" s="4">
        <v>1.4118348597498536</v>
      </c>
      <c r="G143" s="6">
        <v>0.007059841636310904</v>
      </c>
      <c r="H143" s="7">
        <f>SUM(CE143,CZ143,DU143,EP143,FK143,GF143,HA143,HV143,IQ143,JL143)</f>
        <v>0.007059841636310904</v>
      </c>
      <c r="I143" s="7">
        <f>G143-H143</f>
        <v>0</v>
      </c>
      <c r="J143" s="5">
        <f>F143*(1+H143)</f>
        <v>1.4218021902763105</v>
      </c>
      <c r="K143" s="4">
        <v>1.4218021902763105</v>
      </c>
      <c r="L143" s="5">
        <f>K143-J143</f>
        <v>0</v>
      </c>
      <c r="M143" s="4">
        <v>1.629</v>
      </c>
      <c r="N143" s="4">
        <v>1.614</v>
      </c>
      <c r="O143" s="5">
        <f>M143/$M$3</f>
        <v>0.8319713993871297</v>
      </c>
      <c r="P143" s="5">
        <f>N143/$M$3</f>
        <v>0.8243105209397344</v>
      </c>
      <c r="Q143" s="7">
        <f>IFERROR(N143/M143-1,0)</f>
        <v>-0.009208103130755041</v>
      </c>
      <c r="R143" s="5">
        <f>SUM(IF(BM143="lease",BU143,0),IF(CH143="lease",CP143,0),IF(DC143="lease",DK143,0),IF(DX143="lease",EF143,0),IF(ES143="lease",FA143,0),IF(FN143="lease",FV143,0),IF(GI143="lease",GQ143,0),IF(HD143="lease",HL143,0),IF(HY143="lease",IG143,0),IF(IT143="lease",JB143,0))</f>
        <v>1.4118348597498536</v>
      </c>
      <c r="S143" s="5">
        <f>SUM(IF(BM143="lease",BV143,0),IF(CH143="lease",CQ143,0),IF(DC143="lease",DL143,0),IF(DX143="lease",EG143,0),IF(ES143="lease",FB143,0),IF(FN143="lease",FW143,0),IF(GI143="lease",GR143,0),IF(HD143="lease",HM143,0),IF(HY143="lease",IH143,0),IF(IT143="lease",JC143,0))</f>
        <v>1.4218021902763107</v>
      </c>
      <c r="T143" s="5">
        <f>SUM(IF(BM143="keep",BU143,0),IF(CH143="keep",CP143,0),IF(DC143="keep",DK143,0),IF(DX143="keep",EF143,0),IF(ES143="keep",FA143,0),IF(FN143="keep",FV143,0),IF(GI143="keep",GQ143,0),IF(HD143="keep",HL143,0),IF(HY143="keep",IG143,0),IF(IT143="keep",JB143,0))</f>
        <v>0</v>
      </c>
      <c r="U143" s="5">
        <f>SUM(IF(BM143="keep",BV143,0),IF(CH143="keep",CQ143,0),IF(DC143="keep",DL143,0),IF(DX143="keep",EG143,0),IF(ES143="keep",FB143,0),IF(FN143="keep",FW143,0),IF(GI143="keep",GR143,0),IF(HD143="keep",HM143,0),IF(HY143="keep",IH143,0),IF(IT143="keep",JC143,0))</f>
        <v>0</v>
      </c>
      <c r="V143" s="5">
        <f>R143/O143</f>
        <v>1.6969752335114876</v>
      </c>
      <c r="W143" s="5">
        <f>S143/P143</f>
        <v>1.7248380970018689</v>
      </c>
      <c r="X143" s="5">
        <f>T143/O143</f>
        <v>0</v>
      </c>
      <c r="Y143" s="5">
        <f>U143/P143</f>
        <v>0</v>
      </c>
      <c r="Z143" s="5">
        <f>V143+X143</f>
        <v>1.6969752335114876</v>
      </c>
      <c r="AA143" s="7">
        <f>IFERROR(W143/V143-1,0)</f>
        <v>0.01641913384482674</v>
      </c>
      <c r="AB143" s="7">
        <f>IFERROR((W143-V143)/Z143,0)</f>
        <v>0.016419133844826756</v>
      </c>
      <c r="AC143" s="7">
        <f>IFERROR(Y143/X143-1,0)</f>
        <v>0</v>
      </c>
      <c r="AD143" s="7">
        <f>IFERROR((Y143-X143)/Z143,0)</f>
        <v>0</v>
      </c>
      <c r="AE143" s="7">
        <f>AB143+AD143</f>
        <v>0.016419133844826756</v>
      </c>
      <c r="AF143" s="7">
        <f>(1+Q143)*(1+AE143)-1</f>
        <v>0.007059841636310793</v>
      </c>
      <c r="AG143" s="7">
        <f>G143-AF143</f>
        <v>1.1102230246251565e-16</v>
      </c>
      <c r="AH143" s="5">
        <f>SUM(IF(BM143="lease",BW143,0),IF(CH143="lease",CR143,0),IF(DC143="lease",DM143,0),IF(DX143="lease",EH143,0),IF(ES143="lease",FC143,0),IF(FN143="lease",FX143,0),IF(GI143="lease",GS143,0),IF(HD143="lease",HN143,0),IF(HY143="lease",II143,0),IF(IT143="lease",JD143,0))</f>
        <v>0.009967330526457182</v>
      </c>
      <c r="AI143" s="5">
        <f>SUM(IF(BM143="keep",BW143,0),IF(CH143="keep",CR143,0),IF(DC143="keep",DM143,0),IF(DX143="keep",EH143,0),IF(ES143="keep",FC143,0),IF(FN143="keep",FX143,0),IF(GI143="keep",GS143,0),IF(HD143="keep",HN143,0),IF(HY143="keep",II143,0),IF(IT143="keep",JD143,0))</f>
        <v>0</v>
      </c>
      <c r="AJ143" s="5">
        <f>SUM(IF(BM143="lease",BX143,0),IF(CH143="lease",CS143,0),IF(DC143="lease",DN143,0),IF(DX143="lease",EI143,0),IF(ES143="lease",FD143,0),IF(FN143="lease",FY143,0),IF(GI143="lease",GT143,0),IF(HD143="lease",HO143,0),IF(HY143="lease",IJ143,0),IF(IT143="lease",JE143,0))</f>
        <v>0</v>
      </c>
      <c r="AK143" s="5">
        <f>SUM(IF(BM143="keep",BX143,0),IF(CH143="keep",CS143,0),IF(DC143="keep",DN143,0),IF(DX143="keep",EI143,0),IF(ES143="keep",FD143,0),IF(FN143="keep",FY143,0),IF(GI143="keep",GT143,0),IF(HD143="keep",HO143,0),IF(HY143="keep",IJ143,0),IF(IT143="keep",JE143,0))</f>
        <v>0</v>
      </c>
      <c r="AL143" s="5">
        <f>R143-S142</f>
        <v>-2.220446049250313e-16</v>
      </c>
      <c r="AM143" s="5">
        <f>T143-U142</f>
        <v>0</v>
      </c>
      <c r="AN143" s="5">
        <f>AN142</f>
        <v>1</v>
      </c>
      <c r="AO143" s="5">
        <f>AO142+AH143</f>
        <v>0.42180219027631105</v>
      </c>
      <c r="AP143" s="5">
        <f>AP142+AL143</f>
        <v>-6.661338147750939e-16</v>
      </c>
      <c r="AQ143" s="5">
        <f>AN143+AO143+AP143</f>
        <v>1.4218021902763105</v>
      </c>
      <c r="AR143" s="5">
        <f>S143-AQ143</f>
        <v>2.220446049250313e-16</v>
      </c>
      <c r="AS143" s="5">
        <f>AS142</f>
        <v>0</v>
      </c>
      <c r="AT143" s="5">
        <f>AT142+AI143</f>
        <v>0</v>
      </c>
      <c r="AU143" s="5">
        <f>AU142+AM143</f>
        <v>0</v>
      </c>
      <c r="AV143" s="5">
        <f>AS143+AT143+AU143</f>
        <v>0</v>
      </c>
      <c r="AW143" s="5">
        <f>U143-AV143</f>
        <v>0</v>
      </c>
      <c r="AX143" s="4">
        <v>1.4118348597498536</v>
      </c>
      <c r="AY143" s="4">
        <v>1.4218021902763107</v>
      </c>
      <c r="AZ143" s="5">
        <f>S143-AY143</f>
        <v>0</v>
      </c>
      <c r="BA143" s="4">
        <v>0</v>
      </c>
      <c r="BB143" s="4">
        <v>0</v>
      </c>
      <c r="BC143" s="5">
        <f>U143-BB143</f>
        <v>0</v>
      </c>
      <c r="BD143" s="7">
        <f>SUM(IF(BL143="direct",CE143,0),IF(CG143="direct",CZ143,0),IF(DB143="direct",DU143,0),IF(DW143="direct",EP143,0),IF(ER143="direct",FK143,0),IF(FM143="direct",GF143,0),IF(GH143="direct",HA143,0),IF(HC143="direct",HV143,0),IF(HX143="direct",IQ143,0),IF(IS143="direct",JL143,0))</f>
        <v>0</v>
      </c>
      <c r="BE143" s="7">
        <f>SUM(IF(BL143="treasury",CE143,0),IF(CG143="treasury",CZ143,0),IF(DB143="treasury",DU143,0),IF(DW143="treasury",EP143,0),IF(ER143="treasury",FK143,0),IF(FM143="treasury",GF143,0),IF(GH143="treasury",HA143,0),IF(HC143="treasury",HV143,0),IF(HX143="treasury",IQ143,0),IF(IS143="treasury",JL143,0))</f>
        <v>0.00019342465753424654</v>
      </c>
      <c r="BF143" s="7">
        <f>SUM(IF(BL143="future",CE143,0),IF(CG143="future",CZ143,0),IF(DB143="future",DU143,0),IF(DW143="future",EP143,0),IF(ER143="future",FK143,0),IF(FM143="future",GF143,0),IF(GH143="future",HA143,0),IF(HC143="future",HV143,0),IF(HX143="future",IQ143,0),IF(IS143="future",JL143,0))</f>
        <v>0.006866416978776657</v>
      </c>
      <c r="BG143" s="7">
        <f>SUM(IF(BL143="cash",CE143,0),IF(CG143="cash",CZ143,0),IF(DB143="cash",DU143,0),IF(DW143="cash",EP143,0),IF(ER143="cash",FK143,0),IF(FM143="cash",GF143,0),IF(GH143="cash",HA143,0),IF(HC143="cash",HV143,0),IF(HX143="cash",IQ143,0),IF(IS143="cash",JL143,0))</f>
        <v>0</v>
      </c>
      <c r="BH143" s="7">
        <f>SUM(BD143:BG143)</f>
        <v>0.007059841636310904</v>
      </c>
      <c r="BI143" s="7">
        <f>G143-BH143</f>
        <v>0</v>
      </c>
      <c r="BJ143" s="9">
        <f>COUNTA(BK143,CF143,DA143,DV143,EQ143,FL143,GG143,HB143,HW143,IR143)</f>
        <v>4</v>
      </c>
      <c r="BK143" t="inlineStr">
        <is>
          <t xml:space="preserve">Treasury collateral</t>
        </is>
      </c>
      <c r="BL143" t="inlineStr">
        <is>
          <t xml:space="preserve">treasury</t>
        </is>
      </c>
      <c r="BM143" t="inlineStr">
        <is>
          <t xml:space="preserve">lease</t>
        </is>
      </c>
      <c r="BN143" t="inlineStr">
        <is>
          <t xml:space="preserve">long</t>
        </is>
      </c>
      <c r="BO143"/>
      <c r="BP143" s="4">
        <v>103.66802516970341</v>
      </c>
      <c r="BQ143" s="4">
        <v>103.6880771219691</v>
      </c>
      <c r="BR143" s="4">
        <v>0.013618807317287037</v>
      </c>
      <c r="BS143" s="6">
        <v>1</v>
      </c>
      <c r="BT143" s="4">
        <v>1.4118348597498536</v>
      </c>
      <c r="BU143" s="4">
        <v>1.4118348597498536</v>
      </c>
      <c r="BV143" s="4">
        <v>1.4121079434240955</v>
      </c>
      <c r="BW143" s="4">
        <v>0.00027308367424202644</v>
      </c>
      <c r="BX143" s="4">
        <v>-7.909254848281755e-17</v>
      </c>
      <c r="BY143" s="4">
        <v>1.629</v>
      </c>
      <c r="BZ143" s="4">
        <v>1.614</v>
      </c>
      <c r="CA143" s="6"/>
      <c r="CB143" s="6"/>
      <c r="CC143" s="6"/>
      <c r="CD143" s="9">
        <v>57</v>
      </c>
      <c r="CE143" s="7">
        <f>IFERROR(BW143/F143,0)</f>
        <v>0.00019342465753424654</v>
      </c>
      <c r="CF143" t="inlineStr">
        <is>
          <t xml:space="preserve">SI69U</t>
        </is>
      </c>
      <c r="CG143" t="inlineStr">
        <is>
          <t xml:space="preserve">future</t>
        </is>
      </c>
      <c r="CH143" t="inlineStr">
        <is>
          <t xml:space="preserve">lease</t>
        </is>
      </c>
      <c r="CI143" t="inlineStr">
        <is>
          <t xml:space="preserve">long</t>
        </is>
      </c>
      <c r="CJ143" t="inlineStr">
        <is>
          <t xml:space="preserve">regular</t>
        </is>
      </c>
      <c r="CK143" s="4">
        <v>1.6019999999999999</v>
      </c>
      <c r="CL143" s="4">
        <v>1.6130000000000002</v>
      </c>
      <c r="CM143" s="4">
        <v>0.8812951683831796</v>
      </c>
      <c r="CN143" s="6">
        <v>1</v>
      </c>
      <c r="CO143" s="4">
        <v>1.4118348597498536</v>
      </c>
      <c r="CP143" s="4">
        <v>0</v>
      </c>
      <c r="CQ143" s="4">
        <v>0</v>
      </c>
      <c r="CR143" s="4">
        <v>0.009694246852215154</v>
      </c>
      <c r="CS143" s="4">
        <v>-0.009694246852215154</v>
      </c>
      <c r="CT143" s="4">
        <v>1.629</v>
      </c>
      <c r="CU143" s="4">
        <v>1.614</v>
      </c>
      <c r="CV143" s="6">
        <v>-0.016574585635359185</v>
      </c>
      <c r="CW143" s="6">
        <v>0.0706</v>
      </c>
      <c r="CX143" s="6">
        <v>0.1767355045071246</v>
      </c>
      <c r="CY143" s="9">
        <v>57</v>
      </c>
      <c r="CZ143" s="7">
        <f>IFERROR(CR143/F143,0)</f>
        <v>0.006866416978776657</v>
      </c>
      <c r="DA143" t="inlineStr">
        <is>
          <t xml:space="preserve">Lease cash / margin / financing</t>
        </is>
      </c>
      <c r="DB143" t="inlineStr">
        <is>
          <t xml:space="preserve">cash</t>
        </is>
      </c>
      <c r="DC143" t="inlineStr">
        <is>
          <t xml:space="preserve">lease</t>
        </is>
      </c>
      <c r="DD143" t="inlineStr">
        <is>
          <t xml:space="preserve">cash</t>
        </is>
      </c>
      <c r="DE143"/>
      <c r="DF143" s="4">
        <v>1</v>
      </c>
      <c r="DG143" s="4">
        <v>1</v>
      </c>
      <c r="DH143" s="4">
        <v>0</v>
      </c>
      <c r="DI143" s="6"/>
      <c r="DJ143" s="4">
        <v>0</v>
      </c>
      <c r="DK143" s="4">
        <v>0</v>
      </c>
      <c r="DL143" s="4">
        <v>0.009694246852215234</v>
      </c>
      <c r="DM143" s="4">
        <v>0</v>
      </c>
      <c r="DN143" s="4">
        <v>0.009694246852215234</v>
      </c>
      <c r="DO143" s="4">
        <v>1.629</v>
      </c>
      <c r="DP143" s="4">
        <v>1.614</v>
      </c>
      <c r="DQ143" s="6"/>
      <c r="DR143" s="6"/>
      <c r="DS143" s="6"/>
      <c r="DT143" s="9"/>
      <c r="DU143" s="7">
        <f>IFERROR(DM143/F143,0)</f>
        <v>0</v>
      </c>
      <c r="DV143" t="inlineStr">
        <is>
          <t xml:space="preserve">Keep cash / margin / financing</t>
        </is>
      </c>
      <c r="DW143" t="inlineStr">
        <is>
          <t xml:space="preserve">cash</t>
        </is>
      </c>
      <c r="DX143" t="inlineStr">
        <is>
          <t xml:space="preserve">keep</t>
        </is>
      </c>
      <c r="DY143" t="inlineStr">
        <is>
          <t xml:space="preserve">cash</t>
        </is>
      </c>
      <c r="DZ143"/>
      <c r="EA143" s="4">
        <v>1</v>
      </c>
      <c r="EB143" s="4">
        <v>1</v>
      </c>
      <c r="EC143" s="4">
        <v>0</v>
      </c>
      <c r="ED143" s="6"/>
      <c r="EE143" s="4">
        <v>0</v>
      </c>
      <c r="EF143" s="4">
        <v>0</v>
      </c>
      <c r="EG143" s="4">
        <v>0</v>
      </c>
      <c r="EH143" s="4">
        <v>0</v>
      </c>
      <c r="EI143" s="4">
        <v>0</v>
      </c>
      <c r="EJ143" s="4">
        <v>1.629</v>
      </c>
      <c r="EK143" s="4">
        <v>1.614</v>
      </c>
      <c r="EL143" s="6"/>
      <c r="EM143" s="6"/>
      <c r="EN143" s="6"/>
      <c r="EO143" s="9"/>
      <c r="EP143" s="7">
        <f>IFERROR(EH143/F143,0)</f>
        <v>0</v>
      </c>
      <c r="EQ143"/>
      <c r="ER143"/>
      <c r="ES143"/>
      <c r="ET143"/>
      <c r="EU143"/>
      <c r="EV143" s="4"/>
      <c r="EW143" s="4"/>
      <c r="EX143" s="4"/>
      <c r="EY143" s="6"/>
      <c r="EZ143" s="4"/>
      <c r="FA143" s="4"/>
      <c r="FB143" s="4"/>
      <c r="FC143" s="4"/>
      <c r="FD143" s="4"/>
      <c r="FE143" s="4"/>
      <c r="FF143" s="4"/>
      <c r="FG143" s="6"/>
      <c r="FH143" s="6"/>
      <c r="FI143" s="6"/>
      <c r="FJ143" s="9"/>
      <c r="FK143"/>
      <c r="FL143"/>
      <c r="FM143"/>
      <c r="FN143"/>
      <c r="FO143"/>
      <c r="FP143"/>
      <c r="FQ143" s="4"/>
      <c r="FR143" s="4"/>
      <c r="FS143" s="4"/>
      <c r="FT143" s="6"/>
      <c r="FU143" s="4"/>
      <c r="FV143" s="4"/>
      <c r="FW143" s="4"/>
      <c r="FX143" s="4"/>
      <c r="FY143" s="4"/>
      <c r="FZ143" s="4"/>
      <c r="GA143" s="4"/>
      <c r="GB143" s="6"/>
      <c r="GC143" s="6"/>
      <c r="GD143" s="6"/>
      <c r="GE143" s="9"/>
      <c r="GF143"/>
      <c r="GG143"/>
      <c r="GH143"/>
      <c r="GI143"/>
      <c r="GJ143"/>
      <c r="GK143"/>
      <c r="GL143" s="4"/>
      <c r="GM143" s="4"/>
      <c r="GN143" s="4"/>
      <c r="GO143" s="6"/>
      <c r="GP143" s="4"/>
      <c r="GQ143" s="4"/>
      <c r="GR143" s="4"/>
      <c r="GS143" s="4"/>
      <c r="GT143" s="4"/>
      <c r="GU143" s="4"/>
      <c r="GV143" s="4"/>
      <c r="GW143" s="6"/>
      <c r="GX143" s="6"/>
      <c r="GY143" s="6"/>
      <c r="GZ143" s="9"/>
      <c r="HA143"/>
      <c r="HB143"/>
      <c r="HC143"/>
      <c r="HD143"/>
      <c r="HE143"/>
      <c r="HF143"/>
      <c r="HG143" s="4"/>
      <c r="HH143" s="4"/>
      <c r="HI143" s="4"/>
      <c r="HJ143" s="6"/>
      <c r="HK143" s="4"/>
      <c r="HL143" s="4"/>
      <c r="HM143" s="4"/>
      <c r="HN143" s="4"/>
      <c r="HO143" s="4"/>
      <c r="HP143" s="4"/>
      <c r="HQ143" s="4"/>
      <c r="HR143" s="6"/>
      <c r="HS143" s="6"/>
      <c r="HT143" s="6"/>
      <c r="HU143" s="9"/>
      <c r="HV143"/>
      <c r="HW143"/>
      <c r="HX143"/>
      <c r="HY143"/>
      <c r="HZ143"/>
      <c r="IA143"/>
      <c r="IB143" s="4"/>
      <c r="IC143" s="4"/>
      <c r="ID143" s="4"/>
      <c r="IE143" s="6"/>
      <c r="IF143" s="4"/>
      <c r="IG143" s="4"/>
      <c r="IH143" s="4"/>
      <c r="II143" s="4"/>
      <c r="IJ143" s="4"/>
      <c r="IK143" s="4"/>
      <c r="IL143" s="4"/>
      <c r="IM143" s="6"/>
      <c r="IN143" s="6"/>
      <c r="IO143" s="6"/>
      <c r="IP143" s="9"/>
      <c r="IQ143"/>
      <c r="IR143"/>
      <c r="IS143"/>
      <c r="IT143"/>
      <c r="IU143"/>
      <c r="IV143"/>
      <c r="IW143" s="4"/>
      <c r="IX143" s="4"/>
      <c r="IY143" s="4"/>
      <c r="IZ143" s="6"/>
      <c r="JA143" s="4"/>
      <c r="JB143" s="4"/>
      <c r="JC143" s="4"/>
      <c r="JD143" s="4"/>
      <c r="JE143" s="4"/>
      <c r="JF143" s="4"/>
      <c r="JG143" s="4"/>
      <c r="JH143" s="6"/>
      <c r="JI143" s="6"/>
      <c r="JJ143" s="6"/>
      <c r="JK143" s="9"/>
      <c r="JL143"/>
    </row>
    <row r="144">
      <c r="A144" s="8">
        <v>25416</v>
      </c>
      <c r="B144" s="8">
        <v>25419</v>
      </c>
      <c r="C144" s="9">
        <f>B144-A144</f>
        <v>3</v>
      </c>
      <c r="D144" s="8">
        <v>25416</v>
      </c>
      <c r="E144" t="inlineStr">
        <is>
          <t xml:space="preserve">positive</t>
        </is>
      </c>
      <c r="F144" s="4">
        <v>1.4218021902763105</v>
      </c>
      <c r="G144" s="6">
        <v>-0.0024572190125341765</v>
      </c>
      <c r="H144" s="7">
        <f>SUM(CE144,CZ144,DU144,EP144,FK144,GF144,HA144,HV144,IQ144,JL144)</f>
        <v>-0.0024572190125341765</v>
      </c>
      <c r="I144" s="7">
        <f>G144-H144</f>
        <v>0</v>
      </c>
      <c r="J144" s="5">
        <f>F144*(1+H144)</f>
        <v>1.4183085109023008</v>
      </c>
      <c r="K144" s="4">
        <v>1.4183085109023008</v>
      </c>
      <c r="L144" s="5">
        <f>K144-J144</f>
        <v>0</v>
      </c>
      <c r="M144" s="4">
        <v>1.614</v>
      </c>
      <c r="N144" s="4">
        <v>1.617</v>
      </c>
      <c r="O144" s="5">
        <f>M144/$M$3</f>
        <v>0.8243105209397344</v>
      </c>
      <c r="P144" s="5">
        <f>N144/$M$3</f>
        <v>0.8258426966292135</v>
      </c>
      <c r="Q144" s="7">
        <f>IFERROR(N144/M144-1,0)</f>
        <v>0.0018587360594795044</v>
      </c>
      <c r="R144" s="5">
        <f>SUM(IF(BM144="lease",BU144,0),IF(CH144="lease",CP144,0),IF(DC144="lease",DK144,0),IF(DX144="lease",EF144,0),IF(ES144="lease",FA144,0),IF(FN144="lease",FV144,0),IF(GI144="lease",GQ144,0),IF(HD144="lease",HL144,0),IF(HY144="lease",IG144,0),IF(IT144="lease",JB144,0))</f>
        <v>1.4218021902763107</v>
      </c>
      <c r="S144" s="5">
        <f>SUM(IF(BM144="lease",BV144,0),IF(CH144="lease",CQ144,0),IF(DC144="lease",DL144,0),IF(DX144="lease",EG144,0),IF(ES144="lease",FB144,0),IF(FN144="lease",FW144,0),IF(GI144="lease",GR144,0),IF(HD144="lease",HM144,0),IF(HY144="lease",IH144,0),IF(IT144="lease",JC144,0))</f>
        <v>1.418308510902301</v>
      </c>
      <c r="T144" s="5">
        <f>SUM(IF(BM144="keep",BU144,0),IF(CH144="keep",CP144,0),IF(DC144="keep",DK144,0),IF(DX144="keep",EF144,0),IF(ES144="keep",FA144,0),IF(FN144="keep",FV144,0),IF(GI144="keep",GQ144,0),IF(HD144="keep",HL144,0),IF(HY144="keep",IG144,0),IF(IT144="keep",JB144,0))</f>
        <v>0</v>
      </c>
      <c r="U144" s="5">
        <f>SUM(IF(BM144="keep",BV144,0),IF(CH144="keep",CQ144,0),IF(DC144="keep",DL144,0),IF(DX144="keep",EG144,0),IF(ES144="keep",FB144,0),IF(FN144="keep",FW144,0),IF(GI144="keep",GR144,0),IF(HD144="keep",HM144,0),IF(HY144="keep",IH144,0),IF(IT144="keep",JC144,0))</f>
        <v>0</v>
      </c>
      <c r="V144" s="5">
        <f>R144/O144</f>
        <v>1.7248380970018689</v>
      </c>
      <c r="W144" s="5">
        <f>S144/P144</f>
        <v>1.7174075846299972</v>
      </c>
      <c r="X144" s="5">
        <f>T144/O144</f>
        <v>0</v>
      </c>
      <c r="Y144" s="5">
        <f>U144/P144</f>
        <v>0</v>
      </c>
      <c r="Z144" s="5">
        <f>V144+X144</f>
        <v>1.7248380970018689</v>
      </c>
      <c r="AA144" s="7">
        <f>IFERROR(W144/V144-1,0)</f>
        <v>-0.004307947734217721</v>
      </c>
      <c r="AB144" s="7">
        <f>IFERROR((W144-V144)/Z144,0)</f>
        <v>-0.004307947734217743</v>
      </c>
      <c r="AC144" s="7">
        <f>IFERROR(Y144/X144-1,0)</f>
        <v>0</v>
      </c>
      <c r="AD144" s="7">
        <f>IFERROR((Y144-X144)/Z144,0)</f>
        <v>0</v>
      </c>
      <c r="AE144" s="7">
        <f>AB144+AD144</f>
        <v>-0.004307947734217743</v>
      </c>
      <c r="AF144" s="7">
        <f>(1+Q144)*(1+AE144)-1</f>
        <v>-0.002457219012534151</v>
      </c>
      <c r="AG144" s="7">
        <f>G144-AF144</f>
        <v>-2.5587171270657905e-17</v>
      </c>
      <c r="AH144" s="5">
        <f>SUM(IF(BM144="lease",BW144,0),IF(CH144="lease",CR144,0),IF(DC144="lease",DM144,0),IF(DX144="lease",EH144,0),IF(ES144="lease",FC144,0),IF(FN144="lease",FX144,0),IF(GI144="lease",GS144,0),IF(HD144="lease",HN144,0),IF(HY144="lease",II144,0),IF(IT144="lease",JD144,0))</f>
        <v>-0.0034936793740096847</v>
      </c>
      <c r="AI144" s="5">
        <f>SUM(IF(BM144="keep",BW144,0),IF(CH144="keep",CR144,0),IF(DC144="keep",DM144,0),IF(DX144="keep",EH144,0),IF(ES144="keep",FC144,0),IF(FN144="keep",FX144,0),IF(GI144="keep",GS144,0),IF(HD144="keep",HN144,0),IF(HY144="keep",II144,0),IF(IT144="keep",JD144,0))</f>
        <v>0</v>
      </c>
      <c r="AJ144" s="5">
        <f>SUM(IF(BM144="lease",BX144,0),IF(CH144="lease",CS144,0),IF(DC144="lease",DN144,0),IF(DX144="lease",EI144,0),IF(ES144="lease",FD144,0),IF(FN144="lease",FY144,0),IF(GI144="lease",GT144,0),IF(HD144="lease",HO144,0),IF(HY144="lease",IJ144,0),IF(IT144="lease",JE144,0))</f>
        <v>0</v>
      </c>
      <c r="AK144" s="5">
        <f>SUM(IF(BM144="keep",BX144,0),IF(CH144="keep",CS144,0),IF(DC144="keep",DN144,0),IF(DX144="keep",EI144,0),IF(ES144="keep",FD144,0),IF(FN144="keep",FY144,0),IF(GI144="keep",GT144,0),IF(HD144="keep",HO144,0),IF(HY144="keep",IJ144,0),IF(IT144="keep",JE144,0))</f>
        <v>0</v>
      </c>
      <c r="AL144" s="5">
        <f>R144-S143</f>
        <v>0</v>
      </c>
      <c r="AM144" s="5">
        <f>T144-U143</f>
        <v>0</v>
      </c>
      <c r="AN144" s="5">
        <f>AN143</f>
        <v>1</v>
      </c>
      <c r="AO144" s="5">
        <f>AO143+AH144</f>
        <v>0.41830851090230137</v>
      </c>
      <c r="AP144" s="5">
        <f>AP143+AL144</f>
        <v>-6.661338147750939e-16</v>
      </c>
      <c r="AQ144" s="5">
        <f>AN144+AO144+AP144</f>
        <v>1.4183085109023008</v>
      </c>
      <c r="AR144" s="5">
        <f>S144-AQ144</f>
        <v>2.220446049250313e-16</v>
      </c>
      <c r="AS144" s="5">
        <f>AS143</f>
        <v>0</v>
      </c>
      <c r="AT144" s="5">
        <f>AT143+AI144</f>
        <v>0</v>
      </c>
      <c r="AU144" s="5">
        <f>AU143+AM144</f>
        <v>0</v>
      </c>
      <c r="AV144" s="5">
        <f>AS144+AT144+AU144</f>
        <v>0</v>
      </c>
      <c r="AW144" s="5">
        <f>U144-AV144</f>
        <v>0</v>
      </c>
      <c r="AX144" s="4">
        <v>1.4218021902763107</v>
      </c>
      <c r="AY144" s="4">
        <v>1.418308510902301</v>
      </c>
      <c r="AZ144" s="5">
        <f>S144-AY144</f>
        <v>0</v>
      </c>
      <c r="BA144" s="4">
        <v>0</v>
      </c>
      <c r="BB144" s="4">
        <v>0</v>
      </c>
      <c r="BC144" s="5">
        <f>U144-BB144</f>
        <v>0</v>
      </c>
      <c r="BD144" s="7">
        <f>SUM(IF(BL144="direct",CE144,0),IF(CG144="direct",CZ144,0),IF(DB144="direct",DU144,0),IF(DW144="direct",EP144,0),IF(ER144="direct",FK144,0),IF(FM144="direct",GF144,0),IF(GH144="direct",HA144,0),IF(HC144="direct",HV144,0),IF(HX144="direct",IQ144,0),IF(IS144="direct",JL144,0))</f>
        <v>0.0009308789830009407</v>
      </c>
      <c r="BE144" s="7">
        <f>SUM(IF(BL144="treasury",CE144,0),IF(CG144="treasury",CZ144,0),IF(DB144="treasury",DU144,0),IF(DW144="treasury",EP144,0),IF(ER144="treasury",FK144,0),IF(FM144="treasury",GF144,0),IF(GH144="treasury",HA144,0),IF(HC144="treasury",HV144,0),IF(HX144="treasury",IQ144,0),IF(IS144="treasury",JL144,0))</f>
        <v>0.00028398261784725893</v>
      </c>
      <c r="BF144" s="7">
        <f>SUM(IF(BL144="future",CE144,0),IF(CG144="future",CZ144,0),IF(DB144="future",DU144,0),IF(DW144="future",EP144,0),IF(ER144="future",FK144,0),IF(FM144="future",GF144,0),IF(GH144="future",HA144,0),IF(HC144="future",HV144,0),IF(HX144="future",IQ144,0),IF(IS144="future",JL144,0))</f>
        <v>-0.003672080613382376</v>
      </c>
      <c r="BG144" s="7">
        <f>SUM(IF(BL144="cash",CE144,0),IF(CG144="cash",CZ144,0),IF(DB144="cash",DU144,0),IF(DW144="cash",EP144,0),IF(ER144="cash",FK144,0),IF(FM144="cash",GF144,0),IF(GH144="cash",HA144,0),IF(HC144="cash",HV144,0),IF(HX144="cash",IQ144,0),IF(IS144="cash",JL144,0))</f>
        <v>0</v>
      </c>
      <c r="BH144" s="7">
        <f>SUM(BD144:BG144)</f>
        <v>-0.0024572190125341765</v>
      </c>
      <c r="BI144" s="7">
        <f>G144-BH144</f>
        <v>0</v>
      </c>
      <c r="BJ144" s="9">
        <f>COUNTA(BK144,CF144,DA144,DV144,EQ144,FL144,GG144,HB144,HW144,IR144)</f>
        <v>5</v>
      </c>
      <c r="BK144" t="inlineStr">
        <is>
          <t xml:space="preserve">Direct commodity holding</t>
        </is>
      </c>
      <c r="BL144" t="inlineStr">
        <is>
          <t xml:space="preserve">direct</t>
        </is>
      </c>
      <c r="BM144" t="inlineStr">
        <is>
          <t xml:space="preserve">lease</t>
        </is>
      </c>
      <c r="BN144" t="inlineStr">
        <is>
          <t xml:space="preserve">long</t>
        </is>
      </c>
      <c r="BO144"/>
      <c r="BP144" s="4">
        <v>1.614</v>
      </c>
      <c r="BQ144" s="4">
        <v>1.617</v>
      </c>
      <c r="BR144" s="4">
        <v>0.44610687885088535</v>
      </c>
      <c r="BS144" s="6">
        <v>0.5064111642178595</v>
      </c>
      <c r="BT144" s="4">
        <v>0.720016502465329</v>
      </c>
      <c r="BU144" s="4">
        <v>0.720016502465329</v>
      </c>
      <c r="BV144" s="4">
        <v>0.7213548231018816</v>
      </c>
      <c r="BW144" s="4">
        <v>0.001323525776912922</v>
      </c>
      <c r="BX144" s="4">
        <v>0.000014794859639670477</v>
      </c>
      <c r="BY144" s="4">
        <v>1.614</v>
      </c>
      <c r="BZ144" s="4">
        <v>1.617</v>
      </c>
      <c r="CA144" s="6"/>
      <c r="CB144" s="6"/>
      <c r="CC144" s="6"/>
      <c r="CD144" s="9"/>
      <c r="CE144" s="7">
        <f>IFERROR(BW144/F144,0)</f>
        <v>0.0009308789830009407</v>
      </c>
      <c r="CF144" t="inlineStr">
        <is>
          <t xml:space="preserve">Treasury collateral</t>
        </is>
      </c>
      <c r="CG144" t="inlineStr">
        <is>
          <t xml:space="preserve">treasury</t>
        </is>
      </c>
      <c r="CH144" t="inlineStr">
        <is>
          <t xml:space="preserve">lease</t>
        </is>
      </c>
      <c r="CI144" t="inlineStr">
        <is>
          <t xml:space="preserve">long</t>
        </is>
      </c>
      <c r="CJ144"/>
      <c r="CK144" s="4">
        <v>103.6880771219691</v>
      </c>
      <c r="CL144" s="4">
        <v>103.7477332759297</v>
      </c>
      <c r="CM144" s="4">
        <v>0.006768239003848682</v>
      </c>
      <c r="CN144" s="6">
        <v>0.49358883578214047</v>
      </c>
      <c r="CO144" s="4">
        <v>0.7017856878109815</v>
      </c>
      <c r="CP144" s="4">
        <v>0.7017856878109815</v>
      </c>
      <c r="CQ144" s="4">
        <v>0.7021894549190373</v>
      </c>
      <c r="CR144" s="4">
        <v>0.0004037671080556332</v>
      </c>
      <c r="CS144" s="4">
        <v>1.5265566588595902e-16</v>
      </c>
      <c r="CT144" s="4">
        <v>1.614</v>
      </c>
      <c r="CU144" s="4">
        <v>1.617</v>
      </c>
      <c r="CV144" s="6"/>
      <c r="CW144" s="6"/>
      <c r="CX144" s="6"/>
      <c r="CY144" s="9">
        <v>56</v>
      </c>
      <c r="CZ144" s="7">
        <f>IFERROR(CR144/F144,0)</f>
        <v>0.00028398261784725893</v>
      </c>
      <c r="DA144" t="inlineStr">
        <is>
          <t xml:space="preserve">SI69U</t>
        </is>
      </c>
      <c r="DB144" t="inlineStr">
        <is>
          <t xml:space="preserve">future</t>
        </is>
      </c>
      <c r="DC144" t="inlineStr">
        <is>
          <t xml:space="preserve">lease</t>
        </is>
      </c>
      <c r="DD144" t="inlineStr">
        <is>
          <t xml:space="preserve">long</t>
        </is>
      </c>
      <c r="DE144" t="inlineStr">
        <is>
          <t xml:space="preserve">regular</t>
        </is>
      </c>
      <c r="DF144" s="4">
        <v>1.6130000000000002</v>
      </c>
      <c r="DG144" s="4">
        <v>1.601</v>
      </c>
      <c r="DH144" s="4">
        <v>0.43508102158151357</v>
      </c>
      <c r="DI144" s="6">
        <v>0.49358883578214047</v>
      </c>
      <c r="DJ144" s="4">
        <v>0.7017856878109815</v>
      </c>
      <c r="DK144" s="4">
        <v>0</v>
      </c>
      <c r="DL144" s="4">
        <v>0</v>
      </c>
      <c r="DM144" s="4">
        <v>-0.00522097225897824</v>
      </c>
      <c r="DN144" s="4">
        <v>0.00522097225897824</v>
      </c>
      <c r="DO144" s="4">
        <v>1.614</v>
      </c>
      <c r="DP144" s="4">
        <v>1.617</v>
      </c>
      <c r="DQ144" s="6">
        <v>-0.0006195786864930941</v>
      </c>
      <c r="DR144" s="6">
        <v>0.07</v>
      </c>
      <c r="DS144" s="6">
        <v>0.07403832536732106</v>
      </c>
      <c r="DT144" s="9">
        <v>56</v>
      </c>
      <c r="DU144" s="7">
        <f>IFERROR(DM144/F144,0)</f>
        <v>-0.003672080613382376</v>
      </c>
      <c r="DV144" t="inlineStr">
        <is>
          <t xml:space="preserve">Lease cash / margin / financing</t>
        </is>
      </c>
      <c r="DW144" t="inlineStr">
        <is>
          <t xml:space="preserve">cash</t>
        </is>
      </c>
      <c r="DX144" t="inlineStr">
        <is>
          <t xml:space="preserve">lease</t>
        </is>
      </c>
      <c r="DY144" t="inlineStr">
        <is>
          <t xml:space="preserve">cash</t>
        </is>
      </c>
      <c r="DZ144"/>
      <c r="EA144" s="4">
        <v>1</v>
      </c>
      <c r="EB144" s="4">
        <v>1</v>
      </c>
      <c r="EC144" s="4">
        <v>2.220446049250313e-16</v>
      </c>
      <c r="ED144" s="6"/>
      <c r="EE144" s="4">
        <v>2.220446049250313e-16</v>
      </c>
      <c r="EF144" s="4">
        <v>2.220446049250313e-16</v>
      </c>
      <c r="EG144" s="4">
        <v>-0.005235767118617841</v>
      </c>
      <c r="EH144" s="4">
        <v>0</v>
      </c>
      <c r="EI144" s="4">
        <v>-0.005235767118618063</v>
      </c>
      <c r="EJ144" s="4">
        <v>1.614</v>
      </c>
      <c r="EK144" s="4">
        <v>1.617</v>
      </c>
      <c r="EL144" s="6"/>
      <c r="EM144" s="6"/>
      <c r="EN144" s="6"/>
      <c r="EO144" s="9"/>
      <c r="EP144" s="7">
        <f>IFERROR(EH144/F144,0)</f>
        <v>0</v>
      </c>
      <c r="EQ144" t="inlineStr">
        <is>
          <t xml:space="preserve">Keep cash / margin / financing</t>
        </is>
      </c>
      <c r="ER144" t="inlineStr">
        <is>
          <t xml:space="preserve">cash</t>
        </is>
      </c>
      <c r="ES144" t="inlineStr">
        <is>
          <t xml:space="preserve">keep</t>
        </is>
      </c>
      <c r="ET144" t="inlineStr">
        <is>
          <t xml:space="preserve">cash</t>
        </is>
      </c>
      <c r="EU144"/>
      <c r="EV144" s="4">
        <v>1</v>
      </c>
      <c r="EW144" s="4">
        <v>1</v>
      </c>
      <c r="EX144" s="4">
        <v>0</v>
      </c>
      <c r="EY144" s="6"/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1.614</v>
      </c>
      <c r="FF144" s="4">
        <v>1.617</v>
      </c>
      <c r="FG144" s="6"/>
      <c r="FH144" s="6"/>
      <c r="FI144" s="6"/>
      <c r="FJ144" s="9"/>
      <c r="FK144" s="7">
        <f>IFERROR(FC144/F144,0)</f>
        <v>0</v>
      </c>
      <c r="FL144"/>
      <c r="FM144"/>
      <c r="FN144"/>
      <c r="FO144"/>
      <c r="FP144"/>
      <c r="FQ144" s="4"/>
      <c r="FR144" s="4"/>
      <c r="FS144" s="4"/>
      <c r="FT144" s="6"/>
      <c r="FU144" s="4"/>
      <c r="FV144" s="4"/>
      <c r="FW144" s="4"/>
      <c r="FX144" s="4"/>
      <c r="FY144" s="4"/>
      <c r="FZ144" s="4"/>
      <c r="GA144" s="4"/>
      <c r="GB144" s="6"/>
      <c r="GC144" s="6"/>
      <c r="GD144" s="6"/>
      <c r="GE144" s="9"/>
      <c r="GF144"/>
      <c r="GG144"/>
      <c r="GH144"/>
      <c r="GI144"/>
      <c r="GJ144"/>
      <c r="GK144"/>
      <c r="GL144" s="4"/>
      <c r="GM144" s="4"/>
      <c r="GN144" s="4"/>
      <c r="GO144" s="6"/>
      <c r="GP144" s="4"/>
      <c r="GQ144" s="4"/>
      <c r="GR144" s="4"/>
      <c r="GS144" s="4"/>
      <c r="GT144" s="4"/>
      <c r="GU144" s="4"/>
      <c r="GV144" s="4"/>
      <c r="GW144" s="6"/>
      <c r="GX144" s="6"/>
      <c r="GY144" s="6"/>
      <c r="GZ144" s="9"/>
      <c r="HA144"/>
      <c r="HB144"/>
      <c r="HC144"/>
      <c r="HD144"/>
      <c r="HE144"/>
      <c r="HF144"/>
      <c r="HG144" s="4"/>
      <c r="HH144" s="4"/>
      <c r="HI144" s="4"/>
      <c r="HJ144" s="6"/>
      <c r="HK144" s="4"/>
      <c r="HL144" s="4"/>
      <c r="HM144" s="4"/>
      <c r="HN144" s="4"/>
      <c r="HO144" s="4"/>
      <c r="HP144" s="4"/>
      <c r="HQ144" s="4"/>
      <c r="HR144" s="6"/>
      <c r="HS144" s="6"/>
      <c r="HT144" s="6"/>
      <c r="HU144" s="9"/>
      <c r="HV144"/>
      <c r="HW144"/>
      <c r="HX144"/>
      <c r="HY144"/>
      <c r="HZ144"/>
      <c r="IA144"/>
      <c r="IB144" s="4"/>
      <c r="IC144" s="4"/>
      <c r="ID144" s="4"/>
      <c r="IE144" s="6"/>
      <c r="IF144" s="4"/>
      <c r="IG144" s="4"/>
      <c r="IH144" s="4"/>
      <c r="II144" s="4"/>
      <c r="IJ144" s="4"/>
      <c r="IK144" s="4"/>
      <c r="IL144" s="4"/>
      <c r="IM144" s="6"/>
      <c r="IN144" s="6"/>
      <c r="IO144" s="6"/>
      <c r="IP144" s="9"/>
      <c r="IQ144"/>
      <c r="IR144"/>
      <c r="IS144"/>
      <c r="IT144"/>
      <c r="IU144"/>
      <c r="IV144"/>
      <c r="IW144" s="4"/>
      <c r="IX144" s="4"/>
      <c r="IY144" s="4"/>
      <c r="IZ144" s="6"/>
      <c r="JA144" s="4"/>
      <c r="JB144" s="4"/>
      <c r="JC144" s="4"/>
      <c r="JD144" s="4"/>
      <c r="JE144" s="4"/>
      <c r="JF144" s="4"/>
      <c r="JG144" s="4"/>
      <c r="JH144" s="6"/>
      <c r="JI144" s="6"/>
      <c r="JJ144" s="6"/>
      <c r="JK144" s="9"/>
      <c r="JL144"/>
    </row>
    <row r="145">
      <c r="A145" s="8">
        <v>25419</v>
      </c>
      <c r="B145" s="8">
        <v>25420</v>
      </c>
      <c r="C145" s="9">
        <f>B145-A145</f>
        <v>1</v>
      </c>
      <c r="D145" s="8">
        <v>25419</v>
      </c>
      <c r="E145" t="inlineStr">
        <is>
          <t xml:space="preserve">positive</t>
        </is>
      </c>
      <c r="F145" s="4">
        <v>1.4183085109023008</v>
      </c>
      <c r="G145" s="6">
        <v>0.015839020031629087</v>
      </c>
      <c r="H145" s="7">
        <f>SUM(CE145,CZ145,DU145,EP145,FK145,GF145,HA145,HV145,IQ145,JL145)</f>
        <v>0.015839020031629087</v>
      </c>
      <c r="I145" s="7">
        <f>G145-H145</f>
        <v>0</v>
      </c>
      <c r="J145" s="5">
        <f>F145*(1+H145)</f>
        <v>1.4407731278175124</v>
      </c>
      <c r="K145" s="4">
        <v>1.4407731278175124</v>
      </c>
      <c r="L145" s="5">
        <f>K145-J145</f>
        <v>0</v>
      </c>
      <c r="M145" s="4">
        <v>1.617</v>
      </c>
      <c r="N145" s="4">
        <v>1.599</v>
      </c>
      <c r="O145" s="5">
        <f>M145/$M$3</f>
        <v>0.8258426966292135</v>
      </c>
      <c r="P145" s="5">
        <f>N145/$M$3</f>
        <v>0.8166496424923392</v>
      </c>
      <c r="Q145" s="7">
        <f>IFERROR(N145/M145-1,0)</f>
        <v>-0.011131725417439675</v>
      </c>
      <c r="R145" s="5">
        <f>SUM(IF(BM145="lease",BU145,0),IF(CH145="lease",CP145,0),IF(DC145="lease",DK145,0),IF(DX145="lease",EF145,0),IF(ES145="lease",FA145,0),IF(FN145="lease",FV145,0),IF(GI145="lease",GQ145,0),IF(HD145="lease",HL145,0),IF(HY145="lease",IG145,0),IF(IT145="lease",JB145,0))</f>
        <v>1.418308510902301</v>
      </c>
      <c r="S145" s="5">
        <f>SUM(IF(BM145="lease",BV145,0),IF(CH145="lease",CQ145,0),IF(DC145="lease",DL145,0),IF(DX145="lease",EG145,0),IF(ES145="lease",FB145,0),IF(FN145="lease",FW145,0),IF(GI145="lease",GR145,0),IF(HD145="lease",HM145,0),IF(HY145="lease",IH145,0),IF(IT145="lease",JC145,0))</f>
        <v>1.4407731278175127</v>
      </c>
      <c r="T145" s="5">
        <f>SUM(IF(BM145="keep",BU145,0),IF(CH145="keep",CP145,0),IF(DC145="keep",DK145,0),IF(DX145="keep",EF145,0),IF(ES145="keep",FA145,0),IF(FN145="keep",FV145,0),IF(GI145="keep",GQ145,0),IF(HD145="keep",HL145,0),IF(HY145="keep",IG145,0),IF(IT145="keep",JB145,0))</f>
        <v>0</v>
      </c>
      <c r="U145" s="5">
        <f>SUM(IF(BM145="keep",BV145,0),IF(CH145="keep",CQ145,0),IF(DC145="keep",DL145,0),IF(DX145="keep",EG145,0),IF(ES145="keep",FB145,0),IF(FN145="keep",FW145,0),IF(GI145="keep",GR145,0),IF(HD145="keep",HM145,0),IF(HY145="keep",IH145,0),IF(IT145="keep",JC145,0))</f>
        <v>0</v>
      </c>
      <c r="V145" s="5">
        <f>R145/O145</f>
        <v>1.7174075846299972</v>
      </c>
      <c r="W145" s="5">
        <f>S145/P145</f>
        <v>1.7642487706483363</v>
      </c>
      <c r="X145" s="5">
        <f>T145/O145</f>
        <v>0</v>
      </c>
      <c r="Y145" s="5">
        <f>U145/P145</f>
        <v>0</v>
      </c>
      <c r="Z145" s="5">
        <f>V145+X145</f>
        <v>1.7174075846299972</v>
      </c>
      <c r="AA145" s="7">
        <f>IFERROR(W145/V145-1,0)</f>
        <v>0.027274356092022556</v>
      </c>
      <c r="AB145" s="7">
        <f>IFERROR((W145-V145)/Z145,0)</f>
        <v>0.02727435609202266</v>
      </c>
      <c r="AC145" s="7">
        <f>IFERROR(Y145/X145-1,0)</f>
        <v>0</v>
      </c>
      <c r="AD145" s="7">
        <f>IFERROR((Y145-X145)/Z145,0)</f>
        <v>0</v>
      </c>
      <c r="AE145" s="7">
        <f>AB145+AD145</f>
        <v>0.02727435609202266</v>
      </c>
      <c r="AF145" s="7">
        <f>(1+Q145)*(1+AE145)-1</f>
        <v>0.01583902003162896</v>
      </c>
      <c r="AG145" s="7">
        <f>G145-AF145</f>
        <v>1.2836953722228372e-16</v>
      </c>
      <c r="AH145" s="5">
        <f>SUM(IF(BM145="lease",BW145,0),IF(CH145="lease",CR145,0),IF(DC145="lease",DM145,0),IF(DX145="lease",EH145,0),IF(ES145="lease",FC145,0),IF(FN145="lease",FX145,0),IF(GI145="lease",GS145,0),IF(HD145="lease",HN145,0),IF(HY145="lease",II145,0),IF(IT145="lease",JD145,0))</f>
        <v>0.022464616915211566</v>
      </c>
      <c r="AI145" s="5">
        <f>SUM(IF(BM145="keep",BW145,0),IF(CH145="keep",CR145,0),IF(DC145="keep",DM145,0),IF(DX145="keep",EH145,0),IF(ES145="keep",FC145,0),IF(FN145="keep",FX145,0),IF(GI145="keep",GS145,0),IF(HD145="keep",HN145,0),IF(HY145="keep",II145,0),IF(IT145="keep",JD145,0))</f>
        <v>0</v>
      </c>
      <c r="AJ145" s="5">
        <f>SUM(IF(BM145="lease",BX145,0),IF(CH145="lease",CS145,0),IF(DC145="lease",DN145,0),IF(DX145="lease",EI145,0),IF(ES145="lease",FD145,0),IF(FN145="lease",FY145,0),IF(GI145="lease",GT145,0),IF(HD145="lease",HO145,0),IF(HY145="lease",IJ145,0),IF(IT145="lease",JE145,0))</f>
        <v>0</v>
      </c>
      <c r="AK145" s="5">
        <f>SUM(IF(BM145="keep",BX145,0),IF(CH145="keep",CS145,0),IF(DC145="keep",DN145,0),IF(DX145="keep",EI145,0),IF(ES145="keep",FD145,0),IF(FN145="keep",FY145,0),IF(GI145="keep",GT145,0),IF(HD145="keep",HO145,0),IF(HY145="keep",IJ145,0),IF(IT145="keep",JE145,0))</f>
        <v>0</v>
      </c>
      <c r="AL145" s="5">
        <f>R145-S144</f>
        <v>0</v>
      </c>
      <c r="AM145" s="5">
        <f>T145-U144</f>
        <v>0</v>
      </c>
      <c r="AN145" s="5">
        <f>AN144</f>
        <v>1</v>
      </c>
      <c r="AO145" s="5">
        <f>AO144+AH145</f>
        <v>0.44077312781751293</v>
      </c>
      <c r="AP145" s="5">
        <f>AP144+AL145</f>
        <v>-6.661338147750939e-16</v>
      </c>
      <c r="AQ145" s="5">
        <f>AN145+AO145+AP145</f>
        <v>1.4407731278175122</v>
      </c>
      <c r="AR145" s="5">
        <f>S145-AQ145</f>
        <v>4.440892098500626e-16</v>
      </c>
      <c r="AS145" s="5">
        <f>AS144</f>
        <v>0</v>
      </c>
      <c r="AT145" s="5">
        <f>AT144+AI145</f>
        <v>0</v>
      </c>
      <c r="AU145" s="5">
        <f>AU144+AM145</f>
        <v>0</v>
      </c>
      <c r="AV145" s="5">
        <f>AS145+AT145+AU145</f>
        <v>0</v>
      </c>
      <c r="AW145" s="5">
        <f>U145-AV145</f>
        <v>0</v>
      </c>
      <c r="AX145" s="4">
        <v>1.418308510902301</v>
      </c>
      <c r="AY145" s="4">
        <v>1.4407731278175127</v>
      </c>
      <c r="AZ145" s="5">
        <f>S145-AY145</f>
        <v>0</v>
      </c>
      <c r="BA145" s="4">
        <v>0</v>
      </c>
      <c r="BB145" s="4">
        <v>0</v>
      </c>
      <c r="BC145" s="5">
        <f>U145-BB145</f>
        <v>0</v>
      </c>
      <c r="BD145" s="7">
        <f>SUM(IF(BL145="direct",CE145,0),IF(CG145="direct",CZ145,0),IF(DB145="direct",DU145,0),IF(DW145="direct",EP145,0),IF(ER145="direct",FK145,0),IF(FM145="direct",GF145,0),IF(GH145="direct",HA145,0),IF(HC145="direct",HV145,0),IF(HX145="direct",IQ145,0),IF(IS145="direct",JL145,0))</f>
        <v>-0.0009323807119646172</v>
      </c>
      <c r="BE145" s="7">
        <f>SUM(IF(BL145="treasury",CE145,0),IF(CG145="treasury",CZ145,0),IF(DB145="treasury",DU145,0),IF(DW145="treasury",EP145,0),IF(ER145="treasury",FK145,0),IF(FM145="treasury",GF145,0),IF(GH145="treasury",HA145,0),IF(HC145="treasury",HV145,0),IF(HX145="treasury",IQ145,0),IF(IS145="treasury",JL145,0))</f>
        <v>0.00017397008160100491</v>
      </c>
      <c r="BF145" s="7">
        <f>SUM(IF(BL145="future",CE145,0),IF(CG145="future",CZ145,0),IF(DB145="future",DU145,0),IF(DW145="future",EP145,0),IF(ER145="future",FK145,0),IF(FM145="future",GF145,0),IF(GH145="future",HA145,0),IF(HC145="future",HV145,0),IF(HX145="future",IQ145,0),IF(IS145="future",JL145,0))</f>
        <v>0.0165974306619927</v>
      </c>
      <c r="BG145" s="7">
        <f>SUM(IF(BL145="cash",CE145,0),IF(CG145="cash",CZ145,0),IF(DB145="cash",DU145,0),IF(DW145="cash",EP145,0),IF(ER145="cash",FK145,0),IF(FM145="cash",GF145,0),IF(GH145="cash",HA145,0),IF(HC145="cash",HV145,0),IF(HX145="cash",IQ145,0),IF(IS145="cash",JL145,0))</f>
        <v>0</v>
      </c>
      <c r="BH145" s="7">
        <f>SUM(BD145:BG145)</f>
        <v>0.015839020031629087</v>
      </c>
      <c r="BI145" s="7">
        <f>G145-BH145</f>
        <v>0</v>
      </c>
      <c r="BJ145" s="9">
        <f>COUNTA(BK145,CF145,DA145,DV145,EQ145,FL145,GG145,HB145,HW145,IR145)</f>
        <v>5</v>
      </c>
      <c r="BK145" t="inlineStr">
        <is>
          <t xml:space="preserve">Direct commodity holding</t>
        </is>
      </c>
      <c r="BL145" t="inlineStr">
        <is>
          <t xml:space="preserve">direct</t>
        </is>
      </c>
      <c r="BM145" t="inlineStr">
        <is>
          <t xml:space="preserve">lease</t>
        </is>
      </c>
      <c r="BN145" t="inlineStr">
        <is>
          <t xml:space="preserve">long</t>
        </is>
      </c>
      <c r="BO145"/>
      <c r="BP145" s="4">
        <v>1.617</v>
      </c>
      <c r="BQ145" s="4">
        <v>1.599</v>
      </c>
      <c r="BR145" s="4">
        <v>0.07342168493752615</v>
      </c>
      <c r="BS145" s="6">
        <v>0.0837073624189497</v>
      </c>
      <c r="BT145" s="4">
        <v>0.11872286454397979</v>
      </c>
      <c r="BU145" s="4">
        <v>0.11872286454397979</v>
      </c>
      <c r="BV145" s="4">
        <v>0.11740127421510432</v>
      </c>
      <c r="BW145" s="4">
        <v>-0.0013224034991805632</v>
      </c>
      <c r="BX145" s="4">
        <v>8.131703050971804e-7</v>
      </c>
      <c r="BY145" s="4">
        <v>1.617</v>
      </c>
      <c r="BZ145" s="4">
        <v>1.599</v>
      </c>
      <c r="CA145" s="6"/>
      <c r="CB145" s="6"/>
      <c r="CC145" s="6"/>
      <c r="CD145" s="9"/>
      <c r="CE145" s="7">
        <f>IFERROR(BW145/F145,0)</f>
        <v>-0.0009323807119646172</v>
      </c>
      <c r="CF145" t="inlineStr">
        <is>
          <t xml:space="preserve">Treasury collateral</t>
        </is>
      </c>
      <c r="CG145" t="inlineStr">
        <is>
          <t xml:space="preserve">treasury</t>
        </is>
      </c>
      <c r="CH145" t="inlineStr">
        <is>
          <t xml:space="preserve">lease</t>
        </is>
      </c>
      <c r="CI145" t="inlineStr">
        <is>
          <t xml:space="preserve">long</t>
        </is>
      </c>
      <c r="CJ145"/>
      <c r="CK145" s="4">
        <v>103.7477332759297</v>
      </c>
      <c r="CL145" s="4">
        <v>103.76743113323388</v>
      </c>
      <c r="CM145" s="4">
        <v>0.012526400387967178</v>
      </c>
      <c r="CN145" s="6">
        <v>0.9162926375810503</v>
      </c>
      <c r="CO145" s="4">
        <v>1.299585646358321</v>
      </c>
      <c r="CP145" s="4">
        <v>1.299585646358321</v>
      </c>
      <c r="CQ145" s="4">
        <v>1.2998323896056982</v>
      </c>
      <c r="CR145" s="4">
        <v>0.00024674324737707304</v>
      </c>
      <c r="CS145" s="4">
        <v>9.497611030973019e-17</v>
      </c>
      <c r="CT145" s="4">
        <v>1.617</v>
      </c>
      <c r="CU145" s="4">
        <v>1.599</v>
      </c>
      <c r="CV145" s="6"/>
      <c r="CW145" s="6"/>
      <c r="CX145" s="6"/>
      <c r="CY145" s="9">
        <v>53</v>
      </c>
      <c r="CZ145" s="7">
        <f>IFERROR(CR145/F145,0)</f>
        <v>0.00017397008160100491</v>
      </c>
      <c r="DA145" t="inlineStr">
        <is>
          <t xml:space="preserve">SI69U</t>
        </is>
      </c>
      <c r="DB145" t="inlineStr">
        <is>
          <t xml:space="preserve">future</t>
        </is>
      </c>
      <c r="DC145" t="inlineStr">
        <is>
          <t xml:space="preserve">lease</t>
        </is>
      </c>
      <c r="DD145" t="inlineStr">
        <is>
          <t xml:space="preserve">long</t>
        </is>
      </c>
      <c r="DE145" t="inlineStr">
        <is>
          <t xml:space="preserve">regular</t>
        </is>
      </c>
      <c r="DF145" s="4">
        <v>1.601</v>
      </c>
      <c r="DG145" s="4">
        <v>1.63</v>
      </c>
      <c r="DH145" s="4">
        <v>0.8117336954143167</v>
      </c>
      <c r="DI145" s="6">
        <v>0.9162926375810503</v>
      </c>
      <c r="DJ145" s="4">
        <v>1.299585646358321</v>
      </c>
      <c r="DK145" s="4">
        <v>0</v>
      </c>
      <c r="DL145" s="4">
        <v>0</v>
      </c>
      <c r="DM145" s="4">
        <v>0.023540277167015056</v>
      </c>
      <c r="DN145" s="4">
        <v>-0.023540277167015056</v>
      </c>
      <c r="DO145" s="4">
        <v>1.617</v>
      </c>
      <c r="DP145" s="4">
        <v>1.599</v>
      </c>
      <c r="DQ145" s="6">
        <v>-0.009894867037724242</v>
      </c>
      <c r="DR145" s="6">
        <v>0.0693</v>
      </c>
      <c r="DS145" s="6">
        <v>0.13744389563715753</v>
      </c>
      <c r="DT145" s="9">
        <v>53</v>
      </c>
      <c r="DU145" s="7">
        <f>IFERROR(DM145/F145,0)</f>
        <v>0.0165974306619927</v>
      </c>
      <c r="DV145" t="inlineStr">
        <is>
          <t xml:space="preserve">Lease cash / margin / financing</t>
        </is>
      </c>
      <c r="DW145" t="inlineStr">
        <is>
          <t xml:space="preserve">cash</t>
        </is>
      </c>
      <c r="DX145" t="inlineStr">
        <is>
          <t xml:space="preserve">lease</t>
        </is>
      </c>
      <c r="DY145" t="inlineStr">
        <is>
          <t xml:space="preserve">cash</t>
        </is>
      </c>
      <c r="DZ145"/>
      <c r="EA145" s="4">
        <v>1</v>
      </c>
      <c r="EB145" s="4">
        <v>1</v>
      </c>
      <c r="EC145" s="4">
        <v>2.220446049250313e-16</v>
      </c>
      <c r="ED145" s="6"/>
      <c r="EE145" s="4">
        <v>2.220446049250313e-16</v>
      </c>
      <c r="EF145" s="4">
        <v>2.220446049250313e-16</v>
      </c>
      <c r="EG145" s="4">
        <v>0.023539463996710086</v>
      </c>
      <c r="EH145" s="4">
        <v>0</v>
      </c>
      <c r="EI145" s="4">
        <v>0.023539463996709864</v>
      </c>
      <c r="EJ145" s="4">
        <v>1.617</v>
      </c>
      <c r="EK145" s="4">
        <v>1.599</v>
      </c>
      <c r="EL145" s="6"/>
      <c r="EM145" s="6"/>
      <c r="EN145" s="6"/>
      <c r="EO145" s="9"/>
      <c r="EP145" s="7">
        <f>IFERROR(EH145/F145,0)</f>
        <v>0</v>
      </c>
      <c r="EQ145" t="inlineStr">
        <is>
          <t xml:space="preserve">Keep cash / margin / financing</t>
        </is>
      </c>
      <c r="ER145" t="inlineStr">
        <is>
          <t xml:space="preserve">cash</t>
        </is>
      </c>
      <c r="ES145" t="inlineStr">
        <is>
          <t xml:space="preserve">keep</t>
        </is>
      </c>
      <c r="ET145" t="inlineStr">
        <is>
          <t xml:space="preserve">cash</t>
        </is>
      </c>
      <c r="EU145"/>
      <c r="EV145" s="4">
        <v>1</v>
      </c>
      <c r="EW145" s="4">
        <v>1</v>
      </c>
      <c r="EX145" s="4">
        <v>0</v>
      </c>
      <c r="EY145" s="6"/>
      <c r="EZ145" s="4">
        <v>0</v>
      </c>
      <c r="FA145" s="4">
        <v>0</v>
      </c>
      <c r="FB145" s="4">
        <v>0</v>
      </c>
      <c r="FC145" s="4">
        <v>0</v>
      </c>
      <c r="FD145" s="4">
        <v>0</v>
      </c>
      <c r="FE145" s="4">
        <v>1.617</v>
      </c>
      <c r="FF145" s="4">
        <v>1.599</v>
      </c>
      <c r="FG145" s="6"/>
      <c r="FH145" s="6"/>
      <c r="FI145" s="6"/>
      <c r="FJ145" s="9"/>
      <c r="FK145" s="7">
        <f>IFERROR(FC145/F145,0)</f>
        <v>0</v>
      </c>
      <c r="FL145"/>
      <c r="FM145"/>
      <c r="FN145"/>
      <c r="FO145"/>
      <c r="FP145"/>
      <c r="FQ145" s="4"/>
      <c r="FR145" s="4"/>
      <c r="FS145" s="4"/>
      <c r="FT145" s="6"/>
      <c r="FU145" s="4"/>
      <c r="FV145" s="4"/>
      <c r="FW145" s="4"/>
      <c r="FX145" s="4"/>
      <c r="FY145" s="4"/>
      <c r="FZ145" s="4"/>
      <c r="GA145" s="4"/>
      <c r="GB145" s="6"/>
      <c r="GC145" s="6"/>
      <c r="GD145" s="6"/>
      <c r="GE145" s="9"/>
      <c r="GF145"/>
      <c r="GG145"/>
      <c r="GH145"/>
      <c r="GI145"/>
      <c r="GJ145"/>
      <c r="GK145"/>
      <c r="GL145" s="4"/>
      <c r="GM145" s="4"/>
      <c r="GN145" s="4"/>
      <c r="GO145" s="6"/>
      <c r="GP145" s="4"/>
      <c r="GQ145" s="4"/>
      <c r="GR145" s="4"/>
      <c r="GS145" s="4"/>
      <c r="GT145" s="4"/>
      <c r="GU145" s="4"/>
      <c r="GV145" s="4"/>
      <c r="GW145" s="6"/>
      <c r="GX145" s="6"/>
      <c r="GY145" s="6"/>
      <c r="GZ145" s="9"/>
      <c r="HA145"/>
      <c r="HB145"/>
      <c r="HC145"/>
      <c r="HD145"/>
      <c r="HE145"/>
      <c r="HF145"/>
      <c r="HG145" s="4"/>
      <c r="HH145" s="4"/>
      <c r="HI145" s="4"/>
      <c r="HJ145" s="6"/>
      <c r="HK145" s="4"/>
      <c r="HL145" s="4"/>
      <c r="HM145" s="4"/>
      <c r="HN145" s="4"/>
      <c r="HO145" s="4"/>
      <c r="HP145" s="4"/>
      <c r="HQ145" s="4"/>
      <c r="HR145" s="6"/>
      <c r="HS145" s="6"/>
      <c r="HT145" s="6"/>
      <c r="HU145" s="9"/>
      <c r="HV145"/>
      <c r="HW145"/>
      <c r="HX145"/>
      <c r="HY145"/>
      <c r="HZ145"/>
      <c r="IA145"/>
      <c r="IB145" s="4"/>
      <c r="IC145" s="4"/>
      <c r="ID145" s="4"/>
      <c r="IE145" s="6"/>
      <c r="IF145" s="4"/>
      <c r="IG145" s="4"/>
      <c r="IH145" s="4"/>
      <c r="II145" s="4"/>
      <c r="IJ145" s="4"/>
      <c r="IK145" s="4"/>
      <c r="IL145" s="4"/>
      <c r="IM145" s="6"/>
      <c r="IN145" s="6"/>
      <c r="IO145" s="6"/>
      <c r="IP145" s="9"/>
      <c r="IQ145"/>
      <c r="IR145"/>
      <c r="IS145"/>
      <c r="IT145"/>
      <c r="IU145"/>
      <c r="IV145"/>
      <c r="IW145" s="4"/>
      <c r="IX145" s="4"/>
      <c r="IY145" s="4"/>
      <c r="IZ145" s="6"/>
      <c r="JA145" s="4"/>
      <c r="JB145" s="4"/>
      <c r="JC145" s="4"/>
      <c r="JD145" s="4"/>
      <c r="JE145" s="4"/>
      <c r="JF145" s="4"/>
      <c r="JG145" s="4"/>
      <c r="JH145" s="6"/>
      <c r="JI145" s="6"/>
      <c r="JJ145" s="6"/>
      <c r="JK145" s="9"/>
      <c r="JL145"/>
    </row>
    <row r="146">
      <c r="A146" s="8">
        <v>25420</v>
      </c>
      <c r="B146" s="8">
        <v>25421</v>
      </c>
      <c r="C146" s="9">
        <f>B146-A146</f>
        <v>1</v>
      </c>
      <c r="D146" s="8">
        <v>25420</v>
      </c>
      <c r="E146" t="inlineStr">
        <is>
          <t xml:space="preserve">neutral</t>
        </is>
      </c>
      <c r="F146" s="4">
        <v>1.4407731278175124</v>
      </c>
      <c r="G146" s="6">
        <v>0.009374013724331174</v>
      </c>
      <c r="H146" s="7">
        <f>SUM(CE146,CZ146,DU146,EP146,FK146,GF146,HA146,HV146,IQ146,JL146)</f>
        <v>0.009374013724331174</v>
      </c>
      <c r="I146" s="7">
        <f>G146-H146</f>
        <v>0</v>
      </c>
      <c r="J146" s="5">
        <f>F146*(1+H146)</f>
        <v>1.4542789548913213</v>
      </c>
      <c r="K146" s="4">
        <v>1.4542789548913213</v>
      </c>
      <c r="L146" s="5">
        <f>K146-J146</f>
        <v>0</v>
      </c>
      <c r="M146" s="4">
        <v>1.599</v>
      </c>
      <c r="N146" s="4">
        <v>1.614</v>
      </c>
      <c r="O146" s="5">
        <f>M146/$M$3</f>
        <v>0.8166496424923392</v>
      </c>
      <c r="P146" s="5">
        <f>N146/$M$3</f>
        <v>0.8243105209397344</v>
      </c>
      <c r="Q146" s="7">
        <f>IFERROR(N146/M146-1,0)</f>
        <v>0.009380863039399667</v>
      </c>
      <c r="R146" s="5">
        <f>SUM(IF(BM146="lease",BU146,0),IF(CH146="lease",CP146,0),IF(DC146="lease",DK146,0),IF(DX146="lease",EF146,0),IF(ES146="lease",FA146,0),IF(FN146="lease",FV146,0),IF(GI146="lease",GQ146,0),IF(HD146="lease",HL146,0),IF(HY146="lease",IG146,0),IF(IT146="lease",JB146,0))</f>
        <v>1.4407731278175127</v>
      </c>
      <c r="S146" s="5">
        <f>SUM(IF(BM146="lease",BV146,0),IF(CH146="lease",CQ146,0),IF(DC146="lease",DL146,0),IF(DX146="lease",EG146,0),IF(ES146="lease",FB146,0),IF(FN146="lease",FW146,0),IF(GI146="lease",GR146,0),IF(HD146="lease",HM146,0),IF(HY146="lease",IH146,0),IF(IT146="lease",JC146,0))</f>
        <v>1.4542789548913215</v>
      </c>
      <c r="T146" s="5">
        <f>SUM(IF(BM146="keep",BU146,0),IF(CH146="keep",CP146,0),IF(DC146="keep",DK146,0),IF(DX146="keep",EF146,0),IF(ES146="keep",FA146,0),IF(FN146="keep",FV146,0),IF(GI146="keep",GQ146,0),IF(HD146="keep",HL146,0),IF(HY146="keep",IG146,0),IF(IT146="keep",JB146,0))</f>
        <v>0</v>
      </c>
      <c r="U146" s="5">
        <f>SUM(IF(BM146="keep",BV146,0),IF(CH146="keep",CQ146,0),IF(DC146="keep",DL146,0),IF(DX146="keep",EG146,0),IF(ES146="keep",FB146,0),IF(FN146="keep",FW146,0),IF(GI146="keep",GR146,0),IF(HD146="keep",HM146,0),IF(HY146="keep",IH146,0),IF(IT146="keep",JC146,0))</f>
        <v>0</v>
      </c>
      <c r="V146" s="5">
        <f>R146/O146</f>
        <v>1.7642487706483363</v>
      </c>
      <c r="W146" s="5">
        <f>S146/P146</f>
        <v>1.7642367990565102</v>
      </c>
      <c r="X146" s="5">
        <f>T146/O146</f>
        <v>0</v>
      </c>
      <c r="Y146" s="5">
        <f>U146/P146</f>
        <v>0</v>
      </c>
      <c r="Z146" s="5">
        <f>V146+X146</f>
        <v>1.7642487706483363</v>
      </c>
      <c r="AA146" s="7">
        <f>IFERROR(W146/V146-1,0)</f>
        <v>-0.000006785659724006798</v>
      </c>
      <c r="AB146" s="7">
        <f>IFERROR((W146-V146)/Z146,0)</f>
        <v>-0.000006785659723990204</v>
      </c>
      <c r="AC146" s="7">
        <f>IFERROR(Y146/X146-1,0)</f>
        <v>0</v>
      </c>
      <c r="AD146" s="7">
        <f>IFERROR((Y146-X146)/Z146,0)</f>
        <v>0</v>
      </c>
      <c r="AE146" s="7">
        <f>AB146+AD146</f>
        <v>-0.000006785659723990204</v>
      </c>
      <c r="AF146" s="7">
        <f>(1+Q146)*(1+AE146)-1</f>
        <v>0.00937401372433122</v>
      </c>
      <c r="AG146" s="7">
        <f>G146-AF146</f>
        <v>-4.683753385137379e-17</v>
      </c>
      <c r="AH146" s="5">
        <f>SUM(IF(BM146="lease",BW146,0),IF(CH146="lease",CR146,0),IF(DC146="lease",DM146,0),IF(DX146="lease",EH146,0),IF(ES146="lease",FC146,0),IF(FN146="lease",FX146,0),IF(GI146="lease",GS146,0),IF(HD146="lease",HN146,0),IF(HY146="lease",II146,0),IF(IT146="lease",JD146,0))</f>
        <v>0.013505827073808914</v>
      </c>
      <c r="AI146" s="5">
        <f>SUM(IF(BM146="keep",BW146,0),IF(CH146="keep",CR146,0),IF(DC146="keep",DM146,0),IF(DX146="keep",EH146,0),IF(ES146="keep",FC146,0),IF(FN146="keep",FX146,0),IF(GI146="keep",GS146,0),IF(HD146="keep",HN146,0),IF(HY146="keep",II146,0),IF(IT146="keep",JD146,0))</f>
        <v>0</v>
      </c>
      <c r="AJ146" s="5">
        <f>SUM(IF(BM146="lease",BX146,0),IF(CH146="lease",CS146,0),IF(DC146="lease",DN146,0),IF(DX146="lease",EI146,0),IF(ES146="lease",FD146,0),IF(FN146="lease",FY146,0),IF(GI146="lease",GT146,0),IF(HD146="lease",HO146,0),IF(HY146="lease",IJ146,0),IF(IT146="lease",JE146,0))</f>
        <v>0</v>
      </c>
      <c r="AK146" s="5">
        <f>SUM(IF(BM146="keep",BX146,0),IF(CH146="keep",CS146,0),IF(DC146="keep",DN146,0),IF(DX146="keep",EI146,0),IF(ES146="keep",FD146,0),IF(FN146="keep",FY146,0),IF(GI146="keep",GT146,0),IF(HD146="keep",HO146,0),IF(HY146="keep",IJ146,0),IF(IT146="keep",JE146,0))</f>
        <v>0</v>
      </c>
      <c r="AL146" s="5">
        <f>R146-S145</f>
        <v>0</v>
      </c>
      <c r="AM146" s="5">
        <f>T146-U145</f>
        <v>0</v>
      </c>
      <c r="AN146" s="5">
        <f>AN145</f>
        <v>1</v>
      </c>
      <c r="AO146" s="5">
        <f>AO145+AH146</f>
        <v>0.45427895489132186</v>
      </c>
      <c r="AP146" s="5">
        <f>AP145+AL146</f>
        <v>-6.661338147750939e-16</v>
      </c>
      <c r="AQ146" s="5">
        <f>AN146+AO146+AP146</f>
        <v>1.4542789548913213</v>
      </c>
      <c r="AR146" s="5">
        <f>S146-AQ146</f>
        <v>2.220446049250313e-16</v>
      </c>
      <c r="AS146" s="5">
        <f>AS145</f>
        <v>0</v>
      </c>
      <c r="AT146" s="5">
        <f>AT145+AI146</f>
        <v>0</v>
      </c>
      <c r="AU146" s="5">
        <f>AU145+AM146</f>
        <v>0</v>
      </c>
      <c r="AV146" s="5">
        <f>AS146+AT146+AU146</f>
        <v>0</v>
      </c>
      <c r="AW146" s="5">
        <f>U146-AV146</f>
        <v>0</v>
      </c>
      <c r="AX146" s="4">
        <v>1.4407731278175127</v>
      </c>
      <c r="AY146" s="4">
        <v>1.4542789548913215</v>
      </c>
      <c r="AZ146" s="5">
        <f>S146-AY146</f>
        <v>0</v>
      </c>
      <c r="BA146" s="4">
        <v>0</v>
      </c>
      <c r="BB146" s="4">
        <v>0</v>
      </c>
      <c r="BC146" s="5">
        <f>U146-BB146</f>
        <v>0</v>
      </c>
      <c r="BD146" s="7">
        <f>SUM(IF(BL146="direct",CE146,0),IF(CG146="direct",CZ146,0),IF(DB146="direct",DU146,0),IF(DW146="direct",EP146,0),IF(ER146="direct",FK146,0),IF(FM146="direct",GF146,0),IF(GH146="direct",HA146,0),IF(HC146="direct",HV146,0),IF(HX146="direct",IQ146,0),IF(IS146="direct",JL146,0))</f>
        <v>0.009374013724331174</v>
      </c>
      <c r="BE146" s="7">
        <f>SUM(IF(BL146="treasury",CE146,0),IF(CG146="treasury",CZ146,0),IF(DB146="treasury",DU146,0),IF(DW146="treasury",EP146,0),IF(ER146="treasury",FK146,0),IF(FM146="treasury",GF146,0),IF(GH146="treasury",HA146,0),IF(HC146="treasury",HV146,0),IF(HX146="treasury",IQ146,0),IF(IS146="treasury",JL146,0))</f>
        <v>0</v>
      </c>
      <c r="BF146" s="7">
        <f>SUM(IF(BL146="future",CE146,0),IF(CG146="future",CZ146,0),IF(DB146="future",DU146,0),IF(DW146="future",EP146,0),IF(ER146="future",FK146,0),IF(FM146="future",GF146,0),IF(GH146="future",HA146,0),IF(HC146="future",HV146,0),IF(HX146="future",IQ146,0),IF(IS146="future",JL146,0))</f>
        <v>0</v>
      </c>
      <c r="BG146" s="7">
        <f>SUM(IF(BL146="cash",CE146,0),IF(CG146="cash",CZ146,0),IF(DB146="cash",DU146,0),IF(DW146="cash",EP146,0),IF(ER146="cash",FK146,0),IF(FM146="cash",GF146,0),IF(GH146="cash",HA146,0),IF(HC146="cash",HV146,0),IF(HX146="cash",IQ146,0),IF(IS146="cash",JL146,0))</f>
        <v>0</v>
      </c>
      <c r="BH146" s="7">
        <f>SUM(BD146:BG146)</f>
        <v>0.009374013724331174</v>
      </c>
      <c r="BI146" s="7">
        <f>G146-BH146</f>
        <v>0</v>
      </c>
      <c r="BJ146" s="9">
        <f>COUNTA(BK146,CF146,DA146,DV146,EQ146,FL146,GG146,HB146,HW146,IR146)</f>
        <v>3</v>
      </c>
      <c r="BK146" t="inlineStr">
        <is>
          <t xml:space="preserve">Direct commodity holding</t>
        </is>
      </c>
      <c r="BL146" t="inlineStr">
        <is>
          <t xml:space="preserve">direct</t>
        </is>
      </c>
      <c r="BM146" t="inlineStr">
        <is>
          <t xml:space="preserve">lease</t>
        </is>
      </c>
      <c r="BN146" t="inlineStr">
        <is>
          <t xml:space="preserve">long</t>
        </is>
      </c>
      <c r="BO146"/>
      <c r="BP146" s="4">
        <v>1.599</v>
      </c>
      <c r="BQ146" s="4">
        <v>1.614</v>
      </c>
      <c r="BR146" s="4">
        <v>0.9010463588602329</v>
      </c>
      <c r="BS146" s="6">
        <v>1</v>
      </c>
      <c r="BT146" s="4">
        <v>1.4407731278175124</v>
      </c>
      <c r="BU146" s="4">
        <v>1.4407731278175124</v>
      </c>
      <c r="BV146" s="4">
        <v>1.4542888232004159</v>
      </c>
      <c r="BW146" s="4">
        <v>0.013505827073808914</v>
      </c>
      <c r="BX146" s="4">
        <v>0.00000986830909451182</v>
      </c>
      <c r="BY146" s="4">
        <v>1.599</v>
      </c>
      <c r="BZ146" s="4">
        <v>1.614</v>
      </c>
      <c r="CA146" s="6"/>
      <c r="CB146" s="6"/>
      <c r="CC146" s="6"/>
      <c r="CD146" s="9"/>
      <c r="CE146" s="7">
        <f>IFERROR(BW146/F146,0)</f>
        <v>0.009374013724331174</v>
      </c>
      <c r="CF146" t="inlineStr">
        <is>
          <t xml:space="preserve">Lease cash / margin / financing</t>
        </is>
      </c>
      <c r="CG146" t="inlineStr">
        <is>
          <t xml:space="preserve">cash</t>
        </is>
      </c>
      <c r="CH146" t="inlineStr">
        <is>
          <t xml:space="preserve">lease</t>
        </is>
      </c>
      <c r="CI146" t="inlineStr">
        <is>
          <t xml:space="preserve">cash</t>
        </is>
      </c>
      <c r="CJ146"/>
      <c r="CK146" s="4">
        <v>1</v>
      </c>
      <c r="CL146" s="4">
        <v>1</v>
      </c>
      <c r="CM146" s="4">
        <v>2.220446049250313e-16</v>
      </c>
      <c r="CN146" s="6"/>
      <c r="CO146" s="4">
        <v>2.220446049250313e-16</v>
      </c>
      <c r="CP146" s="4">
        <v>2.220446049250313e-16</v>
      </c>
      <c r="CQ146" s="4">
        <v>-0.000009868309094289776</v>
      </c>
      <c r="CR146" s="4">
        <v>0</v>
      </c>
      <c r="CS146" s="4">
        <v>-0.00000986830909451182</v>
      </c>
      <c r="CT146" s="4">
        <v>1.599</v>
      </c>
      <c r="CU146" s="4">
        <v>1.614</v>
      </c>
      <c r="CV146" s="6"/>
      <c r="CW146" s="6"/>
      <c r="CX146" s="6"/>
      <c r="CY146" s="9"/>
      <c r="CZ146" s="7">
        <f>IFERROR(CR146/F146,0)</f>
        <v>0</v>
      </c>
      <c r="DA146" t="inlineStr">
        <is>
          <t xml:space="preserve">Keep cash / margin / financing</t>
        </is>
      </c>
      <c r="DB146" t="inlineStr">
        <is>
          <t xml:space="preserve">cash</t>
        </is>
      </c>
      <c r="DC146" t="inlineStr">
        <is>
          <t xml:space="preserve">keep</t>
        </is>
      </c>
      <c r="DD146" t="inlineStr">
        <is>
          <t xml:space="preserve">cash</t>
        </is>
      </c>
      <c r="DE146"/>
      <c r="DF146" s="4">
        <v>1</v>
      </c>
      <c r="DG146" s="4">
        <v>1</v>
      </c>
      <c r="DH146" s="4">
        <v>0</v>
      </c>
      <c r="DI146" s="6"/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1.599</v>
      </c>
      <c r="DP146" s="4">
        <v>1.614</v>
      </c>
      <c r="DQ146" s="6"/>
      <c r="DR146" s="6"/>
      <c r="DS146" s="6"/>
      <c r="DT146" s="9"/>
      <c r="DU146" s="7">
        <f>IFERROR(DM146/F146,0)</f>
        <v>0</v>
      </c>
      <c r="DV146"/>
      <c r="DW146"/>
      <c r="DX146"/>
      <c r="DY146"/>
      <c r="DZ146"/>
      <c r="EA146" s="4"/>
      <c r="EB146" s="4"/>
      <c r="EC146" s="4"/>
      <c r="ED146" s="6"/>
      <c r="EE146" s="4"/>
      <c r="EF146" s="4"/>
      <c r="EG146" s="4"/>
      <c r="EH146" s="4"/>
      <c r="EI146" s="4"/>
      <c r="EJ146" s="4"/>
      <c r="EK146" s="4"/>
      <c r="EL146" s="6"/>
      <c r="EM146" s="6"/>
      <c r="EN146" s="6"/>
      <c r="EO146" s="9"/>
      <c r="EP146"/>
      <c r="EQ146"/>
      <c r="ER146"/>
      <c r="ES146"/>
      <c r="ET146"/>
      <c r="EU146"/>
      <c r="EV146" s="4"/>
      <c r="EW146" s="4"/>
      <c r="EX146" s="4"/>
      <c r="EY146" s="6"/>
      <c r="EZ146" s="4"/>
      <c r="FA146" s="4"/>
      <c r="FB146" s="4"/>
      <c r="FC146" s="4"/>
      <c r="FD146" s="4"/>
      <c r="FE146" s="4"/>
      <c r="FF146" s="4"/>
      <c r="FG146" s="6"/>
      <c r="FH146" s="6"/>
      <c r="FI146" s="6"/>
      <c r="FJ146" s="9"/>
      <c r="FK146"/>
      <c r="FL146"/>
      <c r="FM146"/>
      <c r="FN146"/>
      <c r="FO146"/>
      <c r="FP146"/>
      <c r="FQ146" s="4"/>
      <c r="FR146" s="4"/>
      <c r="FS146" s="4"/>
      <c r="FT146" s="6"/>
      <c r="FU146" s="4"/>
      <c r="FV146" s="4"/>
      <c r="FW146" s="4"/>
      <c r="FX146" s="4"/>
      <c r="FY146" s="4"/>
      <c r="FZ146" s="4"/>
      <c r="GA146" s="4"/>
      <c r="GB146" s="6"/>
      <c r="GC146" s="6"/>
      <c r="GD146" s="6"/>
      <c r="GE146" s="9"/>
      <c r="GF146"/>
      <c r="GG146"/>
      <c r="GH146"/>
      <c r="GI146"/>
      <c r="GJ146"/>
      <c r="GK146"/>
      <c r="GL146" s="4"/>
      <c r="GM146" s="4"/>
      <c r="GN146" s="4"/>
      <c r="GO146" s="6"/>
      <c r="GP146" s="4"/>
      <c r="GQ146" s="4"/>
      <c r="GR146" s="4"/>
      <c r="GS146" s="4"/>
      <c r="GT146" s="4"/>
      <c r="GU146" s="4"/>
      <c r="GV146" s="4"/>
      <c r="GW146" s="6"/>
      <c r="GX146" s="6"/>
      <c r="GY146" s="6"/>
      <c r="GZ146" s="9"/>
      <c r="HA146"/>
      <c r="HB146"/>
      <c r="HC146"/>
      <c r="HD146"/>
      <c r="HE146"/>
      <c r="HF146"/>
      <c r="HG146" s="4"/>
      <c r="HH146" s="4"/>
      <c r="HI146" s="4"/>
      <c r="HJ146" s="6"/>
      <c r="HK146" s="4"/>
      <c r="HL146" s="4"/>
      <c r="HM146" s="4"/>
      <c r="HN146" s="4"/>
      <c r="HO146" s="4"/>
      <c r="HP146" s="4"/>
      <c r="HQ146" s="4"/>
      <c r="HR146" s="6"/>
      <c r="HS146" s="6"/>
      <c r="HT146" s="6"/>
      <c r="HU146" s="9"/>
      <c r="HV146"/>
      <c r="HW146"/>
      <c r="HX146"/>
      <c r="HY146"/>
      <c r="HZ146"/>
      <c r="IA146"/>
      <c r="IB146" s="4"/>
      <c r="IC146" s="4"/>
      <c r="ID146" s="4"/>
      <c r="IE146" s="6"/>
      <c r="IF146" s="4"/>
      <c r="IG146" s="4"/>
      <c r="IH146" s="4"/>
      <c r="II146" s="4"/>
      <c r="IJ146" s="4"/>
      <c r="IK146" s="4"/>
      <c r="IL146" s="4"/>
      <c r="IM146" s="6"/>
      <c r="IN146" s="6"/>
      <c r="IO146" s="6"/>
      <c r="IP146" s="9"/>
      <c r="IQ146"/>
      <c r="IR146"/>
      <c r="IS146"/>
      <c r="IT146"/>
      <c r="IU146"/>
      <c r="IV146"/>
      <c r="IW146" s="4"/>
      <c r="IX146" s="4"/>
      <c r="IY146" s="4"/>
      <c r="IZ146" s="6"/>
      <c r="JA146" s="4"/>
      <c r="JB146" s="4"/>
      <c r="JC146" s="4"/>
      <c r="JD146" s="4"/>
      <c r="JE146" s="4"/>
      <c r="JF146" s="4"/>
      <c r="JG146" s="4"/>
      <c r="JH146" s="6"/>
      <c r="JI146" s="6"/>
      <c r="JJ146" s="6"/>
      <c r="JK146" s="9"/>
      <c r="JL146"/>
    </row>
    <row r="147">
      <c r="A147" s="8">
        <v>25421</v>
      </c>
      <c r="B147" s="8">
        <v>25422</v>
      </c>
      <c r="C147" s="9">
        <f>B147-A147</f>
        <v>1</v>
      </c>
      <c r="D147" s="8">
        <v>25421</v>
      </c>
      <c r="E147" t="inlineStr">
        <is>
          <t xml:space="preserve">positive</t>
        </is>
      </c>
      <c r="F147" s="4">
        <v>1.4542789548913213</v>
      </c>
      <c r="G147" s="6">
        <v>0.00019440359290555002</v>
      </c>
      <c r="H147" s="7">
        <f>SUM(CE147,CZ147,DU147,EP147,FK147,GF147,HA147,HV147,IQ147,JL147)</f>
        <v>0.00019440359290555</v>
      </c>
      <c r="I147" s="7">
        <f>G147-H147</f>
        <v>2.710505431213761e-20</v>
      </c>
      <c r="J147" s="5">
        <f>F147*(1+H147)</f>
        <v>1.4545616719452392</v>
      </c>
      <c r="K147" s="4">
        <v>1.4545616719452392</v>
      </c>
      <c r="L147" s="5">
        <f>K147-J147</f>
        <v>0</v>
      </c>
      <c r="M147" s="4">
        <v>1.614</v>
      </c>
      <c r="N147" s="4">
        <v>1.614</v>
      </c>
      <c r="O147" s="5">
        <f>M147/$M$3</f>
        <v>0.8243105209397344</v>
      </c>
      <c r="P147" s="5">
        <f>N147/$M$3</f>
        <v>0.8243105209397344</v>
      </c>
      <c r="Q147" s="7">
        <f>IFERROR(N147/M147-1,0)</f>
        <v>0</v>
      </c>
      <c r="R147" s="5">
        <f>SUM(IF(BM147="lease",BU147,0),IF(CH147="lease",CP147,0),IF(DC147="lease",DK147,0),IF(DX147="lease",EF147,0),IF(ES147="lease",FA147,0),IF(FN147="lease",FV147,0),IF(GI147="lease",GQ147,0),IF(HD147="lease",HL147,0),IF(HY147="lease",IG147,0),IF(IT147="lease",JB147,0))</f>
        <v>1.4542789548913215</v>
      </c>
      <c r="S147" s="5">
        <f>SUM(IF(BM147="lease",BV147,0),IF(CH147="lease",CQ147,0),IF(DC147="lease",DL147,0),IF(DX147="lease",EG147,0),IF(ES147="lease",FB147,0),IF(FN147="lease",FW147,0),IF(GI147="lease",GR147,0),IF(HD147="lease",HM147,0),IF(HY147="lease",IH147,0),IF(IT147="lease",JC147,0))</f>
        <v>1.4545616719452392</v>
      </c>
      <c r="T147" s="5">
        <f>SUM(IF(BM147="keep",BU147,0),IF(CH147="keep",CP147,0),IF(DC147="keep",DK147,0),IF(DX147="keep",EF147,0),IF(ES147="keep",FA147,0),IF(FN147="keep",FV147,0),IF(GI147="keep",GQ147,0),IF(HD147="keep",HL147,0),IF(HY147="keep",IG147,0),IF(IT147="keep",JB147,0))</f>
        <v>0</v>
      </c>
      <c r="U147" s="5">
        <f>SUM(IF(BM147="keep",BV147,0),IF(CH147="keep",CQ147,0),IF(DC147="keep",DL147,0),IF(DX147="keep",EG147,0),IF(ES147="keep",FB147,0),IF(FN147="keep",FW147,0),IF(GI147="keep",GR147,0),IF(HD147="keep",HM147,0),IF(HY147="keep",IH147,0),IF(IT147="keep",JC147,0))</f>
        <v>0</v>
      </c>
      <c r="V147" s="5">
        <f>R147/O147</f>
        <v>1.7642367990565102</v>
      </c>
      <c r="W147" s="5">
        <f>S147/P147</f>
        <v>1.764579773028983</v>
      </c>
      <c r="X147" s="5">
        <f>T147/O147</f>
        <v>0</v>
      </c>
      <c r="Y147" s="5">
        <f>U147/P147</f>
        <v>0</v>
      </c>
      <c r="Z147" s="5">
        <f>V147+X147</f>
        <v>1.7642367990565102</v>
      </c>
      <c r="AA147" s="7">
        <f>IFERROR(W147/V147-1,0)</f>
        <v>0.00019440359290556763</v>
      </c>
      <c r="AB147" s="7">
        <f>IFERROR((W147-V147)/Z147,0)</f>
        <v>0.00019440359290553028</v>
      </c>
      <c r="AC147" s="7">
        <f>IFERROR(Y147/X147-1,0)</f>
        <v>0</v>
      </c>
      <c r="AD147" s="7">
        <f>IFERROR((Y147-X147)/Z147,0)</f>
        <v>0</v>
      </c>
      <c r="AE147" s="7">
        <f>AB147+AD147</f>
        <v>0.00019440359290553028</v>
      </c>
      <c r="AF147" s="7">
        <f>(1+Q147)*(1+AE147)-1</f>
        <v>0.00019440359290556763</v>
      </c>
      <c r="AG147" s="7">
        <f>G147-AF147</f>
        <v>-1.7618285302889447e-17</v>
      </c>
      <c r="AH147" s="5">
        <f>SUM(IF(BM147="lease",BW147,0),IF(CH147="lease",CR147,0),IF(DC147="lease",DM147,0),IF(DX147="lease",EH147,0),IF(ES147="lease",FC147,0),IF(FN147="lease",FX147,0),IF(GI147="lease",GS147,0),IF(HD147="lease",HN147,0),IF(HY147="lease",II147,0),IF(IT147="lease",JD147,0))</f>
        <v>0.00028271705391780114</v>
      </c>
      <c r="AI147" s="5">
        <f>SUM(IF(BM147="keep",BW147,0),IF(CH147="keep",CR147,0),IF(DC147="keep",DM147,0),IF(DX147="keep",EH147,0),IF(ES147="keep",FC147,0),IF(FN147="keep",FX147,0),IF(GI147="keep",GS147,0),IF(HD147="keep",HN147,0),IF(HY147="keep",II147,0),IF(IT147="keep",JD147,0))</f>
        <v>0</v>
      </c>
      <c r="AJ147" s="5">
        <f>SUM(IF(BM147="lease",BX147,0),IF(CH147="lease",CS147,0),IF(DC147="lease",DN147,0),IF(DX147="lease",EI147,0),IF(ES147="lease",FD147,0),IF(FN147="lease",FY147,0),IF(GI147="lease",GT147,0),IF(HD147="lease",HO147,0),IF(HY147="lease",IJ147,0),IF(IT147="lease",JE147,0))</f>
        <v>0</v>
      </c>
      <c r="AK147" s="5">
        <f>SUM(IF(BM147="keep",BX147,0),IF(CH147="keep",CS147,0),IF(DC147="keep",DN147,0),IF(DX147="keep",EI147,0),IF(ES147="keep",FD147,0),IF(FN147="keep",FY147,0),IF(GI147="keep",GT147,0),IF(HD147="keep",HO147,0),IF(HY147="keep",IJ147,0),IF(IT147="keep",JE147,0))</f>
        <v>0</v>
      </c>
      <c r="AL147" s="5">
        <f>R147-S146</f>
        <v>0</v>
      </c>
      <c r="AM147" s="5">
        <f>T147-U146</f>
        <v>0</v>
      </c>
      <c r="AN147" s="5">
        <f>AN146</f>
        <v>1</v>
      </c>
      <c r="AO147" s="5">
        <f>AO146+AH147</f>
        <v>0.45456167194523966</v>
      </c>
      <c r="AP147" s="5">
        <f>AP146+AL147</f>
        <v>-6.661338147750939e-16</v>
      </c>
      <c r="AQ147" s="5">
        <f>AN147+AO147+AP147</f>
        <v>1.454561671945239</v>
      </c>
      <c r="AR147" s="5">
        <f>S147-AQ147</f>
        <v>2.220446049250313e-16</v>
      </c>
      <c r="AS147" s="5">
        <f>AS146</f>
        <v>0</v>
      </c>
      <c r="AT147" s="5">
        <f>AT146+AI147</f>
        <v>0</v>
      </c>
      <c r="AU147" s="5">
        <f>AU146+AM147</f>
        <v>0</v>
      </c>
      <c r="AV147" s="5">
        <f>AS147+AT147+AU147</f>
        <v>0</v>
      </c>
      <c r="AW147" s="5">
        <f>U147-AV147</f>
        <v>0</v>
      </c>
      <c r="AX147" s="4">
        <v>1.4542789548913215</v>
      </c>
      <c r="AY147" s="4">
        <v>1.4545616719452392</v>
      </c>
      <c r="AZ147" s="5">
        <f>S147-AY147</f>
        <v>0</v>
      </c>
      <c r="BA147" s="4">
        <v>0</v>
      </c>
      <c r="BB147" s="4">
        <v>0</v>
      </c>
      <c r="BC147" s="5">
        <f>U147-BB147</f>
        <v>0</v>
      </c>
      <c r="BD147" s="7">
        <f>SUM(IF(BL147="direct",CE147,0),IF(CG147="direct",CZ147,0),IF(DB147="direct",DU147,0),IF(DW147="direct",EP147,0),IF(ER147="direct",FK147,0),IF(FM147="direct",GF147,0),IF(GH147="direct",HA147,0),IF(HC147="direct",HV147,0),IF(HX147="direct",IQ147,0),IF(IS147="direct",JL147,0))</f>
        <v>-0.000005884777890831853</v>
      </c>
      <c r="BE147" s="7">
        <f>SUM(IF(BL147="treasury",CE147,0),IF(CG147="treasury",CZ147,0),IF(DB147="treasury",DU147,0),IF(DW147="treasury",EP147,0),IF(ER147="treasury",FK147,0),IF(FM147="treasury",GF147,0),IF(GH147="treasury",HA147,0),IF(HC147="treasury",HV147,0),IF(HX147="treasury",IQ147,0),IF(IS147="treasury",JL147,0))</f>
        <v>0.000026968459487409875</v>
      </c>
      <c r="BF147" s="7">
        <f>SUM(IF(BL147="future",CE147,0),IF(CG147="future",CZ147,0),IF(DB147="future",DU147,0),IF(DW147="future",EP147,0),IF(ER147="future",FK147,0),IF(FM147="future",GF147,0),IF(GH147="future",HA147,0),IF(HC147="future",HV147,0),IF(HX147="future",IQ147,0),IF(IS147="future",JL147,0))</f>
        <v>0.00017331991130897198</v>
      </c>
      <c r="BG147" s="7">
        <f>SUM(IF(BL147="cash",CE147,0),IF(CG147="cash",CZ147,0),IF(DB147="cash",DU147,0),IF(DW147="cash",EP147,0),IF(ER147="cash",FK147,0),IF(FM147="cash",GF147,0),IF(GH147="cash",HA147,0),IF(HC147="cash",HV147,0),IF(HX147="cash",IQ147,0),IF(IS147="cash",JL147,0))</f>
        <v>0</v>
      </c>
      <c r="BH147" s="7">
        <f>SUM(BD147:BG147)</f>
        <v>0.00019440359290555002</v>
      </c>
      <c r="BI147" s="7">
        <f>G147-BH147</f>
        <v>0</v>
      </c>
      <c r="BJ147" s="9">
        <f>COUNTA(BK147,CF147,DA147,DV147,EQ147,FL147,GG147,HB147,HW147,IR147)</f>
        <v>5</v>
      </c>
      <c r="BK147" t="inlineStr">
        <is>
          <t xml:space="preserve">Direct commodity holding</t>
        </is>
      </c>
      <c r="BL147" t="inlineStr">
        <is>
          <t xml:space="preserve">direct</t>
        </is>
      </c>
      <c r="BM147" t="inlineStr">
        <is>
          <t xml:space="preserve">lease</t>
        </is>
      </c>
      <c r="BN147" t="inlineStr">
        <is>
          <t xml:space="preserve">long</t>
        </is>
      </c>
      <c r="BO147"/>
      <c r="BP147" s="4">
        <v>1.614</v>
      </c>
      <c r="BQ147" s="4">
        <v>1.614</v>
      </c>
      <c r="BR147" s="4">
        <v>0.7741535697420008</v>
      </c>
      <c r="BS147" s="6">
        <v>0.8591775720614507</v>
      </c>
      <c r="BT147" s="4">
        <v>1.2494838615635893</v>
      </c>
      <c r="BU147" s="4">
        <v>1.2494838615635893</v>
      </c>
      <c r="BV147" s="4">
        <v>1.2494838615635893</v>
      </c>
      <c r="BW147" s="4">
        <v>-0.000008558108640846502</v>
      </c>
      <c r="BX147" s="4">
        <v>0.000008558108640846502</v>
      </c>
      <c r="BY147" s="4">
        <v>1.614</v>
      </c>
      <c r="BZ147" s="4">
        <v>1.614</v>
      </c>
      <c r="CA147" s="6"/>
      <c r="CB147" s="6"/>
      <c r="CC147" s="6"/>
      <c r="CD147" s="9"/>
      <c r="CE147" s="7">
        <f>IFERROR(BW147/F147,0)</f>
        <v>-0.000005884777890831853</v>
      </c>
      <c r="CF147" t="inlineStr">
        <is>
          <t xml:space="preserve">Treasury collateral</t>
        </is>
      </c>
      <c r="CG147" t="inlineStr">
        <is>
          <t xml:space="preserve">treasury</t>
        </is>
      </c>
      <c r="CH147" t="inlineStr">
        <is>
          <t xml:space="preserve">lease</t>
        </is>
      </c>
      <c r="CI147" t="inlineStr">
        <is>
          <t xml:space="preserve">long</t>
        </is>
      </c>
      <c r="CJ147"/>
      <c r="CK147" s="4">
        <v>103.78727487759853</v>
      </c>
      <c r="CL147" s="4">
        <v>103.80715085160934</v>
      </c>
      <c r="CM147" s="4">
        <v>0.001973219680054776</v>
      </c>
      <c r="CN147" s="6">
        <v>0.1408224279385494</v>
      </c>
      <c r="CO147" s="4">
        <v>0.20479509332773205</v>
      </c>
      <c r="CP147" s="4">
        <v>0.20479509332773205</v>
      </c>
      <c r="CQ147" s="4">
        <v>0.20483431299081042</v>
      </c>
      <c r="CR147" s="4">
        <v>0.00003921966307837937</v>
      </c>
      <c r="CS147" s="4">
        <v>-2.3852447794681098e-18</v>
      </c>
      <c r="CT147" s="4">
        <v>1.614</v>
      </c>
      <c r="CU147" s="4">
        <v>1.614</v>
      </c>
      <c r="CV147" s="6"/>
      <c r="CW147" s="6"/>
      <c r="CX147" s="6"/>
      <c r="CY147" s="9">
        <v>51</v>
      </c>
      <c r="CZ147" s="7">
        <f>IFERROR(CR147/F147,0)</f>
        <v>0.000026968459487409875</v>
      </c>
      <c r="DA147" t="inlineStr">
        <is>
          <t xml:space="preserve">SI69U</t>
        </is>
      </c>
      <c r="DB147" t="inlineStr">
        <is>
          <t xml:space="preserve">future</t>
        </is>
      </c>
      <c r="DC147" t="inlineStr">
        <is>
          <t xml:space="preserve">lease</t>
        </is>
      </c>
      <c r="DD147" t="inlineStr">
        <is>
          <t xml:space="preserve">long</t>
        </is>
      </c>
      <c r="DE147" t="inlineStr">
        <is>
          <t xml:space="preserve">regular</t>
        </is>
      </c>
      <c r="DF147" s="4">
        <v>1.625</v>
      </c>
      <c r="DG147" s="4">
        <v>1.6269999999999998</v>
      </c>
      <c r="DH147" s="4">
        <v>0.1260277497401428</v>
      </c>
      <c r="DI147" s="6">
        <v>0.1408224279385494</v>
      </c>
      <c r="DJ147" s="4">
        <v>0.20479509332773205</v>
      </c>
      <c r="DK147" s="4">
        <v>0</v>
      </c>
      <c r="DL147" s="4">
        <v>0</v>
      </c>
      <c r="DM147" s="4">
        <v>0.0002520554994802683</v>
      </c>
      <c r="DN147" s="4">
        <v>-0.0002520554994802683</v>
      </c>
      <c r="DO147" s="4">
        <v>1.614</v>
      </c>
      <c r="DP147" s="4">
        <v>1.614</v>
      </c>
      <c r="DQ147" s="6">
        <v>0.006815365551424923</v>
      </c>
      <c r="DR147" s="6">
        <v>0.0699</v>
      </c>
      <c r="DS147" s="6">
        <v>0.02112336419078241</v>
      </c>
      <c r="DT147" s="9">
        <v>51</v>
      </c>
      <c r="DU147" s="7">
        <f>IFERROR(DM147/F147,0)</f>
        <v>0.00017331991130897198</v>
      </c>
      <c r="DV147" t="inlineStr">
        <is>
          <t xml:space="preserve">Lease cash / margin / financing</t>
        </is>
      </c>
      <c r="DW147" t="inlineStr">
        <is>
          <t xml:space="preserve">cash</t>
        </is>
      </c>
      <c r="DX147" t="inlineStr">
        <is>
          <t xml:space="preserve">lease</t>
        </is>
      </c>
      <c r="DY147" t="inlineStr">
        <is>
          <t xml:space="preserve">cash</t>
        </is>
      </c>
      <c r="DZ147"/>
      <c r="EA147" s="4">
        <v>1</v>
      </c>
      <c r="EB147" s="4">
        <v>1</v>
      </c>
      <c r="EC147" s="4">
        <v>2.220446049250313e-16</v>
      </c>
      <c r="ED147" s="6"/>
      <c r="EE147" s="4">
        <v>2.220446049250313e-16</v>
      </c>
      <c r="EF147" s="4">
        <v>2.220446049250313e-16</v>
      </c>
      <c r="EG147" s="4">
        <v>0.00024349739083964623</v>
      </c>
      <c r="EH147" s="4">
        <v>0</v>
      </c>
      <c r="EI147" s="4">
        <v>0.00024349739083942418</v>
      </c>
      <c r="EJ147" s="4">
        <v>1.614</v>
      </c>
      <c r="EK147" s="4">
        <v>1.614</v>
      </c>
      <c r="EL147" s="6"/>
      <c r="EM147" s="6"/>
      <c r="EN147" s="6"/>
      <c r="EO147" s="9"/>
      <c r="EP147" s="7">
        <f>IFERROR(EH147/F147,0)</f>
        <v>0</v>
      </c>
      <c r="EQ147" t="inlineStr">
        <is>
          <t xml:space="preserve">Keep cash / margin / financing</t>
        </is>
      </c>
      <c r="ER147" t="inlineStr">
        <is>
          <t xml:space="preserve">cash</t>
        </is>
      </c>
      <c r="ES147" t="inlineStr">
        <is>
          <t xml:space="preserve">keep</t>
        </is>
      </c>
      <c r="ET147" t="inlineStr">
        <is>
          <t xml:space="preserve">cash</t>
        </is>
      </c>
      <c r="EU147"/>
      <c r="EV147" s="4">
        <v>1</v>
      </c>
      <c r="EW147" s="4">
        <v>1</v>
      </c>
      <c r="EX147" s="4">
        <v>0</v>
      </c>
      <c r="EY147" s="6"/>
      <c r="EZ147" s="4">
        <v>0</v>
      </c>
      <c r="FA147" s="4">
        <v>0</v>
      </c>
      <c r="FB147" s="4">
        <v>0</v>
      </c>
      <c r="FC147" s="4">
        <v>0</v>
      </c>
      <c r="FD147" s="4">
        <v>0</v>
      </c>
      <c r="FE147" s="4">
        <v>1.614</v>
      </c>
      <c r="FF147" s="4">
        <v>1.614</v>
      </c>
      <c r="FG147" s="6"/>
      <c r="FH147" s="6"/>
      <c r="FI147" s="6"/>
      <c r="FJ147" s="9"/>
      <c r="FK147" s="7">
        <f>IFERROR(FC147/F147,0)</f>
        <v>0</v>
      </c>
      <c r="FL147"/>
      <c r="FM147"/>
      <c r="FN147"/>
      <c r="FO147"/>
      <c r="FP147"/>
      <c r="FQ147" s="4"/>
      <c r="FR147" s="4"/>
      <c r="FS147" s="4"/>
      <c r="FT147" s="6"/>
      <c r="FU147" s="4"/>
      <c r="FV147" s="4"/>
      <c r="FW147" s="4"/>
      <c r="FX147" s="4"/>
      <c r="FY147" s="4"/>
      <c r="FZ147" s="4"/>
      <c r="GA147" s="4"/>
      <c r="GB147" s="6"/>
      <c r="GC147" s="6"/>
      <c r="GD147" s="6"/>
      <c r="GE147" s="9"/>
      <c r="GF147"/>
      <c r="GG147"/>
      <c r="GH147"/>
      <c r="GI147"/>
      <c r="GJ147"/>
      <c r="GK147"/>
      <c r="GL147" s="4"/>
      <c r="GM147" s="4"/>
      <c r="GN147" s="4"/>
      <c r="GO147" s="6"/>
      <c r="GP147" s="4"/>
      <c r="GQ147" s="4"/>
      <c r="GR147" s="4"/>
      <c r="GS147" s="4"/>
      <c r="GT147" s="4"/>
      <c r="GU147" s="4"/>
      <c r="GV147" s="4"/>
      <c r="GW147" s="6"/>
      <c r="GX147" s="6"/>
      <c r="GY147" s="6"/>
      <c r="GZ147" s="9"/>
      <c r="HA147"/>
      <c r="HB147"/>
      <c r="HC147"/>
      <c r="HD147"/>
      <c r="HE147"/>
      <c r="HF147"/>
      <c r="HG147" s="4"/>
      <c r="HH147" s="4"/>
      <c r="HI147" s="4"/>
      <c r="HJ147" s="6"/>
      <c r="HK147" s="4"/>
      <c r="HL147" s="4"/>
      <c r="HM147" s="4"/>
      <c r="HN147" s="4"/>
      <c r="HO147" s="4"/>
      <c r="HP147" s="4"/>
      <c r="HQ147" s="4"/>
      <c r="HR147" s="6"/>
      <c r="HS147" s="6"/>
      <c r="HT147" s="6"/>
      <c r="HU147" s="9"/>
      <c r="HV147"/>
      <c r="HW147"/>
      <c r="HX147"/>
      <c r="HY147"/>
      <c r="HZ147"/>
      <c r="IA147"/>
      <c r="IB147" s="4"/>
      <c r="IC147" s="4"/>
      <c r="ID147" s="4"/>
      <c r="IE147" s="6"/>
      <c r="IF147" s="4"/>
      <c r="IG147" s="4"/>
      <c r="IH147" s="4"/>
      <c r="II147" s="4"/>
      <c r="IJ147" s="4"/>
      <c r="IK147" s="4"/>
      <c r="IL147" s="4"/>
      <c r="IM147" s="6"/>
      <c r="IN147" s="6"/>
      <c r="IO147" s="6"/>
      <c r="IP147" s="9"/>
      <c r="IQ147"/>
      <c r="IR147"/>
      <c r="IS147"/>
      <c r="IT147"/>
      <c r="IU147"/>
      <c r="IV147"/>
      <c r="IW147" s="4"/>
      <c r="IX147" s="4"/>
      <c r="IY147" s="4"/>
      <c r="IZ147" s="6"/>
      <c r="JA147" s="4"/>
      <c r="JB147" s="4"/>
      <c r="JC147" s="4"/>
      <c r="JD147" s="4"/>
      <c r="JE147" s="4"/>
      <c r="JF147" s="4"/>
      <c r="JG147" s="4"/>
      <c r="JH147" s="6"/>
      <c r="JI147" s="6"/>
      <c r="JJ147" s="6"/>
      <c r="JK147" s="9"/>
      <c r="JL147"/>
    </row>
    <row r="148">
      <c r="A148" s="8">
        <v>25422</v>
      </c>
      <c r="B148" s="8">
        <v>25423</v>
      </c>
      <c r="C148" s="9">
        <f>B148-A148</f>
        <v>1</v>
      </c>
      <c r="D148" s="8">
        <v>25422</v>
      </c>
      <c r="E148" t="inlineStr">
        <is>
          <t xml:space="preserve">positive</t>
        </is>
      </c>
      <c r="F148" s="4">
        <v>1.4545616719452392</v>
      </c>
      <c r="G148" s="6">
        <v>0.005797676258439385</v>
      </c>
      <c r="H148" s="7">
        <f>SUM(CE148,CZ148,DU148,EP148,FK148,GF148,HA148,HV148,IQ148,JL148)</f>
        <v>0.0057976762584393835</v>
      </c>
      <c r="I148" s="7">
        <f>G148-H148</f>
        <v>1.734723475976807e-18</v>
      </c>
      <c r="J148" s="5">
        <f>F148*(1+H148)</f>
        <v>1.4629947496171118</v>
      </c>
      <c r="K148" s="4">
        <v>1.4629947496171118</v>
      </c>
      <c r="L148" s="5">
        <f>K148-J148</f>
        <v>0</v>
      </c>
      <c r="M148" s="4">
        <v>1.614</v>
      </c>
      <c r="N148" s="4">
        <v>1.624</v>
      </c>
      <c r="O148" s="5">
        <f>M148/$M$3</f>
        <v>0.8243105209397344</v>
      </c>
      <c r="P148" s="5">
        <f>N148/$M$3</f>
        <v>0.829417773237998</v>
      </c>
      <c r="Q148" s="7">
        <f>IFERROR(N148/M148-1,0)</f>
        <v>0.006195786864931829</v>
      </c>
      <c r="R148" s="5">
        <f>SUM(IF(BM148="lease",BU148,0),IF(CH148="lease",CP148,0),IF(DC148="lease",DK148,0),IF(DX148="lease",EF148,0),IF(ES148="lease",FA148,0),IF(FN148="lease",FV148,0),IF(GI148="lease",GQ148,0),IF(HD148="lease",HL148,0),IF(HY148="lease",IG148,0),IF(IT148="lease",JB148,0))</f>
        <v>1.4545616719452392</v>
      </c>
      <c r="S148" s="5">
        <f>SUM(IF(BM148="lease",BV148,0),IF(CH148="lease",CQ148,0),IF(DC148="lease",DL148,0),IF(DX148="lease",EG148,0),IF(ES148="lease",FB148,0),IF(FN148="lease",FW148,0),IF(GI148="lease",GR148,0),IF(HD148="lease",HM148,0),IF(HY148="lease",IH148,0),IF(IT148="lease",JC148,0))</f>
        <v>1.462994749617112</v>
      </c>
      <c r="T148" s="5">
        <f>SUM(IF(BM148="keep",BU148,0),IF(CH148="keep",CP148,0),IF(DC148="keep",DK148,0),IF(DX148="keep",EF148,0),IF(ES148="keep",FA148,0),IF(FN148="keep",FV148,0),IF(GI148="keep",GQ148,0),IF(HD148="keep",HL148,0),IF(HY148="keep",IG148,0),IF(IT148="keep",JB148,0))</f>
        <v>0</v>
      </c>
      <c r="U148" s="5">
        <f>SUM(IF(BM148="keep",BV148,0),IF(CH148="keep",CQ148,0),IF(DC148="keep",DL148,0),IF(DX148="keep",EG148,0),IF(ES148="keep",FB148,0),IF(FN148="keep",FW148,0),IF(GI148="keep",GR148,0),IF(HD148="keep",HM148,0),IF(HY148="keep",IH148,0),IF(IT148="keep",JC148,0))</f>
        <v>0</v>
      </c>
      <c r="V148" s="5">
        <f>R148/O148</f>
        <v>1.764579773028983</v>
      </c>
      <c r="W148" s="5">
        <f>S148/P148</f>
        <v>1.7638816008314686</v>
      </c>
      <c r="X148" s="5">
        <f>T148/O148</f>
        <v>0</v>
      </c>
      <c r="Y148" s="5">
        <f>U148/P148</f>
        <v>0</v>
      </c>
      <c r="Z148" s="5">
        <f>V148+X148</f>
        <v>1.764579773028983</v>
      </c>
      <c r="AA148" s="7">
        <f>IFERROR(W148/V148-1,0)</f>
        <v>-0.00039565918650186216</v>
      </c>
      <c r="AB148" s="7">
        <f>IFERROR((W148-V148)/Z148,0)</f>
        <v>-0.0003956591865018889</v>
      </c>
      <c r="AC148" s="7">
        <f>IFERROR(Y148/X148-1,0)</f>
        <v>0</v>
      </c>
      <c r="AD148" s="7">
        <f>IFERROR((Y148-X148)/Z148,0)</f>
        <v>0</v>
      </c>
      <c r="AE148" s="7">
        <f>AB148+AD148</f>
        <v>-0.0003956591865018889</v>
      </c>
      <c r="AF148" s="7">
        <f>(1+Q148)*(1+AE148)-1</f>
        <v>0.005797676258439299</v>
      </c>
      <c r="AG148" s="7">
        <f>G148-AF148</f>
        <v>8.586881206085195e-17</v>
      </c>
      <c r="AH148" s="5">
        <f>SUM(IF(BM148="lease",BW148,0),IF(CH148="lease",CR148,0),IF(DC148="lease",DM148,0),IF(DX148="lease",EH148,0),IF(ES148="lease",FC148,0),IF(FN148="lease",FX148,0),IF(GI148="lease",GS148,0),IF(HD148="lease",HN148,0),IF(HY148="lease",II148,0),IF(IT148="lease",JD148,0))</f>
        <v>0.008433077671872808</v>
      </c>
      <c r="AI148" s="5">
        <f>SUM(IF(BM148="keep",BW148,0),IF(CH148="keep",CR148,0),IF(DC148="keep",DM148,0),IF(DX148="keep",EH148,0),IF(ES148="keep",FC148,0),IF(FN148="keep",FX148,0),IF(GI148="keep",GS148,0),IF(HD148="keep",HN148,0),IF(HY148="keep",II148,0),IF(IT148="keep",JD148,0))</f>
        <v>0</v>
      </c>
      <c r="AJ148" s="5">
        <f>SUM(IF(BM148="lease",BX148,0),IF(CH148="lease",CS148,0),IF(DC148="lease",DN148,0),IF(DX148="lease",EI148,0),IF(ES148="lease",FD148,0),IF(FN148="lease",FY148,0),IF(GI148="lease",GT148,0),IF(HD148="lease",HO148,0),IF(HY148="lease",IJ148,0),IF(IT148="lease",JE148,0))</f>
        <v>0</v>
      </c>
      <c r="AK148" s="5">
        <f>SUM(IF(BM148="keep",BX148,0),IF(CH148="keep",CS148,0),IF(DC148="keep",DN148,0),IF(DX148="keep",EI148,0),IF(ES148="keep",FD148,0),IF(FN148="keep",FY148,0),IF(GI148="keep",GT148,0),IF(HD148="keep",HO148,0),IF(HY148="keep",IJ148,0),IF(IT148="keep",JE148,0))</f>
        <v>0</v>
      </c>
      <c r="AL148" s="5">
        <f>R148-S147</f>
        <v>0</v>
      </c>
      <c r="AM148" s="5">
        <f>T148-U147</f>
        <v>0</v>
      </c>
      <c r="AN148" s="5">
        <f>AN147</f>
        <v>1</v>
      </c>
      <c r="AO148" s="5">
        <f>AO147+AH148</f>
        <v>0.46299474961711246</v>
      </c>
      <c r="AP148" s="5">
        <f>AP147+AL148</f>
        <v>-6.661338147750939e-16</v>
      </c>
      <c r="AQ148" s="5">
        <f>AN148+AO148+AP148</f>
        <v>1.4629947496171118</v>
      </c>
      <c r="AR148" s="5">
        <f>S148-AQ148</f>
        <v>2.220446049250313e-16</v>
      </c>
      <c r="AS148" s="5">
        <f>AS147</f>
        <v>0</v>
      </c>
      <c r="AT148" s="5">
        <f>AT147+AI148</f>
        <v>0</v>
      </c>
      <c r="AU148" s="5">
        <f>AU147+AM148</f>
        <v>0</v>
      </c>
      <c r="AV148" s="5">
        <f>AS148+AT148+AU148</f>
        <v>0</v>
      </c>
      <c r="AW148" s="5">
        <f>U148-AV148</f>
        <v>0</v>
      </c>
      <c r="AX148" s="4">
        <v>1.4545616719452392</v>
      </c>
      <c r="AY148" s="4">
        <v>1.462994749617112</v>
      </c>
      <c r="AZ148" s="5">
        <f>S148-AY148</f>
        <v>0</v>
      </c>
      <c r="BA148" s="4">
        <v>0</v>
      </c>
      <c r="BB148" s="4">
        <v>0</v>
      </c>
      <c r="BC148" s="5">
        <f>U148-BB148</f>
        <v>0</v>
      </c>
      <c r="BD148" s="7">
        <f>SUM(IF(BL148="direct",CE148,0),IF(CG148="direct",CZ148,0),IF(DB148="direct",DU148,0),IF(DW148="direct",EP148,0),IF(ER148="direct",FK148,0),IF(FM148="direct",GF148,0),IF(GH148="direct",HA148,0),IF(HC148="direct",HV148,0),IF(HX148="direct",IQ148,0),IF(IS148="direct",JL148,0))</f>
        <v>0.005739126284518824</v>
      </c>
      <c r="BE148" s="7">
        <f>SUM(IF(BL148="treasury",CE148,0),IF(CG148="treasury",CZ148,0),IF(DB148="treasury",DU148,0),IF(DW148="treasury",EP148,0),IF(ER148="treasury",FK148,0),IF(FM148="treasury",GF148,0),IF(GH148="treasury",HA148,0),IF(HC148="treasury",HV148,0),IF(HX148="treasury",IQ148,0),IF(IS148="treasury",JL148,0))</f>
        <v>0.000013878871065395115</v>
      </c>
      <c r="BF148" s="7">
        <f>SUM(IF(BL148="future",CE148,0),IF(CG148="future",CZ148,0),IF(DB148="future",DU148,0),IF(DW148="future",EP148,0),IF(ER148="future",FK148,0),IF(FM148="future",GF148,0),IF(GH148="future",HA148,0),IF(HC148="future",HV148,0),IF(HX148="future",IQ148,0),IF(IS148="future",JL148,0))</f>
        <v>0.000044671102855163974</v>
      </c>
      <c r="BG148" s="7">
        <f>SUM(IF(BL148="cash",CE148,0),IF(CG148="cash",CZ148,0),IF(DB148="cash",DU148,0),IF(DW148="cash",EP148,0),IF(ER148="cash",FK148,0),IF(FM148="cash",GF148,0),IF(GH148="cash",HA148,0),IF(HC148="cash",HV148,0),IF(HX148="cash",IQ148,0),IF(IS148="cash",JL148,0))</f>
        <v>0</v>
      </c>
      <c r="BH148" s="7">
        <f>SUM(BD148:BG148)</f>
        <v>0.0057976762584393835</v>
      </c>
      <c r="BI148" s="7">
        <f>G148-BH148</f>
        <v>1.734723475976807e-18</v>
      </c>
      <c r="BJ148" s="9">
        <f>COUNTA(BK148,CF148,DA148,DV148,EQ148,FL148,GG148,HB148,HW148,IR148)</f>
        <v>5</v>
      </c>
      <c r="BK148" t="inlineStr">
        <is>
          <t xml:space="preserve">Direct commodity holding</t>
        </is>
      </c>
      <c r="BL148" t="inlineStr">
        <is>
          <t xml:space="preserve">direct</t>
        </is>
      </c>
      <c r="BM148" t="inlineStr">
        <is>
          <t xml:space="preserve">lease</t>
        </is>
      </c>
      <c r="BN148" t="inlineStr">
        <is>
          <t xml:space="preserve">long</t>
        </is>
      </c>
      <c r="BO148"/>
      <c r="BP148" s="4">
        <v>1.614</v>
      </c>
      <c r="BQ148" s="4">
        <v>1.624</v>
      </c>
      <c r="BR148" s="4">
        <v>0.8357151783488942</v>
      </c>
      <c r="BS148" s="6">
        <v>0.927320115654674</v>
      </c>
      <c r="BT148" s="4">
        <v>1.3488442978551154</v>
      </c>
      <c r="BU148" s="4">
        <v>1.3488442978551154</v>
      </c>
      <c r="BV148" s="4">
        <v>1.3572014496386042</v>
      </c>
      <c r="BW148" s="4">
        <v>0.00834791312391457</v>
      </c>
      <c r="BX148" s="4">
        <v>0.000009238659574266686</v>
      </c>
      <c r="BY148" s="4">
        <v>1.614</v>
      </c>
      <c r="BZ148" s="4">
        <v>1.624</v>
      </c>
      <c r="CA148" s="6"/>
      <c r="CB148" s="6"/>
      <c r="CC148" s="6"/>
      <c r="CD148" s="9"/>
      <c r="CE148" s="7">
        <f>IFERROR(BW148/F148,0)</f>
        <v>0.005739126284518824</v>
      </c>
      <c r="CF148" t="inlineStr">
        <is>
          <t xml:space="preserve">Treasury collateral</t>
        </is>
      </c>
      <c r="CG148" t="inlineStr">
        <is>
          <t xml:space="preserve">treasury</t>
        </is>
      </c>
      <c r="CH148" t="inlineStr">
        <is>
          <t xml:space="preserve">lease</t>
        </is>
      </c>
      <c r="CI148" t="inlineStr">
        <is>
          <t xml:space="preserve">long</t>
        </is>
      </c>
      <c r="CJ148"/>
      <c r="CK148" s="4">
        <v>103.80715085160934</v>
      </c>
      <c r="CL148" s="4">
        <v>103.82697375137471</v>
      </c>
      <c r="CM148" s="4">
        <v>0.001018401653670711</v>
      </c>
      <c r="CN148" s="6">
        <v>0.07267988434532593</v>
      </c>
      <c r="CO148" s="4">
        <v>0.10571737409012391</v>
      </c>
      <c r="CP148" s="4">
        <v>0.10571737409012391</v>
      </c>
      <c r="CQ148" s="4">
        <v>0.10573756176402552</v>
      </c>
      <c r="CR148" s="4">
        <v>0.000020187673901593524</v>
      </c>
      <c r="CS148" s="4">
        <v>1.250559443326249e-17</v>
      </c>
      <c r="CT148" s="4">
        <v>1.614</v>
      </c>
      <c r="CU148" s="4">
        <v>1.624</v>
      </c>
      <c r="CV148" s="6"/>
      <c r="CW148" s="6"/>
      <c r="CX148" s="6"/>
      <c r="CY148" s="9">
        <v>50</v>
      </c>
      <c r="CZ148" s="7">
        <f>IFERROR(CR148/F148,0)</f>
        <v>0.000013878871065395115</v>
      </c>
      <c r="DA148" t="inlineStr">
        <is>
          <t xml:space="preserve">SI69U</t>
        </is>
      </c>
      <c r="DB148" t="inlineStr">
        <is>
          <t xml:space="preserve">future</t>
        </is>
      </c>
      <c r="DC148" t="inlineStr">
        <is>
          <t xml:space="preserve">lease</t>
        </is>
      </c>
      <c r="DD148" t="inlineStr">
        <is>
          <t xml:space="preserve">long</t>
        </is>
      </c>
      <c r="DE148" t="inlineStr">
        <is>
          <t xml:space="preserve">regular</t>
        </is>
      </c>
      <c r="DF148" s="4">
        <v>1.6269999999999998</v>
      </c>
      <c r="DG148" s="4">
        <v>1.6280000000000001</v>
      </c>
      <c r="DH148" s="4">
        <v>0.06497687405662196</v>
      </c>
      <c r="DI148" s="6">
        <v>0.07267988434532593</v>
      </c>
      <c r="DJ148" s="4">
        <v>0.10571737409012391</v>
      </c>
      <c r="DK148" s="4">
        <v>0</v>
      </c>
      <c r="DL148" s="4">
        <v>0</v>
      </c>
      <c r="DM148" s="4">
        <v>0.00006497687405664506</v>
      </c>
      <c r="DN148" s="4">
        <v>-0.00006497687405664506</v>
      </c>
      <c r="DO148" s="4">
        <v>1.614</v>
      </c>
      <c r="DP148" s="4">
        <v>1.624</v>
      </c>
      <c r="DQ148" s="6">
        <v>0.008054522924411112</v>
      </c>
      <c r="DR148" s="6">
        <v>0.0697</v>
      </c>
      <c r="DS148" s="6">
        <v>0.01090198265179889</v>
      </c>
      <c r="DT148" s="9">
        <v>50</v>
      </c>
      <c r="DU148" s="7">
        <f>IFERROR(DM148/F148,0)</f>
        <v>0.000044671102855163974</v>
      </c>
      <c r="DV148" t="inlineStr">
        <is>
          <t xml:space="preserve">Lease cash / margin / financing</t>
        </is>
      </c>
      <c r="DW148" t="inlineStr">
        <is>
          <t xml:space="preserve">cash</t>
        </is>
      </c>
      <c r="DX148" t="inlineStr">
        <is>
          <t xml:space="preserve">lease</t>
        </is>
      </c>
      <c r="DY148" t="inlineStr">
        <is>
          <t xml:space="preserve">cash</t>
        </is>
      </c>
      <c r="DZ148"/>
      <c r="EA148" s="4">
        <v>1</v>
      </c>
      <c r="EB148" s="4">
        <v>1</v>
      </c>
      <c r="EC148" s="4">
        <v>0</v>
      </c>
      <c r="ED148" s="6"/>
      <c r="EE148" s="4">
        <v>0</v>
      </c>
      <c r="EF148" s="4">
        <v>0</v>
      </c>
      <c r="EG148" s="4">
        <v>0.00005573821448236587</v>
      </c>
      <c r="EH148" s="4">
        <v>0</v>
      </c>
      <c r="EI148" s="4">
        <v>0.00005573821448236587</v>
      </c>
      <c r="EJ148" s="4">
        <v>1.614</v>
      </c>
      <c r="EK148" s="4">
        <v>1.624</v>
      </c>
      <c r="EL148" s="6"/>
      <c r="EM148" s="6"/>
      <c r="EN148" s="6"/>
      <c r="EO148" s="9"/>
      <c r="EP148" s="7">
        <f>IFERROR(EH148/F148,0)</f>
        <v>0</v>
      </c>
      <c r="EQ148" t="inlineStr">
        <is>
          <t xml:space="preserve">Keep cash / margin / financing</t>
        </is>
      </c>
      <c r="ER148" t="inlineStr">
        <is>
          <t xml:space="preserve">cash</t>
        </is>
      </c>
      <c r="ES148" t="inlineStr">
        <is>
          <t xml:space="preserve">keep</t>
        </is>
      </c>
      <c r="ET148" t="inlineStr">
        <is>
          <t xml:space="preserve">cash</t>
        </is>
      </c>
      <c r="EU148"/>
      <c r="EV148" s="4">
        <v>1</v>
      </c>
      <c r="EW148" s="4">
        <v>1</v>
      </c>
      <c r="EX148" s="4">
        <v>0</v>
      </c>
      <c r="EY148" s="6"/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1.614</v>
      </c>
      <c r="FF148" s="4">
        <v>1.624</v>
      </c>
      <c r="FG148" s="6"/>
      <c r="FH148" s="6"/>
      <c r="FI148" s="6"/>
      <c r="FJ148" s="9"/>
      <c r="FK148" s="7">
        <f>IFERROR(FC148/F148,0)</f>
        <v>0</v>
      </c>
      <c r="FL148"/>
      <c r="FM148"/>
      <c r="FN148"/>
      <c r="FO148"/>
      <c r="FP148"/>
      <c r="FQ148" s="4"/>
      <c r="FR148" s="4"/>
      <c r="FS148" s="4"/>
      <c r="FT148" s="6"/>
      <c r="FU148" s="4"/>
      <c r="FV148" s="4"/>
      <c r="FW148" s="4"/>
      <c r="FX148" s="4"/>
      <c r="FY148" s="4"/>
      <c r="FZ148" s="4"/>
      <c r="GA148" s="4"/>
      <c r="GB148" s="6"/>
      <c r="GC148" s="6"/>
      <c r="GD148" s="6"/>
      <c r="GE148" s="9"/>
      <c r="GF148"/>
      <c r="GG148"/>
      <c r="GH148"/>
      <c r="GI148"/>
      <c r="GJ148"/>
      <c r="GK148"/>
      <c r="GL148" s="4"/>
      <c r="GM148" s="4"/>
      <c r="GN148" s="4"/>
      <c r="GO148" s="6"/>
      <c r="GP148" s="4"/>
      <c r="GQ148" s="4"/>
      <c r="GR148" s="4"/>
      <c r="GS148" s="4"/>
      <c r="GT148" s="4"/>
      <c r="GU148" s="4"/>
      <c r="GV148" s="4"/>
      <c r="GW148" s="6"/>
      <c r="GX148" s="6"/>
      <c r="GY148" s="6"/>
      <c r="GZ148" s="9"/>
      <c r="HA148"/>
      <c r="HB148"/>
      <c r="HC148"/>
      <c r="HD148"/>
      <c r="HE148"/>
      <c r="HF148"/>
      <c r="HG148" s="4"/>
      <c r="HH148" s="4"/>
      <c r="HI148" s="4"/>
      <c r="HJ148" s="6"/>
      <c r="HK148" s="4"/>
      <c r="HL148" s="4"/>
      <c r="HM148" s="4"/>
      <c r="HN148" s="4"/>
      <c r="HO148" s="4"/>
      <c r="HP148" s="4"/>
      <c r="HQ148" s="4"/>
      <c r="HR148" s="6"/>
      <c r="HS148" s="6"/>
      <c r="HT148" s="6"/>
      <c r="HU148" s="9"/>
      <c r="HV148"/>
      <c r="HW148"/>
      <c r="HX148"/>
      <c r="HY148"/>
      <c r="HZ148"/>
      <c r="IA148"/>
      <c r="IB148" s="4"/>
      <c r="IC148" s="4"/>
      <c r="ID148" s="4"/>
      <c r="IE148" s="6"/>
      <c r="IF148" s="4"/>
      <c r="IG148" s="4"/>
      <c r="IH148" s="4"/>
      <c r="II148" s="4"/>
      <c r="IJ148" s="4"/>
      <c r="IK148" s="4"/>
      <c r="IL148" s="4"/>
      <c r="IM148" s="6"/>
      <c r="IN148" s="6"/>
      <c r="IO148" s="6"/>
      <c r="IP148" s="9"/>
      <c r="IQ148"/>
      <c r="IR148"/>
      <c r="IS148"/>
      <c r="IT148"/>
      <c r="IU148"/>
      <c r="IV148"/>
      <c r="IW148" s="4"/>
      <c r="IX148" s="4"/>
      <c r="IY148" s="4"/>
      <c r="IZ148" s="6"/>
      <c r="JA148" s="4"/>
      <c r="JB148" s="4"/>
      <c r="JC148" s="4"/>
      <c r="JD148" s="4"/>
      <c r="JE148" s="4"/>
      <c r="JF148" s="4"/>
      <c r="JG148" s="4"/>
      <c r="JH148" s="6"/>
      <c r="JI148" s="6"/>
      <c r="JJ148" s="6"/>
      <c r="JK148" s="9"/>
      <c r="JL148"/>
    </row>
    <row r="149">
      <c r="A149" s="8">
        <v>25423</v>
      </c>
      <c r="B149" s="8">
        <v>25426</v>
      </c>
      <c r="C149" s="9">
        <f>B149-A149</f>
        <v>3</v>
      </c>
      <c r="D149" s="8">
        <v>25423</v>
      </c>
      <c r="E149" t="inlineStr">
        <is>
          <t xml:space="preserve">positive</t>
        </is>
      </c>
      <c r="F149" s="4">
        <v>1.4629947496171118</v>
      </c>
      <c r="G149" s="6">
        <v>0.035908129878511115</v>
      </c>
      <c r="H149" s="7">
        <f>SUM(CE149,CZ149,DU149,EP149,FK149,GF149,HA149,HV149,IQ149,JL149)</f>
        <v>0.035908129878511115</v>
      </c>
      <c r="I149" s="7">
        <f>G149-H149</f>
        <v>0</v>
      </c>
      <c r="J149" s="5">
        <f>F149*(1+H149)</f>
        <v>1.515528155097943</v>
      </c>
      <c r="K149" s="4">
        <v>1.515528155097943</v>
      </c>
      <c r="L149" s="5">
        <f>K149-J149</f>
        <v>0</v>
      </c>
      <c r="M149" s="4">
        <v>1.624</v>
      </c>
      <c r="N149" s="4">
        <v>1.69</v>
      </c>
      <c r="O149" s="5">
        <f>M149/$M$3</f>
        <v>0.829417773237998</v>
      </c>
      <c r="P149" s="5">
        <f>N149/$M$3</f>
        <v>0.8631256384065372</v>
      </c>
      <c r="Q149" s="7">
        <f>IFERROR(N149/M149-1,0)</f>
        <v>0.04064039408866993</v>
      </c>
      <c r="R149" s="5">
        <f>SUM(IF(BM149="lease",BU149,0),IF(CH149="lease",CP149,0),IF(DC149="lease",DK149,0),IF(DX149="lease",EF149,0),IF(ES149="lease",FA149,0),IF(FN149="lease",FV149,0),IF(GI149="lease",GQ149,0),IF(HD149="lease",HL149,0),IF(HY149="lease",IG149,0),IF(IT149="lease",JB149,0))</f>
        <v>1.462994749617112</v>
      </c>
      <c r="S149" s="5">
        <f>SUM(IF(BM149="lease",BV149,0),IF(CH149="lease",CQ149,0),IF(DC149="lease",DL149,0),IF(DX149="lease",EG149,0),IF(ES149="lease",FB149,0),IF(FN149="lease",FW149,0),IF(GI149="lease",GR149,0),IF(HD149="lease",HM149,0),IF(HY149="lease",IH149,0),IF(IT149="lease",JC149,0))</f>
        <v>1.5155281550979431</v>
      </c>
      <c r="T149" s="5">
        <f>SUM(IF(BM149="keep",BU149,0),IF(CH149="keep",CP149,0),IF(DC149="keep",DK149,0),IF(DX149="keep",EF149,0),IF(ES149="keep",FA149,0),IF(FN149="keep",FV149,0),IF(GI149="keep",GQ149,0),IF(HD149="keep",HL149,0),IF(HY149="keep",IG149,0),IF(IT149="keep",JB149,0))</f>
        <v>0</v>
      </c>
      <c r="U149" s="5">
        <f>SUM(IF(BM149="keep",BV149,0),IF(CH149="keep",CQ149,0),IF(DC149="keep",DL149,0),IF(DX149="keep",EG149,0),IF(ES149="keep",FB149,0),IF(FN149="keep",FW149,0),IF(GI149="keep",GR149,0),IF(HD149="keep",HM149,0),IF(HY149="keep",IH149,0),IF(IT149="keep",JC149,0))</f>
        <v>0</v>
      </c>
      <c r="V149" s="5">
        <f>R149/O149</f>
        <v>1.7638816008314686</v>
      </c>
      <c r="W149" s="5">
        <f>S149/P149</f>
        <v>1.7558604305809307</v>
      </c>
      <c r="X149" s="5">
        <f>T149/O149</f>
        <v>0</v>
      </c>
      <c r="Y149" s="5">
        <f>U149/P149</f>
        <v>0</v>
      </c>
      <c r="Z149" s="5">
        <f>V149+X149</f>
        <v>1.7638816008314686</v>
      </c>
      <c r="AA149" s="7">
        <f>IFERROR(W149/V149-1,0)</f>
        <v>-0.00454745389189215</v>
      </c>
      <c r="AB149" s="7">
        <f>IFERROR((W149-V149)/Z149,0)</f>
        <v>-0.004547453891892109</v>
      </c>
      <c r="AC149" s="7">
        <f>IFERROR(Y149/X149-1,0)</f>
        <v>0</v>
      </c>
      <c r="AD149" s="7">
        <f>IFERROR((Y149-X149)/Z149,0)</f>
        <v>0</v>
      </c>
      <c r="AE149" s="7">
        <f>AB149+AD149</f>
        <v>-0.004547453891892109</v>
      </c>
      <c r="AF149" s="7">
        <f>(1+Q149)*(1+AE149)-1</f>
        <v>0.03590812987851133</v>
      </c>
      <c r="AG149" s="7">
        <f>G149-AF149</f>
        <v>-2.1510571102112408e-16</v>
      </c>
      <c r="AH149" s="5">
        <f>SUM(IF(BM149="lease",BW149,0),IF(CH149="lease",CR149,0),IF(DC149="lease",DM149,0),IF(DX149="lease",EH149,0),IF(ES149="lease",FC149,0),IF(FN149="lease",FX149,0),IF(GI149="lease",GS149,0),IF(HD149="lease",HN149,0),IF(HY149="lease",II149,0),IF(IT149="lease",JD149,0))</f>
        <v>0.0525334054808311</v>
      </c>
      <c r="AI149" s="5">
        <f>SUM(IF(BM149="keep",BW149,0),IF(CH149="keep",CR149,0),IF(DC149="keep",DM149,0),IF(DX149="keep",EH149,0),IF(ES149="keep",FC149,0),IF(FN149="keep",FX149,0),IF(GI149="keep",GS149,0),IF(HD149="keep",HN149,0),IF(HY149="keep",II149,0),IF(IT149="keep",JD149,0))</f>
        <v>0</v>
      </c>
      <c r="AJ149" s="5">
        <f>SUM(IF(BM149="lease",BX149,0),IF(CH149="lease",CS149,0),IF(DC149="lease",DN149,0),IF(DX149="lease",EI149,0),IF(ES149="lease",FD149,0),IF(FN149="lease",FY149,0),IF(GI149="lease",GT149,0),IF(HD149="lease",HO149,0),IF(HY149="lease",IJ149,0),IF(IT149="lease",JE149,0))</f>
        <v>0</v>
      </c>
      <c r="AK149" s="5">
        <f>SUM(IF(BM149="keep",BX149,0),IF(CH149="keep",CS149,0),IF(DC149="keep",DN149,0),IF(DX149="keep",EI149,0),IF(ES149="keep",FD149,0),IF(FN149="keep",FY149,0),IF(GI149="keep",GT149,0),IF(HD149="keep",HO149,0),IF(HY149="keep",IJ149,0),IF(IT149="keep",JE149,0))</f>
        <v>0</v>
      </c>
      <c r="AL149" s="5">
        <f>R149-S148</f>
        <v>0</v>
      </c>
      <c r="AM149" s="5">
        <f>T149-U148</f>
        <v>0</v>
      </c>
      <c r="AN149" s="5">
        <f>AN148</f>
        <v>1</v>
      </c>
      <c r="AO149" s="5">
        <f>AO148+AH149</f>
        <v>0.5155281550979436</v>
      </c>
      <c r="AP149" s="5">
        <f>AP148+AL149</f>
        <v>-6.661338147750939e-16</v>
      </c>
      <c r="AQ149" s="5">
        <f>AN149+AO149+AP149</f>
        <v>1.515528155097943</v>
      </c>
      <c r="AR149" s="5">
        <f>S149-AQ149</f>
        <v>2.220446049250313e-16</v>
      </c>
      <c r="AS149" s="5">
        <f>AS148</f>
        <v>0</v>
      </c>
      <c r="AT149" s="5">
        <f>AT148+AI149</f>
        <v>0</v>
      </c>
      <c r="AU149" s="5">
        <f>AU148+AM149</f>
        <v>0</v>
      </c>
      <c r="AV149" s="5">
        <f>AS149+AT149+AU149</f>
        <v>0</v>
      </c>
      <c r="AW149" s="5">
        <f>U149-AV149</f>
        <v>0</v>
      </c>
      <c r="AX149" s="4">
        <v>1.462994749617112</v>
      </c>
      <c r="AY149" s="4">
        <v>1.5155281550979431</v>
      </c>
      <c r="AZ149" s="5">
        <f>S149-AY149</f>
        <v>0</v>
      </c>
      <c r="BA149" s="4">
        <v>0</v>
      </c>
      <c r="BB149" s="4">
        <v>0</v>
      </c>
      <c r="BC149" s="5">
        <f>U149-BB149</f>
        <v>0</v>
      </c>
      <c r="BD149" s="7">
        <f>SUM(IF(BL149="direct",CE149,0),IF(CG149="direct",CZ149,0),IF(DB149="direct",DU149,0),IF(DW149="direct",EP149,0),IF(ER149="direct",FK149,0),IF(FM149="direct",GF149,0),IF(GH149="direct",HA149,0),IF(HC149="direct",HV149,0),IF(HX149="direct",IQ149,0),IF(IS149="direct",JL149,0))</f>
        <v>0.02657817202264528</v>
      </c>
      <c r="BE149" s="7">
        <f>SUM(IF(BL149="treasury",CE149,0),IF(CG149="treasury",CZ149,0),IF(DB149="treasury",DU149,0),IF(DW149="treasury",EP149,0),IF(ER149="treasury",FK149,0),IF(FM149="treasury",GF149,0),IF(GH149="treasury",HA149,0),IF(HC149="treasury",HV149,0),IF(HX149="treasury",IQ149,0),IF(IS149="treasury",JL149,0))</f>
        <v>0.00019945554661624266</v>
      </c>
      <c r="BF149" s="7">
        <f>SUM(IF(BL149="future",CE149,0),IF(CG149="future",CZ149,0),IF(DB149="future",DU149,0),IF(DW149="future",EP149,0),IF(ER149="future",FK149,0),IF(FM149="future",GF149,0),IF(GH149="future",HA149,0),IF(HC149="future",HV149,0),IF(HX149="future",IQ149,0),IF(IS149="future",JL149,0))</f>
        <v>0.009130502309249595</v>
      </c>
      <c r="BG149" s="7">
        <f>SUM(IF(BL149="cash",CE149,0),IF(CG149="cash",CZ149,0),IF(DB149="cash",DU149,0),IF(DW149="cash",EP149,0),IF(ER149="cash",FK149,0),IF(FM149="cash",GF149,0),IF(GH149="cash",HA149,0),IF(HC149="cash",HV149,0),IF(HX149="cash",IQ149,0),IF(IS149="cash",JL149,0))</f>
        <v>0</v>
      </c>
      <c r="BH149" s="7">
        <f>SUM(BD149:BG149)</f>
        <v>0.035908129878511115</v>
      </c>
      <c r="BI149" s="7">
        <f>G149-BH149</f>
        <v>0</v>
      </c>
      <c r="BJ149" s="9">
        <f>COUNTA(BK149,CF149,DA149,DV149,EQ149,FL149,GG149,HB149,HW149,IR149)</f>
        <v>5</v>
      </c>
      <c r="BK149" t="inlineStr">
        <is>
          <t xml:space="preserve">Direct commodity holding</t>
        </is>
      </c>
      <c r="BL149" t="inlineStr">
        <is>
          <t xml:space="preserve">direct</t>
        </is>
      </c>
      <c r="BM149" t="inlineStr">
        <is>
          <t xml:space="preserve">lease</t>
        </is>
      </c>
      <c r="BN149" t="inlineStr">
        <is>
          <t xml:space="preserve">long</t>
        </is>
      </c>
      <c r="BO149"/>
      <c r="BP149" s="4">
        <v>1.624</v>
      </c>
      <c r="BQ149" s="4">
        <v>1.69</v>
      </c>
      <c r="BR149" s="4">
        <v>0.5894453914472291</v>
      </c>
      <c r="BS149" s="6">
        <v>0.65431493582655</v>
      </c>
      <c r="BT149" s="4">
        <v>0.9572593157103001</v>
      </c>
      <c r="BU149" s="4">
        <v>0.9572593157103001</v>
      </c>
      <c r="BV149" s="4">
        <v>0.9961627115458171</v>
      </c>
      <c r="BW149" s="4">
        <v>0.038883726123550455</v>
      </c>
      <c r="BX149" s="4">
        <v>0.000019669711966596726</v>
      </c>
      <c r="BY149" s="4">
        <v>1.624</v>
      </c>
      <c r="BZ149" s="4">
        <v>1.69</v>
      </c>
      <c r="CA149" s="6"/>
      <c r="CB149" s="6"/>
      <c r="CC149" s="6"/>
      <c r="CD149" s="9"/>
      <c r="CE149" s="7">
        <f>IFERROR(BW149/F149,0)</f>
        <v>0.02657817202264528</v>
      </c>
      <c r="CF149" t="inlineStr">
        <is>
          <t xml:space="preserve">Treasury collateral</t>
        </is>
      </c>
      <c r="CG149" t="inlineStr">
        <is>
          <t xml:space="preserve">treasury</t>
        </is>
      </c>
      <c r="CH149" t="inlineStr">
        <is>
          <t xml:space="preserve">lease</t>
        </is>
      </c>
      <c r="CI149" t="inlineStr">
        <is>
          <t xml:space="preserve">long</t>
        </is>
      </c>
      <c r="CJ149"/>
      <c r="CK149" s="4">
        <v>103.82697375137471</v>
      </c>
      <c r="CL149" s="4">
        <v>103.88688049294193</v>
      </c>
      <c r="CM149" s="4">
        <v>0.004870944568969637</v>
      </c>
      <c r="CN149" s="6">
        <v>0.34568506417344996</v>
      </c>
      <c r="CO149" s="4">
        <v>0.5057354339068117</v>
      </c>
      <c r="CP149" s="4">
        <v>0.5057354339068117</v>
      </c>
      <c r="CQ149" s="4">
        <v>0.5060272363242933</v>
      </c>
      <c r="CR149" s="4">
        <v>0.00029180241748157413</v>
      </c>
      <c r="CS149" s="4">
        <v>-7.26415455565288e-17</v>
      </c>
      <c r="CT149" s="4">
        <v>1.624</v>
      </c>
      <c r="CU149" s="4">
        <v>1.69</v>
      </c>
      <c r="CV149" s="6"/>
      <c r="CW149" s="6"/>
      <c r="CX149" s="6"/>
      <c r="CY149" s="9">
        <v>49</v>
      </c>
      <c r="CZ149" s="7">
        <f>IFERROR(CR149/F149,0)</f>
        <v>0.00019945554661624266</v>
      </c>
      <c r="DA149" t="inlineStr">
        <is>
          <t xml:space="preserve">SI69U</t>
        </is>
      </c>
      <c r="DB149" t="inlineStr">
        <is>
          <t xml:space="preserve">future</t>
        </is>
      </c>
      <c r="DC149" t="inlineStr">
        <is>
          <t xml:space="preserve">lease</t>
        </is>
      </c>
      <c r="DD149" t="inlineStr">
        <is>
          <t xml:space="preserve">long</t>
        </is>
      </c>
      <c r="DE149" t="inlineStr">
        <is>
          <t xml:space="preserve">regular</t>
        </is>
      </c>
      <c r="DF149" s="4">
        <v>1.6280000000000001</v>
      </c>
      <c r="DG149" s="4">
        <v>1.671</v>
      </c>
      <c r="DH149" s="4">
        <v>0.31064830092556</v>
      </c>
      <c r="DI149" s="6">
        <v>0.34568506417344996</v>
      </c>
      <c r="DJ149" s="4">
        <v>0.5057354339068117</v>
      </c>
      <c r="DK149" s="4">
        <v>0</v>
      </c>
      <c r="DL149" s="4">
        <v>0</v>
      </c>
      <c r="DM149" s="4">
        <v>0.013357876939799073</v>
      </c>
      <c r="DN149" s="4">
        <v>-0.013357876939799073</v>
      </c>
      <c r="DO149" s="4">
        <v>1.624</v>
      </c>
      <c r="DP149" s="4">
        <v>1.69</v>
      </c>
      <c r="DQ149" s="6">
        <v>0.0024630541871921707</v>
      </c>
      <c r="DR149" s="6">
        <v>0.0702</v>
      </c>
      <c r="DS149" s="6">
        <v>0.0518527596260175</v>
      </c>
      <c r="DT149" s="9">
        <v>49</v>
      </c>
      <c r="DU149" s="7">
        <f>IFERROR(DM149/F149,0)</f>
        <v>0.009130502309249595</v>
      </c>
      <c r="DV149" t="inlineStr">
        <is>
          <t xml:space="preserve">Lease cash / margin / financing</t>
        </is>
      </c>
      <c r="DW149" t="inlineStr">
        <is>
          <t xml:space="preserve">cash</t>
        </is>
      </c>
      <c r="DX149" t="inlineStr">
        <is>
          <t xml:space="preserve">lease</t>
        </is>
      </c>
      <c r="DY149" t="inlineStr">
        <is>
          <t xml:space="preserve">cash</t>
        </is>
      </c>
      <c r="DZ149"/>
      <c r="EA149" s="4">
        <v>1</v>
      </c>
      <c r="EB149" s="4">
        <v>1</v>
      </c>
      <c r="EC149" s="4">
        <v>2.220446049250313e-16</v>
      </c>
      <c r="ED149" s="6"/>
      <c r="EE149" s="4">
        <v>2.220446049250313e-16</v>
      </c>
      <c r="EF149" s="4">
        <v>2.220446049250313e-16</v>
      </c>
      <c r="EG149" s="4">
        <v>0.013338207227832771</v>
      </c>
      <c r="EH149" s="4">
        <v>0</v>
      </c>
      <c r="EI149" s="4">
        <v>0.01333820722783255</v>
      </c>
      <c r="EJ149" s="4">
        <v>1.624</v>
      </c>
      <c r="EK149" s="4">
        <v>1.69</v>
      </c>
      <c r="EL149" s="6"/>
      <c r="EM149" s="6"/>
      <c r="EN149" s="6"/>
      <c r="EO149" s="9"/>
      <c r="EP149" s="7">
        <f>IFERROR(EH149/F149,0)</f>
        <v>0</v>
      </c>
      <c r="EQ149" t="inlineStr">
        <is>
          <t xml:space="preserve">Keep cash / margin / financing</t>
        </is>
      </c>
      <c r="ER149" t="inlineStr">
        <is>
          <t xml:space="preserve">cash</t>
        </is>
      </c>
      <c r="ES149" t="inlineStr">
        <is>
          <t xml:space="preserve">keep</t>
        </is>
      </c>
      <c r="ET149" t="inlineStr">
        <is>
          <t xml:space="preserve">cash</t>
        </is>
      </c>
      <c r="EU149"/>
      <c r="EV149" s="4">
        <v>1</v>
      </c>
      <c r="EW149" s="4">
        <v>1</v>
      </c>
      <c r="EX149" s="4">
        <v>0</v>
      </c>
      <c r="EY149" s="6"/>
      <c r="EZ149" s="4">
        <v>0</v>
      </c>
      <c r="FA149" s="4">
        <v>0</v>
      </c>
      <c r="FB149" s="4">
        <v>0</v>
      </c>
      <c r="FC149" s="4">
        <v>0</v>
      </c>
      <c r="FD149" s="4">
        <v>0</v>
      </c>
      <c r="FE149" s="4">
        <v>1.624</v>
      </c>
      <c r="FF149" s="4">
        <v>1.69</v>
      </c>
      <c r="FG149" s="6"/>
      <c r="FH149" s="6"/>
      <c r="FI149" s="6"/>
      <c r="FJ149" s="9"/>
      <c r="FK149" s="7">
        <f>IFERROR(FC149/F149,0)</f>
        <v>0</v>
      </c>
      <c r="FL149"/>
      <c r="FM149"/>
      <c r="FN149"/>
      <c r="FO149"/>
      <c r="FP149"/>
      <c r="FQ149" s="4"/>
      <c r="FR149" s="4"/>
      <c r="FS149" s="4"/>
      <c r="FT149" s="6"/>
      <c r="FU149" s="4"/>
      <c r="FV149" s="4"/>
      <c r="FW149" s="4"/>
      <c r="FX149" s="4"/>
      <c r="FY149" s="4"/>
      <c r="FZ149" s="4"/>
      <c r="GA149" s="4"/>
      <c r="GB149" s="6"/>
      <c r="GC149" s="6"/>
      <c r="GD149" s="6"/>
      <c r="GE149" s="9"/>
      <c r="GF149"/>
      <c r="GG149"/>
      <c r="GH149"/>
      <c r="GI149"/>
      <c r="GJ149"/>
      <c r="GK149"/>
      <c r="GL149" s="4"/>
      <c r="GM149" s="4"/>
      <c r="GN149" s="4"/>
      <c r="GO149" s="6"/>
      <c r="GP149" s="4"/>
      <c r="GQ149" s="4"/>
      <c r="GR149" s="4"/>
      <c r="GS149" s="4"/>
      <c r="GT149" s="4"/>
      <c r="GU149" s="4"/>
      <c r="GV149" s="4"/>
      <c r="GW149" s="6"/>
      <c r="GX149" s="6"/>
      <c r="GY149" s="6"/>
      <c r="GZ149" s="9"/>
      <c r="HA149"/>
      <c r="HB149"/>
      <c r="HC149"/>
      <c r="HD149"/>
      <c r="HE149"/>
      <c r="HF149"/>
      <c r="HG149" s="4"/>
      <c r="HH149" s="4"/>
      <c r="HI149" s="4"/>
      <c r="HJ149" s="6"/>
      <c r="HK149" s="4"/>
      <c r="HL149" s="4"/>
      <c r="HM149" s="4"/>
      <c r="HN149" s="4"/>
      <c r="HO149" s="4"/>
      <c r="HP149" s="4"/>
      <c r="HQ149" s="4"/>
      <c r="HR149" s="6"/>
      <c r="HS149" s="6"/>
      <c r="HT149" s="6"/>
      <c r="HU149" s="9"/>
      <c r="HV149"/>
      <c r="HW149"/>
      <c r="HX149"/>
      <c r="HY149"/>
      <c r="HZ149"/>
      <c r="IA149"/>
      <c r="IB149" s="4"/>
      <c r="IC149" s="4"/>
      <c r="ID149" s="4"/>
      <c r="IE149" s="6"/>
      <c r="IF149" s="4"/>
      <c r="IG149" s="4"/>
      <c r="IH149" s="4"/>
      <c r="II149" s="4"/>
      <c r="IJ149" s="4"/>
      <c r="IK149" s="4"/>
      <c r="IL149" s="4"/>
      <c r="IM149" s="6"/>
      <c r="IN149" s="6"/>
      <c r="IO149" s="6"/>
      <c r="IP149" s="9"/>
      <c r="IQ149"/>
      <c r="IR149"/>
      <c r="IS149"/>
      <c r="IT149"/>
      <c r="IU149"/>
      <c r="IV149"/>
      <c r="IW149" s="4"/>
      <c r="IX149" s="4"/>
      <c r="IY149" s="4"/>
      <c r="IZ149" s="6"/>
      <c r="JA149" s="4"/>
      <c r="JB149" s="4"/>
      <c r="JC149" s="4"/>
      <c r="JD149" s="4"/>
      <c r="JE149" s="4"/>
      <c r="JF149" s="4"/>
      <c r="JG149" s="4"/>
      <c r="JH149" s="6"/>
      <c r="JI149" s="6"/>
      <c r="JJ149" s="6"/>
      <c r="JK149" s="9"/>
      <c r="JL149"/>
    </row>
    <row r="150">
      <c r="A150" s="8">
        <v>25426</v>
      </c>
      <c r="B150" s="8">
        <v>25427</v>
      </c>
      <c r="C150" s="9">
        <f>B150-A150</f>
        <v>1</v>
      </c>
      <c r="D150" s="8">
        <v>25426</v>
      </c>
      <c r="E150" t="inlineStr">
        <is>
          <t xml:space="preserve">positive</t>
        </is>
      </c>
      <c r="F150" s="4">
        <v>1.515528155097943</v>
      </c>
      <c r="G150" s="6">
        <v>0.0037827190674110016</v>
      </c>
      <c r="H150" s="7">
        <f>SUM(CE150,CZ150,DU150,EP150,FK150,GF150,HA150,HV150,IQ150,JL150)</f>
        <v>0.003782719067411002</v>
      </c>
      <c r="I150" s="7">
        <f>G150-H150</f>
        <v>-4.336808689942018e-19</v>
      </c>
      <c r="J150" s="5">
        <f>F150*(1+H150)</f>
        <v>1.52126097234743</v>
      </c>
      <c r="K150" s="4">
        <v>1.52126097234743</v>
      </c>
      <c r="L150" s="5">
        <f>K150-J150</f>
        <v>0</v>
      </c>
      <c r="M150" s="4">
        <v>1.69</v>
      </c>
      <c r="N150" s="4">
        <v>1.654</v>
      </c>
      <c r="O150" s="5">
        <f>M150/$M$3</f>
        <v>0.8631256384065372</v>
      </c>
      <c r="P150" s="5">
        <f>N150/$M$3</f>
        <v>0.8447395301327886</v>
      </c>
      <c r="Q150" s="7">
        <f>IFERROR(N150/M150-1,0)</f>
        <v>-0.02130177514792897</v>
      </c>
      <c r="R150" s="5">
        <f>SUM(IF(BM150="lease",BU150,0),IF(CH150="lease",CP150,0),IF(DC150="lease",DK150,0),IF(DX150="lease",EF150,0),IF(ES150="lease",FA150,0),IF(FN150="lease",FV150,0),IF(GI150="lease",GQ150,0),IF(HD150="lease",HL150,0),IF(HY150="lease",IG150,0),IF(IT150="lease",JB150,0))</f>
        <v>1.5155281550979431</v>
      </c>
      <c r="S150" s="5">
        <f>SUM(IF(BM150="lease",BV150,0),IF(CH150="lease",CQ150,0),IF(DC150="lease",DL150,0),IF(DX150="lease",EG150,0),IF(ES150="lease",FB150,0),IF(FN150="lease",FW150,0),IF(GI150="lease",GR150,0),IF(HD150="lease",HM150,0),IF(HY150="lease",IH150,0),IF(IT150="lease",JC150,0))</f>
        <v>1.5212609723474304</v>
      </c>
      <c r="T150" s="5">
        <f>SUM(IF(BM150="keep",BU150,0),IF(CH150="keep",CP150,0),IF(DC150="keep",DK150,0),IF(DX150="keep",EF150,0),IF(ES150="keep",FA150,0),IF(FN150="keep",FV150,0),IF(GI150="keep",GQ150,0),IF(HD150="keep",HL150,0),IF(HY150="keep",IG150,0),IF(IT150="keep",JB150,0))</f>
        <v>0</v>
      </c>
      <c r="U150" s="5">
        <f>SUM(IF(BM150="keep",BV150,0),IF(CH150="keep",CQ150,0),IF(DC150="keep",DL150,0),IF(DX150="keep",EG150,0),IF(ES150="keep",FB150,0),IF(FN150="keep",FW150,0),IF(GI150="keep",GR150,0),IF(HD150="keep",HM150,0),IF(HY150="keep",IH150,0),IF(IT150="keep",JC150,0))</f>
        <v>0</v>
      </c>
      <c r="V150" s="5">
        <f>R150/O150</f>
        <v>1.7558604305809307</v>
      </c>
      <c r="W150" s="5">
        <f>S150/P150</f>
        <v>1.8008639563822664</v>
      </c>
      <c r="X150" s="5">
        <f>T150/O150</f>
        <v>0</v>
      </c>
      <c r="Y150" s="5">
        <f>U150/P150</f>
        <v>0</v>
      </c>
      <c r="Z150" s="5">
        <f>V150+X150</f>
        <v>1.7558604305809307</v>
      </c>
      <c r="AA150" s="7">
        <f>IFERROR(W150/V150-1,0)</f>
        <v>0.025630468696447695</v>
      </c>
      <c r="AB150" s="7">
        <f>IFERROR((W150-V150)/Z150,0)</f>
        <v>0.02563046869644769</v>
      </c>
      <c r="AC150" s="7">
        <f>IFERROR(Y150/X150-1,0)</f>
        <v>0</v>
      </c>
      <c r="AD150" s="7">
        <f>IFERROR((Y150-X150)/Z150,0)</f>
        <v>0</v>
      </c>
      <c r="AE150" s="7">
        <f>AB150+AD150</f>
        <v>0.02563046869644769</v>
      </c>
      <c r="AF150" s="7">
        <f>(1+Q150)*(1+AE150)-1</f>
        <v>0.0037827190674109</v>
      </c>
      <c r="AG150" s="7">
        <f>G150-AF150</f>
        <v>1.0148132334464322e-16</v>
      </c>
      <c r="AH150" s="5">
        <f>SUM(IF(BM150="lease",BW150,0),IF(CH150="lease",CR150,0),IF(DC150="lease",DM150,0),IF(DX150="lease",EH150,0),IF(ES150="lease",FC150,0),IF(FN150="lease",FX150,0),IF(GI150="lease",GS150,0),IF(HD150="lease",HN150,0),IF(HY150="lease",II150,0),IF(IT150="lease",JD150,0))</f>
        <v>0.005732817249487207</v>
      </c>
      <c r="AI150" s="5">
        <f>SUM(IF(BM150="keep",BW150,0),IF(CH150="keep",CR150,0),IF(DC150="keep",DM150,0),IF(DX150="keep",EH150,0),IF(ES150="keep",FC150,0),IF(FN150="keep",FX150,0),IF(GI150="keep",GS150,0),IF(HD150="keep",HN150,0),IF(HY150="keep",II150,0),IF(IT150="keep",JD150,0))</f>
        <v>0</v>
      </c>
      <c r="AJ150" s="5">
        <f>SUM(IF(BM150="lease",BX150,0),IF(CH150="lease",CS150,0),IF(DC150="lease",DN150,0),IF(DX150="lease",EI150,0),IF(ES150="lease",FD150,0),IF(FN150="lease",FY150,0),IF(GI150="lease",GT150,0),IF(HD150="lease",HO150,0),IF(HY150="lease",IJ150,0),IF(IT150="lease",JE150,0))</f>
        <v>0</v>
      </c>
      <c r="AK150" s="5">
        <f>SUM(IF(BM150="keep",BX150,0),IF(CH150="keep",CS150,0),IF(DC150="keep",DN150,0),IF(DX150="keep",EI150,0),IF(ES150="keep",FD150,0),IF(FN150="keep",FY150,0),IF(GI150="keep",GT150,0),IF(HD150="keep",HO150,0),IF(HY150="keep",IJ150,0),IF(IT150="keep",JE150,0))</f>
        <v>0</v>
      </c>
      <c r="AL150" s="5">
        <f>R150-S149</f>
        <v>0</v>
      </c>
      <c r="AM150" s="5">
        <f>T150-U149</f>
        <v>0</v>
      </c>
      <c r="AN150" s="5">
        <f>AN149</f>
        <v>1</v>
      </c>
      <c r="AO150" s="5">
        <f>AO149+AH150</f>
        <v>0.5212609723474307</v>
      </c>
      <c r="AP150" s="5">
        <f>AP149+AL150</f>
        <v>-6.661338147750939e-16</v>
      </c>
      <c r="AQ150" s="5">
        <f>AN150+AO150+AP150</f>
        <v>1.5212609723474302</v>
      </c>
      <c r="AR150" s="5">
        <f>S150-AQ150</f>
        <v>2.220446049250313e-16</v>
      </c>
      <c r="AS150" s="5">
        <f>AS149</f>
        <v>0</v>
      </c>
      <c r="AT150" s="5">
        <f>AT149+AI150</f>
        <v>0</v>
      </c>
      <c r="AU150" s="5">
        <f>AU149+AM150</f>
        <v>0</v>
      </c>
      <c r="AV150" s="5">
        <f>AS150+AT150+AU150</f>
        <v>0</v>
      </c>
      <c r="AW150" s="5">
        <f>U150-AV150</f>
        <v>0</v>
      </c>
      <c r="AX150" s="4">
        <v>1.5155281550979431</v>
      </c>
      <c r="AY150" s="4">
        <v>1.5212609723474304</v>
      </c>
      <c r="AZ150" s="5">
        <f>S150-AY150</f>
        <v>0</v>
      </c>
      <c r="BA150" s="4">
        <v>0</v>
      </c>
      <c r="BB150" s="4">
        <v>0</v>
      </c>
      <c r="BC150" s="5">
        <f>U150-BB150</f>
        <v>0</v>
      </c>
      <c r="BD150" s="7">
        <f>SUM(IF(BL150="direct",CE150,0),IF(CG150="direct",CZ150,0),IF(DB150="direct",DU150,0),IF(DW150="direct",EP150,0),IF(ER150="direct",FK150,0),IF(FM150="direct",GF150,0),IF(GH150="direct",HA150,0),IF(HC150="direct",HV150,0),IF(HX150="direct",IQ150,0),IF(IS150="direct",JL150,0))</f>
        <v>0</v>
      </c>
      <c r="BE150" s="7">
        <f>SUM(IF(BL150="treasury",CE150,0),IF(CG150="treasury",CZ150,0),IF(DB150="treasury",DU150,0),IF(DW150="treasury",EP150,0),IF(ER150="treasury",FK150,0),IF(FM150="treasury",GF150,0),IF(GH150="treasury",HA150,0),IF(HC150="treasury",HV150,0),IF(HX150="treasury",IQ150,0),IF(IS150="treasury",JL150,0))</f>
        <v>0.00019205479452054795</v>
      </c>
      <c r="BF150" s="7">
        <f>SUM(IF(BL150="future",CE150,0),IF(CG150="future",CZ150,0),IF(DB150="future",DU150,0),IF(DW150="future",EP150,0),IF(ER150="future",FK150,0),IF(FM150="future",GF150,0),IF(GH150="future",HA150,0),IF(HC150="future",HV150,0),IF(HX150="future",IQ150,0),IF(IS150="future",JL150,0))</f>
        <v>0.003590664272890454</v>
      </c>
      <c r="BG150" s="7">
        <f>SUM(IF(BL150="cash",CE150,0),IF(CG150="cash",CZ150,0),IF(DB150="cash",DU150,0),IF(DW150="cash",EP150,0),IF(ER150="cash",FK150,0),IF(FM150="cash",GF150,0),IF(GH150="cash",HA150,0),IF(HC150="cash",HV150,0),IF(HX150="cash",IQ150,0),IF(IS150="cash",JL150,0))</f>
        <v>0</v>
      </c>
      <c r="BH150" s="7">
        <f>SUM(BD150:BG150)</f>
        <v>0.003782719067411002</v>
      </c>
      <c r="BI150" s="7">
        <f>G150-BH150</f>
        <v>-4.336808689942018e-19</v>
      </c>
      <c r="BJ150" s="9">
        <f>COUNTA(BK150,CF150,DA150,DV150,EQ150,FL150,GG150,HB150,HW150,IR150)</f>
        <v>4</v>
      </c>
      <c r="BK150" t="inlineStr">
        <is>
          <t xml:space="preserve">Treasury collateral</t>
        </is>
      </c>
      <c r="BL150" t="inlineStr">
        <is>
          <t xml:space="preserve">treasury</t>
        </is>
      </c>
      <c r="BM150" t="inlineStr">
        <is>
          <t xml:space="preserve">lease</t>
        </is>
      </c>
      <c r="BN150" t="inlineStr">
        <is>
          <t xml:space="preserve">long</t>
        </is>
      </c>
      <c r="BO150"/>
      <c r="BP150" s="4">
        <v>103.88688049294193</v>
      </c>
      <c r="BQ150" s="4">
        <v>103.90683246642836</v>
      </c>
      <c r="BR150" s="4">
        <v>0.014588253568754601</v>
      </c>
      <c r="BS150" s="6">
        <v>1</v>
      </c>
      <c r="BT150" s="4">
        <v>1.515528155097943</v>
      </c>
      <c r="BU150" s="4">
        <v>1.515528155097943</v>
      </c>
      <c r="BV150" s="4">
        <v>1.51581921954636</v>
      </c>
      <c r="BW150" s="4">
        <v>0.00029106444841744055</v>
      </c>
      <c r="BX150" s="4">
        <v>-3.517693948629219e-16</v>
      </c>
      <c r="BY150" s="4">
        <v>1.69</v>
      </c>
      <c r="BZ150" s="4">
        <v>1.654</v>
      </c>
      <c r="CA150" s="6"/>
      <c r="CB150" s="6"/>
      <c r="CC150" s="6"/>
      <c r="CD150" s="9">
        <v>46</v>
      </c>
      <c r="CE150" s="7">
        <f>IFERROR(BW150/F150,0)</f>
        <v>0.00019205479452054795</v>
      </c>
      <c r="CF150" t="inlineStr">
        <is>
          <t xml:space="preserve">SI69U</t>
        </is>
      </c>
      <c r="CG150" t="inlineStr">
        <is>
          <t xml:space="preserve">future</t>
        </is>
      </c>
      <c r="CH150" t="inlineStr">
        <is>
          <t xml:space="preserve">lease</t>
        </is>
      </c>
      <c r="CI150" t="inlineStr">
        <is>
          <t xml:space="preserve">long</t>
        </is>
      </c>
      <c r="CJ150" t="inlineStr">
        <is>
          <t xml:space="preserve">regular</t>
        </is>
      </c>
      <c r="CK150" s="4">
        <v>1.671</v>
      </c>
      <c r="CL150" s="4">
        <v>1.6769999999999998</v>
      </c>
      <c r="CM150" s="4">
        <v>0.9069588001783021</v>
      </c>
      <c r="CN150" s="6">
        <v>1</v>
      </c>
      <c r="CO150" s="4">
        <v>1.515528155097943</v>
      </c>
      <c r="CP150" s="4">
        <v>0</v>
      </c>
      <c r="CQ150" s="4">
        <v>0</v>
      </c>
      <c r="CR150" s="4">
        <v>0.005441752801069766</v>
      </c>
      <c r="CS150" s="4">
        <v>-0.005441752801069766</v>
      </c>
      <c r="CT150" s="4">
        <v>1.69</v>
      </c>
      <c r="CU150" s="4">
        <v>1.654</v>
      </c>
      <c r="CV150" s="6">
        <v>-0.011242603550295827</v>
      </c>
      <c r="CW150" s="6">
        <v>0.0701</v>
      </c>
      <c r="CX150" s="6">
        <v>0.1593076151273473</v>
      </c>
      <c r="CY150" s="9">
        <v>46</v>
      </c>
      <c r="CZ150" s="7">
        <f>IFERROR(CR150/F150,0)</f>
        <v>0.003590664272890454</v>
      </c>
      <c r="DA150" t="inlineStr">
        <is>
          <t xml:space="preserve">Lease cash / margin / financing</t>
        </is>
      </c>
      <c r="DB150" t="inlineStr">
        <is>
          <t xml:space="preserve">cash</t>
        </is>
      </c>
      <c r="DC150" t="inlineStr">
        <is>
          <t xml:space="preserve">lease</t>
        </is>
      </c>
      <c r="DD150" t="inlineStr">
        <is>
          <t xml:space="preserve">cash</t>
        </is>
      </c>
      <c r="DE150"/>
      <c r="DF150" s="4">
        <v>1</v>
      </c>
      <c r="DG150" s="4">
        <v>1</v>
      </c>
      <c r="DH150" s="4">
        <v>2.220446049250313e-16</v>
      </c>
      <c r="DI150" s="6"/>
      <c r="DJ150" s="4">
        <v>2.220446049250313e-16</v>
      </c>
      <c r="DK150" s="4">
        <v>2.220446049250313e-16</v>
      </c>
      <c r="DL150" s="4">
        <v>0.0054417528010703405</v>
      </c>
      <c r="DM150" s="4">
        <v>0</v>
      </c>
      <c r="DN150" s="4">
        <v>0.0054417528010701184</v>
      </c>
      <c r="DO150" s="4">
        <v>1.69</v>
      </c>
      <c r="DP150" s="4">
        <v>1.654</v>
      </c>
      <c r="DQ150" s="6"/>
      <c r="DR150" s="6"/>
      <c r="DS150" s="6"/>
      <c r="DT150" s="9"/>
      <c r="DU150" s="7">
        <f>IFERROR(DM150/F150,0)</f>
        <v>0</v>
      </c>
      <c r="DV150" t="inlineStr">
        <is>
          <t xml:space="preserve">Keep cash / margin / financing</t>
        </is>
      </c>
      <c r="DW150" t="inlineStr">
        <is>
          <t xml:space="preserve">cash</t>
        </is>
      </c>
      <c r="DX150" t="inlineStr">
        <is>
          <t xml:space="preserve">keep</t>
        </is>
      </c>
      <c r="DY150" t="inlineStr">
        <is>
          <t xml:space="preserve">cash</t>
        </is>
      </c>
      <c r="DZ150"/>
      <c r="EA150" s="4">
        <v>1</v>
      </c>
      <c r="EB150" s="4">
        <v>1</v>
      </c>
      <c r="EC150" s="4">
        <v>0</v>
      </c>
      <c r="ED150" s="6"/>
      <c r="EE150" s="4">
        <v>0</v>
      </c>
      <c r="EF150" s="4">
        <v>0</v>
      </c>
      <c r="EG150" s="4">
        <v>0</v>
      </c>
      <c r="EH150" s="4">
        <v>0</v>
      </c>
      <c r="EI150" s="4">
        <v>0</v>
      </c>
      <c r="EJ150" s="4">
        <v>1.69</v>
      </c>
      <c r="EK150" s="4">
        <v>1.654</v>
      </c>
      <c r="EL150" s="6"/>
      <c r="EM150" s="6"/>
      <c r="EN150" s="6"/>
      <c r="EO150" s="9"/>
      <c r="EP150" s="7">
        <f>IFERROR(EH150/F150,0)</f>
        <v>0</v>
      </c>
      <c r="EQ150"/>
      <c r="ER150"/>
      <c r="ES150"/>
      <c r="ET150"/>
      <c r="EU150"/>
      <c r="EV150" s="4"/>
      <c r="EW150" s="4"/>
      <c r="EX150" s="4"/>
      <c r="EY150" s="6"/>
      <c r="EZ150" s="4"/>
      <c r="FA150" s="4"/>
      <c r="FB150" s="4"/>
      <c r="FC150" s="4"/>
      <c r="FD150" s="4"/>
      <c r="FE150" s="4"/>
      <c r="FF150" s="4"/>
      <c r="FG150" s="6"/>
      <c r="FH150" s="6"/>
      <c r="FI150" s="6"/>
      <c r="FJ150" s="9"/>
      <c r="FK150"/>
      <c r="FL150"/>
      <c r="FM150"/>
      <c r="FN150"/>
      <c r="FO150"/>
      <c r="FP150"/>
      <c r="FQ150" s="4"/>
      <c r="FR150" s="4"/>
      <c r="FS150" s="4"/>
      <c r="FT150" s="6"/>
      <c r="FU150" s="4"/>
      <c r="FV150" s="4"/>
      <c r="FW150" s="4"/>
      <c r="FX150" s="4"/>
      <c r="FY150" s="4"/>
      <c r="FZ150" s="4"/>
      <c r="GA150" s="4"/>
      <c r="GB150" s="6"/>
      <c r="GC150" s="6"/>
      <c r="GD150" s="6"/>
      <c r="GE150" s="9"/>
      <c r="GF150"/>
      <c r="GG150"/>
      <c r="GH150"/>
      <c r="GI150"/>
      <c r="GJ150"/>
      <c r="GK150"/>
      <c r="GL150" s="4"/>
      <c r="GM150" s="4"/>
      <c r="GN150" s="4"/>
      <c r="GO150" s="6"/>
      <c r="GP150" s="4"/>
      <c r="GQ150" s="4"/>
      <c r="GR150" s="4"/>
      <c r="GS150" s="4"/>
      <c r="GT150" s="4"/>
      <c r="GU150" s="4"/>
      <c r="GV150" s="4"/>
      <c r="GW150" s="6"/>
      <c r="GX150" s="6"/>
      <c r="GY150" s="6"/>
      <c r="GZ150" s="9"/>
      <c r="HA150"/>
      <c r="HB150"/>
      <c r="HC150"/>
      <c r="HD150"/>
      <c r="HE150"/>
      <c r="HF150"/>
      <c r="HG150" s="4"/>
      <c r="HH150" s="4"/>
      <c r="HI150" s="4"/>
      <c r="HJ150" s="6"/>
      <c r="HK150" s="4"/>
      <c r="HL150" s="4"/>
      <c r="HM150" s="4"/>
      <c r="HN150" s="4"/>
      <c r="HO150" s="4"/>
      <c r="HP150" s="4"/>
      <c r="HQ150" s="4"/>
      <c r="HR150" s="6"/>
      <c r="HS150" s="6"/>
      <c r="HT150" s="6"/>
      <c r="HU150" s="9"/>
      <c r="HV150"/>
      <c r="HW150"/>
      <c r="HX150"/>
      <c r="HY150"/>
      <c r="HZ150"/>
      <c r="IA150"/>
      <c r="IB150" s="4"/>
      <c r="IC150" s="4"/>
      <c r="ID150" s="4"/>
      <c r="IE150" s="6"/>
      <c r="IF150" s="4"/>
      <c r="IG150" s="4"/>
      <c r="IH150" s="4"/>
      <c r="II150" s="4"/>
      <c r="IJ150" s="4"/>
      <c r="IK150" s="4"/>
      <c r="IL150" s="4"/>
      <c r="IM150" s="6"/>
      <c r="IN150" s="6"/>
      <c r="IO150" s="6"/>
      <c r="IP150" s="9"/>
      <c r="IQ150"/>
      <c r="IR150"/>
      <c r="IS150"/>
      <c r="IT150"/>
      <c r="IU150"/>
      <c r="IV150"/>
      <c r="IW150" s="4"/>
      <c r="IX150" s="4"/>
      <c r="IY150" s="4"/>
      <c r="IZ150" s="6"/>
      <c r="JA150" s="4"/>
      <c r="JB150" s="4"/>
      <c r="JC150" s="4"/>
      <c r="JD150" s="4"/>
      <c r="JE150" s="4"/>
      <c r="JF150" s="4"/>
      <c r="JG150" s="4"/>
      <c r="JH150" s="6"/>
      <c r="JI150" s="6"/>
      <c r="JJ150" s="6"/>
      <c r="JK150" s="9"/>
      <c r="JL150"/>
    </row>
    <row r="151">
      <c r="A151" s="8">
        <v>25427</v>
      </c>
      <c r="B151" s="8">
        <v>25428</v>
      </c>
      <c r="C151" s="9">
        <f>B151-A151</f>
        <v>1</v>
      </c>
      <c r="D151" s="8">
        <v>25427</v>
      </c>
      <c r="E151" t="inlineStr">
        <is>
          <t xml:space="preserve">neutral</t>
        </is>
      </c>
      <c r="F151" s="4">
        <v>1.52126097234743</v>
      </c>
      <c r="G151" s="6">
        <v>0.012689644034387501</v>
      </c>
      <c r="H151" s="7">
        <f>SUM(CE151,CZ151,DU151,EP151,FK151,GF151,HA151,HV151,IQ151,JL151)</f>
        <v>0.012689644034387501</v>
      </c>
      <c r="I151" s="7">
        <f>G151-H151</f>
        <v>0</v>
      </c>
      <c r="J151" s="5">
        <f>F151*(1+H151)</f>
        <v>1.540565232569925</v>
      </c>
      <c r="K151" s="4">
        <v>1.540565232569925</v>
      </c>
      <c r="L151" s="5">
        <f>K151-J151</f>
        <v>0</v>
      </c>
      <c r="M151" s="4">
        <v>1.654</v>
      </c>
      <c r="N151" s="4">
        <v>1.675</v>
      </c>
      <c r="O151" s="5">
        <f>M151/$M$3</f>
        <v>0.8447395301327886</v>
      </c>
      <c r="P151" s="5">
        <f>N151/$M$3</f>
        <v>0.8554647599591421</v>
      </c>
      <c r="Q151" s="7">
        <f>IFERROR(N151/M151-1,0)</f>
        <v>0.012696493349455995</v>
      </c>
      <c r="R151" s="5">
        <f>SUM(IF(BM151="lease",BU151,0),IF(CH151="lease",CP151,0),IF(DC151="lease",DK151,0),IF(DX151="lease",EF151,0),IF(ES151="lease",FA151,0),IF(FN151="lease",FV151,0),IF(GI151="lease",GQ151,0),IF(HD151="lease",HL151,0),IF(HY151="lease",IG151,0),IF(IT151="lease",JB151,0))</f>
        <v>1.5212609723474304</v>
      </c>
      <c r="S151" s="5">
        <f>SUM(IF(BM151="lease",BV151,0),IF(CH151="lease",CQ151,0),IF(DC151="lease",DL151,0),IF(DX151="lease",EG151,0),IF(ES151="lease",FB151,0),IF(FN151="lease",FW151,0),IF(GI151="lease",GR151,0),IF(HD151="lease",HM151,0),IF(HY151="lease",IH151,0),IF(IT151="lease",JC151,0))</f>
        <v>1.5405652325699255</v>
      </c>
      <c r="T151" s="5">
        <f>SUM(IF(BM151="keep",BU151,0),IF(CH151="keep",CP151,0),IF(DC151="keep",DK151,0),IF(DX151="keep",EF151,0),IF(ES151="keep",FA151,0),IF(FN151="keep",FV151,0),IF(GI151="keep",GQ151,0),IF(HD151="keep",HL151,0),IF(HY151="keep",IG151,0),IF(IT151="keep",JB151,0))</f>
        <v>0</v>
      </c>
      <c r="U151" s="5">
        <f>SUM(IF(BM151="keep",BV151,0),IF(CH151="keep",CQ151,0),IF(DC151="keep",DL151,0),IF(DX151="keep",EG151,0),IF(ES151="keep",FB151,0),IF(FN151="keep",FW151,0),IF(GI151="keep",GR151,0),IF(HD151="keep",HM151,0),IF(HY151="keep",IH151,0),IF(IT151="keep",JC151,0))</f>
        <v>0</v>
      </c>
      <c r="V151" s="5">
        <f>R151/O151</f>
        <v>1.8008639563822664</v>
      </c>
      <c r="W151" s="5">
        <f>S151/P151</f>
        <v>1.8008517763414411</v>
      </c>
      <c r="X151" s="5">
        <f>T151/O151</f>
        <v>0</v>
      </c>
      <c r="Y151" s="5">
        <f>U151/P151</f>
        <v>0</v>
      </c>
      <c r="Z151" s="5">
        <f>V151+X151</f>
        <v>1.8008639563822664</v>
      </c>
      <c r="AA151" s="7">
        <f>IFERROR(W151/V151-1,0)</f>
        <v>-0.000006763443058610541</v>
      </c>
      <c r="AB151" s="7">
        <f>IFERROR((W151-V151)/Z151,0)</f>
        <v>-0.000006763443058590999</v>
      </c>
      <c r="AC151" s="7">
        <f>IFERROR(Y151/X151-1,0)</f>
        <v>0</v>
      </c>
      <c r="AD151" s="7">
        <f>IFERROR((Y151-X151)/Z151,0)</f>
        <v>0</v>
      </c>
      <c r="AE151" s="7">
        <f>AB151+AD151</f>
        <v>-0.000006763443058590999</v>
      </c>
      <c r="AF151" s="7">
        <f>(1+Q151)*(1+AE151)-1</f>
        <v>0.012689644034387548</v>
      </c>
      <c r="AG151" s="7">
        <f>G151-AF151</f>
        <v>-4.683753385137379e-17</v>
      </c>
      <c r="AH151" s="5">
        <f>SUM(IF(BM151="lease",BW151,0),IF(CH151="lease",CR151,0),IF(DC151="lease",DM151,0),IF(DX151="lease",EH151,0),IF(ES151="lease",FC151,0),IF(FN151="lease",FX151,0),IF(GI151="lease",GS151,0),IF(HD151="lease",HN151,0),IF(HY151="lease",II151,0),IF(IT151="lease",JD151,0))</f>
        <v>0.019304260222495095</v>
      </c>
      <c r="AI151" s="5">
        <f>SUM(IF(BM151="keep",BW151,0),IF(CH151="keep",CR151,0),IF(DC151="keep",DM151,0),IF(DX151="keep",EH151,0),IF(ES151="keep",FC151,0),IF(FN151="keep",FX151,0),IF(GI151="keep",GS151,0),IF(HD151="keep",HN151,0),IF(HY151="keep",II151,0),IF(IT151="keep",JD151,0))</f>
        <v>0</v>
      </c>
      <c r="AJ151" s="5">
        <f>SUM(IF(BM151="lease",BX151,0),IF(CH151="lease",CS151,0),IF(DC151="lease",DN151,0),IF(DX151="lease",EI151,0),IF(ES151="lease",FD151,0),IF(FN151="lease",FY151,0),IF(GI151="lease",GT151,0),IF(HD151="lease",HO151,0),IF(HY151="lease",IJ151,0),IF(IT151="lease",JE151,0))</f>
        <v>0</v>
      </c>
      <c r="AK151" s="5">
        <f>SUM(IF(BM151="keep",BX151,0),IF(CH151="keep",CS151,0),IF(DC151="keep",DN151,0),IF(DX151="keep",EI151,0),IF(ES151="keep",FD151,0),IF(FN151="keep",FY151,0),IF(GI151="keep",GT151,0),IF(HD151="keep",HO151,0),IF(HY151="keep",IJ151,0),IF(IT151="keep",JE151,0))</f>
        <v>0</v>
      </c>
      <c r="AL151" s="5">
        <f>R151-S150</f>
        <v>0</v>
      </c>
      <c r="AM151" s="5">
        <f>T151-U150</f>
        <v>0</v>
      </c>
      <c r="AN151" s="5">
        <f>AN150</f>
        <v>1</v>
      </c>
      <c r="AO151" s="5">
        <f>AO150+AH151</f>
        <v>0.5405652325699258</v>
      </c>
      <c r="AP151" s="5">
        <f>AP150+AL151</f>
        <v>-6.661338147750939e-16</v>
      </c>
      <c r="AQ151" s="5">
        <f>AN151+AO151+AP151</f>
        <v>1.5405652325699253</v>
      </c>
      <c r="AR151" s="5">
        <f>S151-AQ151</f>
        <v>2.220446049250313e-16</v>
      </c>
      <c r="AS151" s="5">
        <f>AS150</f>
        <v>0</v>
      </c>
      <c r="AT151" s="5">
        <f>AT150+AI151</f>
        <v>0</v>
      </c>
      <c r="AU151" s="5">
        <f>AU150+AM151</f>
        <v>0</v>
      </c>
      <c r="AV151" s="5">
        <f>AS151+AT151+AU151</f>
        <v>0</v>
      </c>
      <c r="AW151" s="5">
        <f>U151-AV151</f>
        <v>0</v>
      </c>
      <c r="AX151" s="4">
        <v>1.5212609723474304</v>
      </c>
      <c r="AY151" s="4">
        <v>1.5405652325699255</v>
      </c>
      <c r="AZ151" s="5">
        <f>S151-AY151</f>
        <v>0</v>
      </c>
      <c r="BA151" s="4">
        <v>0</v>
      </c>
      <c r="BB151" s="4">
        <v>0</v>
      </c>
      <c r="BC151" s="5">
        <f>U151-BB151</f>
        <v>0</v>
      </c>
      <c r="BD151" s="7">
        <f>SUM(IF(BL151="direct",CE151,0),IF(CG151="direct",CZ151,0),IF(DB151="direct",DU151,0),IF(DW151="direct",EP151,0),IF(ER151="direct",FK151,0),IF(FM151="direct",GF151,0),IF(GH151="direct",HA151,0),IF(HC151="direct",HV151,0),IF(HX151="direct",IQ151,0),IF(IS151="direct",JL151,0))</f>
        <v>0.012689644034387501</v>
      </c>
      <c r="BE151" s="7">
        <f>SUM(IF(BL151="treasury",CE151,0),IF(CG151="treasury",CZ151,0),IF(DB151="treasury",DU151,0),IF(DW151="treasury",EP151,0),IF(ER151="treasury",FK151,0),IF(FM151="treasury",GF151,0),IF(GH151="treasury",HA151,0),IF(HC151="treasury",HV151,0),IF(HX151="treasury",IQ151,0),IF(IS151="treasury",JL151,0))</f>
        <v>0</v>
      </c>
      <c r="BF151" s="7">
        <f>SUM(IF(BL151="future",CE151,0),IF(CG151="future",CZ151,0),IF(DB151="future",DU151,0),IF(DW151="future",EP151,0),IF(ER151="future",FK151,0),IF(FM151="future",GF151,0),IF(GH151="future",HA151,0),IF(HC151="future",HV151,0),IF(HX151="future",IQ151,0),IF(IS151="future",JL151,0))</f>
        <v>0</v>
      </c>
      <c r="BG151" s="7">
        <f>SUM(IF(BL151="cash",CE151,0),IF(CG151="cash",CZ151,0),IF(DB151="cash",DU151,0),IF(DW151="cash",EP151,0),IF(ER151="cash",FK151,0),IF(FM151="cash",GF151,0),IF(GH151="cash",HA151,0),IF(HC151="cash",HV151,0),IF(HX151="cash",IQ151,0),IF(IS151="cash",JL151,0))</f>
        <v>0</v>
      </c>
      <c r="BH151" s="7">
        <f>SUM(BD151:BG151)</f>
        <v>0.012689644034387501</v>
      </c>
      <c r="BI151" s="7">
        <f>G151-BH151</f>
        <v>0</v>
      </c>
      <c r="BJ151" s="9">
        <f>COUNTA(BK151,CF151,DA151,DV151,EQ151,FL151,GG151,HB151,HW151,IR151)</f>
        <v>3</v>
      </c>
      <c r="BK151" t="inlineStr">
        <is>
          <t xml:space="preserve">Direct commodity holding</t>
        </is>
      </c>
      <c r="BL151" t="inlineStr">
        <is>
          <t xml:space="preserve">direct</t>
        </is>
      </c>
      <c r="BM151" t="inlineStr">
        <is>
          <t xml:space="preserve">lease</t>
        </is>
      </c>
      <c r="BN151" t="inlineStr">
        <is>
          <t xml:space="preserve">long</t>
        </is>
      </c>
      <c r="BO151"/>
      <c r="BP151" s="4">
        <v>1.654</v>
      </c>
      <c r="BQ151" s="4">
        <v>1.675</v>
      </c>
      <c r="BR151" s="4">
        <v>0.919746658009329</v>
      </c>
      <c r="BS151" s="6">
        <v>1</v>
      </c>
      <c r="BT151" s="4">
        <v>1.52126097234743</v>
      </c>
      <c r="BU151" s="4">
        <v>1.52126097234743</v>
      </c>
      <c r="BV151" s="4">
        <v>1.540575652165626</v>
      </c>
      <c r="BW151" s="4">
        <v>0.019304260222495095</v>
      </c>
      <c r="BX151" s="4">
        <v>0.000010419595700916773</v>
      </c>
      <c r="BY151" s="4">
        <v>1.654</v>
      </c>
      <c r="BZ151" s="4">
        <v>1.675</v>
      </c>
      <c r="CA151" s="6"/>
      <c r="CB151" s="6"/>
      <c r="CC151" s="6"/>
      <c r="CD151" s="9"/>
      <c r="CE151" s="7">
        <f>IFERROR(BW151/F151,0)</f>
        <v>0.012689644034387501</v>
      </c>
      <c r="CF151" t="inlineStr">
        <is>
          <t xml:space="preserve">Lease cash / margin / financing</t>
        </is>
      </c>
      <c r="CG151" t="inlineStr">
        <is>
          <t xml:space="preserve">cash</t>
        </is>
      </c>
      <c r="CH151" t="inlineStr">
        <is>
          <t xml:space="preserve">lease</t>
        </is>
      </c>
      <c r="CI151" t="inlineStr">
        <is>
          <t xml:space="preserve">cash</t>
        </is>
      </c>
      <c r="CJ151"/>
      <c r="CK151" s="4">
        <v>1</v>
      </c>
      <c r="CL151" s="4">
        <v>1</v>
      </c>
      <c r="CM151" s="4">
        <v>4.440892098500626e-16</v>
      </c>
      <c r="CN151" s="6"/>
      <c r="CO151" s="4">
        <v>4.440892098500626e-16</v>
      </c>
      <c r="CP151" s="4">
        <v>4.440892098500626e-16</v>
      </c>
      <c r="CQ151" s="4">
        <v>-0.000010419595700472684</v>
      </c>
      <c r="CR151" s="4">
        <v>0</v>
      </c>
      <c r="CS151" s="4">
        <v>-0.000010419595700916773</v>
      </c>
      <c r="CT151" s="4">
        <v>1.654</v>
      </c>
      <c r="CU151" s="4">
        <v>1.675</v>
      </c>
      <c r="CV151" s="6"/>
      <c r="CW151" s="6"/>
      <c r="CX151" s="6"/>
      <c r="CY151" s="9"/>
      <c r="CZ151" s="7">
        <f>IFERROR(CR151/F151,0)</f>
        <v>0</v>
      </c>
      <c r="DA151" t="inlineStr">
        <is>
          <t xml:space="preserve">Keep cash / margin / financing</t>
        </is>
      </c>
      <c r="DB151" t="inlineStr">
        <is>
          <t xml:space="preserve">cash</t>
        </is>
      </c>
      <c r="DC151" t="inlineStr">
        <is>
          <t xml:space="preserve">keep</t>
        </is>
      </c>
      <c r="DD151" t="inlineStr">
        <is>
          <t xml:space="preserve">cash</t>
        </is>
      </c>
      <c r="DE151"/>
      <c r="DF151" s="4">
        <v>1</v>
      </c>
      <c r="DG151" s="4">
        <v>1</v>
      </c>
      <c r="DH151" s="4">
        <v>0</v>
      </c>
      <c r="DI151" s="6"/>
      <c r="DJ151" s="4">
        <v>0</v>
      </c>
      <c r="DK151" s="4">
        <v>0</v>
      </c>
      <c r="DL151" s="4">
        <v>0</v>
      </c>
      <c r="DM151" s="4">
        <v>0</v>
      </c>
      <c r="DN151" s="4">
        <v>0</v>
      </c>
      <c r="DO151" s="4">
        <v>1.654</v>
      </c>
      <c r="DP151" s="4">
        <v>1.675</v>
      </c>
      <c r="DQ151" s="6"/>
      <c r="DR151" s="6"/>
      <c r="DS151" s="6"/>
      <c r="DT151" s="9"/>
      <c r="DU151" s="7">
        <f>IFERROR(DM151/F151,0)</f>
        <v>0</v>
      </c>
      <c r="DV151"/>
      <c r="DW151"/>
      <c r="DX151"/>
      <c r="DY151"/>
      <c r="DZ151"/>
      <c r="EA151" s="4"/>
      <c r="EB151" s="4"/>
      <c r="EC151" s="4"/>
      <c r="ED151" s="6"/>
      <c r="EE151" s="4"/>
      <c r="EF151" s="4"/>
      <c r="EG151" s="4"/>
      <c r="EH151" s="4"/>
      <c r="EI151" s="4"/>
      <c r="EJ151" s="4"/>
      <c r="EK151" s="4"/>
      <c r="EL151" s="6"/>
      <c r="EM151" s="6"/>
      <c r="EN151" s="6"/>
      <c r="EO151" s="9"/>
      <c r="EP151"/>
      <c r="EQ151"/>
      <c r="ER151"/>
      <c r="ES151"/>
      <c r="ET151"/>
      <c r="EU151"/>
      <c r="EV151" s="4"/>
      <c r="EW151" s="4"/>
      <c r="EX151" s="4"/>
      <c r="EY151" s="6"/>
      <c r="EZ151" s="4"/>
      <c r="FA151" s="4"/>
      <c r="FB151" s="4"/>
      <c r="FC151" s="4"/>
      <c r="FD151" s="4"/>
      <c r="FE151" s="4"/>
      <c r="FF151" s="4"/>
      <c r="FG151" s="6"/>
      <c r="FH151" s="6"/>
      <c r="FI151" s="6"/>
      <c r="FJ151" s="9"/>
      <c r="FK151"/>
      <c r="FL151"/>
      <c r="FM151"/>
      <c r="FN151"/>
      <c r="FO151"/>
      <c r="FP151"/>
      <c r="FQ151" s="4"/>
      <c r="FR151" s="4"/>
      <c r="FS151" s="4"/>
      <c r="FT151" s="6"/>
      <c r="FU151" s="4"/>
      <c r="FV151" s="4"/>
      <c r="FW151" s="4"/>
      <c r="FX151" s="4"/>
      <c r="FY151" s="4"/>
      <c r="FZ151" s="4"/>
      <c r="GA151" s="4"/>
      <c r="GB151" s="6"/>
      <c r="GC151" s="6"/>
      <c r="GD151" s="6"/>
      <c r="GE151" s="9"/>
      <c r="GF151"/>
      <c r="GG151"/>
      <c r="GH151"/>
      <c r="GI151"/>
      <c r="GJ151"/>
      <c r="GK151"/>
      <c r="GL151" s="4"/>
      <c r="GM151" s="4"/>
      <c r="GN151" s="4"/>
      <c r="GO151" s="6"/>
      <c r="GP151" s="4"/>
      <c r="GQ151" s="4"/>
      <c r="GR151" s="4"/>
      <c r="GS151" s="4"/>
      <c r="GT151" s="4"/>
      <c r="GU151" s="4"/>
      <c r="GV151" s="4"/>
      <c r="GW151" s="6"/>
      <c r="GX151" s="6"/>
      <c r="GY151" s="6"/>
      <c r="GZ151" s="9"/>
      <c r="HA151"/>
      <c r="HB151"/>
      <c r="HC151"/>
      <c r="HD151"/>
      <c r="HE151"/>
      <c r="HF151"/>
      <c r="HG151" s="4"/>
      <c r="HH151" s="4"/>
      <c r="HI151" s="4"/>
      <c r="HJ151" s="6"/>
      <c r="HK151" s="4"/>
      <c r="HL151" s="4"/>
      <c r="HM151" s="4"/>
      <c r="HN151" s="4"/>
      <c r="HO151" s="4"/>
      <c r="HP151" s="4"/>
      <c r="HQ151" s="4"/>
      <c r="HR151" s="6"/>
      <c r="HS151" s="6"/>
      <c r="HT151" s="6"/>
      <c r="HU151" s="9"/>
      <c r="HV151"/>
      <c r="HW151"/>
      <c r="HX151"/>
      <c r="HY151"/>
      <c r="HZ151"/>
      <c r="IA151"/>
      <c r="IB151" s="4"/>
      <c r="IC151" s="4"/>
      <c r="ID151" s="4"/>
      <c r="IE151" s="6"/>
      <c r="IF151" s="4"/>
      <c r="IG151" s="4"/>
      <c r="IH151" s="4"/>
      <c r="II151" s="4"/>
      <c r="IJ151" s="4"/>
      <c r="IK151" s="4"/>
      <c r="IL151" s="4"/>
      <c r="IM151" s="6"/>
      <c r="IN151" s="6"/>
      <c r="IO151" s="6"/>
      <c r="IP151" s="9"/>
      <c r="IQ151"/>
      <c r="IR151"/>
      <c r="IS151"/>
      <c r="IT151"/>
      <c r="IU151"/>
      <c r="IV151"/>
      <c r="IW151" s="4"/>
      <c r="IX151" s="4"/>
      <c r="IY151" s="4"/>
      <c r="IZ151" s="6"/>
      <c r="JA151" s="4"/>
      <c r="JB151" s="4"/>
      <c r="JC151" s="4"/>
      <c r="JD151" s="4"/>
      <c r="JE151" s="4"/>
      <c r="JF151" s="4"/>
      <c r="JG151" s="4"/>
      <c r="JH151" s="6"/>
      <c r="JI151" s="6"/>
      <c r="JJ151" s="6"/>
      <c r="JK151" s="9"/>
      <c r="JL151"/>
    </row>
    <row r="152">
      <c r="A152" s="8">
        <v>25428</v>
      </c>
      <c r="B152" s="8">
        <v>25429</v>
      </c>
      <c r="C152" s="9">
        <f>B152-A152</f>
        <v>1</v>
      </c>
      <c r="D152" s="8">
        <v>25428</v>
      </c>
      <c r="E152" t="inlineStr">
        <is>
          <t xml:space="preserve">neutral</t>
        </is>
      </c>
      <c r="F152" s="4">
        <v>1.540565232569925</v>
      </c>
      <c r="G152" s="6">
        <v>0.019097628296871737</v>
      </c>
      <c r="H152" s="7">
        <f>SUM(CE152,CZ152,DU152,EP152,FK152,GF152,HA152,HV152,IQ152,JL152)</f>
        <v>0.019097628296871737</v>
      </c>
      <c r="I152" s="7">
        <f>G152-H152</f>
        <v>0</v>
      </c>
      <c r="J152" s="5">
        <f>F152*(1+H152)</f>
        <v>1.5699863747486293</v>
      </c>
      <c r="K152" s="4">
        <v>1.5699863747486293</v>
      </c>
      <c r="L152" s="5">
        <f>K152-J152</f>
        <v>0</v>
      </c>
      <c r="M152" s="4">
        <v>1.675</v>
      </c>
      <c r="N152" s="4">
        <v>1.707</v>
      </c>
      <c r="O152" s="5">
        <f>M152/$M$3</f>
        <v>0.8554647599591421</v>
      </c>
      <c r="P152" s="5">
        <f>N152/$M$3</f>
        <v>0.8718079673135853</v>
      </c>
      <c r="Q152" s="7">
        <f>IFERROR(N152/M152-1,0)</f>
        <v>0.01910447761194023</v>
      </c>
      <c r="R152" s="5">
        <f>SUM(IF(BM152="lease",BU152,0),IF(CH152="lease",CP152,0),IF(DC152="lease",DK152,0),IF(DX152="lease",EF152,0),IF(ES152="lease",FA152,0),IF(FN152="lease",FV152,0),IF(GI152="lease",GQ152,0),IF(HD152="lease",HL152,0),IF(HY152="lease",IG152,0),IF(IT152="lease",JB152,0))</f>
        <v>1.5405652325699255</v>
      </c>
      <c r="S152" s="5">
        <f>SUM(IF(BM152="lease",BV152,0),IF(CH152="lease",CQ152,0),IF(DC152="lease",DL152,0),IF(DX152="lease",EG152,0),IF(ES152="lease",FB152,0),IF(FN152="lease",FW152,0),IF(GI152="lease",GR152,0),IF(HD152="lease",HM152,0),IF(HY152="lease",IH152,0),IF(IT152="lease",JC152,0))</f>
        <v>1.5699863747486298</v>
      </c>
      <c r="T152" s="5">
        <f>SUM(IF(BM152="keep",BU152,0),IF(CH152="keep",CP152,0),IF(DC152="keep",DK152,0),IF(DX152="keep",EF152,0),IF(ES152="keep",FA152,0),IF(FN152="keep",FV152,0),IF(GI152="keep",GQ152,0),IF(HD152="keep",HL152,0),IF(HY152="keep",IG152,0),IF(IT152="keep",JB152,0))</f>
        <v>0</v>
      </c>
      <c r="U152" s="5">
        <f>SUM(IF(BM152="keep",BV152,0),IF(CH152="keep",CQ152,0),IF(DC152="keep",DL152,0),IF(DX152="keep",EG152,0),IF(ES152="keep",FB152,0),IF(FN152="keep",FW152,0),IF(GI152="keep",GR152,0),IF(HD152="keep",HM152,0),IF(HY152="keep",IH152,0),IF(IT152="keep",JC152,0))</f>
        <v>0</v>
      </c>
      <c r="V152" s="5">
        <f>R152/O152</f>
        <v>1.8008517763414411</v>
      </c>
      <c r="W152" s="5">
        <f>S152/P152</f>
        <v>1.800839672968844</v>
      </c>
      <c r="X152" s="5">
        <f>T152/O152</f>
        <v>0</v>
      </c>
      <c r="Y152" s="5">
        <f>U152/P152</f>
        <v>0</v>
      </c>
      <c r="Z152" s="5">
        <f>V152+X152</f>
        <v>1.8008517763414411</v>
      </c>
      <c r="AA152" s="7">
        <f>IFERROR(W152/V152-1,0)</f>
        <v>-0.00000672091548903353</v>
      </c>
      <c r="AB152" s="7">
        <f>IFERROR((W152-V152)/Z152,0)</f>
        <v>-0.000006720915489024155</v>
      </c>
      <c r="AC152" s="7">
        <f>IFERROR(Y152/X152-1,0)</f>
        <v>0</v>
      </c>
      <c r="AD152" s="7">
        <f>IFERROR((Y152-X152)/Z152,0)</f>
        <v>0</v>
      </c>
      <c r="AE152" s="7">
        <f>AB152+AD152</f>
        <v>-0.000006720915489024155</v>
      </c>
      <c r="AF152" s="7">
        <f>(1+Q152)*(1+AE152)-1</f>
        <v>0.019097628296871783</v>
      </c>
      <c r="AG152" s="7">
        <f>G152-AF152</f>
        <v>-4.5102810375396984e-17</v>
      </c>
      <c r="AH152" s="5">
        <f>SUM(IF(BM152="lease",BW152,0),IF(CH152="lease",CR152,0),IF(DC152="lease",DM152,0),IF(DX152="lease",EH152,0),IF(ES152="lease",FC152,0),IF(FN152="lease",FX152,0),IF(GI152="lease",GS152,0),IF(HD152="lease",HN152,0),IF(HY152="lease",II152,0),IF(IT152="lease",JD152,0))</f>
        <v>0.02942114217870419</v>
      </c>
      <c r="AI152" s="5">
        <f>SUM(IF(BM152="keep",BW152,0),IF(CH152="keep",CR152,0),IF(DC152="keep",DM152,0),IF(DX152="keep",EH152,0),IF(ES152="keep",FC152,0),IF(FN152="keep",FX152,0),IF(GI152="keep",GS152,0),IF(HD152="keep",HN152,0),IF(HY152="keep",II152,0),IF(IT152="keep",JD152,0))</f>
        <v>0</v>
      </c>
      <c r="AJ152" s="5">
        <f>SUM(IF(BM152="lease",BX152,0),IF(CH152="lease",CS152,0),IF(DC152="lease",DN152,0),IF(DX152="lease",EI152,0),IF(ES152="lease",FD152,0),IF(FN152="lease",FY152,0),IF(GI152="lease",GT152,0),IF(HD152="lease",HO152,0),IF(HY152="lease",IJ152,0),IF(IT152="lease",JE152,0))</f>
        <v>0</v>
      </c>
      <c r="AK152" s="5">
        <f>SUM(IF(BM152="keep",BX152,0),IF(CH152="keep",CS152,0),IF(DC152="keep",DN152,0),IF(DX152="keep",EI152,0),IF(ES152="keep",FD152,0),IF(FN152="keep",FY152,0),IF(GI152="keep",GT152,0),IF(HD152="keep",HO152,0),IF(HY152="keep",IJ152,0),IF(IT152="keep",JE152,0))</f>
        <v>0</v>
      </c>
      <c r="AL152" s="5">
        <f>R152-S151</f>
        <v>0</v>
      </c>
      <c r="AM152" s="5">
        <f>T152-U151</f>
        <v>0</v>
      </c>
      <c r="AN152" s="5">
        <f>AN151</f>
        <v>1</v>
      </c>
      <c r="AO152" s="5">
        <f>AO151+AH152</f>
        <v>0.56998637474863</v>
      </c>
      <c r="AP152" s="5">
        <f>AP151+AL152</f>
        <v>-6.661338147750939e-16</v>
      </c>
      <c r="AQ152" s="5">
        <f>AN152+AO152+AP152</f>
        <v>1.5699863747486293</v>
      </c>
      <c r="AR152" s="5">
        <f>S152-AQ152</f>
        <v>4.440892098500626e-16</v>
      </c>
      <c r="AS152" s="5">
        <f>AS151</f>
        <v>0</v>
      </c>
      <c r="AT152" s="5">
        <f>AT151+AI152</f>
        <v>0</v>
      </c>
      <c r="AU152" s="5">
        <f>AU151+AM152</f>
        <v>0</v>
      </c>
      <c r="AV152" s="5">
        <f>AS152+AT152+AU152</f>
        <v>0</v>
      </c>
      <c r="AW152" s="5">
        <f>U152-AV152</f>
        <v>0</v>
      </c>
      <c r="AX152" s="4">
        <v>1.5405652325699255</v>
      </c>
      <c r="AY152" s="4">
        <v>1.5699863747486298</v>
      </c>
      <c r="AZ152" s="5">
        <f>S152-AY152</f>
        <v>0</v>
      </c>
      <c r="BA152" s="4">
        <v>0</v>
      </c>
      <c r="BB152" s="4">
        <v>0</v>
      </c>
      <c r="BC152" s="5">
        <f>U152-BB152</f>
        <v>0</v>
      </c>
      <c r="BD152" s="7">
        <f>SUM(IF(BL152="direct",CE152,0),IF(CG152="direct",CZ152,0),IF(DB152="direct",DU152,0),IF(DW152="direct",EP152,0),IF(ER152="direct",FK152,0),IF(FM152="direct",GF152,0),IF(GH152="direct",HA152,0),IF(HC152="direct",HV152,0),IF(HX152="direct",IQ152,0),IF(IS152="direct",JL152,0))</f>
        <v>0.019097628296871737</v>
      </c>
      <c r="BE152" s="7">
        <f>SUM(IF(BL152="treasury",CE152,0),IF(CG152="treasury",CZ152,0),IF(DB152="treasury",DU152,0),IF(DW152="treasury",EP152,0),IF(ER152="treasury",FK152,0),IF(FM152="treasury",GF152,0),IF(GH152="treasury",HA152,0),IF(HC152="treasury",HV152,0),IF(HX152="treasury",IQ152,0),IF(IS152="treasury",JL152,0))</f>
        <v>0</v>
      </c>
      <c r="BF152" s="7">
        <f>SUM(IF(BL152="future",CE152,0),IF(CG152="future",CZ152,0),IF(DB152="future",DU152,0),IF(DW152="future",EP152,0),IF(ER152="future",FK152,0),IF(FM152="future",GF152,0),IF(GH152="future",HA152,0),IF(HC152="future",HV152,0),IF(HX152="future",IQ152,0),IF(IS152="future",JL152,0))</f>
        <v>0</v>
      </c>
      <c r="BG152" s="7">
        <f>SUM(IF(BL152="cash",CE152,0),IF(CG152="cash",CZ152,0),IF(DB152="cash",DU152,0),IF(DW152="cash",EP152,0),IF(ER152="cash",FK152,0),IF(FM152="cash",GF152,0),IF(GH152="cash",HA152,0),IF(HC152="cash",HV152,0),IF(HX152="cash",IQ152,0),IF(IS152="cash",JL152,0))</f>
        <v>0</v>
      </c>
      <c r="BH152" s="7">
        <f>SUM(BD152:BG152)</f>
        <v>0.019097628296871737</v>
      </c>
      <c r="BI152" s="7">
        <f>G152-BH152</f>
        <v>0</v>
      </c>
      <c r="BJ152" s="9">
        <f>COUNTA(BK152,CF152,DA152,DV152,EQ152,FL152,GG152,HB152,HW152,IR152)</f>
        <v>3</v>
      </c>
      <c r="BK152" t="inlineStr">
        <is>
          <t xml:space="preserve">Direct commodity holding</t>
        </is>
      </c>
      <c r="BL152" t="inlineStr">
        <is>
          <t xml:space="preserve">direct</t>
        </is>
      </c>
      <c r="BM152" t="inlineStr">
        <is>
          <t xml:space="preserve">lease</t>
        </is>
      </c>
      <c r="BN152" t="inlineStr">
        <is>
          <t xml:space="preserve">long</t>
        </is>
      </c>
      <c r="BO152"/>
      <c r="BP152" s="4">
        <v>1.675</v>
      </c>
      <c r="BQ152" s="4">
        <v>1.707</v>
      </c>
      <c r="BR152" s="4">
        <v>0.9197404373551791</v>
      </c>
      <c r="BS152" s="6">
        <v>1</v>
      </c>
      <c r="BT152" s="4">
        <v>1.540565232569925</v>
      </c>
      <c r="BU152" s="4">
        <v>1.540565232569925</v>
      </c>
      <c r="BV152" s="4">
        <v>1.5699969265652907</v>
      </c>
      <c r="BW152" s="4">
        <v>0.02942114217870419</v>
      </c>
      <c r="BX152" s="4">
        <v>0.00001055181666141311</v>
      </c>
      <c r="BY152" s="4">
        <v>1.675</v>
      </c>
      <c r="BZ152" s="4">
        <v>1.707</v>
      </c>
      <c r="CA152" s="6"/>
      <c r="CB152" s="6"/>
      <c r="CC152" s="6"/>
      <c r="CD152" s="9"/>
      <c r="CE152" s="7">
        <f>IFERROR(BW152/F152,0)</f>
        <v>0.019097628296871737</v>
      </c>
      <c r="CF152" t="inlineStr">
        <is>
          <t xml:space="preserve">Lease cash / margin / financing</t>
        </is>
      </c>
      <c r="CG152" t="inlineStr">
        <is>
          <t xml:space="preserve">cash</t>
        </is>
      </c>
      <c r="CH152" t="inlineStr">
        <is>
          <t xml:space="preserve">lease</t>
        </is>
      </c>
      <c r="CI152" t="inlineStr">
        <is>
          <t xml:space="preserve">cash</t>
        </is>
      </c>
      <c r="CJ152"/>
      <c r="CK152" s="4">
        <v>1</v>
      </c>
      <c r="CL152" s="4">
        <v>1</v>
      </c>
      <c r="CM152" s="4">
        <v>4.440892098500626e-16</v>
      </c>
      <c r="CN152" s="6"/>
      <c r="CO152" s="4">
        <v>4.440892098500626e-16</v>
      </c>
      <c r="CP152" s="4">
        <v>4.440892098500626e-16</v>
      </c>
      <c r="CQ152" s="4">
        <v>-0.000010551816660969021</v>
      </c>
      <c r="CR152" s="4">
        <v>0</v>
      </c>
      <c r="CS152" s="4">
        <v>-0.00001055181666141311</v>
      </c>
      <c r="CT152" s="4">
        <v>1.675</v>
      </c>
      <c r="CU152" s="4">
        <v>1.707</v>
      </c>
      <c r="CV152" s="6"/>
      <c r="CW152" s="6"/>
      <c r="CX152" s="6"/>
      <c r="CY152" s="9"/>
      <c r="CZ152" s="7">
        <f>IFERROR(CR152/F152,0)</f>
        <v>0</v>
      </c>
      <c r="DA152" t="inlineStr">
        <is>
          <t xml:space="preserve">Keep cash / margin / financing</t>
        </is>
      </c>
      <c r="DB152" t="inlineStr">
        <is>
          <t xml:space="preserve">cash</t>
        </is>
      </c>
      <c r="DC152" t="inlineStr">
        <is>
          <t xml:space="preserve">keep</t>
        </is>
      </c>
      <c r="DD152" t="inlineStr">
        <is>
          <t xml:space="preserve">cash</t>
        </is>
      </c>
      <c r="DE152"/>
      <c r="DF152" s="4">
        <v>1</v>
      </c>
      <c r="DG152" s="4">
        <v>1</v>
      </c>
      <c r="DH152" s="4">
        <v>0</v>
      </c>
      <c r="DI152" s="6"/>
      <c r="DJ152" s="4">
        <v>0</v>
      </c>
      <c r="DK152" s="4">
        <v>0</v>
      </c>
      <c r="DL152" s="4">
        <v>0</v>
      </c>
      <c r="DM152" s="4">
        <v>0</v>
      </c>
      <c r="DN152" s="4">
        <v>0</v>
      </c>
      <c r="DO152" s="4">
        <v>1.675</v>
      </c>
      <c r="DP152" s="4">
        <v>1.707</v>
      </c>
      <c r="DQ152" s="6"/>
      <c r="DR152" s="6"/>
      <c r="DS152" s="6"/>
      <c r="DT152" s="9"/>
      <c r="DU152" s="7">
        <f>IFERROR(DM152/F152,0)</f>
        <v>0</v>
      </c>
      <c r="DV152"/>
      <c r="DW152"/>
      <c r="DX152"/>
      <c r="DY152"/>
      <c r="DZ152"/>
      <c r="EA152" s="4"/>
      <c r="EB152" s="4"/>
      <c r="EC152" s="4"/>
      <c r="ED152" s="6"/>
      <c r="EE152" s="4"/>
      <c r="EF152" s="4"/>
      <c r="EG152" s="4"/>
      <c r="EH152" s="4"/>
      <c r="EI152" s="4"/>
      <c r="EJ152" s="4"/>
      <c r="EK152" s="4"/>
      <c r="EL152" s="6"/>
      <c r="EM152" s="6"/>
      <c r="EN152" s="6"/>
      <c r="EO152" s="9"/>
      <c r="EP152"/>
      <c r="EQ152"/>
      <c r="ER152"/>
      <c r="ES152"/>
      <c r="ET152"/>
      <c r="EU152"/>
      <c r="EV152" s="4"/>
      <c r="EW152" s="4"/>
      <c r="EX152" s="4"/>
      <c r="EY152" s="6"/>
      <c r="EZ152" s="4"/>
      <c r="FA152" s="4"/>
      <c r="FB152" s="4"/>
      <c r="FC152" s="4"/>
      <c r="FD152" s="4"/>
      <c r="FE152" s="4"/>
      <c r="FF152" s="4"/>
      <c r="FG152" s="6"/>
      <c r="FH152" s="6"/>
      <c r="FI152" s="6"/>
      <c r="FJ152" s="9"/>
      <c r="FK152"/>
      <c r="FL152"/>
      <c r="FM152"/>
      <c r="FN152"/>
      <c r="FO152"/>
      <c r="FP152"/>
      <c r="FQ152" s="4"/>
      <c r="FR152" s="4"/>
      <c r="FS152" s="4"/>
      <c r="FT152" s="6"/>
      <c r="FU152" s="4"/>
      <c r="FV152" s="4"/>
      <c r="FW152" s="4"/>
      <c r="FX152" s="4"/>
      <c r="FY152" s="4"/>
      <c r="FZ152" s="4"/>
      <c r="GA152" s="4"/>
      <c r="GB152" s="6"/>
      <c r="GC152" s="6"/>
      <c r="GD152" s="6"/>
      <c r="GE152" s="9"/>
      <c r="GF152"/>
      <c r="GG152"/>
      <c r="GH152"/>
      <c r="GI152"/>
      <c r="GJ152"/>
      <c r="GK152"/>
      <c r="GL152" s="4"/>
      <c r="GM152" s="4"/>
      <c r="GN152" s="4"/>
      <c r="GO152" s="6"/>
      <c r="GP152" s="4"/>
      <c r="GQ152" s="4"/>
      <c r="GR152" s="4"/>
      <c r="GS152" s="4"/>
      <c r="GT152" s="4"/>
      <c r="GU152" s="4"/>
      <c r="GV152" s="4"/>
      <c r="GW152" s="6"/>
      <c r="GX152" s="6"/>
      <c r="GY152" s="6"/>
      <c r="GZ152" s="9"/>
      <c r="HA152"/>
      <c r="HB152"/>
      <c r="HC152"/>
      <c r="HD152"/>
      <c r="HE152"/>
      <c r="HF152"/>
      <c r="HG152" s="4"/>
      <c r="HH152" s="4"/>
      <c r="HI152" s="4"/>
      <c r="HJ152" s="6"/>
      <c r="HK152" s="4"/>
      <c r="HL152" s="4"/>
      <c r="HM152" s="4"/>
      <c r="HN152" s="4"/>
      <c r="HO152" s="4"/>
      <c r="HP152" s="4"/>
      <c r="HQ152" s="4"/>
      <c r="HR152" s="6"/>
      <c r="HS152" s="6"/>
      <c r="HT152" s="6"/>
      <c r="HU152" s="9"/>
      <c r="HV152"/>
      <c r="HW152"/>
      <c r="HX152"/>
      <c r="HY152"/>
      <c r="HZ152"/>
      <c r="IA152"/>
      <c r="IB152" s="4"/>
      <c r="IC152" s="4"/>
      <c r="ID152" s="4"/>
      <c r="IE152" s="6"/>
      <c r="IF152" s="4"/>
      <c r="IG152" s="4"/>
      <c r="IH152" s="4"/>
      <c r="II152" s="4"/>
      <c r="IJ152" s="4"/>
      <c r="IK152" s="4"/>
      <c r="IL152" s="4"/>
      <c r="IM152" s="6"/>
      <c r="IN152" s="6"/>
      <c r="IO152" s="6"/>
      <c r="IP152" s="9"/>
      <c r="IQ152"/>
      <c r="IR152"/>
      <c r="IS152"/>
      <c r="IT152"/>
      <c r="IU152"/>
      <c r="IV152"/>
      <c r="IW152" s="4"/>
      <c r="IX152" s="4"/>
      <c r="IY152" s="4"/>
      <c r="IZ152" s="6"/>
      <c r="JA152" s="4"/>
      <c r="JB152" s="4"/>
      <c r="JC152" s="4"/>
      <c r="JD152" s="4"/>
      <c r="JE152" s="4"/>
      <c r="JF152" s="4"/>
      <c r="JG152" s="4"/>
      <c r="JH152" s="6"/>
      <c r="JI152" s="6"/>
      <c r="JJ152" s="6"/>
      <c r="JK152" s="9"/>
      <c r="JL152"/>
    </row>
    <row r="153">
      <c r="A153" s="8">
        <v>25429</v>
      </c>
      <c r="B153" s="8">
        <v>25430</v>
      </c>
      <c r="C153" s="9">
        <f>B153-A153</f>
        <v>1</v>
      </c>
      <c r="D153" s="8">
        <v>25429</v>
      </c>
      <c r="E153" t="inlineStr">
        <is>
          <t xml:space="preserve">positive</t>
        </is>
      </c>
      <c r="F153" s="4">
        <v>1.5699863747486293</v>
      </c>
      <c r="G153" s="6">
        <v>0.0031987265761214624</v>
      </c>
      <c r="H153" s="7">
        <f>SUM(CE153,CZ153,DU153,EP153,FK153,GF153,HA153,HV153,IQ153,JL153)</f>
        <v>0.003198726576121463</v>
      </c>
      <c r="I153" s="7">
        <f>G153-H153</f>
        <v>-4.336808689942018e-19</v>
      </c>
      <c r="J153" s="5">
        <f>F153*(1+H153)</f>
        <v>1.5750083318896864</v>
      </c>
      <c r="K153" s="4">
        <v>1.5750083318896864</v>
      </c>
      <c r="L153" s="5">
        <f>K153-J153</f>
        <v>0</v>
      </c>
      <c r="M153" s="4">
        <v>1.707</v>
      </c>
      <c r="N153" s="4">
        <v>1.696</v>
      </c>
      <c r="O153" s="5">
        <f>M153/$M$3</f>
        <v>0.8718079673135853</v>
      </c>
      <c r="P153" s="5">
        <f>N153/$M$3</f>
        <v>0.8661899897854954</v>
      </c>
      <c r="Q153" s="7">
        <f>IFERROR(N153/M153-1,0)</f>
        <v>-0.006444053895723556</v>
      </c>
      <c r="R153" s="5">
        <f>SUM(IF(BM153="lease",BU153,0),IF(CH153="lease",CP153,0),IF(DC153="lease",DK153,0),IF(DX153="lease",EF153,0),IF(ES153="lease",FA153,0),IF(FN153="lease",FV153,0),IF(GI153="lease",GQ153,0),IF(HD153="lease",HL153,0),IF(HY153="lease",IG153,0),IF(IT153="lease",JB153,0))</f>
        <v>1.5699863747486298</v>
      </c>
      <c r="S153" s="5">
        <f>SUM(IF(BM153="lease",BV153,0),IF(CH153="lease",CQ153,0),IF(DC153="lease",DL153,0),IF(DX153="lease",EG153,0),IF(ES153="lease",FB153,0),IF(FN153="lease",FW153,0),IF(GI153="lease",GR153,0),IF(HD153="lease",HM153,0),IF(HY153="lease",IH153,0),IF(IT153="lease",JC153,0))</f>
        <v>1.5750083318896868</v>
      </c>
      <c r="T153" s="5">
        <f>SUM(IF(BM153="keep",BU153,0),IF(CH153="keep",CP153,0),IF(DC153="keep",DK153,0),IF(DX153="keep",EF153,0),IF(ES153="keep",FA153,0),IF(FN153="keep",FV153,0),IF(GI153="keep",GQ153,0),IF(HD153="keep",HL153,0),IF(HY153="keep",IG153,0),IF(IT153="keep",JB153,0))</f>
        <v>0</v>
      </c>
      <c r="U153" s="5">
        <f>SUM(IF(BM153="keep",BV153,0),IF(CH153="keep",CQ153,0),IF(DC153="keep",DL153,0),IF(DX153="keep",EG153,0),IF(ES153="keep",FB153,0),IF(FN153="keep",FW153,0),IF(GI153="keep",GR153,0),IF(HD153="keep",HM153,0),IF(HY153="keep",IH153,0),IF(IT153="keep",JC153,0))</f>
        <v>0</v>
      </c>
      <c r="V153" s="5">
        <f>R153/O153</f>
        <v>1.800839672968844</v>
      </c>
      <c r="W153" s="5">
        <f>S153/P153</f>
        <v>1.8183174020283057</v>
      </c>
      <c r="X153" s="5">
        <f>T153/O153</f>
        <v>0</v>
      </c>
      <c r="Y153" s="5">
        <f>U153/P153</f>
        <v>0</v>
      </c>
      <c r="Z153" s="5">
        <f>V153+X153</f>
        <v>1.800839672968844</v>
      </c>
      <c r="AA153" s="7">
        <f>IFERROR(W153/V153-1,0)</f>
        <v>0.009705322090471258</v>
      </c>
      <c r="AB153" s="7">
        <f>IFERROR((W153-V153)/Z153,0)</f>
        <v>0.009705322090471312</v>
      </c>
      <c r="AC153" s="7">
        <f>IFERROR(Y153/X153-1,0)</f>
        <v>0</v>
      </c>
      <c r="AD153" s="7">
        <f>IFERROR((Y153-X153)/Z153,0)</f>
        <v>0</v>
      </c>
      <c r="AE153" s="7">
        <f>AB153+AD153</f>
        <v>0.009705322090471312</v>
      </c>
      <c r="AF153" s="7">
        <f>(1+Q153)*(1+AE153)-1</f>
        <v>0.0031987265761213024</v>
      </c>
      <c r="AG153" s="7">
        <f>G153-AF153</f>
        <v>1.6002824065886045e-16</v>
      </c>
      <c r="AH153" s="5">
        <f>SUM(IF(BM153="lease",BW153,0),IF(CH153="lease",CR153,0),IF(DC153="lease",DM153,0),IF(DX153="lease",EH153,0),IF(ES153="lease",FC153,0),IF(FN153="lease",FX153,0),IF(GI153="lease",GS153,0),IF(HD153="lease",HN153,0),IF(HY153="lease",II153,0),IF(IT153="lease",JD153,0))</f>
        <v>0.005021957141057031</v>
      </c>
      <c r="AI153" s="5">
        <f>SUM(IF(BM153="keep",BW153,0),IF(CH153="keep",CR153,0),IF(DC153="keep",DM153,0),IF(DX153="keep",EH153,0),IF(ES153="keep",FC153,0),IF(FN153="keep",FX153,0),IF(GI153="keep",GS153,0),IF(HD153="keep",HN153,0),IF(HY153="keep",II153,0),IF(IT153="keep",JD153,0))</f>
        <v>0</v>
      </c>
      <c r="AJ153" s="5">
        <f>SUM(IF(BM153="lease",BX153,0),IF(CH153="lease",CS153,0),IF(DC153="lease",DN153,0),IF(DX153="lease",EI153,0),IF(ES153="lease",FD153,0),IF(FN153="lease",FY153,0),IF(GI153="lease",GT153,0),IF(HD153="lease",HO153,0),IF(HY153="lease",IJ153,0),IF(IT153="lease",JE153,0))</f>
        <v>0</v>
      </c>
      <c r="AK153" s="5">
        <f>SUM(IF(BM153="keep",BX153,0),IF(CH153="keep",CS153,0),IF(DC153="keep",DN153,0),IF(DX153="keep",EI153,0),IF(ES153="keep",FD153,0),IF(FN153="keep",FY153,0),IF(GI153="keep",GT153,0),IF(HD153="keep",HO153,0),IF(HY153="keep",IJ153,0),IF(IT153="keep",JE153,0))</f>
        <v>0</v>
      </c>
      <c r="AL153" s="5">
        <f>R153-S152</f>
        <v>0</v>
      </c>
      <c r="AM153" s="5">
        <f>T153-U152</f>
        <v>0</v>
      </c>
      <c r="AN153" s="5">
        <f>AN152</f>
        <v>1</v>
      </c>
      <c r="AO153" s="5">
        <f>AO152+AH153</f>
        <v>0.575008331889687</v>
      </c>
      <c r="AP153" s="5">
        <f>AP152+AL153</f>
        <v>-6.661338147750939e-16</v>
      </c>
      <c r="AQ153" s="5">
        <f>AN153+AO153+AP153</f>
        <v>1.5750083318896864</v>
      </c>
      <c r="AR153" s="5">
        <f>S153-AQ153</f>
        <v>4.440892098500626e-16</v>
      </c>
      <c r="AS153" s="5">
        <f>AS152</f>
        <v>0</v>
      </c>
      <c r="AT153" s="5">
        <f>AT152+AI153</f>
        <v>0</v>
      </c>
      <c r="AU153" s="5">
        <f>AU152+AM153</f>
        <v>0</v>
      </c>
      <c r="AV153" s="5">
        <f>AS153+AT153+AU153</f>
        <v>0</v>
      </c>
      <c r="AW153" s="5">
        <f>U153-AV153</f>
        <v>0</v>
      </c>
      <c r="AX153" s="4">
        <v>1.5699863747486298</v>
      </c>
      <c r="AY153" s="4">
        <v>1.5750083318896868</v>
      </c>
      <c r="AZ153" s="5">
        <f>S153-AY153</f>
        <v>0</v>
      </c>
      <c r="BA153" s="4">
        <v>0</v>
      </c>
      <c r="BB153" s="4">
        <v>0</v>
      </c>
      <c r="BC153" s="5">
        <f>U153-BB153</f>
        <v>0</v>
      </c>
      <c r="BD153" s="7">
        <f>SUM(IF(BL153="direct",CE153,0),IF(CG153="direct",CZ153,0),IF(DB153="direct",DU153,0),IF(DW153="direct",EP153,0),IF(ER153="direct",FK153,0),IF(FM153="direct",GF153,0),IF(GH153="direct",HA153,0),IF(HC153="direct",HV153,0),IF(HX153="direct",IQ153,0),IF(IS153="direct",JL153,0))</f>
        <v>-0.0006732637443442541</v>
      </c>
      <c r="BE153" s="7">
        <f>SUM(IF(BL153="treasury",CE153,0),IF(CG153="treasury",CZ153,0),IF(DB153="treasury",DU153,0),IF(DW153="treasury",EP153,0),IF(ER153="treasury",FK153,0),IF(FM153="treasury",GF153,0),IF(GH153="treasury",HA153,0),IF(HC153="treasury",HV153,0),IF(HX153="treasury",IQ153,0),IF(IS153="treasury",JL153,0))</f>
        <v>0.000171029027223262</v>
      </c>
      <c r="BF153" s="7">
        <f>SUM(IF(BL153="future",CE153,0),IF(CG153="future",CZ153,0),IF(DB153="future",DU153,0),IF(DW153="future",EP153,0),IF(ER153="future",FK153,0),IF(FM153="future",GF153,0),IF(GH153="future",HA153,0),IF(HC153="future",HV153,0),IF(HX153="future",IQ153,0),IF(IS153="future",JL153,0))</f>
        <v>0.0037009612932424546</v>
      </c>
      <c r="BG153" s="7">
        <f>SUM(IF(BL153="cash",CE153,0),IF(CG153="cash",CZ153,0),IF(DB153="cash",DU153,0),IF(DW153="cash",EP153,0),IF(ER153="cash",FK153,0),IF(FM153="cash",GF153,0),IF(GH153="cash",HA153,0),IF(HC153="cash",HV153,0),IF(HX153="cash",IQ153,0),IF(IS153="cash",JL153,0))</f>
        <v>0</v>
      </c>
      <c r="BH153" s="7">
        <f>SUM(BD153:BG153)</f>
        <v>0.0031987265761214624</v>
      </c>
      <c r="BI153" s="7">
        <f>G153-BH153</f>
        <v>0</v>
      </c>
      <c r="BJ153" s="9">
        <f>COUNTA(BK153,CF153,DA153,DV153,EQ153,FL153,GG153,HB153,HW153,IR153)</f>
        <v>7</v>
      </c>
      <c r="BK153" t="inlineStr">
        <is>
          <t xml:space="preserve">Direct commodity holding</t>
        </is>
      </c>
      <c r="BL153" t="inlineStr">
        <is>
          <t xml:space="preserve">direct</t>
        </is>
      </c>
      <c r="BM153" t="inlineStr">
        <is>
          <t xml:space="preserve">lease</t>
        </is>
      </c>
      <c r="BN153" t="inlineStr">
        <is>
          <t xml:space="preserve">long</t>
        </is>
      </c>
      <c r="BO153"/>
      <c r="BP153" s="4">
        <v>1.707</v>
      </c>
      <c r="BQ153" s="4">
        <v>1.696</v>
      </c>
      <c r="BR153" s="4">
        <v>0.09599023712901422</v>
      </c>
      <c r="BS153" s="6">
        <v>0.10436736102595934</v>
      </c>
      <c r="BT153" s="4">
        <v>0.16385533477922729</v>
      </c>
      <c r="BU153" s="4">
        <v>0.16385533477922729</v>
      </c>
      <c r="BV153" s="4">
        <v>0.1627994421708081</v>
      </c>
      <c r="BW153" s="4">
        <v>-0.0010570149052327234</v>
      </c>
      <c r="BX153" s="4">
        <v>0.0000011222968135445478</v>
      </c>
      <c r="BY153" s="4">
        <v>1.707</v>
      </c>
      <c r="BZ153" s="4">
        <v>1.696</v>
      </c>
      <c r="CA153" s="6"/>
      <c r="CB153" s="6"/>
      <c r="CC153" s="6"/>
      <c r="CD153" s="9"/>
      <c r="CE153" s="7">
        <f>IFERROR(BW153/F153,0)</f>
        <v>-0.0006732637443442541</v>
      </c>
      <c r="CF153" t="inlineStr">
        <is>
          <t xml:space="preserve">Treasury collateral</t>
        </is>
      </c>
      <c r="CG153" t="inlineStr">
        <is>
          <t xml:space="preserve">treasury</t>
        </is>
      </c>
      <c r="CH153" t="inlineStr">
        <is>
          <t xml:space="preserve">lease</t>
        </is>
      </c>
      <c r="CI153" t="inlineStr">
        <is>
          <t xml:space="preserve">long</t>
        </is>
      </c>
      <c r="CJ153"/>
      <c r="CK153" s="4">
        <v>103.9472034797279</v>
      </c>
      <c r="CL153" s="4">
        <v>103.96705312378964</v>
      </c>
      <c r="CM153" s="4">
        <v>0.013527358051952114</v>
      </c>
      <c r="CN153" s="6">
        <v>0.8956326389740407</v>
      </c>
      <c r="CO153" s="4">
        <v>1.406131039969402</v>
      </c>
      <c r="CP153" s="4">
        <v>1.406131039969402</v>
      </c>
      <c r="CQ153" s="4">
        <v>1.406399553211829</v>
      </c>
      <c r="CR153" s="4">
        <v>0.00026851324242703375</v>
      </c>
      <c r="CS153" s="4">
        <v>-9.611452259083997e-17</v>
      </c>
      <c r="CT153" s="4">
        <v>1.707</v>
      </c>
      <c r="CU153" s="4">
        <v>1.696</v>
      </c>
      <c r="CV153" s="6"/>
      <c r="CW153" s="6"/>
      <c r="CX153" s="6"/>
      <c r="CY153" s="9">
        <v>43</v>
      </c>
      <c r="CZ153" s="7">
        <f>IFERROR(CR153/F153,0)</f>
        <v>0.000171029027223262</v>
      </c>
      <c r="DA153" t="inlineStr">
        <is>
          <t xml:space="preserve">SI69U</t>
        </is>
      </c>
      <c r="DB153" t="inlineStr">
        <is>
          <t xml:space="preserve">future</t>
        </is>
      </c>
      <c r="DC153" t="inlineStr">
        <is>
          <t xml:space="preserve">lease</t>
        </is>
      </c>
      <c r="DD153" t="inlineStr">
        <is>
          <t xml:space="preserve">long</t>
        </is>
      </c>
      <c r="DE153" t="inlineStr">
        <is>
          <t xml:space="preserve">regular</t>
        </is>
      </c>
      <c r="DF153" s="4">
        <v>1.694</v>
      </c>
      <c r="DG153" s="4">
        <v>1.7009999999999998</v>
      </c>
      <c r="DH153" s="4">
        <v>0.8300653636912151</v>
      </c>
      <c r="DI153" s="6">
        <v>0.8956324390509784</v>
      </c>
      <c r="DJ153" s="4">
        <v>1.4061307260929183</v>
      </c>
      <c r="DK153" s="4">
        <v>0</v>
      </c>
      <c r="DL153" s="4">
        <v>0</v>
      </c>
      <c r="DM153" s="4">
        <v>0.005810457545838331</v>
      </c>
      <c r="DN153" s="4">
        <v>-0.005810457545838331</v>
      </c>
      <c r="DO153" s="4">
        <v>1.707</v>
      </c>
      <c r="DP153" s="4">
        <v>1.696</v>
      </c>
      <c r="DQ153" s="6">
        <v>-0.007615700058582364</v>
      </c>
      <c r="DR153" s="6">
        <v>0.0697</v>
      </c>
      <c r="DS153" s="6">
        <v>0.1343448958461061</v>
      </c>
      <c r="DT153" s="9">
        <v>43</v>
      </c>
      <c r="DU153" s="7">
        <f>IFERROR(DM153/F153,0)</f>
        <v>0.0037009604919460808</v>
      </c>
      <c r="DV153" t="inlineStr">
        <is>
          <t xml:space="preserve">SI69Z</t>
        </is>
      </c>
      <c r="DW153" t="inlineStr">
        <is>
          <t xml:space="preserve">future</t>
        </is>
      </c>
      <c r="DX153" t="inlineStr">
        <is>
          <t xml:space="preserve">lease</t>
        </is>
      </c>
      <c r="DY153" t="inlineStr">
        <is>
          <t xml:space="preserve">long</t>
        </is>
      </c>
      <c r="DZ153" t="inlineStr">
        <is>
          <t xml:space="preserve">regular</t>
        </is>
      </c>
      <c r="EA153" s="4">
        <v>1.745</v>
      </c>
      <c r="EB153" s="4">
        <v>1.7519999999999998</v>
      </c>
      <c r="EC153" s="4">
        <v>1.64774707571415e-7</v>
      </c>
      <c r="ED153" s="6">
        <v>1.831429045097006e-7</v>
      </c>
      <c r="EE153" s="4">
        <v>2.875318647121192e-7</v>
      </c>
      <c r="EF153" s="4">
        <v>0</v>
      </c>
      <c r="EG153" s="4">
        <v>0</v>
      </c>
      <c r="EH153" s="4">
        <v>1.1534229529998264e-9</v>
      </c>
      <c r="EI153" s="4">
        <v>-1.1534229529998264e-9</v>
      </c>
      <c r="EJ153" s="4">
        <v>1.707</v>
      </c>
      <c r="EK153" s="4">
        <v>1.696</v>
      </c>
      <c r="EL153" s="6">
        <v>0.022261277094317578</v>
      </c>
      <c r="EM153" s="6">
        <v>0.07106483516483517</v>
      </c>
      <c r="EN153" s="6">
        <v>0.011755593271215344</v>
      </c>
      <c r="EO153" s="9">
        <v>137</v>
      </c>
      <c r="EP153" s="7">
        <f>IFERROR(EH153/F153,0)</f>
        <v>7.346706771162273e-10</v>
      </c>
      <c r="EQ153" t="inlineStr">
        <is>
          <t xml:space="preserve">SI70F</t>
        </is>
      </c>
      <c r="ER153" t="inlineStr">
        <is>
          <t xml:space="preserve">future</t>
        </is>
      </c>
      <c r="ES153" t="inlineStr">
        <is>
          <t xml:space="preserve">lease</t>
        </is>
      </c>
      <c r="ET153" t="inlineStr">
        <is>
          <t xml:space="preserve">long</t>
        </is>
      </c>
      <c r="EU153" t="inlineStr">
        <is>
          <t xml:space="preserve">regular</t>
        </is>
      </c>
      <c r="EV153" s="4">
        <v>1.7630000000000001</v>
      </c>
      <c r="EW153" s="4">
        <v>1.77</v>
      </c>
      <c r="EX153" s="4">
        <v>1.4943062370315572e-8</v>
      </c>
      <c r="EY153" s="6">
        <v>1.678015770237776e-8</v>
      </c>
      <c r="EZ153" s="4">
        <v>2.6344618958866353e-8</v>
      </c>
      <c r="FA153" s="4">
        <v>0</v>
      </c>
      <c r="FB153" s="4">
        <v>0</v>
      </c>
      <c r="FC153" s="4">
        <v>1.0460143659220718e-10</v>
      </c>
      <c r="FD153" s="4">
        <v>-1.0460143659220718e-10</v>
      </c>
      <c r="FE153" s="4">
        <v>1.707</v>
      </c>
      <c r="FF153" s="4">
        <v>1.696</v>
      </c>
      <c r="FG153" s="6">
        <v>0.03280609256004685</v>
      </c>
      <c r="FH153" s="6">
        <v>0.07195494505494507</v>
      </c>
      <c r="FI153" s="6">
        <v>0.0002530062261001387</v>
      </c>
      <c r="FJ153" s="9">
        <v>167</v>
      </c>
      <c r="FK153" s="7">
        <f>IFERROR(FC153/F153,0)</f>
        <v>6.662569705992189e-11</v>
      </c>
      <c r="FL153" t="inlineStr">
        <is>
          <t xml:space="preserve">Lease cash / margin / financing</t>
        </is>
      </c>
      <c r="FM153" t="inlineStr">
        <is>
          <t xml:space="preserve">cash</t>
        </is>
      </c>
      <c r="FN153" t="inlineStr">
        <is>
          <t xml:space="preserve">lease</t>
        </is>
      </c>
      <c r="FO153" t="inlineStr">
        <is>
          <t xml:space="preserve">cash</t>
        </is>
      </c>
      <c r="FP153"/>
      <c r="FQ153" s="4">
        <v>1</v>
      </c>
      <c r="FR153" s="4">
        <v>1</v>
      </c>
      <c r="FS153" s="4">
        <v>4.440892098500626e-16</v>
      </c>
      <c r="FT153" s="6"/>
      <c r="FU153" s="4">
        <v>4.440892098500626e-16</v>
      </c>
      <c r="FV153" s="4">
        <v>4.440892098500626e-16</v>
      </c>
      <c r="FW153" s="4">
        <v>0.0058093365070497165</v>
      </c>
      <c r="FX153" s="4">
        <v>0</v>
      </c>
      <c r="FY153" s="4">
        <v>0.005809336507049272</v>
      </c>
      <c r="FZ153" s="4">
        <v>1.707</v>
      </c>
      <c r="GA153" s="4">
        <v>1.696</v>
      </c>
      <c r="GB153" s="6"/>
      <c r="GC153" s="6"/>
      <c r="GD153" s="6"/>
      <c r="GE153" s="9"/>
      <c r="GF153" s="7">
        <f>IFERROR(FX153/F153,0)</f>
        <v>0</v>
      </c>
      <c r="GG153" t="inlineStr">
        <is>
          <t xml:space="preserve">Keep cash / margin / financing</t>
        </is>
      </c>
      <c r="GH153" t="inlineStr">
        <is>
          <t xml:space="preserve">cash</t>
        </is>
      </c>
      <c r="GI153" t="inlineStr">
        <is>
          <t xml:space="preserve">keep</t>
        </is>
      </c>
      <c r="GJ153" t="inlineStr">
        <is>
          <t xml:space="preserve">cash</t>
        </is>
      </c>
      <c r="GK153"/>
      <c r="GL153" s="4">
        <v>1</v>
      </c>
      <c r="GM153" s="4">
        <v>1</v>
      </c>
      <c r="GN153" s="4">
        <v>0</v>
      </c>
      <c r="GO153" s="6"/>
      <c r="GP153" s="4">
        <v>0</v>
      </c>
      <c r="GQ153" s="4">
        <v>0</v>
      </c>
      <c r="GR153" s="4">
        <v>0</v>
      </c>
      <c r="GS153" s="4">
        <v>0</v>
      </c>
      <c r="GT153" s="4">
        <v>0</v>
      </c>
      <c r="GU153" s="4">
        <v>1.707</v>
      </c>
      <c r="GV153" s="4">
        <v>1.696</v>
      </c>
      <c r="GW153" s="6"/>
      <c r="GX153" s="6"/>
      <c r="GY153" s="6"/>
      <c r="GZ153" s="9"/>
      <c r="HA153" s="7">
        <f>IFERROR(GS153/F153,0)</f>
        <v>0</v>
      </c>
      <c r="HB153"/>
      <c r="HC153"/>
      <c r="HD153"/>
      <c r="HE153"/>
      <c r="HF153"/>
      <c r="HG153" s="4"/>
      <c r="HH153" s="4"/>
      <c r="HI153" s="4"/>
      <c r="HJ153" s="6"/>
      <c r="HK153" s="4"/>
      <c r="HL153" s="4"/>
      <c r="HM153" s="4"/>
      <c r="HN153" s="4"/>
      <c r="HO153" s="4"/>
      <c r="HP153" s="4"/>
      <c r="HQ153" s="4"/>
      <c r="HR153" s="6"/>
      <c r="HS153" s="6"/>
      <c r="HT153" s="6"/>
      <c r="HU153" s="9"/>
      <c r="HV153"/>
      <c r="HW153"/>
      <c r="HX153"/>
      <c r="HY153"/>
      <c r="HZ153"/>
      <c r="IA153"/>
      <c r="IB153" s="4"/>
      <c r="IC153" s="4"/>
      <c r="ID153" s="4"/>
      <c r="IE153" s="6"/>
      <c r="IF153" s="4"/>
      <c r="IG153" s="4"/>
      <c r="IH153" s="4"/>
      <c r="II153" s="4"/>
      <c r="IJ153" s="4"/>
      <c r="IK153" s="4"/>
      <c r="IL153" s="4"/>
      <c r="IM153" s="6"/>
      <c r="IN153" s="6"/>
      <c r="IO153" s="6"/>
      <c r="IP153" s="9"/>
      <c r="IQ153"/>
      <c r="IR153"/>
      <c r="IS153"/>
      <c r="IT153"/>
      <c r="IU153"/>
      <c r="IV153"/>
      <c r="IW153" s="4"/>
      <c r="IX153" s="4"/>
      <c r="IY153" s="4"/>
      <c r="IZ153" s="6"/>
      <c r="JA153" s="4"/>
      <c r="JB153" s="4"/>
      <c r="JC153" s="4"/>
      <c r="JD153" s="4"/>
      <c r="JE153" s="4"/>
      <c r="JF153" s="4"/>
      <c r="JG153" s="4"/>
      <c r="JH153" s="6"/>
      <c r="JI153" s="6"/>
      <c r="JJ153" s="6"/>
      <c r="JK153" s="9"/>
      <c r="JL153"/>
    </row>
    <row r="154">
      <c r="A154" s="8">
        <v>25430</v>
      </c>
      <c r="B154" s="8">
        <v>25433</v>
      </c>
      <c r="C154" s="9">
        <f>B154-A154</f>
        <v>3</v>
      </c>
      <c r="D154" s="8">
        <v>25430</v>
      </c>
      <c r="E154" t="inlineStr">
        <is>
          <t xml:space="preserve">positive</t>
        </is>
      </c>
      <c r="F154" s="4">
        <v>1.5750083318896864</v>
      </c>
      <c r="G154" s="6">
        <v>-0.014993668719898426</v>
      </c>
      <c r="H154" s="7">
        <f>SUM(CE154,CZ154,DU154,EP154,FK154,GF154,HA154,HV154,IQ154,JL154)</f>
        <v>-0.014993668719898426</v>
      </c>
      <c r="I154" s="7">
        <f>G154-H154</f>
        <v>0</v>
      </c>
      <c r="J154" s="5">
        <f>F154*(1+H154)</f>
        <v>1.5513931787302526</v>
      </c>
      <c r="K154" s="4">
        <v>1.5513931787302526</v>
      </c>
      <c r="L154" s="5">
        <f>K154-J154</f>
        <v>0</v>
      </c>
      <c r="M154" s="4">
        <v>1.696</v>
      </c>
      <c r="N154" s="4">
        <v>1.68</v>
      </c>
      <c r="O154" s="5">
        <f>M154/$M$3</f>
        <v>0.8661899897854954</v>
      </c>
      <c r="P154" s="5">
        <f>N154/$M$3</f>
        <v>0.8580183861082737</v>
      </c>
      <c r="Q154" s="7">
        <f>IFERROR(N154/M154-1,0)</f>
        <v>-0.009433962264150941</v>
      </c>
      <c r="R154" s="5">
        <f>SUM(IF(BM154="lease",BU154,0),IF(CH154="lease",CP154,0),IF(DC154="lease",DK154,0),IF(DX154="lease",EF154,0),IF(ES154="lease",FA154,0),IF(FN154="lease",FV154,0),IF(GI154="lease",GQ154,0),IF(HD154="lease",HL154,0),IF(HY154="lease",IG154,0),IF(IT154="lease",JB154,0))</f>
        <v>1.5750083318896868</v>
      </c>
      <c r="S154" s="5">
        <f>SUM(IF(BM154="lease",BV154,0),IF(CH154="lease",CQ154,0),IF(DC154="lease",DL154,0),IF(DX154="lease",EG154,0),IF(ES154="lease",FB154,0),IF(FN154="lease",FW154,0),IF(GI154="lease",GR154,0),IF(HD154="lease",HM154,0),IF(HY154="lease",IH154,0),IF(IT154="lease",JC154,0))</f>
        <v>1.5513931787302528</v>
      </c>
      <c r="T154" s="5">
        <f>SUM(IF(BM154="keep",BU154,0),IF(CH154="keep",CP154,0),IF(DC154="keep",DK154,0),IF(DX154="keep",EF154,0),IF(ES154="keep",FA154,0),IF(FN154="keep",FV154,0),IF(GI154="keep",GQ154,0),IF(HD154="keep",HL154,0),IF(HY154="keep",IG154,0),IF(IT154="keep",JB154,0))</f>
        <v>0</v>
      </c>
      <c r="U154" s="5">
        <f>SUM(IF(BM154="keep",BV154,0),IF(CH154="keep",CQ154,0),IF(DC154="keep",DL154,0),IF(DX154="keep",EG154,0),IF(ES154="keep",FB154,0),IF(FN154="keep",FW154,0),IF(GI154="keep",GR154,0),IF(HD154="keep",HM154,0),IF(HY154="keep",IH154,0),IF(IT154="keep",JC154,0))</f>
        <v>0</v>
      </c>
      <c r="V154" s="5">
        <f>R154/O154</f>
        <v>1.8183174020283057</v>
      </c>
      <c r="W154" s="5">
        <f>S154/P154</f>
        <v>1.8081118118772828</v>
      </c>
      <c r="X154" s="5">
        <f>T154/O154</f>
        <v>0</v>
      </c>
      <c r="Y154" s="5">
        <f>U154/P154</f>
        <v>0</v>
      </c>
      <c r="Z154" s="5">
        <f>V154+X154</f>
        <v>1.8183174020283057</v>
      </c>
      <c r="AA154" s="7">
        <f>IFERROR(W154/V154-1,0)</f>
        <v>-0.0056126560410403314</v>
      </c>
      <c r="AB154" s="7">
        <f>IFERROR((W154-V154)/Z154,0)</f>
        <v>-0.005612656041040346</v>
      </c>
      <c r="AC154" s="7">
        <f>IFERROR(Y154/X154-1,0)</f>
        <v>0</v>
      </c>
      <c r="AD154" s="7">
        <f>IFERROR((Y154-X154)/Z154,0)</f>
        <v>0</v>
      </c>
      <c r="AE154" s="7">
        <f>AB154+AD154</f>
        <v>-0.005612656041040346</v>
      </c>
      <c r="AF154" s="7">
        <f>(1+Q154)*(1+AE154)-1</f>
        <v>-0.01499366871989849</v>
      </c>
      <c r="AG154" s="7">
        <f>G154-AF154</f>
        <v>6.418476861114186e-17</v>
      </c>
      <c r="AH154" s="5">
        <f>SUM(IF(BM154="lease",BW154,0),IF(CH154="lease",CR154,0),IF(DC154="lease",DM154,0),IF(DX154="lease",EH154,0),IF(ES154="lease",FC154,0),IF(FN154="lease",FX154,0),IF(GI154="lease",GS154,0),IF(HD154="lease",HN154,0),IF(HY154="lease",II154,0),IF(IT154="lease",JD154,0))</f>
        <v>-0.02361515315943379</v>
      </c>
      <c r="AI154" s="5">
        <f>SUM(IF(BM154="keep",BW154,0),IF(CH154="keep",CR154,0),IF(DC154="keep",DM154,0),IF(DX154="keep",EH154,0),IF(ES154="keep",FC154,0),IF(FN154="keep",FX154,0),IF(GI154="keep",GS154,0),IF(HD154="keep",HN154,0),IF(HY154="keep",II154,0),IF(IT154="keep",JD154,0))</f>
        <v>0</v>
      </c>
      <c r="AJ154" s="5">
        <f>SUM(IF(BM154="lease",BX154,0),IF(CH154="lease",CS154,0),IF(DC154="lease",DN154,0),IF(DX154="lease",EI154,0),IF(ES154="lease",FD154,0),IF(FN154="lease",FY154,0),IF(GI154="lease",GT154,0),IF(HD154="lease",HO154,0),IF(HY154="lease",IJ154,0),IF(IT154="lease",JE154,0))</f>
        <v>0</v>
      </c>
      <c r="AK154" s="5">
        <f>SUM(IF(BM154="keep",BX154,0),IF(CH154="keep",CS154,0),IF(DC154="keep",DN154,0),IF(DX154="keep",EI154,0),IF(ES154="keep",FD154,0),IF(FN154="keep",FY154,0),IF(GI154="keep",GT154,0),IF(HD154="keep",HO154,0),IF(HY154="keep",IJ154,0),IF(IT154="keep",JE154,0))</f>
        <v>0</v>
      </c>
      <c r="AL154" s="5">
        <f>R154-S153</f>
        <v>0</v>
      </c>
      <c r="AM154" s="5">
        <f>T154-U153</f>
        <v>0</v>
      </c>
      <c r="AN154" s="5">
        <f>AN153</f>
        <v>1</v>
      </c>
      <c r="AO154" s="5">
        <f>AO153+AH154</f>
        <v>0.5513931787302533</v>
      </c>
      <c r="AP154" s="5">
        <f>AP153+AL154</f>
        <v>-6.661338147750939e-16</v>
      </c>
      <c r="AQ154" s="5">
        <f>AN154+AO154+AP154</f>
        <v>1.5513931787302526</v>
      </c>
      <c r="AR154" s="5">
        <f>S154-AQ154</f>
        <v>2.220446049250313e-16</v>
      </c>
      <c r="AS154" s="5">
        <f>AS153</f>
        <v>0</v>
      </c>
      <c r="AT154" s="5">
        <f>AT153+AI154</f>
        <v>0</v>
      </c>
      <c r="AU154" s="5">
        <f>AU153+AM154</f>
        <v>0</v>
      </c>
      <c r="AV154" s="5">
        <f>AS154+AT154+AU154</f>
        <v>0</v>
      </c>
      <c r="AW154" s="5">
        <f>U154-AV154</f>
        <v>0</v>
      </c>
      <c r="AX154" s="4">
        <v>1.5750083318896868</v>
      </c>
      <c r="AY154" s="4">
        <v>1.551393178730253</v>
      </c>
      <c r="AZ154" s="5">
        <f>S154-AY154</f>
        <v>-2.220446049250313e-16</v>
      </c>
      <c r="BA154" s="4">
        <v>0</v>
      </c>
      <c r="BB154" s="4">
        <v>0</v>
      </c>
      <c r="BC154" s="5">
        <f>U154-BB154</f>
        <v>0</v>
      </c>
      <c r="BD154" s="7">
        <f>SUM(IF(BL154="direct",CE154,0),IF(CG154="direct",CZ154,0),IF(DB154="direct",DU154,0),IF(DW154="direct",EP154,0),IF(ER154="direct",FK154,0),IF(FM154="direct",GF154,0),IF(GH154="direct",HA154,0),IF(HC154="direct",HV154,0),IF(HX154="direct",IQ154,0),IF(IS154="direct",JL154,0))</f>
        <v>-0.006751812887237411</v>
      </c>
      <c r="BE154" s="7">
        <f>SUM(IF(BL154="treasury",CE154,0),IF(CG154="treasury",CZ154,0),IF(DB154="treasury",DU154,0),IF(DW154="treasury",EP154,0),IF(ER154="treasury",FK154,0),IF(FM154="treasury",GF154,0),IF(GH154="treasury",HA154,0),IF(HC154="treasury",HV154,0),IF(HX154="treasury",IQ154,0),IF(IS154="treasury",JL154,0))</f>
        <v>0.0001609449439377749</v>
      </c>
      <c r="BF154" s="7">
        <f>SUM(IF(BL154="future",CE154,0),IF(CG154="future",CZ154,0),IF(DB154="future",DU154,0),IF(DW154="future",EP154,0),IF(ER154="future",FK154,0),IF(FM154="future",GF154,0),IF(GH154="future",HA154,0),IF(HC154="future",HV154,0),IF(HX154="future",IQ154,0),IF(IS154="future",JL154,0))</f>
        <v>-0.008402800776598789</v>
      </c>
      <c r="BG154" s="7">
        <f>SUM(IF(BL154="cash",CE154,0),IF(CG154="cash",CZ154,0),IF(DB154="cash",DU154,0),IF(DW154="cash",EP154,0),IF(ER154="cash",FK154,0),IF(FM154="cash",GF154,0),IF(GH154="cash",HA154,0),IF(HC154="cash",HV154,0),IF(HX154="cash",IQ154,0),IF(IS154="cash",JL154,0))</f>
        <v>0</v>
      </c>
      <c r="BH154" s="7">
        <f>SUM(BD154:BG154)</f>
        <v>-0.014993668719898426</v>
      </c>
      <c r="BI154" s="7">
        <f>G154-BH154</f>
        <v>0</v>
      </c>
      <c r="BJ154" s="9">
        <f>COUNTA(BK154,CF154,DA154,DV154,EQ154,FL154,GG154,HB154,HW154,IR154)</f>
        <v>5</v>
      </c>
      <c r="BK154" t="inlineStr">
        <is>
          <t xml:space="preserve">Direct commodity holding</t>
        </is>
      </c>
      <c r="BL154" t="inlineStr">
        <is>
          <t xml:space="preserve">direct</t>
        </is>
      </c>
      <c r="BM154" t="inlineStr">
        <is>
          <t xml:space="preserve">lease</t>
        </is>
      </c>
      <c r="BN154" t="inlineStr">
        <is>
          <t xml:space="preserve">long</t>
        </is>
      </c>
      <c r="BO154"/>
      <c r="BP154" s="4">
        <v>1.696</v>
      </c>
      <c r="BQ154" s="4">
        <v>1.68</v>
      </c>
      <c r="BR154" s="4">
        <v>0.6631906133826778</v>
      </c>
      <c r="BS154" s="6">
        <v>0.7141367175801078</v>
      </c>
      <c r="BT154" s="4">
        <v>1.1247712802970216</v>
      </c>
      <c r="BU154" s="4">
        <v>1.1247712802970216</v>
      </c>
      <c r="BV154" s="4">
        <v>1.1141602304828986</v>
      </c>
      <c r="BW154" s="4">
        <v>-0.010634161552759083</v>
      </c>
      <c r="BX154" s="4">
        <v>0.000023111738636108145</v>
      </c>
      <c r="BY154" s="4">
        <v>1.696</v>
      </c>
      <c r="BZ154" s="4">
        <v>1.68</v>
      </c>
      <c r="CA154" s="6"/>
      <c r="CB154" s="6"/>
      <c r="CC154" s="6"/>
      <c r="CD154" s="9"/>
      <c r="CE154" s="7">
        <f>IFERROR(BW154/F154,0)</f>
        <v>-0.006751812887237411</v>
      </c>
      <c r="CF154" t="inlineStr">
        <is>
          <t xml:space="preserve">Treasury collateral</t>
        </is>
      </c>
      <c r="CG154" t="inlineStr">
        <is>
          <t xml:space="preserve">treasury</t>
        </is>
      </c>
      <c r="CH154" t="inlineStr">
        <is>
          <t xml:space="preserve">lease</t>
        </is>
      </c>
      <c r="CI154" t="inlineStr">
        <is>
          <t xml:space="preserve">long</t>
        </is>
      </c>
      <c r="CJ154"/>
      <c r="CK154" s="4">
        <v>103.96705312378964</v>
      </c>
      <c r="CL154" s="4">
        <v>104.02558799890454</v>
      </c>
      <c r="CM154" s="4">
        <v>0.004330574331625852</v>
      </c>
      <c r="CN154" s="6">
        <v>0.28586328241989223</v>
      </c>
      <c r="CO154" s="4">
        <v>0.45023705159266475</v>
      </c>
      <c r="CP154" s="4">
        <v>0.45023705159266475</v>
      </c>
      <c r="CQ154" s="4">
        <v>0.45049054122034227</v>
      </c>
      <c r="CR154" s="4">
        <v>0.00025348962767751394</v>
      </c>
      <c r="CS154" s="4">
        <v>2.7647155398380363e-18</v>
      </c>
      <c r="CT154" s="4">
        <v>1.696</v>
      </c>
      <c r="CU154" s="4">
        <v>1.68</v>
      </c>
      <c r="CV154" s="6"/>
      <c r="CW154" s="6"/>
      <c r="CX154" s="6"/>
      <c r="CY154" s="9">
        <v>42</v>
      </c>
      <c r="CZ154" s="7">
        <f>IFERROR(CR154/F154,0)</f>
        <v>0.0001609449439377749</v>
      </c>
      <c r="DA154" t="inlineStr">
        <is>
          <t xml:space="preserve">SI69U</t>
        </is>
      </c>
      <c r="DB154" t="inlineStr">
        <is>
          <t xml:space="preserve">future</t>
        </is>
      </c>
      <c r="DC154" t="inlineStr">
        <is>
          <t xml:space="preserve">lease</t>
        </is>
      </c>
      <c r="DD154" t="inlineStr">
        <is>
          <t xml:space="preserve">long</t>
        </is>
      </c>
      <c r="DE154" t="inlineStr">
        <is>
          <t xml:space="preserve">regular</t>
        </is>
      </c>
      <c r="DF154" s="4">
        <v>1.7009999999999998</v>
      </c>
      <c r="DG154" s="4">
        <v>1.651</v>
      </c>
      <c r="DH154" s="4">
        <v>0.2646896246870457</v>
      </c>
      <c r="DI154" s="6">
        <v>0.28586328241989223</v>
      </c>
      <c r="DJ154" s="4">
        <v>0.45023705159266475</v>
      </c>
      <c r="DK154" s="4">
        <v>0</v>
      </c>
      <c r="DL154" s="4">
        <v>0</v>
      </c>
      <c r="DM154" s="4">
        <v>-0.01323448123435222</v>
      </c>
      <c r="DN154" s="4">
        <v>0.01323448123435222</v>
      </c>
      <c r="DO154" s="4">
        <v>1.696</v>
      </c>
      <c r="DP154" s="4">
        <v>1.68</v>
      </c>
      <c r="DQ154" s="6">
        <v>0.002948113207547065</v>
      </c>
      <c r="DR154" s="6">
        <v>0.06849999999999999</v>
      </c>
      <c r="DS154" s="6">
        <v>0.04287949236298383</v>
      </c>
      <c r="DT154" s="9">
        <v>42</v>
      </c>
      <c r="DU154" s="7">
        <f>IFERROR(DM154/F154,0)</f>
        <v>-0.008402800776598789</v>
      </c>
      <c r="DV154" t="inlineStr">
        <is>
          <t xml:space="preserve">Lease cash / margin / financing</t>
        </is>
      </c>
      <c r="DW154" t="inlineStr">
        <is>
          <t xml:space="preserve">cash</t>
        </is>
      </c>
      <c r="DX154" t="inlineStr">
        <is>
          <t xml:space="preserve">lease</t>
        </is>
      </c>
      <c r="DY154" t="inlineStr">
        <is>
          <t xml:space="preserve">cash</t>
        </is>
      </c>
      <c r="DZ154"/>
      <c r="EA154" s="4">
        <v>1</v>
      </c>
      <c r="EB154" s="4">
        <v>1</v>
      </c>
      <c r="EC154" s="4">
        <v>4.440892098500626e-16</v>
      </c>
      <c r="ED154" s="6"/>
      <c r="EE154" s="4">
        <v>4.440892098500626e-16</v>
      </c>
      <c r="EF154" s="4">
        <v>4.440892098500626e-16</v>
      </c>
      <c r="EG154" s="4">
        <v>-0.013257592972987887</v>
      </c>
      <c r="EH154" s="4">
        <v>0</v>
      </c>
      <c r="EI154" s="4">
        <v>-0.01325759297298833</v>
      </c>
      <c r="EJ154" s="4">
        <v>1.696</v>
      </c>
      <c r="EK154" s="4">
        <v>1.68</v>
      </c>
      <c r="EL154" s="6"/>
      <c r="EM154" s="6"/>
      <c r="EN154" s="6"/>
      <c r="EO154" s="9"/>
      <c r="EP154" s="7">
        <f>IFERROR(EH154/F154,0)</f>
        <v>0</v>
      </c>
      <c r="EQ154" t="inlineStr">
        <is>
          <t xml:space="preserve">Keep cash / margin / financing</t>
        </is>
      </c>
      <c r="ER154" t="inlineStr">
        <is>
          <t xml:space="preserve">cash</t>
        </is>
      </c>
      <c r="ES154" t="inlineStr">
        <is>
          <t xml:space="preserve">keep</t>
        </is>
      </c>
      <c r="ET154" t="inlineStr">
        <is>
          <t xml:space="preserve">cash</t>
        </is>
      </c>
      <c r="EU154"/>
      <c r="EV154" s="4">
        <v>1</v>
      </c>
      <c r="EW154" s="4">
        <v>1</v>
      </c>
      <c r="EX154" s="4">
        <v>0</v>
      </c>
      <c r="EY154" s="6"/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1.696</v>
      </c>
      <c r="FF154" s="4">
        <v>1.68</v>
      </c>
      <c r="FG154" s="6"/>
      <c r="FH154" s="6"/>
      <c r="FI154" s="6"/>
      <c r="FJ154" s="9"/>
      <c r="FK154" s="7">
        <f>IFERROR(FC154/F154,0)</f>
        <v>0</v>
      </c>
      <c r="FL154"/>
      <c r="FM154"/>
      <c r="FN154"/>
      <c r="FO154"/>
      <c r="FP154"/>
      <c r="FQ154" s="4"/>
      <c r="FR154" s="4"/>
      <c r="FS154" s="4"/>
      <c r="FT154" s="6"/>
      <c r="FU154" s="4"/>
      <c r="FV154" s="4"/>
      <c r="FW154" s="4"/>
      <c r="FX154" s="4"/>
      <c r="FY154" s="4"/>
      <c r="FZ154" s="4"/>
      <c r="GA154" s="4"/>
      <c r="GB154" s="6"/>
      <c r="GC154" s="6"/>
      <c r="GD154" s="6"/>
      <c r="GE154" s="9"/>
      <c r="GF154"/>
      <c r="GG154"/>
      <c r="GH154"/>
      <c r="GI154"/>
      <c r="GJ154"/>
      <c r="GK154"/>
      <c r="GL154" s="4"/>
      <c r="GM154" s="4"/>
      <c r="GN154" s="4"/>
      <c r="GO154" s="6"/>
      <c r="GP154" s="4"/>
      <c r="GQ154" s="4"/>
      <c r="GR154" s="4"/>
      <c r="GS154" s="4"/>
      <c r="GT154" s="4"/>
      <c r="GU154" s="4"/>
      <c r="GV154" s="4"/>
      <c r="GW154" s="6"/>
      <c r="GX154" s="6"/>
      <c r="GY154" s="6"/>
      <c r="GZ154" s="9"/>
      <c r="HA154"/>
      <c r="HB154"/>
      <c r="HC154"/>
      <c r="HD154"/>
      <c r="HE154"/>
      <c r="HF154"/>
      <c r="HG154" s="4"/>
      <c r="HH154" s="4"/>
      <c r="HI154" s="4"/>
      <c r="HJ154" s="6"/>
      <c r="HK154" s="4"/>
      <c r="HL154" s="4"/>
      <c r="HM154" s="4"/>
      <c r="HN154" s="4"/>
      <c r="HO154" s="4"/>
      <c r="HP154" s="4"/>
      <c r="HQ154" s="4"/>
      <c r="HR154" s="6"/>
      <c r="HS154" s="6"/>
      <c r="HT154" s="6"/>
      <c r="HU154" s="9"/>
      <c r="HV154"/>
      <c r="HW154"/>
      <c r="HX154"/>
      <c r="HY154"/>
      <c r="HZ154"/>
      <c r="IA154"/>
      <c r="IB154" s="4"/>
      <c r="IC154" s="4"/>
      <c r="ID154" s="4"/>
      <c r="IE154" s="6"/>
      <c r="IF154" s="4"/>
      <c r="IG154" s="4"/>
      <c r="IH154" s="4"/>
      <c r="II154" s="4"/>
      <c r="IJ154" s="4"/>
      <c r="IK154" s="4"/>
      <c r="IL154" s="4"/>
      <c r="IM154" s="6"/>
      <c r="IN154" s="6"/>
      <c r="IO154" s="6"/>
      <c r="IP154" s="9"/>
      <c r="IQ154"/>
      <c r="IR154"/>
      <c r="IS154"/>
      <c r="IT154"/>
      <c r="IU154"/>
      <c r="IV154"/>
      <c r="IW154" s="4"/>
      <c r="IX154" s="4"/>
      <c r="IY154" s="4"/>
      <c r="IZ154" s="6"/>
      <c r="JA154" s="4"/>
      <c r="JB154" s="4"/>
      <c r="JC154" s="4"/>
      <c r="JD154" s="4"/>
      <c r="JE154" s="4"/>
      <c r="JF154" s="4"/>
      <c r="JG154" s="4"/>
      <c r="JH154" s="6"/>
      <c r="JI154" s="6"/>
      <c r="JJ154" s="6"/>
      <c r="JK154" s="9"/>
      <c r="JL154"/>
    </row>
    <row r="155">
      <c r="A155" s="8">
        <v>25433</v>
      </c>
      <c r="B155" s="8">
        <v>25434</v>
      </c>
      <c r="C155" s="9">
        <f>B155-A155</f>
        <v>1</v>
      </c>
      <c r="D155" s="8">
        <v>25433</v>
      </c>
      <c r="E155" t="inlineStr">
        <is>
          <t xml:space="preserve">positive</t>
        </is>
      </c>
      <c r="F155" s="4">
        <v>1.5513931787302526</v>
      </c>
      <c r="G155" s="6">
        <v>0.0026085275009749475</v>
      </c>
      <c r="H155" s="7">
        <f>SUM(CE155,CZ155,DU155,EP155,FK155,GF155,HA155,HV155,IQ155,JL155)</f>
        <v>0.0026085275009749475</v>
      </c>
      <c r="I155" s="7">
        <f>G155-H155</f>
        <v>0</v>
      </c>
      <c r="J155" s="5">
        <f>F155*(1+H155)</f>
        <v>1.5554400305017952</v>
      </c>
      <c r="K155" s="4">
        <v>1.5554400305017952</v>
      </c>
      <c r="L155" s="5">
        <f>K155-J155</f>
        <v>0</v>
      </c>
      <c r="M155" s="4">
        <v>1.68</v>
      </c>
      <c r="N155" s="4">
        <v>1.659</v>
      </c>
      <c r="O155" s="5">
        <f>M155/$M$3</f>
        <v>0.8580183861082737</v>
      </c>
      <c r="P155" s="5">
        <f>N155/$M$3</f>
        <v>0.8472931562819204</v>
      </c>
      <c r="Q155" s="7">
        <f>IFERROR(N155/M155-1,0)</f>
        <v>-0.012499999999999956</v>
      </c>
      <c r="R155" s="5">
        <f>SUM(IF(BM155="lease",BU155,0),IF(CH155="lease",CP155,0),IF(DC155="lease",DK155,0),IF(DX155="lease",EF155,0),IF(ES155="lease",FA155,0),IF(FN155="lease",FV155,0),IF(GI155="lease",GQ155,0),IF(HD155="lease",HL155,0),IF(HY155="lease",IG155,0),IF(IT155="lease",JB155,0))</f>
        <v>1.551393178730253</v>
      </c>
      <c r="S155" s="5">
        <f>SUM(IF(BM155="lease",BV155,0),IF(CH155="lease",CQ155,0),IF(DC155="lease",DL155,0),IF(DX155="lease",EG155,0),IF(ES155="lease",FB155,0),IF(FN155="lease",FW155,0),IF(GI155="lease",GR155,0),IF(HD155="lease",HM155,0),IF(HY155="lease",IH155,0),IF(IT155="lease",JC155,0))</f>
        <v>1.555440030501796</v>
      </c>
      <c r="T155" s="5">
        <f>SUM(IF(BM155="keep",BU155,0),IF(CH155="keep",CP155,0),IF(DC155="keep",DK155,0),IF(DX155="keep",EF155,0),IF(ES155="keep",FA155,0),IF(FN155="keep",FV155,0),IF(GI155="keep",GQ155,0),IF(HD155="keep",HL155,0),IF(HY155="keep",IG155,0),IF(IT155="keep",JB155,0))</f>
        <v>0</v>
      </c>
      <c r="U155" s="5">
        <f>SUM(IF(BM155="keep",BV155,0),IF(CH155="keep",CQ155,0),IF(DC155="keep",DL155,0),IF(DX155="keep",EG155,0),IF(ES155="keep",FB155,0),IF(FN155="keep",FW155,0),IF(GI155="keep",GR155,0),IF(HD155="keep",HM155,0),IF(HY155="keep",IH155,0),IF(IT155="keep",JC155,0))</f>
        <v>0</v>
      </c>
      <c r="V155" s="5">
        <f>R155/O155</f>
        <v>1.808111811877283</v>
      </c>
      <c r="W155" s="5">
        <f>S155/P155</f>
        <v>1.8357755152034456</v>
      </c>
      <c r="X155" s="5">
        <f>T155/O155</f>
        <v>0</v>
      </c>
      <c r="Y155" s="5">
        <f>U155/P155</f>
        <v>0</v>
      </c>
      <c r="Z155" s="5">
        <f>V155+X155</f>
        <v>1.808111811877283</v>
      </c>
      <c r="AA155" s="7">
        <f>IFERROR(W155/V155-1,0)</f>
        <v>0.015299774684531586</v>
      </c>
      <c r="AB155" s="7">
        <f>IFERROR((W155-V155)/Z155,0)</f>
        <v>0.01529977468453161</v>
      </c>
      <c r="AC155" s="7">
        <f>IFERROR(Y155/X155-1,0)</f>
        <v>0</v>
      </c>
      <c r="AD155" s="7">
        <f>IFERROR((Y155-X155)/Z155,0)</f>
        <v>0</v>
      </c>
      <c r="AE155" s="7">
        <f>AB155+AD155</f>
        <v>0.01529977468453161</v>
      </c>
      <c r="AF155" s="7">
        <f>(1+Q155)*(1+AE155)-1</f>
        <v>0.0026085275009750664</v>
      </c>
      <c r="AG155" s="7">
        <f>G155-AF155</f>
        <v>-1.1882855810441129e-16</v>
      </c>
      <c r="AH155" s="5">
        <f>SUM(IF(BM155="lease",BW155,0),IF(CH155="lease",CR155,0),IF(DC155="lease",DM155,0),IF(DX155="lease",EH155,0),IF(ES155="lease",FC155,0),IF(FN155="lease",FX155,0),IF(GI155="lease",GS155,0),IF(HD155="lease",HN155,0),IF(HY155="lease",II155,0),IF(IT155="lease",JD155,0))</f>
        <v>0.004046851771542806</v>
      </c>
      <c r="AI155" s="5">
        <f>SUM(IF(BM155="keep",BW155,0),IF(CH155="keep",CR155,0),IF(DC155="keep",DM155,0),IF(DX155="keep",EH155,0),IF(ES155="keep",FC155,0),IF(FN155="keep",FX155,0),IF(GI155="keep",GS155,0),IF(HD155="keep",HN155,0),IF(HY155="keep",II155,0),IF(IT155="keep",JD155,0))</f>
        <v>0</v>
      </c>
      <c r="AJ155" s="5">
        <f>SUM(IF(BM155="lease",BX155,0),IF(CH155="lease",CS155,0),IF(DC155="lease",DN155,0),IF(DX155="lease",EI155,0),IF(ES155="lease",FD155,0),IF(FN155="lease",FY155,0),IF(GI155="lease",GT155,0),IF(HD155="lease",HO155,0),IF(HY155="lease",IJ155,0),IF(IT155="lease",JE155,0))</f>
        <v>0</v>
      </c>
      <c r="AK155" s="5">
        <f>SUM(IF(BM155="keep",BX155,0),IF(CH155="keep",CS155,0),IF(DC155="keep",DN155,0),IF(DX155="keep",EI155,0),IF(ES155="keep",FD155,0),IF(FN155="keep",FY155,0),IF(GI155="keep",GT155,0),IF(HD155="keep",HO155,0),IF(HY155="keep",IJ155,0),IF(IT155="keep",JE155,0))</f>
        <v>0</v>
      </c>
      <c r="AL155" s="5">
        <f>R155-S154</f>
        <v>2.220446049250313e-16</v>
      </c>
      <c r="AM155" s="5">
        <f>T155-U154</f>
        <v>0</v>
      </c>
      <c r="AN155" s="5">
        <f>AN154</f>
        <v>1</v>
      </c>
      <c r="AO155" s="5">
        <f>AO154+AH155</f>
        <v>0.5554400305017961</v>
      </c>
      <c r="AP155" s="5">
        <f>AP154+AL155</f>
        <v>-4.440892098500626e-16</v>
      </c>
      <c r="AQ155" s="5">
        <f>AN155+AO155+AP155</f>
        <v>1.5554400305017957</v>
      </c>
      <c r="AR155" s="5">
        <f>S155-AQ155</f>
        <v>2.220446049250313e-16</v>
      </c>
      <c r="AS155" s="5">
        <f>AS154</f>
        <v>0</v>
      </c>
      <c r="AT155" s="5">
        <f>AT154+AI155</f>
        <v>0</v>
      </c>
      <c r="AU155" s="5">
        <f>AU154+AM155</f>
        <v>0</v>
      </c>
      <c r="AV155" s="5">
        <f>AS155+AT155+AU155</f>
        <v>0</v>
      </c>
      <c r="AW155" s="5">
        <f>U155-AV155</f>
        <v>0</v>
      </c>
      <c r="AX155" s="4">
        <v>1.551393178730253</v>
      </c>
      <c r="AY155" s="4">
        <v>1.555440030501796</v>
      </c>
      <c r="AZ155" s="5">
        <f>S155-AY155</f>
        <v>0</v>
      </c>
      <c r="BA155" s="4">
        <v>0</v>
      </c>
      <c r="BB155" s="4">
        <v>0</v>
      </c>
      <c r="BC155" s="5">
        <f>U155-BB155</f>
        <v>0</v>
      </c>
      <c r="BD155" s="7">
        <f>SUM(IF(BL155="direct",CE155,0),IF(CG155="direct",CZ155,0),IF(DB155="direct",DU155,0),IF(DW155="direct",EP155,0),IF(ER155="direct",FK155,0),IF(FM155="direct",GF155,0),IF(GH155="direct",HA155,0),IF(HC155="direct",HV155,0),IF(HX155="direct",IQ155,0),IF(IS155="direct",JL155,0))</f>
        <v>0</v>
      </c>
      <c r="BE155" s="7">
        <f>SUM(IF(BL155="treasury",CE155,0),IF(CG155="treasury",CZ155,0),IF(DB155="treasury",DU155,0),IF(DW155="treasury",EP155,0),IF(ER155="treasury",FK155,0),IF(FM155="treasury",GF155,0),IF(GH155="treasury",HA155,0),IF(HC155="treasury",HV155,0),IF(HX155="treasury",IQ155,0),IF(IS155="treasury",JL155,0))</f>
        <v>0.00018575342465753427</v>
      </c>
      <c r="BF155" s="7">
        <f>SUM(IF(BL155="future",CE155,0),IF(CG155="future",CZ155,0),IF(DB155="future",DU155,0),IF(DW155="future",EP155,0),IF(ER155="future",FK155,0),IF(FM155="future",GF155,0),IF(GH155="future",HA155,0),IF(HC155="future",HV155,0),IF(HX155="future",IQ155,0),IF(IS155="future",JL155,0))</f>
        <v>0.0024227740763174133</v>
      </c>
      <c r="BG155" s="7">
        <f>SUM(IF(BL155="cash",CE155,0),IF(CG155="cash",CZ155,0),IF(DB155="cash",DU155,0),IF(DW155="cash",EP155,0),IF(ER155="cash",FK155,0),IF(FM155="cash",GF155,0),IF(GH155="cash",HA155,0),IF(HC155="cash",HV155,0),IF(HX155="cash",IQ155,0),IF(IS155="cash",JL155,0))</f>
        <v>0</v>
      </c>
      <c r="BH155" s="7">
        <f>SUM(BD155:BG155)</f>
        <v>0.0026085275009749475</v>
      </c>
      <c r="BI155" s="7">
        <f>G155-BH155</f>
        <v>0</v>
      </c>
      <c r="BJ155" s="9">
        <f>COUNTA(BK155,CF155,DA155,DV155,EQ155,FL155,GG155,HB155,HW155,IR155)</f>
        <v>4</v>
      </c>
      <c r="BK155" t="inlineStr">
        <is>
          <t xml:space="preserve">Treasury collateral</t>
        </is>
      </c>
      <c r="BL155" t="inlineStr">
        <is>
          <t xml:space="preserve">treasury</t>
        </is>
      </c>
      <c r="BM155" t="inlineStr">
        <is>
          <t xml:space="preserve">lease</t>
        </is>
      </c>
      <c r="BN155" t="inlineStr">
        <is>
          <t xml:space="preserve">long</t>
        </is>
      </c>
      <c r="BO155"/>
      <c r="BP155" s="4">
        <v>104.02558799890454</v>
      </c>
      <c r="BQ155" s="4">
        <v>104.04491110812732</v>
      </c>
      <c r="BR155" s="4">
        <v>0.014913572790827098</v>
      </c>
      <c r="BS155" s="6">
        <v>1</v>
      </c>
      <c r="BT155" s="4">
        <v>1.5513931787302526</v>
      </c>
      <c r="BU155" s="4">
        <v>1.5513931787302526</v>
      </c>
      <c r="BV155" s="4">
        <v>1.5516813553261917</v>
      </c>
      <c r="BW155" s="4">
        <v>0.00028817659593948256</v>
      </c>
      <c r="BX155" s="4">
        <v>-4.333556083424561e-16</v>
      </c>
      <c r="BY155" s="4">
        <v>1.68</v>
      </c>
      <c r="BZ155" s="4">
        <v>1.659</v>
      </c>
      <c r="CA155" s="6"/>
      <c r="CB155" s="6"/>
      <c r="CC155" s="6"/>
      <c r="CD155" s="9">
        <v>39</v>
      </c>
      <c r="CE155" s="7">
        <f>IFERROR(BW155/F155,0)</f>
        <v>0.00018575342465753427</v>
      </c>
      <c r="CF155" t="inlineStr">
        <is>
          <t xml:space="preserve">SI69U</t>
        </is>
      </c>
      <c r="CG155" t="inlineStr">
        <is>
          <t xml:space="preserve">future</t>
        </is>
      </c>
      <c r="CH155" t="inlineStr">
        <is>
          <t xml:space="preserve">lease</t>
        </is>
      </c>
      <c r="CI155" t="inlineStr">
        <is>
          <t xml:space="preserve">long</t>
        </is>
      </c>
      <c r="CJ155" t="inlineStr">
        <is>
          <t xml:space="preserve">regular</t>
        </is>
      </c>
      <c r="CK155" s="4">
        <v>1.651</v>
      </c>
      <c r="CL155" s="4">
        <v>1.655</v>
      </c>
      <c r="CM155" s="4">
        <v>0.9396687939008193</v>
      </c>
      <c r="CN155" s="6">
        <v>1</v>
      </c>
      <c r="CO155" s="4">
        <v>1.5513931787302526</v>
      </c>
      <c r="CP155" s="4">
        <v>0</v>
      </c>
      <c r="CQ155" s="4">
        <v>0</v>
      </c>
      <c r="CR155" s="4">
        <v>0.0037586751756033235</v>
      </c>
      <c r="CS155" s="4">
        <v>-0.0037586751756033235</v>
      </c>
      <c r="CT155" s="4">
        <v>1.68</v>
      </c>
      <c r="CU155" s="4">
        <v>1.659</v>
      </c>
      <c r="CV155" s="6">
        <v>-0.0172619047619047</v>
      </c>
      <c r="CW155" s="6">
        <v>0.0678</v>
      </c>
      <c r="CX155" s="6">
        <v>0.22935372405372348</v>
      </c>
      <c r="CY155" s="9">
        <v>39</v>
      </c>
      <c r="CZ155" s="7">
        <f>IFERROR(CR155/F155,0)</f>
        <v>0.0024227740763174133</v>
      </c>
      <c r="DA155" t="inlineStr">
        <is>
          <t xml:space="preserve">Lease cash / margin / financing</t>
        </is>
      </c>
      <c r="DB155" t="inlineStr">
        <is>
          <t xml:space="preserve">cash</t>
        </is>
      </c>
      <c r="DC155" t="inlineStr">
        <is>
          <t xml:space="preserve">lease</t>
        </is>
      </c>
      <c r="DD155" t="inlineStr">
        <is>
          <t xml:space="preserve">cash</t>
        </is>
      </c>
      <c r="DE155"/>
      <c r="DF155" s="4">
        <v>1</v>
      </c>
      <c r="DG155" s="4">
        <v>1</v>
      </c>
      <c r="DH155" s="4">
        <v>4.440892098500626e-16</v>
      </c>
      <c r="DI155" s="6"/>
      <c r="DJ155" s="4">
        <v>4.440892098500626e-16</v>
      </c>
      <c r="DK155" s="4">
        <v>4.440892098500626e-16</v>
      </c>
      <c r="DL155" s="4">
        <v>0.003758675175604201</v>
      </c>
      <c r="DM155" s="4">
        <v>0</v>
      </c>
      <c r="DN155" s="4">
        <v>0.0037586751756037567</v>
      </c>
      <c r="DO155" s="4">
        <v>1.68</v>
      </c>
      <c r="DP155" s="4">
        <v>1.659</v>
      </c>
      <c r="DQ155" s="6"/>
      <c r="DR155" s="6"/>
      <c r="DS155" s="6"/>
      <c r="DT155" s="9"/>
      <c r="DU155" s="7">
        <f>IFERROR(DM155/F155,0)</f>
        <v>0</v>
      </c>
      <c r="DV155" t="inlineStr">
        <is>
          <t xml:space="preserve">Keep cash / margin / financing</t>
        </is>
      </c>
      <c r="DW155" t="inlineStr">
        <is>
          <t xml:space="preserve">cash</t>
        </is>
      </c>
      <c r="DX155" t="inlineStr">
        <is>
          <t xml:space="preserve">keep</t>
        </is>
      </c>
      <c r="DY155" t="inlineStr">
        <is>
          <t xml:space="preserve">cash</t>
        </is>
      </c>
      <c r="DZ155"/>
      <c r="EA155" s="4">
        <v>1</v>
      </c>
      <c r="EB155" s="4">
        <v>1</v>
      </c>
      <c r="EC155" s="4">
        <v>0</v>
      </c>
      <c r="ED155" s="6"/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 s="4">
        <v>1.68</v>
      </c>
      <c r="EK155" s="4">
        <v>1.659</v>
      </c>
      <c r="EL155" s="6"/>
      <c r="EM155" s="6"/>
      <c r="EN155" s="6"/>
      <c r="EO155" s="9"/>
      <c r="EP155" s="7">
        <f>IFERROR(EH155/F155,0)</f>
        <v>0</v>
      </c>
      <c r="EQ155"/>
      <c r="ER155"/>
      <c r="ES155"/>
      <c r="ET155"/>
      <c r="EU155"/>
      <c r="EV155" s="4"/>
      <c r="EW155" s="4"/>
      <c r="EX155" s="4"/>
      <c r="EY155" s="6"/>
      <c r="EZ155" s="4"/>
      <c r="FA155" s="4"/>
      <c r="FB155" s="4"/>
      <c r="FC155" s="4"/>
      <c r="FD155" s="4"/>
      <c r="FE155" s="4"/>
      <c r="FF155" s="4"/>
      <c r="FG155" s="6"/>
      <c r="FH155" s="6"/>
      <c r="FI155" s="6"/>
      <c r="FJ155" s="9"/>
      <c r="FK155"/>
      <c r="FL155"/>
      <c r="FM155"/>
      <c r="FN155"/>
      <c r="FO155"/>
      <c r="FP155"/>
      <c r="FQ155" s="4"/>
      <c r="FR155" s="4"/>
      <c r="FS155" s="4"/>
      <c r="FT155" s="6"/>
      <c r="FU155" s="4"/>
      <c r="FV155" s="4"/>
      <c r="FW155" s="4"/>
      <c r="FX155" s="4"/>
      <c r="FY155" s="4"/>
      <c r="FZ155" s="4"/>
      <c r="GA155" s="4"/>
      <c r="GB155" s="6"/>
      <c r="GC155" s="6"/>
      <c r="GD155" s="6"/>
      <c r="GE155" s="9"/>
      <c r="GF155"/>
      <c r="GG155"/>
      <c r="GH155"/>
      <c r="GI155"/>
      <c r="GJ155"/>
      <c r="GK155"/>
      <c r="GL155" s="4"/>
      <c r="GM155" s="4"/>
      <c r="GN155" s="4"/>
      <c r="GO155" s="6"/>
      <c r="GP155" s="4"/>
      <c r="GQ155" s="4"/>
      <c r="GR155" s="4"/>
      <c r="GS155" s="4"/>
      <c r="GT155" s="4"/>
      <c r="GU155" s="4"/>
      <c r="GV155" s="4"/>
      <c r="GW155" s="6"/>
      <c r="GX155" s="6"/>
      <c r="GY155" s="6"/>
      <c r="GZ155" s="9"/>
      <c r="HA155"/>
      <c r="HB155"/>
      <c r="HC155"/>
      <c r="HD155"/>
      <c r="HE155"/>
      <c r="HF155"/>
      <c r="HG155" s="4"/>
      <c r="HH155" s="4"/>
      <c r="HI155" s="4"/>
      <c r="HJ155" s="6"/>
      <c r="HK155" s="4"/>
      <c r="HL155" s="4"/>
      <c r="HM155" s="4"/>
      <c r="HN155" s="4"/>
      <c r="HO155" s="4"/>
      <c r="HP155" s="4"/>
      <c r="HQ155" s="4"/>
      <c r="HR155" s="6"/>
      <c r="HS155" s="6"/>
      <c r="HT155" s="6"/>
      <c r="HU155" s="9"/>
      <c r="HV155"/>
      <c r="HW155"/>
      <c r="HX155"/>
      <c r="HY155"/>
      <c r="HZ155"/>
      <c r="IA155"/>
      <c r="IB155" s="4"/>
      <c r="IC155" s="4"/>
      <c r="ID155" s="4"/>
      <c r="IE155" s="6"/>
      <c r="IF155" s="4"/>
      <c r="IG155" s="4"/>
      <c r="IH155" s="4"/>
      <c r="II155" s="4"/>
      <c r="IJ155" s="4"/>
      <c r="IK155" s="4"/>
      <c r="IL155" s="4"/>
      <c r="IM155" s="6"/>
      <c r="IN155" s="6"/>
      <c r="IO155" s="6"/>
      <c r="IP155" s="9"/>
      <c r="IQ155"/>
      <c r="IR155"/>
      <c r="IS155"/>
      <c r="IT155"/>
      <c r="IU155"/>
      <c r="IV155"/>
      <c r="IW155" s="4"/>
      <c r="IX155" s="4"/>
      <c r="IY155" s="4"/>
      <c r="IZ155" s="6"/>
      <c r="JA155" s="4"/>
      <c r="JB155" s="4"/>
      <c r="JC155" s="4"/>
      <c r="JD155" s="4"/>
      <c r="JE155" s="4"/>
      <c r="JF155" s="4"/>
      <c r="JG155" s="4"/>
      <c r="JH155" s="6"/>
      <c r="JI155" s="6"/>
      <c r="JJ155" s="6"/>
      <c r="JK155" s="9"/>
      <c r="JL155"/>
    </row>
    <row r="156">
      <c r="A156" s="8">
        <v>25434</v>
      </c>
      <c r="B156" s="8">
        <v>25435</v>
      </c>
      <c r="C156" s="9">
        <f>B156-A156</f>
        <v>1</v>
      </c>
      <c r="D156" s="8">
        <v>25434</v>
      </c>
      <c r="E156" t="inlineStr">
        <is>
          <t xml:space="preserve">positive</t>
        </is>
      </c>
      <c r="F156" s="4">
        <v>1.5554400305017952</v>
      </c>
      <c r="G156" s="6">
        <v>0.001657856619843543</v>
      </c>
      <c r="H156" s="7">
        <f>SUM(CE156,CZ156,DU156,EP156,FK156,GF156,HA156,HV156,IQ156,JL156)</f>
        <v>0.0016578566198435425</v>
      </c>
      <c r="I156" s="7">
        <f>G156-H156</f>
        <v>4.336808689942018e-19</v>
      </c>
      <c r="J156" s="5">
        <f>F156*(1+H156)</f>
        <v>1.5580187270531323</v>
      </c>
      <c r="K156" s="4">
        <v>1.5580187270531323</v>
      </c>
      <c r="L156" s="5">
        <f>K156-J156</f>
        <v>0</v>
      </c>
      <c r="M156" s="4">
        <v>1.659</v>
      </c>
      <c r="N156" s="4">
        <v>1.686</v>
      </c>
      <c r="O156" s="5">
        <f>M156/$M$3</f>
        <v>0.8472931562819204</v>
      </c>
      <c r="P156" s="5">
        <f>N156/$M$3</f>
        <v>0.8610827374872319</v>
      </c>
      <c r="Q156" s="7">
        <f>IFERROR(N156/M156-1,0)</f>
        <v>0.016274864376130127</v>
      </c>
      <c r="R156" s="5">
        <f>SUM(IF(BM156="lease",BU156,0),IF(CH156="lease",CP156,0),IF(DC156="lease",DK156,0),IF(DX156="lease",EF156,0),IF(ES156="lease",FA156,0),IF(FN156="lease",FV156,0),IF(GI156="lease",GQ156,0),IF(HD156="lease",HL156,0),IF(HY156="lease",IG156,0),IF(IT156="lease",JB156,0))</f>
        <v>1.555440030501796</v>
      </c>
      <c r="S156" s="5">
        <f>SUM(IF(BM156="lease",BV156,0),IF(CH156="lease",CQ156,0),IF(DC156="lease",DL156,0),IF(DX156="lease",EG156,0),IF(ES156="lease",FB156,0),IF(FN156="lease",FW156,0),IF(GI156="lease",GR156,0),IF(HD156="lease",HM156,0),IF(HY156="lease",IH156,0),IF(IT156="lease",JC156,0))</f>
        <v>1.558018727053133</v>
      </c>
      <c r="T156" s="5">
        <f>SUM(IF(BM156="keep",BU156,0),IF(CH156="keep",CP156,0),IF(DC156="keep",DK156,0),IF(DX156="keep",EF156,0),IF(ES156="keep",FA156,0),IF(FN156="keep",FV156,0),IF(GI156="keep",GQ156,0),IF(HD156="keep",HL156,0),IF(HY156="keep",IG156,0),IF(IT156="keep",JB156,0))</f>
        <v>0</v>
      </c>
      <c r="U156" s="5">
        <f>SUM(IF(BM156="keep",BV156,0),IF(CH156="keep",CQ156,0),IF(DC156="keep",DL156,0),IF(DX156="keep",EG156,0),IF(ES156="keep",FB156,0),IF(FN156="keep",FW156,0),IF(GI156="keep",GR156,0),IF(HD156="keep",HM156,0),IF(HY156="keep",IH156,0),IF(IT156="keep",JC156,0))</f>
        <v>0</v>
      </c>
      <c r="V156" s="5">
        <f>R156/O156</f>
        <v>1.8357755152034456</v>
      </c>
      <c r="W156" s="5">
        <f>S156/P156</f>
        <v>1.8093716889501983</v>
      </c>
      <c r="X156" s="5">
        <f>T156/O156</f>
        <v>0</v>
      </c>
      <c r="Y156" s="5">
        <f>U156/P156</f>
        <v>0</v>
      </c>
      <c r="Z156" s="5">
        <f>V156+X156</f>
        <v>1.8357755152034456</v>
      </c>
      <c r="AA156" s="7">
        <f>IFERROR(W156/V156-1,0)</f>
        <v>-0.014382927560901204</v>
      </c>
      <c r="AB156" s="7">
        <f>IFERROR((W156-V156)/Z156,0)</f>
        <v>-0.014382927560901251</v>
      </c>
      <c r="AC156" s="7">
        <f>IFERROR(Y156/X156-1,0)</f>
        <v>0</v>
      </c>
      <c r="AD156" s="7">
        <f>IFERROR((Y156-X156)/Z156,0)</f>
        <v>0</v>
      </c>
      <c r="AE156" s="7">
        <f>AB156+AD156</f>
        <v>-0.014382927560901251</v>
      </c>
      <c r="AF156" s="7">
        <f>(1+Q156)*(1+AE156)-1</f>
        <v>0.001657856619843523</v>
      </c>
      <c r="AG156" s="7">
        <f>G156-AF156</f>
        <v>1.9949319973733282e-17</v>
      </c>
      <c r="AH156" s="5">
        <f>SUM(IF(BM156="lease",BW156,0),IF(CH156="lease",CR156,0),IF(DC156="lease",DM156,0),IF(DX156="lease",EH156,0),IF(ES156="lease",FC156,0),IF(FN156="lease",FX156,0),IF(GI156="lease",GS156,0),IF(HD156="lease",HN156,0),IF(HY156="lease",II156,0),IF(IT156="lease",JD156,0))</f>
        <v>0.002578696551337043</v>
      </c>
      <c r="AI156" s="5">
        <f>SUM(IF(BM156="keep",BW156,0),IF(CH156="keep",CR156,0),IF(DC156="keep",DM156,0),IF(DX156="keep",EH156,0),IF(ES156="keep",FC156,0),IF(FN156="keep",FX156,0),IF(GI156="keep",GS156,0),IF(HD156="keep",HN156,0),IF(HY156="keep",II156,0),IF(IT156="keep",JD156,0))</f>
        <v>0</v>
      </c>
      <c r="AJ156" s="5">
        <f>SUM(IF(BM156="lease",BX156,0),IF(CH156="lease",CS156,0),IF(DC156="lease",DN156,0),IF(DX156="lease",EI156,0),IF(ES156="lease",FD156,0),IF(FN156="lease",FY156,0),IF(GI156="lease",GT156,0),IF(HD156="lease",HO156,0),IF(HY156="lease",IJ156,0),IF(IT156="lease",JE156,0))</f>
        <v>0</v>
      </c>
      <c r="AK156" s="5">
        <f>SUM(IF(BM156="keep",BX156,0),IF(CH156="keep",CS156,0),IF(DC156="keep",DN156,0),IF(DX156="keep",EI156,0),IF(ES156="keep",FD156,0),IF(FN156="keep",FY156,0),IF(GI156="keep",GT156,0),IF(HD156="keep",HO156,0),IF(HY156="keep",IJ156,0),IF(IT156="keep",JE156,0))</f>
        <v>0</v>
      </c>
      <c r="AL156" s="5">
        <f>R156-S155</f>
        <v>0</v>
      </c>
      <c r="AM156" s="5">
        <f>T156-U155</f>
        <v>0</v>
      </c>
      <c r="AN156" s="5">
        <f>AN155</f>
        <v>1</v>
      </c>
      <c r="AO156" s="5">
        <f>AO155+AH156</f>
        <v>0.5580187270531332</v>
      </c>
      <c r="AP156" s="5">
        <f>AP155+AL156</f>
        <v>-4.440892098500626e-16</v>
      </c>
      <c r="AQ156" s="5">
        <f>AN156+AO156+AP156</f>
        <v>1.5580187270531327</v>
      </c>
      <c r="AR156" s="5">
        <f>S156-AQ156</f>
        <v>2.220446049250313e-16</v>
      </c>
      <c r="AS156" s="5">
        <f>AS155</f>
        <v>0</v>
      </c>
      <c r="AT156" s="5">
        <f>AT155+AI156</f>
        <v>0</v>
      </c>
      <c r="AU156" s="5">
        <f>AU155+AM156</f>
        <v>0</v>
      </c>
      <c r="AV156" s="5">
        <f>AS156+AT156+AU156</f>
        <v>0</v>
      </c>
      <c r="AW156" s="5">
        <f>U156-AV156</f>
        <v>0</v>
      </c>
      <c r="AX156" s="4">
        <v>1.555440030501796</v>
      </c>
      <c r="AY156" s="4">
        <v>1.558018727053133</v>
      </c>
      <c r="AZ156" s="5">
        <f>S156-AY156</f>
        <v>0</v>
      </c>
      <c r="BA156" s="4">
        <v>0</v>
      </c>
      <c r="BB156" s="4">
        <v>0</v>
      </c>
      <c r="BC156" s="5">
        <f>U156-BB156</f>
        <v>0</v>
      </c>
      <c r="BD156" s="7">
        <f>SUM(IF(BL156="direct",CE156,0),IF(CG156="direct",CZ156,0),IF(DB156="direct",DU156,0),IF(DW156="direct",EP156,0),IF(ER156="direct",FK156,0),IF(FM156="direct",GF156,0),IF(GH156="direct",HA156,0),IF(HC156="direct",HV156,0),IF(HX156="direct",IQ156,0),IF(IS156="direct",JL156,0))</f>
        <v>0.00633810936391324</v>
      </c>
      <c r="BE156" s="7">
        <f>SUM(IF(BL156="treasury",CE156,0),IF(CG156="treasury",CZ156,0),IF(DB156="treasury",DU156,0),IF(DW156="treasury",EP156,0),IF(ER156="treasury",FK156,0),IF(FM156="treasury",GF156,0),IF(GH156="treasury",HA156,0),IF(HC156="treasury",HV156,0),IF(HX156="treasury",IQ156,0),IF(IS156="treasury",JL156,0))</f>
        <v>0.00011438624290916319</v>
      </c>
      <c r="BF156" s="7">
        <f>SUM(IF(BL156="future",CE156,0),IF(CG156="future",CZ156,0),IF(DB156="future",DU156,0),IF(DW156="future",EP156,0),IF(ER156="future",FK156,0),IF(FM156="future",GF156,0),IF(GH156="future",HA156,0),IF(HC156="future",HV156,0),IF(HX156="future",IQ156,0),IF(IS156="future",JL156,0))</f>
        <v>-0.00479463898697886</v>
      </c>
      <c r="BG156" s="7">
        <f>SUM(IF(BL156="cash",CE156,0),IF(CG156="cash",CZ156,0),IF(DB156="cash",DU156,0),IF(DW156="cash",EP156,0),IF(ER156="cash",FK156,0),IF(FM156="cash",GF156,0),IF(GH156="cash",HA156,0),IF(HC156="cash",HV156,0),IF(HX156="cash",IQ156,0),IF(IS156="cash",JL156,0))</f>
        <v>0</v>
      </c>
      <c r="BH156" s="7">
        <f>SUM(BD156:BG156)</f>
        <v>0.001657856619843543</v>
      </c>
      <c r="BI156" s="7">
        <f>G156-BH156</f>
        <v>0</v>
      </c>
      <c r="BJ156" s="9">
        <f>COUNTA(BK156,CF156,DA156,DV156,EQ156,FL156,GG156,HB156,HW156,IR156)</f>
        <v>5</v>
      </c>
      <c r="BK156" t="inlineStr">
        <is>
          <t xml:space="preserve">Direct commodity holding</t>
        </is>
      </c>
      <c r="BL156" t="inlineStr">
        <is>
          <t xml:space="preserve">direct</t>
        </is>
      </c>
      <c r="BM156" t="inlineStr">
        <is>
          <t xml:space="preserve">lease</t>
        </is>
      </c>
      <c r="BN156" t="inlineStr">
        <is>
          <t xml:space="preserve">long</t>
        </is>
      </c>
      <c r="BO156"/>
      <c r="BP156" s="4">
        <v>1.659</v>
      </c>
      <c r="BQ156" s="4">
        <v>1.686</v>
      </c>
      <c r="BR156" s="4">
        <v>0.36528517639971486</v>
      </c>
      <c r="BS156" s="6">
        <v>0.38960557511923155</v>
      </c>
      <c r="BT156" s="4">
        <v>0.606008107647127</v>
      </c>
      <c r="BU156" s="4">
        <v>0.606008107647127</v>
      </c>
      <c r="BV156" s="4">
        <v>0.6158708074099193</v>
      </c>
      <c r="BW156" s="4">
        <v>0.009858549022328923</v>
      </c>
      <c r="BX156" s="4">
        <v>0.000004150740463381222</v>
      </c>
      <c r="BY156" s="4">
        <v>1.659</v>
      </c>
      <c r="BZ156" s="4">
        <v>1.686</v>
      </c>
      <c r="CA156" s="6"/>
      <c r="CB156" s="6"/>
      <c r="CC156" s="6"/>
      <c r="CD156" s="9"/>
      <c r="CE156" s="7">
        <f>IFERROR(BW156/F156,0)</f>
        <v>0.00633810936391324</v>
      </c>
      <c r="CF156" t="inlineStr">
        <is>
          <t xml:space="preserve">Treasury collateral</t>
        </is>
      </c>
      <c r="CG156" t="inlineStr">
        <is>
          <t xml:space="preserve">treasury</t>
        </is>
      </c>
      <c r="CH156" t="inlineStr">
        <is>
          <t xml:space="preserve">lease</t>
        </is>
      </c>
      <c r="CI156" t="inlineStr">
        <is>
          <t xml:space="preserve">long</t>
        </is>
      </c>
      <c r="CJ156"/>
      <c r="CK156" s="4">
        <v>104.04491110812732</v>
      </c>
      <c r="CL156" s="4">
        <v>104.06440883941444</v>
      </c>
      <c r="CM156" s="4">
        <v>0.009125212494708016</v>
      </c>
      <c r="CN156" s="6">
        <v>0.6103944248807684</v>
      </c>
      <c r="CO156" s="4">
        <v>0.9494319228546683</v>
      </c>
      <c r="CP156" s="4">
        <v>0.9494319228546683</v>
      </c>
      <c r="CQ156" s="4">
        <v>0.949609843795828</v>
      </c>
      <c r="CR156" s="4">
        <v>0.00017792094115961455</v>
      </c>
      <c r="CS156" s="4">
        <v>1.4476809508112698e-16</v>
      </c>
      <c r="CT156" s="4">
        <v>1.659</v>
      </c>
      <c r="CU156" s="4">
        <v>1.686</v>
      </c>
      <c r="CV156" s="6"/>
      <c r="CW156" s="6"/>
      <c r="CX156" s="6"/>
      <c r="CY156" s="9">
        <v>38</v>
      </c>
      <c r="CZ156" s="7">
        <f>IFERROR(CR156/F156,0)</f>
        <v>0.00011438624290916319</v>
      </c>
      <c r="DA156" t="inlineStr">
        <is>
          <t xml:space="preserve">SI69U</t>
        </is>
      </c>
      <c r="DB156" t="inlineStr">
        <is>
          <t xml:space="preserve">future</t>
        </is>
      </c>
      <c r="DC156" t="inlineStr">
        <is>
          <t xml:space="preserve">lease</t>
        </is>
      </c>
      <c r="DD156" t="inlineStr">
        <is>
          <t xml:space="preserve">long</t>
        </is>
      </c>
      <c r="DE156" t="inlineStr">
        <is>
          <t xml:space="preserve">regular</t>
        </is>
      </c>
      <c r="DF156" s="4">
        <v>1.655</v>
      </c>
      <c r="DG156" s="4">
        <v>1.642</v>
      </c>
      <c r="DH156" s="4">
        <v>0.5736748778578056</v>
      </c>
      <c r="DI156" s="6">
        <v>0.6103944248807684</v>
      </c>
      <c r="DJ156" s="4">
        <v>0.9494319228546683</v>
      </c>
      <c r="DK156" s="4">
        <v>0</v>
      </c>
      <c r="DL156" s="4">
        <v>0</v>
      </c>
      <c r="DM156" s="4">
        <v>-0.007457773412151495</v>
      </c>
      <c r="DN156" s="4">
        <v>0.007457773412151495</v>
      </c>
      <c r="DO156" s="4">
        <v>1.659</v>
      </c>
      <c r="DP156" s="4">
        <v>1.686</v>
      </c>
      <c r="DQ156" s="6">
        <v>-0.0024110910186859735</v>
      </c>
      <c r="DR156" s="6">
        <v>0.0684</v>
      </c>
      <c r="DS156" s="6">
        <v>0.09155916373211527</v>
      </c>
      <c r="DT156" s="9">
        <v>38</v>
      </c>
      <c r="DU156" s="7">
        <f>IFERROR(DM156/F156,0)</f>
        <v>-0.00479463898697886</v>
      </c>
      <c r="DV156" t="inlineStr">
        <is>
          <t xml:space="preserve">Lease cash / margin / financing</t>
        </is>
      </c>
      <c r="DW156" t="inlineStr">
        <is>
          <t xml:space="preserve">cash</t>
        </is>
      </c>
      <c r="DX156" t="inlineStr">
        <is>
          <t xml:space="preserve">lease</t>
        </is>
      </c>
      <c r="DY156" t="inlineStr">
        <is>
          <t xml:space="preserve">cash</t>
        </is>
      </c>
      <c r="DZ156"/>
      <c r="EA156" s="4">
        <v>1</v>
      </c>
      <c r="EB156" s="4">
        <v>1</v>
      </c>
      <c r="EC156" s="4">
        <v>6.661338147750939e-16</v>
      </c>
      <c r="ED156" s="6"/>
      <c r="EE156" s="4">
        <v>6.661338147750939e-16</v>
      </c>
      <c r="EF156" s="4">
        <v>6.661338147750939e-16</v>
      </c>
      <c r="EG156" s="4">
        <v>-0.007461924152614355</v>
      </c>
      <c r="EH156" s="4">
        <v>0</v>
      </c>
      <c r="EI156" s="4">
        <v>-0.007461924152615021</v>
      </c>
      <c r="EJ156" s="4">
        <v>1.659</v>
      </c>
      <c r="EK156" s="4">
        <v>1.686</v>
      </c>
      <c r="EL156" s="6"/>
      <c r="EM156" s="6"/>
      <c r="EN156" s="6"/>
      <c r="EO156" s="9"/>
      <c r="EP156" s="7">
        <f>IFERROR(EH156/F156,0)</f>
        <v>0</v>
      </c>
      <c r="EQ156" t="inlineStr">
        <is>
          <t xml:space="preserve">Keep cash / margin / financing</t>
        </is>
      </c>
      <c r="ER156" t="inlineStr">
        <is>
          <t xml:space="preserve">cash</t>
        </is>
      </c>
      <c r="ES156" t="inlineStr">
        <is>
          <t xml:space="preserve">keep</t>
        </is>
      </c>
      <c r="ET156" t="inlineStr">
        <is>
          <t xml:space="preserve">cash</t>
        </is>
      </c>
      <c r="EU156"/>
      <c r="EV156" s="4">
        <v>1</v>
      </c>
      <c r="EW156" s="4">
        <v>1</v>
      </c>
      <c r="EX156" s="4">
        <v>0</v>
      </c>
      <c r="EY156" s="6"/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1.659</v>
      </c>
      <c r="FF156" s="4">
        <v>1.686</v>
      </c>
      <c r="FG156" s="6"/>
      <c r="FH156" s="6"/>
      <c r="FI156" s="6"/>
      <c r="FJ156" s="9"/>
      <c r="FK156" s="7">
        <f>IFERROR(FC156/F156,0)</f>
        <v>0</v>
      </c>
      <c r="FL156"/>
      <c r="FM156"/>
      <c r="FN156"/>
      <c r="FO156"/>
      <c r="FP156"/>
      <c r="FQ156" s="4"/>
      <c r="FR156" s="4"/>
      <c r="FS156" s="4"/>
      <c r="FT156" s="6"/>
      <c r="FU156" s="4"/>
      <c r="FV156" s="4"/>
      <c r="FW156" s="4"/>
      <c r="FX156" s="4"/>
      <c r="FY156" s="4"/>
      <c r="FZ156" s="4"/>
      <c r="GA156" s="4"/>
      <c r="GB156" s="6"/>
      <c r="GC156" s="6"/>
      <c r="GD156" s="6"/>
      <c r="GE156" s="9"/>
      <c r="GF156"/>
      <c r="GG156"/>
      <c r="GH156"/>
      <c r="GI156"/>
      <c r="GJ156"/>
      <c r="GK156"/>
      <c r="GL156" s="4"/>
      <c r="GM156" s="4"/>
      <c r="GN156" s="4"/>
      <c r="GO156" s="6"/>
      <c r="GP156" s="4"/>
      <c r="GQ156" s="4"/>
      <c r="GR156" s="4"/>
      <c r="GS156" s="4"/>
      <c r="GT156" s="4"/>
      <c r="GU156" s="4"/>
      <c r="GV156" s="4"/>
      <c r="GW156" s="6"/>
      <c r="GX156" s="6"/>
      <c r="GY156" s="6"/>
      <c r="GZ156" s="9"/>
      <c r="HA156"/>
      <c r="HB156"/>
      <c r="HC156"/>
      <c r="HD156"/>
      <c r="HE156"/>
      <c r="HF156"/>
      <c r="HG156" s="4"/>
      <c r="HH156" s="4"/>
      <c r="HI156" s="4"/>
      <c r="HJ156" s="6"/>
      <c r="HK156" s="4"/>
      <c r="HL156" s="4"/>
      <c r="HM156" s="4"/>
      <c r="HN156" s="4"/>
      <c r="HO156" s="4"/>
      <c r="HP156" s="4"/>
      <c r="HQ156" s="4"/>
      <c r="HR156" s="6"/>
      <c r="HS156" s="6"/>
      <c r="HT156" s="6"/>
      <c r="HU156" s="9"/>
      <c r="HV156"/>
      <c r="HW156"/>
      <c r="HX156"/>
      <c r="HY156"/>
      <c r="HZ156"/>
      <c r="IA156"/>
      <c r="IB156" s="4"/>
      <c r="IC156" s="4"/>
      <c r="ID156" s="4"/>
      <c r="IE156" s="6"/>
      <c r="IF156" s="4"/>
      <c r="IG156" s="4"/>
      <c r="IH156" s="4"/>
      <c r="II156" s="4"/>
      <c r="IJ156" s="4"/>
      <c r="IK156" s="4"/>
      <c r="IL156" s="4"/>
      <c r="IM156" s="6"/>
      <c r="IN156" s="6"/>
      <c r="IO156" s="6"/>
      <c r="IP156" s="9"/>
      <c r="IQ156"/>
      <c r="IR156"/>
      <c r="IS156"/>
      <c r="IT156"/>
      <c r="IU156"/>
      <c r="IV156"/>
      <c r="IW156" s="4"/>
      <c r="IX156" s="4"/>
      <c r="IY156" s="4"/>
      <c r="IZ156" s="6"/>
      <c r="JA156" s="4"/>
      <c r="JB156" s="4"/>
      <c r="JC156" s="4"/>
      <c r="JD156" s="4"/>
      <c r="JE156" s="4"/>
      <c r="JF156" s="4"/>
      <c r="JG156" s="4"/>
      <c r="JH156" s="6"/>
      <c r="JI156" s="6"/>
      <c r="JJ156" s="6"/>
      <c r="JK156" s="9"/>
      <c r="JL156"/>
    </row>
    <row r="157">
      <c r="A157" s="8">
        <v>25435</v>
      </c>
      <c r="B157" s="8">
        <v>25436</v>
      </c>
      <c r="C157" s="9">
        <f>B157-A157</f>
        <v>1</v>
      </c>
      <c r="D157" s="8">
        <v>25435</v>
      </c>
      <c r="E157" t="inlineStr">
        <is>
          <t xml:space="preserve">positive</t>
        </is>
      </c>
      <c r="F157" s="4">
        <v>1.5580187270531323</v>
      </c>
      <c r="G157" s="6">
        <v>0.006887092586722005</v>
      </c>
      <c r="H157" s="7">
        <f>SUM(CE157,CZ157,DU157,EP157,FK157,GF157,HA157,HV157,IQ157,JL157)</f>
        <v>0.006887092586722006</v>
      </c>
      <c r="I157" s="7">
        <f>G157-H157</f>
        <v>-8.673617379884035e-19</v>
      </c>
      <c r="J157" s="5">
        <f>F157*(1+H157)</f>
        <v>1.5687489462781938</v>
      </c>
      <c r="K157" s="4">
        <v>1.5687489462781938</v>
      </c>
      <c r="L157" s="5">
        <f>K157-J157</f>
        <v>0</v>
      </c>
      <c r="M157" s="4">
        <v>1.686</v>
      </c>
      <c r="N157" s="4">
        <v>1.674</v>
      </c>
      <c r="O157" s="5">
        <f>M157/$M$3</f>
        <v>0.8610827374872319</v>
      </c>
      <c r="P157" s="5">
        <f>N157/$M$3</f>
        <v>0.8549540347293156</v>
      </c>
      <c r="Q157" s="7">
        <f>IFERROR(N157/M157-1,0)</f>
        <v>-0.007117437722419906</v>
      </c>
      <c r="R157" s="5">
        <f>SUM(IF(BM157="lease",BU157,0),IF(CH157="lease",CP157,0),IF(DC157="lease",DK157,0),IF(DX157="lease",EF157,0),IF(ES157="lease",FA157,0),IF(FN157="lease",FV157,0),IF(GI157="lease",GQ157,0),IF(HD157="lease",HL157,0),IF(HY157="lease",IG157,0),IF(IT157="lease",JB157,0))</f>
        <v>1.558018727053133</v>
      </c>
      <c r="S157" s="5">
        <f>SUM(IF(BM157="lease",BV157,0),IF(CH157="lease",CQ157,0),IF(DC157="lease",DL157,0),IF(DX157="lease",EG157,0),IF(ES157="lease",FB157,0),IF(FN157="lease",FW157,0),IF(GI157="lease",GR157,0),IF(HD157="lease",HM157,0),IF(HY157="lease",IH157,0),IF(IT157="lease",JC157,0))</f>
        <v>1.5687489462781947</v>
      </c>
      <c r="T157" s="5">
        <f>SUM(IF(BM157="keep",BU157,0),IF(CH157="keep",CP157,0),IF(DC157="keep",DK157,0),IF(DX157="keep",EF157,0),IF(ES157="keep",FA157,0),IF(FN157="keep",FV157,0),IF(GI157="keep",GQ157,0),IF(HD157="keep",HL157,0),IF(HY157="keep",IG157,0),IF(IT157="keep",JB157,0))</f>
        <v>0</v>
      </c>
      <c r="U157" s="5">
        <f>SUM(IF(BM157="keep",BV157,0),IF(CH157="keep",CQ157,0),IF(DC157="keep",DL157,0),IF(DX157="keep",EG157,0),IF(ES157="keep",FB157,0),IF(FN157="keep",FW157,0),IF(GI157="keep",GR157,0),IF(HD157="keep",HM157,0),IF(HY157="keep",IH157,0),IF(IT157="keep",JC157,0))</f>
        <v>0</v>
      </c>
      <c r="V157" s="5">
        <f>R157/O157</f>
        <v>1.8093716889501983</v>
      </c>
      <c r="W157" s="5">
        <f>S157/P157</f>
        <v>1.834892734057769</v>
      </c>
      <c r="X157" s="5">
        <f>T157/O157</f>
        <v>0</v>
      </c>
      <c r="Y157" s="5">
        <f>U157/P157</f>
        <v>0</v>
      </c>
      <c r="Z157" s="5">
        <f>V157+X157</f>
        <v>1.8093716889501983</v>
      </c>
      <c r="AA157" s="7">
        <f>IFERROR(W157/V157-1,0)</f>
        <v>0.014104921207415355</v>
      </c>
      <c r="AB157" s="7">
        <f>IFERROR((W157-V157)/Z157,0)</f>
        <v>0.014104921207415412</v>
      </c>
      <c r="AC157" s="7">
        <f>IFERROR(Y157/X157-1,0)</f>
        <v>0</v>
      </c>
      <c r="AD157" s="7">
        <f>IFERROR((Y157-X157)/Z157,0)</f>
        <v>0</v>
      </c>
      <c r="AE157" s="7">
        <f>AB157+AD157</f>
        <v>0.014104921207415412</v>
      </c>
      <c r="AF157" s="7">
        <f>(1+Q157)*(1+AE157)-1</f>
        <v>0.006887092586721932</v>
      </c>
      <c r="AG157" s="7">
        <f>G157-AF157</f>
        <v>7.28583859910259e-17</v>
      </c>
      <c r="AH157" s="5">
        <f>SUM(IF(BM157="lease",BW157,0),IF(CH157="lease",CR157,0),IF(DC157="lease",DM157,0),IF(DX157="lease",EH157,0),IF(ES157="lease",FC157,0),IF(FN157="lease",FX157,0),IF(GI157="lease",GS157,0),IF(HD157="lease",HN157,0),IF(HY157="lease",II157,0),IF(IT157="lease",JD157,0))</f>
        <v>0.010730219225061684</v>
      </c>
      <c r="AI157" s="5">
        <f>SUM(IF(BM157="keep",BW157,0),IF(CH157="keep",CR157,0),IF(DC157="keep",DM157,0),IF(DX157="keep",EH157,0),IF(ES157="keep",FC157,0),IF(FN157="keep",FX157,0),IF(GI157="keep",GS157,0),IF(HD157="keep",HN157,0),IF(HY157="keep",II157,0),IF(IT157="keep",JD157,0))</f>
        <v>0</v>
      </c>
      <c r="AJ157" s="5">
        <f>SUM(IF(BM157="lease",BX157,0),IF(CH157="lease",CS157,0),IF(DC157="lease",DN157,0),IF(DX157="lease",EI157,0),IF(ES157="lease",FD157,0),IF(FN157="lease",FY157,0),IF(GI157="lease",GT157,0),IF(HD157="lease",HO157,0),IF(HY157="lease",IJ157,0),IF(IT157="lease",JE157,0))</f>
        <v>0</v>
      </c>
      <c r="AK157" s="5">
        <f>SUM(IF(BM157="keep",BX157,0),IF(CH157="keep",CS157,0),IF(DC157="keep",DN157,0),IF(DX157="keep",EI157,0),IF(ES157="keep",FD157,0),IF(FN157="keep",FY157,0),IF(GI157="keep",GT157,0),IF(HD157="keep",HO157,0),IF(HY157="keep",IJ157,0),IF(IT157="keep",JE157,0))</f>
        <v>0</v>
      </c>
      <c r="AL157" s="5">
        <f>R157-S156</f>
        <v>0</v>
      </c>
      <c r="AM157" s="5">
        <f>T157-U156</f>
        <v>0</v>
      </c>
      <c r="AN157" s="5">
        <f>AN156</f>
        <v>1</v>
      </c>
      <c r="AO157" s="5">
        <f>AO156+AH157</f>
        <v>0.5687489462781948</v>
      </c>
      <c r="AP157" s="5">
        <f>AP156+AL157</f>
        <v>-4.440892098500626e-16</v>
      </c>
      <c r="AQ157" s="5">
        <f>AN157+AO157+AP157</f>
        <v>1.5687489462781943</v>
      </c>
      <c r="AR157" s="5">
        <f>S157-AQ157</f>
        <v>4.440892098500626e-16</v>
      </c>
      <c r="AS157" s="5">
        <f>AS156</f>
        <v>0</v>
      </c>
      <c r="AT157" s="5">
        <f>AT156+AI157</f>
        <v>0</v>
      </c>
      <c r="AU157" s="5">
        <f>AU156+AM157</f>
        <v>0</v>
      </c>
      <c r="AV157" s="5">
        <f>AS157+AT157+AU157</f>
        <v>0</v>
      </c>
      <c r="AW157" s="5">
        <f>U157-AV157</f>
        <v>0</v>
      </c>
      <c r="AX157" s="4">
        <v>1.558018727053133</v>
      </c>
      <c r="AY157" s="4">
        <v>1.5687489462781947</v>
      </c>
      <c r="AZ157" s="5">
        <f>S157-AY157</f>
        <v>0</v>
      </c>
      <c r="BA157" s="4">
        <v>0</v>
      </c>
      <c r="BB157" s="4">
        <v>0</v>
      </c>
      <c r="BC157" s="5">
        <f>U157-BB157</f>
        <v>0</v>
      </c>
      <c r="BD157" s="7">
        <f>SUM(IF(BL157="direct",CE157,0),IF(CG157="direct",CZ157,0),IF(DB157="direct",DU157,0),IF(DW157="direct",EP157,0),IF(ER157="direct",FK157,0),IF(FM157="direct",GF157,0),IF(GH157="direct",HA157,0),IF(HC157="direct",HV157,0),IF(HX157="direct",IQ157,0),IF(IS157="direct",JL157,0))</f>
        <v>0</v>
      </c>
      <c r="BE157" s="7">
        <f>SUM(IF(BL157="treasury",CE157,0),IF(CG157="treasury",CZ157,0),IF(DB157="treasury",DU157,0),IF(DW157="treasury",EP157,0),IF(ER157="treasury",FK157,0),IF(FM157="treasury",GF157,0),IF(GH157="treasury",HA157,0),IF(HC157="treasury",HV157,0),IF(HX157="treasury",IQ157,0),IF(IS157="treasury",JL157,0))</f>
        <v>0.00018794520547945207</v>
      </c>
      <c r="BF157" s="7">
        <f>SUM(IF(BL157="future",CE157,0),IF(CG157="future",CZ157,0),IF(DB157="future",DU157,0),IF(DW157="future",EP157,0),IF(ER157="future",FK157,0),IF(FM157="future",GF157,0),IF(GH157="future",HA157,0),IF(HC157="future",HV157,0),IF(HX157="future",IQ157,0),IF(IS157="future",JL157,0))</f>
        <v>0.006699147381242555</v>
      </c>
      <c r="BG157" s="7">
        <f>SUM(IF(BL157="cash",CE157,0),IF(CG157="cash",CZ157,0),IF(DB157="cash",DU157,0),IF(DW157="cash",EP157,0),IF(ER157="cash",FK157,0),IF(FM157="cash",GF157,0),IF(GH157="cash",HA157,0),IF(HC157="cash",HV157,0),IF(HX157="cash",IQ157,0),IF(IS157="cash",JL157,0))</f>
        <v>0</v>
      </c>
      <c r="BH157" s="7">
        <f>SUM(BD157:BG157)</f>
        <v>0.006887092586722007</v>
      </c>
      <c r="BI157" s="7">
        <f>G157-BH157</f>
        <v>-1.734723475976807e-18</v>
      </c>
      <c r="BJ157" s="9">
        <f>COUNTA(BK157,CF157,DA157,DV157,EQ157,FL157,GG157,HB157,HW157,IR157)</f>
        <v>4</v>
      </c>
      <c r="BK157" t="inlineStr">
        <is>
          <t xml:space="preserve">Treasury collateral</t>
        </is>
      </c>
      <c r="BL157" t="inlineStr">
        <is>
          <t xml:space="preserve">treasury</t>
        </is>
      </c>
      <c r="BM157" t="inlineStr">
        <is>
          <t xml:space="preserve">lease</t>
        </is>
      </c>
      <c r="BN157" t="inlineStr">
        <is>
          <t xml:space="preserve">long</t>
        </is>
      </c>
      <c r="BO157"/>
      <c r="BP157" s="4">
        <v>104.06440883941444</v>
      </c>
      <c r="BQ157" s="4">
        <v>104.08396724611686</v>
      </c>
      <c r="BR157" s="4">
        <v>0.014971677102950418</v>
      </c>
      <c r="BS157" s="6">
        <v>1</v>
      </c>
      <c r="BT157" s="4">
        <v>1.5580187270531323</v>
      </c>
      <c r="BU157" s="4">
        <v>1.5580187270531323</v>
      </c>
      <c r="BV157" s="4">
        <v>1.5583115492029291</v>
      </c>
      <c r="BW157" s="4">
        <v>0.0002928221497968353</v>
      </c>
      <c r="BX157" s="4">
        <v>3.220080452281948e-17</v>
      </c>
      <c r="BY157" s="4">
        <v>1.686</v>
      </c>
      <c r="BZ157" s="4">
        <v>1.674</v>
      </c>
      <c r="CA157" s="6"/>
      <c r="CB157" s="6"/>
      <c r="CC157" s="6"/>
      <c r="CD157" s="9">
        <v>37</v>
      </c>
      <c r="CE157" s="7">
        <f>IFERROR(BW157/F157,0)</f>
        <v>0.00018794520547945207</v>
      </c>
      <c r="CF157" t="inlineStr">
        <is>
          <t xml:space="preserve">SI69U</t>
        </is>
      </c>
      <c r="CG157" t="inlineStr">
        <is>
          <t xml:space="preserve">future</t>
        </is>
      </c>
      <c r="CH157" t="inlineStr">
        <is>
          <t xml:space="preserve">lease</t>
        </is>
      </c>
      <c r="CI157" t="inlineStr">
        <is>
          <t xml:space="preserve">long</t>
        </is>
      </c>
      <c r="CJ157" t="inlineStr">
        <is>
          <t xml:space="preserve">regular</t>
        </is>
      </c>
      <c r="CK157" s="4">
        <v>1.642</v>
      </c>
      <c r="CL157" s="4">
        <v>1.653</v>
      </c>
      <c r="CM157" s="4">
        <v>0.9488542795695082</v>
      </c>
      <c r="CN157" s="6">
        <v>1</v>
      </c>
      <c r="CO157" s="4">
        <v>1.5580187270531323</v>
      </c>
      <c r="CP157" s="4">
        <v>0</v>
      </c>
      <c r="CQ157" s="4">
        <v>0</v>
      </c>
      <c r="CR157" s="4">
        <v>0.01043739707526485</v>
      </c>
      <c r="CS157" s="4">
        <v>-0.01043739707526485</v>
      </c>
      <c r="CT157" s="4">
        <v>1.686</v>
      </c>
      <c r="CU157" s="4">
        <v>1.674</v>
      </c>
      <c r="CV157" s="6">
        <v>-0.0260972716488731</v>
      </c>
      <c r="CW157" s="6">
        <v>0.06860000000000001</v>
      </c>
      <c r="CX157" s="6">
        <v>0.3260460581578022</v>
      </c>
      <c r="CY157" s="9">
        <v>37</v>
      </c>
      <c r="CZ157" s="7">
        <f>IFERROR(CR157/F157,0)</f>
        <v>0.006699147381242555</v>
      </c>
      <c r="DA157" t="inlineStr">
        <is>
          <t xml:space="preserve">Lease cash / margin / financing</t>
        </is>
      </c>
      <c r="DB157" t="inlineStr">
        <is>
          <t xml:space="preserve">cash</t>
        </is>
      </c>
      <c r="DC157" t="inlineStr">
        <is>
          <t xml:space="preserve">lease</t>
        </is>
      </c>
      <c r="DD157" t="inlineStr">
        <is>
          <t xml:space="preserve">cash</t>
        </is>
      </c>
      <c r="DE157"/>
      <c r="DF157" s="4">
        <v>1</v>
      </c>
      <c r="DG157" s="4">
        <v>1</v>
      </c>
      <c r="DH157" s="4">
        <v>6.661338147750939e-16</v>
      </c>
      <c r="DI157" s="6"/>
      <c r="DJ157" s="4">
        <v>6.661338147750939e-16</v>
      </c>
      <c r="DK157" s="4">
        <v>6.661338147750939e-16</v>
      </c>
      <c r="DL157" s="4">
        <v>0.010437397075265482</v>
      </c>
      <c r="DM157" s="4">
        <v>0</v>
      </c>
      <c r="DN157" s="4">
        <v>0.010437397075264816</v>
      </c>
      <c r="DO157" s="4">
        <v>1.686</v>
      </c>
      <c r="DP157" s="4">
        <v>1.674</v>
      </c>
      <c r="DQ157" s="6"/>
      <c r="DR157" s="6"/>
      <c r="DS157" s="6"/>
      <c r="DT157" s="9"/>
      <c r="DU157" s="7">
        <f>IFERROR(DM157/F157,0)</f>
        <v>0</v>
      </c>
      <c r="DV157" t="inlineStr">
        <is>
          <t xml:space="preserve">Keep cash / margin / financing</t>
        </is>
      </c>
      <c r="DW157" t="inlineStr">
        <is>
          <t xml:space="preserve">cash</t>
        </is>
      </c>
      <c r="DX157" t="inlineStr">
        <is>
          <t xml:space="preserve">keep</t>
        </is>
      </c>
      <c r="DY157" t="inlineStr">
        <is>
          <t xml:space="preserve">cash</t>
        </is>
      </c>
      <c r="DZ157"/>
      <c r="EA157" s="4">
        <v>1</v>
      </c>
      <c r="EB157" s="4">
        <v>1</v>
      </c>
      <c r="EC157" s="4">
        <v>0</v>
      </c>
      <c r="ED157" s="6"/>
      <c r="EE157" s="4">
        <v>0</v>
      </c>
      <c r="EF157" s="4">
        <v>0</v>
      </c>
      <c r="EG157" s="4">
        <v>0</v>
      </c>
      <c r="EH157" s="4">
        <v>0</v>
      </c>
      <c r="EI157" s="4">
        <v>0</v>
      </c>
      <c r="EJ157" s="4">
        <v>1.686</v>
      </c>
      <c r="EK157" s="4">
        <v>1.674</v>
      </c>
      <c r="EL157" s="6"/>
      <c r="EM157" s="6"/>
      <c r="EN157" s="6"/>
      <c r="EO157" s="9"/>
      <c r="EP157" s="7">
        <f>IFERROR(EH157/F157,0)</f>
        <v>0</v>
      </c>
      <c r="EQ157"/>
      <c r="ER157"/>
      <c r="ES157"/>
      <c r="ET157"/>
      <c r="EU157"/>
      <c r="EV157" s="4"/>
      <c r="EW157" s="4"/>
      <c r="EX157" s="4"/>
      <c r="EY157" s="6"/>
      <c r="EZ157" s="4"/>
      <c r="FA157" s="4"/>
      <c r="FB157" s="4"/>
      <c r="FC157" s="4"/>
      <c r="FD157" s="4"/>
      <c r="FE157" s="4"/>
      <c r="FF157" s="4"/>
      <c r="FG157" s="6"/>
      <c r="FH157" s="6"/>
      <c r="FI157" s="6"/>
      <c r="FJ157" s="9"/>
      <c r="FK157"/>
      <c r="FL157"/>
      <c r="FM157"/>
      <c r="FN157"/>
      <c r="FO157"/>
      <c r="FP157"/>
      <c r="FQ157" s="4"/>
      <c r="FR157" s="4"/>
      <c r="FS157" s="4"/>
      <c r="FT157" s="6"/>
      <c r="FU157" s="4"/>
      <c r="FV157" s="4"/>
      <c r="FW157" s="4"/>
      <c r="FX157" s="4"/>
      <c r="FY157" s="4"/>
      <c r="FZ157" s="4"/>
      <c r="GA157" s="4"/>
      <c r="GB157" s="6"/>
      <c r="GC157" s="6"/>
      <c r="GD157" s="6"/>
      <c r="GE157" s="9"/>
      <c r="GF157"/>
      <c r="GG157"/>
      <c r="GH157"/>
      <c r="GI157"/>
      <c r="GJ157"/>
      <c r="GK157"/>
      <c r="GL157" s="4"/>
      <c r="GM157" s="4"/>
      <c r="GN157" s="4"/>
      <c r="GO157" s="6"/>
      <c r="GP157" s="4"/>
      <c r="GQ157" s="4"/>
      <c r="GR157" s="4"/>
      <c r="GS157" s="4"/>
      <c r="GT157" s="4"/>
      <c r="GU157" s="4"/>
      <c r="GV157" s="4"/>
      <c r="GW157" s="6"/>
      <c r="GX157" s="6"/>
      <c r="GY157" s="6"/>
      <c r="GZ157" s="9"/>
      <c r="HA157"/>
      <c r="HB157"/>
      <c r="HC157"/>
      <c r="HD157"/>
      <c r="HE157"/>
      <c r="HF157"/>
      <c r="HG157" s="4"/>
      <c r="HH157" s="4"/>
      <c r="HI157" s="4"/>
      <c r="HJ157" s="6"/>
      <c r="HK157" s="4"/>
      <c r="HL157" s="4"/>
      <c r="HM157" s="4"/>
      <c r="HN157" s="4"/>
      <c r="HO157" s="4"/>
      <c r="HP157" s="4"/>
      <c r="HQ157" s="4"/>
      <c r="HR157" s="6"/>
      <c r="HS157" s="6"/>
      <c r="HT157" s="6"/>
      <c r="HU157" s="9"/>
      <c r="HV157"/>
      <c r="HW157"/>
      <c r="HX157"/>
      <c r="HY157"/>
      <c r="HZ157"/>
      <c r="IA157"/>
      <c r="IB157" s="4"/>
      <c r="IC157" s="4"/>
      <c r="ID157" s="4"/>
      <c r="IE157" s="6"/>
      <c r="IF157" s="4"/>
      <c r="IG157" s="4"/>
      <c r="IH157" s="4"/>
      <c r="II157" s="4"/>
      <c r="IJ157" s="4"/>
      <c r="IK157" s="4"/>
      <c r="IL157" s="4"/>
      <c r="IM157" s="6"/>
      <c r="IN157" s="6"/>
      <c r="IO157" s="6"/>
      <c r="IP157" s="9"/>
      <c r="IQ157"/>
      <c r="IR157"/>
      <c r="IS157"/>
      <c r="IT157"/>
      <c r="IU157"/>
      <c r="IV157"/>
      <c r="IW157" s="4"/>
      <c r="IX157" s="4"/>
      <c r="IY157" s="4"/>
      <c r="IZ157" s="6"/>
      <c r="JA157" s="4"/>
      <c r="JB157" s="4"/>
      <c r="JC157" s="4"/>
      <c r="JD157" s="4"/>
      <c r="JE157" s="4"/>
      <c r="JF157" s="4"/>
      <c r="JG157" s="4"/>
      <c r="JH157" s="6"/>
      <c r="JI157" s="6"/>
      <c r="JJ157" s="6"/>
      <c r="JK157" s="9"/>
      <c r="JL157"/>
    </row>
    <row r="158">
      <c r="A158" s="8">
        <v>25436</v>
      </c>
      <c r="B158" s="8">
        <v>25437</v>
      </c>
      <c r="C158" s="9">
        <f>B158-A158</f>
        <v>1</v>
      </c>
      <c r="D158" s="8">
        <v>25436</v>
      </c>
      <c r="E158" t="inlineStr">
        <is>
          <t xml:space="preserve">positive</t>
        </is>
      </c>
      <c r="F158" s="4">
        <v>1.5687489462781938</v>
      </c>
      <c r="G158" s="6">
        <v>-0.001020058341413257</v>
      </c>
      <c r="H158" s="7">
        <f>SUM(CE158,CZ158,DU158,EP158,FK158,GF158,HA158,HV158,IQ158,JL158)</f>
        <v>-0.001020058341413257</v>
      </c>
      <c r="I158" s="7">
        <f>G158-H158</f>
        <v>0</v>
      </c>
      <c r="J158" s="5">
        <f>F158*(1+H158)</f>
        <v>1.5671487308299594</v>
      </c>
      <c r="K158" s="4">
        <v>1.5671487308299594</v>
      </c>
      <c r="L158" s="5">
        <f>K158-J158</f>
        <v>0</v>
      </c>
      <c r="M158" s="4">
        <v>1.674</v>
      </c>
      <c r="N158" s="4">
        <v>1.683</v>
      </c>
      <c r="O158" s="5">
        <f>M158/$M$3</f>
        <v>0.8549540347293156</v>
      </c>
      <c r="P158" s="5">
        <f>N158/$M$3</f>
        <v>0.8595505617977528</v>
      </c>
      <c r="Q158" s="7">
        <f>IFERROR(N158/M158-1,0)</f>
        <v>0.005376344086021501</v>
      </c>
      <c r="R158" s="5">
        <f>SUM(IF(BM158="lease",BU158,0),IF(CH158="lease",CP158,0),IF(DC158="lease",DK158,0),IF(DX158="lease",EF158,0),IF(ES158="lease",FA158,0),IF(FN158="lease",FV158,0),IF(GI158="lease",GQ158,0),IF(HD158="lease",HL158,0),IF(HY158="lease",IG158,0),IF(IT158="lease",JB158,0))</f>
        <v>1.5687489462781947</v>
      </c>
      <c r="S158" s="5">
        <f>SUM(IF(BM158="lease",BV158,0),IF(CH158="lease",CQ158,0),IF(DC158="lease",DL158,0),IF(DX158="lease",EG158,0),IF(ES158="lease",FB158,0),IF(FN158="lease",FW158,0),IF(GI158="lease",GR158,0),IF(HD158="lease",HM158,0),IF(HY158="lease",IH158,0),IF(IT158="lease",JC158,0))</f>
        <v>1.5671487308299603</v>
      </c>
      <c r="T158" s="5">
        <f>SUM(IF(BM158="keep",BU158,0),IF(CH158="keep",CP158,0),IF(DC158="keep",DK158,0),IF(DX158="keep",EF158,0),IF(ES158="keep",FA158,0),IF(FN158="keep",FV158,0),IF(GI158="keep",GQ158,0),IF(HD158="keep",HL158,0),IF(HY158="keep",IG158,0),IF(IT158="keep",JB158,0))</f>
        <v>0</v>
      </c>
      <c r="U158" s="5">
        <f>SUM(IF(BM158="keep",BV158,0),IF(CH158="keep",CQ158,0),IF(DC158="keep",DL158,0),IF(DX158="keep",EG158,0),IF(ES158="keep",FB158,0),IF(FN158="keep",FW158,0),IF(GI158="keep",GR158,0),IF(HD158="keep",HM158,0),IF(HY158="keep",IH158,0),IF(IT158="keep",JC158,0))</f>
        <v>0</v>
      </c>
      <c r="V158" s="5">
        <f>R158/O158</f>
        <v>1.834892734057769</v>
      </c>
      <c r="W158" s="5">
        <f>S158/P158</f>
        <v>1.8232187848871433</v>
      </c>
      <c r="X158" s="5">
        <f>T158/O158</f>
        <v>0</v>
      </c>
      <c r="Y158" s="5">
        <f>U158/P158</f>
        <v>0</v>
      </c>
      <c r="Z158" s="5">
        <f>V158+X158</f>
        <v>1.834892734057769</v>
      </c>
      <c r="AA158" s="7">
        <f>IFERROR(W158/V158-1,0)</f>
        <v>-0.0063621970668603645</v>
      </c>
      <c r="AB158" s="7">
        <f>IFERROR((W158-V158)/Z158,0)</f>
        <v>-0.006362197066860345</v>
      </c>
      <c r="AC158" s="7">
        <f>IFERROR(Y158/X158-1,0)</f>
        <v>0</v>
      </c>
      <c r="AD158" s="7">
        <f>IFERROR((Y158-X158)/Z158,0)</f>
        <v>0</v>
      </c>
      <c r="AE158" s="7">
        <f>AB158+AD158</f>
        <v>-0.006362197066860345</v>
      </c>
      <c r="AF158" s="7">
        <f>(1+Q158)*(1+AE158)-1</f>
        <v>-0.001020058341413388</v>
      </c>
      <c r="AG158" s="7">
        <f>G158-AF158</f>
        <v>1.3097162243624894e-16</v>
      </c>
      <c r="AH158" s="5">
        <f>SUM(IF(BM158="lease",BW158,0),IF(CH158="lease",CR158,0),IF(DC158="lease",DM158,0),IF(DX158="lease",EH158,0),IF(ES158="lease",FC158,0),IF(FN158="lease",FX158,0),IF(GI158="lease",GS158,0),IF(HD158="lease",HN158,0),IF(HY158="lease",II158,0),IF(IT158="lease",JD158,0))</f>
        <v>-0.0016002154482343289</v>
      </c>
      <c r="AI158" s="5">
        <f>SUM(IF(BM158="keep",BW158,0),IF(CH158="keep",CR158,0),IF(DC158="keep",DM158,0),IF(DX158="keep",EH158,0),IF(ES158="keep",FC158,0),IF(FN158="keep",FX158,0),IF(GI158="keep",GS158,0),IF(HD158="keep",HN158,0),IF(HY158="keep",II158,0),IF(IT158="keep",JD158,0))</f>
        <v>0</v>
      </c>
      <c r="AJ158" s="5">
        <f>SUM(IF(BM158="lease",BX158,0),IF(CH158="lease",CS158,0),IF(DC158="lease",DN158,0),IF(DX158="lease",EI158,0),IF(ES158="lease",FD158,0),IF(FN158="lease",FY158,0),IF(GI158="lease",GT158,0),IF(HD158="lease",HO158,0),IF(HY158="lease",IJ158,0),IF(IT158="lease",JE158,0))</f>
        <v>0</v>
      </c>
      <c r="AK158" s="5">
        <f>SUM(IF(BM158="keep",BX158,0),IF(CH158="keep",CS158,0),IF(DC158="keep",DN158,0),IF(DX158="keep",EI158,0),IF(ES158="keep",FD158,0),IF(FN158="keep",FY158,0),IF(GI158="keep",GT158,0),IF(HD158="keep",HO158,0),IF(HY158="keep",IJ158,0),IF(IT158="keep",JE158,0))</f>
        <v>0</v>
      </c>
      <c r="AL158" s="5">
        <f>R158-S157</f>
        <v>0</v>
      </c>
      <c r="AM158" s="5">
        <f>T158-U157</f>
        <v>0</v>
      </c>
      <c r="AN158" s="5">
        <f>AN157</f>
        <v>1</v>
      </c>
      <c r="AO158" s="5">
        <f>AO157+AH158</f>
        <v>0.5671487308299605</v>
      </c>
      <c r="AP158" s="5">
        <f>AP157+AL158</f>
        <v>-4.440892098500626e-16</v>
      </c>
      <c r="AQ158" s="5">
        <f>AN158+AO158+AP158</f>
        <v>1.56714873082996</v>
      </c>
      <c r="AR158" s="5">
        <f>S158-AQ158</f>
        <v>2.220446049250313e-16</v>
      </c>
      <c r="AS158" s="5">
        <f>AS157</f>
        <v>0</v>
      </c>
      <c r="AT158" s="5">
        <f>AT157+AI158</f>
        <v>0</v>
      </c>
      <c r="AU158" s="5">
        <f>AU157+AM158</f>
        <v>0</v>
      </c>
      <c r="AV158" s="5">
        <f>AS158+AT158+AU158</f>
        <v>0</v>
      </c>
      <c r="AW158" s="5">
        <f>U158-AV158</f>
        <v>0</v>
      </c>
      <c r="AX158" s="4">
        <v>1.5687489462781947</v>
      </c>
      <c r="AY158" s="4">
        <v>1.5671487308299603</v>
      </c>
      <c r="AZ158" s="5">
        <f>S158-AY158</f>
        <v>0</v>
      </c>
      <c r="BA158" s="4">
        <v>0</v>
      </c>
      <c r="BB158" s="4">
        <v>0</v>
      </c>
      <c r="BC158" s="5">
        <f>U158-BB158</f>
        <v>0</v>
      </c>
      <c r="BD158" s="7">
        <f>SUM(IF(BL158="direct",CE158,0),IF(CG158="direct",CZ158,0),IF(DB158="direct",DU158,0),IF(DW158="direct",EP158,0),IF(ER158="direct",FK158,0),IF(FM158="direct",GF158,0),IF(GH158="direct",HA158,0),IF(HC158="direct",HV158,0),IF(HX158="direct",IQ158,0),IF(IS158="direct",JL158,0))</f>
        <v>0</v>
      </c>
      <c r="BE158" s="7">
        <f>SUM(IF(BL158="treasury",CE158,0),IF(CG158="treasury",CZ158,0),IF(DB158="treasury",DU158,0),IF(DW158="treasury",EP158,0),IF(ER158="treasury",FK158,0),IF(FM158="treasury",GF158,0),IF(GH158="treasury",HA158,0),IF(HC158="treasury",HV158,0),IF(HX158="treasury",IQ158,0),IF(IS158="treasury",JL158,0))</f>
        <v>0.00018986301369863014</v>
      </c>
      <c r="BF158" s="7">
        <f>SUM(IF(BL158="future",CE158,0),IF(CG158="future",CZ158,0),IF(DB158="future",DU158,0),IF(DW158="future",EP158,0),IF(ER158="future",FK158,0),IF(FM158="future",GF158,0),IF(GH158="future",HA158,0),IF(HC158="future",HV158,0),IF(HX158="future",IQ158,0),IF(IS158="future",JL158,0))</f>
        <v>-0.001209921355111887</v>
      </c>
      <c r="BG158" s="7">
        <f>SUM(IF(BL158="cash",CE158,0),IF(CG158="cash",CZ158,0),IF(DB158="cash",DU158,0),IF(DW158="cash",EP158,0),IF(ER158="cash",FK158,0),IF(FM158="cash",GF158,0),IF(GH158="cash",HA158,0),IF(HC158="cash",HV158,0),IF(HX158="cash",IQ158,0),IF(IS158="cash",JL158,0))</f>
        <v>0</v>
      </c>
      <c r="BH158" s="7">
        <f>SUM(BD158:BG158)</f>
        <v>-0.001020058341413257</v>
      </c>
      <c r="BI158" s="7">
        <f>G158-BH158</f>
        <v>0</v>
      </c>
      <c r="BJ158" s="9">
        <f>COUNTA(BK158,CF158,DA158,DV158,EQ158,FL158,GG158,HB158,HW158,IR158)</f>
        <v>4</v>
      </c>
      <c r="BK158" t="inlineStr">
        <is>
          <t xml:space="preserve">Treasury collateral</t>
        </is>
      </c>
      <c r="BL158" t="inlineStr">
        <is>
          <t xml:space="preserve">treasury</t>
        </is>
      </c>
      <c r="BM158" t="inlineStr">
        <is>
          <t xml:space="preserve">lease</t>
        </is>
      </c>
      <c r="BN158" t="inlineStr">
        <is>
          <t xml:space="preserve">long</t>
        </is>
      </c>
      <c r="BO158"/>
      <c r="BP158" s="4">
        <v>104.08396724611686</v>
      </c>
      <c r="BQ158" s="4">
        <v>104.10372894181592</v>
      </c>
      <c r="BR158" s="4">
        <v>0.015071955727520757</v>
      </c>
      <c r="BS158" s="6">
        <v>1</v>
      </c>
      <c r="BT158" s="4">
        <v>1.5687489462781938</v>
      </c>
      <c r="BU158" s="4">
        <v>1.5687489462781938</v>
      </c>
      <c r="BV158" s="4">
        <v>1.5690467936808707</v>
      </c>
      <c r="BW158" s="4">
        <v>0.0002978474026769283</v>
      </c>
      <c r="BX158" s="4">
        <v>-1.8756697583999227e-17</v>
      </c>
      <c r="BY158" s="4">
        <v>1.674</v>
      </c>
      <c r="BZ158" s="4">
        <v>1.683</v>
      </c>
      <c r="CA158" s="6"/>
      <c r="CB158" s="6"/>
      <c r="CC158" s="6"/>
      <c r="CD158" s="9">
        <v>36</v>
      </c>
      <c r="CE158" s="7">
        <f>IFERROR(BW158/F158,0)</f>
        <v>0.00018986301369863014</v>
      </c>
      <c r="CF158" t="inlineStr">
        <is>
          <t xml:space="preserve">SI69U</t>
        </is>
      </c>
      <c r="CG158" t="inlineStr">
        <is>
          <t xml:space="preserve">future</t>
        </is>
      </c>
      <c r="CH158" t="inlineStr">
        <is>
          <t xml:space="preserve">lease</t>
        </is>
      </c>
      <c r="CI158" t="inlineStr">
        <is>
          <t xml:space="preserve">long</t>
        </is>
      </c>
      <c r="CJ158" t="inlineStr">
        <is>
          <t xml:space="preserve">regular</t>
        </is>
      </c>
      <c r="CK158" s="4">
        <v>1.653</v>
      </c>
      <c r="CL158" s="4">
        <v>1.651</v>
      </c>
      <c r="CM158" s="4">
        <v>0.9490314254556527</v>
      </c>
      <c r="CN158" s="6">
        <v>1</v>
      </c>
      <c r="CO158" s="4">
        <v>1.5687489462781938</v>
      </c>
      <c r="CP158" s="4">
        <v>0</v>
      </c>
      <c r="CQ158" s="4">
        <v>0</v>
      </c>
      <c r="CR158" s="4">
        <v>-0.001898062850911257</v>
      </c>
      <c r="CS158" s="4">
        <v>0.001898062850911257</v>
      </c>
      <c r="CT158" s="4">
        <v>1.674</v>
      </c>
      <c r="CU158" s="4">
        <v>1.683</v>
      </c>
      <c r="CV158" s="6">
        <v>-0.012544802867383464</v>
      </c>
      <c r="CW158" s="6">
        <v>0.0693</v>
      </c>
      <c r="CX158" s="6">
        <v>0.1964903624054157</v>
      </c>
      <c r="CY158" s="9">
        <v>36</v>
      </c>
      <c r="CZ158" s="7">
        <f>IFERROR(CR158/F158,0)</f>
        <v>-0.001209921355111887</v>
      </c>
      <c r="DA158" t="inlineStr">
        <is>
          <t xml:space="preserve">Lease cash / margin / financing</t>
        </is>
      </c>
      <c r="DB158" t="inlineStr">
        <is>
          <t xml:space="preserve">cash</t>
        </is>
      </c>
      <c r="DC158" t="inlineStr">
        <is>
          <t xml:space="preserve">lease</t>
        </is>
      </c>
      <c r="DD158" t="inlineStr">
        <is>
          <t xml:space="preserve">cash</t>
        </is>
      </c>
      <c r="DE158"/>
      <c r="DF158" s="4">
        <v>1</v>
      </c>
      <c r="DG158" s="4">
        <v>1</v>
      </c>
      <c r="DH158" s="4">
        <v>8.881784197001252e-16</v>
      </c>
      <c r="DI158" s="6"/>
      <c r="DJ158" s="4">
        <v>8.881784197001252e-16</v>
      </c>
      <c r="DK158" s="4">
        <v>8.881784197001252e-16</v>
      </c>
      <c r="DL158" s="4">
        <v>-0.0018980628509103503</v>
      </c>
      <c r="DM158" s="4">
        <v>0</v>
      </c>
      <c r="DN158" s="4">
        <v>-0.0018980628509112384</v>
      </c>
      <c r="DO158" s="4">
        <v>1.674</v>
      </c>
      <c r="DP158" s="4">
        <v>1.683</v>
      </c>
      <c r="DQ158" s="6"/>
      <c r="DR158" s="6"/>
      <c r="DS158" s="6"/>
      <c r="DT158" s="9"/>
      <c r="DU158" s="7">
        <f>IFERROR(DM158/F158,0)</f>
        <v>0</v>
      </c>
      <c r="DV158" t="inlineStr">
        <is>
          <t xml:space="preserve">Keep cash / margin / financing</t>
        </is>
      </c>
      <c r="DW158" t="inlineStr">
        <is>
          <t xml:space="preserve">cash</t>
        </is>
      </c>
      <c r="DX158" t="inlineStr">
        <is>
          <t xml:space="preserve">keep</t>
        </is>
      </c>
      <c r="DY158" t="inlineStr">
        <is>
          <t xml:space="preserve">cash</t>
        </is>
      </c>
      <c r="DZ158"/>
      <c r="EA158" s="4">
        <v>1</v>
      </c>
      <c r="EB158" s="4">
        <v>1</v>
      </c>
      <c r="EC158" s="4">
        <v>0</v>
      </c>
      <c r="ED158" s="6"/>
      <c r="EE158" s="4">
        <v>0</v>
      </c>
      <c r="EF158" s="4">
        <v>0</v>
      </c>
      <c r="EG158" s="4">
        <v>0</v>
      </c>
      <c r="EH158" s="4">
        <v>0</v>
      </c>
      <c r="EI158" s="4">
        <v>0</v>
      </c>
      <c r="EJ158" s="4">
        <v>1.674</v>
      </c>
      <c r="EK158" s="4">
        <v>1.683</v>
      </c>
      <c r="EL158" s="6"/>
      <c r="EM158" s="6"/>
      <c r="EN158" s="6"/>
      <c r="EO158" s="9"/>
      <c r="EP158" s="7">
        <f>IFERROR(EH158/F158,0)</f>
        <v>0</v>
      </c>
      <c r="EQ158"/>
      <c r="ER158"/>
      <c r="ES158"/>
      <c r="ET158"/>
      <c r="EU158"/>
      <c r="EV158" s="4"/>
      <c r="EW158" s="4"/>
      <c r="EX158" s="4"/>
      <c r="EY158" s="6"/>
      <c r="EZ158" s="4"/>
      <c r="FA158" s="4"/>
      <c r="FB158" s="4"/>
      <c r="FC158" s="4"/>
      <c r="FD158" s="4"/>
      <c r="FE158" s="4"/>
      <c r="FF158" s="4"/>
      <c r="FG158" s="6"/>
      <c r="FH158" s="6"/>
      <c r="FI158" s="6"/>
      <c r="FJ158" s="9"/>
      <c r="FK158"/>
      <c r="FL158"/>
      <c r="FM158"/>
      <c r="FN158"/>
      <c r="FO158"/>
      <c r="FP158"/>
      <c r="FQ158" s="4"/>
      <c r="FR158" s="4"/>
      <c r="FS158" s="4"/>
      <c r="FT158" s="6"/>
      <c r="FU158" s="4"/>
      <c r="FV158" s="4"/>
      <c r="FW158" s="4"/>
      <c r="FX158" s="4"/>
      <c r="FY158" s="4"/>
      <c r="FZ158" s="4"/>
      <c r="GA158" s="4"/>
      <c r="GB158" s="6"/>
      <c r="GC158" s="6"/>
      <c r="GD158" s="6"/>
      <c r="GE158" s="9"/>
      <c r="GF158"/>
      <c r="GG158"/>
      <c r="GH158"/>
      <c r="GI158"/>
      <c r="GJ158"/>
      <c r="GK158"/>
      <c r="GL158" s="4"/>
      <c r="GM158" s="4"/>
      <c r="GN158" s="4"/>
      <c r="GO158" s="6"/>
      <c r="GP158" s="4"/>
      <c r="GQ158" s="4"/>
      <c r="GR158" s="4"/>
      <c r="GS158" s="4"/>
      <c r="GT158" s="4"/>
      <c r="GU158" s="4"/>
      <c r="GV158" s="4"/>
      <c r="GW158" s="6"/>
      <c r="GX158" s="6"/>
      <c r="GY158" s="6"/>
      <c r="GZ158" s="9"/>
      <c r="HA158"/>
      <c r="HB158"/>
      <c r="HC158"/>
      <c r="HD158"/>
      <c r="HE158"/>
      <c r="HF158"/>
      <c r="HG158" s="4"/>
      <c r="HH158" s="4"/>
      <c r="HI158" s="4"/>
      <c r="HJ158" s="6"/>
      <c r="HK158" s="4"/>
      <c r="HL158" s="4"/>
      <c r="HM158" s="4"/>
      <c r="HN158" s="4"/>
      <c r="HO158" s="4"/>
      <c r="HP158" s="4"/>
      <c r="HQ158" s="4"/>
      <c r="HR158" s="6"/>
      <c r="HS158" s="6"/>
      <c r="HT158" s="6"/>
      <c r="HU158" s="9"/>
      <c r="HV158"/>
      <c r="HW158"/>
      <c r="HX158"/>
      <c r="HY158"/>
      <c r="HZ158"/>
      <c r="IA158"/>
      <c r="IB158" s="4"/>
      <c r="IC158" s="4"/>
      <c r="ID158" s="4"/>
      <c r="IE158" s="6"/>
      <c r="IF158" s="4"/>
      <c r="IG158" s="4"/>
      <c r="IH158" s="4"/>
      <c r="II158" s="4"/>
      <c r="IJ158" s="4"/>
      <c r="IK158" s="4"/>
      <c r="IL158" s="4"/>
      <c r="IM158" s="6"/>
      <c r="IN158" s="6"/>
      <c r="IO158" s="6"/>
      <c r="IP158" s="9"/>
      <c r="IQ158"/>
      <c r="IR158"/>
      <c r="IS158"/>
      <c r="IT158"/>
      <c r="IU158"/>
      <c r="IV158"/>
      <c r="IW158" s="4"/>
      <c r="IX158" s="4"/>
      <c r="IY158" s="4"/>
      <c r="IZ158" s="6"/>
      <c r="JA158" s="4"/>
      <c r="JB158" s="4"/>
      <c r="JC158" s="4"/>
      <c r="JD158" s="4"/>
      <c r="JE158" s="4"/>
      <c r="JF158" s="4"/>
      <c r="JG158" s="4"/>
      <c r="JH158" s="6"/>
      <c r="JI158" s="6"/>
      <c r="JJ158" s="6"/>
      <c r="JK158" s="9"/>
      <c r="JL158"/>
    </row>
    <row r="159">
      <c r="A159" s="8">
        <v>25437</v>
      </c>
      <c r="B159" s="8">
        <v>25440</v>
      </c>
      <c r="C159" s="9">
        <f>B159-A159</f>
        <v>3</v>
      </c>
      <c r="D159" s="8">
        <v>25437</v>
      </c>
      <c r="E159" t="inlineStr">
        <is>
          <t xml:space="preserve">positive</t>
        </is>
      </c>
      <c r="F159" s="4">
        <v>1.5671487308299594</v>
      </c>
      <c r="G159" s="6">
        <v>-0.001245025762717401</v>
      </c>
      <c r="H159" s="7">
        <f>SUM(CE159,CZ159,DU159,EP159,FK159,GF159,HA159,HV159,IQ159,JL159)</f>
        <v>-0.001245025762717401</v>
      </c>
      <c r="I159" s="7">
        <f>G159-H159</f>
        <v>0</v>
      </c>
      <c r="J159" s="5">
        <f>F159*(1+H159)</f>
        <v>1.5651975902860662</v>
      </c>
      <c r="K159" s="4">
        <v>1.5651975902860662</v>
      </c>
      <c r="L159" s="5">
        <f>K159-J159</f>
        <v>0</v>
      </c>
      <c r="M159" s="4">
        <v>1.683</v>
      </c>
      <c r="N159" s="4">
        <v>1.674</v>
      </c>
      <c r="O159" s="5">
        <f>M159/$M$3</f>
        <v>0.8595505617977528</v>
      </c>
      <c r="P159" s="5">
        <f>N159/$M$3</f>
        <v>0.8549540347293156</v>
      </c>
      <c r="Q159" s="7">
        <f>IFERROR(N159/M159-1,0)</f>
        <v>-0.005347593582887722</v>
      </c>
      <c r="R159" s="5">
        <f>SUM(IF(BM159="lease",BU159,0),IF(CH159="lease",CP159,0),IF(DC159="lease",DK159,0),IF(DX159="lease",EF159,0),IF(ES159="lease",FA159,0),IF(FN159="lease",FV159,0),IF(GI159="lease",GQ159,0),IF(HD159="lease",HL159,0),IF(HY159="lease",IG159,0),IF(IT159="lease",JB159,0))</f>
        <v>1.5671487308299603</v>
      </c>
      <c r="S159" s="5">
        <f>SUM(IF(BM159="lease",BV159,0),IF(CH159="lease",CQ159,0),IF(DC159="lease",DL159,0),IF(DX159="lease",EG159,0),IF(ES159="lease",FB159,0),IF(FN159="lease",FW159,0),IF(GI159="lease",GR159,0),IF(HD159="lease",HM159,0),IF(HY159="lease",IH159,0),IF(IT159="lease",JC159,0))</f>
        <v>1.565197590286067</v>
      </c>
      <c r="T159" s="5">
        <f>SUM(IF(BM159="keep",BU159,0),IF(CH159="keep",CP159,0),IF(DC159="keep",DK159,0),IF(DX159="keep",EF159,0),IF(ES159="keep",FA159,0),IF(FN159="keep",FV159,0),IF(GI159="keep",GQ159,0),IF(HD159="keep",HL159,0),IF(HY159="keep",IG159,0),IF(IT159="keep",JB159,0))</f>
        <v>0</v>
      </c>
      <c r="U159" s="5">
        <f>SUM(IF(BM159="keep",BV159,0),IF(CH159="keep",CQ159,0),IF(DC159="keep",DL159,0),IF(DX159="keep",EG159,0),IF(ES159="keep",FB159,0),IF(FN159="keep",FW159,0),IF(GI159="keep",GR159,0),IF(HD159="keep",HM159,0),IF(HY159="keep",IH159,0),IF(IT159="keep",JC159,0))</f>
        <v>0</v>
      </c>
      <c r="V159" s="5">
        <f>R159/O159</f>
        <v>1.8232187848871433</v>
      </c>
      <c r="W159" s="5">
        <f>S159/P159</f>
        <v>1.8307388780048504</v>
      </c>
      <c r="X159" s="5">
        <f>T159/O159</f>
        <v>0</v>
      </c>
      <c r="Y159" s="5">
        <f>U159/P159</f>
        <v>0</v>
      </c>
      <c r="Z159" s="5">
        <f>V159+X159</f>
        <v>1.8232187848871433</v>
      </c>
      <c r="AA159" s="7">
        <f>IFERROR(W159/V159-1,0)</f>
        <v>0.0041246246364079475</v>
      </c>
      <c r="AB159" s="7">
        <f>IFERROR((W159-V159)/Z159,0)</f>
        <v>0.004124624636407837</v>
      </c>
      <c r="AC159" s="7">
        <f>IFERROR(Y159/X159-1,0)</f>
        <v>0</v>
      </c>
      <c r="AD159" s="7">
        <f>IFERROR((Y159-X159)/Z159,0)</f>
        <v>0</v>
      </c>
      <c r="AE159" s="7">
        <f>AB159+AD159</f>
        <v>0.004124624636407837</v>
      </c>
      <c r="AF159" s="7">
        <f>(1+Q159)*(1+AE159)-1</f>
        <v>-0.0012450257627172334</v>
      </c>
      <c r="AG159" s="7">
        <f>G159-AF159</f>
        <v>-1.6761765586625899e-16</v>
      </c>
      <c r="AH159" s="5">
        <f>SUM(IF(BM159="lease",BW159,0),IF(CH159="lease",CR159,0),IF(DC159="lease",DM159,0),IF(DX159="lease",EH159,0),IF(ES159="lease",FC159,0),IF(FN159="lease",FX159,0),IF(GI159="lease",GS159,0),IF(HD159="lease",HN159,0),IF(HY159="lease",II159,0),IF(IT159="lease",JD159,0))</f>
        <v>-0.001951140543893177</v>
      </c>
      <c r="AI159" s="5">
        <f>SUM(IF(BM159="keep",BW159,0),IF(CH159="keep",CR159,0),IF(DC159="keep",DM159,0),IF(DX159="keep",EH159,0),IF(ES159="keep",FC159,0),IF(FN159="keep",FX159,0),IF(GI159="keep",GS159,0),IF(HD159="keep",HN159,0),IF(HY159="keep",II159,0),IF(IT159="keep",JD159,0))</f>
        <v>0</v>
      </c>
      <c r="AJ159" s="5">
        <f>SUM(IF(BM159="lease",BX159,0),IF(CH159="lease",CS159,0),IF(DC159="lease",DN159,0),IF(DX159="lease",EI159,0),IF(ES159="lease",FD159,0),IF(FN159="lease",FY159,0),IF(GI159="lease",GT159,0),IF(HD159="lease",HO159,0),IF(HY159="lease",IJ159,0),IF(IT159="lease",JE159,0))</f>
        <v>0</v>
      </c>
      <c r="AK159" s="5">
        <f>SUM(IF(BM159="keep",BX159,0),IF(CH159="keep",CS159,0),IF(DC159="keep",DN159,0),IF(DX159="keep",EI159,0),IF(ES159="keep",FD159,0),IF(FN159="keep",FY159,0),IF(GI159="keep",GT159,0),IF(HD159="keep",HO159,0),IF(HY159="keep",IJ159,0),IF(IT159="keep",JE159,0))</f>
        <v>0</v>
      </c>
      <c r="AL159" s="5">
        <f>R159-S158</f>
        <v>0</v>
      </c>
      <c r="AM159" s="5">
        <f>T159-U158</f>
        <v>0</v>
      </c>
      <c r="AN159" s="5">
        <f>AN158</f>
        <v>1</v>
      </c>
      <c r="AO159" s="5">
        <f>AO158+AH159</f>
        <v>0.5651975902860673</v>
      </c>
      <c r="AP159" s="5">
        <f>AP158+AL159</f>
        <v>-4.440892098500626e-16</v>
      </c>
      <c r="AQ159" s="5">
        <f>AN159+AO159+AP159</f>
        <v>1.5651975902860669</v>
      </c>
      <c r="AR159" s="5">
        <f>S159-AQ159</f>
        <v>2.220446049250313e-16</v>
      </c>
      <c r="AS159" s="5">
        <f>AS158</f>
        <v>0</v>
      </c>
      <c r="AT159" s="5">
        <f>AT158+AI159</f>
        <v>0</v>
      </c>
      <c r="AU159" s="5">
        <f>AU158+AM159</f>
        <v>0</v>
      </c>
      <c r="AV159" s="5">
        <f>AS159+AT159+AU159</f>
        <v>0</v>
      </c>
      <c r="AW159" s="5">
        <f>U159-AV159</f>
        <v>0</v>
      </c>
      <c r="AX159" s="4">
        <v>1.5671487308299603</v>
      </c>
      <c r="AY159" s="4">
        <v>1.565197590286067</v>
      </c>
      <c r="AZ159" s="5">
        <f>S159-AY159</f>
        <v>0</v>
      </c>
      <c r="BA159" s="4">
        <v>0</v>
      </c>
      <c r="BB159" s="4">
        <v>0</v>
      </c>
      <c r="BC159" s="5">
        <f>U159-BB159</f>
        <v>0</v>
      </c>
      <c r="BD159" s="7">
        <f>SUM(IF(BL159="direct",CE159,0),IF(CG159="direct",CZ159,0),IF(DB159="direct",DU159,0),IF(DW159="direct",EP159,0),IF(ER159="direct",FK159,0),IF(FM159="direct",GF159,0),IF(GH159="direct",HA159,0),IF(HC159="direct",HV159,0),IF(HX159="direct",IQ159,0),IF(IS159="direct",JL159,0))</f>
        <v>0</v>
      </c>
      <c r="BE159" s="7">
        <f>SUM(IF(BL159="treasury",CE159,0),IF(CG159="treasury",CZ159,0),IF(DB159="treasury",DU159,0),IF(DW159="treasury",EP159,0),IF(ER159="treasury",FK159,0),IF(FM159="treasury",GF159,0),IF(GH159="treasury",HA159,0),IF(HC159="treasury",HV159,0),IF(HX159="treasury",IQ159,0),IF(IS159="treasury",JL159,0))</f>
        <v>0.0005720547945205479</v>
      </c>
      <c r="BF159" s="7">
        <f>SUM(IF(BL159="future",CE159,0),IF(CG159="future",CZ159,0),IF(DB159="future",DU159,0),IF(DW159="future",EP159,0),IF(ER159="future",FK159,0),IF(FM159="future",GF159,0),IF(GH159="future",HA159,0),IF(HC159="future",HV159,0),IF(HX159="future",IQ159,0),IF(IS159="future",JL159,0))</f>
        <v>-0.001817080557237949</v>
      </c>
      <c r="BG159" s="7">
        <f>SUM(IF(BL159="cash",CE159,0),IF(CG159="cash",CZ159,0),IF(DB159="cash",DU159,0),IF(DW159="cash",EP159,0),IF(ER159="cash",FK159,0),IF(FM159="cash",GF159,0),IF(GH159="cash",HA159,0),IF(HC159="cash",HV159,0),IF(HX159="cash",IQ159,0),IF(IS159="cash",JL159,0))</f>
        <v>0</v>
      </c>
      <c r="BH159" s="7">
        <f>SUM(BD159:BG159)</f>
        <v>-0.001245025762717401</v>
      </c>
      <c r="BI159" s="7">
        <f>G159-BH159</f>
        <v>0</v>
      </c>
      <c r="BJ159" s="9">
        <f>COUNTA(BK159,CF159,DA159,DV159,EQ159,FL159,GG159,HB159,HW159,IR159)</f>
        <v>4</v>
      </c>
      <c r="BK159" t="inlineStr">
        <is>
          <t xml:space="preserve">Treasury collateral</t>
        </is>
      </c>
      <c r="BL159" t="inlineStr">
        <is>
          <t xml:space="preserve">treasury</t>
        </is>
      </c>
      <c r="BM159" t="inlineStr">
        <is>
          <t xml:space="preserve">lease</t>
        </is>
      </c>
      <c r="BN159" t="inlineStr">
        <is>
          <t xml:space="preserve">long</t>
        </is>
      </c>
      <c r="BO159"/>
      <c r="BP159" s="4">
        <v>104.10372894181592</v>
      </c>
      <c r="BQ159" s="4">
        <v>104.16328197908456</v>
      </c>
      <c r="BR159" s="4">
        <v>0.015053723308084828</v>
      </c>
      <c r="BS159" s="6">
        <v>1</v>
      </c>
      <c r="BT159" s="4">
        <v>1.5671487308299594</v>
      </c>
      <c r="BU159" s="4">
        <v>1.5671487308299594</v>
      </c>
      <c r="BV159" s="4">
        <v>1.5680452257751576</v>
      </c>
      <c r="BW159" s="4">
        <v>0.0008964949451980698</v>
      </c>
      <c r="BX159" s="4">
        <v>9.75781955236954e-17</v>
      </c>
      <c r="BY159" s="4">
        <v>1.683</v>
      </c>
      <c r="BZ159" s="4">
        <v>1.674</v>
      </c>
      <c r="CA159" s="6"/>
      <c r="CB159" s="6"/>
      <c r="CC159" s="6"/>
      <c r="CD159" s="9">
        <v>35</v>
      </c>
      <c r="CE159" s="7">
        <f>IFERROR(BW159/F159,0)</f>
        <v>0.0005720547945205479</v>
      </c>
      <c r="CF159" t="inlineStr">
        <is>
          <t xml:space="preserve">SI69U</t>
        </is>
      </c>
      <c r="CG159" t="inlineStr">
        <is>
          <t xml:space="preserve">future</t>
        </is>
      </c>
      <c r="CH159" t="inlineStr">
        <is>
          <t xml:space="preserve">lease</t>
        </is>
      </c>
      <c r="CI159" t="inlineStr">
        <is>
          <t xml:space="preserve">long</t>
        </is>
      </c>
      <c r="CJ159" t="inlineStr">
        <is>
          <t xml:space="preserve">regular</t>
        </is>
      </c>
      <c r="CK159" s="4">
        <v>1.651</v>
      </c>
      <c r="CL159" s="4">
        <v>1.6480000000000001</v>
      </c>
      <c r="CM159" s="4">
        <v>0.9492118296971287</v>
      </c>
      <c r="CN159" s="6">
        <v>1</v>
      </c>
      <c r="CO159" s="4">
        <v>1.5671487308299594</v>
      </c>
      <c r="CP159" s="4">
        <v>0</v>
      </c>
      <c r="CQ159" s="4">
        <v>0</v>
      </c>
      <c r="CR159" s="4">
        <v>-0.002847635489091247</v>
      </c>
      <c r="CS159" s="4">
        <v>0.002847635489091247</v>
      </c>
      <c r="CT159" s="4">
        <v>1.683</v>
      </c>
      <c r="CU159" s="4">
        <v>1.674</v>
      </c>
      <c r="CV159" s="6">
        <v>-0.019013666072489666</v>
      </c>
      <c r="CW159" s="6">
        <v>0.0696</v>
      </c>
      <c r="CX159" s="6">
        <v>0.26788537475596363</v>
      </c>
      <c r="CY159" s="9">
        <v>35</v>
      </c>
      <c r="CZ159" s="7">
        <f>IFERROR(CR159/F159,0)</f>
        <v>-0.001817080557237949</v>
      </c>
      <c r="DA159" t="inlineStr">
        <is>
          <t xml:space="preserve">Lease cash / margin / financing</t>
        </is>
      </c>
      <c r="DB159" t="inlineStr">
        <is>
          <t xml:space="preserve">cash</t>
        </is>
      </c>
      <c r="DC159" t="inlineStr">
        <is>
          <t xml:space="preserve">lease</t>
        </is>
      </c>
      <c r="DD159" t="inlineStr">
        <is>
          <t xml:space="preserve">cash</t>
        </is>
      </c>
      <c r="DE159"/>
      <c r="DF159" s="4">
        <v>1</v>
      </c>
      <c r="DG159" s="4">
        <v>1</v>
      </c>
      <c r="DH159" s="4">
        <v>8.881784197001252e-16</v>
      </c>
      <c r="DI159" s="6"/>
      <c r="DJ159" s="4">
        <v>8.881784197001252e-16</v>
      </c>
      <c r="DK159" s="4">
        <v>8.881784197001252e-16</v>
      </c>
      <c r="DL159" s="4">
        <v>-0.0028476354890904563</v>
      </c>
      <c r="DM159" s="4">
        <v>0</v>
      </c>
      <c r="DN159" s="4">
        <v>-0.0028476354890913445</v>
      </c>
      <c r="DO159" s="4">
        <v>1.683</v>
      </c>
      <c r="DP159" s="4">
        <v>1.674</v>
      </c>
      <c r="DQ159" s="6"/>
      <c r="DR159" s="6"/>
      <c r="DS159" s="6"/>
      <c r="DT159" s="9"/>
      <c r="DU159" s="7">
        <f>IFERROR(DM159/F159,0)</f>
        <v>0</v>
      </c>
      <c r="DV159" t="inlineStr">
        <is>
          <t xml:space="preserve">Keep cash / margin / financing</t>
        </is>
      </c>
      <c r="DW159" t="inlineStr">
        <is>
          <t xml:space="preserve">cash</t>
        </is>
      </c>
      <c r="DX159" t="inlineStr">
        <is>
          <t xml:space="preserve">keep</t>
        </is>
      </c>
      <c r="DY159" t="inlineStr">
        <is>
          <t xml:space="preserve">cash</t>
        </is>
      </c>
      <c r="DZ159"/>
      <c r="EA159" s="4">
        <v>1</v>
      </c>
      <c r="EB159" s="4">
        <v>1</v>
      </c>
      <c r="EC159" s="4">
        <v>0</v>
      </c>
      <c r="ED159" s="6"/>
      <c r="EE159" s="4">
        <v>0</v>
      </c>
      <c r="EF159" s="4">
        <v>0</v>
      </c>
      <c r="EG159" s="4">
        <v>0</v>
      </c>
      <c r="EH159" s="4">
        <v>0</v>
      </c>
      <c r="EI159" s="4">
        <v>0</v>
      </c>
      <c r="EJ159" s="4">
        <v>1.683</v>
      </c>
      <c r="EK159" s="4">
        <v>1.674</v>
      </c>
      <c r="EL159" s="6"/>
      <c r="EM159" s="6"/>
      <c r="EN159" s="6"/>
      <c r="EO159" s="9"/>
      <c r="EP159" s="7">
        <f>IFERROR(EH159/F159,0)</f>
        <v>0</v>
      </c>
      <c r="EQ159"/>
      <c r="ER159"/>
      <c r="ES159"/>
      <c r="ET159"/>
      <c r="EU159"/>
      <c r="EV159" s="4"/>
      <c r="EW159" s="4"/>
      <c r="EX159" s="4"/>
      <c r="EY159" s="6"/>
      <c r="EZ159" s="4"/>
      <c r="FA159" s="4"/>
      <c r="FB159" s="4"/>
      <c r="FC159" s="4"/>
      <c r="FD159" s="4"/>
      <c r="FE159" s="4"/>
      <c r="FF159" s="4"/>
      <c r="FG159" s="6"/>
      <c r="FH159" s="6"/>
      <c r="FI159" s="6"/>
      <c r="FJ159" s="9"/>
      <c r="FK159"/>
      <c r="FL159"/>
      <c r="FM159"/>
      <c r="FN159"/>
      <c r="FO159"/>
      <c r="FP159"/>
      <c r="FQ159" s="4"/>
      <c r="FR159" s="4"/>
      <c r="FS159" s="4"/>
      <c r="FT159" s="6"/>
      <c r="FU159" s="4"/>
      <c r="FV159" s="4"/>
      <c r="FW159" s="4"/>
      <c r="FX159" s="4"/>
      <c r="FY159" s="4"/>
      <c r="FZ159" s="4"/>
      <c r="GA159" s="4"/>
      <c r="GB159" s="6"/>
      <c r="GC159" s="6"/>
      <c r="GD159" s="6"/>
      <c r="GE159" s="9"/>
      <c r="GF159"/>
      <c r="GG159"/>
      <c r="GH159"/>
      <c r="GI159"/>
      <c r="GJ159"/>
      <c r="GK159"/>
      <c r="GL159" s="4"/>
      <c r="GM159" s="4"/>
      <c r="GN159" s="4"/>
      <c r="GO159" s="6"/>
      <c r="GP159" s="4"/>
      <c r="GQ159" s="4"/>
      <c r="GR159" s="4"/>
      <c r="GS159" s="4"/>
      <c r="GT159" s="4"/>
      <c r="GU159" s="4"/>
      <c r="GV159" s="4"/>
      <c r="GW159" s="6"/>
      <c r="GX159" s="6"/>
      <c r="GY159" s="6"/>
      <c r="GZ159" s="9"/>
      <c r="HA159"/>
      <c r="HB159"/>
      <c r="HC159"/>
      <c r="HD159"/>
      <c r="HE159"/>
      <c r="HF159"/>
      <c r="HG159" s="4"/>
      <c r="HH159" s="4"/>
      <c r="HI159" s="4"/>
      <c r="HJ159" s="6"/>
      <c r="HK159" s="4"/>
      <c r="HL159" s="4"/>
      <c r="HM159" s="4"/>
      <c r="HN159" s="4"/>
      <c r="HO159" s="4"/>
      <c r="HP159" s="4"/>
      <c r="HQ159" s="4"/>
      <c r="HR159" s="6"/>
      <c r="HS159" s="6"/>
      <c r="HT159" s="6"/>
      <c r="HU159" s="9"/>
      <c r="HV159"/>
      <c r="HW159"/>
      <c r="HX159"/>
      <c r="HY159"/>
      <c r="HZ159"/>
      <c r="IA159"/>
      <c r="IB159" s="4"/>
      <c r="IC159" s="4"/>
      <c r="ID159" s="4"/>
      <c r="IE159" s="6"/>
      <c r="IF159" s="4"/>
      <c r="IG159" s="4"/>
      <c r="IH159" s="4"/>
      <c r="II159" s="4"/>
      <c r="IJ159" s="4"/>
      <c r="IK159" s="4"/>
      <c r="IL159" s="4"/>
      <c r="IM159" s="6"/>
      <c r="IN159" s="6"/>
      <c r="IO159" s="6"/>
      <c r="IP159" s="9"/>
      <c r="IQ159"/>
      <c r="IR159"/>
      <c r="IS159"/>
      <c r="IT159"/>
      <c r="IU159"/>
      <c r="IV159"/>
      <c r="IW159" s="4"/>
      <c r="IX159" s="4"/>
      <c r="IY159" s="4"/>
      <c r="IZ159" s="6"/>
      <c r="JA159" s="4"/>
      <c r="JB159" s="4"/>
      <c r="JC159" s="4"/>
      <c r="JD159" s="4"/>
      <c r="JE159" s="4"/>
      <c r="JF159" s="4"/>
      <c r="JG159" s="4"/>
      <c r="JH159" s="6"/>
      <c r="JI159" s="6"/>
      <c r="JJ159" s="6"/>
      <c r="JK159" s="9"/>
      <c r="JL159"/>
    </row>
    <row r="160">
      <c r="A160" s="8">
        <v>25440</v>
      </c>
      <c r="B160" s="8">
        <v>25441</v>
      </c>
      <c r="C160" s="9">
        <f>B160-A160</f>
        <v>1</v>
      </c>
      <c r="D160" s="8">
        <v>25440</v>
      </c>
      <c r="E160" t="inlineStr">
        <is>
          <t xml:space="preserve">positive</t>
        </is>
      </c>
      <c r="F160" s="4">
        <v>1.5651975902860662</v>
      </c>
      <c r="G160" s="6">
        <v>0.00019178082191780824</v>
      </c>
      <c r="H160" s="7">
        <f>SUM(CE160,CZ160,DU160,EP160,FK160,GF160,HA160,HV160,IQ160,JL160)</f>
        <v>0.00019178082191780824</v>
      </c>
      <c r="I160" s="7">
        <f>G160-H160</f>
        <v>0</v>
      </c>
      <c r="J160" s="5">
        <f>F160*(1+H160)</f>
        <v>1.565497765166395</v>
      </c>
      <c r="K160" s="4">
        <v>1.565497765166395</v>
      </c>
      <c r="L160" s="5">
        <f>K160-J160</f>
        <v>0</v>
      </c>
      <c r="M160" s="4">
        <v>1.674</v>
      </c>
      <c r="N160" s="4">
        <v>1.663</v>
      </c>
      <c r="O160" s="5">
        <f>M160/$M$3</f>
        <v>0.8549540347293156</v>
      </c>
      <c r="P160" s="5">
        <f>N160/$M$3</f>
        <v>0.8493360572012257</v>
      </c>
      <c r="Q160" s="7">
        <f>IFERROR(N160/M160-1,0)</f>
        <v>-0.006571087216248439</v>
      </c>
      <c r="R160" s="5">
        <f>SUM(IF(BM160="lease",BU160,0),IF(CH160="lease",CP160,0),IF(DC160="lease",DK160,0),IF(DX160="lease",EF160,0),IF(ES160="lease",FA160,0),IF(FN160="lease",FV160,0),IF(GI160="lease",GQ160,0),IF(HD160="lease",HL160,0),IF(HY160="lease",IG160,0),IF(IT160="lease",JB160,0))</f>
        <v>1.565197590286067</v>
      </c>
      <c r="S160" s="5">
        <f>SUM(IF(BM160="lease",BV160,0),IF(CH160="lease",CQ160,0),IF(DC160="lease",DL160,0),IF(DX160="lease",EG160,0),IF(ES160="lease",FB160,0),IF(FN160="lease",FW160,0),IF(GI160="lease",GR160,0),IF(HD160="lease",HM160,0),IF(HY160="lease",IH160,0),IF(IT160="lease",JC160,0))</f>
        <v>1.565497765166396</v>
      </c>
      <c r="T160" s="5">
        <f>SUM(IF(BM160="keep",BU160,0),IF(CH160="keep",CP160,0),IF(DC160="keep",DK160,0),IF(DX160="keep",EF160,0),IF(ES160="keep",FA160,0),IF(FN160="keep",FV160,0),IF(GI160="keep",GQ160,0),IF(HD160="keep",HL160,0),IF(HY160="keep",IG160,0),IF(IT160="keep",JB160,0))</f>
        <v>0</v>
      </c>
      <c r="U160" s="5">
        <f>SUM(IF(BM160="keep",BV160,0),IF(CH160="keep",CQ160,0),IF(DC160="keep",DL160,0),IF(DX160="keep",EG160,0),IF(ES160="keep",FB160,0),IF(FN160="keep",FW160,0),IF(GI160="keep",GR160,0),IF(HD160="keep",HM160,0),IF(HY160="keep",IH160,0),IF(IT160="keep",JC160,0))</f>
        <v>0</v>
      </c>
      <c r="V160" s="5">
        <f>R160/O160</f>
        <v>1.8307388780048504</v>
      </c>
      <c r="W160" s="5">
        <f>S160/P160</f>
        <v>1.843201818518222</v>
      </c>
      <c r="X160" s="5">
        <f>T160/O160</f>
        <v>0</v>
      </c>
      <c r="Y160" s="5">
        <f>U160/P160</f>
        <v>0</v>
      </c>
      <c r="Z160" s="5">
        <f>V160+X160</f>
        <v>1.8307388780048504</v>
      </c>
      <c r="AA160" s="7">
        <f>IFERROR(W160/V160-1,0)</f>
        <v>0.006807601380571349</v>
      </c>
      <c r="AB160" s="7">
        <f>IFERROR((W160-V160)/Z160,0)</f>
        <v>0.006807601380571425</v>
      </c>
      <c r="AC160" s="7">
        <f>IFERROR(Y160/X160-1,0)</f>
        <v>0</v>
      </c>
      <c r="AD160" s="7">
        <f>IFERROR((Y160-X160)/Z160,0)</f>
        <v>0</v>
      </c>
      <c r="AE160" s="7">
        <f>AB160+AD160</f>
        <v>0.006807601380571425</v>
      </c>
      <c r="AF160" s="7">
        <f>(1+Q160)*(1+AE160)-1</f>
        <v>0.0001917808219176198</v>
      </c>
      <c r="AG160" s="7">
        <f>G160-AF160</f>
        <v>1.8843433757798067e-16</v>
      </c>
      <c r="AH160" s="5">
        <f>SUM(IF(BM160="lease",BW160,0),IF(CH160="lease",CR160,0),IF(DC160="lease",DM160,0),IF(DX160="lease",EH160,0),IF(ES160="lease",FC160,0),IF(FN160="lease",FX160,0),IF(GI160="lease",GS160,0),IF(HD160="lease",HN160,0),IF(HY160="lease",II160,0),IF(IT160="lease",JD160,0))</f>
        <v>0.0003001748803288346</v>
      </c>
      <c r="AI160" s="5">
        <f>SUM(IF(BM160="keep",BW160,0),IF(CH160="keep",CR160,0),IF(DC160="keep",DM160,0),IF(DX160="keep",EH160,0),IF(ES160="keep",FC160,0),IF(FN160="keep",FX160,0),IF(GI160="keep",GS160,0),IF(HD160="keep",HN160,0),IF(HY160="keep",II160,0),IF(IT160="keep",JD160,0))</f>
        <v>0</v>
      </c>
      <c r="AJ160" s="5">
        <f>SUM(IF(BM160="lease",BX160,0),IF(CH160="lease",CS160,0),IF(DC160="lease",DN160,0),IF(DX160="lease",EI160,0),IF(ES160="lease",FD160,0),IF(FN160="lease",FY160,0),IF(GI160="lease",GT160,0),IF(HD160="lease",HO160,0),IF(HY160="lease",IJ160,0),IF(IT160="lease",JE160,0))</f>
        <v>0</v>
      </c>
      <c r="AK160" s="5">
        <f>SUM(IF(BM160="keep",BX160,0),IF(CH160="keep",CS160,0),IF(DC160="keep",DN160,0),IF(DX160="keep",EI160,0),IF(ES160="keep",FD160,0),IF(FN160="keep",FY160,0),IF(GI160="keep",GT160,0),IF(HD160="keep",HO160,0),IF(HY160="keep",IJ160,0),IF(IT160="keep",JE160,0))</f>
        <v>0</v>
      </c>
      <c r="AL160" s="5">
        <f>R160-S159</f>
        <v>0</v>
      </c>
      <c r="AM160" s="5">
        <f>T160-U159</f>
        <v>0</v>
      </c>
      <c r="AN160" s="5">
        <f>AN159</f>
        <v>1</v>
      </c>
      <c r="AO160" s="5">
        <f>AO159+AH160</f>
        <v>0.5654977651663962</v>
      </c>
      <c r="AP160" s="5">
        <f>AP159+AL160</f>
        <v>-4.440892098500626e-16</v>
      </c>
      <c r="AQ160" s="5">
        <f>AN160+AO160+AP160</f>
        <v>1.5654977651663957</v>
      </c>
      <c r="AR160" s="5">
        <f>S160-AQ160</f>
        <v>2.220446049250313e-16</v>
      </c>
      <c r="AS160" s="5">
        <f>AS159</f>
        <v>0</v>
      </c>
      <c r="AT160" s="5">
        <f>AT159+AI160</f>
        <v>0</v>
      </c>
      <c r="AU160" s="5">
        <f>AU159+AM160</f>
        <v>0</v>
      </c>
      <c r="AV160" s="5">
        <f>AS160+AT160+AU160</f>
        <v>0</v>
      </c>
      <c r="AW160" s="5">
        <f>U160-AV160</f>
        <v>0</v>
      </c>
      <c r="AX160" s="4">
        <v>1.565197590286067</v>
      </c>
      <c r="AY160" s="4">
        <v>1.565497765166396</v>
      </c>
      <c r="AZ160" s="5">
        <f>S160-AY160</f>
        <v>0</v>
      </c>
      <c r="BA160" s="4">
        <v>0</v>
      </c>
      <c r="BB160" s="4">
        <v>0</v>
      </c>
      <c r="BC160" s="5">
        <f>U160-BB160</f>
        <v>0</v>
      </c>
      <c r="BD160" s="7">
        <f>SUM(IF(BL160="direct",CE160,0),IF(CG160="direct",CZ160,0),IF(DB160="direct",DU160,0),IF(DW160="direct",EP160,0),IF(ER160="direct",FK160,0),IF(FM160="direct",GF160,0),IF(GH160="direct",HA160,0),IF(HC160="direct",HV160,0),IF(HX160="direct",IQ160,0),IF(IS160="direct",JL160,0))</f>
        <v>0</v>
      </c>
      <c r="BE160" s="7">
        <f>SUM(IF(BL160="treasury",CE160,0),IF(CG160="treasury",CZ160,0),IF(DB160="treasury",DU160,0),IF(DW160="treasury",EP160,0),IF(ER160="treasury",FK160,0),IF(FM160="treasury",GF160,0),IF(GH160="treasury",HA160,0),IF(HC160="treasury",HV160,0),IF(HX160="treasury",IQ160,0),IF(IS160="treasury",JL160,0))</f>
        <v>0.00019178082191780824</v>
      </c>
      <c r="BF160" s="7">
        <f>SUM(IF(BL160="future",CE160,0),IF(CG160="future",CZ160,0),IF(DB160="future",DU160,0),IF(DW160="future",EP160,0),IF(ER160="future",FK160,0),IF(FM160="future",GF160,0),IF(GH160="future",HA160,0),IF(HC160="future",HV160,0),IF(HX160="future",IQ160,0),IF(IS160="future",JL160,0))</f>
        <v>0</v>
      </c>
      <c r="BG160" s="7">
        <f>SUM(IF(BL160="cash",CE160,0),IF(CG160="cash",CZ160,0),IF(DB160="cash",DU160,0),IF(DW160="cash",EP160,0),IF(ER160="cash",FK160,0),IF(FM160="cash",GF160,0),IF(GH160="cash",HA160,0),IF(HC160="cash",HV160,0),IF(HX160="cash",IQ160,0),IF(IS160="cash",JL160,0))</f>
        <v>0</v>
      </c>
      <c r="BH160" s="7">
        <f>SUM(BD160:BG160)</f>
        <v>0.00019178082191780824</v>
      </c>
      <c r="BI160" s="7">
        <f>G160-BH160</f>
        <v>0</v>
      </c>
      <c r="BJ160" s="9">
        <f>COUNTA(BK160,CF160,DA160,DV160,EQ160,FL160,GG160,HB160,HW160,IR160)</f>
        <v>4</v>
      </c>
      <c r="BK160" t="inlineStr">
        <is>
          <t xml:space="preserve">Treasury collateral</t>
        </is>
      </c>
      <c r="BL160" t="inlineStr">
        <is>
          <t xml:space="preserve">treasury</t>
        </is>
      </c>
      <c r="BM160" t="inlineStr">
        <is>
          <t xml:space="preserve">lease</t>
        </is>
      </c>
      <c r="BN160" t="inlineStr">
        <is>
          <t xml:space="preserve">long</t>
        </is>
      </c>
      <c r="BO160"/>
      <c r="BP160" s="4">
        <v>104.16328197908456</v>
      </c>
      <c r="BQ160" s="4">
        <v>104.18325849891616</v>
      </c>
      <c r="BR160" s="4">
        <v>0.015026385119089755</v>
      </c>
      <c r="BS160" s="6">
        <v>1</v>
      </c>
      <c r="BT160" s="4">
        <v>1.5651975902860662</v>
      </c>
      <c r="BU160" s="4">
        <v>1.5651975902860662</v>
      </c>
      <c r="BV160" s="4">
        <v>1.565497765166395</v>
      </c>
      <c r="BW160" s="4">
        <v>0.0003001748803288346</v>
      </c>
      <c r="BX160" s="4">
        <v>1.713039432527097e-17</v>
      </c>
      <c r="BY160" s="4">
        <v>1.674</v>
      </c>
      <c r="BZ160" s="4">
        <v>1.663</v>
      </c>
      <c r="CA160" s="6"/>
      <c r="CB160" s="6"/>
      <c r="CC160" s="6"/>
      <c r="CD160" s="9">
        <v>32</v>
      </c>
      <c r="CE160" s="7">
        <f>IFERROR(BW160/F160,0)</f>
        <v>0.00019178082191780824</v>
      </c>
      <c r="CF160" t="inlineStr">
        <is>
          <t xml:space="preserve">SI69U</t>
        </is>
      </c>
      <c r="CG160" t="inlineStr">
        <is>
          <t xml:space="preserve">future</t>
        </is>
      </c>
      <c r="CH160" t="inlineStr">
        <is>
          <t xml:space="preserve">lease</t>
        </is>
      </c>
      <c r="CI160" t="inlineStr">
        <is>
          <t xml:space="preserve">long</t>
        </is>
      </c>
      <c r="CJ160" t="inlineStr">
        <is>
          <t xml:space="preserve">regular</t>
        </is>
      </c>
      <c r="CK160" s="4">
        <v>1.6480000000000001</v>
      </c>
      <c r="CL160" s="4">
        <v>1.6480000000000001</v>
      </c>
      <c r="CM160" s="4">
        <v>0.9497558193483411</v>
      </c>
      <c r="CN160" s="6">
        <v>1</v>
      </c>
      <c r="CO160" s="4">
        <v>1.5651975902860662</v>
      </c>
      <c r="CP160" s="4">
        <v>0</v>
      </c>
      <c r="CQ160" s="4">
        <v>0</v>
      </c>
      <c r="CR160" s="4">
        <v>0</v>
      </c>
      <c r="CS160" s="4">
        <v>0</v>
      </c>
      <c r="CT160" s="4">
        <v>1.674</v>
      </c>
      <c r="CU160" s="4">
        <v>1.663</v>
      </c>
      <c r="CV160" s="6">
        <v>-0.015531660692950866</v>
      </c>
      <c r="CW160" s="6">
        <v>0.07</v>
      </c>
      <c r="CX160" s="6">
        <v>0.24715800477897085</v>
      </c>
      <c r="CY160" s="9">
        <v>32</v>
      </c>
      <c r="CZ160" s="7">
        <f>IFERROR(CR160/F160,0)</f>
        <v>0</v>
      </c>
      <c r="DA160" t="inlineStr">
        <is>
          <t xml:space="preserve">Lease cash / margin / financing</t>
        </is>
      </c>
      <c r="DB160" t="inlineStr">
        <is>
          <t xml:space="preserve">cash</t>
        </is>
      </c>
      <c r="DC160" t="inlineStr">
        <is>
          <t xml:space="preserve">lease</t>
        </is>
      </c>
      <c r="DD160" t="inlineStr">
        <is>
          <t xml:space="preserve">cash</t>
        </is>
      </c>
      <c r="DE160"/>
      <c r="DF160" s="4">
        <v>1</v>
      </c>
      <c r="DG160" s="4">
        <v>1</v>
      </c>
      <c r="DH160" s="4">
        <v>8.881784197001252e-16</v>
      </c>
      <c r="DI160" s="6"/>
      <c r="DJ160" s="4">
        <v>8.881784197001252e-16</v>
      </c>
      <c r="DK160" s="4">
        <v>8.881784197001252e-16</v>
      </c>
      <c r="DL160" s="4">
        <v>8.710480253748543e-16</v>
      </c>
      <c r="DM160" s="4">
        <v>0</v>
      </c>
      <c r="DN160" s="4">
        <v>-1.713039432527097e-17</v>
      </c>
      <c r="DO160" s="4">
        <v>1.674</v>
      </c>
      <c r="DP160" s="4">
        <v>1.663</v>
      </c>
      <c r="DQ160" s="6"/>
      <c r="DR160" s="6"/>
      <c r="DS160" s="6"/>
      <c r="DT160" s="9"/>
      <c r="DU160" s="7">
        <f>IFERROR(DM160/F160,0)</f>
        <v>0</v>
      </c>
      <c r="DV160" t="inlineStr">
        <is>
          <t xml:space="preserve">Keep cash / margin / financing</t>
        </is>
      </c>
      <c r="DW160" t="inlineStr">
        <is>
          <t xml:space="preserve">cash</t>
        </is>
      </c>
      <c r="DX160" t="inlineStr">
        <is>
          <t xml:space="preserve">keep</t>
        </is>
      </c>
      <c r="DY160" t="inlineStr">
        <is>
          <t xml:space="preserve">cash</t>
        </is>
      </c>
      <c r="DZ160"/>
      <c r="EA160" s="4">
        <v>1</v>
      </c>
      <c r="EB160" s="4">
        <v>1</v>
      </c>
      <c r="EC160" s="4">
        <v>0</v>
      </c>
      <c r="ED160" s="6"/>
      <c r="EE160" s="4">
        <v>0</v>
      </c>
      <c r="EF160" s="4">
        <v>0</v>
      </c>
      <c r="EG160" s="4">
        <v>0</v>
      </c>
      <c r="EH160" s="4">
        <v>0</v>
      </c>
      <c r="EI160" s="4">
        <v>0</v>
      </c>
      <c r="EJ160" s="4">
        <v>1.674</v>
      </c>
      <c r="EK160" s="4">
        <v>1.663</v>
      </c>
      <c r="EL160" s="6"/>
      <c r="EM160" s="6"/>
      <c r="EN160" s="6"/>
      <c r="EO160" s="9"/>
      <c r="EP160" s="7">
        <f>IFERROR(EH160/F160,0)</f>
        <v>0</v>
      </c>
      <c r="EQ160"/>
      <c r="ER160"/>
      <c r="ES160"/>
      <c r="ET160"/>
      <c r="EU160"/>
      <c r="EV160" s="4"/>
      <c r="EW160" s="4"/>
      <c r="EX160" s="4"/>
      <c r="EY160" s="6"/>
      <c r="EZ160" s="4"/>
      <c r="FA160" s="4"/>
      <c r="FB160" s="4"/>
      <c r="FC160" s="4"/>
      <c r="FD160" s="4"/>
      <c r="FE160" s="4"/>
      <c r="FF160" s="4"/>
      <c r="FG160" s="6"/>
      <c r="FH160" s="6"/>
      <c r="FI160" s="6"/>
      <c r="FJ160" s="9"/>
      <c r="FK160"/>
      <c r="FL160"/>
      <c r="FM160"/>
      <c r="FN160"/>
      <c r="FO160"/>
      <c r="FP160"/>
      <c r="FQ160" s="4"/>
      <c r="FR160" s="4"/>
      <c r="FS160" s="4"/>
      <c r="FT160" s="6"/>
      <c r="FU160" s="4"/>
      <c r="FV160" s="4"/>
      <c r="FW160" s="4"/>
      <c r="FX160" s="4"/>
      <c r="FY160" s="4"/>
      <c r="FZ160" s="4"/>
      <c r="GA160" s="4"/>
      <c r="GB160" s="6"/>
      <c r="GC160" s="6"/>
      <c r="GD160" s="6"/>
      <c r="GE160" s="9"/>
      <c r="GF160"/>
      <c r="GG160"/>
      <c r="GH160"/>
      <c r="GI160"/>
      <c r="GJ160"/>
      <c r="GK160"/>
      <c r="GL160" s="4"/>
      <c r="GM160" s="4"/>
      <c r="GN160" s="4"/>
      <c r="GO160" s="6"/>
      <c r="GP160" s="4"/>
      <c r="GQ160" s="4"/>
      <c r="GR160" s="4"/>
      <c r="GS160" s="4"/>
      <c r="GT160" s="4"/>
      <c r="GU160" s="4"/>
      <c r="GV160" s="4"/>
      <c r="GW160" s="6"/>
      <c r="GX160" s="6"/>
      <c r="GY160" s="6"/>
      <c r="GZ160" s="9"/>
      <c r="HA160"/>
      <c r="HB160"/>
      <c r="HC160"/>
      <c r="HD160"/>
      <c r="HE160"/>
      <c r="HF160"/>
      <c r="HG160" s="4"/>
      <c r="HH160" s="4"/>
      <c r="HI160" s="4"/>
      <c r="HJ160" s="6"/>
      <c r="HK160" s="4"/>
      <c r="HL160" s="4"/>
      <c r="HM160" s="4"/>
      <c r="HN160" s="4"/>
      <c r="HO160" s="4"/>
      <c r="HP160" s="4"/>
      <c r="HQ160" s="4"/>
      <c r="HR160" s="6"/>
      <c r="HS160" s="6"/>
      <c r="HT160" s="6"/>
      <c r="HU160" s="9"/>
      <c r="HV160"/>
      <c r="HW160"/>
      <c r="HX160"/>
      <c r="HY160"/>
      <c r="HZ160"/>
      <c r="IA160"/>
      <c r="IB160" s="4"/>
      <c r="IC160" s="4"/>
      <c r="ID160" s="4"/>
      <c r="IE160" s="6"/>
      <c r="IF160" s="4"/>
      <c r="IG160" s="4"/>
      <c r="IH160" s="4"/>
      <c r="II160" s="4"/>
      <c r="IJ160" s="4"/>
      <c r="IK160" s="4"/>
      <c r="IL160" s="4"/>
      <c r="IM160" s="6"/>
      <c r="IN160" s="6"/>
      <c r="IO160" s="6"/>
      <c r="IP160" s="9"/>
      <c r="IQ160"/>
      <c r="IR160"/>
      <c r="IS160"/>
      <c r="IT160"/>
      <c r="IU160"/>
      <c r="IV160"/>
      <c r="IW160" s="4"/>
      <c r="IX160" s="4"/>
      <c r="IY160" s="4"/>
      <c r="IZ160" s="6"/>
      <c r="JA160" s="4"/>
      <c r="JB160" s="4"/>
      <c r="JC160" s="4"/>
      <c r="JD160" s="4"/>
      <c r="JE160" s="4"/>
      <c r="JF160" s="4"/>
      <c r="JG160" s="4"/>
      <c r="JH160" s="6"/>
      <c r="JI160" s="6"/>
      <c r="JJ160" s="6"/>
      <c r="JK160" s="9"/>
      <c r="JL160"/>
    </row>
    <row r="161">
      <c r="A161" s="8">
        <v>25441</v>
      </c>
      <c r="B161" s="8">
        <v>25442</v>
      </c>
      <c r="C161" s="9">
        <f>B161-A161</f>
        <v>1</v>
      </c>
      <c r="D161" s="8">
        <v>25441</v>
      </c>
      <c r="E161" t="inlineStr">
        <is>
          <t xml:space="preserve">positive</t>
        </is>
      </c>
      <c r="F161" s="4">
        <v>1.565497765166395</v>
      </c>
      <c r="G161" s="6">
        <v>-0.008905777364011195</v>
      </c>
      <c r="H161" s="7">
        <f>SUM(CE161,CZ161,DU161,EP161,FK161,GF161,HA161,HV161,IQ161,JL161)</f>
        <v>-0.008905777364011195</v>
      </c>
      <c r="I161" s="7">
        <f>G161-H161</f>
        <v>0</v>
      </c>
      <c r="J161" s="5">
        <f>F161*(1+H161)</f>
        <v>1.551555790605966</v>
      </c>
      <c r="K161" s="4">
        <v>1.551555790605966</v>
      </c>
      <c r="L161" s="5">
        <f>K161-J161</f>
        <v>0</v>
      </c>
      <c r="M161" s="4">
        <v>1.663</v>
      </c>
      <c r="N161" s="4">
        <v>1.673</v>
      </c>
      <c r="O161" s="5">
        <f>M161/$M$3</f>
        <v>0.8493360572012257</v>
      </c>
      <c r="P161" s="5">
        <f>N161/$M$3</f>
        <v>0.8544433094994893</v>
      </c>
      <c r="Q161" s="7">
        <f>IFERROR(N161/M161-1,0)</f>
        <v>0.006013229104028905</v>
      </c>
      <c r="R161" s="5">
        <f>SUM(IF(BM161="lease",BU161,0),IF(CH161="lease",CP161,0),IF(DC161="lease",DK161,0),IF(DX161="lease",EF161,0),IF(ES161="lease",FA161,0),IF(FN161="lease",FV161,0),IF(GI161="lease",GQ161,0),IF(HD161="lease",HL161,0),IF(HY161="lease",IG161,0),IF(IT161="lease",JB161,0))</f>
        <v>1.565497765166396</v>
      </c>
      <c r="S161" s="5">
        <f>SUM(IF(BM161="lease",BV161,0),IF(CH161="lease",CQ161,0),IF(DC161="lease",DL161,0),IF(DX161="lease",EG161,0),IF(ES161="lease",FB161,0),IF(FN161="lease",FW161,0),IF(GI161="lease",GR161,0),IF(HD161="lease",HM161,0),IF(HY161="lease",IH161,0),IF(IT161="lease",JC161,0))</f>
        <v>1.551555790605967</v>
      </c>
      <c r="T161" s="5">
        <f>SUM(IF(BM161="keep",BU161,0),IF(CH161="keep",CP161,0),IF(DC161="keep",DK161,0),IF(DX161="keep",EF161,0),IF(ES161="keep",FA161,0),IF(FN161="keep",FV161,0),IF(GI161="keep",GQ161,0),IF(HD161="keep",HL161,0),IF(HY161="keep",IG161,0),IF(IT161="keep",JB161,0))</f>
        <v>0</v>
      </c>
      <c r="U161" s="5">
        <f>SUM(IF(BM161="keep",BV161,0),IF(CH161="keep",CQ161,0),IF(DC161="keep",DL161,0),IF(DX161="keep",EG161,0),IF(ES161="keep",FB161,0),IF(FN161="keep",FW161,0),IF(GI161="keep",GR161,0),IF(HD161="keep",HM161,0),IF(HY161="keep",IH161,0),IF(IT161="keep",JC161,0))</f>
        <v>0</v>
      </c>
      <c r="V161" s="5">
        <f>R161/O161</f>
        <v>1.843201818518222</v>
      </c>
      <c r="W161" s="5">
        <f>S161/P161</f>
        <v>1.8158674465071627</v>
      </c>
      <c r="X161" s="5">
        <f>T161/O161</f>
        <v>0</v>
      </c>
      <c r="Y161" s="5">
        <f>U161/P161</f>
        <v>0</v>
      </c>
      <c r="Z161" s="5">
        <f>V161+X161</f>
        <v>1.843201818518222</v>
      </c>
      <c r="AA161" s="7">
        <f>IFERROR(W161/V161-1,0)</f>
        <v>-0.014829831294889795</v>
      </c>
      <c r="AB161" s="7">
        <f>IFERROR((W161-V161)/Z161,0)</f>
        <v>-0.014829831294889769</v>
      </c>
      <c r="AC161" s="7">
        <f>IFERROR(Y161/X161-1,0)</f>
        <v>0</v>
      </c>
      <c r="AD161" s="7">
        <f>IFERROR((Y161-X161)/Z161,0)</f>
        <v>0</v>
      </c>
      <c r="AE161" s="7">
        <f>AB161+AD161</f>
        <v>-0.014829831294889769</v>
      </c>
      <c r="AF161" s="7">
        <f>(1+Q161)*(1+AE161)-1</f>
        <v>-0.008905777364011214</v>
      </c>
      <c r="AG161" s="7">
        <f>G161-AF161</f>
        <v>1.9081958235744878e-17</v>
      </c>
      <c r="AH161" s="5">
        <f>SUM(IF(BM161="lease",BW161,0),IF(CH161="lease",CR161,0),IF(DC161="lease",DM161,0),IF(DX161="lease",EH161,0),IF(ES161="lease",FC161,0),IF(FN161="lease",FX161,0),IF(GI161="lease",GS161,0),IF(HD161="lease",HN161,0),IF(HY161="lease",II161,0),IF(IT161="lease",JD161,0))</f>
        <v>-0.013941974560428994</v>
      </c>
      <c r="AI161" s="5">
        <f>SUM(IF(BM161="keep",BW161,0),IF(CH161="keep",CR161,0),IF(DC161="keep",DM161,0),IF(DX161="keep",EH161,0),IF(ES161="keep",FC161,0),IF(FN161="keep",FX161,0),IF(GI161="keep",GS161,0),IF(HD161="keep",HN161,0),IF(HY161="keep",II161,0),IF(IT161="keep",JD161,0))</f>
        <v>0</v>
      </c>
      <c r="AJ161" s="5">
        <f>SUM(IF(BM161="lease",BX161,0),IF(CH161="lease",CS161,0),IF(DC161="lease",DN161,0),IF(DX161="lease",EI161,0),IF(ES161="lease",FD161,0),IF(FN161="lease",FY161,0),IF(GI161="lease",GT161,0),IF(HD161="lease",HO161,0),IF(HY161="lease",IJ161,0),IF(IT161="lease",JE161,0))</f>
        <v>0</v>
      </c>
      <c r="AK161" s="5">
        <f>SUM(IF(BM161="keep",BX161,0),IF(CH161="keep",CS161,0),IF(DC161="keep",DN161,0),IF(DX161="keep",EI161,0),IF(ES161="keep",FD161,0),IF(FN161="keep",FY161,0),IF(GI161="keep",GT161,0),IF(HD161="keep",HO161,0),IF(HY161="keep",IJ161,0),IF(IT161="keep",JE161,0))</f>
        <v>0</v>
      </c>
      <c r="AL161" s="5">
        <f>R161-S160</f>
        <v>0</v>
      </c>
      <c r="AM161" s="5">
        <f>T161-U160</f>
        <v>0</v>
      </c>
      <c r="AN161" s="5">
        <f>AN160</f>
        <v>1</v>
      </c>
      <c r="AO161" s="5">
        <f>AO160+AH161</f>
        <v>0.5515557906059672</v>
      </c>
      <c r="AP161" s="5">
        <f>AP160+AL161</f>
        <v>-4.440892098500626e-16</v>
      </c>
      <c r="AQ161" s="5">
        <f>AN161+AO161+AP161</f>
        <v>1.5515557906059667</v>
      </c>
      <c r="AR161" s="5">
        <f>S161-AQ161</f>
        <v>2.220446049250313e-16</v>
      </c>
      <c r="AS161" s="5">
        <f>AS160</f>
        <v>0</v>
      </c>
      <c r="AT161" s="5">
        <f>AT160+AI161</f>
        <v>0</v>
      </c>
      <c r="AU161" s="5">
        <f>AU160+AM161</f>
        <v>0</v>
      </c>
      <c r="AV161" s="5">
        <f>AS161+AT161+AU161</f>
        <v>0</v>
      </c>
      <c r="AW161" s="5">
        <f>U161-AV161</f>
        <v>0</v>
      </c>
      <c r="AX161" s="4">
        <v>1.565497765166396</v>
      </c>
      <c r="AY161" s="4">
        <v>1.551555790605967</v>
      </c>
      <c r="AZ161" s="5">
        <f>S161-AY161</f>
        <v>0</v>
      </c>
      <c r="BA161" s="4">
        <v>0</v>
      </c>
      <c r="BB161" s="4">
        <v>0</v>
      </c>
      <c r="BC161" s="5">
        <f>U161-BB161</f>
        <v>0</v>
      </c>
      <c r="BD161" s="7">
        <f>SUM(IF(BL161="direct",CE161,0),IF(CG161="direct",CZ161,0),IF(DB161="direct",DU161,0),IF(DW161="direct",EP161,0),IF(ER161="direct",FK161,0),IF(FM161="direct",GF161,0),IF(GH161="direct",HA161,0),IF(HC161="direct",HV161,0),IF(HX161="direct",IQ161,0),IF(IS161="direct",JL161,0))</f>
        <v>0</v>
      </c>
      <c r="BE161" s="7">
        <f>SUM(IF(BL161="treasury",CE161,0),IF(CG161="treasury",CZ161,0),IF(DB161="treasury",DU161,0),IF(DW161="treasury",EP161,0),IF(ER161="treasury",FK161,0),IF(FM161="treasury",GF161,0),IF(GH161="treasury",HA161,0),IF(HC161="treasury",HV161,0),IF(HX161="treasury",IQ161,0),IF(IS161="treasury",JL161,0))</f>
        <v>0.00019616438356164382</v>
      </c>
      <c r="BF161" s="7">
        <f>SUM(IF(BL161="future",CE161,0),IF(CG161="future",CZ161,0),IF(DB161="future",DU161,0),IF(DW161="future",EP161,0),IF(ER161="future",FK161,0),IF(FM161="future",GF161,0),IF(GH161="future",HA161,0),IF(HC161="future",HV161,0),IF(HX161="future",IQ161,0),IF(IS161="future",JL161,0))</f>
        <v>-0.00910194174757284</v>
      </c>
      <c r="BG161" s="7">
        <f>SUM(IF(BL161="cash",CE161,0),IF(CG161="cash",CZ161,0),IF(DB161="cash",DU161,0),IF(DW161="cash",EP161,0),IF(ER161="cash",FK161,0),IF(FM161="cash",GF161,0),IF(GH161="cash",HA161,0),IF(HC161="cash",HV161,0),IF(HX161="cash",IQ161,0),IF(IS161="cash",JL161,0))</f>
        <v>0</v>
      </c>
      <c r="BH161" s="7">
        <f>SUM(BD161:BG161)</f>
        <v>-0.008905777364011195</v>
      </c>
      <c r="BI161" s="7">
        <f>G161-BH161</f>
        <v>0</v>
      </c>
      <c r="BJ161" s="9">
        <f>COUNTA(BK161,CF161,DA161,DV161,EQ161,FL161,GG161,HB161,HW161,IR161)</f>
        <v>4</v>
      </c>
      <c r="BK161" t="inlineStr">
        <is>
          <t xml:space="preserve">Treasury collateral</t>
        </is>
      </c>
      <c r="BL161" t="inlineStr">
        <is>
          <t xml:space="preserve">treasury</t>
        </is>
      </c>
      <c r="BM161" t="inlineStr">
        <is>
          <t xml:space="preserve">lease</t>
        </is>
      </c>
      <c r="BN161" t="inlineStr">
        <is>
          <t xml:space="preserve">long</t>
        </is>
      </c>
      <c r="BO161"/>
      <c r="BP161" s="4">
        <v>104.18325849891616</v>
      </c>
      <c r="BQ161" s="4">
        <v>104.20369554359705</v>
      </c>
      <c r="BR161" s="4">
        <v>0.015026385119089755</v>
      </c>
      <c r="BS161" s="6">
        <v>1</v>
      </c>
      <c r="BT161" s="4">
        <v>1.565497765166395</v>
      </c>
      <c r="BU161" s="4">
        <v>1.565497765166395</v>
      </c>
      <c r="BV161" s="4">
        <v>1.5658048600704662</v>
      </c>
      <c r="BW161" s="4">
        <v>0.00030709490407099694</v>
      </c>
      <c r="BX161" s="4">
        <v>1.0657707355532509e-16</v>
      </c>
      <c r="BY161" s="4">
        <v>1.663</v>
      </c>
      <c r="BZ161" s="4">
        <v>1.673</v>
      </c>
      <c r="CA161" s="6"/>
      <c r="CB161" s="6"/>
      <c r="CC161" s="6"/>
      <c r="CD161" s="9">
        <v>31</v>
      </c>
      <c r="CE161" s="7">
        <f>IFERROR(BW161/F161,0)</f>
        <v>0.00019616438356164382</v>
      </c>
      <c r="CF161" t="inlineStr">
        <is>
          <t xml:space="preserve">SI69U</t>
        </is>
      </c>
      <c r="CG161" t="inlineStr">
        <is>
          <t xml:space="preserve">future</t>
        </is>
      </c>
      <c r="CH161" t="inlineStr">
        <is>
          <t xml:space="preserve">lease</t>
        </is>
      </c>
      <c r="CI161" t="inlineStr">
        <is>
          <t xml:space="preserve">long</t>
        </is>
      </c>
      <c r="CJ161" t="inlineStr">
        <is>
          <t xml:space="preserve">regular</t>
        </is>
      </c>
      <c r="CK161" s="4">
        <v>1.6480000000000001</v>
      </c>
      <c r="CL161" s="4">
        <v>1.633</v>
      </c>
      <c r="CM161" s="4">
        <v>0.9499379642999969</v>
      </c>
      <c r="CN161" s="6">
        <v>1</v>
      </c>
      <c r="CO161" s="4">
        <v>1.565497765166395</v>
      </c>
      <c r="CP161" s="4">
        <v>0</v>
      </c>
      <c r="CQ161" s="4">
        <v>0</v>
      </c>
      <c r="CR161" s="4">
        <v>-0.014249069464499992</v>
      </c>
      <c r="CS161" s="4">
        <v>0.014249069464499992</v>
      </c>
      <c r="CT161" s="4">
        <v>1.663</v>
      </c>
      <c r="CU161" s="4">
        <v>1.673</v>
      </c>
      <c r="CV161" s="6">
        <v>-0.009019843656043247</v>
      </c>
      <c r="CW161" s="6">
        <v>0.0716</v>
      </c>
      <c r="CX161" s="6">
        <v>0.1778013849824447</v>
      </c>
      <c r="CY161" s="9">
        <v>31</v>
      </c>
      <c r="CZ161" s="7">
        <f>IFERROR(CR161/F161,0)</f>
        <v>-0.00910194174757284</v>
      </c>
      <c r="DA161" t="inlineStr">
        <is>
          <t xml:space="preserve">Lease cash / margin / financing</t>
        </is>
      </c>
      <c r="DB161" t="inlineStr">
        <is>
          <t xml:space="preserve">cash</t>
        </is>
      </c>
      <c r="DC161" t="inlineStr">
        <is>
          <t xml:space="preserve">lease</t>
        </is>
      </c>
      <c r="DD161" t="inlineStr">
        <is>
          <t xml:space="preserve">cash</t>
        </is>
      </c>
      <c r="DE161"/>
      <c r="DF161" s="4">
        <v>1</v>
      </c>
      <c r="DG161" s="4">
        <v>1</v>
      </c>
      <c r="DH161" s="4">
        <v>8.881784197001252e-16</v>
      </c>
      <c r="DI161" s="6"/>
      <c r="DJ161" s="4">
        <v>8.881784197001252e-16</v>
      </c>
      <c r="DK161" s="4">
        <v>8.881784197001252e-16</v>
      </c>
      <c r="DL161" s="4">
        <v>-0.01424906946449921</v>
      </c>
      <c r="DM161" s="4">
        <v>0</v>
      </c>
      <c r="DN161" s="4">
        <v>-0.014249069464500098</v>
      </c>
      <c r="DO161" s="4">
        <v>1.663</v>
      </c>
      <c r="DP161" s="4">
        <v>1.673</v>
      </c>
      <c r="DQ161" s="6"/>
      <c r="DR161" s="6"/>
      <c r="DS161" s="6"/>
      <c r="DT161" s="9"/>
      <c r="DU161" s="7">
        <f>IFERROR(DM161/F161,0)</f>
        <v>0</v>
      </c>
      <c r="DV161" t="inlineStr">
        <is>
          <t xml:space="preserve">Keep cash / margin / financing</t>
        </is>
      </c>
      <c r="DW161" t="inlineStr">
        <is>
          <t xml:space="preserve">cash</t>
        </is>
      </c>
      <c r="DX161" t="inlineStr">
        <is>
          <t xml:space="preserve">keep</t>
        </is>
      </c>
      <c r="DY161" t="inlineStr">
        <is>
          <t xml:space="preserve">cash</t>
        </is>
      </c>
      <c r="DZ161"/>
      <c r="EA161" s="4">
        <v>1</v>
      </c>
      <c r="EB161" s="4">
        <v>1</v>
      </c>
      <c r="EC161" s="4">
        <v>0</v>
      </c>
      <c r="ED161" s="6"/>
      <c r="EE161" s="4">
        <v>0</v>
      </c>
      <c r="EF161" s="4">
        <v>0</v>
      </c>
      <c r="EG161" s="4">
        <v>0</v>
      </c>
      <c r="EH161" s="4">
        <v>0</v>
      </c>
      <c r="EI161" s="4">
        <v>0</v>
      </c>
      <c r="EJ161" s="4">
        <v>1.663</v>
      </c>
      <c r="EK161" s="4">
        <v>1.673</v>
      </c>
      <c r="EL161" s="6"/>
      <c r="EM161" s="6"/>
      <c r="EN161" s="6"/>
      <c r="EO161" s="9"/>
      <c r="EP161" s="7">
        <f>IFERROR(EH161/F161,0)</f>
        <v>0</v>
      </c>
      <c r="EQ161"/>
      <c r="ER161"/>
      <c r="ES161"/>
      <c r="ET161"/>
      <c r="EU161"/>
      <c r="EV161" s="4"/>
      <c r="EW161" s="4"/>
      <c r="EX161" s="4"/>
      <c r="EY161" s="6"/>
      <c r="EZ161" s="4"/>
      <c r="FA161" s="4"/>
      <c r="FB161" s="4"/>
      <c r="FC161" s="4"/>
      <c r="FD161" s="4"/>
      <c r="FE161" s="4"/>
      <c r="FF161" s="4"/>
      <c r="FG161" s="6"/>
      <c r="FH161" s="6"/>
      <c r="FI161" s="6"/>
      <c r="FJ161" s="9"/>
      <c r="FK161"/>
      <c r="FL161"/>
      <c r="FM161"/>
      <c r="FN161"/>
      <c r="FO161"/>
      <c r="FP161"/>
      <c r="FQ161" s="4"/>
      <c r="FR161" s="4"/>
      <c r="FS161" s="4"/>
      <c r="FT161" s="6"/>
      <c r="FU161" s="4"/>
      <c r="FV161" s="4"/>
      <c r="FW161" s="4"/>
      <c r="FX161" s="4"/>
      <c r="FY161" s="4"/>
      <c r="FZ161" s="4"/>
      <c r="GA161" s="4"/>
      <c r="GB161" s="6"/>
      <c r="GC161" s="6"/>
      <c r="GD161" s="6"/>
      <c r="GE161" s="9"/>
      <c r="GF161"/>
      <c r="GG161"/>
      <c r="GH161"/>
      <c r="GI161"/>
      <c r="GJ161"/>
      <c r="GK161"/>
      <c r="GL161" s="4"/>
      <c r="GM161" s="4"/>
      <c r="GN161" s="4"/>
      <c r="GO161" s="6"/>
      <c r="GP161" s="4"/>
      <c r="GQ161" s="4"/>
      <c r="GR161" s="4"/>
      <c r="GS161" s="4"/>
      <c r="GT161" s="4"/>
      <c r="GU161" s="4"/>
      <c r="GV161" s="4"/>
      <c r="GW161" s="6"/>
      <c r="GX161" s="6"/>
      <c r="GY161" s="6"/>
      <c r="GZ161" s="9"/>
      <c r="HA161"/>
      <c r="HB161"/>
      <c r="HC161"/>
      <c r="HD161"/>
      <c r="HE161"/>
      <c r="HF161"/>
      <c r="HG161" s="4"/>
      <c r="HH161" s="4"/>
      <c r="HI161" s="4"/>
      <c r="HJ161" s="6"/>
      <c r="HK161" s="4"/>
      <c r="HL161" s="4"/>
      <c r="HM161" s="4"/>
      <c r="HN161" s="4"/>
      <c r="HO161" s="4"/>
      <c r="HP161" s="4"/>
      <c r="HQ161" s="4"/>
      <c r="HR161" s="6"/>
      <c r="HS161" s="6"/>
      <c r="HT161" s="6"/>
      <c r="HU161" s="9"/>
      <c r="HV161"/>
      <c r="HW161"/>
      <c r="HX161"/>
      <c r="HY161"/>
      <c r="HZ161"/>
      <c r="IA161"/>
      <c r="IB161" s="4"/>
      <c r="IC161" s="4"/>
      <c r="ID161" s="4"/>
      <c r="IE161" s="6"/>
      <c r="IF161" s="4"/>
      <c r="IG161" s="4"/>
      <c r="IH161" s="4"/>
      <c r="II161" s="4"/>
      <c r="IJ161" s="4"/>
      <c r="IK161" s="4"/>
      <c r="IL161" s="4"/>
      <c r="IM161" s="6"/>
      <c r="IN161" s="6"/>
      <c r="IO161" s="6"/>
      <c r="IP161" s="9"/>
      <c r="IQ161"/>
      <c r="IR161"/>
      <c r="IS161"/>
      <c r="IT161"/>
      <c r="IU161"/>
      <c r="IV161"/>
      <c r="IW161" s="4"/>
      <c r="IX161" s="4"/>
      <c r="IY161" s="4"/>
      <c r="IZ161" s="6"/>
      <c r="JA161" s="4"/>
      <c r="JB161" s="4"/>
      <c r="JC161" s="4"/>
      <c r="JD161" s="4"/>
      <c r="JE161" s="4"/>
      <c r="JF161" s="4"/>
      <c r="JG161" s="4"/>
      <c r="JH161" s="6"/>
      <c r="JI161" s="6"/>
      <c r="JJ161" s="6"/>
      <c r="JK161" s="9"/>
      <c r="JL161"/>
    </row>
    <row r="162">
      <c r="A162" s="8">
        <v>25442</v>
      </c>
      <c r="B162" s="8">
        <v>25443</v>
      </c>
      <c r="C162" s="9">
        <f>B162-A162</f>
        <v>1</v>
      </c>
      <c r="D162" s="8">
        <v>25442</v>
      </c>
      <c r="E162" t="inlineStr">
        <is>
          <t xml:space="preserve">positive</t>
        </is>
      </c>
      <c r="F162" s="4">
        <v>1.551555790605966</v>
      </c>
      <c r="G162" s="6">
        <v>0.008156698739189</v>
      </c>
      <c r="H162" s="7">
        <f>SUM(CE162,CZ162,DU162,EP162,FK162,GF162,HA162,HV162,IQ162,JL162)</f>
        <v>0.008156698739188999</v>
      </c>
      <c r="I162" s="7">
        <f>G162-H162</f>
        <v>1.734723475976807e-18</v>
      </c>
      <c r="J162" s="5">
        <f>F162*(1+H162)</f>
        <v>1.5642113637669832</v>
      </c>
      <c r="K162" s="4">
        <v>1.5642113637669832</v>
      </c>
      <c r="L162" s="5">
        <f>K162-J162</f>
        <v>0</v>
      </c>
      <c r="M162" s="4">
        <v>1.673</v>
      </c>
      <c r="N162" s="4">
        <v>1.664</v>
      </c>
      <c r="O162" s="5">
        <f>M162/$M$3</f>
        <v>0.8544433094994893</v>
      </c>
      <c r="P162" s="5">
        <f>N162/$M$3</f>
        <v>0.849846782431052</v>
      </c>
      <c r="Q162" s="7">
        <f>IFERROR(N162/M162-1,0)</f>
        <v>-0.005379557680812996</v>
      </c>
      <c r="R162" s="5">
        <f>SUM(IF(BM162="lease",BU162,0),IF(CH162="lease",CP162,0),IF(DC162="lease",DK162,0),IF(DX162="lease",EF162,0),IF(ES162="lease",FA162,0),IF(FN162="lease",FV162,0),IF(GI162="lease",GQ162,0),IF(HD162="lease",HL162,0),IF(HY162="lease",IG162,0),IF(IT162="lease",JB162,0))</f>
        <v>1.551555790605967</v>
      </c>
      <c r="S162" s="5">
        <f>SUM(IF(BM162="lease",BV162,0),IF(CH162="lease",CQ162,0),IF(DC162="lease",DL162,0),IF(DX162="lease",EG162,0),IF(ES162="lease",FB162,0),IF(FN162="lease",FW162,0),IF(GI162="lease",GR162,0),IF(HD162="lease",HM162,0),IF(HY162="lease",IH162,0),IF(IT162="lease",JC162,0))</f>
        <v>1.564211363766984</v>
      </c>
      <c r="T162" s="5">
        <f>SUM(IF(BM162="keep",BU162,0),IF(CH162="keep",CP162,0),IF(DC162="keep",DK162,0),IF(DX162="keep",EF162,0),IF(ES162="keep",FA162,0),IF(FN162="keep",FV162,0),IF(GI162="keep",GQ162,0),IF(HD162="keep",HL162,0),IF(HY162="keep",IG162,0),IF(IT162="keep",JB162,0))</f>
        <v>0</v>
      </c>
      <c r="U162" s="5">
        <f>SUM(IF(BM162="keep",BV162,0),IF(CH162="keep",CQ162,0),IF(DC162="keep",DL162,0),IF(DX162="keep",EG162,0),IF(ES162="keep",FB162,0),IF(FN162="keep",FW162,0),IF(GI162="keep",GR162,0),IF(HD162="keep",HM162,0),IF(HY162="keep",IH162,0),IF(IT162="keep",JC162,0))</f>
        <v>0</v>
      </c>
      <c r="V162" s="5">
        <f>R162/O162</f>
        <v>1.8158674465071627</v>
      </c>
      <c r="W162" s="5">
        <f>S162/P162</f>
        <v>1.840580438855622</v>
      </c>
      <c r="X162" s="5">
        <f>T162/O162</f>
        <v>0</v>
      </c>
      <c r="Y162" s="5">
        <f>U162/P162</f>
        <v>0</v>
      </c>
      <c r="Z162" s="5">
        <f>V162+X162</f>
        <v>1.8158674465071627</v>
      </c>
      <c r="AA162" s="7">
        <f>IFERROR(W162/V162-1,0)</f>
        <v>0.013609469345350567</v>
      </c>
      <c r="AB162" s="7">
        <f>IFERROR((W162-V162)/Z162,0)</f>
        <v>0.013609469345350572</v>
      </c>
      <c r="AC162" s="7">
        <f>IFERROR(Y162/X162-1,0)</f>
        <v>0</v>
      </c>
      <c r="AD162" s="7">
        <f>IFERROR((Y162-X162)/Z162,0)</f>
        <v>0</v>
      </c>
      <c r="AE162" s="7">
        <f>AB162+AD162</f>
        <v>0.013609469345350572</v>
      </c>
      <c r="AF162" s="7">
        <f>(1+Q162)*(1+AE162)-1</f>
        <v>0.008156698739189006</v>
      </c>
      <c r="AG162" s="7">
        <f>G162-AF162</f>
        <v>-5.204170427930421e-18</v>
      </c>
      <c r="AH162" s="5">
        <f>SUM(IF(BM162="lease",BW162,0),IF(CH162="lease",CR162,0),IF(DC162="lease",DM162,0),IF(DX162="lease",EH162,0),IF(ES162="lease",FC162,0),IF(FN162="lease",FX162,0),IF(GI162="lease",GS162,0),IF(HD162="lease",HN162,0),IF(HY162="lease",II162,0),IF(IT162="lease",JD162,0))</f>
        <v>0.012655573161017074</v>
      </c>
      <c r="AI162" s="5">
        <f>SUM(IF(BM162="keep",BW162,0),IF(CH162="keep",CR162,0),IF(DC162="keep",DM162,0),IF(DX162="keep",EH162,0),IF(ES162="keep",FC162,0),IF(FN162="keep",FX162,0),IF(GI162="keep",GS162,0),IF(HD162="keep",HN162,0),IF(HY162="keep",II162,0),IF(IT162="keep",JD162,0))</f>
        <v>0</v>
      </c>
      <c r="AJ162" s="5">
        <f>SUM(IF(BM162="lease",BX162,0),IF(CH162="lease",CS162,0),IF(DC162="lease",DN162,0),IF(DX162="lease",EI162,0),IF(ES162="lease",FD162,0),IF(FN162="lease",FY162,0),IF(GI162="lease",GT162,0),IF(HD162="lease",HO162,0),IF(HY162="lease",IJ162,0),IF(IT162="lease",JE162,0))</f>
        <v>0</v>
      </c>
      <c r="AK162" s="5">
        <f>SUM(IF(BM162="keep",BX162,0),IF(CH162="keep",CS162,0),IF(DC162="keep",DN162,0),IF(DX162="keep",EI162,0),IF(ES162="keep",FD162,0),IF(FN162="keep",FY162,0),IF(GI162="keep",GT162,0),IF(HD162="keep",HO162,0),IF(HY162="keep",IJ162,0),IF(IT162="keep",JE162,0))</f>
        <v>0</v>
      </c>
      <c r="AL162" s="5">
        <f>R162-S161</f>
        <v>0</v>
      </c>
      <c r="AM162" s="5">
        <f>T162-U161</f>
        <v>0</v>
      </c>
      <c r="AN162" s="5">
        <f>AN161</f>
        <v>1</v>
      </c>
      <c r="AO162" s="5">
        <f>AO161+AH162</f>
        <v>0.5642113637669842</v>
      </c>
      <c r="AP162" s="5">
        <f>AP161+AL162</f>
        <v>-4.440892098500626e-16</v>
      </c>
      <c r="AQ162" s="5">
        <f>AN162+AO162+AP162</f>
        <v>1.5642113637669839</v>
      </c>
      <c r="AR162" s="5">
        <f>S162-AQ162</f>
        <v>2.220446049250313e-16</v>
      </c>
      <c r="AS162" s="5">
        <f>AS161</f>
        <v>0</v>
      </c>
      <c r="AT162" s="5">
        <f>AT161+AI162</f>
        <v>0</v>
      </c>
      <c r="AU162" s="5">
        <f>AU161+AM162</f>
        <v>0</v>
      </c>
      <c r="AV162" s="5">
        <f>AS162+AT162+AU162</f>
        <v>0</v>
      </c>
      <c r="AW162" s="5">
        <f>U162-AV162</f>
        <v>0</v>
      </c>
      <c r="AX162" s="4">
        <v>1.551555790605967</v>
      </c>
      <c r="AY162" s="4">
        <v>1.564211363766984</v>
      </c>
      <c r="AZ162" s="5">
        <f>S162-AY162</f>
        <v>0</v>
      </c>
      <c r="BA162" s="4">
        <v>0</v>
      </c>
      <c r="BB162" s="4">
        <v>0</v>
      </c>
      <c r="BC162" s="5">
        <f>U162-BB162</f>
        <v>0</v>
      </c>
      <c r="BD162" s="7">
        <f>SUM(IF(BL162="direct",CE162,0),IF(CG162="direct",CZ162,0),IF(DB162="direct",DU162,0),IF(DW162="direct",EP162,0),IF(ER162="direct",FK162,0),IF(FM162="direct",GF162,0),IF(GH162="direct",HA162,0),IF(HC162="direct",HV162,0),IF(HX162="direct",IQ162,0),IF(IS162="direct",JL162,0))</f>
        <v>0</v>
      </c>
      <c r="BE162" s="7">
        <f>SUM(IF(BL162="treasury",CE162,0),IF(CG162="treasury",CZ162,0),IF(DB162="treasury",DU162,0),IF(DW162="treasury",EP162,0),IF(ER162="treasury",FK162,0),IF(FM162="treasury",GF162,0),IF(GH162="treasury",HA162,0),IF(HC162="treasury",HV162,0),IF(HX162="treasury",IQ162,0),IF(IS162="treasury",JL162,0))</f>
        <v>0.00019589041095890414</v>
      </c>
      <c r="BF162" s="7">
        <f>SUM(IF(BL162="future",CE162,0),IF(CG162="future",CZ162,0),IF(DB162="future",DU162,0),IF(DW162="future",EP162,0),IF(ER162="future",FK162,0),IF(FM162="future",GF162,0),IF(GH162="future",HA162,0),IF(HC162="future",HV162,0),IF(HX162="future",IQ162,0),IF(IS162="future",JL162,0))</f>
        <v>0.007960808328230096</v>
      </c>
      <c r="BG162" s="7">
        <f>SUM(IF(BL162="cash",CE162,0),IF(CG162="cash",CZ162,0),IF(DB162="cash",DU162,0),IF(DW162="cash",EP162,0),IF(ER162="cash",FK162,0),IF(FM162="cash",GF162,0),IF(GH162="cash",HA162,0),IF(HC162="cash",HV162,0),IF(HX162="cash",IQ162,0),IF(IS162="cash",JL162,0))</f>
        <v>0</v>
      </c>
      <c r="BH162" s="7">
        <f>SUM(BD162:BG162)</f>
        <v>0.008156698739189</v>
      </c>
      <c r="BI162" s="7">
        <f>G162-BH162</f>
        <v>0</v>
      </c>
      <c r="BJ162" s="9">
        <f>COUNTA(BK162,CF162,DA162,DV162,EQ162,FL162,GG162,HB162,HW162,IR162)</f>
        <v>4</v>
      </c>
      <c r="BK162" t="inlineStr">
        <is>
          <t xml:space="preserve">Treasury collateral</t>
        </is>
      </c>
      <c r="BL162" t="inlineStr">
        <is>
          <t xml:space="preserve">treasury</t>
        </is>
      </c>
      <c r="BM162" t="inlineStr">
        <is>
          <t xml:space="preserve">lease</t>
        </is>
      </c>
      <c r="BN162" t="inlineStr">
        <is>
          <t xml:space="preserve">long</t>
        </is>
      </c>
      <c r="BO162"/>
      <c r="BP162" s="4">
        <v>104.20369554359705</v>
      </c>
      <c r="BQ162" s="4">
        <v>104.22410804834053</v>
      </c>
      <c r="BR162" s="4">
        <v>0.01488964266105919</v>
      </c>
      <c r="BS162" s="6">
        <v>1</v>
      </c>
      <c r="BT162" s="4">
        <v>1.551555790605966</v>
      </c>
      <c r="BU162" s="4">
        <v>1.551555790605966</v>
      </c>
      <c r="BV162" s="4">
        <v>1.5518597255074136</v>
      </c>
      <c r="BW162" s="4">
        <v>0.0003039349014474701</v>
      </c>
      <c r="BX162" s="4">
        <v>6.331740687315346e-17</v>
      </c>
      <c r="BY162" s="4">
        <v>1.673</v>
      </c>
      <c r="BZ162" s="4">
        <v>1.664</v>
      </c>
      <c r="CA162" s="6"/>
      <c r="CB162" s="6"/>
      <c r="CC162" s="6"/>
      <c r="CD162" s="9">
        <v>30</v>
      </c>
      <c r="CE162" s="7">
        <f>IFERROR(BW162/F162,0)</f>
        <v>0.00019589041095890414</v>
      </c>
      <c r="CF162" t="inlineStr">
        <is>
          <t xml:space="preserve">SI69U</t>
        </is>
      </c>
      <c r="CG162" t="inlineStr">
        <is>
          <t xml:space="preserve">future</t>
        </is>
      </c>
      <c r="CH162" t="inlineStr">
        <is>
          <t xml:space="preserve">lease</t>
        </is>
      </c>
      <c r="CI162" t="inlineStr">
        <is>
          <t xml:space="preserve">long</t>
        </is>
      </c>
      <c r="CJ162" t="inlineStr">
        <is>
          <t xml:space="preserve">regular</t>
        </is>
      </c>
      <c r="CK162" s="4">
        <v>1.633</v>
      </c>
      <c r="CL162" s="4">
        <v>1.646</v>
      </c>
      <c r="CM162" s="4">
        <v>0.9501260199669113</v>
      </c>
      <c r="CN162" s="6">
        <v>1</v>
      </c>
      <c r="CO162" s="4">
        <v>1.551555790605966</v>
      </c>
      <c r="CP162" s="4">
        <v>0</v>
      </c>
      <c r="CQ162" s="4">
        <v>0</v>
      </c>
      <c r="CR162" s="4">
        <v>0.012351638259569605</v>
      </c>
      <c r="CS162" s="4">
        <v>-0.012351638259569605</v>
      </c>
      <c r="CT162" s="4">
        <v>1.673</v>
      </c>
      <c r="CU162" s="4">
        <v>1.664</v>
      </c>
      <c r="CV162" s="6">
        <v>-0.02390914524805743</v>
      </c>
      <c r="CW162" s="6">
        <v>0.0715</v>
      </c>
      <c r="CX162" s="6">
        <v>0.3623946005180321</v>
      </c>
      <c r="CY162" s="9">
        <v>30</v>
      </c>
      <c r="CZ162" s="7">
        <f>IFERROR(CR162/F162,0)</f>
        <v>0.007960808328230096</v>
      </c>
      <c r="DA162" t="inlineStr">
        <is>
          <t xml:space="preserve">Lease cash / margin / financing</t>
        </is>
      </c>
      <c r="DB162" t="inlineStr">
        <is>
          <t xml:space="preserve">cash</t>
        </is>
      </c>
      <c r="DC162" t="inlineStr">
        <is>
          <t xml:space="preserve">lease</t>
        </is>
      </c>
      <c r="DD162" t="inlineStr">
        <is>
          <t xml:space="preserve">cash</t>
        </is>
      </c>
      <c r="DE162"/>
      <c r="DF162" s="4">
        <v>1</v>
      </c>
      <c r="DG162" s="4">
        <v>1</v>
      </c>
      <c r="DH162" s="4">
        <v>8.881784197001252e-16</v>
      </c>
      <c r="DI162" s="6"/>
      <c r="DJ162" s="4">
        <v>8.881784197001252e-16</v>
      </c>
      <c r="DK162" s="4">
        <v>8.881784197001252e-16</v>
      </c>
      <c r="DL162" s="4">
        <v>0.01235163825957043</v>
      </c>
      <c r="DM162" s="4">
        <v>0</v>
      </c>
      <c r="DN162" s="4">
        <v>0.012351638259569541</v>
      </c>
      <c r="DO162" s="4">
        <v>1.673</v>
      </c>
      <c r="DP162" s="4">
        <v>1.664</v>
      </c>
      <c r="DQ162" s="6"/>
      <c r="DR162" s="6"/>
      <c r="DS162" s="6"/>
      <c r="DT162" s="9"/>
      <c r="DU162" s="7">
        <f>IFERROR(DM162/F162,0)</f>
        <v>0</v>
      </c>
      <c r="DV162" t="inlineStr">
        <is>
          <t xml:space="preserve">Keep cash / margin / financing</t>
        </is>
      </c>
      <c r="DW162" t="inlineStr">
        <is>
          <t xml:space="preserve">cash</t>
        </is>
      </c>
      <c r="DX162" t="inlineStr">
        <is>
          <t xml:space="preserve">keep</t>
        </is>
      </c>
      <c r="DY162" t="inlineStr">
        <is>
          <t xml:space="preserve">cash</t>
        </is>
      </c>
      <c r="DZ162"/>
      <c r="EA162" s="4">
        <v>1</v>
      </c>
      <c r="EB162" s="4">
        <v>1</v>
      </c>
      <c r="EC162" s="4">
        <v>0</v>
      </c>
      <c r="ED162" s="6"/>
      <c r="EE162" s="4">
        <v>0</v>
      </c>
      <c r="EF162" s="4">
        <v>0</v>
      </c>
      <c r="EG162" s="4">
        <v>0</v>
      </c>
      <c r="EH162" s="4">
        <v>0</v>
      </c>
      <c r="EI162" s="4">
        <v>0</v>
      </c>
      <c r="EJ162" s="4">
        <v>1.673</v>
      </c>
      <c r="EK162" s="4">
        <v>1.664</v>
      </c>
      <c r="EL162" s="6"/>
      <c r="EM162" s="6"/>
      <c r="EN162" s="6"/>
      <c r="EO162" s="9"/>
      <c r="EP162" s="7">
        <f>IFERROR(EH162/F162,0)</f>
        <v>0</v>
      </c>
      <c r="EQ162"/>
      <c r="ER162"/>
      <c r="ES162"/>
      <c r="ET162"/>
      <c r="EU162"/>
      <c r="EV162" s="4"/>
      <c r="EW162" s="4"/>
      <c r="EX162" s="4"/>
      <c r="EY162" s="6"/>
      <c r="EZ162" s="4"/>
      <c r="FA162" s="4"/>
      <c r="FB162" s="4"/>
      <c r="FC162" s="4"/>
      <c r="FD162" s="4"/>
      <c r="FE162" s="4"/>
      <c r="FF162" s="4"/>
      <c r="FG162" s="6"/>
      <c r="FH162" s="6"/>
      <c r="FI162" s="6"/>
      <c r="FJ162" s="9"/>
      <c r="FK162"/>
      <c r="FL162"/>
      <c r="FM162"/>
      <c r="FN162"/>
      <c r="FO162"/>
      <c r="FP162"/>
      <c r="FQ162" s="4"/>
      <c r="FR162" s="4"/>
      <c r="FS162" s="4"/>
      <c r="FT162" s="6"/>
      <c r="FU162" s="4"/>
      <c r="FV162" s="4"/>
      <c r="FW162" s="4"/>
      <c r="FX162" s="4"/>
      <c r="FY162" s="4"/>
      <c r="FZ162" s="4"/>
      <c r="GA162" s="4"/>
      <c r="GB162" s="6"/>
      <c r="GC162" s="6"/>
      <c r="GD162" s="6"/>
      <c r="GE162" s="9"/>
      <c r="GF162"/>
      <c r="GG162"/>
      <c r="GH162"/>
      <c r="GI162"/>
      <c r="GJ162"/>
      <c r="GK162"/>
      <c r="GL162" s="4"/>
      <c r="GM162" s="4"/>
      <c r="GN162" s="4"/>
      <c r="GO162" s="6"/>
      <c r="GP162" s="4"/>
      <c r="GQ162" s="4"/>
      <c r="GR162" s="4"/>
      <c r="GS162" s="4"/>
      <c r="GT162" s="4"/>
      <c r="GU162" s="4"/>
      <c r="GV162" s="4"/>
      <c r="GW162" s="6"/>
      <c r="GX162" s="6"/>
      <c r="GY162" s="6"/>
      <c r="GZ162" s="9"/>
      <c r="HA162"/>
      <c r="HB162"/>
      <c r="HC162"/>
      <c r="HD162"/>
      <c r="HE162"/>
      <c r="HF162"/>
      <c r="HG162" s="4"/>
      <c r="HH162" s="4"/>
      <c r="HI162" s="4"/>
      <c r="HJ162" s="6"/>
      <c r="HK162" s="4"/>
      <c r="HL162" s="4"/>
      <c r="HM162" s="4"/>
      <c r="HN162" s="4"/>
      <c r="HO162" s="4"/>
      <c r="HP162" s="4"/>
      <c r="HQ162" s="4"/>
      <c r="HR162" s="6"/>
      <c r="HS162" s="6"/>
      <c r="HT162" s="6"/>
      <c r="HU162" s="9"/>
      <c r="HV162"/>
      <c r="HW162"/>
      <c r="HX162"/>
      <c r="HY162"/>
      <c r="HZ162"/>
      <c r="IA162"/>
      <c r="IB162" s="4"/>
      <c r="IC162" s="4"/>
      <c r="ID162" s="4"/>
      <c r="IE162" s="6"/>
      <c r="IF162" s="4"/>
      <c r="IG162" s="4"/>
      <c r="IH162" s="4"/>
      <c r="II162" s="4"/>
      <c r="IJ162" s="4"/>
      <c r="IK162" s="4"/>
      <c r="IL162" s="4"/>
      <c r="IM162" s="6"/>
      <c r="IN162" s="6"/>
      <c r="IO162" s="6"/>
      <c r="IP162" s="9"/>
      <c r="IQ162"/>
      <c r="IR162"/>
      <c r="IS162"/>
      <c r="IT162"/>
      <c r="IU162"/>
      <c r="IV162"/>
      <c r="IW162" s="4"/>
      <c r="IX162" s="4"/>
      <c r="IY162" s="4"/>
      <c r="IZ162" s="6"/>
      <c r="JA162" s="4"/>
      <c r="JB162" s="4"/>
      <c r="JC162" s="4"/>
      <c r="JD162" s="4"/>
      <c r="JE162" s="4"/>
      <c r="JF162" s="4"/>
      <c r="JG162" s="4"/>
      <c r="JH162" s="6"/>
      <c r="JI162" s="6"/>
      <c r="JJ162" s="6"/>
      <c r="JK162" s="9"/>
      <c r="JL162"/>
    </row>
    <row r="163">
      <c r="A163" s="8">
        <v>25443</v>
      </c>
      <c r="B163" s="8">
        <v>25444</v>
      </c>
      <c r="C163" s="9">
        <f>B163-A163</f>
        <v>1</v>
      </c>
      <c r="D163" s="8">
        <v>25443</v>
      </c>
      <c r="E163" t="inlineStr">
        <is>
          <t xml:space="preserve">positive</t>
        </is>
      </c>
      <c r="F163" s="4">
        <v>1.5642113637669832</v>
      </c>
      <c r="G163" s="6">
        <v>0.008699714376071492</v>
      </c>
      <c r="H163" s="7">
        <f>SUM(CE163,CZ163,DU163,EP163,FK163,GF163,HA163,HV163,IQ163,JL163)</f>
        <v>0.008699714376071492</v>
      </c>
      <c r="I163" s="7">
        <f>G163-H163</f>
        <v>0</v>
      </c>
      <c r="J163" s="5">
        <f>F163*(1+H163)</f>
        <v>1.5778195558555612</v>
      </c>
      <c r="K163" s="4">
        <v>1.5778195558555612</v>
      </c>
      <c r="L163" s="5">
        <f>K163-J163</f>
        <v>0</v>
      </c>
      <c r="M163" s="4">
        <v>1.664</v>
      </c>
      <c r="N163" s="4">
        <v>1.674</v>
      </c>
      <c r="O163" s="5">
        <f>M163/$M$3</f>
        <v>0.849846782431052</v>
      </c>
      <c r="P163" s="5">
        <f>N163/$M$3</f>
        <v>0.8549540347293156</v>
      </c>
      <c r="Q163" s="7">
        <f>IFERROR(N163/M163-1,0)</f>
        <v>0.006009615384615419</v>
      </c>
      <c r="R163" s="5">
        <f>SUM(IF(BM163="lease",BU163,0),IF(CH163="lease",CP163,0),IF(DC163="lease",DK163,0),IF(DX163="lease",EF163,0),IF(ES163="lease",FA163,0),IF(FN163="lease",FV163,0),IF(GI163="lease",GQ163,0),IF(HD163="lease",HL163,0),IF(HY163="lease",IG163,0),IF(IT163="lease",JB163,0))</f>
        <v>1.564211363766984</v>
      </c>
      <c r="S163" s="5">
        <f>SUM(IF(BM163="lease",BV163,0),IF(CH163="lease",CQ163,0),IF(DC163="lease",DL163,0),IF(DX163="lease",EG163,0),IF(ES163="lease",FB163,0),IF(FN163="lease",FW163,0),IF(GI163="lease",GR163,0),IF(HD163="lease",HM163,0),IF(HY163="lease",IH163,0),IF(IT163="lease",JC163,0))</f>
        <v>1.577819555855562</v>
      </c>
      <c r="T163" s="5">
        <f>SUM(IF(BM163="keep",BU163,0),IF(CH163="keep",CP163,0),IF(DC163="keep",DK163,0),IF(DX163="keep",EF163,0),IF(ES163="keep",FA163,0),IF(FN163="keep",FV163,0),IF(GI163="keep",GQ163,0),IF(HD163="keep",HL163,0),IF(HY163="keep",IG163,0),IF(IT163="keep",JB163,0))</f>
        <v>0</v>
      </c>
      <c r="U163" s="5">
        <f>SUM(IF(BM163="keep",BV163,0),IF(CH163="keep",CQ163,0),IF(DC163="keep",DL163,0),IF(DX163="keep",EG163,0),IF(ES163="keep",FB163,0),IF(FN163="keep",FW163,0),IF(GI163="keep",GR163,0),IF(HD163="keep",HM163,0),IF(HY163="keep",IH163,0),IF(IT163="keep",JC163,0))</f>
        <v>0</v>
      </c>
      <c r="V163" s="5">
        <f>R163/O163</f>
        <v>1.840580438855622</v>
      </c>
      <c r="W163" s="5">
        <f>S163/P163</f>
        <v>1.8455022045192297</v>
      </c>
      <c r="X163" s="5">
        <f>T163/O163</f>
        <v>0</v>
      </c>
      <c r="Y163" s="5">
        <f>U163/P163</f>
        <v>0</v>
      </c>
      <c r="Z163" s="5">
        <f>V163+X163</f>
        <v>1.840580438855622</v>
      </c>
      <c r="AA163" s="7">
        <f>IFERROR(W163/V163-1,0)</f>
        <v>0.0026740291050078024</v>
      </c>
      <c r="AB163" s="7">
        <f>IFERROR((W163-V163)/Z163,0)</f>
        <v>0.002674029105007713</v>
      </c>
      <c r="AC163" s="7">
        <f>IFERROR(Y163/X163-1,0)</f>
        <v>0</v>
      </c>
      <c r="AD163" s="7">
        <f>IFERROR((Y163-X163)/Z163,0)</f>
        <v>0</v>
      </c>
      <c r="AE163" s="7">
        <f>AB163+AD163</f>
        <v>0.002674029105007713</v>
      </c>
      <c r="AF163" s="7">
        <f>(1+Q163)*(1+AE163)-1</f>
        <v>0.008699714376071643</v>
      </c>
      <c r="AG163" s="7">
        <f>G163-AF163</f>
        <v>-1.5092094240998222e-16</v>
      </c>
      <c r="AH163" s="5">
        <f>SUM(IF(BM163="lease",BW163,0),IF(CH163="lease",CR163,0),IF(DC163="lease",DM163,0),IF(DX163="lease",EH163,0),IF(ES163="lease",FC163,0),IF(FN163="lease",FX163,0),IF(GI163="lease",GS163,0),IF(HD163="lease",HN163,0),IF(HY163="lease",II163,0),IF(IT163="lease",JD163,0))</f>
        <v>0.01360819208857802</v>
      </c>
      <c r="AI163" s="5">
        <f>SUM(IF(BM163="keep",BW163,0),IF(CH163="keep",CR163,0),IF(DC163="keep",DM163,0),IF(DX163="keep",EH163,0),IF(ES163="keep",FC163,0),IF(FN163="keep",FX163,0),IF(GI163="keep",GS163,0),IF(HD163="keep",HN163,0),IF(HY163="keep",II163,0),IF(IT163="keep",JD163,0))</f>
        <v>0</v>
      </c>
      <c r="AJ163" s="5">
        <f>SUM(IF(BM163="lease",BX163,0),IF(CH163="lease",CS163,0),IF(DC163="lease",DN163,0),IF(DX163="lease",EI163,0),IF(ES163="lease",FD163,0),IF(FN163="lease",FY163,0),IF(GI163="lease",GT163,0),IF(HD163="lease",HO163,0),IF(HY163="lease",IJ163,0),IF(IT163="lease",JE163,0))</f>
        <v>0</v>
      </c>
      <c r="AK163" s="5">
        <f>SUM(IF(BM163="keep",BX163,0),IF(CH163="keep",CS163,0),IF(DC163="keep",DN163,0),IF(DX163="keep",EI163,0),IF(ES163="keep",FD163,0),IF(FN163="keep",FY163,0),IF(GI163="keep",GT163,0),IF(HD163="keep",HO163,0),IF(HY163="keep",IJ163,0),IF(IT163="keep",JE163,0))</f>
        <v>0</v>
      </c>
      <c r="AL163" s="5">
        <f>R163-S162</f>
        <v>0</v>
      </c>
      <c r="AM163" s="5">
        <f>T163-U162</f>
        <v>0</v>
      </c>
      <c r="AN163" s="5">
        <f>AN162</f>
        <v>1</v>
      </c>
      <c r="AO163" s="5">
        <f>AO162+AH163</f>
        <v>0.5778195558555622</v>
      </c>
      <c r="AP163" s="5">
        <f>AP162+AL163</f>
        <v>-4.440892098500626e-16</v>
      </c>
      <c r="AQ163" s="5">
        <f>AN163+AO163+AP163</f>
        <v>1.5778195558555619</v>
      </c>
      <c r="AR163" s="5">
        <f>S163-AQ163</f>
        <v>2.220446049250313e-16</v>
      </c>
      <c r="AS163" s="5">
        <f>AS162</f>
        <v>0</v>
      </c>
      <c r="AT163" s="5">
        <f>AT162+AI163</f>
        <v>0</v>
      </c>
      <c r="AU163" s="5">
        <f>AU162+AM163</f>
        <v>0</v>
      </c>
      <c r="AV163" s="5">
        <f>AS163+AT163+AU163</f>
        <v>0</v>
      </c>
      <c r="AW163" s="5">
        <f>U163-AV163</f>
        <v>0</v>
      </c>
      <c r="AX163" s="4">
        <v>1.564211363766984</v>
      </c>
      <c r="AY163" s="4">
        <v>1.577819555855562</v>
      </c>
      <c r="AZ163" s="5">
        <f>S163-AY163</f>
        <v>0</v>
      </c>
      <c r="BA163" s="4">
        <v>0</v>
      </c>
      <c r="BB163" s="4">
        <v>0</v>
      </c>
      <c r="BC163" s="5">
        <f>U163-BB163</f>
        <v>0</v>
      </c>
      <c r="BD163" s="7">
        <f>SUM(IF(BL163="direct",CE163,0),IF(CG163="direct",CZ163,0),IF(DB163="direct",DU163,0),IF(DW163="direct",EP163,0),IF(ER163="direct",FK163,0),IF(FM163="direct",GF163,0),IF(GH163="direct",HA163,0),IF(HC163="direct",HV163,0),IF(HX163="direct",IQ163,0),IF(IS163="direct",JL163,0))</f>
        <v>0</v>
      </c>
      <c r="BE163" s="7">
        <f>SUM(IF(BL163="treasury",CE163,0),IF(CG163="treasury",CZ163,0),IF(DB163="treasury",DU163,0),IF(DW163="treasury",EP163,0),IF(ER163="treasury",FK163,0),IF(FM163="treasury",GF163,0),IF(GH163="treasury",HA163,0),IF(HC163="treasury",HV163,0),IF(HX163="treasury",IQ163,0),IF(IS163="treasury",JL163,0))</f>
        <v>0.00019424657534246578</v>
      </c>
      <c r="BF163" s="7">
        <f>SUM(IF(BL163="future",CE163,0),IF(CG163="future",CZ163,0),IF(DB163="future",DU163,0),IF(DW163="future",EP163,0),IF(ER163="future",FK163,0),IF(FM163="future",GF163,0),IF(GH163="future",HA163,0),IF(HC163="future",HV163,0),IF(HX163="future",IQ163,0),IF(IS163="future",JL163,0))</f>
        <v>0.008505467800729027</v>
      </c>
      <c r="BG163" s="7">
        <f>SUM(IF(BL163="cash",CE163,0),IF(CG163="cash",CZ163,0),IF(DB163="cash",DU163,0),IF(DW163="cash",EP163,0),IF(ER163="cash",FK163,0),IF(FM163="cash",GF163,0),IF(GH163="cash",HA163,0),IF(HC163="cash",HV163,0),IF(HX163="cash",IQ163,0),IF(IS163="cash",JL163,0))</f>
        <v>0</v>
      </c>
      <c r="BH163" s="7">
        <f>SUM(BD163:BG163)</f>
        <v>0.008699714376071492</v>
      </c>
      <c r="BI163" s="7">
        <f>G163-BH163</f>
        <v>0</v>
      </c>
      <c r="BJ163" s="9">
        <f>COUNTA(BK163,CF163,DA163,DV163,EQ163,FL163,GG163,HB163,HW163,IR163)</f>
        <v>4</v>
      </c>
      <c r="BK163" t="inlineStr">
        <is>
          <t xml:space="preserve">Treasury collateral</t>
        </is>
      </c>
      <c r="BL163" t="inlineStr">
        <is>
          <t xml:space="preserve">treasury</t>
        </is>
      </c>
      <c r="BM163" t="inlineStr">
        <is>
          <t xml:space="preserve">lease</t>
        </is>
      </c>
      <c r="BN163" t="inlineStr">
        <is>
          <t xml:space="preserve">long</t>
        </is>
      </c>
      <c r="BO163"/>
      <c r="BP163" s="4">
        <v>104.22410804834053</v>
      </c>
      <c r="BQ163" s="4">
        <v>104.24435322439703</v>
      </c>
      <c r="BR163" s="4">
        <v>0.015008153037313413</v>
      </c>
      <c r="BS163" s="6">
        <v>1</v>
      </c>
      <c r="BT163" s="4">
        <v>1.5642113637669832</v>
      </c>
      <c r="BU163" s="4">
        <v>1.5642113637669832</v>
      </c>
      <c r="BV163" s="4">
        <v>1.5645152064675065</v>
      </c>
      <c r="BW163" s="4">
        <v>0.00030384270052350446</v>
      </c>
      <c r="BX163" s="4">
        <v>-1.9981846038907847e-16</v>
      </c>
      <c r="BY163" s="4">
        <v>1.664</v>
      </c>
      <c r="BZ163" s="4">
        <v>1.674</v>
      </c>
      <c r="CA163" s="6"/>
      <c r="CB163" s="6"/>
      <c r="CC163" s="6"/>
      <c r="CD163" s="9">
        <v>29</v>
      </c>
      <c r="CE163" s="7">
        <f>IFERROR(BW163/F163,0)</f>
        <v>0.00019424657534246578</v>
      </c>
      <c r="CF163" t="inlineStr">
        <is>
          <t xml:space="preserve">SI69U</t>
        </is>
      </c>
      <c r="CG163" t="inlineStr">
        <is>
          <t xml:space="preserve">future</t>
        </is>
      </c>
      <c r="CH163" t="inlineStr">
        <is>
          <t xml:space="preserve">lease</t>
        </is>
      </c>
      <c r="CI163" t="inlineStr">
        <is>
          <t xml:space="preserve">long</t>
        </is>
      </c>
      <c r="CJ163" t="inlineStr">
        <is>
          <t xml:space="preserve">regular</t>
        </is>
      </c>
      <c r="CK163" s="4">
        <v>1.646</v>
      </c>
      <c r="CL163" s="4">
        <v>1.66</v>
      </c>
      <c r="CM163" s="4">
        <v>0.950310670575324</v>
      </c>
      <c r="CN163" s="6">
        <v>1</v>
      </c>
      <c r="CO163" s="4">
        <v>1.5642113637669832</v>
      </c>
      <c r="CP163" s="4">
        <v>0</v>
      </c>
      <c r="CQ163" s="4">
        <v>0</v>
      </c>
      <c r="CR163" s="4">
        <v>0.013304349388054516</v>
      </c>
      <c r="CS163" s="4">
        <v>-0.013304349388054516</v>
      </c>
      <c r="CT163" s="4">
        <v>1.664</v>
      </c>
      <c r="CU163" s="4">
        <v>1.674</v>
      </c>
      <c r="CV163" s="6">
        <v>-0.01081730769230771</v>
      </c>
      <c r="CW163" s="6">
        <v>0.0709</v>
      </c>
      <c r="CX163" s="6">
        <v>0.20704887267904531</v>
      </c>
      <c r="CY163" s="9">
        <v>29</v>
      </c>
      <c r="CZ163" s="7">
        <f>IFERROR(CR163/F163,0)</f>
        <v>0.008505467800729027</v>
      </c>
      <c r="DA163" t="inlineStr">
        <is>
          <t xml:space="preserve">Lease cash / margin / financing</t>
        </is>
      </c>
      <c r="DB163" t="inlineStr">
        <is>
          <t xml:space="preserve">cash</t>
        </is>
      </c>
      <c r="DC163" t="inlineStr">
        <is>
          <t xml:space="preserve">lease</t>
        </is>
      </c>
      <c r="DD163" t="inlineStr">
        <is>
          <t xml:space="preserve">cash</t>
        </is>
      </c>
      <c r="DE163"/>
      <c r="DF163" s="4">
        <v>1</v>
      </c>
      <c r="DG163" s="4">
        <v>1</v>
      </c>
      <c r="DH163" s="4">
        <v>8.881784197001252e-16</v>
      </c>
      <c r="DI163" s="6"/>
      <c r="DJ163" s="4">
        <v>8.881784197001252e-16</v>
      </c>
      <c r="DK163" s="4">
        <v>8.881784197001252e-16</v>
      </c>
      <c r="DL163" s="4">
        <v>0.013304349388055603</v>
      </c>
      <c r="DM163" s="4">
        <v>0</v>
      </c>
      <c r="DN163" s="4">
        <v>0.013304349388054715</v>
      </c>
      <c r="DO163" s="4">
        <v>1.664</v>
      </c>
      <c r="DP163" s="4">
        <v>1.674</v>
      </c>
      <c r="DQ163" s="6"/>
      <c r="DR163" s="6"/>
      <c r="DS163" s="6"/>
      <c r="DT163" s="9"/>
      <c r="DU163" s="7">
        <f>IFERROR(DM163/F163,0)</f>
        <v>0</v>
      </c>
      <c r="DV163" t="inlineStr">
        <is>
          <t xml:space="preserve">Keep cash / margin / financing</t>
        </is>
      </c>
      <c r="DW163" t="inlineStr">
        <is>
          <t xml:space="preserve">cash</t>
        </is>
      </c>
      <c r="DX163" t="inlineStr">
        <is>
          <t xml:space="preserve">keep</t>
        </is>
      </c>
      <c r="DY163" t="inlineStr">
        <is>
          <t xml:space="preserve">cash</t>
        </is>
      </c>
      <c r="DZ163"/>
      <c r="EA163" s="4">
        <v>1</v>
      </c>
      <c r="EB163" s="4">
        <v>1</v>
      </c>
      <c r="EC163" s="4">
        <v>0</v>
      </c>
      <c r="ED163" s="6"/>
      <c r="EE163" s="4">
        <v>0</v>
      </c>
      <c r="EF163" s="4">
        <v>0</v>
      </c>
      <c r="EG163" s="4">
        <v>0</v>
      </c>
      <c r="EH163" s="4">
        <v>0</v>
      </c>
      <c r="EI163" s="4">
        <v>0</v>
      </c>
      <c r="EJ163" s="4">
        <v>1.664</v>
      </c>
      <c r="EK163" s="4">
        <v>1.674</v>
      </c>
      <c r="EL163" s="6"/>
      <c r="EM163" s="6"/>
      <c r="EN163" s="6"/>
      <c r="EO163" s="9"/>
      <c r="EP163" s="7">
        <f>IFERROR(EH163/F163,0)</f>
        <v>0</v>
      </c>
      <c r="EQ163"/>
      <c r="ER163"/>
      <c r="ES163"/>
      <c r="ET163"/>
      <c r="EU163"/>
      <c r="EV163" s="4"/>
      <c r="EW163" s="4"/>
      <c r="EX163" s="4"/>
      <c r="EY163" s="6"/>
      <c r="EZ163" s="4"/>
      <c r="FA163" s="4"/>
      <c r="FB163" s="4"/>
      <c r="FC163" s="4"/>
      <c r="FD163" s="4"/>
      <c r="FE163" s="4"/>
      <c r="FF163" s="4"/>
      <c r="FG163" s="6"/>
      <c r="FH163" s="6"/>
      <c r="FI163" s="6"/>
      <c r="FJ163" s="9"/>
      <c r="FK163"/>
      <c r="FL163"/>
      <c r="FM163"/>
      <c r="FN163"/>
      <c r="FO163"/>
      <c r="FP163"/>
      <c r="FQ163" s="4"/>
      <c r="FR163" s="4"/>
      <c r="FS163" s="4"/>
      <c r="FT163" s="6"/>
      <c r="FU163" s="4"/>
      <c r="FV163" s="4"/>
      <c r="FW163" s="4"/>
      <c r="FX163" s="4"/>
      <c r="FY163" s="4"/>
      <c r="FZ163" s="4"/>
      <c r="GA163" s="4"/>
      <c r="GB163" s="6"/>
      <c r="GC163" s="6"/>
      <c r="GD163" s="6"/>
      <c r="GE163" s="9"/>
      <c r="GF163"/>
      <c r="GG163"/>
      <c r="GH163"/>
      <c r="GI163"/>
      <c r="GJ163"/>
      <c r="GK163"/>
      <c r="GL163" s="4"/>
      <c r="GM163" s="4"/>
      <c r="GN163" s="4"/>
      <c r="GO163" s="6"/>
      <c r="GP163" s="4"/>
      <c r="GQ163" s="4"/>
      <c r="GR163" s="4"/>
      <c r="GS163" s="4"/>
      <c r="GT163" s="4"/>
      <c r="GU163" s="4"/>
      <c r="GV163" s="4"/>
      <c r="GW163" s="6"/>
      <c r="GX163" s="6"/>
      <c r="GY163" s="6"/>
      <c r="GZ163" s="9"/>
      <c r="HA163"/>
      <c r="HB163"/>
      <c r="HC163"/>
      <c r="HD163"/>
      <c r="HE163"/>
      <c r="HF163"/>
      <c r="HG163" s="4"/>
      <c r="HH163" s="4"/>
      <c r="HI163" s="4"/>
      <c r="HJ163" s="6"/>
      <c r="HK163" s="4"/>
      <c r="HL163" s="4"/>
      <c r="HM163" s="4"/>
      <c r="HN163" s="4"/>
      <c r="HO163" s="4"/>
      <c r="HP163" s="4"/>
      <c r="HQ163" s="4"/>
      <c r="HR163" s="6"/>
      <c r="HS163" s="6"/>
      <c r="HT163" s="6"/>
      <c r="HU163" s="9"/>
      <c r="HV163"/>
      <c r="HW163"/>
      <c r="HX163"/>
      <c r="HY163"/>
      <c r="HZ163"/>
      <c r="IA163"/>
      <c r="IB163" s="4"/>
      <c r="IC163" s="4"/>
      <c r="ID163" s="4"/>
      <c r="IE163" s="6"/>
      <c r="IF163" s="4"/>
      <c r="IG163" s="4"/>
      <c r="IH163" s="4"/>
      <c r="II163" s="4"/>
      <c r="IJ163" s="4"/>
      <c r="IK163" s="4"/>
      <c r="IL163" s="4"/>
      <c r="IM163" s="6"/>
      <c r="IN163" s="6"/>
      <c r="IO163" s="6"/>
      <c r="IP163" s="9"/>
      <c r="IQ163"/>
      <c r="IR163"/>
      <c r="IS163"/>
      <c r="IT163"/>
      <c r="IU163"/>
      <c r="IV163"/>
      <c r="IW163" s="4"/>
      <c r="IX163" s="4"/>
      <c r="IY163" s="4"/>
      <c r="IZ163" s="6"/>
      <c r="JA163" s="4"/>
      <c r="JB163" s="4"/>
      <c r="JC163" s="4"/>
      <c r="JD163" s="4"/>
      <c r="JE163" s="4"/>
      <c r="JF163" s="4"/>
      <c r="JG163" s="4"/>
      <c r="JH163" s="6"/>
      <c r="JI163" s="6"/>
      <c r="JJ163" s="6"/>
      <c r="JK163" s="9"/>
      <c r="JL163"/>
    </row>
    <row r="164">
      <c r="A164" s="8">
        <v>25444</v>
      </c>
      <c r="B164" s="8">
        <v>25448</v>
      </c>
      <c r="C164" s="9">
        <f>B164-A164</f>
        <v>4</v>
      </c>
      <c r="D164" s="8">
        <v>25444</v>
      </c>
      <c r="E164" t="inlineStr">
        <is>
          <t xml:space="preserve">positive</t>
        </is>
      </c>
      <c r="F164" s="4">
        <v>1.5778195558555612</v>
      </c>
      <c r="G164" s="6">
        <v>0.011002607691038164</v>
      </c>
      <c r="H164" s="7">
        <f>SUM(CE164,CZ164,DU164,EP164,FK164,GF164,HA164,HV164,IQ164,JL164)</f>
        <v>0.011002607691038164</v>
      </c>
      <c r="I164" s="7">
        <f>G164-H164</f>
        <v>0</v>
      </c>
      <c r="J164" s="5">
        <f>F164*(1+H164)</f>
        <v>1.595179685435888</v>
      </c>
      <c r="K164" s="4">
        <v>1.595179685435888</v>
      </c>
      <c r="L164" s="5">
        <f>K164-J164</f>
        <v>0</v>
      </c>
      <c r="M164" s="4">
        <v>1.674</v>
      </c>
      <c r="N164" s="4">
        <v>1.688</v>
      </c>
      <c r="O164" s="5">
        <f>M164/$M$3</f>
        <v>0.8549540347293156</v>
      </c>
      <c r="P164" s="5">
        <f>N164/$M$3</f>
        <v>0.8621041879468846</v>
      </c>
      <c r="Q164" s="7">
        <f>IFERROR(N164/M164-1,0)</f>
        <v>0.008363201911589124</v>
      </c>
      <c r="R164" s="5">
        <f>SUM(IF(BM164="lease",BU164,0),IF(CH164="lease",CP164,0),IF(DC164="lease",DK164,0),IF(DX164="lease",EF164,0),IF(ES164="lease",FA164,0),IF(FN164="lease",FV164,0),IF(GI164="lease",GQ164,0),IF(HD164="lease",HL164,0),IF(HY164="lease",IG164,0),IF(IT164="lease",JB164,0))</f>
        <v>1.577819555855562</v>
      </c>
      <c r="S164" s="5">
        <f>SUM(IF(BM164="lease",BV164,0),IF(CH164="lease",CQ164,0),IF(DC164="lease",DL164,0),IF(DX164="lease",EG164,0),IF(ES164="lease",FB164,0),IF(FN164="lease",FW164,0),IF(GI164="lease",GR164,0),IF(HD164="lease",HM164,0),IF(HY164="lease",IH164,0),IF(IT164="lease",JC164,0))</f>
        <v>1.5951796854358888</v>
      </c>
      <c r="T164" s="5">
        <f>SUM(IF(BM164="keep",BU164,0),IF(CH164="keep",CP164,0),IF(DC164="keep",DK164,0),IF(DX164="keep",EF164,0),IF(ES164="keep",FA164,0),IF(FN164="keep",FV164,0),IF(GI164="keep",GQ164,0),IF(HD164="keep",HL164,0),IF(HY164="keep",IG164,0),IF(IT164="keep",JB164,0))</f>
        <v>0</v>
      </c>
      <c r="U164" s="5">
        <f>SUM(IF(BM164="keep",BV164,0),IF(CH164="keep",CQ164,0),IF(DC164="keep",DL164,0),IF(DX164="keep",EG164,0),IF(ES164="keep",FB164,0),IF(FN164="keep",FW164,0),IF(GI164="keep",GR164,0),IF(HD164="keep",HM164,0),IF(HY164="keep",IH164,0),IF(IT164="keep",JC164,0))</f>
        <v>0</v>
      </c>
      <c r="V164" s="5">
        <f>R164/O164</f>
        <v>1.8455022045192297</v>
      </c>
      <c r="W164" s="5">
        <f>S164/P164</f>
        <v>1.850332834172672</v>
      </c>
      <c r="X164" s="5">
        <f>T164/O164</f>
        <v>0</v>
      </c>
      <c r="Y164" s="5">
        <f>U164/P164</f>
        <v>0</v>
      </c>
      <c r="Z164" s="5">
        <f>V164+X164</f>
        <v>1.8455022045192297</v>
      </c>
      <c r="AA164" s="7">
        <f>IFERROR(W164/V164-1,0)</f>
        <v>0.002617514973221491</v>
      </c>
      <c r="AB164" s="7">
        <f>IFERROR((W164-V164)/Z164,0)</f>
        <v>0.002617514973221388</v>
      </c>
      <c r="AC164" s="7">
        <f>IFERROR(Y164/X164-1,0)</f>
        <v>0</v>
      </c>
      <c r="AD164" s="7">
        <f>IFERROR((Y164-X164)/Z164,0)</f>
        <v>0</v>
      </c>
      <c r="AE164" s="7">
        <f>AB164+AD164</f>
        <v>0.002617514973221388</v>
      </c>
      <c r="AF164" s="7">
        <f>(1+Q164)*(1+AE164)-1</f>
        <v>0.011002607691038335</v>
      </c>
      <c r="AG164" s="7">
        <f>G164-AF164</f>
        <v>-1.717376241217039e-16</v>
      </c>
      <c r="AH164" s="5">
        <f>SUM(IF(BM164="lease",BW164,0),IF(CH164="lease",CR164,0),IF(DC164="lease",DM164,0),IF(DX164="lease",EH164,0),IF(ES164="lease",FC164,0),IF(FN164="lease",FX164,0),IF(GI164="lease",GS164,0),IF(HD164="lease",HN164,0),IF(HY164="lease",II164,0),IF(IT164="lease",JD164,0))</f>
        <v>0.017360129580326816</v>
      </c>
      <c r="AI164" s="5">
        <f>SUM(IF(BM164="keep",BW164,0),IF(CH164="keep",CR164,0),IF(DC164="keep",DM164,0),IF(DX164="keep",EH164,0),IF(ES164="keep",FC164,0),IF(FN164="keep",FX164,0),IF(GI164="keep",GS164,0),IF(HD164="keep",HN164,0),IF(HY164="keep",II164,0),IF(IT164="keep",JD164,0))</f>
        <v>0</v>
      </c>
      <c r="AJ164" s="5">
        <f>SUM(IF(BM164="lease",BX164,0),IF(CH164="lease",CS164,0),IF(DC164="lease",DN164,0),IF(DX164="lease",EI164,0),IF(ES164="lease",FD164,0),IF(FN164="lease",FY164,0),IF(GI164="lease",GT164,0),IF(HD164="lease",HO164,0),IF(HY164="lease",IJ164,0),IF(IT164="lease",JE164,0))</f>
        <v>0</v>
      </c>
      <c r="AK164" s="5">
        <f>SUM(IF(BM164="keep",BX164,0),IF(CH164="keep",CS164,0),IF(DC164="keep",DN164,0),IF(DX164="keep",EI164,0),IF(ES164="keep",FD164,0),IF(FN164="keep",FY164,0),IF(GI164="keep",GT164,0),IF(HD164="keep",HO164,0),IF(HY164="keep",IJ164,0),IF(IT164="keep",JE164,0))</f>
        <v>0</v>
      </c>
      <c r="AL164" s="5">
        <f>R164-S163</f>
        <v>0</v>
      </c>
      <c r="AM164" s="5">
        <f>T164-U163</f>
        <v>0</v>
      </c>
      <c r="AN164" s="5">
        <f>AN163</f>
        <v>1</v>
      </c>
      <c r="AO164" s="5">
        <f>AO163+AH164</f>
        <v>0.5951796854358891</v>
      </c>
      <c r="AP164" s="5">
        <f>AP163+AL164</f>
        <v>-4.440892098500626e-16</v>
      </c>
      <c r="AQ164" s="5">
        <f>AN164+AO164+AP164</f>
        <v>1.5951796854358886</v>
      </c>
      <c r="AR164" s="5">
        <f>S164-AQ164</f>
        <v>2.220446049250313e-16</v>
      </c>
      <c r="AS164" s="5">
        <f>AS163</f>
        <v>0</v>
      </c>
      <c r="AT164" s="5">
        <f>AT163+AI164</f>
        <v>0</v>
      </c>
      <c r="AU164" s="5">
        <f>AU163+AM164</f>
        <v>0</v>
      </c>
      <c r="AV164" s="5">
        <f>AS164+AT164+AU164</f>
        <v>0</v>
      </c>
      <c r="AW164" s="5">
        <f>U164-AV164</f>
        <v>0</v>
      </c>
      <c r="AX164" s="4">
        <v>1.577819555855562</v>
      </c>
      <c r="AY164" s="4">
        <v>1.5951796854358888</v>
      </c>
      <c r="AZ164" s="5">
        <f>S164-AY164</f>
        <v>0</v>
      </c>
      <c r="BA164" s="4">
        <v>0</v>
      </c>
      <c r="BB164" s="4">
        <v>0</v>
      </c>
      <c r="BC164" s="5">
        <f>U164-BB164</f>
        <v>0</v>
      </c>
      <c r="BD164" s="7">
        <f>SUM(IF(BL164="direct",CE164,0),IF(CG164="direct",CZ164,0),IF(DB164="direct",DU164,0),IF(DW164="direct",EP164,0),IF(ER164="direct",FK164,0),IF(FM164="direct",GF164,0),IF(GH164="direct",HA164,0),IF(HC164="direct",HV164,0),IF(HX164="direct",IQ164,0),IF(IS164="direct",JL164,0))</f>
        <v>0</v>
      </c>
      <c r="BE164" s="7">
        <f>SUM(IF(BL164="treasury",CE164,0),IF(CG164="treasury",CZ164,0),IF(DB164="treasury",DU164,0),IF(DW164="treasury",EP164,0),IF(ER164="treasury",FK164,0),IF(FM164="treasury",GF164,0),IF(GH164="treasury",HA164,0),IF(HC164="treasury",HV164,0),IF(HX164="treasury",IQ164,0),IF(IS164="treasury",JL164,0))</f>
        <v>0.0007616438356164385</v>
      </c>
      <c r="BF164" s="7">
        <f>SUM(IF(BL164="future",CE164,0),IF(CG164="future",CZ164,0),IF(DB164="future",DU164,0),IF(DW164="future",EP164,0),IF(ER164="future",FK164,0),IF(FM164="future",GF164,0),IF(GH164="future",HA164,0),IF(HC164="future",HV164,0),IF(HX164="future",IQ164,0),IF(IS164="future",JL164,0))</f>
        <v>0.010240963855421725</v>
      </c>
      <c r="BG164" s="7">
        <f>SUM(IF(BL164="cash",CE164,0),IF(CG164="cash",CZ164,0),IF(DB164="cash",DU164,0),IF(DW164="cash",EP164,0),IF(ER164="cash",FK164,0),IF(FM164="cash",GF164,0),IF(GH164="cash",HA164,0),IF(HC164="cash",HV164,0),IF(HX164="cash",IQ164,0),IF(IS164="cash",JL164,0))</f>
        <v>0</v>
      </c>
      <c r="BH164" s="7">
        <f>SUM(BD164:BG164)</f>
        <v>0.011002607691038164</v>
      </c>
      <c r="BI164" s="7">
        <f>G164-BH164</f>
        <v>0</v>
      </c>
      <c r="BJ164" s="9">
        <f>COUNTA(BK164,CF164,DA164,DV164,EQ164,FL164,GG164,HB164,HW164,IR164)</f>
        <v>4</v>
      </c>
      <c r="BK164" t="inlineStr">
        <is>
          <t xml:space="preserve">Treasury collateral</t>
        </is>
      </c>
      <c r="BL164" t="inlineStr">
        <is>
          <t xml:space="preserve">treasury</t>
        </is>
      </c>
      <c r="BM164" t="inlineStr">
        <is>
          <t xml:space="preserve">lease</t>
        </is>
      </c>
      <c r="BN164" t="inlineStr">
        <is>
          <t xml:space="preserve">long</t>
        </is>
      </c>
      <c r="BO164"/>
      <c r="BP164" s="4">
        <v>104.24435322439703</v>
      </c>
      <c r="BQ164" s="4">
        <v>104.32375029342819</v>
      </c>
      <c r="BR164" s="4">
        <v>0.015135779608696283</v>
      </c>
      <c r="BS164" s="6">
        <v>1</v>
      </c>
      <c r="BT164" s="4">
        <v>1.5778195558555612</v>
      </c>
      <c r="BU164" s="4">
        <v>1.5778195558555612</v>
      </c>
      <c r="BV164" s="4">
        <v>1.5790212923939932</v>
      </c>
      <c r="BW164" s="4">
        <v>0.001201736538432455</v>
      </c>
      <c r="BX164" s="4">
        <v>-4.2500725161431774e-16</v>
      </c>
      <c r="BY164" s="4">
        <v>1.674</v>
      </c>
      <c r="BZ164" s="4">
        <v>1.688</v>
      </c>
      <c r="CA164" s="6"/>
      <c r="CB164" s="6"/>
      <c r="CC164" s="6"/>
      <c r="CD164" s="9">
        <v>28</v>
      </c>
      <c r="CE164" s="7">
        <f>IFERROR(BW164/F164,0)</f>
        <v>0.0007616438356164385</v>
      </c>
      <c r="CF164" t="inlineStr">
        <is>
          <t xml:space="preserve">SI69U</t>
        </is>
      </c>
      <c r="CG164" t="inlineStr">
        <is>
          <t xml:space="preserve">future</t>
        </is>
      </c>
      <c r="CH164" t="inlineStr">
        <is>
          <t xml:space="preserve">lease</t>
        </is>
      </c>
      <c r="CI164" t="inlineStr">
        <is>
          <t xml:space="preserve">long</t>
        </is>
      </c>
      <c r="CJ164" t="inlineStr">
        <is>
          <t xml:space="preserve">regular</t>
        </is>
      </c>
      <c r="CK164" s="4">
        <v>1.66</v>
      </c>
      <c r="CL164" s="4">
        <v>1.6769999999999998</v>
      </c>
      <c r="CM164" s="4">
        <v>0.9504937083467236</v>
      </c>
      <c r="CN164" s="6">
        <v>1</v>
      </c>
      <c r="CO164" s="4">
        <v>1.5778195558555612</v>
      </c>
      <c r="CP164" s="4">
        <v>0</v>
      </c>
      <c r="CQ164" s="4">
        <v>0</v>
      </c>
      <c r="CR164" s="4">
        <v>0.016158393041894363</v>
      </c>
      <c r="CS164" s="4">
        <v>-0.016158393041894363</v>
      </c>
      <c r="CT164" s="4">
        <v>1.674</v>
      </c>
      <c r="CU164" s="4">
        <v>1.688</v>
      </c>
      <c r="CV164" s="6">
        <v>-0.008363201911589013</v>
      </c>
      <c r="CW164" s="6">
        <v>0.0695</v>
      </c>
      <c r="CX164" s="6">
        <v>0.17852031063321394</v>
      </c>
      <c r="CY164" s="9">
        <v>28</v>
      </c>
      <c r="CZ164" s="7">
        <f>IFERROR(CR164/F164,0)</f>
        <v>0.010240963855421725</v>
      </c>
      <c r="DA164" t="inlineStr">
        <is>
          <t xml:space="preserve">Lease cash / margin / financing</t>
        </is>
      </c>
      <c r="DB164" t="inlineStr">
        <is>
          <t xml:space="preserve">cash</t>
        </is>
      </c>
      <c r="DC164" t="inlineStr">
        <is>
          <t xml:space="preserve">lease</t>
        </is>
      </c>
      <c r="DD164" t="inlineStr">
        <is>
          <t xml:space="preserve">cash</t>
        </is>
      </c>
      <c r="DE164"/>
      <c r="DF164" s="4">
        <v>1</v>
      </c>
      <c r="DG164" s="4">
        <v>1</v>
      </c>
      <c r="DH164" s="4">
        <v>8.881784197001252e-16</v>
      </c>
      <c r="DI164" s="6"/>
      <c r="DJ164" s="4">
        <v>8.881784197001252e-16</v>
      </c>
      <c r="DK164" s="4">
        <v>8.881784197001252e-16</v>
      </c>
      <c r="DL164" s="4">
        <v>0.016158393041895674</v>
      </c>
      <c r="DM164" s="4">
        <v>0</v>
      </c>
      <c r="DN164" s="4">
        <v>0.016158393041894786</v>
      </c>
      <c r="DO164" s="4">
        <v>1.674</v>
      </c>
      <c r="DP164" s="4">
        <v>1.688</v>
      </c>
      <c r="DQ164" s="6"/>
      <c r="DR164" s="6"/>
      <c r="DS164" s="6"/>
      <c r="DT164" s="9"/>
      <c r="DU164" s="7">
        <f>IFERROR(DM164/F164,0)</f>
        <v>0</v>
      </c>
      <c r="DV164" t="inlineStr">
        <is>
          <t xml:space="preserve">Keep cash / margin / financing</t>
        </is>
      </c>
      <c r="DW164" t="inlineStr">
        <is>
          <t xml:space="preserve">cash</t>
        </is>
      </c>
      <c r="DX164" t="inlineStr">
        <is>
          <t xml:space="preserve">keep</t>
        </is>
      </c>
      <c r="DY164" t="inlineStr">
        <is>
          <t xml:space="preserve">cash</t>
        </is>
      </c>
      <c r="DZ164"/>
      <c r="EA164" s="4">
        <v>1</v>
      </c>
      <c r="EB164" s="4">
        <v>1</v>
      </c>
      <c r="EC164" s="4">
        <v>0</v>
      </c>
      <c r="ED164" s="6"/>
      <c r="EE164" s="4">
        <v>0</v>
      </c>
      <c r="EF164" s="4">
        <v>0</v>
      </c>
      <c r="EG164" s="4">
        <v>0</v>
      </c>
      <c r="EH164" s="4">
        <v>0</v>
      </c>
      <c r="EI164" s="4">
        <v>0</v>
      </c>
      <c r="EJ164" s="4">
        <v>1.674</v>
      </c>
      <c r="EK164" s="4">
        <v>1.688</v>
      </c>
      <c r="EL164" s="6"/>
      <c r="EM164" s="6"/>
      <c r="EN164" s="6"/>
      <c r="EO164" s="9"/>
      <c r="EP164" s="7">
        <f>IFERROR(EH164/F164,0)</f>
        <v>0</v>
      </c>
      <c r="EQ164"/>
      <c r="ER164"/>
      <c r="ES164"/>
      <c r="ET164"/>
      <c r="EU164"/>
      <c r="EV164" s="4"/>
      <c r="EW164" s="4"/>
      <c r="EX164" s="4"/>
      <c r="EY164" s="6"/>
      <c r="EZ164" s="4"/>
      <c r="FA164" s="4"/>
      <c r="FB164" s="4"/>
      <c r="FC164" s="4"/>
      <c r="FD164" s="4"/>
      <c r="FE164" s="4"/>
      <c r="FF164" s="4"/>
      <c r="FG164" s="6"/>
      <c r="FH164" s="6"/>
      <c r="FI164" s="6"/>
      <c r="FJ164" s="9"/>
      <c r="FK164"/>
      <c r="FL164"/>
      <c r="FM164"/>
      <c r="FN164"/>
      <c r="FO164"/>
      <c r="FP164"/>
      <c r="FQ164" s="4"/>
      <c r="FR164" s="4"/>
      <c r="FS164" s="4"/>
      <c r="FT164" s="6"/>
      <c r="FU164" s="4"/>
      <c r="FV164" s="4"/>
      <c r="FW164" s="4"/>
      <c r="FX164" s="4"/>
      <c r="FY164" s="4"/>
      <c r="FZ164" s="4"/>
      <c r="GA164" s="4"/>
      <c r="GB164" s="6"/>
      <c r="GC164" s="6"/>
      <c r="GD164" s="6"/>
      <c r="GE164" s="9"/>
      <c r="GF164"/>
      <c r="GG164"/>
      <c r="GH164"/>
      <c r="GI164"/>
      <c r="GJ164"/>
      <c r="GK164"/>
      <c r="GL164" s="4"/>
      <c r="GM164" s="4"/>
      <c r="GN164" s="4"/>
      <c r="GO164" s="6"/>
      <c r="GP164" s="4"/>
      <c r="GQ164" s="4"/>
      <c r="GR164" s="4"/>
      <c r="GS164" s="4"/>
      <c r="GT164" s="4"/>
      <c r="GU164" s="4"/>
      <c r="GV164" s="4"/>
      <c r="GW164" s="6"/>
      <c r="GX164" s="6"/>
      <c r="GY164" s="6"/>
      <c r="GZ164" s="9"/>
      <c r="HA164"/>
      <c r="HB164"/>
      <c r="HC164"/>
      <c r="HD164"/>
      <c r="HE164"/>
      <c r="HF164"/>
      <c r="HG164" s="4"/>
      <c r="HH164" s="4"/>
      <c r="HI164" s="4"/>
      <c r="HJ164" s="6"/>
      <c r="HK164" s="4"/>
      <c r="HL164" s="4"/>
      <c r="HM164" s="4"/>
      <c r="HN164" s="4"/>
      <c r="HO164" s="4"/>
      <c r="HP164" s="4"/>
      <c r="HQ164" s="4"/>
      <c r="HR164" s="6"/>
      <c r="HS164" s="6"/>
      <c r="HT164" s="6"/>
      <c r="HU164" s="9"/>
      <c r="HV164"/>
      <c r="HW164"/>
      <c r="HX164"/>
      <c r="HY164"/>
      <c r="HZ164"/>
      <c r="IA164"/>
      <c r="IB164" s="4"/>
      <c r="IC164" s="4"/>
      <c r="ID164" s="4"/>
      <c r="IE164" s="6"/>
      <c r="IF164" s="4"/>
      <c r="IG164" s="4"/>
      <c r="IH164" s="4"/>
      <c r="II164" s="4"/>
      <c r="IJ164" s="4"/>
      <c r="IK164" s="4"/>
      <c r="IL164" s="4"/>
      <c r="IM164" s="6"/>
      <c r="IN164" s="6"/>
      <c r="IO164" s="6"/>
      <c r="IP164" s="9"/>
      <c r="IQ164"/>
      <c r="IR164"/>
      <c r="IS164"/>
      <c r="IT164"/>
      <c r="IU164"/>
      <c r="IV164"/>
      <c r="IW164" s="4"/>
      <c r="IX164" s="4"/>
      <c r="IY164" s="4"/>
      <c r="IZ164" s="6"/>
      <c r="JA164" s="4"/>
      <c r="JB164" s="4"/>
      <c r="JC164" s="4"/>
      <c r="JD164" s="4"/>
      <c r="JE164" s="4"/>
      <c r="JF164" s="4"/>
      <c r="JG164" s="4"/>
      <c r="JH164" s="6"/>
      <c r="JI164" s="6"/>
      <c r="JJ164" s="6"/>
      <c r="JK164" s="9"/>
      <c r="JL164"/>
    </row>
    <row r="165">
      <c r="A165" s="8">
        <v>25448</v>
      </c>
      <c r="B165" s="8">
        <v>25449</v>
      </c>
      <c r="C165" s="9">
        <f>B165-A165</f>
        <v>1</v>
      </c>
      <c r="D165" s="8">
        <v>25448</v>
      </c>
      <c r="E165" t="inlineStr">
        <is>
          <t xml:space="preserve">positive</t>
        </is>
      </c>
      <c r="F165" s="4">
        <v>1.595179685435888</v>
      </c>
      <c r="G165" s="6">
        <v>0.001981511505379102</v>
      </c>
      <c r="H165" s="7">
        <f>SUM(CE165,CZ165,DU165,EP165,FK165,GF165,HA165,HV165,IQ165,JL165)</f>
        <v>0.001981511505379102</v>
      </c>
      <c r="I165" s="7">
        <f>G165-H165</f>
        <v>0</v>
      </c>
      <c r="J165" s="5">
        <f>F165*(1+H165)</f>
        <v>1.5983405523357264</v>
      </c>
      <c r="K165" s="4">
        <v>1.5983405523357264</v>
      </c>
      <c r="L165" s="5">
        <f>K165-J165</f>
        <v>0</v>
      </c>
      <c r="M165" s="4">
        <v>1.688</v>
      </c>
      <c r="N165" s="4">
        <v>1.705</v>
      </c>
      <c r="O165" s="5">
        <f>M165/$M$3</f>
        <v>0.8621041879468846</v>
      </c>
      <c r="P165" s="5">
        <f>N165/$M$3</f>
        <v>0.8707865168539326</v>
      </c>
      <c r="Q165" s="7">
        <f>IFERROR(N165/M165-1,0)</f>
        <v>0.010071090047393483</v>
      </c>
      <c r="R165" s="5">
        <f>SUM(IF(BM165="lease",BU165,0),IF(CH165="lease",CP165,0),IF(DC165="lease",DK165,0),IF(DX165="lease",EF165,0),IF(ES165="lease",FA165,0),IF(FN165="lease",FV165,0),IF(GI165="lease",GQ165,0),IF(HD165="lease",HL165,0),IF(HY165="lease",IG165,0),IF(IT165="lease",JB165,0))</f>
        <v>1.5951796854358888</v>
      </c>
      <c r="S165" s="5">
        <f>SUM(IF(BM165="lease",BV165,0),IF(CH165="lease",CQ165,0),IF(DC165="lease",DL165,0),IF(DX165="lease",EG165,0),IF(ES165="lease",FB165,0),IF(FN165="lease",FW165,0),IF(GI165="lease",GR165,0),IF(HD165="lease",HM165,0),IF(HY165="lease",IH165,0),IF(IT165="lease",JC165,0))</f>
        <v>1.598340552335727</v>
      </c>
      <c r="T165" s="5">
        <f>SUM(IF(BM165="keep",BU165,0),IF(CH165="keep",CP165,0),IF(DC165="keep",DK165,0),IF(DX165="keep",EF165,0),IF(ES165="keep",FA165,0),IF(FN165="keep",FV165,0),IF(GI165="keep",GQ165,0),IF(HD165="keep",HL165,0),IF(HY165="keep",IG165,0),IF(IT165="keep",JB165,0))</f>
        <v>0</v>
      </c>
      <c r="U165" s="5">
        <f>SUM(IF(BM165="keep",BV165,0),IF(CH165="keep",CQ165,0),IF(DC165="keep",DL165,0),IF(DX165="keep",EG165,0),IF(ES165="keep",FB165,0),IF(FN165="keep",FW165,0),IF(GI165="keep",GR165,0),IF(HD165="keep",HM165,0),IF(HY165="keep",IH165,0),IF(IT165="keep",JC165,0))</f>
        <v>0</v>
      </c>
      <c r="V165" s="5">
        <f>R165/O165</f>
        <v>1.850332834172672</v>
      </c>
      <c r="W165" s="5">
        <f>S165/P165</f>
        <v>1.8355136665532865</v>
      </c>
      <c r="X165" s="5">
        <f>T165/O165</f>
        <v>0</v>
      </c>
      <c r="Y165" s="5">
        <f>U165/P165</f>
        <v>0</v>
      </c>
      <c r="Z165" s="5">
        <f>V165+X165</f>
        <v>1.850332834172672</v>
      </c>
      <c r="AA165" s="7">
        <f>IFERROR(W165/V165-1,0)</f>
        <v>-0.00800891998763642</v>
      </c>
      <c r="AB165" s="7">
        <f>IFERROR((W165-V165)/Z165,0)</f>
        <v>-0.008008919987636387</v>
      </c>
      <c r="AC165" s="7">
        <f>IFERROR(Y165/X165-1,0)</f>
        <v>0</v>
      </c>
      <c r="AD165" s="7">
        <f>IFERROR((Y165-X165)/Z165,0)</f>
        <v>0</v>
      </c>
      <c r="AE165" s="7">
        <f>AB165+AD165</f>
        <v>-0.008008919987636387</v>
      </c>
      <c r="AF165" s="7">
        <f>(1+Q165)*(1+AE165)-1</f>
        <v>0.0019815115053791743</v>
      </c>
      <c r="AG165" s="7">
        <f>G165-AF165</f>
        <v>-7.24247051220317e-17</v>
      </c>
      <c r="AH165" s="5">
        <f>SUM(IF(BM165="lease",BW165,0),IF(CH165="lease",CR165,0),IF(DC165="lease",DM165,0),IF(DX165="lease",EH165,0),IF(ES165="lease",FC165,0),IF(FN165="lease",FX165,0),IF(GI165="lease",GS165,0),IF(HD165="lease",HN165,0),IF(HY165="lease",II165,0),IF(IT165="lease",JD165,0))</f>
        <v>0.0031608668998382283</v>
      </c>
      <c r="AI165" s="5">
        <f>SUM(IF(BM165="keep",BW165,0),IF(CH165="keep",CR165,0),IF(DC165="keep",DM165,0),IF(DX165="keep",EH165,0),IF(ES165="keep",FC165,0),IF(FN165="keep",FX165,0),IF(GI165="keep",GS165,0),IF(HD165="keep",HN165,0),IF(HY165="keep",II165,0),IF(IT165="keep",JD165,0))</f>
        <v>0</v>
      </c>
      <c r="AJ165" s="5">
        <f>SUM(IF(BM165="lease",BX165,0),IF(CH165="lease",CS165,0),IF(DC165="lease",DN165,0),IF(DX165="lease",EI165,0),IF(ES165="lease",FD165,0),IF(FN165="lease",FY165,0),IF(GI165="lease",GT165,0),IF(HD165="lease",HO165,0),IF(HY165="lease",IJ165,0),IF(IT165="lease",JE165,0))</f>
        <v>0</v>
      </c>
      <c r="AK165" s="5">
        <f>SUM(IF(BM165="keep",BX165,0),IF(CH165="keep",CS165,0),IF(DC165="keep",DN165,0),IF(DX165="keep",EI165,0),IF(ES165="keep",FD165,0),IF(FN165="keep",FY165,0),IF(GI165="keep",GT165,0),IF(HD165="keep",HO165,0),IF(HY165="keep",IJ165,0),IF(IT165="keep",JE165,0))</f>
        <v>0</v>
      </c>
      <c r="AL165" s="5">
        <f>R165-S164</f>
        <v>0</v>
      </c>
      <c r="AM165" s="5">
        <f>T165-U164</f>
        <v>0</v>
      </c>
      <c r="AN165" s="5">
        <f>AN164</f>
        <v>1</v>
      </c>
      <c r="AO165" s="5">
        <f>AO164+AH165</f>
        <v>0.5983405523357272</v>
      </c>
      <c r="AP165" s="5">
        <f>AP164+AL165</f>
        <v>-4.440892098500626e-16</v>
      </c>
      <c r="AQ165" s="5">
        <f>AN165+AO165+AP165</f>
        <v>1.5983405523357268</v>
      </c>
      <c r="AR165" s="5">
        <f>S165-AQ165</f>
        <v>2.220446049250313e-16</v>
      </c>
      <c r="AS165" s="5">
        <f>AS164</f>
        <v>0</v>
      </c>
      <c r="AT165" s="5">
        <f>AT164+AI165</f>
        <v>0</v>
      </c>
      <c r="AU165" s="5">
        <f>AU164+AM165</f>
        <v>0</v>
      </c>
      <c r="AV165" s="5">
        <f>AS165+AT165+AU165</f>
        <v>0</v>
      </c>
      <c r="AW165" s="5">
        <f>U165-AV165</f>
        <v>0</v>
      </c>
      <c r="AX165" s="4">
        <v>1.5951796854358888</v>
      </c>
      <c r="AY165" s="4">
        <v>1.598340552335727</v>
      </c>
      <c r="AZ165" s="5">
        <f>S165-AY165</f>
        <v>0</v>
      </c>
      <c r="BA165" s="4">
        <v>0</v>
      </c>
      <c r="BB165" s="4">
        <v>0</v>
      </c>
      <c r="BC165" s="5">
        <f>U165-BB165</f>
        <v>0</v>
      </c>
      <c r="BD165" s="7">
        <f>SUM(IF(BL165="direct",CE165,0),IF(CG165="direct",CZ165,0),IF(DB165="direct",DU165,0),IF(DW165="direct",EP165,0),IF(ER165="direct",FK165,0),IF(FM165="direct",GF165,0),IF(GH165="direct",HA165,0),IF(HC165="direct",HV165,0),IF(HX165="direct",IQ165,0),IF(IS165="direct",JL165,0))</f>
        <v>0</v>
      </c>
      <c r="BE165" s="7">
        <f>SUM(IF(BL165="treasury",CE165,0),IF(CG165="treasury",CZ165,0),IF(DB165="treasury",DU165,0),IF(DW165="treasury",EP165,0),IF(ER165="treasury",FK165,0),IF(FM165="treasury",GF165,0),IF(GH165="treasury",HA165,0),IF(HC165="treasury",HV165,0),IF(HX165="treasury",IQ165,0),IF(IS165="treasury",JL165,0))</f>
        <v>0.0001926027397260274</v>
      </c>
      <c r="BF165" s="7">
        <f>SUM(IF(BL165="future",CE165,0),IF(CG165="future",CZ165,0),IF(DB165="future",DU165,0),IF(DW165="future",EP165,0),IF(ER165="future",FK165,0),IF(FM165="future",GF165,0),IF(GH165="future",HA165,0),IF(HC165="future",HV165,0),IF(HX165="future",IQ165,0),IF(IS165="future",JL165,0))</f>
        <v>0.0017889087656530744</v>
      </c>
      <c r="BG165" s="7">
        <f>SUM(IF(BL165="cash",CE165,0),IF(CG165="cash",CZ165,0),IF(DB165="cash",DU165,0),IF(DW165="cash",EP165,0),IF(ER165="cash",FK165,0),IF(FM165="cash",GF165,0),IF(GH165="cash",HA165,0),IF(HC165="cash",HV165,0),IF(HX165="cash",IQ165,0),IF(IS165="cash",JL165,0))</f>
        <v>0</v>
      </c>
      <c r="BH165" s="7">
        <f>SUM(BD165:BG165)</f>
        <v>0.001981511505379102</v>
      </c>
      <c r="BI165" s="7">
        <f>G165-BH165</f>
        <v>0</v>
      </c>
      <c r="BJ165" s="9">
        <f>COUNTA(BK165,CF165,DA165,DV165,EQ165,FL165,GG165,HB165,HW165,IR165)</f>
        <v>4</v>
      </c>
      <c r="BK165" t="inlineStr">
        <is>
          <t xml:space="preserve">Treasury collateral</t>
        </is>
      </c>
      <c r="BL165" t="inlineStr">
        <is>
          <t xml:space="preserve">treasury</t>
        </is>
      </c>
      <c r="BM165" t="inlineStr">
        <is>
          <t xml:space="preserve">lease</t>
        </is>
      </c>
      <c r="BN165" t="inlineStr">
        <is>
          <t xml:space="preserve">long</t>
        </is>
      </c>
      <c r="BO165"/>
      <c r="BP165" s="4">
        <v>104.32375029342819</v>
      </c>
      <c r="BQ165" s="4">
        <v>104.34384333355322</v>
      </c>
      <c r="BR165" s="4">
        <v>0.015290666611861396</v>
      </c>
      <c r="BS165" s="6">
        <v>1</v>
      </c>
      <c r="BT165" s="4">
        <v>1.595179685435888</v>
      </c>
      <c r="BU165" s="4">
        <v>1.595179685435888</v>
      </c>
      <c r="BV165" s="4">
        <v>1.5954869214136587</v>
      </c>
      <c r="BW165" s="4">
        <v>0.00030723597777025457</v>
      </c>
      <c r="BX165" s="4">
        <v>4.599727716769753e-16</v>
      </c>
      <c r="BY165" s="4">
        <v>1.688</v>
      </c>
      <c r="BZ165" s="4">
        <v>1.705</v>
      </c>
      <c r="CA165" s="6"/>
      <c r="CB165" s="6"/>
      <c r="CC165" s="6"/>
      <c r="CD165" s="9">
        <v>24</v>
      </c>
      <c r="CE165" s="7">
        <f>IFERROR(BW165/F165,0)</f>
        <v>0.0001926027397260274</v>
      </c>
      <c r="CF165" t="inlineStr">
        <is>
          <t xml:space="preserve">SI69U</t>
        </is>
      </c>
      <c r="CG165" t="inlineStr">
        <is>
          <t xml:space="preserve">future</t>
        </is>
      </c>
      <c r="CH165" t="inlineStr">
        <is>
          <t xml:space="preserve">lease</t>
        </is>
      </c>
      <c r="CI165" t="inlineStr">
        <is>
          <t xml:space="preserve">long</t>
        </is>
      </c>
      <c r="CJ165" t="inlineStr">
        <is>
          <t xml:space="preserve">regular</t>
        </is>
      </c>
      <c r="CK165" s="4">
        <v>1.6769999999999998</v>
      </c>
      <c r="CL165" s="4">
        <v>1.68</v>
      </c>
      <c r="CM165" s="4">
        <v>0.9512103073559262</v>
      </c>
      <c r="CN165" s="6">
        <v>1</v>
      </c>
      <c r="CO165" s="4">
        <v>1.595179685435888</v>
      </c>
      <c r="CP165" s="4">
        <v>0</v>
      </c>
      <c r="CQ165" s="4">
        <v>0</v>
      </c>
      <c r="CR165" s="4">
        <v>0.002853630922067974</v>
      </c>
      <c r="CS165" s="4">
        <v>-0.002853630922067974</v>
      </c>
      <c r="CT165" s="4">
        <v>1.688</v>
      </c>
      <c r="CU165" s="4">
        <v>1.705</v>
      </c>
      <c r="CV165" s="6">
        <v>-0.006516587677725227</v>
      </c>
      <c r="CW165" s="6">
        <v>0.0703</v>
      </c>
      <c r="CX165" s="6">
        <v>0.16940643759873783</v>
      </c>
      <c r="CY165" s="9">
        <v>24</v>
      </c>
      <c r="CZ165" s="7">
        <f>IFERROR(CR165/F165,0)</f>
        <v>0.0017889087656530744</v>
      </c>
      <c r="DA165" t="inlineStr">
        <is>
          <t xml:space="preserve">Lease cash / margin / financing</t>
        </is>
      </c>
      <c r="DB165" t="inlineStr">
        <is>
          <t xml:space="preserve">cash</t>
        </is>
      </c>
      <c r="DC165" t="inlineStr">
        <is>
          <t xml:space="preserve">lease</t>
        </is>
      </c>
      <c r="DD165" t="inlineStr">
        <is>
          <t xml:space="preserve">cash</t>
        </is>
      </c>
      <c r="DE165"/>
      <c r="DF165" s="4">
        <v>1</v>
      </c>
      <c r="DG165" s="4">
        <v>1</v>
      </c>
      <c r="DH165" s="4">
        <v>8.881784197001252e-16</v>
      </c>
      <c r="DI165" s="6"/>
      <c r="DJ165" s="4">
        <v>8.881784197001252e-16</v>
      </c>
      <c r="DK165" s="4">
        <v>8.881784197001252e-16</v>
      </c>
      <c r="DL165" s="4">
        <v>0.002853630922068402</v>
      </c>
      <c r="DM165" s="4">
        <v>0</v>
      </c>
      <c r="DN165" s="4">
        <v>0.0028536309220675137</v>
      </c>
      <c r="DO165" s="4">
        <v>1.688</v>
      </c>
      <c r="DP165" s="4">
        <v>1.705</v>
      </c>
      <c r="DQ165" s="6"/>
      <c r="DR165" s="6"/>
      <c r="DS165" s="6"/>
      <c r="DT165" s="9"/>
      <c r="DU165" s="7">
        <f>IFERROR(DM165/F165,0)</f>
        <v>0</v>
      </c>
      <c r="DV165" t="inlineStr">
        <is>
          <t xml:space="preserve">Keep cash / margin / financing</t>
        </is>
      </c>
      <c r="DW165" t="inlineStr">
        <is>
          <t xml:space="preserve">cash</t>
        </is>
      </c>
      <c r="DX165" t="inlineStr">
        <is>
          <t xml:space="preserve">keep</t>
        </is>
      </c>
      <c r="DY165" t="inlineStr">
        <is>
          <t xml:space="preserve">cash</t>
        </is>
      </c>
      <c r="DZ165"/>
      <c r="EA165" s="4">
        <v>1</v>
      </c>
      <c r="EB165" s="4">
        <v>1</v>
      </c>
      <c r="EC165" s="4">
        <v>0</v>
      </c>
      <c r="ED165" s="6"/>
      <c r="EE165" s="4">
        <v>0</v>
      </c>
      <c r="EF165" s="4">
        <v>0</v>
      </c>
      <c r="EG165" s="4">
        <v>0</v>
      </c>
      <c r="EH165" s="4">
        <v>0</v>
      </c>
      <c r="EI165" s="4">
        <v>0</v>
      </c>
      <c r="EJ165" s="4">
        <v>1.688</v>
      </c>
      <c r="EK165" s="4">
        <v>1.705</v>
      </c>
      <c r="EL165" s="6"/>
      <c r="EM165" s="6"/>
      <c r="EN165" s="6"/>
      <c r="EO165" s="9"/>
      <c r="EP165" s="7">
        <f>IFERROR(EH165/F165,0)</f>
        <v>0</v>
      </c>
      <c r="EQ165"/>
      <c r="ER165"/>
      <c r="ES165"/>
      <c r="ET165"/>
      <c r="EU165"/>
      <c r="EV165" s="4"/>
      <c r="EW165" s="4"/>
      <c r="EX165" s="4"/>
      <c r="EY165" s="6"/>
      <c r="EZ165" s="4"/>
      <c r="FA165" s="4"/>
      <c r="FB165" s="4"/>
      <c r="FC165" s="4"/>
      <c r="FD165" s="4"/>
      <c r="FE165" s="4"/>
      <c r="FF165" s="4"/>
      <c r="FG165" s="6"/>
      <c r="FH165" s="6"/>
      <c r="FI165" s="6"/>
      <c r="FJ165" s="9"/>
      <c r="FK165"/>
      <c r="FL165"/>
      <c r="FM165"/>
      <c r="FN165"/>
      <c r="FO165"/>
      <c r="FP165"/>
      <c r="FQ165" s="4"/>
      <c r="FR165" s="4"/>
      <c r="FS165" s="4"/>
      <c r="FT165" s="6"/>
      <c r="FU165" s="4"/>
      <c r="FV165" s="4"/>
      <c r="FW165" s="4"/>
      <c r="FX165" s="4"/>
      <c r="FY165" s="4"/>
      <c r="FZ165" s="4"/>
      <c r="GA165" s="4"/>
      <c r="GB165" s="6"/>
      <c r="GC165" s="6"/>
      <c r="GD165" s="6"/>
      <c r="GE165" s="9"/>
      <c r="GF165"/>
      <c r="GG165"/>
      <c r="GH165"/>
      <c r="GI165"/>
      <c r="GJ165"/>
      <c r="GK165"/>
      <c r="GL165" s="4"/>
      <c r="GM165" s="4"/>
      <c r="GN165" s="4"/>
      <c r="GO165" s="6"/>
      <c r="GP165" s="4"/>
      <c r="GQ165" s="4"/>
      <c r="GR165" s="4"/>
      <c r="GS165" s="4"/>
      <c r="GT165" s="4"/>
      <c r="GU165" s="4"/>
      <c r="GV165" s="4"/>
      <c r="GW165" s="6"/>
      <c r="GX165" s="6"/>
      <c r="GY165" s="6"/>
      <c r="GZ165" s="9"/>
      <c r="HA165"/>
      <c r="HB165"/>
      <c r="HC165"/>
      <c r="HD165"/>
      <c r="HE165"/>
      <c r="HF165"/>
      <c r="HG165" s="4"/>
      <c r="HH165" s="4"/>
      <c r="HI165" s="4"/>
      <c r="HJ165" s="6"/>
      <c r="HK165" s="4"/>
      <c r="HL165" s="4"/>
      <c r="HM165" s="4"/>
      <c r="HN165" s="4"/>
      <c r="HO165" s="4"/>
      <c r="HP165" s="4"/>
      <c r="HQ165" s="4"/>
      <c r="HR165" s="6"/>
      <c r="HS165" s="6"/>
      <c r="HT165" s="6"/>
      <c r="HU165" s="9"/>
      <c r="HV165"/>
      <c r="HW165"/>
      <c r="HX165"/>
      <c r="HY165"/>
      <c r="HZ165"/>
      <c r="IA165"/>
      <c r="IB165" s="4"/>
      <c r="IC165" s="4"/>
      <c r="ID165" s="4"/>
      <c r="IE165" s="6"/>
      <c r="IF165" s="4"/>
      <c r="IG165" s="4"/>
      <c r="IH165" s="4"/>
      <c r="II165" s="4"/>
      <c r="IJ165" s="4"/>
      <c r="IK165" s="4"/>
      <c r="IL165" s="4"/>
      <c r="IM165" s="6"/>
      <c r="IN165" s="6"/>
      <c r="IO165" s="6"/>
      <c r="IP165" s="9"/>
      <c r="IQ165"/>
      <c r="IR165"/>
      <c r="IS165"/>
      <c r="IT165"/>
      <c r="IU165"/>
      <c r="IV165"/>
      <c r="IW165" s="4"/>
      <c r="IX165" s="4"/>
      <c r="IY165" s="4"/>
      <c r="IZ165" s="6"/>
      <c r="JA165" s="4"/>
      <c r="JB165" s="4"/>
      <c r="JC165" s="4"/>
      <c r="JD165" s="4"/>
      <c r="JE165" s="4"/>
      <c r="JF165" s="4"/>
      <c r="JG165" s="4"/>
      <c r="JH165" s="6"/>
      <c r="JI165" s="6"/>
      <c r="JJ165" s="6"/>
      <c r="JK165" s="9"/>
      <c r="JL165"/>
    </row>
    <row r="166">
      <c r="A166" s="8">
        <v>25449</v>
      </c>
      <c r="B166" s="8">
        <v>25450</v>
      </c>
      <c r="C166" s="9">
        <f>B166-A166</f>
        <v>1</v>
      </c>
      <c r="D166" s="8">
        <v>25449</v>
      </c>
      <c r="E166" t="inlineStr">
        <is>
          <t xml:space="preserve">positive</t>
        </is>
      </c>
      <c r="F166" s="4">
        <v>1.5983405523357264</v>
      </c>
      <c r="G166" s="6">
        <v>-0.008736790606653588</v>
      </c>
      <c r="H166" s="7">
        <f>SUM(CE166,CZ166,DU166,EP166,FK166,GF166,HA166,HV166,IQ166,JL166)</f>
        <v>-0.008736790606653588</v>
      </c>
      <c r="I166" s="7">
        <f>G166-H166</f>
        <v>0</v>
      </c>
      <c r="J166" s="5">
        <f>F166*(1+H166)</f>
        <v>1.5843761856118461</v>
      </c>
      <c r="K166" s="4">
        <v>1.5843761856118461</v>
      </c>
      <c r="L166" s="5">
        <f>K166-J166</f>
        <v>0</v>
      </c>
      <c r="M166" s="4">
        <v>1.705</v>
      </c>
      <c r="N166" s="4">
        <v>1.705</v>
      </c>
      <c r="O166" s="5">
        <f>M166/$M$3</f>
        <v>0.8707865168539326</v>
      </c>
      <c r="P166" s="5">
        <f>N166/$M$3</f>
        <v>0.8707865168539326</v>
      </c>
      <c r="Q166" s="7">
        <f>IFERROR(N166/M166-1,0)</f>
        <v>0</v>
      </c>
      <c r="R166" s="5">
        <f>SUM(IF(BM166="lease",BU166,0),IF(CH166="lease",CP166,0),IF(DC166="lease",DK166,0),IF(DX166="lease",EF166,0),IF(ES166="lease",FA166,0),IF(FN166="lease",FV166,0),IF(GI166="lease",GQ166,0),IF(HD166="lease",HL166,0),IF(HY166="lease",IG166,0),IF(IT166="lease",JB166,0))</f>
        <v>1.598340552335727</v>
      </c>
      <c r="S166" s="5">
        <f>SUM(IF(BM166="lease",BV166,0),IF(CH166="lease",CQ166,0),IF(DC166="lease",DL166,0),IF(DX166="lease",EG166,0),IF(ES166="lease",FB166,0),IF(FN166="lease",FW166,0),IF(GI166="lease",GR166,0),IF(HD166="lease",HM166,0),IF(HY166="lease",IH166,0),IF(IT166="lease",JC166,0))</f>
        <v>1.5843761856118468</v>
      </c>
      <c r="T166" s="5">
        <f>SUM(IF(BM166="keep",BU166,0),IF(CH166="keep",CP166,0),IF(DC166="keep",DK166,0),IF(DX166="keep",EF166,0),IF(ES166="keep",FA166,0),IF(FN166="keep",FV166,0),IF(GI166="keep",GQ166,0),IF(HD166="keep",HL166,0),IF(HY166="keep",IG166,0),IF(IT166="keep",JB166,0))</f>
        <v>0</v>
      </c>
      <c r="U166" s="5">
        <f>SUM(IF(BM166="keep",BV166,0),IF(CH166="keep",CQ166,0),IF(DC166="keep",DL166,0),IF(DX166="keep",EG166,0),IF(ES166="keep",FB166,0),IF(FN166="keep",FW166,0),IF(GI166="keep",GR166,0),IF(HD166="keep",HM166,0),IF(HY166="keep",IH166,0),IF(IT166="keep",JC166,0))</f>
        <v>0</v>
      </c>
      <c r="V166" s="5">
        <f>R166/O166</f>
        <v>1.8355136665532865</v>
      </c>
      <c r="W166" s="5">
        <f>S166/P166</f>
        <v>1.8194771679929596</v>
      </c>
      <c r="X166" s="5">
        <f>T166/O166</f>
        <v>0</v>
      </c>
      <c r="Y166" s="5">
        <f>U166/P166</f>
        <v>0</v>
      </c>
      <c r="Z166" s="5">
        <f>V166+X166</f>
        <v>1.8355136665532865</v>
      </c>
      <c r="AA166" s="7">
        <f>IFERROR(W166/V166-1,0)</f>
        <v>-0.008736790606653555</v>
      </c>
      <c r="AB166" s="7">
        <f>IFERROR((W166-V166)/Z166,0)</f>
        <v>-0.008736790606653545</v>
      </c>
      <c r="AC166" s="7">
        <f>IFERROR(Y166/X166-1,0)</f>
        <v>0</v>
      </c>
      <c r="AD166" s="7">
        <f>IFERROR((Y166-X166)/Z166,0)</f>
        <v>0</v>
      </c>
      <c r="AE166" s="7">
        <f>AB166+AD166</f>
        <v>-0.008736790606653545</v>
      </c>
      <c r="AF166" s="7">
        <f>(1+Q166)*(1+AE166)-1</f>
        <v>-0.008736790606653555</v>
      </c>
      <c r="AG166" s="7">
        <f>G166-AF166</f>
        <v>-3.2959746043559335e-17</v>
      </c>
      <c r="AH166" s="5">
        <f>SUM(IF(BM166="lease",BW166,0),IF(CH166="lease",CR166,0),IF(DC166="lease",DM166,0),IF(DX166="lease",EH166,0),IF(ES166="lease",FC166,0),IF(FN166="lease",FX166,0),IF(GI166="lease",GS166,0),IF(HD166="lease",HN166,0),IF(HY166="lease",II166,0),IF(IT166="lease",JD166,0))</f>
        <v>-0.013964366723880283</v>
      </c>
      <c r="AI166" s="5">
        <f>SUM(IF(BM166="keep",BW166,0),IF(CH166="keep",CR166,0),IF(DC166="keep",DM166,0),IF(DX166="keep",EH166,0),IF(ES166="keep",FC166,0),IF(FN166="keep",FX166,0),IF(GI166="keep",GS166,0),IF(HD166="keep",HN166,0),IF(HY166="keep",II166,0),IF(IT166="keep",JD166,0))</f>
        <v>0</v>
      </c>
      <c r="AJ166" s="5">
        <f>SUM(IF(BM166="lease",BX166,0),IF(CH166="lease",CS166,0),IF(DC166="lease",DN166,0),IF(DX166="lease",EI166,0),IF(ES166="lease",FD166,0),IF(FN166="lease",FY166,0),IF(GI166="lease",GT166,0),IF(HD166="lease",HO166,0),IF(HY166="lease",IJ166,0),IF(IT166="lease",JE166,0))</f>
        <v>0</v>
      </c>
      <c r="AK166" s="5">
        <f>SUM(IF(BM166="keep",BX166,0),IF(CH166="keep",CS166,0),IF(DC166="keep",DN166,0),IF(DX166="keep",EI166,0),IF(ES166="keep",FD166,0),IF(FN166="keep",FY166,0),IF(GI166="keep",GT166,0),IF(HD166="keep",HO166,0),IF(HY166="keep",IJ166,0),IF(IT166="keep",JE166,0))</f>
        <v>0</v>
      </c>
      <c r="AL166" s="5">
        <f>R166-S165</f>
        <v>0</v>
      </c>
      <c r="AM166" s="5">
        <f>T166-U165</f>
        <v>0</v>
      </c>
      <c r="AN166" s="5">
        <f>AN165</f>
        <v>1</v>
      </c>
      <c r="AO166" s="5">
        <f>AO165+AH166</f>
        <v>0.584376185611847</v>
      </c>
      <c r="AP166" s="5">
        <f>AP165+AL166</f>
        <v>-4.440892098500626e-16</v>
      </c>
      <c r="AQ166" s="5">
        <f>AN166+AO166+AP166</f>
        <v>1.5843761856118466</v>
      </c>
      <c r="AR166" s="5">
        <f>S166-AQ166</f>
        <v>2.220446049250313e-16</v>
      </c>
      <c r="AS166" s="5">
        <f>AS165</f>
        <v>0</v>
      </c>
      <c r="AT166" s="5">
        <f>AT165+AI166</f>
        <v>0</v>
      </c>
      <c r="AU166" s="5">
        <f>AU165+AM166</f>
        <v>0</v>
      </c>
      <c r="AV166" s="5">
        <f>AS166+AT166+AU166</f>
        <v>0</v>
      </c>
      <c r="AW166" s="5">
        <f>U166-AV166</f>
        <v>0</v>
      </c>
      <c r="AX166" s="4">
        <v>1.598340552335727</v>
      </c>
      <c r="AY166" s="4">
        <v>1.5843761856118468</v>
      </c>
      <c r="AZ166" s="5">
        <f>S166-AY166</f>
        <v>0</v>
      </c>
      <c r="BA166" s="4">
        <v>0</v>
      </c>
      <c r="BB166" s="4">
        <v>0</v>
      </c>
      <c r="BC166" s="5">
        <f>U166-BB166</f>
        <v>0</v>
      </c>
      <c r="BD166" s="7">
        <f>SUM(IF(BL166="direct",CE166,0),IF(CG166="direct",CZ166,0),IF(DB166="direct",DU166,0),IF(DW166="direct",EP166,0),IF(ER166="direct",FK166,0),IF(FM166="direct",GF166,0),IF(GH166="direct",HA166,0),IF(HC166="direct",HV166,0),IF(HX166="direct",IQ166,0),IF(IS166="direct",JL166,0))</f>
        <v>0</v>
      </c>
      <c r="BE166" s="7">
        <f>SUM(IF(BL166="treasury",CE166,0),IF(CG166="treasury",CZ166,0),IF(DB166="treasury",DU166,0),IF(DW166="treasury",EP166,0),IF(ER166="treasury",FK166,0),IF(FM166="treasury",GF166,0),IF(GH166="treasury",HA166,0),IF(HC166="treasury",HV166,0),IF(HX166="treasury",IQ166,0),IF(IS166="treasury",JL166,0))</f>
        <v>0.00019178082191780824</v>
      </c>
      <c r="BF166" s="7">
        <f>SUM(IF(BL166="future",CE166,0),IF(CG166="future",CZ166,0),IF(DB166="future",DU166,0),IF(DW166="future",EP166,0),IF(ER166="future",FK166,0),IF(FM166="future",GF166,0),IF(GH166="future",HA166,0),IF(HC166="future",HV166,0),IF(HX166="future",IQ166,0),IF(IS166="future",JL166,0))</f>
        <v>-0.008928571428571397</v>
      </c>
      <c r="BG166" s="7">
        <f>SUM(IF(BL166="cash",CE166,0),IF(CG166="cash",CZ166,0),IF(DB166="cash",DU166,0),IF(DW166="cash",EP166,0),IF(ER166="cash",FK166,0),IF(FM166="cash",GF166,0),IF(GH166="cash",HA166,0),IF(HC166="cash",HV166,0),IF(HX166="cash",IQ166,0),IF(IS166="cash",JL166,0))</f>
        <v>0</v>
      </c>
      <c r="BH166" s="7">
        <f>SUM(BD166:BG166)</f>
        <v>-0.008736790606653588</v>
      </c>
      <c r="BI166" s="7">
        <f>G166-BH166</f>
        <v>0</v>
      </c>
      <c r="BJ166" s="9">
        <f>COUNTA(BK166,CF166,DA166,DV166,EQ166,FL166,GG166,HB166,HW166,IR166)</f>
        <v>4</v>
      </c>
      <c r="BK166" t="inlineStr">
        <is>
          <t xml:space="preserve">Treasury collateral</t>
        </is>
      </c>
      <c r="BL166" t="inlineStr">
        <is>
          <t xml:space="preserve">treasury</t>
        </is>
      </c>
      <c r="BM166" t="inlineStr">
        <is>
          <t xml:space="preserve">lease</t>
        </is>
      </c>
      <c r="BN166" t="inlineStr">
        <is>
          <t xml:space="preserve">long</t>
        </is>
      </c>
      <c r="BO166"/>
      <c r="BP166" s="4">
        <v>104.34384333355322</v>
      </c>
      <c r="BQ166" s="4">
        <v>104.3638544815898</v>
      </c>
      <c r="BR166" s="4">
        <v>0.015318014952030789</v>
      </c>
      <c r="BS166" s="6">
        <v>1</v>
      </c>
      <c r="BT166" s="4">
        <v>1.5983405523357264</v>
      </c>
      <c r="BU166" s="4">
        <v>1.5983405523357264</v>
      </c>
      <c r="BV166" s="4">
        <v>1.598647083400558</v>
      </c>
      <c r="BW166" s="4">
        <v>0.0003065310648315092</v>
      </c>
      <c r="BX166" s="4">
        <v>7.410521848938423e-17</v>
      </c>
      <c r="BY166" s="4">
        <v>1.705</v>
      </c>
      <c r="BZ166" s="4">
        <v>1.705</v>
      </c>
      <c r="CA166" s="6"/>
      <c r="CB166" s="6"/>
      <c r="CC166" s="6"/>
      <c r="CD166" s="9">
        <v>23</v>
      </c>
      <c r="CE166" s="7">
        <f>IFERROR(BW166/F166,0)</f>
        <v>0.00019178082191780824</v>
      </c>
      <c r="CF166" t="inlineStr">
        <is>
          <t xml:space="preserve">SI69U</t>
        </is>
      </c>
      <c r="CG166" t="inlineStr">
        <is>
          <t xml:space="preserve">future</t>
        </is>
      </c>
      <c r="CH166" t="inlineStr">
        <is>
          <t xml:space="preserve">lease</t>
        </is>
      </c>
      <c r="CI166" t="inlineStr">
        <is>
          <t xml:space="preserve">long</t>
        </is>
      </c>
      <c r="CJ166" t="inlineStr">
        <is>
          <t xml:space="preserve">regular</t>
        </is>
      </c>
      <c r="CK166" s="4">
        <v>1.68</v>
      </c>
      <c r="CL166" s="4">
        <v>1.665</v>
      </c>
      <c r="CM166" s="4">
        <v>0.9513931859141229</v>
      </c>
      <c r="CN166" s="6">
        <v>1</v>
      </c>
      <c r="CO166" s="4">
        <v>1.5983405523357264</v>
      </c>
      <c r="CP166" s="4">
        <v>0</v>
      </c>
      <c r="CQ166" s="4">
        <v>0</v>
      </c>
      <c r="CR166" s="4">
        <v>-0.014270897788711791</v>
      </c>
      <c r="CS166" s="4">
        <v>0.014270897788711791</v>
      </c>
      <c r="CT166" s="4">
        <v>1.705</v>
      </c>
      <c r="CU166" s="4">
        <v>1.705</v>
      </c>
      <c r="CV166" s="6">
        <v>-0.014662756598240567</v>
      </c>
      <c r="CW166" s="6">
        <v>0.07</v>
      </c>
      <c r="CX166" s="6">
        <v>0.3026915721025134</v>
      </c>
      <c r="CY166" s="9">
        <v>23</v>
      </c>
      <c r="CZ166" s="7">
        <f>IFERROR(CR166/F166,0)</f>
        <v>-0.008928571428571397</v>
      </c>
      <c r="DA166" t="inlineStr">
        <is>
          <t xml:space="preserve">Lease cash / margin / financing</t>
        </is>
      </c>
      <c r="DB166" t="inlineStr">
        <is>
          <t xml:space="preserve">cash</t>
        </is>
      </c>
      <c r="DC166" t="inlineStr">
        <is>
          <t xml:space="preserve">lease</t>
        </is>
      </c>
      <c r="DD166" t="inlineStr">
        <is>
          <t xml:space="preserve">cash</t>
        </is>
      </c>
      <c r="DE166"/>
      <c r="DF166" s="4">
        <v>1</v>
      </c>
      <c r="DG166" s="4">
        <v>1</v>
      </c>
      <c r="DH166" s="4">
        <v>6.661338147750939e-16</v>
      </c>
      <c r="DI166" s="6"/>
      <c r="DJ166" s="4">
        <v>6.661338147750939e-16</v>
      </c>
      <c r="DK166" s="4">
        <v>6.661338147750939e-16</v>
      </c>
      <c r="DL166" s="4">
        <v>-0.0142708977887112</v>
      </c>
      <c r="DM166" s="4">
        <v>0</v>
      </c>
      <c r="DN166" s="4">
        <v>-0.014270897788711866</v>
      </c>
      <c r="DO166" s="4">
        <v>1.705</v>
      </c>
      <c r="DP166" s="4">
        <v>1.705</v>
      </c>
      <c r="DQ166" s="6"/>
      <c r="DR166" s="6"/>
      <c r="DS166" s="6"/>
      <c r="DT166" s="9"/>
      <c r="DU166" s="7">
        <f>IFERROR(DM166/F166,0)</f>
        <v>0</v>
      </c>
      <c r="DV166" t="inlineStr">
        <is>
          <t xml:space="preserve">Keep cash / margin / financing</t>
        </is>
      </c>
      <c r="DW166" t="inlineStr">
        <is>
          <t xml:space="preserve">cash</t>
        </is>
      </c>
      <c r="DX166" t="inlineStr">
        <is>
          <t xml:space="preserve">keep</t>
        </is>
      </c>
      <c r="DY166" t="inlineStr">
        <is>
          <t xml:space="preserve">cash</t>
        </is>
      </c>
      <c r="DZ166"/>
      <c r="EA166" s="4">
        <v>1</v>
      </c>
      <c r="EB166" s="4">
        <v>1</v>
      </c>
      <c r="EC166" s="4">
        <v>0</v>
      </c>
      <c r="ED166" s="6"/>
      <c r="EE166" s="4">
        <v>0</v>
      </c>
      <c r="EF166" s="4">
        <v>0</v>
      </c>
      <c r="EG166" s="4">
        <v>0</v>
      </c>
      <c r="EH166" s="4">
        <v>0</v>
      </c>
      <c r="EI166" s="4">
        <v>0</v>
      </c>
      <c r="EJ166" s="4">
        <v>1.705</v>
      </c>
      <c r="EK166" s="4">
        <v>1.705</v>
      </c>
      <c r="EL166" s="6"/>
      <c r="EM166" s="6"/>
      <c r="EN166" s="6"/>
      <c r="EO166" s="9"/>
      <c r="EP166" s="7">
        <f>IFERROR(EH166/F166,0)</f>
        <v>0</v>
      </c>
      <c r="EQ166"/>
      <c r="ER166"/>
      <c r="ES166"/>
      <c r="ET166"/>
      <c r="EU166"/>
      <c r="EV166" s="4"/>
      <c r="EW166" s="4"/>
      <c r="EX166" s="4"/>
      <c r="EY166" s="6"/>
      <c r="EZ166" s="4"/>
      <c r="FA166" s="4"/>
      <c r="FB166" s="4"/>
      <c r="FC166" s="4"/>
      <c r="FD166" s="4"/>
      <c r="FE166" s="4"/>
      <c r="FF166" s="4"/>
      <c r="FG166" s="6"/>
      <c r="FH166" s="6"/>
      <c r="FI166" s="6"/>
      <c r="FJ166" s="9"/>
      <c r="FK166"/>
      <c r="FL166"/>
      <c r="FM166"/>
      <c r="FN166"/>
      <c r="FO166"/>
      <c r="FP166"/>
      <c r="FQ166" s="4"/>
      <c r="FR166" s="4"/>
      <c r="FS166" s="4"/>
      <c r="FT166" s="6"/>
      <c r="FU166" s="4"/>
      <c r="FV166" s="4"/>
      <c r="FW166" s="4"/>
      <c r="FX166" s="4"/>
      <c r="FY166" s="4"/>
      <c r="FZ166" s="4"/>
      <c r="GA166" s="4"/>
      <c r="GB166" s="6"/>
      <c r="GC166" s="6"/>
      <c r="GD166" s="6"/>
      <c r="GE166" s="9"/>
      <c r="GF166"/>
      <c r="GG166"/>
      <c r="GH166"/>
      <c r="GI166"/>
      <c r="GJ166"/>
      <c r="GK166"/>
      <c r="GL166" s="4"/>
      <c r="GM166" s="4"/>
      <c r="GN166" s="4"/>
      <c r="GO166" s="6"/>
      <c r="GP166" s="4"/>
      <c r="GQ166" s="4"/>
      <c r="GR166" s="4"/>
      <c r="GS166" s="4"/>
      <c r="GT166" s="4"/>
      <c r="GU166" s="4"/>
      <c r="GV166" s="4"/>
      <c r="GW166" s="6"/>
      <c r="GX166" s="6"/>
      <c r="GY166" s="6"/>
      <c r="GZ166" s="9"/>
      <c r="HA166"/>
      <c r="HB166"/>
      <c r="HC166"/>
      <c r="HD166"/>
      <c r="HE166"/>
      <c r="HF166"/>
      <c r="HG166" s="4"/>
      <c r="HH166" s="4"/>
      <c r="HI166" s="4"/>
      <c r="HJ166" s="6"/>
      <c r="HK166" s="4"/>
      <c r="HL166" s="4"/>
      <c r="HM166" s="4"/>
      <c r="HN166" s="4"/>
      <c r="HO166" s="4"/>
      <c r="HP166" s="4"/>
      <c r="HQ166" s="4"/>
      <c r="HR166" s="6"/>
      <c r="HS166" s="6"/>
      <c r="HT166" s="6"/>
      <c r="HU166" s="9"/>
      <c r="HV166"/>
      <c r="HW166"/>
      <c r="HX166"/>
      <c r="HY166"/>
      <c r="HZ166"/>
      <c r="IA166"/>
      <c r="IB166" s="4"/>
      <c r="IC166" s="4"/>
      <c r="ID166" s="4"/>
      <c r="IE166" s="6"/>
      <c r="IF166" s="4"/>
      <c r="IG166" s="4"/>
      <c r="IH166" s="4"/>
      <c r="II166" s="4"/>
      <c r="IJ166" s="4"/>
      <c r="IK166" s="4"/>
      <c r="IL166" s="4"/>
      <c r="IM166" s="6"/>
      <c r="IN166" s="6"/>
      <c r="IO166" s="6"/>
      <c r="IP166" s="9"/>
      <c r="IQ166"/>
      <c r="IR166"/>
      <c r="IS166"/>
      <c r="IT166"/>
      <c r="IU166"/>
      <c r="IV166"/>
      <c r="IW166" s="4"/>
      <c r="IX166" s="4"/>
      <c r="IY166" s="4"/>
      <c r="IZ166" s="6"/>
      <c r="JA166" s="4"/>
      <c r="JB166" s="4"/>
      <c r="JC166" s="4"/>
      <c r="JD166" s="4"/>
      <c r="JE166" s="4"/>
      <c r="JF166" s="4"/>
      <c r="JG166" s="4"/>
      <c r="JH166" s="6"/>
      <c r="JI166" s="6"/>
      <c r="JJ166" s="6"/>
      <c r="JK166" s="9"/>
      <c r="JL166"/>
    </row>
    <row r="167">
      <c r="A167" s="8">
        <v>25450</v>
      </c>
      <c r="B167" s="8">
        <v>25451</v>
      </c>
      <c r="C167" s="9">
        <f>B167-A167</f>
        <v>1</v>
      </c>
      <c r="D167" s="8">
        <v>25450</v>
      </c>
      <c r="E167" t="inlineStr">
        <is>
          <t xml:space="preserve">positive</t>
        </is>
      </c>
      <c r="F167" s="4">
        <v>1.5843761856118461</v>
      </c>
      <c r="G167" s="6">
        <v>0.02241509893455091</v>
      </c>
      <c r="H167" s="7">
        <f>SUM(CE167,CZ167,DU167,EP167,FK167,GF167,HA167,HV167,IQ167,JL167)</f>
        <v>0.02241509893455091</v>
      </c>
      <c r="I167" s="7">
        <f>G167-H167</f>
        <v>0</v>
      </c>
      <c r="J167" s="5">
        <f>F167*(1+H167)</f>
        <v>1.619890134561882</v>
      </c>
      <c r="K167" s="4">
        <v>1.619890134561882</v>
      </c>
      <c r="L167" s="5">
        <f>K167-J167</f>
        <v>0</v>
      </c>
      <c r="M167" s="4">
        <v>1.705</v>
      </c>
      <c r="N167" s="4">
        <v>1.702</v>
      </c>
      <c r="O167" s="5">
        <f>M167/$M$3</f>
        <v>0.8707865168539326</v>
      </c>
      <c r="P167" s="5">
        <f>N167/$M$3</f>
        <v>0.8692543411644535</v>
      </c>
      <c r="Q167" s="7">
        <f>IFERROR(N167/M167-1,0)</f>
        <v>-0.0017595307917889214</v>
      </c>
      <c r="R167" s="5">
        <f>SUM(IF(BM167="lease",BU167,0),IF(CH167="lease",CP167,0),IF(DC167="lease",DK167,0),IF(DX167="lease",EF167,0),IF(ES167="lease",FA167,0),IF(FN167="lease",FV167,0),IF(GI167="lease",GQ167,0),IF(HD167="lease",HL167,0),IF(HY167="lease",IG167,0),IF(IT167="lease",JB167,0))</f>
        <v>1.5843761856118468</v>
      </c>
      <c r="S167" s="5">
        <f>SUM(IF(BM167="lease",BV167,0),IF(CH167="lease",CQ167,0),IF(DC167="lease",DL167,0),IF(DX167="lease",EG167,0),IF(ES167="lease",FB167,0),IF(FN167="lease",FW167,0),IF(GI167="lease",GR167,0),IF(HD167="lease",HM167,0),IF(HY167="lease",IH167,0),IF(IT167="lease",JC167,0))</f>
        <v>1.6198901345618828</v>
      </c>
      <c r="T167" s="5">
        <f>SUM(IF(BM167="keep",BU167,0),IF(CH167="keep",CP167,0),IF(DC167="keep",DK167,0),IF(DX167="keep",EF167,0),IF(ES167="keep",FA167,0),IF(FN167="keep",FV167,0),IF(GI167="keep",GQ167,0),IF(HD167="keep",HL167,0),IF(HY167="keep",IG167,0),IF(IT167="keep",JB167,0))</f>
        <v>0</v>
      </c>
      <c r="U167" s="5">
        <f>SUM(IF(BM167="keep",BV167,0),IF(CH167="keep",CQ167,0),IF(DC167="keep",DL167,0),IF(DX167="keep",EG167,0),IF(ES167="keep",FB167,0),IF(FN167="keep",FW167,0),IF(GI167="keep",GR167,0),IF(HD167="keep",HM167,0),IF(HY167="keep",IH167,0),IF(IT167="keep",JC167,0))</f>
        <v>0</v>
      </c>
      <c r="V167" s="5">
        <f>R167/O167</f>
        <v>1.8194771679929596</v>
      </c>
      <c r="W167" s="5">
        <f>S167/P167</f>
        <v>1.8635398845312376</v>
      </c>
      <c r="X167" s="5">
        <f>T167/O167</f>
        <v>0</v>
      </c>
      <c r="Y167" s="5">
        <f>U167/P167</f>
        <v>0</v>
      </c>
      <c r="Z167" s="5">
        <f>V167+X167</f>
        <v>1.8194771679929596</v>
      </c>
      <c r="AA167" s="7">
        <f>IFERROR(W167/V167-1,0)</f>
        <v>0.024217240707055998</v>
      </c>
      <c r="AB167" s="7">
        <f>IFERROR((W167-V167)/Z167,0)</f>
        <v>0.024217240707056012</v>
      </c>
      <c r="AC167" s="7">
        <f>IFERROR(Y167/X167-1,0)</f>
        <v>0</v>
      </c>
      <c r="AD167" s="7">
        <f>IFERROR((Y167-X167)/Z167,0)</f>
        <v>0</v>
      </c>
      <c r="AE167" s="7">
        <f>AB167+AD167</f>
        <v>0.024217240707056012</v>
      </c>
      <c r="AF167" s="7">
        <f>(1+Q167)*(1+AE167)-1</f>
        <v>0.022415098934550848</v>
      </c>
      <c r="AG167" s="7">
        <f>G167-AF167</f>
        <v>6.245004513516506e-17</v>
      </c>
      <c r="AH167" s="5">
        <f>SUM(IF(BM167="lease",BW167,0),IF(CH167="lease",CR167,0),IF(DC167="lease",DM167,0),IF(DX167="lease",EH167,0),IF(ES167="lease",FC167,0),IF(FN167="lease",FX167,0),IF(GI167="lease",GS167,0),IF(HD167="lease",HN167,0),IF(HY167="lease",II167,0),IF(IT167="lease",JD167,0))</f>
        <v>0.03551394895003593</v>
      </c>
      <c r="AI167" s="5">
        <f>SUM(IF(BM167="keep",BW167,0),IF(CH167="keep",CR167,0),IF(DC167="keep",DM167,0),IF(DX167="keep",EH167,0),IF(ES167="keep",FC167,0),IF(FN167="keep",FX167,0),IF(GI167="keep",GS167,0),IF(HD167="keep",HN167,0),IF(HY167="keep",II167,0),IF(IT167="keep",JD167,0))</f>
        <v>0</v>
      </c>
      <c r="AJ167" s="5">
        <f>SUM(IF(BM167="lease",BX167,0),IF(CH167="lease",CS167,0),IF(DC167="lease",DN167,0),IF(DX167="lease",EI167,0),IF(ES167="lease",FD167,0),IF(FN167="lease",FY167,0),IF(GI167="lease",GT167,0),IF(HD167="lease",HO167,0),IF(HY167="lease",IJ167,0),IF(IT167="lease",JE167,0))</f>
        <v>0</v>
      </c>
      <c r="AK167" s="5">
        <f>SUM(IF(BM167="keep",BX167,0),IF(CH167="keep",CS167,0),IF(DC167="keep",DN167,0),IF(DX167="keep",EI167,0),IF(ES167="keep",FD167,0),IF(FN167="keep",FY167,0),IF(GI167="keep",GT167,0),IF(HD167="keep",HO167,0),IF(HY167="keep",IJ167,0),IF(IT167="keep",JE167,0))</f>
        <v>0</v>
      </c>
      <c r="AL167" s="5">
        <f>R167-S166</f>
        <v>0</v>
      </c>
      <c r="AM167" s="5">
        <f>T167-U166</f>
        <v>0</v>
      </c>
      <c r="AN167" s="5">
        <f>AN166</f>
        <v>1</v>
      </c>
      <c r="AO167" s="5">
        <f>AO166+AH167</f>
        <v>0.6198901345618829</v>
      </c>
      <c r="AP167" s="5">
        <f>AP166+AL167</f>
        <v>-4.440892098500626e-16</v>
      </c>
      <c r="AQ167" s="5">
        <f>AN167+AO167+AP167</f>
        <v>1.6198901345618824</v>
      </c>
      <c r="AR167" s="5">
        <f>S167-AQ167</f>
        <v>4.440892098500626e-16</v>
      </c>
      <c r="AS167" s="5">
        <f>AS166</f>
        <v>0</v>
      </c>
      <c r="AT167" s="5">
        <f>AT166+AI167</f>
        <v>0</v>
      </c>
      <c r="AU167" s="5">
        <f>AU166+AM167</f>
        <v>0</v>
      </c>
      <c r="AV167" s="5">
        <f>AS167+AT167+AU167</f>
        <v>0</v>
      </c>
      <c r="AW167" s="5">
        <f>U167-AV167</f>
        <v>0</v>
      </c>
      <c r="AX167" s="4">
        <v>1.5843761856118468</v>
      </c>
      <c r="AY167" s="4">
        <v>1.6198901345618828</v>
      </c>
      <c r="AZ167" s="5">
        <f>S167-AY167</f>
        <v>0</v>
      </c>
      <c r="BA167" s="4">
        <v>0</v>
      </c>
      <c r="BB167" s="4">
        <v>0</v>
      </c>
      <c r="BC167" s="5">
        <f>U167-BB167</f>
        <v>0</v>
      </c>
      <c r="BD167" s="7">
        <f>SUM(IF(BL167="direct",CE167,0),IF(CG167="direct",CZ167,0),IF(DB167="direct",DU167,0),IF(DW167="direct",EP167,0),IF(ER167="direct",FK167,0),IF(FM167="direct",GF167,0),IF(GH167="direct",HA167,0),IF(HC167="direct",HV167,0),IF(HX167="direct",IQ167,0),IF(IS167="direct",JL167,0))</f>
        <v>0</v>
      </c>
      <c r="BE167" s="7">
        <f>SUM(IF(BL167="treasury",CE167,0),IF(CG167="treasury",CZ167,0),IF(DB167="treasury",DU167,0),IF(DW167="treasury",EP167,0),IF(ER167="treasury",FK167,0),IF(FM167="treasury",GF167,0),IF(GH167="treasury",HA167,0),IF(HC167="treasury",HV167,0),IF(HX167="treasury",IQ167,0),IF(IS167="treasury",JL167,0))</f>
        <v>0.00019287671232876713</v>
      </c>
      <c r="BF167" s="7">
        <f>SUM(IF(BL167="future",CE167,0),IF(CG167="future",CZ167,0),IF(DB167="future",DU167,0),IF(DW167="future",EP167,0),IF(ER167="future",FK167,0),IF(FM167="future",GF167,0),IF(GH167="future",HA167,0),IF(HC167="future",HV167,0),IF(HX167="future",IQ167,0),IF(IS167="future",JL167,0))</f>
        <v>0.022222222222222147</v>
      </c>
      <c r="BG167" s="7">
        <f>SUM(IF(BL167="cash",CE167,0),IF(CG167="cash",CZ167,0),IF(DB167="cash",DU167,0),IF(DW167="cash",EP167,0),IF(ER167="cash",FK167,0),IF(FM167="cash",GF167,0),IF(GH167="cash",HA167,0),IF(HC167="cash",HV167,0),IF(HX167="cash",IQ167,0),IF(IS167="cash",JL167,0))</f>
        <v>0</v>
      </c>
      <c r="BH167" s="7">
        <f>SUM(BD167:BG167)</f>
        <v>0.022415098934550914</v>
      </c>
      <c r="BI167" s="7">
        <f>G167-BH167</f>
        <v>-3.469446951953614e-18</v>
      </c>
      <c r="BJ167" s="9">
        <f>COUNTA(BK167,CF167,DA167,DV167,EQ167,FL167,GG167,HB167,HW167,IR167)</f>
        <v>4</v>
      </c>
      <c r="BK167" t="inlineStr">
        <is>
          <t xml:space="preserve">Treasury collateral</t>
        </is>
      </c>
      <c r="BL167" t="inlineStr">
        <is>
          <t xml:space="preserve">treasury</t>
        </is>
      </c>
      <c r="BM167" t="inlineStr">
        <is>
          <t xml:space="preserve">lease</t>
        </is>
      </c>
      <c r="BN167" t="inlineStr">
        <is>
          <t xml:space="preserve">long</t>
        </is>
      </c>
      <c r="BO167"/>
      <c r="BP167" s="4">
        <v>104.3638544815898</v>
      </c>
      <c r="BQ167" s="4">
        <v>104.38398383872816</v>
      </c>
      <c r="BR167" s="4">
        <v>0.015181273185835968</v>
      </c>
      <c r="BS167" s="6">
        <v>1</v>
      </c>
      <c r="BT167" s="4">
        <v>1.5843761856118461</v>
      </c>
      <c r="BU167" s="4">
        <v>1.5843761856118461</v>
      </c>
      <c r="BV167" s="4">
        <v>1.5846817748816189</v>
      </c>
      <c r="BW167" s="4">
        <v>0.0003055892697728054</v>
      </c>
      <c r="BX167" s="4">
        <v>-5.068645156369733e-17</v>
      </c>
      <c r="BY167" s="4">
        <v>1.705</v>
      </c>
      <c r="BZ167" s="4">
        <v>1.702</v>
      </c>
      <c r="CA167" s="6"/>
      <c r="CB167" s="6"/>
      <c r="CC167" s="6"/>
      <c r="CD167" s="9">
        <v>22</v>
      </c>
      <c r="CE167" s="7">
        <f>IFERROR(BW167/F167,0)</f>
        <v>0.00019287671232876713</v>
      </c>
      <c r="CF167" t="inlineStr">
        <is>
          <t xml:space="preserve">SI69U</t>
        </is>
      </c>
      <c r="CG167" t="inlineStr">
        <is>
          <t xml:space="preserve">future</t>
        </is>
      </c>
      <c r="CH167" t="inlineStr">
        <is>
          <t xml:space="preserve">lease</t>
        </is>
      </c>
      <c r="CI167" t="inlineStr">
        <is>
          <t xml:space="preserve">long</t>
        </is>
      </c>
      <c r="CJ167" t="inlineStr">
        <is>
          <t xml:space="preserve">regular</t>
        </is>
      </c>
      <c r="CK167" s="4">
        <v>1.665</v>
      </c>
      <c r="CL167" s="4">
        <v>1.702</v>
      </c>
      <c r="CM167" s="4">
        <v>0.9515772886557634</v>
      </c>
      <c r="CN167" s="6">
        <v>1</v>
      </c>
      <c r="CO167" s="4">
        <v>1.5843761856118461</v>
      </c>
      <c r="CP167" s="4">
        <v>0</v>
      </c>
      <c r="CQ167" s="4">
        <v>0</v>
      </c>
      <c r="CR167" s="4">
        <v>0.035208359680263125</v>
      </c>
      <c r="CS167" s="4">
        <v>-0.035208359680263125</v>
      </c>
      <c r="CT167" s="4">
        <v>1.705</v>
      </c>
      <c r="CU167" s="4">
        <v>1.702</v>
      </c>
      <c r="CV167" s="6">
        <v>-0.02346041055718473</v>
      </c>
      <c r="CW167" s="6">
        <v>0.0704</v>
      </c>
      <c r="CX167" s="6">
        <v>0.4596295387896558</v>
      </c>
      <c r="CY167" s="9">
        <v>22</v>
      </c>
      <c r="CZ167" s="7">
        <f>IFERROR(CR167/F167,0)</f>
        <v>0.022222222222222147</v>
      </c>
      <c r="DA167" t="inlineStr">
        <is>
          <t xml:space="preserve">Lease cash / margin / financing</t>
        </is>
      </c>
      <c r="DB167" t="inlineStr">
        <is>
          <t xml:space="preserve">cash</t>
        </is>
      </c>
      <c r="DC167" t="inlineStr">
        <is>
          <t xml:space="preserve">lease</t>
        </is>
      </c>
      <c r="DD167" t="inlineStr">
        <is>
          <t xml:space="preserve">cash</t>
        </is>
      </c>
      <c r="DE167"/>
      <c r="DF167" s="4">
        <v>1</v>
      </c>
      <c r="DG167" s="4">
        <v>1</v>
      </c>
      <c r="DH167" s="4">
        <v>6.661338147750939e-16</v>
      </c>
      <c r="DI167" s="6"/>
      <c r="DJ167" s="4">
        <v>6.661338147750939e-16</v>
      </c>
      <c r="DK167" s="4">
        <v>6.661338147750939e-16</v>
      </c>
      <c r="DL167" s="4">
        <v>0.03520835968026384</v>
      </c>
      <c r="DM167" s="4">
        <v>0</v>
      </c>
      <c r="DN167" s="4">
        <v>0.035208359680263174</v>
      </c>
      <c r="DO167" s="4">
        <v>1.705</v>
      </c>
      <c r="DP167" s="4">
        <v>1.702</v>
      </c>
      <c r="DQ167" s="6"/>
      <c r="DR167" s="6"/>
      <c r="DS167" s="6"/>
      <c r="DT167" s="9"/>
      <c r="DU167" s="7">
        <f>IFERROR(DM167/F167,0)</f>
        <v>0</v>
      </c>
      <c r="DV167" t="inlineStr">
        <is>
          <t xml:space="preserve">Keep cash / margin / financing</t>
        </is>
      </c>
      <c r="DW167" t="inlineStr">
        <is>
          <t xml:space="preserve">cash</t>
        </is>
      </c>
      <c r="DX167" t="inlineStr">
        <is>
          <t xml:space="preserve">keep</t>
        </is>
      </c>
      <c r="DY167" t="inlineStr">
        <is>
          <t xml:space="preserve">cash</t>
        </is>
      </c>
      <c r="DZ167"/>
      <c r="EA167" s="4">
        <v>1</v>
      </c>
      <c r="EB167" s="4">
        <v>1</v>
      </c>
      <c r="EC167" s="4">
        <v>0</v>
      </c>
      <c r="ED167" s="6"/>
      <c r="EE167" s="4">
        <v>0</v>
      </c>
      <c r="EF167" s="4">
        <v>0</v>
      </c>
      <c r="EG167" s="4">
        <v>0</v>
      </c>
      <c r="EH167" s="4">
        <v>0</v>
      </c>
      <c r="EI167" s="4">
        <v>0</v>
      </c>
      <c r="EJ167" s="4">
        <v>1.705</v>
      </c>
      <c r="EK167" s="4">
        <v>1.702</v>
      </c>
      <c r="EL167" s="6"/>
      <c r="EM167" s="6"/>
      <c r="EN167" s="6"/>
      <c r="EO167" s="9"/>
      <c r="EP167" s="7">
        <f>IFERROR(EH167/F167,0)</f>
        <v>0</v>
      </c>
      <c r="EQ167"/>
      <c r="ER167"/>
      <c r="ES167"/>
      <c r="ET167"/>
      <c r="EU167"/>
      <c r="EV167" s="4"/>
      <c r="EW167" s="4"/>
      <c r="EX167" s="4"/>
      <c r="EY167" s="6"/>
      <c r="EZ167" s="4"/>
      <c r="FA167" s="4"/>
      <c r="FB167" s="4"/>
      <c r="FC167" s="4"/>
      <c r="FD167" s="4"/>
      <c r="FE167" s="4"/>
      <c r="FF167" s="4"/>
      <c r="FG167" s="6"/>
      <c r="FH167" s="6"/>
      <c r="FI167" s="6"/>
      <c r="FJ167" s="9"/>
      <c r="FK167"/>
      <c r="FL167"/>
      <c r="FM167"/>
      <c r="FN167"/>
      <c r="FO167"/>
      <c r="FP167"/>
      <c r="FQ167" s="4"/>
      <c r="FR167" s="4"/>
      <c r="FS167" s="4"/>
      <c r="FT167" s="6"/>
      <c r="FU167" s="4"/>
      <c r="FV167" s="4"/>
      <c r="FW167" s="4"/>
      <c r="FX167" s="4"/>
      <c r="FY167" s="4"/>
      <c r="FZ167" s="4"/>
      <c r="GA167" s="4"/>
      <c r="GB167" s="6"/>
      <c r="GC167" s="6"/>
      <c r="GD167" s="6"/>
      <c r="GE167" s="9"/>
      <c r="GF167"/>
      <c r="GG167"/>
      <c r="GH167"/>
      <c r="GI167"/>
      <c r="GJ167"/>
      <c r="GK167"/>
      <c r="GL167" s="4"/>
      <c r="GM167" s="4"/>
      <c r="GN167" s="4"/>
      <c r="GO167" s="6"/>
      <c r="GP167" s="4"/>
      <c r="GQ167" s="4"/>
      <c r="GR167" s="4"/>
      <c r="GS167" s="4"/>
      <c r="GT167" s="4"/>
      <c r="GU167" s="4"/>
      <c r="GV167" s="4"/>
      <c r="GW167" s="6"/>
      <c r="GX167" s="6"/>
      <c r="GY167" s="6"/>
      <c r="GZ167" s="9"/>
      <c r="HA167"/>
      <c r="HB167"/>
      <c r="HC167"/>
      <c r="HD167"/>
      <c r="HE167"/>
      <c r="HF167"/>
      <c r="HG167" s="4"/>
      <c r="HH167" s="4"/>
      <c r="HI167" s="4"/>
      <c r="HJ167" s="6"/>
      <c r="HK167" s="4"/>
      <c r="HL167" s="4"/>
      <c r="HM167" s="4"/>
      <c r="HN167" s="4"/>
      <c r="HO167" s="4"/>
      <c r="HP167" s="4"/>
      <c r="HQ167" s="4"/>
      <c r="HR167" s="6"/>
      <c r="HS167" s="6"/>
      <c r="HT167" s="6"/>
      <c r="HU167" s="9"/>
      <c r="HV167"/>
      <c r="HW167"/>
      <c r="HX167"/>
      <c r="HY167"/>
      <c r="HZ167"/>
      <c r="IA167"/>
      <c r="IB167" s="4"/>
      <c r="IC167" s="4"/>
      <c r="ID167" s="4"/>
      <c r="IE167" s="6"/>
      <c r="IF167" s="4"/>
      <c r="IG167" s="4"/>
      <c r="IH167" s="4"/>
      <c r="II167" s="4"/>
      <c r="IJ167" s="4"/>
      <c r="IK167" s="4"/>
      <c r="IL167" s="4"/>
      <c r="IM167" s="6"/>
      <c r="IN167" s="6"/>
      <c r="IO167" s="6"/>
      <c r="IP167" s="9"/>
      <c r="IQ167"/>
      <c r="IR167"/>
      <c r="IS167"/>
      <c r="IT167"/>
      <c r="IU167"/>
      <c r="IV167"/>
      <c r="IW167" s="4"/>
      <c r="IX167" s="4"/>
      <c r="IY167" s="4"/>
      <c r="IZ167" s="6"/>
      <c r="JA167" s="4"/>
      <c r="JB167" s="4"/>
      <c r="JC167" s="4"/>
      <c r="JD167" s="4"/>
      <c r="JE167" s="4"/>
      <c r="JF167" s="4"/>
      <c r="JG167" s="4"/>
      <c r="JH167" s="6"/>
      <c r="JI167" s="6"/>
      <c r="JJ167" s="6"/>
      <c r="JK167" s="9"/>
      <c r="JL167"/>
    </row>
    <row r="168">
      <c r="A168" s="8">
        <v>25451</v>
      </c>
      <c r="B168" s="8">
        <v>25454</v>
      </c>
      <c r="C168" s="9">
        <f>B168-A168</f>
        <v>3</v>
      </c>
      <c r="D168" s="8">
        <v>25451</v>
      </c>
      <c r="E168" t="inlineStr">
        <is>
          <t xml:space="preserve">positive</t>
        </is>
      </c>
      <c r="F168" s="4">
        <v>1.619890134561882</v>
      </c>
      <c r="G168" s="6">
        <v>0.011943398324399414</v>
      </c>
      <c r="H168" s="7">
        <f>SUM(CE168,CZ168,DU168,EP168,FK168,GF168,HA168,HV168,IQ168,JL168)</f>
        <v>0.011943398324399413</v>
      </c>
      <c r="I168" s="7">
        <f>G168-H168</f>
        <v>1.734723475976807e-18</v>
      </c>
      <c r="J168" s="5">
        <f>F168*(1+H168)</f>
        <v>1.6392371276807196</v>
      </c>
      <c r="K168" s="4">
        <v>1.6392371276807196</v>
      </c>
      <c r="L168" s="5">
        <f>K168-J168</f>
        <v>0</v>
      </c>
      <c r="M168" s="4">
        <v>1.702</v>
      </c>
      <c r="N168" s="4">
        <v>1.728</v>
      </c>
      <c r="O168" s="5">
        <f>M168/$M$3</f>
        <v>0.8692543411644535</v>
      </c>
      <c r="P168" s="5">
        <f>N168/$M$3</f>
        <v>0.8825331971399387</v>
      </c>
      <c r="Q168" s="7">
        <f>IFERROR(N168/M168-1,0)</f>
        <v>0.01527614571092828</v>
      </c>
      <c r="R168" s="5">
        <f>SUM(IF(BM168="lease",BU168,0),IF(CH168="lease",CP168,0),IF(DC168="lease",DK168,0),IF(DX168="lease",EF168,0),IF(ES168="lease",FA168,0),IF(FN168="lease",FV168,0),IF(GI168="lease",GQ168,0),IF(HD168="lease",HL168,0),IF(HY168="lease",IG168,0),IF(IT168="lease",JB168,0))</f>
        <v>1.6198901345618828</v>
      </c>
      <c r="S168" s="5">
        <f>SUM(IF(BM168="lease",BV168,0),IF(CH168="lease",CQ168,0),IF(DC168="lease",DL168,0),IF(DX168="lease",EG168,0),IF(ES168="lease",FB168,0),IF(FN168="lease",FW168,0),IF(GI168="lease",GR168,0),IF(HD168="lease",HM168,0),IF(HY168="lease",IH168,0),IF(IT168="lease",JC168,0))</f>
        <v>1.6392371276807203</v>
      </c>
      <c r="T168" s="5">
        <f>SUM(IF(BM168="keep",BU168,0),IF(CH168="keep",CP168,0),IF(DC168="keep",DK168,0),IF(DX168="keep",EF168,0),IF(ES168="keep",FA168,0),IF(FN168="keep",FV168,0),IF(GI168="keep",GQ168,0),IF(HD168="keep",HL168,0),IF(HY168="keep",IG168,0),IF(IT168="keep",JB168,0))</f>
        <v>0</v>
      </c>
      <c r="U168" s="5">
        <f>SUM(IF(BM168="keep",BV168,0),IF(CH168="keep",CQ168,0),IF(DC168="keep",DL168,0),IF(DX168="keep",EG168,0),IF(ES168="keep",FB168,0),IF(FN168="keep",FW168,0),IF(GI168="keep",GR168,0),IF(HD168="keep",HM168,0),IF(HY168="keep",IH168,0),IF(IT168="keep",JC168,0))</f>
        <v>0</v>
      </c>
      <c r="V168" s="5">
        <f>R168/O168</f>
        <v>1.8635398845312376</v>
      </c>
      <c r="W168" s="5">
        <f>S168/P168</f>
        <v>1.8574226249993346</v>
      </c>
      <c r="X168" s="5">
        <f>T168/O168</f>
        <v>0</v>
      </c>
      <c r="Y168" s="5">
        <f>U168/P168</f>
        <v>0</v>
      </c>
      <c r="Z168" s="5">
        <f>V168+X168</f>
        <v>1.8635398845312376</v>
      </c>
      <c r="AA168" s="7">
        <f>IFERROR(W168/V168-1,0)</f>
        <v>-0.0032826018818705727</v>
      </c>
      <c r="AB168" s="7">
        <f>IFERROR((W168-V168)/Z168,0)</f>
        <v>-0.0032826018818705176</v>
      </c>
      <c r="AC168" s="7">
        <f>IFERROR(Y168/X168-1,0)</f>
        <v>0</v>
      </c>
      <c r="AD168" s="7">
        <f>IFERROR((Y168-X168)/Z168,0)</f>
        <v>0</v>
      </c>
      <c r="AE168" s="7">
        <f>AB168+AD168</f>
        <v>-0.0032826018818705176</v>
      </c>
      <c r="AF168" s="7">
        <f>(1+Q168)*(1+AE168)-1</f>
        <v>0.01194339832439928</v>
      </c>
      <c r="AG168" s="7">
        <f>G168-AF168</f>
        <v>1.3530843112619095e-16</v>
      </c>
      <c r="AH168" s="5">
        <f>SUM(IF(BM168="lease",BW168,0),IF(CH168="lease",CR168,0),IF(DC168="lease",DM168,0),IF(DX168="lease",EH168,0),IF(ES168="lease",FC168,0),IF(FN168="lease",FX168,0),IF(GI168="lease",GS168,0),IF(HD168="lease",HN168,0),IF(HY168="lease",II168,0),IF(IT168="lease",JD168,0))</f>
        <v>0.01934699311883752</v>
      </c>
      <c r="AI168" s="5">
        <f>SUM(IF(BM168="keep",BW168,0),IF(CH168="keep",CR168,0),IF(DC168="keep",DM168,0),IF(DX168="keep",EH168,0),IF(ES168="keep",FC168,0),IF(FN168="keep",FX168,0),IF(GI168="keep",GS168,0),IF(HD168="keep",HN168,0),IF(HY168="keep",II168,0),IF(IT168="keep",JD168,0))</f>
        <v>0</v>
      </c>
      <c r="AJ168" s="5">
        <f>SUM(IF(BM168="lease",BX168,0),IF(CH168="lease",CS168,0),IF(DC168="lease",DN168,0),IF(DX168="lease",EI168,0),IF(ES168="lease",FD168,0),IF(FN168="lease",FY168,0),IF(GI168="lease",GT168,0),IF(HD168="lease",HO168,0),IF(HY168="lease",IJ168,0),IF(IT168="lease",JE168,0))</f>
        <v>0</v>
      </c>
      <c r="AK168" s="5">
        <f>SUM(IF(BM168="keep",BX168,0),IF(CH168="keep",CS168,0),IF(DC168="keep",DN168,0),IF(DX168="keep",EI168,0),IF(ES168="keep",FD168,0),IF(FN168="keep",FY168,0),IF(GI168="keep",GT168,0),IF(HD168="keep",HO168,0),IF(HY168="keep",IJ168,0),IF(IT168="keep",JE168,0))</f>
        <v>0</v>
      </c>
      <c r="AL168" s="5">
        <f>R168-S167</f>
        <v>0</v>
      </c>
      <c r="AM168" s="5">
        <f>T168-U167</f>
        <v>0</v>
      </c>
      <c r="AN168" s="5">
        <f>AN167</f>
        <v>1</v>
      </c>
      <c r="AO168" s="5">
        <f>AO167+AH168</f>
        <v>0.6392371276807204</v>
      </c>
      <c r="AP168" s="5">
        <f>AP167+AL168</f>
        <v>-4.440892098500626e-16</v>
      </c>
      <c r="AQ168" s="5">
        <f>AN168+AO168+AP168</f>
        <v>1.6392371276807198</v>
      </c>
      <c r="AR168" s="5">
        <f>S168-AQ168</f>
        <v>4.440892098500626e-16</v>
      </c>
      <c r="AS168" s="5">
        <f>AS167</f>
        <v>0</v>
      </c>
      <c r="AT168" s="5">
        <f>AT167+AI168</f>
        <v>0</v>
      </c>
      <c r="AU168" s="5">
        <f>AU167+AM168</f>
        <v>0</v>
      </c>
      <c r="AV168" s="5">
        <f>AS168+AT168+AU168</f>
        <v>0</v>
      </c>
      <c r="AW168" s="5">
        <f>U168-AV168</f>
        <v>0</v>
      </c>
      <c r="AX168" s="4">
        <v>1.6198901345618828</v>
      </c>
      <c r="AY168" s="4">
        <v>1.6392371276807203</v>
      </c>
      <c r="AZ168" s="5">
        <f>S168-AY168</f>
        <v>0</v>
      </c>
      <c r="BA168" s="4">
        <v>0</v>
      </c>
      <c r="BB168" s="4">
        <v>0</v>
      </c>
      <c r="BC168" s="5">
        <f>U168-BB168</f>
        <v>0</v>
      </c>
      <c r="BD168" s="7">
        <f>SUM(IF(BL168="direct",CE168,0),IF(CG168="direct",CZ168,0),IF(DB168="direct",DU168,0),IF(DW168="direct",EP168,0),IF(ER168="direct",FK168,0),IF(FM168="direct",GF168,0),IF(GH168="direct",HA168,0),IF(HC168="direct",HV168,0),IF(HX168="direct",IQ168,0),IF(IS168="direct",JL168,0))</f>
        <v>0.008075296417322603</v>
      </c>
      <c r="BE168" s="7">
        <f>SUM(IF(BL168="treasury",CE168,0),IF(CG168="treasury",CZ168,0),IF(DB168="treasury",DU168,0),IF(DW168="treasury",EP168,0),IF(ER168="treasury",FK168,0),IF(FM168="treasury",GF168,0),IF(GH168="treasury",HA168,0),IF(HC168="treasury",HV168,0),IF(HX168="treasury",IQ168,0),IF(IS168="treasury",JL168,0))</f>
        <v>0.0002731156164383562</v>
      </c>
      <c r="BF168" s="7">
        <f>SUM(IF(BL168="future",CE168,0),IF(CG168="future",CZ168,0),IF(DB168="future",DU168,0),IF(DW168="future",EP168,0),IF(ER168="future",FK168,0),IF(FM168="future",GF168,0),IF(GH168="future",HA168,0),IF(HC168="future",HV168,0),IF(HX168="future",IQ168,0),IF(IS168="future",JL168,0))</f>
        <v>0.0035949862906384552</v>
      </c>
      <c r="BG168" s="7">
        <f>SUM(IF(BL168="cash",CE168,0),IF(CG168="cash",CZ168,0),IF(DB168="cash",DU168,0),IF(DW168="cash",EP168,0),IF(ER168="cash",FK168,0),IF(FM168="cash",GF168,0),IF(GH168="cash",HA168,0),IF(HC168="cash",HV168,0),IF(HX168="cash",IQ168,0),IF(IS168="cash",JL168,0))</f>
        <v>0</v>
      </c>
      <c r="BH168" s="7">
        <f>SUM(BD168:BG168)</f>
        <v>0.011943398324399414</v>
      </c>
      <c r="BI168" s="7">
        <f>G168-BH168</f>
        <v>0</v>
      </c>
      <c r="BJ168" s="9">
        <f>COUNTA(BK168,CF168,DA168,DV168,EQ168,FL168,GG168,HB168,HW168,IR168)</f>
        <v>5</v>
      </c>
      <c r="BK168" t="inlineStr">
        <is>
          <t xml:space="preserve">Direct commodity holding</t>
        </is>
      </c>
      <c r="BL168" t="inlineStr">
        <is>
          <t xml:space="preserve">direct</t>
        </is>
      </c>
      <c r="BM168" t="inlineStr">
        <is>
          <t xml:space="preserve">lease</t>
        </is>
      </c>
      <c r="BN168" t="inlineStr">
        <is>
          <t xml:space="preserve">long</t>
        </is>
      </c>
      <c r="BO168"/>
      <c r="BP168" s="4">
        <v>1.702</v>
      </c>
      <c r="BQ168" s="4">
        <v>1.728</v>
      </c>
      <c r="BR168" s="4">
        <v>0.5037966184262179</v>
      </c>
      <c r="BS168" s="6">
        <v>0.5293333333333333</v>
      </c>
      <c r="BT168" s="4">
        <v>0.8574618445614228</v>
      </c>
      <c r="BU168" s="4">
        <v>0.8574618445614228</v>
      </c>
      <c r="BV168" s="4">
        <v>0.8705605566405046</v>
      </c>
      <c r="BW168" s="4">
        <v>0.013081093000083793</v>
      </c>
      <c r="BX168" s="4">
        <v>0.00001761907899796092</v>
      </c>
      <c r="BY168" s="4">
        <v>1.702</v>
      </c>
      <c r="BZ168" s="4">
        <v>1.728</v>
      </c>
      <c r="CA168" s="6"/>
      <c r="CB168" s="6"/>
      <c r="CC168" s="6"/>
      <c r="CD168" s="9"/>
      <c r="CE168" s="7">
        <f>IFERROR(BW168/F168,0)</f>
        <v>0.008075296417322603</v>
      </c>
      <c r="CF168" t="inlineStr">
        <is>
          <t xml:space="preserve">Treasury collateral</t>
        </is>
      </c>
      <c r="CG168" t="inlineStr">
        <is>
          <t xml:space="preserve">treasury</t>
        </is>
      </c>
      <c r="CH168" t="inlineStr">
        <is>
          <t xml:space="preserve">lease</t>
        </is>
      </c>
      <c r="CI168" t="inlineStr">
        <is>
          <t xml:space="preserve">long</t>
        </is>
      </c>
      <c r="CJ168"/>
      <c r="CK168" s="4">
        <v>104.38398383872816</v>
      </c>
      <c r="CL168" s="4">
        <v>104.44455514770634</v>
      </c>
      <c r="CM168" s="4">
        <v>0.007304073498271541</v>
      </c>
      <c r="CN168" s="6">
        <v>0.4706666666666667</v>
      </c>
      <c r="CO168" s="4">
        <v>0.7624282900004591</v>
      </c>
      <c r="CP168" s="4">
        <v>0.7624282900004591</v>
      </c>
      <c r="CQ168" s="4">
        <v>0.7628707072931223</v>
      </c>
      <c r="CR168" s="4">
        <v>0.00044241729266328013</v>
      </c>
      <c r="CS168" s="4">
        <v>-2.4882439858542327e-17</v>
      </c>
      <c r="CT168" s="4">
        <v>1.702</v>
      </c>
      <c r="CU168" s="4">
        <v>1.728</v>
      </c>
      <c r="CV168" s="6"/>
      <c r="CW168" s="6"/>
      <c r="CX168" s="6"/>
      <c r="CY168" s="9">
        <v>21</v>
      </c>
      <c r="CZ168" s="7">
        <f>IFERROR(CR168/F168,0)</f>
        <v>0.0002731156164383562</v>
      </c>
      <c r="DA168" t="inlineStr">
        <is>
          <t xml:space="preserve">SI69U</t>
        </is>
      </c>
      <c r="DB168" t="inlineStr">
        <is>
          <t xml:space="preserve">future</t>
        </is>
      </c>
      <c r="DC168" t="inlineStr">
        <is>
          <t xml:space="preserve">lease</t>
        </is>
      </c>
      <c r="DD168" t="inlineStr">
        <is>
          <t xml:space="preserve">long</t>
        </is>
      </c>
      <c r="DE168" t="inlineStr">
        <is>
          <t xml:space="preserve">regular</t>
        </is>
      </c>
      <c r="DF168" s="4">
        <v>1.702</v>
      </c>
      <c r="DG168" s="4">
        <v>1.715</v>
      </c>
      <c r="DH168" s="4">
        <v>0.4479602173915741</v>
      </c>
      <c r="DI168" s="6">
        <v>0.4706666666666667</v>
      </c>
      <c r="DJ168" s="4">
        <v>0.7624282900004591</v>
      </c>
      <c r="DK168" s="4">
        <v>0</v>
      </c>
      <c r="DL168" s="4">
        <v>0</v>
      </c>
      <c r="DM168" s="4">
        <v>0.005823482826090448</v>
      </c>
      <c r="DN168" s="4">
        <v>-0.005823482826090448</v>
      </c>
      <c r="DO168" s="4">
        <v>1.702</v>
      </c>
      <c r="DP168" s="4">
        <v>1.728</v>
      </c>
      <c r="DQ168" s="6">
        <v>0</v>
      </c>
      <c r="DR168" s="6">
        <v>0.0706</v>
      </c>
      <c r="DS168" s="6">
        <v>0.0706</v>
      </c>
      <c r="DT168" s="9">
        <v>21</v>
      </c>
      <c r="DU168" s="7">
        <f>IFERROR(DM168/F168,0)</f>
        <v>0.0035949862906384552</v>
      </c>
      <c r="DV168" t="inlineStr">
        <is>
          <t xml:space="preserve">Lease cash / margin / financing</t>
        </is>
      </c>
      <c r="DW168" t="inlineStr">
        <is>
          <t xml:space="preserve">cash</t>
        </is>
      </c>
      <c r="DX168" t="inlineStr">
        <is>
          <t xml:space="preserve">lease</t>
        </is>
      </c>
      <c r="DY168" t="inlineStr">
        <is>
          <t xml:space="preserve">cash</t>
        </is>
      </c>
      <c r="DZ168"/>
      <c r="EA168" s="4">
        <v>1</v>
      </c>
      <c r="EB168" s="4">
        <v>1</v>
      </c>
      <c r="EC168" s="4">
        <v>8.881784197001252e-16</v>
      </c>
      <c r="ED168" s="6"/>
      <c r="EE168" s="4">
        <v>8.881784197001252e-16</v>
      </c>
      <c r="EF168" s="4">
        <v>8.881784197001252e-16</v>
      </c>
      <c r="EG168" s="4">
        <v>0.005805863747093401</v>
      </c>
      <c r="EH168" s="4">
        <v>0</v>
      </c>
      <c r="EI168" s="4">
        <v>0.0058058637470925125</v>
      </c>
      <c r="EJ168" s="4">
        <v>1.702</v>
      </c>
      <c r="EK168" s="4">
        <v>1.728</v>
      </c>
      <c r="EL168" s="6"/>
      <c r="EM168" s="6"/>
      <c r="EN168" s="6"/>
      <c r="EO168" s="9"/>
      <c r="EP168" s="7">
        <f>IFERROR(EH168/F168,0)</f>
        <v>0</v>
      </c>
      <c r="EQ168" t="inlineStr">
        <is>
          <t xml:space="preserve">Keep cash / margin / financing</t>
        </is>
      </c>
      <c r="ER168" t="inlineStr">
        <is>
          <t xml:space="preserve">cash</t>
        </is>
      </c>
      <c r="ES168" t="inlineStr">
        <is>
          <t xml:space="preserve">keep</t>
        </is>
      </c>
      <c r="ET168" t="inlineStr">
        <is>
          <t xml:space="preserve">cash</t>
        </is>
      </c>
      <c r="EU168"/>
      <c r="EV168" s="4">
        <v>1</v>
      </c>
      <c r="EW168" s="4">
        <v>1</v>
      </c>
      <c r="EX168" s="4">
        <v>0</v>
      </c>
      <c r="EY168" s="6"/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1.702</v>
      </c>
      <c r="FF168" s="4">
        <v>1.728</v>
      </c>
      <c r="FG168" s="6"/>
      <c r="FH168" s="6"/>
      <c r="FI168" s="6"/>
      <c r="FJ168" s="9"/>
      <c r="FK168" s="7">
        <f>IFERROR(FC168/F168,0)</f>
        <v>0</v>
      </c>
      <c r="FL168"/>
      <c r="FM168"/>
      <c r="FN168"/>
      <c r="FO168"/>
      <c r="FP168"/>
      <c r="FQ168" s="4"/>
      <c r="FR168" s="4"/>
      <c r="FS168" s="4"/>
      <c r="FT168" s="6"/>
      <c r="FU168" s="4"/>
      <c r="FV168" s="4"/>
      <c r="FW168" s="4"/>
      <c r="FX168" s="4"/>
      <c r="FY168" s="4"/>
      <c r="FZ168" s="4"/>
      <c r="GA168" s="4"/>
      <c r="GB168" s="6"/>
      <c r="GC168" s="6"/>
      <c r="GD168" s="6"/>
      <c r="GE168" s="9"/>
      <c r="GF168"/>
      <c r="GG168"/>
      <c r="GH168"/>
      <c r="GI168"/>
      <c r="GJ168"/>
      <c r="GK168"/>
      <c r="GL168" s="4"/>
      <c r="GM168" s="4"/>
      <c r="GN168" s="4"/>
      <c r="GO168" s="6"/>
      <c r="GP168" s="4"/>
      <c r="GQ168" s="4"/>
      <c r="GR168" s="4"/>
      <c r="GS168" s="4"/>
      <c r="GT168" s="4"/>
      <c r="GU168" s="4"/>
      <c r="GV168" s="4"/>
      <c r="GW168" s="6"/>
      <c r="GX168" s="6"/>
      <c r="GY168" s="6"/>
      <c r="GZ168" s="9"/>
      <c r="HA168"/>
      <c r="HB168"/>
      <c r="HC168"/>
      <c r="HD168"/>
      <c r="HE168"/>
      <c r="HF168"/>
      <c r="HG168" s="4"/>
      <c r="HH168" s="4"/>
      <c r="HI168" s="4"/>
      <c r="HJ168" s="6"/>
      <c r="HK168" s="4"/>
      <c r="HL168" s="4"/>
      <c r="HM168" s="4"/>
      <c r="HN168" s="4"/>
      <c r="HO168" s="4"/>
      <c r="HP168" s="4"/>
      <c r="HQ168" s="4"/>
      <c r="HR168" s="6"/>
      <c r="HS168" s="6"/>
      <c r="HT168" s="6"/>
      <c r="HU168" s="9"/>
      <c r="HV168"/>
      <c r="HW168"/>
      <c r="HX168"/>
      <c r="HY168"/>
      <c r="HZ168"/>
      <c r="IA168"/>
      <c r="IB168" s="4"/>
      <c r="IC168" s="4"/>
      <c r="ID168" s="4"/>
      <c r="IE168" s="6"/>
      <c r="IF168" s="4"/>
      <c r="IG168" s="4"/>
      <c r="IH168" s="4"/>
      <c r="II168" s="4"/>
      <c r="IJ168" s="4"/>
      <c r="IK168" s="4"/>
      <c r="IL168" s="4"/>
      <c r="IM168" s="6"/>
      <c r="IN168" s="6"/>
      <c r="IO168" s="6"/>
      <c r="IP168" s="9"/>
      <c r="IQ168"/>
      <c r="IR168"/>
      <c r="IS168"/>
      <c r="IT168"/>
      <c r="IU168"/>
      <c r="IV168"/>
      <c r="IW168" s="4"/>
      <c r="IX168" s="4"/>
      <c r="IY168" s="4"/>
      <c r="IZ168" s="6"/>
      <c r="JA168" s="4"/>
      <c r="JB168" s="4"/>
      <c r="JC168" s="4"/>
      <c r="JD168" s="4"/>
      <c r="JE168" s="4"/>
      <c r="JF168" s="4"/>
      <c r="JG168" s="4"/>
      <c r="JH168" s="6"/>
      <c r="JI168" s="6"/>
      <c r="JJ168" s="6"/>
      <c r="JK168" s="9"/>
      <c r="JL168"/>
    </row>
    <row r="169">
      <c r="A169" s="8">
        <v>25454</v>
      </c>
      <c r="B169" s="8">
        <v>25455</v>
      </c>
      <c r="C169" s="9">
        <f>B169-A169</f>
        <v>1</v>
      </c>
      <c r="D169" s="8">
        <v>25454</v>
      </c>
      <c r="E169" t="inlineStr">
        <is>
          <t xml:space="preserve">positive</t>
        </is>
      </c>
      <c r="F169" s="4">
        <v>1.6392371276807196</v>
      </c>
      <c r="G169" s="6">
        <v>0.014771506050561172</v>
      </c>
      <c r="H169" s="7">
        <f>SUM(CE169,CZ169,DU169,EP169,FK169,GF169,HA169,HV169,IQ169,JL169)</f>
        <v>0.014771506050561174</v>
      </c>
      <c r="I169" s="7">
        <f>G169-H169</f>
        <v>-1.734723475976807e-18</v>
      </c>
      <c r="J169" s="5">
        <f>F169*(1+H169)</f>
        <v>1.6634511288305598</v>
      </c>
      <c r="K169" s="4">
        <v>1.6634511288305598</v>
      </c>
      <c r="L169" s="5">
        <f>K169-J169</f>
        <v>0</v>
      </c>
      <c r="M169" s="4">
        <v>1.728</v>
      </c>
      <c r="N169" s="4">
        <v>1.758</v>
      </c>
      <c r="O169" s="5">
        <f>M169/$M$3</f>
        <v>0.8825331971399387</v>
      </c>
      <c r="P169" s="5">
        <f>N169/$M$3</f>
        <v>0.8978549540347294</v>
      </c>
      <c r="Q169" s="7">
        <f>IFERROR(N169/M169-1,0)</f>
        <v>0.01736111111111116</v>
      </c>
      <c r="R169" s="5">
        <f>SUM(IF(BM169="lease",BU169,0),IF(CH169="lease",CP169,0),IF(DC169="lease",DK169,0),IF(DX169="lease",EF169,0),IF(ES169="lease",FA169,0),IF(FN169="lease",FV169,0),IF(GI169="lease",GQ169,0),IF(HD169="lease",HL169,0),IF(HY169="lease",IG169,0),IF(IT169="lease",JB169,0))</f>
        <v>1.6392371276807203</v>
      </c>
      <c r="S169" s="5">
        <f>SUM(IF(BM169="lease",BV169,0),IF(CH169="lease",CQ169,0),IF(DC169="lease",DL169,0),IF(DX169="lease",EG169,0),IF(ES169="lease",FB169,0),IF(FN169="lease",FW169,0),IF(GI169="lease",GR169,0),IF(HD169="lease",HM169,0),IF(HY169="lease",IH169,0),IF(IT169="lease",JC169,0))</f>
        <v>1.6634511288305605</v>
      </c>
      <c r="T169" s="5">
        <f>SUM(IF(BM169="keep",BU169,0),IF(CH169="keep",CP169,0),IF(DC169="keep",DK169,0),IF(DX169="keep",EF169,0),IF(ES169="keep",FA169,0),IF(FN169="keep",FV169,0),IF(GI169="keep",GQ169,0),IF(HD169="keep",HL169,0),IF(HY169="keep",IG169,0),IF(IT169="keep",JB169,0))</f>
        <v>0</v>
      </c>
      <c r="U169" s="5">
        <f>SUM(IF(BM169="keep",BV169,0),IF(CH169="keep",CQ169,0),IF(DC169="keep",DL169,0),IF(DX169="keep",EG169,0),IF(ES169="keep",FB169,0),IF(FN169="keep",FW169,0),IF(GI169="keep",GR169,0),IF(HD169="keep",HM169,0),IF(HY169="keep",IH169,0),IF(IT169="keep",JC169,0))</f>
        <v>0</v>
      </c>
      <c r="V169" s="5">
        <f>R169/O169</f>
        <v>1.8574226249993346</v>
      </c>
      <c r="W169" s="5">
        <f>S169/P169</f>
        <v>1.852694715728235</v>
      </c>
      <c r="X169" s="5">
        <f>T169/O169</f>
        <v>0</v>
      </c>
      <c r="Y169" s="5">
        <f>U169/P169</f>
        <v>0</v>
      </c>
      <c r="Z169" s="5">
        <f>V169+X169</f>
        <v>1.8574226249993346</v>
      </c>
      <c r="AA169" s="7">
        <f>IFERROR(W169/V169-1,0)</f>
        <v>-0.0025454138479127364</v>
      </c>
      <c r="AB169" s="7">
        <f>IFERROR((W169-V169)/Z169,0)</f>
        <v>-0.0025454138479127047</v>
      </c>
      <c r="AC169" s="7">
        <f>IFERROR(Y169/X169-1,0)</f>
        <v>0</v>
      </c>
      <c r="AD169" s="7">
        <f>IFERROR((Y169-X169)/Z169,0)</f>
        <v>0</v>
      </c>
      <c r="AE169" s="7">
        <f>AB169+AD169</f>
        <v>-0.0025454138479127047</v>
      </c>
      <c r="AF169" s="7">
        <f>(1+Q169)*(1+AE169)-1</f>
        <v>0.0147715060505611</v>
      </c>
      <c r="AG169" s="7">
        <f>G169-AF169</f>
        <v>7.112366251504909e-17</v>
      </c>
      <c r="AH169" s="5">
        <f>SUM(IF(BM169="lease",BW169,0),IF(CH169="lease",CR169,0),IF(DC169="lease",DM169,0),IF(DX169="lease",EH169,0),IF(ES169="lease",FC169,0),IF(FN169="lease",FX169,0),IF(GI169="lease",GS169,0),IF(HD169="lease",HN169,0),IF(HY169="lease",II169,0),IF(IT169="lease",JD169,0))</f>
        <v>0.024214001149840268</v>
      </c>
      <c r="AI169" s="5">
        <f>SUM(IF(BM169="keep",BW169,0),IF(CH169="keep",CR169,0),IF(DC169="keep",DM169,0),IF(DX169="keep",EH169,0),IF(ES169="keep",FC169,0),IF(FN169="keep",FX169,0),IF(GI169="keep",GS169,0),IF(HD169="keep",HN169,0),IF(HY169="keep",II169,0),IF(IT169="keep",JD169,0))</f>
        <v>0</v>
      </c>
      <c r="AJ169" s="5">
        <f>SUM(IF(BM169="lease",BX169,0),IF(CH169="lease",CS169,0),IF(DC169="lease",DN169,0),IF(DX169="lease",EI169,0),IF(ES169="lease",FD169,0),IF(FN169="lease",FY169,0),IF(GI169="lease",GT169,0),IF(HD169="lease",HO169,0),IF(HY169="lease",IJ169,0),IF(IT169="lease",JE169,0))</f>
        <v>0</v>
      </c>
      <c r="AK169" s="5">
        <f>SUM(IF(BM169="keep",BX169,0),IF(CH169="keep",CS169,0),IF(DC169="keep",DN169,0),IF(DX169="keep",EI169,0),IF(ES169="keep",FD169,0),IF(FN169="keep",FY169,0),IF(GI169="keep",GT169,0),IF(HD169="keep",HO169,0),IF(HY169="keep",IJ169,0),IF(IT169="keep",JE169,0))</f>
        <v>0</v>
      </c>
      <c r="AL169" s="5">
        <f>R169-S168</f>
        <v>0</v>
      </c>
      <c r="AM169" s="5">
        <f>T169-U168</f>
        <v>0</v>
      </c>
      <c r="AN169" s="5">
        <f>AN168</f>
        <v>1</v>
      </c>
      <c r="AO169" s="5">
        <f>AO168+AH169</f>
        <v>0.6634511288305607</v>
      </c>
      <c r="AP169" s="5">
        <f>AP168+AL169</f>
        <v>-4.440892098500626e-16</v>
      </c>
      <c r="AQ169" s="5">
        <f>AN169+AO169+AP169</f>
        <v>1.6634511288305602</v>
      </c>
      <c r="AR169" s="5">
        <f>S169-AQ169</f>
        <v>2.220446049250313e-16</v>
      </c>
      <c r="AS169" s="5">
        <f>AS168</f>
        <v>0</v>
      </c>
      <c r="AT169" s="5">
        <f>AT168+AI169</f>
        <v>0</v>
      </c>
      <c r="AU169" s="5">
        <f>AU168+AM169</f>
        <v>0</v>
      </c>
      <c r="AV169" s="5">
        <f>AS169+AT169+AU169</f>
        <v>0</v>
      </c>
      <c r="AW169" s="5">
        <f>U169-AV169</f>
        <v>0</v>
      </c>
      <c r="AX169" s="4">
        <v>1.6392371276807203</v>
      </c>
      <c r="AY169" s="4">
        <v>1.6634511288305605</v>
      </c>
      <c r="AZ169" s="5">
        <f>S169-AY169</f>
        <v>0</v>
      </c>
      <c r="BA169" s="4">
        <v>0</v>
      </c>
      <c r="BB169" s="4">
        <v>0</v>
      </c>
      <c r="BC169" s="5">
        <f>U169-BB169</f>
        <v>0</v>
      </c>
      <c r="BD169" s="7">
        <f>SUM(IF(BL169="direct",CE169,0),IF(CG169="direct",CZ169,0),IF(DB169="direct",DU169,0),IF(DW169="direct",EP169,0),IF(ER169="direct",FK169,0),IF(FM169="direct",GF169,0),IF(GH169="direct",HA169,0),IF(HC169="direct",HV169,0),IF(HX169="direct",IQ169,0),IF(IS169="direct",JL169,0))</f>
        <v>0</v>
      </c>
      <c r="BE169" s="7">
        <f>SUM(IF(BL169="treasury",CE169,0),IF(CG169="treasury",CZ169,0),IF(DB169="treasury",DU169,0),IF(DW169="treasury",EP169,0),IF(ER169="treasury",FK169,0),IF(FM169="treasury",GF169,0),IF(GH169="treasury",HA169,0),IF(HC169="treasury",HV169,0),IF(HX169="treasury",IQ169,0),IF(IS169="treasury",JL169,0))</f>
        <v>0.00019424657534246575</v>
      </c>
      <c r="BF169" s="7">
        <f>SUM(IF(BL169="future",CE169,0),IF(CG169="future",CZ169,0),IF(DB169="future",DU169,0),IF(DW169="future",EP169,0),IF(ER169="future",FK169,0),IF(FM169="future",GF169,0),IF(GH169="future",HA169,0),IF(HC169="future",HV169,0),IF(HX169="future",IQ169,0),IF(IS169="future",JL169,0))</f>
        <v>0.014577259475218707</v>
      </c>
      <c r="BG169" s="7">
        <f>SUM(IF(BL169="cash",CE169,0),IF(CG169="cash",CZ169,0),IF(DB169="cash",DU169,0),IF(DW169="cash",EP169,0),IF(ER169="cash",FK169,0),IF(FM169="cash",GF169,0),IF(GH169="cash",HA169,0),IF(HC169="cash",HV169,0),IF(HX169="cash",IQ169,0),IF(IS169="cash",JL169,0))</f>
        <v>0</v>
      </c>
      <c r="BH169" s="7">
        <f>SUM(BD169:BG169)</f>
        <v>0.014771506050561172</v>
      </c>
      <c r="BI169" s="7">
        <f>G169-BH169</f>
        <v>0</v>
      </c>
      <c r="BJ169" s="9">
        <f>COUNTA(BK169,CF169,DA169,DV169,EQ169,FL169,GG169,HB169,HW169,IR169)</f>
        <v>4</v>
      </c>
      <c r="BK169" t="inlineStr">
        <is>
          <t xml:space="preserve">Treasury collateral</t>
        </is>
      </c>
      <c r="BL169" t="inlineStr">
        <is>
          <t xml:space="preserve">treasury</t>
        </is>
      </c>
      <c r="BM169" t="inlineStr">
        <is>
          <t xml:space="preserve">lease</t>
        </is>
      </c>
      <c r="BN169" t="inlineStr">
        <is>
          <t xml:space="preserve">long</t>
        </is>
      </c>
      <c r="BO169"/>
      <c r="BP169" s="4">
        <v>104.44455514770634</v>
      </c>
      <c r="BQ169" s="4">
        <v>104.46484314485693</v>
      </c>
      <c r="BR169" s="4">
        <v>0.01569480692758466</v>
      </c>
      <c r="BS169" s="6">
        <v>1</v>
      </c>
      <c r="BT169" s="4">
        <v>1.6392371276807196</v>
      </c>
      <c r="BU169" s="4">
        <v>1.6392371276807196</v>
      </c>
      <c r="BV169" s="4">
        <v>1.6395555438789455</v>
      </c>
      <c r="BW169" s="4">
        <v>0.00031841619822620007</v>
      </c>
      <c r="BX169" s="4">
        <v>-2.763631337665551e-16</v>
      </c>
      <c r="BY169" s="4">
        <v>1.728</v>
      </c>
      <c r="BZ169" s="4">
        <v>1.758</v>
      </c>
      <c r="CA169" s="6"/>
      <c r="CB169" s="6"/>
      <c r="CC169" s="6"/>
      <c r="CD169" s="9">
        <v>18</v>
      </c>
      <c r="CE169" s="7">
        <f>IFERROR(BW169/F169,0)</f>
        <v>0.00019424657534246575</v>
      </c>
      <c r="CF169" t="inlineStr">
        <is>
          <t xml:space="preserve">SI69U</t>
        </is>
      </c>
      <c r="CG169" t="inlineStr">
        <is>
          <t xml:space="preserve">future</t>
        </is>
      </c>
      <c r="CH169" t="inlineStr">
        <is>
          <t xml:space="preserve">lease</t>
        </is>
      </c>
      <c r="CI169" t="inlineStr">
        <is>
          <t xml:space="preserve">long</t>
        </is>
      </c>
      <c r="CJ169" t="inlineStr">
        <is>
          <t xml:space="preserve">regular</t>
        </is>
      </c>
      <c r="CK169" s="4">
        <v>1.715</v>
      </c>
      <c r="CL169" s="4">
        <v>1.74</v>
      </c>
      <c r="CM169" s="4">
        <v>0.9558233980645595</v>
      </c>
      <c r="CN169" s="6">
        <v>1</v>
      </c>
      <c r="CO169" s="4">
        <v>1.6392371276807196</v>
      </c>
      <c r="CP169" s="4">
        <v>0</v>
      </c>
      <c r="CQ169" s="4">
        <v>0</v>
      </c>
      <c r="CR169" s="4">
        <v>0.023895584951614066</v>
      </c>
      <c r="CS169" s="4">
        <v>-0.023895584951614066</v>
      </c>
      <c r="CT169" s="4">
        <v>1.728</v>
      </c>
      <c r="CU169" s="4">
        <v>1.758</v>
      </c>
      <c r="CV169" s="6">
        <v>-0.00752314814814814</v>
      </c>
      <c r="CW169" s="6">
        <v>0.0709</v>
      </c>
      <c r="CX169" s="6">
        <v>0.22345272633744842</v>
      </c>
      <c r="CY169" s="9">
        <v>18</v>
      </c>
      <c r="CZ169" s="7">
        <f>IFERROR(CR169/F169,0)</f>
        <v>0.014577259475218707</v>
      </c>
      <c r="DA169" t="inlineStr">
        <is>
          <t xml:space="preserve">Lease cash / margin / financing</t>
        </is>
      </c>
      <c r="DB169" t="inlineStr">
        <is>
          <t xml:space="preserve">cash</t>
        </is>
      </c>
      <c r="DC169" t="inlineStr">
        <is>
          <t xml:space="preserve">lease</t>
        </is>
      </c>
      <c r="DD169" t="inlineStr">
        <is>
          <t xml:space="preserve">cash</t>
        </is>
      </c>
      <c r="DE169"/>
      <c r="DF169" s="4">
        <v>1</v>
      </c>
      <c r="DG169" s="4">
        <v>1</v>
      </c>
      <c r="DH169" s="4">
        <v>6.661338147750939e-16</v>
      </c>
      <c r="DI169" s="6"/>
      <c r="DJ169" s="4">
        <v>6.661338147750939e-16</v>
      </c>
      <c r="DK169" s="4">
        <v>6.661338147750939e-16</v>
      </c>
      <c r="DL169" s="4">
        <v>0.02389558495161501</v>
      </c>
      <c r="DM169" s="4">
        <v>0</v>
      </c>
      <c r="DN169" s="4">
        <v>0.023895584951614344</v>
      </c>
      <c r="DO169" s="4">
        <v>1.728</v>
      </c>
      <c r="DP169" s="4">
        <v>1.758</v>
      </c>
      <c r="DQ169" s="6"/>
      <c r="DR169" s="6"/>
      <c r="DS169" s="6"/>
      <c r="DT169" s="9"/>
      <c r="DU169" s="7">
        <f>IFERROR(DM169/F169,0)</f>
        <v>0</v>
      </c>
      <c r="DV169" t="inlineStr">
        <is>
          <t xml:space="preserve">Keep cash / margin / financing</t>
        </is>
      </c>
      <c r="DW169" t="inlineStr">
        <is>
          <t xml:space="preserve">cash</t>
        </is>
      </c>
      <c r="DX169" t="inlineStr">
        <is>
          <t xml:space="preserve">keep</t>
        </is>
      </c>
      <c r="DY169" t="inlineStr">
        <is>
          <t xml:space="preserve">cash</t>
        </is>
      </c>
      <c r="DZ169"/>
      <c r="EA169" s="4">
        <v>1</v>
      </c>
      <c r="EB169" s="4">
        <v>1</v>
      </c>
      <c r="EC169" s="4">
        <v>0</v>
      </c>
      <c r="ED169" s="6"/>
      <c r="EE169" s="4">
        <v>0</v>
      </c>
      <c r="EF169" s="4">
        <v>0</v>
      </c>
      <c r="EG169" s="4">
        <v>0</v>
      </c>
      <c r="EH169" s="4">
        <v>0</v>
      </c>
      <c r="EI169" s="4">
        <v>0</v>
      </c>
      <c r="EJ169" s="4">
        <v>1.728</v>
      </c>
      <c r="EK169" s="4">
        <v>1.758</v>
      </c>
      <c r="EL169" s="6"/>
      <c r="EM169" s="6"/>
      <c r="EN169" s="6"/>
      <c r="EO169" s="9"/>
      <c r="EP169" s="7">
        <f>IFERROR(EH169/F169,0)</f>
        <v>0</v>
      </c>
      <c r="EQ169"/>
      <c r="ER169"/>
      <c r="ES169"/>
      <c r="ET169"/>
      <c r="EU169"/>
      <c r="EV169" s="4"/>
      <c r="EW169" s="4"/>
      <c r="EX169" s="4"/>
      <c r="EY169" s="6"/>
      <c r="EZ169" s="4"/>
      <c r="FA169" s="4"/>
      <c r="FB169" s="4"/>
      <c r="FC169" s="4"/>
      <c r="FD169" s="4"/>
      <c r="FE169" s="4"/>
      <c r="FF169" s="4"/>
      <c r="FG169" s="6"/>
      <c r="FH169" s="6"/>
      <c r="FI169" s="6"/>
      <c r="FJ169" s="9"/>
      <c r="FK169"/>
      <c r="FL169"/>
      <c r="FM169"/>
      <c r="FN169"/>
      <c r="FO169"/>
      <c r="FP169"/>
      <c r="FQ169" s="4"/>
      <c r="FR169" s="4"/>
      <c r="FS169" s="4"/>
      <c r="FT169" s="6"/>
      <c r="FU169" s="4"/>
      <c r="FV169" s="4"/>
      <c r="FW169" s="4"/>
      <c r="FX169" s="4"/>
      <c r="FY169" s="4"/>
      <c r="FZ169" s="4"/>
      <c r="GA169" s="4"/>
      <c r="GB169" s="6"/>
      <c r="GC169" s="6"/>
      <c r="GD169" s="6"/>
      <c r="GE169" s="9"/>
      <c r="GF169"/>
      <c r="GG169"/>
      <c r="GH169"/>
      <c r="GI169"/>
      <c r="GJ169"/>
      <c r="GK169"/>
      <c r="GL169" s="4"/>
      <c r="GM169" s="4"/>
      <c r="GN169" s="4"/>
      <c r="GO169" s="6"/>
      <c r="GP169" s="4"/>
      <c r="GQ169" s="4"/>
      <c r="GR169" s="4"/>
      <c r="GS169" s="4"/>
      <c r="GT169" s="4"/>
      <c r="GU169" s="4"/>
      <c r="GV169" s="4"/>
      <c r="GW169" s="6"/>
      <c r="GX169" s="6"/>
      <c r="GY169" s="6"/>
      <c r="GZ169" s="9"/>
      <c r="HA169"/>
      <c r="HB169"/>
      <c r="HC169"/>
      <c r="HD169"/>
      <c r="HE169"/>
      <c r="HF169"/>
      <c r="HG169" s="4"/>
      <c r="HH169" s="4"/>
      <c r="HI169" s="4"/>
      <c r="HJ169" s="6"/>
      <c r="HK169" s="4"/>
      <c r="HL169" s="4"/>
      <c r="HM169" s="4"/>
      <c r="HN169" s="4"/>
      <c r="HO169" s="4"/>
      <c r="HP169" s="4"/>
      <c r="HQ169" s="4"/>
      <c r="HR169" s="6"/>
      <c r="HS169" s="6"/>
      <c r="HT169" s="6"/>
      <c r="HU169" s="9"/>
      <c r="HV169"/>
      <c r="HW169"/>
      <c r="HX169"/>
      <c r="HY169"/>
      <c r="HZ169"/>
      <c r="IA169"/>
      <c r="IB169" s="4"/>
      <c r="IC169" s="4"/>
      <c r="ID169" s="4"/>
      <c r="IE169" s="6"/>
      <c r="IF169" s="4"/>
      <c r="IG169" s="4"/>
      <c r="IH169" s="4"/>
      <c r="II169" s="4"/>
      <c r="IJ169" s="4"/>
      <c r="IK169" s="4"/>
      <c r="IL169" s="4"/>
      <c r="IM169" s="6"/>
      <c r="IN169" s="6"/>
      <c r="IO169" s="6"/>
      <c r="IP169" s="9"/>
      <c r="IQ169"/>
      <c r="IR169"/>
      <c r="IS169"/>
      <c r="IT169"/>
      <c r="IU169"/>
      <c r="IV169"/>
      <c r="IW169" s="4"/>
      <c r="IX169" s="4"/>
      <c r="IY169" s="4"/>
      <c r="IZ169" s="6"/>
      <c r="JA169" s="4"/>
      <c r="JB169" s="4"/>
      <c r="JC169" s="4"/>
      <c r="JD169" s="4"/>
      <c r="JE169" s="4"/>
      <c r="JF169" s="4"/>
      <c r="JG169" s="4"/>
      <c r="JH169" s="6"/>
      <c r="JI169" s="6"/>
      <c r="JJ169" s="6"/>
      <c r="JK169" s="9"/>
      <c r="JL169"/>
    </row>
    <row r="170">
      <c r="A170" s="8">
        <v>25455</v>
      </c>
      <c r="B170" s="8">
        <v>25456</v>
      </c>
      <c r="C170" s="9">
        <f>B170-A170</f>
        <v>1</v>
      </c>
      <c r="D170" s="8">
        <v>25455</v>
      </c>
      <c r="E170" t="inlineStr">
        <is>
          <t xml:space="preserve">positive</t>
        </is>
      </c>
      <c r="F170" s="4">
        <v>1.6634511288305598</v>
      </c>
      <c r="G170" s="6">
        <v>-0.002677398834829074</v>
      </c>
      <c r="H170" s="7">
        <f>SUM(CE170,CZ170,DU170,EP170,FK170,GF170,HA170,HV170,IQ170,JL170)</f>
        <v>-0.0026773988348290745</v>
      </c>
      <c r="I170" s="7">
        <f>G170-H170</f>
        <v>4.336808689942018e-19</v>
      </c>
      <c r="J170" s="5">
        <f>F170*(1+H170)</f>
        <v>1.6589974067164337</v>
      </c>
      <c r="K170" s="4">
        <v>1.6589974067164337</v>
      </c>
      <c r="L170" s="5">
        <f>K170-J170</f>
        <v>0</v>
      </c>
      <c r="M170" s="4">
        <v>1.758</v>
      </c>
      <c r="N170" s="4">
        <v>1.754</v>
      </c>
      <c r="O170" s="5">
        <f>M170/$M$3</f>
        <v>0.8978549540347294</v>
      </c>
      <c r="P170" s="5">
        <f>N170/$M$3</f>
        <v>0.8958120531154239</v>
      </c>
      <c r="Q170" s="7">
        <f>IFERROR(N170/M170-1,0)</f>
        <v>-0.0022753128555176305</v>
      </c>
      <c r="R170" s="5">
        <f>SUM(IF(BM170="lease",BU170,0),IF(CH170="lease",CP170,0),IF(DC170="lease",DK170,0),IF(DX170="lease",EF170,0),IF(ES170="lease",FA170,0),IF(FN170="lease",FV170,0),IF(GI170="lease",GQ170,0),IF(HD170="lease",HL170,0),IF(HY170="lease",IG170,0),IF(IT170="lease",JB170,0))</f>
        <v>1.6634511288305605</v>
      </c>
      <c r="S170" s="5">
        <f>SUM(IF(BM170="lease",BV170,0),IF(CH170="lease",CQ170,0),IF(DC170="lease",DL170,0),IF(DX170="lease",EG170,0),IF(ES170="lease",FB170,0),IF(FN170="lease",FW170,0),IF(GI170="lease",GR170,0),IF(HD170="lease",HM170,0),IF(HY170="lease",IH170,0),IF(IT170="lease",JC170,0))</f>
        <v>1.6589974067164344</v>
      </c>
      <c r="T170" s="5">
        <f>SUM(IF(BM170="keep",BU170,0),IF(CH170="keep",CP170,0),IF(DC170="keep",DK170,0),IF(DX170="keep",EF170,0),IF(ES170="keep",FA170,0),IF(FN170="keep",FV170,0),IF(GI170="keep",GQ170,0),IF(HD170="keep",HL170,0),IF(HY170="keep",IG170,0),IF(IT170="keep",JB170,0))</f>
        <v>0</v>
      </c>
      <c r="U170" s="5">
        <f>SUM(IF(BM170="keep",BV170,0),IF(CH170="keep",CQ170,0),IF(DC170="keep",DL170,0),IF(DX170="keep",EG170,0),IF(ES170="keep",FB170,0),IF(FN170="keep",FW170,0),IF(GI170="keep",GR170,0),IF(HD170="keep",HM170,0),IF(HY170="keep",IH170,0),IF(IT170="keep",JC170,0))</f>
        <v>0</v>
      </c>
      <c r="V170" s="5">
        <f>R170/O170</f>
        <v>1.852694715728235</v>
      </c>
      <c r="W170" s="5">
        <f>S170/P170</f>
        <v>1.8519480743162933</v>
      </c>
      <c r="X170" s="5">
        <f>T170/O170</f>
        <v>0</v>
      </c>
      <c r="Y170" s="5">
        <f>U170/P170</f>
        <v>0</v>
      </c>
      <c r="Z170" s="5">
        <f>V170+X170</f>
        <v>1.852694715728235</v>
      </c>
      <c r="AA170" s="7">
        <f>IFERROR(W170/V170-1,0)</f>
        <v>-0.0004030029370749588</v>
      </c>
      <c r="AB170" s="7">
        <f>IFERROR((W170-V170)/Z170,0)</f>
        <v>-0.0004030029370749376</v>
      </c>
      <c r="AC170" s="7">
        <f>IFERROR(Y170/X170-1,0)</f>
        <v>0</v>
      </c>
      <c r="AD170" s="7">
        <f>IFERROR((Y170-X170)/Z170,0)</f>
        <v>0</v>
      </c>
      <c r="AE170" s="7">
        <f>AB170+AD170</f>
        <v>-0.0004030029370749376</v>
      </c>
      <c r="AF170" s="7">
        <f>(1+Q170)*(1+AE170)-1</f>
        <v>-0.0026773988348290922</v>
      </c>
      <c r="AG170" s="7">
        <f>G170-AF170</f>
        <v>1.8214596497756474e-17</v>
      </c>
      <c r="AH170" s="5">
        <f>SUM(IF(BM170="lease",BW170,0),IF(CH170="lease",CR170,0),IF(DC170="lease",DM170,0),IF(DX170="lease",EH170,0),IF(ES170="lease",FC170,0),IF(FN170="lease",FX170,0),IF(GI170="lease",GS170,0),IF(HD170="lease",HN170,0),IF(HY170="lease",II170,0),IF(IT170="lease",JD170,0))</f>
        <v>-0.004453722114126049</v>
      </c>
      <c r="AI170" s="5">
        <f>SUM(IF(BM170="keep",BW170,0),IF(CH170="keep",CR170,0),IF(DC170="keep",DM170,0),IF(DX170="keep",EH170,0),IF(ES170="keep",FC170,0),IF(FN170="keep",FX170,0),IF(GI170="keep",GS170,0),IF(HD170="keep",HN170,0),IF(HY170="keep",II170,0),IF(IT170="keep",JD170,0))</f>
        <v>0</v>
      </c>
      <c r="AJ170" s="5">
        <f>SUM(IF(BM170="lease",BX170,0),IF(CH170="lease",CS170,0),IF(DC170="lease",DN170,0),IF(DX170="lease",EI170,0),IF(ES170="lease",FD170,0),IF(FN170="lease",FY170,0),IF(GI170="lease",GT170,0),IF(HD170="lease",HO170,0),IF(HY170="lease",IJ170,0),IF(IT170="lease",JE170,0))</f>
        <v>0</v>
      </c>
      <c r="AK170" s="5">
        <f>SUM(IF(BM170="keep",BX170,0),IF(CH170="keep",CS170,0),IF(DC170="keep",DN170,0),IF(DX170="keep",EI170,0),IF(ES170="keep",FD170,0),IF(FN170="keep",FY170,0),IF(GI170="keep",GT170,0),IF(HD170="keep",HO170,0),IF(HY170="keep",IJ170,0),IF(IT170="keep",JE170,0))</f>
        <v>0</v>
      </c>
      <c r="AL170" s="5">
        <f>R170-S169</f>
        <v>0</v>
      </c>
      <c r="AM170" s="5">
        <f>T170-U169</f>
        <v>0</v>
      </c>
      <c r="AN170" s="5">
        <f>AN169</f>
        <v>1</v>
      </c>
      <c r="AO170" s="5">
        <f>AO169+AH170</f>
        <v>0.6589974067164346</v>
      </c>
      <c r="AP170" s="5">
        <f>AP169+AL170</f>
        <v>-4.440892098500626e-16</v>
      </c>
      <c r="AQ170" s="5">
        <f>AN170+AO170+AP170</f>
        <v>1.6589974067164341</v>
      </c>
      <c r="AR170" s="5">
        <f>S170-AQ170</f>
        <v>2.220446049250313e-16</v>
      </c>
      <c r="AS170" s="5">
        <f>AS169</f>
        <v>0</v>
      </c>
      <c r="AT170" s="5">
        <f>AT169+AI170</f>
        <v>0</v>
      </c>
      <c r="AU170" s="5">
        <f>AU169+AM170</f>
        <v>0</v>
      </c>
      <c r="AV170" s="5">
        <f>AS170+AT170+AU170</f>
        <v>0</v>
      </c>
      <c r="AW170" s="5">
        <f>U170-AV170</f>
        <v>0</v>
      </c>
      <c r="AX170" s="4">
        <v>1.6634511288305605</v>
      </c>
      <c r="AY170" s="4">
        <v>1.6589974067164344</v>
      </c>
      <c r="AZ170" s="5">
        <f>S170-AY170</f>
        <v>0</v>
      </c>
      <c r="BA170" s="4">
        <v>0</v>
      </c>
      <c r="BB170" s="4">
        <v>0</v>
      </c>
      <c r="BC170" s="5">
        <f>U170-BB170</f>
        <v>0</v>
      </c>
      <c r="BD170" s="7">
        <f>SUM(IF(BL170="direct",CE170,0),IF(CG170="direct",CZ170,0),IF(DB170="direct",DU170,0),IF(DW170="direct",EP170,0),IF(ER170="direct",FK170,0),IF(FM170="direct",GF170,0),IF(GH170="direct",HA170,0),IF(HC170="direct",HV170,0),IF(HX170="direct",IQ170,0),IF(IS170="direct",JL170,0))</f>
        <v>0</v>
      </c>
      <c r="BE170" s="7">
        <f>SUM(IF(BL170="treasury",CE170,0),IF(CG170="treasury",CZ170,0),IF(DB170="treasury",DU170,0),IF(DW170="treasury",EP170,0),IF(ER170="treasury",FK170,0),IF(FM170="treasury",GF170,0),IF(GH170="treasury",HA170,0),IF(HC170="treasury",HV170,0),IF(HX170="treasury",IQ170,0),IF(IS170="treasury",JL170,0))</f>
        <v>0.00019616438356164382</v>
      </c>
      <c r="BF170" s="7">
        <f>SUM(IF(BL170="future",CE170,0),IF(CG170="future",CZ170,0),IF(DB170="future",DU170,0),IF(DW170="future",EP170,0),IF(ER170="future",FK170,0),IF(FM170="future",GF170,0),IF(GH170="future",HA170,0),IF(HC170="future",HV170,0),IF(HX170="future",IQ170,0),IF(IS170="future",JL170,0))</f>
        <v>-0.0028735632183907183</v>
      </c>
      <c r="BG170" s="7">
        <f>SUM(IF(BL170="cash",CE170,0),IF(CG170="cash",CZ170,0),IF(DB170="cash",DU170,0),IF(DW170="cash",EP170,0),IF(ER170="cash",FK170,0),IF(FM170="cash",GF170,0),IF(GH170="cash",HA170,0),IF(HC170="cash",HV170,0),IF(HX170="cash",IQ170,0),IF(IS170="cash",JL170,0))</f>
        <v>0</v>
      </c>
      <c r="BH170" s="7">
        <f>SUM(BD170:BG170)</f>
        <v>-0.0026773988348290745</v>
      </c>
      <c r="BI170" s="7">
        <f>G170-BH170</f>
        <v>4.336808689942018e-19</v>
      </c>
      <c r="BJ170" s="9">
        <f>COUNTA(BK170,CF170,DA170,DV170,EQ170,FL170,GG170,HB170,HW170,IR170)</f>
        <v>4</v>
      </c>
      <c r="BK170" t="inlineStr">
        <is>
          <t xml:space="preserve">Treasury collateral</t>
        </is>
      </c>
      <c r="BL170" t="inlineStr">
        <is>
          <t xml:space="preserve">treasury</t>
        </is>
      </c>
      <c r="BM170" t="inlineStr">
        <is>
          <t xml:space="preserve">lease</t>
        </is>
      </c>
      <c r="BN170" t="inlineStr">
        <is>
          <t xml:space="preserve">long</t>
        </is>
      </c>
      <c r="BO170"/>
      <c r="BP170" s="4">
        <v>104.46484314485693</v>
      </c>
      <c r="BQ170" s="4">
        <v>104.48533542641631</v>
      </c>
      <c r="BR170" s="4">
        <v>0.015923549768068125</v>
      </c>
      <c r="BS170" s="6">
        <v>1</v>
      </c>
      <c r="BT170" s="4">
        <v>1.6634511288305598</v>
      </c>
      <c r="BU170" s="4">
        <v>1.6634511288305598</v>
      </c>
      <c r="BV170" s="4">
        <v>1.6637774386958317</v>
      </c>
      <c r="BW170" s="4">
        <v>0.0003263098652719673</v>
      </c>
      <c r="BX170" s="4">
        <v>-3.301395615218361e-17</v>
      </c>
      <c r="BY170" s="4">
        <v>1.758</v>
      </c>
      <c r="BZ170" s="4">
        <v>1.754</v>
      </c>
      <c r="CA170" s="6"/>
      <c r="CB170" s="6"/>
      <c r="CC170" s="6"/>
      <c r="CD170" s="9">
        <v>17</v>
      </c>
      <c r="CE170" s="7">
        <f>IFERROR(BW170/F170,0)</f>
        <v>0.00019616438356164382</v>
      </c>
      <c r="CF170" t="inlineStr">
        <is>
          <t xml:space="preserve">SI69U</t>
        </is>
      </c>
      <c r="CG170" t="inlineStr">
        <is>
          <t xml:space="preserve">future</t>
        </is>
      </c>
      <c r="CH170" t="inlineStr">
        <is>
          <t xml:space="preserve">lease</t>
        </is>
      </c>
      <c r="CI170" t="inlineStr">
        <is>
          <t xml:space="preserve">long</t>
        </is>
      </c>
      <c r="CJ170" t="inlineStr">
        <is>
          <t xml:space="preserve">regular</t>
        </is>
      </c>
      <c r="CK170" s="4">
        <v>1.74</v>
      </c>
      <c r="CL170" s="4">
        <v>1.735</v>
      </c>
      <c r="CM170" s="4">
        <v>0.9560063958796321</v>
      </c>
      <c r="CN170" s="6">
        <v>1</v>
      </c>
      <c r="CO170" s="4">
        <v>1.6634511288305598</v>
      </c>
      <c r="CP170" s="4">
        <v>0</v>
      </c>
      <c r="CQ170" s="4">
        <v>0</v>
      </c>
      <c r="CR170" s="4">
        <v>-0.004780031979398016</v>
      </c>
      <c r="CS170" s="4">
        <v>0.004780031979398016</v>
      </c>
      <c r="CT170" s="4">
        <v>1.758</v>
      </c>
      <c r="CU170" s="4">
        <v>1.754</v>
      </c>
      <c r="CV170" s="6">
        <v>-0.010238907849829393</v>
      </c>
      <c r="CW170" s="6">
        <v>0.0716</v>
      </c>
      <c r="CX170" s="6">
        <v>0.29143537442280754</v>
      </c>
      <c r="CY170" s="9">
        <v>17</v>
      </c>
      <c r="CZ170" s="7">
        <f>IFERROR(CR170/F170,0)</f>
        <v>-0.0028735632183907183</v>
      </c>
      <c r="DA170" t="inlineStr">
        <is>
          <t xml:space="preserve">Lease cash / margin / financing</t>
        </is>
      </c>
      <c r="DB170" t="inlineStr">
        <is>
          <t xml:space="preserve">cash</t>
        </is>
      </c>
      <c r="DC170" t="inlineStr">
        <is>
          <t xml:space="preserve">lease</t>
        </is>
      </c>
      <c r="DD170" t="inlineStr">
        <is>
          <t xml:space="preserve">cash</t>
        </is>
      </c>
      <c r="DE170"/>
      <c r="DF170" s="4">
        <v>1</v>
      </c>
      <c r="DG170" s="4">
        <v>1</v>
      </c>
      <c r="DH170" s="4">
        <v>6.661338147750939e-16</v>
      </c>
      <c r="DI170" s="6"/>
      <c r="DJ170" s="4">
        <v>6.661338147750939e-16</v>
      </c>
      <c r="DK170" s="4">
        <v>6.661338147750939e-16</v>
      </c>
      <c r="DL170" s="4">
        <v>-0.004780031979397317</v>
      </c>
      <c r="DM170" s="4">
        <v>0</v>
      </c>
      <c r="DN170" s="4">
        <v>-0.004780031979397983</v>
      </c>
      <c r="DO170" s="4">
        <v>1.758</v>
      </c>
      <c r="DP170" s="4">
        <v>1.754</v>
      </c>
      <c r="DQ170" s="6"/>
      <c r="DR170" s="6"/>
      <c r="DS170" s="6"/>
      <c r="DT170" s="9"/>
      <c r="DU170" s="7">
        <f>IFERROR(DM170/F170,0)</f>
        <v>0</v>
      </c>
      <c r="DV170" t="inlineStr">
        <is>
          <t xml:space="preserve">Keep cash / margin / financing</t>
        </is>
      </c>
      <c r="DW170" t="inlineStr">
        <is>
          <t xml:space="preserve">cash</t>
        </is>
      </c>
      <c r="DX170" t="inlineStr">
        <is>
          <t xml:space="preserve">keep</t>
        </is>
      </c>
      <c r="DY170" t="inlineStr">
        <is>
          <t xml:space="preserve">cash</t>
        </is>
      </c>
      <c r="DZ170"/>
      <c r="EA170" s="4">
        <v>1</v>
      </c>
      <c r="EB170" s="4">
        <v>1</v>
      </c>
      <c r="EC170" s="4">
        <v>0</v>
      </c>
      <c r="ED170" s="6"/>
      <c r="EE170" s="4">
        <v>0</v>
      </c>
      <c r="EF170" s="4">
        <v>0</v>
      </c>
      <c r="EG170" s="4">
        <v>0</v>
      </c>
      <c r="EH170" s="4">
        <v>0</v>
      </c>
      <c r="EI170" s="4">
        <v>0</v>
      </c>
      <c r="EJ170" s="4">
        <v>1.758</v>
      </c>
      <c r="EK170" s="4">
        <v>1.754</v>
      </c>
      <c r="EL170" s="6"/>
      <c r="EM170" s="6"/>
      <c r="EN170" s="6"/>
      <c r="EO170" s="9"/>
      <c r="EP170" s="7">
        <f>IFERROR(EH170/F170,0)</f>
        <v>0</v>
      </c>
      <c r="EQ170"/>
      <c r="ER170"/>
      <c r="ES170"/>
      <c r="ET170"/>
      <c r="EU170"/>
      <c r="EV170" s="4"/>
      <c r="EW170" s="4"/>
      <c r="EX170" s="4"/>
      <c r="EY170" s="6"/>
      <c r="EZ170" s="4"/>
      <c r="FA170" s="4"/>
      <c r="FB170" s="4"/>
      <c r="FC170" s="4"/>
      <c r="FD170" s="4"/>
      <c r="FE170" s="4"/>
      <c r="FF170" s="4"/>
      <c r="FG170" s="6"/>
      <c r="FH170" s="6"/>
      <c r="FI170" s="6"/>
      <c r="FJ170" s="9"/>
      <c r="FK170"/>
      <c r="FL170"/>
      <c r="FM170"/>
      <c r="FN170"/>
      <c r="FO170"/>
      <c r="FP170"/>
      <c r="FQ170" s="4"/>
      <c r="FR170" s="4"/>
      <c r="FS170" s="4"/>
      <c r="FT170" s="6"/>
      <c r="FU170" s="4"/>
      <c r="FV170" s="4"/>
      <c r="FW170" s="4"/>
      <c r="FX170" s="4"/>
      <c r="FY170" s="4"/>
      <c r="FZ170" s="4"/>
      <c r="GA170" s="4"/>
      <c r="GB170" s="6"/>
      <c r="GC170" s="6"/>
      <c r="GD170" s="6"/>
      <c r="GE170" s="9"/>
      <c r="GF170"/>
      <c r="GG170"/>
      <c r="GH170"/>
      <c r="GI170"/>
      <c r="GJ170"/>
      <c r="GK170"/>
      <c r="GL170" s="4"/>
      <c r="GM170" s="4"/>
      <c r="GN170" s="4"/>
      <c r="GO170" s="6"/>
      <c r="GP170" s="4"/>
      <c r="GQ170" s="4"/>
      <c r="GR170" s="4"/>
      <c r="GS170" s="4"/>
      <c r="GT170" s="4"/>
      <c r="GU170" s="4"/>
      <c r="GV170" s="4"/>
      <c r="GW170" s="6"/>
      <c r="GX170" s="6"/>
      <c r="GY170" s="6"/>
      <c r="GZ170" s="9"/>
      <c r="HA170"/>
      <c r="HB170"/>
      <c r="HC170"/>
      <c r="HD170"/>
      <c r="HE170"/>
      <c r="HF170"/>
      <c r="HG170" s="4"/>
      <c r="HH170" s="4"/>
      <c r="HI170" s="4"/>
      <c r="HJ170" s="6"/>
      <c r="HK170" s="4"/>
      <c r="HL170" s="4"/>
      <c r="HM170" s="4"/>
      <c r="HN170" s="4"/>
      <c r="HO170" s="4"/>
      <c r="HP170" s="4"/>
      <c r="HQ170" s="4"/>
      <c r="HR170" s="6"/>
      <c r="HS170" s="6"/>
      <c r="HT170" s="6"/>
      <c r="HU170" s="9"/>
      <c r="HV170"/>
      <c r="HW170"/>
      <c r="HX170"/>
      <c r="HY170"/>
      <c r="HZ170"/>
      <c r="IA170"/>
      <c r="IB170" s="4"/>
      <c r="IC170" s="4"/>
      <c r="ID170" s="4"/>
      <c r="IE170" s="6"/>
      <c r="IF170" s="4"/>
      <c r="IG170" s="4"/>
      <c r="IH170" s="4"/>
      <c r="II170" s="4"/>
      <c r="IJ170" s="4"/>
      <c r="IK170" s="4"/>
      <c r="IL170" s="4"/>
      <c r="IM170" s="6"/>
      <c r="IN170" s="6"/>
      <c r="IO170" s="6"/>
      <c r="IP170" s="9"/>
      <c r="IQ170"/>
      <c r="IR170"/>
      <c r="IS170"/>
      <c r="IT170"/>
      <c r="IU170"/>
      <c r="IV170"/>
      <c r="IW170" s="4"/>
      <c r="IX170" s="4"/>
      <c r="IY170" s="4"/>
      <c r="IZ170" s="6"/>
      <c r="JA170" s="4"/>
      <c r="JB170" s="4"/>
      <c r="JC170" s="4"/>
      <c r="JD170" s="4"/>
      <c r="JE170" s="4"/>
      <c r="JF170" s="4"/>
      <c r="JG170" s="4"/>
      <c r="JH170" s="6"/>
      <c r="JI170" s="6"/>
      <c r="JJ170" s="6"/>
      <c r="JK170" s="9"/>
      <c r="JL170"/>
    </row>
    <row r="171">
      <c r="A171" s="8">
        <v>25456</v>
      </c>
      <c r="B171" s="8">
        <v>25457</v>
      </c>
      <c r="C171" s="9">
        <f>B171-A171</f>
        <v>1</v>
      </c>
      <c r="D171" s="8">
        <v>25456</v>
      </c>
      <c r="E171" t="inlineStr">
        <is>
          <t xml:space="preserve">positive</t>
        </is>
      </c>
      <c r="F171" s="4">
        <v>1.6589974067164337</v>
      </c>
      <c r="G171" s="6">
        <v>0.010569708262603094</v>
      </c>
      <c r="H171" s="7">
        <f>SUM(CE171,CZ171,DU171,EP171,FK171,GF171,HA171,HV171,IQ171,JL171)</f>
        <v>0.010569708262603094</v>
      </c>
      <c r="I171" s="7">
        <f>G171-H171</f>
        <v>0</v>
      </c>
      <c r="J171" s="5">
        <f>F171*(1+H171)</f>
        <v>1.6765325253138414</v>
      </c>
      <c r="K171" s="4">
        <v>1.6765325253138414</v>
      </c>
      <c r="L171" s="5">
        <f>K171-J171</f>
        <v>0</v>
      </c>
      <c r="M171" s="4">
        <v>1.754</v>
      </c>
      <c r="N171" s="4">
        <v>1.769</v>
      </c>
      <c r="O171" s="5">
        <f>M171/$M$3</f>
        <v>0.8958120531154239</v>
      </c>
      <c r="P171" s="5">
        <f>N171/$M$3</f>
        <v>0.9034729315628192</v>
      </c>
      <c r="Q171" s="7">
        <f>IFERROR(N171/M171-1,0)</f>
        <v>0.008551881413910944</v>
      </c>
      <c r="R171" s="5">
        <f>SUM(IF(BM171="lease",BU171,0),IF(CH171="lease",CP171,0),IF(DC171="lease",DK171,0),IF(DX171="lease",EF171,0),IF(ES171="lease",FA171,0),IF(FN171="lease",FV171,0),IF(GI171="lease",GQ171,0),IF(HD171="lease",HL171,0),IF(HY171="lease",IG171,0),IF(IT171="lease",JB171,0))</f>
        <v>1.6589974067164344</v>
      </c>
      <c r="S171" s="5">
        <f>SUM(IF(BM171="lease",BV171,0),IF(CH171="lease",CQ171,0),IF(DC171="lease",DL171,0),IF(DX171="lease",EG171,0),IF(ES171="lease",FB171,0),IF(FN171="lease",FW171,0),IF(GI171="lease",GR171,0),IF(HD171="lease",HM171,0),IF(HY171="lease",IH171,0),IF(IT171="lease",JC171,0))</f>
        <v>1.6765325253138421</v>
      </c>
      <c r="T171" s="5">
        <f>SUM(IF(BM171="keep",BU171,0),IF(CH171="keep",CP171,0),IF(DC171="keep",DK171,0),IF(DX171="keep",EF171,0),IF(ES171="keep",FA171,0),IF(FN171="keep",FV171,0),IF(GI171="keep",GQ171,0),IF(HD171="keep",HL171,0),IF(HY171="keep",IG171,0),IF(IT171="keep",JB171,0))</f>
        <v>0</v>
      </c>
      <c r="U171" s="5">
        <f>SUM(IF(BM171="keep",BV171,0),IF(CH171="keep",CQ171,0),IF(DC171="keep",DL171,0),IF(DX171="keep",EG171,0),IF(ES171="keep",FB171,0),IF(FN171="keep",FW171,0),IF(GI171="keep",GR171,0),IF(HD171="keep",HM171,0),IF(HY171="keep",IH171,0),IF(IT171="keep",JC171,0))</f>
        <v>0</v>
      </c>
      <c r="V171" s="5">
        <f>R171/O171</f>
        <v>1.8519480743162933</v>
      </c>
      <c r="W171" s="5">
        <f>S171/P171</f>
        <v>1.8556532982275313</v>
      </c>
      <c r="X171" s="5">
        <f>T171/O171</f>
        <v>0</v>
      </c>
      <c r="Y171" s="5">
        <f>U171/P171</f>
        <v>0</v>
      </c>
      <c r="Z171" s="5">
        <f>V171+X171</f>
        <v>1.8519480743162933</v>
      </c>
      <c r="AA171" s="7">
        <f>IFERROR(W171/V171-1,0)</f>
        <v>0.0020007169545539494</v>
      </c>
      <c r="AB171" s="7">
        <f>IFERROR((W171-V171)/Z171,0)</f>
        <v>0.002000716954553906</v>
      </c>
      <c r="AC171" s="7">
        <f>IFERROR(Y171/X171-1,0)</f>
        <v>0</v>
      </c>
      <c r="AD171" s="7">
        <f>IFERROR((Y171-X171)/Z171,0)</f>
        <v>0</v>
      </c>
      <c r="AE171" s="7">
        <f>AB171+AD171</f>
        <v>0.002000716954553906</v>
      </c>
      <c r="AF171" s="7">
        <f>(1+Q171)*(1+AE171)-1</f>
        <v>0.010569708262603061</v>
      </c>
      <c r="AG171" s="7">
        <f>G171-AF171</f>
        <v>3.2959746043559335e-17</v>
      </c>
      <c r="AH171" s="5">
        <f>SUM(IF(BM171="lease",BW171,0),IF(CH171="lease",CR171,0),IF(DC171="lease",DM171,0),IF(DX171="lease",EH171,0),IF(ES171="lease",FC171,0),IF(FN171="lease",FX171,0),IF(GI171="lease",GS171,0),IF(HD171="lease",HN171,0),IF(HY171="lease",II171,0),IF(IT171="lease",JD171,0))</f>
        <v>0.017535118597407796</v>
      </c>
      <c r="AI171" s="5">
        <f>SUM(IF(BM171="keep",BW171,0),IF(CH171="keep",CR171,0),IF(DC171="keep",DM171,0),IF(DX171="keep",EH171,0),IF(ES171="keep",FC171,0),IF(FN171="keep",FX171,0),IF(GI171="keep",GS171,0),IF(HD171="keep",HN171,0),IF(HY171="keep",II171,0),IF(IT171="keep",JD171,0))</f>
        <v>0</v>
      </c>
      <c r="AJ171" s="5">
        <f>SUM(IF(BM171="lease",BX171,0),IF(CH171="lease",CS171,0),IF(DC171="lease",DN171,0),IF(DX171="lease",EI171,0),IF(ES171="lease",FD171,0),IF(FN171="lease",FY171,0),IF(GI171="lease",GT171,0),IF(HD171="lease",HO171,0),IF(HY171="lease",IJ171,0),IF(IT171="lease",JE171,0))</f>
        <v>0</v>
      </c>
      <c r="AK171" s="5">
        <f>SUM(IF(BM171="keep",BX171,0),IF(CH171="keep",CS171,0),IF(DC171="keep",DN171,0),IF(DX171="keep",EI171,0),IF(ES171="keep",FD171,0),IF(FN171="keep",FY171,0),IF(GI171="keep",GT171,0),IF(HD171="keep",HO171,0),IF(HY171="keep",IJ171,0),IF(IT171="keep",JE171,0))</f>
        <v>0</v>
      </c>
      <c r="AL171" s="5">
        <f>R171-S170</f>
        <v>0</v>
      </c>
      <c r="AM171" s="5">
        <f>T171-U170</f>
        <v>0</v>
      </c>
      <c r="AN171" s="5">
        <f>AN170</f>
        <v>1</v>
      </c>
      <c r="AO171" s="5">
        <f>AO170+AH171</f>
        <v>0.6765325253138423</v>
      </c>
      <c r="AP171" s="5">
        <f>AP170+AL171</f>
        <v>-4.440892098500626e-16</v>
      </c>
      <c r="AQ171" s="5">
        <f>AN171+AO171+AP171</f>
        <v>1.676532525313842</v>
      </c>
      <c r="AR171" s="5">
        <f>S171-AQ171</f>
        <v>2.220446049250313e-16</v>
      </c>
      <c r="AS171" s="5">
        <f>AS170</f>
        <v>0</v>
      </c>
      <c r="AT171" s="5">
        <f>AT170+AI171</f>
        <v>0</v>
      </c>
      <c r="AU171" s="5">
        <f>AU170+AM171</f>
        <v>0</v>
      </c>
      <c r="AV171" s="5">
        <f>AS171+AT171+AU171</f>
        <v>0</v>
      </c>
      <c r="AW171" s="5">
        <f>U171-AV171</f>
        <v>0</v>
      </c>
      <c r="AX171" s="4">
        <v>1.6589974067164344</v>
      </c>
      <c r="AY171" s="4">
        <v>1.6765325253138421</v>
      </c>
      <c r="AZ171" s="5">
        <f>S171-AY171</f>
        <v>0</v>
      </c>
      <c r="BA171" s="4">
        <v>0</v>
      </c>
      <c r="BB171" s="4">
        <v>0</v>
      </c>
      <c r="BC171" s="5">
        <f>U171-BB171</f>
        <v>0</v>
      </c>
      <c r="BD171" s="7">
        <f>SUM(IF(BL171="direct",CE171,0),IF(CG171="direct",CZ171,0),IF(DB171="direct",DU171,0),IF(DW171="direct",EP171,0),IF(ER171="direct",FK171,0),IF(FM171="direct",GF171,0),IF(GH171="direct",HA171,0),IF(HC171="direct",HV171,0),IF(HX171="direct",IQ171,0),IF(IS171="direct",JL171,0))</f>
        <v>0</v>
      </c>
      <c r="BE171" s="7">
        <f>SUM(IF(BL171="treasury",CE171,0),IF(CG171="treasury",CZ171,0),IF(DB171="treasury",DU171,0),IF(DW171="treasury",EP171,0),IF(ER171="treasury",FK171,0),IF(FM171="treasury",GF171,0),IF(GH171="treasury",HA171,0),IF(HC171="treasury",HV171,0),IF(HX171="treasury",IQ171,0),IF(IS171="treasury",JL171,0))</f>
        <v>0.0001950684931506849</v>
      </c>
      <c r="BF171" s="7">
        <f>SUM(IF(BL171="future",CE171,0),IF(CG171="future",CZ171,0),IF(DB171="future",DU171,0),IF(DW171="future",EP171,0),IF(ER171="future",FK171,0),IF(FM171="future",GF171,0),IF(GH171="future",HA171,0),IF(HC171="future",HV171,0),IF(HX171="future",IQ171,0),IF(IS171="future",JL171,0))</f>
        <v>0.01037463976945241</v>
      </c>
      <c r="BG171" s="7">
        <f>SUM(IF(BL171="cash",CE171,0),IF(CG171="cash",CZ171,0),IF(DB171="cash",DU171,0),IF(DW171="cash",EP171,0),IF(ER171="cash",FK171,0),IF(FM171="cash",GF171,0),IF(GH171="cash",HA171,0),IF(HC171="cash",HV171,0),IF(HX171="cash",IQ171,0),IF(IS171="cash",JL171,0))</f>
        <v>0</v>
      </c>
      <c r="BH171" s="7">
        <f>SUM(BD171:BG171)</f>
        <v>0.010569708262603094</v>
      </c>
      <c r="BI171" s="7">
        <f>G171-BH171</f>
        <v>0</v>
      </c>
      <c r="BJ171" s="9">
        <f>COUNTA(BK171,CF171,DA171,DV171,EQ171,FL171,GG171,HB171,HW171,IR171)</f>
        <v>4</v>
      </c>
      <c r="BK171" t="inlineStr">
        <is>
          <t xml:space="preserve">Treasury collateral</t>
        </is>
      </c>
      <c r="BL171" t="inlineStr">
        <is>
          <t xml:space="preserve">treasury</t>
        </is>
      </c>
      <c r="BM171" t="inlineStr">
        <is>
          <t xml:space="preserve">lease</t>
        </is>
      </c>
      <c r="BN171" t="inlineStr">
        <is>
          <t xml:space="preserve">long</t>
        </is>
      </c>
      <c r="BO171"/>
      <c r="BP171" s="4">
        <v>104.48533542641631</v>
      </c>
      <c r="BQ171" s="4">
        <v>104.50571722335428</v>
      </c>
      <c r="BR171" s="4">
        <v>0.0158778014153458</v>
      </c>
      <c r="BS171" s="6">
        <v>1</v>
      </c>
      <c r="BT171" s="4">
        <v>1.6589974067164337</v>
      </c>
      <c r="BU171" s="4">
        <v>1.6589974067164337</v>
      </c>
      <c r="BV171" s="4">
        <v>1.6593210248407027</v>
      </c>
      <c r="BW171" s="4">
        <v>0.0003236181242690687</v>
      </c>
      <c r="BX171" s="4">
        <v>-1.1470858984896637e-16</v>
      </c>
      <c r="BY171" s="4">
        <v>1.754</v>
      </c>
      <c r="BZ171" s="4">
        <v>1.769</v>
      </c>
      <c r="CA171" s="6"/>
      <c r="CB171" s="6"/>
      <c r="CC171" s="6"/>
      <c r="CD171" s="9">
        <v>16</v>
      </c>
      <c r="CE171" s="7">
        <f>IFERROR(BW171/F171,0)</f>
        <v>0.0001950684931506849</v>
      </c>
      <c r="CF171" t="inlineStr">
        <is>
          <t xml:space="preserve">SI69U</t>
        </is>
      </c>
      <c r="CG171" t="inlineStr">
        <is>
          <t xml:space="preserve">future</t>
        </is>
      </c>
      <c r="CH171" t="inlineStr">
        <is>
          <t xml:space="preserve">lease</t>
        </is>
      </c>
      <c r="CI171" t="inlineStr">
        <is>
          <t xml:space="preserve">long</t>
        </is>
      </c>
      <c r="CJ171" t="inlineStr">
        <is>
          <t xml:space="preserve">regular</t>
        </is>
      </c>
      <c r="CK171" s="4">
        <v>1.735</v>
      </c>
      <c r="CL171" s="4">
        <v>1.7530000000000001</v>
      </c>
      <c r="CM171" s="4">
        <v>0.9561944707299329</v>
      </c>
      <c r="CN171" s="6">
        <v>1</v>
      </c>
      <c r="CO171" s="4">
        <v>1.6589974067164337</v>
      </c>
      <c r="CP171" s="4">
        <v>0</v>
      </c>
      <c r="CQ171" s="4">
        <v>0</v>
      </c>
      <c r="CR171" s="4">
        <v>0.017211500473138727</v>
      </c>
      <c r="CS171" s="4">
        <v>-0.017211500473138727</v>
      </c>
      <c r="CT171" s="4">
        <v>1.754</v>
      </c>
      <c r="CU171" s="4">
        <v>1.769</v>
      </c>
      <c r="CV171" s="6">
        <v>-0.010832383124287248</v>
      </c>
      <c r="CW171" s="6">
        <v>0.0712</v>
      </c>
      <c r="CX171" s="6">
        <v>0.3183137400228028</v>
      </c>
      <c r="CY171" s="9">
        <v>16</v>
      </c>
      <c r="CZ171" s="7">
        <f>IFERROR(CR171/F171,0)</f>
        <v>0.01037463976945241</v>
      </c>
      <c r="DA171" t="inlineStr">
        <is>
          <t xml:space="preserve">Lease cash / margin / financing</t>
        </is>
      </c>
      <c r="DB171" t="inlineStr">
        <is>
          <t xml:space="preserve">cash</t>
        </is>
      </c>
      <c r="DC171" t="inlineStr">
        <is>
          <t xml:space="preserve">lease</t>
        </is>
      </c>
      <c r="DD171" t="inlineStr">
        <is>
          <t xml:space="preserve">cash</t>
        </is>
      </c>
      <c r="DE171"/>
      <c r="DF171" s="4">
        <v>1</v>
      </c>
      <c r="DG171" s="4">
        <v>1</v>
      </c>
      <c r="DH171" s="4">
        <v>6.661338147750939e-16</v>
      </c>
      <c r="DI171" s="6"/>
      <c r="DJ171" s="4">
        <v>6.661338147750939e-16</v>
      </c>
      <c r="DK171" s="4">
        <v>6.661338147750939e-16</v>
      </c>
      <c r="DL171" s="4">
        <v>0.017211500473139508</v>
      </c>
      <c r="DM171" s="4">
        <v>0</v>
      </c>
      <c r="DN171" s="4">
        <v>0.01721150047313884</v>
      </c>
      <c r="DO171" s="4">
        <v>1.754</v>
      </c>
      <c r="DP171" s="4">
        <v>1.769</v>
      </c>
      <c r="DQ171" s="6"/>
      <c r="DR171" s="6"/>
      <c r="DS171" s="6"/>
      <c r="DT171" s="9"/>
      <c r="DU171" s="7">
        <f>IFERROR(DM171/F171,0)</f>
        <v>0</v>
      </c>
      <c r="DV171" t="inlineStr">
        <is>
          <t xml:space="preserve">Keep cash / margin / financing</t>
        </is>
      </c>
      <c r="DW171" t="inlineStr">
        <is>
          <t xml:space="preserve">cash</t>
        </is>
      </c>
      <c r="DX171" t="inlineStr">
        <is>
          <t xml:space="preserve">keep</t>
        </is>
      </c>
      <c r="DY171" t="inlineStr">
        <is>
          <t xml:space="preserve">cash</t>
        </is>
      </c>
      <c r="DZ171"/>
      <c r="EA171" s="4">
        <v>1</v>
      </c>
      <c r="EB171" s="4">
        <v>1</v>
      </c>
      <c r="EC171" s="4">
        <v>0</v>
      </c>
      <c r="ED171" s="6"/>
      <c r="EE171" s="4">
        <v>0</v>
      </c>
      <c r="EF171" s="4">
        <v>0</v>
      </c>
      <c r="EG171" s="4">
        <v>0</v>
      </c>
      <c r="EH171" s="4">
        <v>0</v>
      </c>
      <c r="EI171" s="4">
        <v>0</v>
      </c>
      <c r="EJ171" s="4">
        <v>1.754</v>
      </c>
      <c r="EK171" s="4">
        <v>1.769</v>
      </c>
      <c r="EL171" s="6"/>
      <c r="EM171" s="6"/>
      <c r="EN171" s="6"/>
      <c r="EO171" s="9"/>
      <c r="EP171" s="7">
        <f>IFERROR(EH171/F171,0)</f>
        <v>0</v>
      </c>
      <c r="EQ171"/>
      <c r="ER171"/>
      <c r="ES171"/>
      <c r="ET171"/>
      <c r="EU171"/>
      <c r="EV171" s="4"/>
      <c r="EW171" s="4"/>
      <c r="EX171" s="4"/>
      <c r="EY171" s="6"/>
      <c r="EZ171" s="4"/>
      <c r="FA171" s="4"/>
      <c r="FB171" s="4"/>
      <c r="FC171" s="4"/>
      <c r="FD171" s="4"/>
      <c r="FE171" s="4"/>
      <c r="FF171" s="4"/>
      <c r="FG171" s="6"/>
      <c r="FH171" s="6"/>
      <c r="FI171" s="6"/>
      <c r="FJ171" s="9"/>
      <c r="FK171"/>
      <c r="FL171"/>
      <c r="FM171"/>
      <c r="FN171"/>
      <c r="FO171"/>
      <c r="FP171"/>
      <c r="FQ171" s="4"/>
      <c r="FR171" s="4"/>
      <c r="FS171" s="4"/>
      <c r="FT171" s="6"/>
      <c r="FU171" s="4"/>
      <c r="FV171" s="4"/>
      <c r="FW171" s="4"/>
      <c r="FX171" s="4"/>
      <c r="FY171" s="4"/>
      <c r="FZ171" s="4"/>
      <c r="GA171" s="4"/>
      <c r="GB171" s="6"/>
      <c r="GC171" s="6"/>
      <c r="GD171" s="6"/>
      <c r="GE171" s="9"/>
      <c r="GF171"/>
      <c r="GG171"/>
      <c r="GH171"/>
      <c r="GI171"/>
      <c r="GJ171"/>
      <c r="GK171"/>
      <c r="GL171" s="4"/>
      <c r="GM171" s="4"/>
      <c r="GN171" s="4"/>
      <c r="GO171" s="6"/>
      <c r="GP171" s="4"/>
      <c r="GQ171" s="4"/>
      <c r="GR171" s="4"/>
      <c r="GS171" s="4"/>
      <c r="GT171" s="4"/>
      <c r="GU171" s="4"/>
      <c r="GV171" s="4"/>
      <c r="GW171" s="6"/>
      <c r="GX171" s="6"/>
      <c r="GY171" s="6"/>
      <c r="GZ171" s="9"/>
      <c r="HA171"/>
      <c r="HB171"/>
      <c r="HC171"/>
      <c r="HD171"/>
      <c r="HE171"/>
      <c r="HF171"/>
      <c r="HG171" s="4"/>
      <c r="HH171" s="4"/>
      <c r="HI171" s="4"/>
      <c r="HJ171" s="6"/>
      <c r="HK171" s="4"/>
      <c r="HL171" s="4"/>
      <c r="HM171" s="4"/>
      <c r="HN171" s="4"/>
      <c r="HO171" s="4"/>
      <c r="HP171" s="4"/>
      <c r="HQ171" s="4"/>
      <c r="HR171" s="6"/>
      <c r="HS171" s="6"/>
      <c r="HT171" s="6"/>
      <c r="HU171" s="9"/>
      <c r="HV171"/>
      <c r="HW171"/>
      <c r="HX171"/>
      <c r="HY171"/>
      <c r="HZ171"/>
      <c r="IA171"/>
      <c r="IB171" s="4"/>
      <c r="IC171" s="4"/>
      <c r="ID171" s="4"/>
      <c r="IE171" s="6"/>
      <c r="IF171" s="4"/>
      <c r="IG171" s="4"/>
      <c r="IH171" s="4"/>
      <c r="II171" s="4"/>
      <c r="IJ171" s="4"/>
      <c r="IK171" s="4"/>
      <c r="IL171" s="4"/>
      <c r="IM171" s="6"/>
      <c r="IN171" s="6"/>
      <c r="IO171" s="6"/>
      <c r="IP171" s="9"/>
      <c r="IQ171"/>
      <c r="IR171"/>
      <c r="IS171"/>
      <c r="IT171"/>
      <c r="IU171"/>
      <c r="IV171"/>
      <c r="IW171" s="4"/>
      <c r="IX171" s="4"/>
      <c r="IY171" s="4"/>
      <c r="IZ171" s="6"/>
      <c r="JA171" s="4"/>
      <c r="JB171" s="4"/>
      <c r="JC171" s="4"/>
      <c r="JD171" s="4"/>
      <c r="JE171" s="4"/>
      <c r="JF171" s="4"/>
      <c r="JG171" s="4"/>
      <c r="JH171" s="6"/>
      <c r="JI171" s="6"/>
      <c r="JJ171" s="6"/>
      <c r="JK171" s="9"/>
      <c r="JL171"/>
    </row>
    <row r="172">
      <c r="A172" s="8">
        <v>25457</v>
      </c>
      <c r="B172" s="8">
        <v>25458</v>
      </c>
      <c r="C172" s="9">
        <f>B172-A172</f>
        <v>1</v>
      </c>
      <c r="D172" s="8">
        <v>25457</v>
      </c>
      <c r="E172" t="inlineStr">
        <is>
          <t xml:space="preserve">positive</t>
        </is>
      </c>
      <c r="F172" s="4">
        <v>1.6765325253138414</v>
      </c>
      <c r="G172" s="6">
        <v>0.0053283024795066245</v>
      </c>
      <c r="H172" s="7">
        <f>SUM(CE172,CZ172,DU172,EP172,FK172,GF172,HA172,HV172,IQ172,JL172)</f>
        <v>0.0053283024795066245</v>
      </c>
      <c r="I172" s="7">
        <f>G172-H172</f>
        <v>0</v>
      </c>
      <c r="J172" s="5">
        <f>F172*(1+H172)</f>
        <v>1.6854655977254445</v>
      </c>
      <c r="K172" s="4">
        <v>1.6854655977254445</v>
      </c>
      <c r="L172" s="5">
        <f>K172-J172</f>
        <v>0</v>
      </c>
      <c r="M172" s="4">
        <v>1.769</v>
      </c>
      <c r="N172" s="4">
        <v>1.804</v>
      </c>
      <c r="O172" s="5">
        <f>M172/$M$3</f>
        <v>0.9034729315628192</v>
      </c>
      <c r="P172" s="5">
        <f>N172/$M$3</f>
        <v>0.9213483146067416</v>
      </c>
      <c r="Q172" s="7">
        <f>IFERROR(N172/M172-1,0)</f>
        <v>0.019785189372526935</v>
      </c>
      <c r="R172" s="5">
        <f>SUM(IF(BM172="lease",BU172,0),IF(CH172="lease",CP172,0),IF(DC172="lease",DK172,0),IF(DX172="lease",EF172,0),IF(ES172="lease",FA172,0),IF(FN172="lease",FV172,0),IF(GI172="lease",GQ172,0),IF(HD172="lease",HL172,0),IF(HY172="lease",IG172,0),IF(IT172="lease",JB172,0))</f>
        <v>1.6765325253138421</v>
      </c>
      <c r="S172" s="5">
        <f>SUM(IF(BM172="lease",BV172,0),IF(CH172="lease",CQ172,0),IF(DC172="lease",DL172,0),IF(DX172="lease",EG172,0),IF(ES172="lease",FB172,0),IF(FN172="lease",FW172,0),IF(GI172="lease",GR172,0),IF(HD172="lease",HM172,0),IF(HY172="lease",IH172,0),IF(IT172="lease",JC172,0))</f>
        <v>1.6854655977254454</v>
      </c>
      <c r="T172" s="5">
        <f>SUM(IF(BM172="keep",BU172,0),IF(CH172="keep",CP172,0),IF(DC172="keep",DK172,0),IF(DX172="keep",EF172,0),IF(ES172="keep",FA172,0),IF(FN172="keep",FV172,0),IF(GI172="keep",GQ172,0),IF(HD172="keep",HL172,0),IF(HY172="keep",IG172,0),IF(IT172="keep",JB172,0))</f>
        <v>0</v>
      </c>
      <c r="U172" s="5">
        <f>SUM(IF(BM172="keep",BV172,0),IF(CH172="keep",CQ172,0),IF(DC172="keep",DL172,0),IF(DX172="keep",EG172,0),IF(ES172="keep",FB172,0),IF(FN172="keep",FW172,0),IF(GI172="keep",GR172,0),IF(HD172="keep",HM172,0),IF(HY172="keep",IH172,0),IF(IT172="keep",JC172,0))</f>
        <v>0</v>
      </c>
      <c r="V172" s="5">
        <f>R172/O172</f>
        <v>1.8556532982275313</v>
      </c>
      <c r="W172" s="5">
        <f>S172/P172</f>
        <v>1.8293468072873735</v>
      </c>
      <c r="X172" s="5">
        <f>T172/O172</f>
        <v>0</v>
      </c>
      <c r="Y172" s="5">
        <f>U172/P172</f>
        <v>0</v>
      </c>
      <c r="Z172" s="5">
        <f>V172+X172</f>
        <v>1.8556532982275313</v>
      </c>
      <c r="AA172" s="7">
        <f>IFERROR(W172/V172-1,0)</f>
        <v>-0.014176404054186742</v>
      </c>
      <c r="AB172" s="7">
        <f>IFERROR((W172-V172)/Z172,0)</f>
        <v>-0.014176404054186756</v>
      </c>
      <c r="AC172" s="7">
        <f>IFERROR(Y172/X172-1,0)</f>
        <v>0</v>
      </c>
      <c r="AD172" s="7">
        <f>IFERROR((Y172-X172)/Z172,0)</f>
        <v>0</v>
      </c>
      <c r="AE172" s="7">
        <f>AB172+AD172</f>
        <v>-0.014176404054186756</v>
      </c>
      <c r="AF172" s="7">
        <f>(1+Q172)*(1+AE172)-1</f>
        <v>0.0053283024795065526</v>
      </c>
      <c r="AG172" s="7">
        <f>G172-AF172</f>
        <v>7.19910242530375e-17</v>
      </c>
      <c r="AH172" s="5">
        <f>SUM(IF(BM172="lease",BW172,0),IF(CH172="lease",CR172,0),IF(DC172="lease",DM172,0),IF(DX172="lease",EH172,0),IF(ES172="lease",FC172,0),IF(FN172="lease",FX172,0),IF(GI172="lease",GS172,0),IF(HD172="lease",HN172,0),IF(HY172="lease",II172,0),IF(IT172="lease",JD172,0))</f>
        <v>0.008933072411603245</v>
      </c>
      <c r="AI172" s="5">
        <f>SUM(IF(BM172="keep",BW172,0),IF(CH172="keep",CR172,0),IF(DC172="keep",DM172,0),IF(DX172="keep",EH172,0),IF(ES172="keep",FC172,0),IF(FN172="keep",FX172,0),IF(GI172="keep",GS172,0),IF(HD172="keep",HN172,0),IF(HY172="keep",II172,0),IF(IT172="keep",JD172,0))</f>
        <v>0</v>
      </c>
      <c r="AJ172" s="5">
        <f>SUM(IF(BM172="lease",BX172,0),IF(CH172="lease",CS172,0),IF(DC172="lease",DN172,0),IF(DX172="lease",EI172,0),IF(ES172="lease",FD172,0),IF(FN172="lease",FY172,0),IF(GI172="lease",GT172,0),IF(HD172="lease",HO172,0),IF(HY172="lease",IJ172,0),IF(IT172="lease",JE172,0))</f>
        <v>0</v>
      </c>
      <c r="AK172" s="5">
        <f>SUM(IF(BM172="keep",BX172,0),IF(CH172="keep",CS172,0),IF(DC172="keep",DN172,0),IF(DX172="keep",EI172,0),IF(ES172="keep",FD172,0),IF(FN172="keep",FY172,0),IF(GI172="keep",GT172,0),IF(HD172="keep",HO172,0),IF(HY172="keep",IJ172,0),IF(IT172="keep",JE172,0))</f>
        <v>0</v>
      </c>
      <c r="AL172" s="5">
        <f>R172-S171</f>
        <v>0</v>
      </c>
      <c r="AM172" s="5">
        <f>T172-U171</f>
        <v>0</v>
      </c>
      <c r="AN172" s="5">
        <f>AN171</f>
        <v>1</v>
      </c>
      <c r="AO172" s="5">
        <f>AO171+AH172</f>
        <v>0.6854655977254456</v>
      </c>
      <c r="AP172" s="5">
        <f>AP171+AL172</f>
        <v>-4.440892098500626e-16</v>
      </c>
      <c r="AQ172" s="5">
        <f>AN172+AO172+AP172</f>
        <v>1.6854655977254451</v>
      </c>
      <c r="AR172" s="5">
        <f>S172-AQ172</f>
        <v>2.220446049250313e-16</v>
      </c>
      <c r="AS172" s="5">
        <f>AS171</f>
        <v>0</v>
      </c>
      <c r="AT172" s="5">
        <f>AT171+AI172</f>
        <v>0</v>
      </c>
      <c r="AU172" s="5">
        <f>AU171+AM172</f>
        <v>0</v>
      </c>
      <c r="AV172" s="5">
        <f>AS172+AT172+AU172</f>
        <v>0</v>
      </c>
      <c r="AW172" s="5">
        <f>U172-AV172</f>
        <v>0</v>
      </c>
      <c r="AX172" s="4">
        <v>1.6765325253138421</v>
      </c>
      <c r="AY172" s="4">
        <v>1.6854655977254454</v>
      </c>
      <c r="AZ172" s="5">
        <f>S172-AY172</f>
        <v>0</v>
      </c>
      <c r="BA172" s="4">
        <v>0</v>
      </c>
      <c r="BB172" s="4">
        <v>0</v>
      </c>
      <c r="BC172" s="5">
        <f>U172-BB172</f>
        <v>0</v>
      </c>
      <c r="BD172" s="7">
        <f>SUM(IF(BL172="direct",CE172,0),IF(CG172="direct",CZ172,0),IF(DB172="direct",DU172,0),IF(DW172="direct",EP172,0),IF(ER172="direct",FK172,0),IF(FM172="direct",GF172,0),IF(GH172="direct",HA172,0),IF(HC172="direct",HV172,0),IF(HX172="direct",IQ172,0),IF(IS172="direct",JL172,0))</f>
        <v>0</v>
      </c>
      <c r="BE172" s="7">
        <f>SUM(IF(BL172="treasury",CE172,0),IF(CG172="treasury",CZ172,0),IF(DB172="treasury",DU172,0),IF(DW172="treasury",EP172,0),IF(ER172="treasury",FK172,0),IF(FM172="treasury",GF172,0),IF(GH172="treasury",HA172,0),IF(HC172="treasury",HV172,0),IF(HX172="treasury",IQ172,0),IF(IS172="treasury",JL172,0))</f>
        <v>0.00019424657534246578</v>
      </c>
      <c r="BF172" s="7">
        <f>SUM(IF(BL172="future",CE172,0),IF(CG172="future",CZ172,0),IF(DB172="future",DU172,0),IF(DW172="future",EP172,0),IF(ER172="future",FK172,0),IF(FM172="future",GF172,0),IF(GH172="future",HA172,0),IF(HC172="future",HV172,0),IF(HX172="future",IQ172,0),IF(IS172="future",JL172,0))</f>
        <v>0.005134055904164159</v>
      </c>
      <c r="BG172" s="7">
        <f>SUM(IF(BL172="cash",CE172,0),IF(CG172="cash",CZ172,0),IF(DB172="cash",DU172,0),IF(DW172="cash",EP172,0),IF(ER172="cash",FK172,0),IF(FM172="cash",GF172,0),IF(GH172="cash",HA172,0),IF(HC172="cash",HV172,0),IF(HX172="cash",IQ172,0),IF(IS172="cash",JL172,0))</f>
        <v>0</v>
      </c>
      <c r="BH172" s="7">
        <f>SUM(BD172:BG172)</f>
        <v>0.0053283024795066245</v>
      </c>
      <c r="BI172" s="7">
        <f>G172-BH172</f>
        <v>0</v>
      </c>
      <c r="BJ172" s="9">
        <f>COUNTA(BK172,CF172,DA172,DV172,EQ172,FL172,GG172,HB172,HW172,IR172)</f>
        <v>4</v>
      </c>
      <c r="BK172" t="inlineStr">
        <is>
          <t xml:space="preserve">Treasury collateral</t>
        </is>
      </c>
      <c r="BL172" t="inlineStr">
        <is>
          <t xml:space="preserve">treasury</t>
        </is>
      </c>
      <c r="BM172" t="inlineStr">
        <is>
          <t xml:space="preserve">lease</t>
        </is>
      </c>
      <c r="BN172" t="inlineStr">
        <is>
          <t xml:space="preserve">long</t>
        </is>
      </c>
      <c r="BO172"/>
      <c r="BP172" s="4">
        <v>104.50571722335428</v>
      </c>
      <c r="BQ172" s="4">
        <v>104.52601710102863</v>
      </c>
      <c r="BR172" s="4">
        <v>0.01604249575868353</v>
      </c>
      <c r="BS172" s="6">
        <v>1</v>
      </c>
      <c r="BT172" s="4">
        <v>1.6765325253138414</v>
      </c>
      <c r="BU172" s="4">
        <v>1.6765325253138414</v>
      </c>
      <c r="BV172" s="4">
        <v>1.6768581860153338</v>
      </c>
      <c r="BW172" s="4">
        <v>0.0003256607014924695</v>
      </c>
      <c r="BX172" s="4">
        <v>-1.5542038142579706e-16</v>
      </c>
      <c r="BY172" s="4">
        <v>1.769</v>
      </c>
      <c r="BZ172" s="4">
        <v>1.804</v>
      </c>
      <c r="CA172" s="6"/>
      <c r="CB172" s="6"/>
      <c r="CC172" s="6"/>
      <c r="CD172" s="9">
        <v>15</v>
      </c>
      <c r="CE172" s="7">
        <f>IFERROR(BW172/F172,0)</f>
        <v>0.00019424657534246578</v>
      </c>
      <c r="CF172" t="inlineStr">
        <is>
          <t xml:space="preserve">SI69U</t>
        </is>
      </c>
      <c r="CG172" t="inlineStr">
        <is>
          <t xml:space="preserve">future</t>
        </is>
      </c>
      <c r="CH172" t="inlineStr">
        <is>
          <t xml:space="preserve">lease</t>
        </is>
      </c>
      <c r="CI172" t="inlineStr">
        <is>
          <t xml:space="preserve">long</t>
        </is>
      </c>
      <c r="CJ172" t="inlineStr">
        <is>
          <t xml:space="preserve">regular</t>
        </is>
      </c>
      <c r="CK172" s="4">
        <v>1.7530000000000001</v>
      </c>
      <c r="CL172" s="4">
        <v>1.7619999999999998</v>
      </c>
      <c r="CM172" s="4">
        <v>0.9563790789012215</v>
      </c>
      <c r="CN172" s="6">
        <v>1</v>
      </c>
      <c r="CO172" s="4">
        <v>1.6765325253138414</v>
      </c>
      <c r="CP172" s="4">
        <v>0</v>
      </c>
      <c r="CQ172" s="4">
        <v>0</v>
      </c>
      <c r="CR172" s="4">
        <v>0.008607411710110775</v>
      </c>
      <c r="CS172" s="4">
        <v>-0.008607411710110775</v>
      </c>
      <c r="CT172" s="4">
        <v>1.769</v>
      </c>
      <c r="CU172" s="4">
        <v>1.804</v>
      </c>
      <c r="CV172" s="6">
        <v>-0.009044657998869332</v>
      </c>
      <c r="CW172" s="6">
        <v>0.0709</v>
      </c>
      <c r="CX172" s="6">
        <v>0.2909866779724871</v>
      </c>
      <c r="CY172" s="9">
        <v>15</v>
      </c>
      <c r="CZ172" s="7">
        <f>IFERROR(CR172/F172,0)</f>
        <v>0.005134055904164159</v>
      </c>
      <c r="DA172" t="inlineStr">
        <is>
          <t xml:space="preserve">Lease cash / margin / financing</t>
        </is>
      </c>
      <c r="DB172" t="inlineStr">
        <is>
          <t xml:space="preserve">cash</t>
        </is>
      </c>
      <c r="DC172" t="inlineStr">
        <is>
          <t xml:space="preserve">lease</t>
        </is>
      </c>
      <c r="DD172" t="inlineStr">
        <is>
          <t xml:space="preserve">cash</t>
        </is>
      </c>
      <c r="DE172"/>
      <c r="DF172" s="4">
        <v>1</v>
      </c>
      <c r="DG172" s="4">
        <v>1</v>
      </c>
      <c r="DH172" s="4">
        <v>6.661338147750939e-16</v>
      </c>
      <c r="DI172" s="6"/>
      <c r="DJ172" s="4">
        <v>6.661338147750939e-16</v>
      </c>
      <c r="DK172" s="4">
        <v>6.661338147750939e-16</v>
      </c>
      <c r="DL172" s="4">
        <v>0.008607411710111597</v>
      </c>
      <c r="DM172" s="4">
        <v>0</v>
      </c>
      <c r="DN172" s="4">
        <v>0.00860741171011093</v>
      </c>
      <c r="DO172" s="4">
        <v>1.769</v>
      </c>
      <c r="DP172" s="4">
        <v>1.804</v>
      </c>
      <c r="DQ172" s="6"/>
      <c r="DR172" s="6"/>
      <c r="DS172" s="6"/>
      <c r="DT172" s="9"/>
      <c r="DU172" s="7">
        <f>IFERROR(DM172/F172,0)</f>
        <v>0</v>
      </c>
      <c r="DV172" t="inlineStr">
        <is>
          <t xml:space="preserve">Keep cash / margin / financing</t>
        </is>
      </c>
      <c r="DW172" t="inlineStr">
        <is>
          <t xml:space="preserve">cash</t>
        </is>
      </c>
      <c r="DX172" t="inlineStr">
        <is>
          <t xml:space="preserve">keep</t>
        </is>
      </c>
      <c r="DY172" t="inlineStr">
        <is>
          <t xml:space="preserve">cash</t>
        </is>
      </c>
      <c r="DZ172"/>
      <c r="EA172" s="4">
        <v>1</v>
      </c>
      <c r="EB172" s="4">
        <v>1</v>
      </c>
      <c r="EC172" s="4">
        <v>0</v>
      </c>
      <c r="ED172" s="6"/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1.769</v>
      </c>
      <c r="EK172" s="4">
        <v>1.804</v>
      </c>
      <c r="EL172" s="6"/>
      <c r="EM172" s="6"/>
      <c r="EN172" s="6"/>
      <c r="EO172" s="9"/>
      <c r="EP172" s="7">
        <f>IFERROR(EH172/F172,0)</f>
        <v>0</v>
      </c>
      <c r="EQ172"/>
      <c r="ER172"/>
      <c r="ES172"/>
      <c r="ET172"/>
      <c r="EU172"/>
      <c r="EV172" s="4"/>
      <c r="EW172" s="4"/>
      <c r="EX172" s="4"/>
      <c r="EY172" s="6"/>
      <c r="EZ172" s="4"/>
      <c r="FA172" s="4"/>
      <c r="FB172" s="4"/>
      <c r="FC172" s="4"/>
      <c r="FD172" s="4"/>
      <c r="FE172" s="4"/>
      <c r="FF172" s="4"/>
      <c r="FG172" s="6"/>
      <c r="FH172" s="6"/>
      <c r="FI172" s="6"/>
      <c r="FJ172" s="9"/>
      <c r="FK172"/>
      <c r="FL172"/>
      <c r="FM172"/>
      <c r="FN172"/>
      <c r="FO172"/>
      <c r="FP172"/>
      <c r="FQ172" s="4"/>
      <c r="FR172" s="4"/>
      <c r="FS172" s="4"/>
      <c r="FT172" s="6"/>
      <c r="FU172" s="4"/>
      <c r="FV172" s="4"/>
      <c r="FW172" s="4"/>
      <c r="FX172" s="4"/>
      <c r="FY172" s="4"/>
      <c r="FZ172" s="4"/>
      <c r="GA172" s="4"/>
      <c r="GB172" s="6"/>
      <c r="GC172" s="6"/>
      <c r="GD172" s="6"/>
      <c r="GE172" s="9"/>
      <c r="GF172"/>
      <c r="GG172"/>
      <c r="GH172"/>
      <c r="GI172"/>
      <c r="GJ172"/>
      <c r="GK172"/>
      <c r="GL172" s="4"/>
      <c r="GM172" s="4"/>
      <c r="GN172" s="4"/>
      <c r="GO172" s="6"/>
      <c r="GP172" s="4"/>
      <c r="GQ172" s="4"/>
      <c r="GR172" s="4"/>
      <c r="GS172" s="4"/>
      <c r="GT172" s="4"/>
      <c r="GU172" s="4"/>
      <c r="GV172" s="4"/>
      <c r="GW172" s="6"/>
      <c r="GX172" s="6"/>
      <c r="GY172" s="6"/>
      <c r="GZ172" s="9"/>
      <c r="HA172"/>
      <c r="HB172"/>
      <c r="HC172"/>
      <c r="HD172"/>
      <c r="HE172"/>
      <c r="HF172"/>
      <c r="HG172" s="4"/>
      <c r="HH172" s="4"/>
      <c r="HI172" s="4"/>
      <c r="HJ172" s="6"/>
      <c r="HK172" s="4"/>
      <c r="HL172" s="4"/>
      <c r="HM172" s="4"/>
      <c r="HN172" s="4"/>
      <c r="HO172" s="4"/>
      <c r="HP172" s="4"/>
      <c r="HQ172" s="4"/>
      <c r="HR172" s="6"/>
      <c r="HS172" s="6"/>
      <c r="HT172" s="6"/>
      <c r="HU172" s="9"/>
      <c r="HV172"/>
      <c r="HW172"/>
      <c r="HX172"/>
      <c r="HY172"/>
      <c r="HZ172"/>
      <c r="IA172"/>
      <c r="IB172" s="4"/>
      <c r="IC172" s="4"/>
      <c r="ID172" s="4"/>
      <c r="IE172" s="6"/>
      <c r="IF172" s="4"/>
      <c r="IG172" s="4"/>
      <c r="IH172" s="4"/>
      <c r="II172" s="4"/>
      <c r="IJ172" s="4"/>
      <c r="IK172" s="4"/>
      <c r="IL172" s="4"/>
      <c r="IM172" s="6"/>
      <c r="IN172" s="6"/>
      <c r="IO172" s="6"/>
      <c r="IP172" s="9"/>
      <c r="IQ172"/>
      <c r="IR172"/>
      <c r="IS172"/>
      <c r="IT172"/>
      <c r="IU172"/>
      <c r="IV172"/>
      <c r="IW172" s="4"/>
      <c r="IX172" s="4"/>
      <c r="IY172" s="4"/>
      <c r="IZ172" s="6"/>
      <c r="JA172" s="4"/>
      <c r="JB172" s="4"/>
      <c r="JC172" s="4"/>
      <c r="JD172" s="4"/>
      <c r="JE172" s="4"/>
      <c r="JF172" s="4"/>
      <c r="JG172" s="4"/>
      <c r="JH172" s="6"/>
      <c r="JI172" s="6"/>
      <c r="JJ172" s="6"/>
      <c r="JK172" s="9"/>
      <c r="JL172"/>
    </row>
    <row r="173">
      <c r="A173" s="8">
        <v>25458</v>
      </c>
      <c r="B173" s="8">
        <v>25461</v>
      </c>
      <c r="C173" s="9">
        <f>B173-A173</f>
        <v>3</v>
      </c>
      <c r="D173" s="8">
        <v>25458</v>
      </c>
      <c r="E173" t="inlineStr">
        <is>
          <t xml:space="preserve">positive</t>
        </is>
      </c>
      <c r="F173" s="4">
        <v>1.6854655977254445</v>
      </c>
      <c r="G173" s="6">
        <v>-0.009064565484427512</v>
      </c>
      <c r="H173" s="7">
        <f>SUM(CE173,CZ173,DU173,EP173,FK173,GF173,HA173,HV173,IQ173,JL173)</f>
        <v>-0.009064565484427512</v>
      </c>
      <c r="I173" s="7">
        <f>G173-H173</f>
        <v>0</v>
      </c>
      <c r="J173" s="5">
        <f>F173*(1+H173)</f>
        <v>1.6701875844431124</v>
      </c>
      <c r="K173" s="4">
        <v>1.6701875844431124</v>
      </c>
      <c r="L173" s="5">
        <f>K173-J173</f>
        <v>0</v>
      </c>
      <c r="M173" s="4">
        <v>1.804</v>
      </c>
      <c r="N173" s="4">
        <v>1.781</v>
      </c>
      <c r="O173" s="5">
        <f>M173/$M$3</f>
        <v>0.9213483146067416</v>
      </c>
      <c r="P173" s="5">
        <f>N173/$M$3</f>
        <v>0.9096016343207354</v>
      </c>
      <c r="Q173" s="7">
        <f>IFERROR(N173/M173-1,0)</f>
        <v>-0.012749445676275006</v>
      </c>
      <c r="R173" s="5">
        <f>SUM(IF(BM173="lease",BU173,0),IF(CH173="lease",CP173,0),IF(DC173="lease",DK173,0),IF(DX173="lease",EF173,0),IF(ES173="lease",FA173,0),IF(FN173="lease",FV173,0),IF(GI173="lease",GQ173,0),IF(HD173="lease",HL173,0),IF(HY173="lease",IG173,0),IF(IT173="lease",JB173,0))</f>
        <v>1.6854655977254454</v>
      </c>
      <c r="S173" s="5">
        <f>SUM(IF(BM173="lease",BV173,0),IF(CH173="lease",CQ173,0),IF(DC173="lease",DL173,0),IF(DX173="lease",EG173,0),IF(ES173="lease",FB173,0),IF(FN173="lease",FW173,0),IF(GI173="lease",GR173,0),IF(HD173="lease",HM173,0),IF(HY173="lease",IH173,0),IF(IT173="lease",JC173,0))</f>
        <v>1.6701875844431133</v>
      </c>
      <c r="T173" s="5">
        <f>SUM(IF(BM173="keep",BU173,0),IF(CH173="keep",CP173,0),IF(DC173="keep",DK173,0),IF(DX173="keep",EF173,0),IF(ES173="keep",FA173,0),IF(FN173="keep",FV173,0),IF(GI173="keep",GQ173,0),IF(HD173="keep",HL173,0),IF(HY173="keep",IG173,0),IF(IT173="keep",JB173,0))</f>
        <v>0</v>
      </c>
      <c r="U173" s="5">
        <f>SUM(IF(BM173="keep",BV173,0),IF(CH173="keep",CQ173,0),IF(DC173="keep",DL173,0),IF(DX173="keep",EG173,0),IF(ES173="keep",FB173,0),IF(FN173="keep",FW173,0),IF(GI173="keep",GR173,0),IF(HD173="keep",HM173,0),IF(HY173="keep",IH173,0),IF(IT173="keep",JC173,0))</f>
        <v>0</v>
      </c>
      <c r="V173" s="5">
        <f>R173/O173</f>
        <v>1.8293468072873735</v>
      </c>
      <c r="W173" s="5">
        <f>S173/P173</f>
        <v>1.8361747840199978</v>
      </c>
      <c r="X173" s="5">
        <f>T173/O173</f>
        <v>0</v>
      </c>
      <c r="Y173" s="5">
        <f>U173/P173</f>
        <v>0</v>
      </c>
      <c r="Z173" s="5">
        <f>V173+X173</f>
        <v>1.8293468072873735</v>
      </c>
      <c r="AA173" s="7">
        <f>IFERROR(W173/V173-1,0)</f>
        <v>0.003732467078098267</v>
      </c>
      <c r="AB173" s="7">
        <f>IFERROR((W173-V173)/Z173,0)</f>
        <v>0.003732467078098243</v>
      </c>
      <c r="AC173" s="7">
        <f>IFERROR(Y173/X173-1,0)</f>
        <v>0</v>
      </c>
      <c r="AD173" s="7">
        <f>IFERROR((Y173-X173)/Z173,0)</f>
        <v>0</v>
      </c>
      <c r="AE173" s="7">
        <f>AB173+AD173</f>
        <v>0.003732467078098243</v>
      </c>
      <c r="AF173" s="7">
        <f>(1+Q173)*(1+AE173)-1</f>
        <v>-0.009064565484427467</v>
      </c>
      <c r="AG173" s="7">
        <f>G173-AF173</f>
        <v>-4.5102810375396984e-17</v>
      </c>
      <c r="AH173" s="5">
        <f>SUM(IF(BM173="lease",BW173,0),IF(CH173="lease",CR173,0),IF(DC173="lease",DM173,0),IF(DX173="lease",EH173,0),IF(ES173="lease",FC173,0),IF(FN173="lease",FX173,0),IF(GI173="lease",GS173,0),IF(HD173="lease",HN173,0),IF(HY173="lease",II173,0),IF(IT173="lease",JD173,0))</f>
        <v>-0.01527801328233205</v>
      </c>
      <c r="AI173" s="5">
        <f>SUM(IF(BM173="keep",BW173,0),IF(CH173="keep",CR173,0),IF(DC173="keep",DM173,0),IF(DX173="keep",EH173,0),IF(ES173="keep",FC173,0),IF(FN173="keep",FX173,0),IF(GI173="keep",GS173,0),IF(HD173="keep",HN173,0),IF(HY173="keep",II173,0),IF(IT173="keep",JD173,0))</f>
        <v>0</v>
      </c>
      <c r="AJ173" s="5">
        <f>SUM(IF(BM173="lease",BX173,0),IF(CH173="lease",CS173,0),IF(DC173="lease",DN173,0),IF(DX173="lease",EI173,0),IF(ES173="lease",FD173,0),IF(FN173="lease",FY173,0),IF(GI173="lease",GT173,0),IF(HD173="lease",HO173,0),IF(HY173="lease",IJ173,0),IF(IT173="lease",JE173,0))</f>
        <v>0</v>
      </c>
      <c r="AK173" s="5">
        <f>SUM(IF(BM173="keep",BX173,0),IF(CH173="keep",CS173,0),IF(DC173="keep",DN173,0),IF(DX173="keep",EI173,0),IF(ES173="keep",FD173,0),IF(FN173="keep",FY173,0),IF(GI173="keep",GT173,0),IF(HD173="keep",HO173,0),IF(HY173="keep",IJ173,0),IF(IT173="keep",JE173,0))</f>
        <v>0</v>
      </c>
      <c r="AL173" s="5">
        <f>R173-S172</f>
        <v>0</v>
      </c>
      <c r="AM173" s="5">
        <f>T173-U172</f>
        <v>0</v>
      </c>
      <c r="AN173" s="5">
        <f>AN172</f>
        <v>1</v>
      </c>
      <c r="AO173" s="5">
        <f>AO172+AH173</f>
        <v>0.6701875844431135</v>
      </c>
      <c r="AP173" s="5">
        <f>AP172+AL173</f>
        <v>-4.440892098500626e-16</v>
      </c>
      <c r="AQ173" s="5">
        <f>AN173+AO173+AP173</f>
        <v>1.670187584443113</v>
      </c>
      <c r="AR173" s="5">
        <f>S173-AQ173</f>
        <v>2.220446049250313e-16</v>
      </c>
      <c r="AS173" s="5">
        <f>AS172</f>
        <v>0</v>
      </c>
      <c r="AT173" s="5">
        <f>AT172+AI173</f>
        <v>0</v>
      </c>
      <c r="AU173" s="5">
        <f>AU172+AM173</f>
        <v>0</v>
      </c>
      <c r="AV173" s="5">
        <f>AS173+AT173+AU173</f>
        <v>0</v>
      </c>
      <c r="AW173" s="5">
        <f>U173-AV173</f>
        <v>0</v>
      </c>
      <c r="AX173" s="4">
        <v>1.6854655977254454</v>
      </c>
      <c r="AY173" s="4">
        <v>1.6701875844431133</v>
      </c>
      <c r="AZ173" s="5">
        <f>S173-AY173</f>
        <v>0</v>
      </c>
      <c r="BA173" s="4">
        <v>0</v>
      </c>
      <c r="BB173" s="4">
        <v>0</v>
      </c>
      <c r="BC173" s="5">
        <f>U173-BB173</f>
        <v>0</v>
      </c>
      <c r="BD173" s="7">
        <f>SUM(IF(BL173="direct",CE173,0),IF(CG173="direct",CZ173,0),IF(DB173="direct",DU173,0),IF(DW173="direct",EP173,0),IF(ER173="direct",FK173,0),IF(FM173="direct",GF173,0),IF(GH173="direct",HA173,0),IF(HC173="direct",HV173,0),IF(HX173="direct",IQ173,0),IF(IS173="direct",JL173,0))</f>
        <v>0</v>
      </c>
      <c r="BE173" s="7">
        <f>SUM(IF(BL173="treasury",CE173,0),IF(CG173="treasury",CZ173,0),IF(DB173="treasury",DU173,0),IF(DW173="treasury",EP173,0),IF(ER173="treasury",FK173,0),IF(FM173="treasury",GF173,0),IF(GH173="treasury",HA173,0),IF(HC173="treasury",HV173,0),IF(HX173="treasury",IQ173,0),IF(IS173="treasury",JL173,0))</f>
        <v>0.0005835616438356162</v>
      </c>
      <c r="BF173" s="7">
        <f>SUM(IF(BL173="future",CE173,0),IF(CG173="future",CZ173,0),IF(DB173="future",DU173,0),IF(DW173="future",EP173,0),IF(ER173="future",FK173,0),IF(FM173="future",GF173,0),IF(GH173="future",HA173,0),IF(HC173="future",HV173,0),IF(HX173="future",IQ173,0),IF(IS173="future",JL173,0))</f>
        <v>-0.009648127128263129</v>
      </c>
      <c r="BG173" s="7">
        <f>SUM(IF(BL173="cash",CE173,0),IF(CG173="cash",CZ173,0),IF(DB173="cash",DU173,0),IF(DW173="cash",EP173,0),IF(ER173="cash",FK173,0),IF(FM173="cash",GF173,0),IF(GH173="cash",HA173,0),IF(HC173="cash",HV173,0),IF(HX173="cash",IQ173,0),IF(IS173="cash",JL173,0))</f>
        <v>0</v>
      </c>
      <c r="BH173" s="7">
        <f>SUM(BD173:BG173)</f>
        <v>-0.009064565484427512</v>
      </c>
      <c r="BI173" s="7">
        <f>G173-BH173</f>
        <v>0</v>
      </c>
      <c r="BJ173" s="9">
        <f>COUNTA(BK173,CF173,DA173,DV173,EQ173,FL173,GG173,HB173,HW173,IR173)</f>
        <v>4</v>
      </c>
      <c r="BK173" t="inlineStr">
        <is>
          <t xml:space="preserve">Treasury collateral</t>
        </is>
      </c>
      <c r="BL173" t="inlineStr">
        <is>
          <t xml:space="preserve">treasury</t>
        </is>
      </c>
      <c r="BM173" t="inlineStr">
        <is>
          <t xml:space="preserve">lease</t>
        </is>
      </c>
      <c r="BN173" t="inlineStr">
        <is>
          <t xml:space="preserve">long</t>
        </is>
      </c>
      <c r="BO173"/>
      <c r="BP173" s="4">
        <v>104.52601710102863</v>
      </c>
      <c r="BQ173" s="4">
        <v>104.5870144753917</v>
      </c>
      <c r="BR173" s="4">
        <v>0.016124842833113728</v>
      </c>
      <c r="BS173" s="6">
        <v>1</v>
      </c>
      <c r="BT173" s="4">
        <v>1.6854655977254445</v>
      </c>
      <c r="BU173" s="4">
        <v>1.6854655977254445</v>
      </c>
      <c r="BV173" s="4">
        <v>1.6864491708002816</v>
      </c>
      <c r="BW173" s="4">
        <v>0.00098357307483704</v>
      </c>
      <c r="BX173" s="4">
        <v>5.637851296924623e-17</v>
      </c>
      <c r="BY173" s="4">
        <v>1.804</v>
      </c>
      <c r="BZ173" s="4">
        <v>1.781</v>
      </c>
      <c r="CA173" s="6"/>
      <c r="CB173" s="6"/>
      <c r="CC173" s="6"/>
      <c r="CD173" s="9">
        <v>14</v>
      </c>
      <c r="CE173" s="7">
        <f>IFERROR(BW173/F173,0)</f>
        <v>0.0005835616438356162</v>
      </c>
      <c r="CF173" t="inlineStr">
        <is>
          <t xml:space="preserve">SI69U</t>
        </is>
      </c>
      <c r="CG173" t="inlineStr">
        <is>
          <t xml:space="preserve">future</t>
        </is>
      </c>
      <c r="CH173" t="inlineStr">
        <is>
          <t xml:space="preserve">lease</t>
        </is>
      </c>
      <c r="CI173" t="inlineStr">
        <is>
          <t xml:space="preserve">long</t>
        </is>
      </c>
      <c r="CJ173" t="inlineStr">
        <is>
          <t xml:space="preserve">regular</t>
        </is>
      </c>
      <c r="CK173" s="4">
        <v>1.7619999999999998</v>
      </c>
      <c r="CL173" s="4">
        <v>1.745</v>
      </c>
      <c r="CM173" s="4">
        <v>0.9565639033629084</v>
      </c>
      <c r="CN173" s="6">
        <v>1</v>
      </c>
      <c r="CO173" s="4">
        <v>1.6854655977254445</v>
      </c>
      <c r="CP173" s="4">
        <v>0</v>
      </c>
      <c r="CQ173" s="4">
        <v>0</v>
      </c>
      <c r="CR173" s="4">
        <v>-0.01626158635716909</v>
      </c>
      <c r="CS173" s="4">
        <v>0.01626158635716909</v>
      </c>
      <c r="CT173" s="4">
        <v>1.804</v>
      </c>
      <c r="CU173" s="4">
        <v>1.781</v>
      </c>
      <c r="CV173" s="6">
        <v>-0.0232815964523283</v>
      </c>
      <c r="CW173" s="6">
        <v>0.071</v>
      </c>
      <c r="CX173" s="6">
        <v>0.6779844789357021</v>
      </c>
      <c r="CY173" s="9">
        <v>14</v>
      </c>
      <c r="CZ173" s="7">
        <f>IFERROR(CR173/F173,0)</f>
        <v>-0.009648127128263129</v>
      </c>
      <c r="DA173" t="inlineStr">
        <is>
          <t xml:space="preserve">Lease cash / margin / financing</t>
        </is>
      </c>
      <c r="DB173" t="inlineStr">
        <is>
          <t xml:space="preserve">cash</t>
        </is>
      </c>
      <c r="DC173" t="inlineStr">
        <is>
          <t xml:space="preserve">lease</t>
        </is>
      </c>
      <c r="DD173" t="inlineStr">
        <is>
          <t xml:space="preserve">cash</t>
        </is>
      </c>
      <c r="DE173"/>
      <c r="DF173" s="4">
        <v>1</v>
      </c>
      <c r="DG173" s="4">
        <v>1</v>
      </c>
      <c r="DH173" s="4">
        <v>8.881784197001252e-16</v>
      </c>
      <c r="DI173" s="6"/>
      <c r="DJ173" s="4">
        <v>8.881784197001252e-16</v>
      </c>
      <c r="DK173" s="4">
        <v>8.881784197001252e-16</v>
      </c>
      <c r="DL173" s="4">
        <v>-0.016261586357168258</v>
      </c>
      <c r="DM173" s="4">
        <v>0</v>
      </c>
      <c r="DN173" s="4">
        <v>-0.016261586357169146</v>
      </c>
      <c r="DO173" s="4">
        <v>1.804</v>
      </c>
      <c r="DP173" s="4">
        <v>1.781</v>
      </c>
      <c r="DQ173" s="6"/>
      <c r="DR173" s="6"/>
      <c r="DS173" s="6"/>
      <c r="DT173" s="9"/>
      <c r="DU173" s="7">
        <f>IFERROR(DM173/F173,0)</f>
        <v>0</v>
      </c>
      <c r="DV173" t="inlineStr">
        <is>
          <t xml:space="preserve">Keep cash / margin / financing</t>
        </is>
      </c>
      <c r="DW173" t="inlineStr">
        <is>
          <t xml:space="preserve">cash</t>
        </is>
      </c>
      <c r="DX173" t="inlineStr">
        <is>
          <t xml:space="preserve">keep</t>
        </is>
      </c>
      <c r="DY173" t="inlineStr">
        <is>
          <t xml:space="preserve">cash</t>
        </is>
      </c>
      <c r="DZ173"/>
      <c r="EA173" s="4">
        <v>1</v>
      </c>
      <c r="EB173" s="4">
        <v>1</v>
      </c>
      <c r="EC173" s="4">
        <v>0</v>
      </c>
      <c r="ED173" s="6"/>
      <c r="EE173" s="4">
        <v>0</v>
      </c>
      <c r="EF173" s="4">
        <v>0</v>
      </c>
      <c r="EG173" s="4">
        <v>0</v>
      </c>
      <c r="EH173" s="4">
        <v>0</v>
      </c>
      <c r="EI173" s="4">
        <v>0</v>
      </c>
      <c r="EJ173" s="4">
        <v>1.804</v>
      </c>
      <c r="EK173" s="4">
        <v>1.781</v>
      </c>
      <c r="EL173" s="6"/>
      <c r="EM173" s="6"/>
      <c r="EN173" s="6"/>
      <c r="EO173" s="9"/>
      <c r="EP173" s="7">
        <f>IFERROR(EH173/F173,0)</f>
        <v>0</v>
      </c>
      <c r="EQ173"/>
      <c r="ER173"/>
      <c r="ES173"/>
      <c r="ET173"/>
      <c r="EU173"/>
      <c r="EV173" s="4"/>
      <c r="EW173" s="4"/>
      <c r="EX173" s="4"/>
      <c r="EY173" s="6"/>
      <c r="EZ173" s="4"/>
      <c r="FA173" s="4"/>
      <c r="FB173" s="4"/>
      <c r="FC173" s="4"/>
      <c r="FD173" s="4"/>
      <c r="FE173" s="4"/>
      <c r="FF173" s="4"/>
      <c r="FG173" s="6"/>
      <c r="FH173" s="6"/>
      <c r="FI173" s="6"/>
      <c r="FJ173" s="9"/>
      <c r="FK173"/>
      <c r="FL173"/>
      <c r="FM173"/>
      <c r="FN173"/>
      <c r="FO173"/>
      <c r="FP173"/>
      <c r="FQ173" s="4"/>
      <c r="FR173" s="4"/>
      <c r="FS173" s="4"/>
      <c r="FT173" s="6"/>
      <c r="FU173" s="4"/>
      <c r="FV173" s="4"/>
      <c r="FW173" s="4"/>
      <c r="FX173" s="4"/>
      <c r="FY173" s="4"/>
      <c r="FZ173" s="4"/>
      <c r="GA173" s="4"/>
      <c r="GB173" s="6"/>
      <c r="GC173" s="6"/>
      <c r="GD173" s="6"/>
      <c r="GE173" s="9"/>
      <c r="GF173"/>
      <c r="GG173"/>
      <c r="GH173"/>
      <c r="GI173"/>
      <c r="GJ173"/>
      <c r="GK173"/>
      <c r="GL173" s="4"/>
      <c r="GM173" s="4"/>
      <c r="GN173" s="4"/>
      <c r="GO173" s="6"/>
      <c r="GP173" s="4"/>
      <c r="GQ173" s="4"/>
      <c r="GR173" s="4"/>
      <c r="GS173" s="4"/>
      <c r="GT173" s="4"/>
      <c r="GU173" s="4"/>
      <c r="GV173" s="4"/>
      <c r="GW173" s="6"/>
      <c r="GX173" s="6"/>
      <c r="GY173" s="6"/>
      <c r="GZ173" s="9"/>
      <c r="HA173"/>
      <c r="HB173"/>
      <c r="HC173"/>
      <c r="HD173"/>
      <c r="HE173"/>
      <c r="HF173"/>
      <c r="HG173" s="4"/>
      <c r="HH173" s="4"/>
      <c r="HI173" s="4"/>
      <c r="HJ173" s="6"/>
      <c r="HK173" s="4"/>
      <c r="HL173" s="4"/>
      <c r="HM173" s="4"/>
      <c r="HN173" s="4"/>
      <c r="HO173" s="4"/>
      <c r="HP173" s="4"/>
      <c r="HQ173" s="4"/>
      <c r="HR173" s="6"/>
      <c r="HS173" s="6"/>
      <c r="HT173" s="6"/>
      <c r="HU173" s="9"/>
      <c r="HV173"/>
      <c r="HW173"/>
      <c r="HX173"/>
      <c r="HY173"/>
      <c r="HZ173"/>
      <c r="IA173"/>
      <c r="IB173" s="4"/>
      <c r="IC173" s="4"/>
      <c r="ID173" s="4"/>
      <c r="IE173" s="6"/>
      <c r="IF173" s="4"/>
      <c r="IG173" s="4"/>
      <c r="IH173" s="4"/>
      <c r="II173" s="4"/>
      <c r="IJ173" s="4"/>
      <c r="IK173" s="4"/>
      <c r="IL173" s="4"/>
      <c r="IM173" s="6"/>
      <c r="IN173" s="6"/>
      <c r="IO173" s="6"/>
      <c r="IP173" s="9"/>
      <c r="IQ173"/>
      <c r="IR173"/>
      <c r="IS173"/>
      <c r="IT173"/>
      <c r="IU173"/>
      <c r="IV173"/>
      <c r="IW173" s="4"/>
      <c r="IX173" s="4"/>
      <c r="IY173" s="4"/>
      <c r="IZ173" s="6"/>
      <c r="JA173" s="4"/>
      <c r="JB173" s="4"/>
      <c r="JC173" s="4"/>
      <c r="JD173" s="4"/>
      <c r="JE173" s="4"/>
      <c r="JF173" s="4"/>
      <c r="JG173" s="4"/>
      <c r="JH173" s="6"/>
      <c r="JI173" s="6"/>
      <c r="JJ173" s="6"/>
      <c r="JK173" s="9"/>
      <c r="JL173"/>
    </row>
    <row r="174">
      <c r="A174" s="8">
        <v>25461</v>
      </c>
      <c r="B174" s="8">
        <v>25462</v>
      </c>
      <c r="C174" s="9">
        <f>B174-A174</f>
        <v>1</v>
      </c>
      <c r="D174" s="8">
        <v>25461</v>
      </c>
      <c r="E174" t="inlineStr">
        <is>
          <t xml:space="preserve">positive</t>
        </is>
      </c>
      <c r="F174" s="4">
        <v>1.6701875844431124</v>
      </c>
      <c r="G174" s="6">
        <v>0.02082489304078171</v>
      </c>
      <c r="H174" s="7">
        <f>SUM(CE174,CZ174,DU174,EP174,FK174,GF174,HA174,HV174,IQ174,JL174)</f>
        <v>0.02082489304078171</v>
      </c>
      <c r="I174" s="7">
        <f>G174-H174</f>
        <v>0</v>
      </c>
      <c r="J174" s="5">
        <f>F174*(1+H174)</f>
        <v>1.7049690622471818</v>
      </c>
      <c r="K174" s="4">
        <v>1.7049690622471818</v>
      </c>
      <c r="L174" s="5">
        <f>K174-J174</f>
        <v>0</v>
      </c>
      <c r="M174" s="4">
        <v>1.781</v>
      </c>
      <c r="N174" s="4">
        <v>1.768</v>
      </c>
      <c r="O174" s="5">
        <f>M174/$M$3</f>
        <v>0.9096016343207354</v>
      </c>
      <c r="P174" s="5">
        <f>N174/$M$3</f>
        <v>0.9029622063329928</v>
      </c>
      <c r="Q174" s="7">
        <f>IFERROR(N174/M174-1,0)</f>
        <v>-0.007299270072992692</v>
      </c>
      <c r="R174" s="5">
        <f>SUM(IF(BM174="lease",BU174,0),IF(CH174="lease",CP174,0),IF(DC174="lease",DK174,0),IF(DX174="lease",EF174,0),IF(ES174="lease",FA174,0),IF(FN174="lease",FV174,0),IF(GI174="lease",GQ174,0),IF(HD174="lease",HL174,0),IF(HY174="lease",IG174,0),IF(IT174="lease",JB174,0))</f>
        <v>1.6701875844431133</v>
      </c>
      <c r="S174" s="5">
        <f>SUM(IF(BM174="lease",BV174,0),IF(CH174="lease",CQ174,0),IF(DC174="lease",DL174,0),IF(DX174="lease",EG174,0),IF(ES174="lease",FB174,0),IF(FN174="lease",FW174,0),IF(GI174="lease",GR174,0),IF(HD174="lease",HM174,0),IF(HY174="lease",IH174,0),IF(IT174="lease",JC174,0))</f>
        <v>1.7049690622471827</v>
      </c>
      <c r="T174" s="5">
        <f>SUM(IF(BM174="keep",BU174,0),IF(CH174="keep",CP174,0),IF(DC174="keep",DK174,0),IF(DX174="keep",EF174,0),IF(ES174="keep",FA174,0),IF(FN174="keep",FV174,0),IF(GI174="keep",GQ174,0),IF(HD174="keep",HL174,0),IF(HY174="keep",IG174,0),IF(IT174="keep",JB174,0))</f>
        <v>0</v>
      </c>
      <c r="U174" s="5">
        <f>SUM(IF(BM174="keep",BV174,0),IF(CH174="keep",CQ174,0),IF(DC174="keep",DL174,0),IF(DX174="keep",EG174,0),IF(ES174="keep",FB174,0),IF(FN174="keep",FW174,0),IF(GI174="keep",GR174,0),IF(HD174="keep",HM174,0),IF(HY174="keep",IH174,0),IF(IT174="keep",JC174,0))</f>
        <v>0</v>
      </c>
      <c r="V174" s="5">
        <f>R174/O174</f>
        <v>1.8361747840199978</v>
      </c>
      <c r="W174" s="5">
        <f>S174/P174</f>
        <v>1.8881953754977283</v>
      </c>
      <c r="X174" s="5">
        <f>T174/O174</f>
        <v>0</v>
      </c>
      <c r="Y174" s="5">
        <f>U174/P174</f>
        <v>0</v>
      </c>
      <c r="Z174" s="5">
        <f>V174+X174</f>
        <v>1.8361747840199978</v>
      </c>
      <c r="AA174" s="7">
        <f>IFERROR(W174/V174-1,0)</f>
        <v>0.028330958430787367</v>
      </c>
      <c r="AB174" s="7">
        <f>IFERROR((W174-V174)/Z174,0)</f>
        <v>0.028330958430787367</v>
      </c>
      <c r="AC174" s="7">
        <f>IFERROR(Y174/X174-1,0)</f>
        <v>0</v>
      </c>
      <c r="AD174" s="7">
        <f>IFERROR((Y174-X174)/Z174,0)</f>
        <v>0</v>
      </c>
      <c r="AE174" s="7">
        <f>AB174+AD174</f>
        <v>0.028330958430787367</v>
      </c>
      <c r="AF174" s="7">
        <f>(1+Q174)*(1+AE174)-1</f>
        <v>0.020824893040781722</v>
      </c>
      <c r="AG174" s="7">
        <f>G174-AF174</f>
        <v>-1.3877787807814457e-17</v>
      </c>
      <c r="AH174" s="5">
        <f>SUM(IF(BM174="lease",BW174,0),IF(CH174="lease",CR174,0),IF(DC174="lease",DM174,0),IF(DX174="lease",EH174,0),IF(ES174="lease",FC174,0),IF(FN174="lease",FX174,0),IF(GI174="lease",GS174,0),IF(HD174="lease",HN174,0),IF(HY174="lease",II174,0),IF(IT174="lease",JD174,0))</f>
        <v>0.034781477804069386</v>
      </c>
      <c r="AI174" s="5">
        <f>SUM(IF(BM174="keep",BW174,0),IF(CH174="keep",CR174,0),IF(DC174="keep",DM174,0),IF(DX174="keep",EH174,0),IF(ES174="keep",FC174,0),IF(FN174="keep",FX174,0),IF(GI174="keep",GS174,0),IF(HD174="keep",HN174,0),IF(HY174="keep",II174,0),IF(IT174="keep",JD174,0))</f>
        <v>0</v>
      </c>
      <c r="AJ174" s="5">
        <f>SUM(IF(BM174="lease",BX174,0),IF(CH174="lease",CS174,0),IF(DC174="lease",DN174,0),IF(DX174="lease",EI174,0),IF(ES174="lease",FD174,0),IF(FN174="lease",FY174,0),IF(GI174="lease",GT174,0),IF(HD174="lease",HO174,0),IF(HY174="lease",IJ174,0),IF(IT174="lease",JE174,0))</f>
        <v>0</v>
      </c>
      <c r="AK174" s="5">
        <f>SUM(IF(BM174="keep",BX174,0),IF(CH174="keep",CS174,0),IF(DC174="keep",DN174,0),IF(DX174="keep",EI174,0),IF(ES174="keep",FD174,0),IF(FN174="keep",FY174,0),IF(GI174="keep",GT174,0),IF(HD174="keep",HO174,0),IF(HY174="keep",IJ174,0),IF(IT174="keep",JE174,0))</f>
        <v>0</v>
      </c>
      <c r="AL174" s="5">
        <f>R174-S173</f>
        <v>0</v>
      </c>
      <c r="AM174" s="5">
        <f>T174-U173</f>
        <v>0</v>
      </c>
      <c r="AN174" s="5">
        <f>AN173</f>
        <v>1</v>
      </c>
      <c r="AO174" s="5">
        <f>AO173+AH174</f>
        <v>0.7049690622471829</v>
      </c>
      <c r="AP174" s="5">
        <f>AP173+AL174</f>
        <v>-4.440892098500626e-16</v>
      </c>
      <c r="AQ174" s="5">
        <f>AN174+AO174+AP174</f>
        <v>1.7049690622471825</v>
      </c>
      <c r="AR174" s="5">
        <f>S174-AQ174</f>
        <v>2.220446049250313e-16</v>
      </c>
      <c r="AS174" s="5">
        <f>AS173</f>
        <v>0</v>
      </c>
      <c r="AT174" s="5">
        <f>AT173+AI174</f>
        <v>0</v>
      </c>
      <c r="AU174" s="5">
        <f>AU173+AM174</f>
        <v>0</v>
      </c>
      <c r="AV174" s="5">
        <f>AS174+AT174+AU174</f>
        <v>0</v>
      </c>
      <c r="AW174" s="5">
        <f>U174-AV174</f>
        <v>0</v>
      </c>
      <c r="AX174" s="4">
        <v>1.6701875844431133</v>
      </c>
      <c r="AY174" s="4">
        <v>1.7049690622471827</v>
      </c>
      <c r="AZ174" s="5">
        <f>S174-AY174</f>
        <v>0</v>
      </c>
      <c r="BA174" s="4">
        <v>0</v>
      </c>
      <c r="BB174" s="4">
        <v>0</v>
      </c>
      <c r="BC174" s="5">
        <f>U174-BB174</f>
        <v>0</v>
      </c>
      <c r="BD174" s="7">
        <f>SUM(IF(BL174="direct",CE174,0),IF(CG174="direct",CZ174,0),IF(DB174="direct",DU174,0),IF(DW174="direct",EP174,0),IF(ER174="direct",FK174,0),IF(FM174="direct",GF174,0),IF(GH174="direct",HA174,0),IF(HC174="direct",HV174,0),IF(HX174="direct",IQ174,0),IF(IS174="direct",JL174,0))</f>
        <v>0</v>
      </c>
      <c r="BE174" s="7">
        <f>SUM(IF(BL174="treasury",CE174,0),IF(CG174="treasury",CZ174,0),IF(DB174="treasury",DU174,0),IF(DW174="treasury",EP174,0),IF(ER174="treasury",FK174,0),IF(FM174="treasury",GF174,0),IF(GH174="treasury",HA174,0),IF(HC174="treasury",HV174,0),IF(HX174="treasury",IQ174,0),IF(IS174="treasury",JL174,0))</f>
        <v>0.00019452054794520546</v>
      </c>
      <c r="BF174" s="7">
        <f>SUM(IF(BL174="future",CE174,0),IF(CG174="future",CZ174,0),IF(DB174="future",DU174,0),IF(DW174="future",EP174,0),IF(ER174="future",FK174,0),IF(FM174="future",GF174,0),IF(GH174="future",HA174,0),IF(HC174="future",HV174,0),IF(HX174="future",IQ174,0),IF(IS174="future",JL174,0))</f>
        <v>0.020630372492836502</v>
      </c>
      <c r="BG174" s="7">
        <f>SUM(IF(BL174="cash",CE174,0),IF(CG174="cash",CZ174,0),IF(DB174="cash",DU174,0),IF(DW174="cash",EP174,0),IF(ER174="cash",FK174,0),IF(FM174="cash",GF174,0),IF(GH174="cash",HA174,0),IF(HC174="cash",HV174,0),IF(HX174="cash",IQ174,0),IF(IS174="cash",JL174,0))</f>
        <v>0</v>
      </c>
      <c r="BH174" s="7">
        <f>SUM(BD174:BG174)</f>
        <v>0.02082489304078171</v>
      </c>
      <c r="BI174" s="7">
        <f>G174-BH174</f>
        <v>0</v>
      </c>
      <c r="BJ174" s="9">
        <f>COUNTA(BK174,CF174,DA174,DV174,EQ174,FL174,GG174,HB174,HW174,IR174)</f>
        <v>4</v>
      </c>
      <c r="BK174" t="inlineStr">
        <is>
          <t xml:space="preserve">Treasury collateral</t>
        </is>
      </c>
      <c r="BL174" t="inlineStr">
        <is>
          <t xml:space="preserve">treasury</t>
        </is>
      </c>
      <c r="BM174" t="inlineStr">
        <is>
          <t xml:space="preserve">lease</t>
        </is>
      </c>
      <c r="BN174" t="inlineStr">
        <is>
          <t xml:space="preserve">long</t>
        </is>
      </c>
      <c r="BO174"/>
      <c r="BP174" s="4">
        <v>104.5870144753917</v>
      </c>
      <c r="BQ174" s="4">
        <v>104.6073587987554</v>
      </c>
      <c r="BR174" s="4">
        <v>0.015969359033918034</v>
      </c>
      <c r="BS174" s="6">
        <v>1</v>
      </c>
      <c r="BT174" s="4">
        <v>1.6701875844431124</v>
      </c>
      <c r="BU174" s="4">
        <v>1.6701875844431124</v>
      </c>
      <c r="BV174" s="4">
        <v>1.6705124702472096</v>
      </c>
      <c r="BW174" s="4">
        <v>0.00032488580409715335</v>
      </c>
      <c r="BX174" s="4">
        <v>2.1358782797964437e-17</v>
      </c>
      <c r="BY174" s="4">
        <v>1.781</v>
      </c>
      <c r="BZ174" s="4">
        <v>1.768</v>
      </c>
      <c r="CA174" s="6"/>
      <c r="CB174" s="6"/>
      <c r="CC174" s="6"/>
      <c r="CD174" s="9">
        <v>11</v>
      </c>
      <c r="CE174" s="7">
        <f>IFERROR(BW174/F174,0)</f>
        <v>0.00019452054794520546</v>
      </c>
      <c r="CF174" t="inlineStr">
        <is>
          <t xml:space="preserve">SI69U</t>
        </is>
      </c>
      <c r="CG174" t="inlineStr">
        <is>
          <t xml:space="preserve">future</t>
        </is>
      </c>
      <c r="CH174" t="inlineStr">
        <is>
          <t xml:space="preserve">lease</t>
        </is>
      </c>
      <c r="CI174" t="inlineStr">
        <is>
          <t xml:space="preserve">long</t>
        </is>
      </c>
      <c r="CJ174" t="inlineStr">
        <is>
          <t xml:space="preserve">regular</t>
        </is>
      </c>
      <c r="CK174" s="4">
        <v>1.745</v>
      </c>
      <c r="CL174" s="4">
        <v>1.781</v>
      </c>
      <c r="CM174" s="4">
        <v>0.9571275555547921</v>
      </c>
      <c r="CN174" s="6">
        <v>1</v>
      </c>
      <c r="CO174" s="4">
        <v>1.6701875844431124</v>
      </c>
      <c r="CP174" s="4">
        <v>0</v>
      </c>
      <c r="CQ174" s="4">
        <v>0</v>
      </c>
      <c r="CR174" s="4">
        <v>0.03445659199997223</v>
      </c>
      <c r="CS174" s="4">
        <v>-0.03445659199997223</v>
      </c>
      <c r="CT174" s="4">
        <v>1.781</v>
      </c>
      <c r="CU174" s="4">
        <v>1.768</v>
      </c>
      <c r="CV174" s="6">
        <v>-0.02021336327905665</v>
      </c>
      <c r="CW174" s="6">
        <v>0.071</v>
      </c>
      <c r="CX174" s="6">
        <v>0.741716145168698</v>
      </c>
      <c r="CY174" s="9">
        <v>11</v>
      </c>
      <c r="CZ174" s="7">
        <f>IFERROR(CR174/F174,0)</f>
        <v>0.020630372492836502</v>
      </c>
      <c r="DA174" t="inlineStr">
        <is>
          <t xml:space="preserve">Lease cash / margin / financing</t>
        </is>
      </c>
      <c r="DB174" t="inlineStr">
        <is>
          <t xml:space="preserve">cash</t>
        </is>
      </c>
      <c r="DC174" t="inlineStr">
        <is>
          <t xml:space="preserve">lease</t>
        </is>
      </c>
      <c r="DD174" t="inlineStr">
        <is>
          <t xml:space="preserve">cash</t>
        </is>
      </c>
      <c r="DE174"/>
      <c r="DF174" s="4">
        <v>1</v>
      </c>
      <c r="DG174" s="4">
        <v>1</v>
      </c>
      <c r="DH174" s="4">
        <v>8.881784197001252e-16</v>
      </c>
      <c r="DI174" s="6"/>
      <c r="DJ174" s="4">
        <v>8.881784197001252e-16</v>
      </c>
      <c r="DK174" s="4">
        <v>8.881784197001252e-16</v>
      </c>
      <c r="DL174" s="4">
        <v>0.0344565919999731</v>
      </c>
      <c r="DM174" s="4">
        <v>0</v>
      </c>
      <c r="DN174" s="4">
        <v>0.03445659199997221</v>
      </c>
      <c r="DO174" s="4">
        <v>1.781</v>
      </c>
      <c r="DP174" s="4">
        <v>1.768</v>
      </c>
      <c r="DQ174" s="6"/>
      <c r="DR174" s="6"/>
      <c r="DS174" s="6"/>
      <c r="DT174" s="9"/>
      <c r="DU174" s="7">
        <f>IFERROR(DM174/F174,0)</f>
        <v>0</v>
      </c>
      <c r="DV174" t="inlineStr">
        <is>
          <t xml:space="preserve">Keep cash / margin / financing</t>
        </is>
      </c>
      <c r="DW174" t="inlineStr">
        <is>
          <t xml:space="preserve">cash</t>
        </is>
      </c>
      <c r="DX174" t="inlineStr">
        <is>
          <t xml:space="preserve">keep</t>
        </is>
      </c>
      <c r="DY174" t="inlineStr">
        <is>
          <t xml:space="preserve">cash</t>
        </is>
      </c>
      <c r="DZ174"/>
      <c r="EA174" s="4">
        <v>1</v>
      </c>
      <c r="EB174" s="4">
        <v>1</v>
      </c>
      <c r="EC174" s="4">
        <v>0</v>
      </c>
      <c r="ED174" s="6"/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1.781</v>
      </c>
      <c r="EK174" s="4">
        <v>1.768</v>
      </c>
      <c r="EL174" s="6"/>
      <c r="EM174" s="6"/>
      <c r="EN174" s="6"/>
      <c r="EO174" s="9"/>
      <c r="EP174" s="7">
        <f>IFERROR(EH174/F174,0)</f>
        <v>0</v>
      </c>
      <c r="EQ174"/>
      <c r="ER174"/>
      <c r="ES174"/>
      <c r="ET174"/>
      <c r="EU174"/>
      <c r="EV174" s="4"/>
      <c r="EW174" s="4"/>
      <c r="EX174" s="4"/>
      <c r="EY174" s="6"/>
      <c r="EZ174" s="4"/>
      <c r="FA174" s="4"/>
      <c r="FB174" s="4"/>
      <c r="FC174" s="4"/>
      <c r="FD174" s="4"/>
      <c r="FE174" s="4"/>
      <c r="FF174" s="4"/>
      <c r="FG174" s="6"/>
      <c r="FH174" s="6"/>
      <c r="FI174" s="6"/>
      <c r="FJ174" s="9"/>
      <c r="FK174"/>
      <c r="FL174"/>
      <c r="FM174"/>
      <c r="FN174"/>
      <c r="FO174"/>
      <c r="FP174"/>
      <c r="FQ174" s="4"/>
      <c r="FR174" s="4"/>
      <c r="FS174" s="4"/>
      <c r="FT174" s="6"/>
      <c r="FU174" s="4"/>
      <c r="FV174" s="4"/>
      <c r="FW174" s="4"/>
      <c r="FX174" s="4"/>
      <c r="FY174" s="4"/>
      <c r="FZ174" s="4"/>
      <c r="GA174" s="4"/>
      <c r="GB174" s="6"/>
      <c r="GC174" s="6"/>
      <c r="GD174" s="6"/>
      <c r="GE174" s="9"/>
      <c r="GF174"/>
      <c r="GG174"/>
      <c r="GH174"/>
      <c r="GI174"/>
      <c r="GJ174"/>
      <c r="GK174"/>
      <c r="GL174" s="4"/>
      <c r="GM174" s="4"/>
      <c r="GN174" s="4"/>
      <c r="GO174" s="6"/>
      <c r="GP174" s="4"/>
      <c r="GQ174" s="4"/>
      <c r="GR174" s="4"/>
      <c r="GS174" s="4"/>
      <c r="GT174" s="4"/>
      <c r="GU174" s="4"/>
      <c r="GV174" s="4"/>
      <c r="GW174" s="6"/>
      <c r="GX174" s="6"/>
      <c r="GY174" s="6"/>
      <c r="GZ174" s="9"/>
      <c r="HA174"/>
      <c r="HB174"/>
      <c r="HC174"/>
      <c r="HD174"/>
      <c r="HE174"/>
      <c r="HF174"/>
      <c r="HG174" s="4"/>
      <c r="HH174" s="4"/>
      <c r="HI174" s="4"/>
      <c r="HJ174" s="6"/>
      <c r="HK174" s="4"/>
      <c r="HL174" s="4"/>
      <c r="HM174" s="4"/>
      <c r="HN174" s="4"/>
      <c r="HO174" s="4"/>
      <c r="HP174" s="4"/>
      <c r="HQ174" s="4"/>
      <c r="HR174" s="6"/>
      <c r="HS174" s="6"/>
      <c r="HT174" s="6"/>
      <c r="HU174" s="9"/>
      <c r="HV174"/>
      <c r="HW174"/>
      <c r="HX174"/>
      <c r="HY174"/>
      <c r="HZ174"/>
      <c r="IA174"/>
      <c r="IB174" s="4"/>
      <c r="IC174" s="4"/>
      <c r="ID174" s="4"/>
      <c r="IE174" s="6"/>
      <c r="IF174" s="4"/>
      <c r="IG174" s="4"/>
      <c r="IH174" s="4"/>
      <c r="II174" s="4"/>
      <c r="IJ174" s="4"/>
      <c r="IK174" s="4"/>
      <c r="IL174" s="4"/>
      <c r="IM174" s="6"/>
      <c r="IN174" s="6"/>
      <c r="IO174" s="6"/>
      <c r="IP174" s="9"/>
      <c r="IQ174"/>
      <c r="IR174"/>
      <c r="IS174"/>
      <c r="IT174"/>
      <c r="IU174"/>
      <c r="IV174"/>
      <c r="IW174" s="4"/>
      <c r="IX174" s="4"/>
      <c r="IY174" s="4"/>
      <c r="IZ174" s="6"/>
      <c r="JA174" s="4"/>
      <c r="JB174" s="4"/>
      <c r="JC174" s="4"/>
      <c r="JD174" s="4"/>
      <c r="JE174" s="4"/>
      <c r="JF174" s="4"/>
      <c r="JG174" s="4"/>
      <c r="JH174" s="6"/>
      <c r="JI174" s="6"/>
      <c r="JJ174" s="6"/>
      <c r="JK174" s="9"/>
      <c r="JL174"/>
    </row>
    <row r="175">
      <c r="A175" s="8">
        <v>25462</v>
      </c>
      <c r="B175" s="8">
        <v>25463</v>
      </c>
      <c r="C175" s="9">
        <f>B175-A175</f>
        <v>1</v>
      </c>
      <c r="D175" s="8">
        <v>25462</v>
      </c>
      <c r="E175" t="inlineStr">
        <is>
          <t xml:space="preserve">neutral</t>
        </is>
      </c>
      <c r="F175" s="4">
        <v>1.7049690622471818</v>
      </c>
      <c r="G175" s="6">
        <v>0.02374880679352871</v>
      </c>
      <c r="H175" s="7">
        <f>SUM(CE175,CZ175,DU175,EP175,FK175,GF175,HA175,HV175,IQ175,JL175)</f>
        <v>0.02374880679352871</v>
      </c>
      <c r="I175" s="7">
        <f>G175-H175</f>
        <v>0</v>
      </c>
      <c r="J175" s="5">
        <f>F175*(1+H175)</f>
        <v>1.7454600430954341</v>
      </c>
      <c r="K175" s="4">
        <v>1.7454600430954341</v>
      </c>
      <c r="L175" s="5">
        <f>K175-J175</f>
        <v>0</v>
      </c>
      <c r="M175" s="4">
        <v>1.768</v>
      </c>
      <c r="N175" s="4">
        <v>1.81</v>
      </c>
      <c r="O175" s="5">
        <f>M175/$M$3</f>
        <v>0.9029622063329928</v>
      </c>
      <c r="P175" s="5">
        <f>N175/$M$3</f>
        <v>0.9244126659856997</v>
      </c>
      <c r="Q175" s="7">
        <f>IFERROR(N175/M175-1,0)</f>
        <v>0.0237556561085972</v>
      </c>
      <c r="R175" s="5">
        <f>SUM(IF(BM175="lease",BU175,0),IF(CH175="lease",CP175,0),IF(DC175="lease",DK175,0),IF(DX175="lease",EF175,0),IF(ES175="lease",FA175,0),IF(FN175="lease",FV175,0),IF(GI175="lease",GQ175,0),IF(HD175="lease",HL175,0),IF(HY175="lease",IG175,0),IF(IT175="lease",JB175,0))</f>
        <v>1.7049690622471827</v>
      </c>
      <c r="S175" s="5">
        <f>SUM(IF(BM175="lease",BV175,0),IF(CH175="lease",CQ175,0),IF(DC175="lease",DL175,0),IF(DX175="lease",EG175,0),IF(ES175="lease",FB175,0),IF(FN175="lease",FW175,0),IF(GI175="lease",GR175,0),IF(HD175="lease",HM175,0),IF(HY175="lease",IH175,0),IF(IT175="lease",JC175,0))</f>
        <v>1.7454600430954348</v>
      </c>
      <c r="T175" s="5">
        <f>SUM(IF(BM175="keep",BU175,0),IF(CH175="keep",CP175,0),IF(DC175="keep",DK175,0),IF(DX175="keep",EF175,0),IF(ES175="keep",FA175,0),IF(FN175="keep",FV175,0),IF(GI175="keep",GQ175,0),IF(HD175="keep",HL175,0),IF(HY175="keep",IG175,0),IF(IT175="keep",JB175,0))</f>
        <v>0</v>
      </c>
      <c r="U175" s="5">
        <f>SUM(IF(BM175="keep",BV175,0),IF(CH175="keep",CQ175,0),IF(DC175="keep",DL175,0),IF(DX175="keep",EG175,0),IF(ES175="keep",FB175,0),IF(FN175="keep",FW175,0),IF(GI175="keep",GR175,0),IF(HD175="keep",HM175,0),IF(HY175="keep",IH175,0),IF(IT175="keep",JC175,0))</f>
        <v>0</v>
      </c>
      <c r="V175" s="5">
        <f>R175/O175</f>
        <v>1.8881953754977283</v>
      </c>
      <c r="W175" s="5">
        <f>S175/P175</f>
        <v>1.888182742751857</v>
      </c>
      <c r="X175" s="5">
        <f>T175/O175</f>
        <v>0</v>
      </c>
      <c r="Y175" s="5">
        <f>U175/P175</f>
        <v>0</v>
      </c>
      <c r="Z175" s="5">
        <f>V175+X175</f>
        <v>1.8881953754977283</v>
      </c>
      <c r="AA175" s="7">
        <f>IFERROR(W175/V175-1,0)</f>
        <v>-0.000006690380685903108</v>
      </c>
      <c r="AB175" s="7">
        <f>IFERROR((W175-V175)/Z175,0)</f>
        <v>-0.000006690380685868956</v>
      </c>
      <c r="AC175" s="7">
        <f>IFERROR(Y175/X175-1,0)</f>
        <v>0</v>
      </c>
      <c r="AD175" s="7">
        <f>IFERROR((Y175-X175)/Z175,0)</f>
        <v>0</v>
      </c>
      <c r="AE175" s="7">
        <f>AB175+AD175</f>
        <v>-0.000006690380685868956</v>
      </c>
      <c r="AF175" s="7">
        <f>(1+Q175)*(1+AE175)-1</f>
        <v>0.023748806793528532</v>
      </c>
      <c r="AG175" s="7">
        <f>G175-AF175</f>
        <v>1.7694179454963432e-16</v>
      </c>
      <c r="AH175" s="5">
        <f>SUM(IF(BM175="lease",BW175,0),IF(CH175="lease",CR175,0),IF(DC175="lease",DM175,0),IF(DX175="lease",EH175,0),IF(ES175="lease",FC175,0),IF(FN175="lease",FX175,0),IF(GI175="lease",GS175,0),IF(HD175="lease",HN175,0),IF(HY175="lease",II175,0),IF(IT175="lease",JD175,0))</f>
        <v>0.040490980848252145</v>
      </c>
      <c r="AI175" s="5">
        <f>SUM(IF(BM175="keep",BW175,0),IF(CH175="keep",CR175,0),IF(DC175="keep",DM175,0),IF(DX175="keep",EH175,0),IF(ES175="keep",FC175,0),IF(FN175="keep",FX175,0),IF(GI175="keep",GS175,0),IF(HD175="keep",HN175,0),IF(HY175="keep",II175,0),IF(IT175="keep",JD175,0))</f>
        <v>0</v>
      </c>
      <c r="AJ175" s="5">
        <f>SUM(IF(BM175="lease",BX175,0),IF(CH175="lease",CS175,0),IF(DC175="lease",DN175,0),IF(DX175="lease",EI175,0),IF(ES175="lease",FD175,0),IF(FN175="lease",FY175,0),IF(GI175="lease",GT175,0),IF(HD175="lease",HO175,0),IF(HY175="lease",IJ175,0),IF(IT175="lease",JE175,0))</f>
        <v>0</v>
      </c>
      <c r="AK175" s="5">
        <f>SUM(IF(BM175="keep",BX175,0),IF(CH175="keep",CS175,0),IF(DC175="keep",DN175,0),IF(DX175="keep",EI175,0),IF(ES175="keep",FD175,0),IF(FN175="keep",FY175,0),IF(GI175="keep",GT175,0),IF(HD175="keep",HO175,0),IF(HY175="keep",IJ175,0),IF(IT175="keep",JE175,0))</f>
        <v>0</v>
      </c>
      <c r="AL175" s="5">
        <f>R175-S174</f>
        <v>0</v>
      </c>
      <c r="AM175" s="5">
        <f>T175-U174</f>
        <v>0</v>
      </c>
      <c r="AN175" s="5">
        <f>AN174</f>
        <v>1</v>
      </c>
      <c r="AO175" s="5">
        <f>AO174+AH175</f>
        <v>0.745460043095435</v>
      </c>
      <c r="AP175" s="5">
        <f>AP174+AL175</f>
        <v>-4.440892098500626e-16</v>
      </c>
      <c r="AQ175" s="5">
        <f>AN175+AO175+AP175</f>
        <v>1.7454600430954346</v>
      </c>
      <c r="AR175" s="5">
        <f>S175-AQ175</f>
        <v>2.220446049250313e-16</v>
      </c>
      <c r="AS175" s="5">
        <f>AS174</f>
        <v>0</v>
      </c>
      <c r="AT175" s="5">
        <f>AT174+AI175</f>
        <v>0</v>
      </c>
      <c r="AU175" s="5">
        <f>AU174+AM175</f>
        <v>0</v>
      </c>
      <c r="AV175" s="5">
        <f>AS175+AT175+AU175</f>
        <v>0</v>
      </c>
      <c r="AW175" s="5">
        <f>U175-AV175</f>
        <v>0</v>
      </c>
      <c r="AX175" s="4">
        <v>1.7049690622471827</v>
      </c>
      <c r="AY175" s="4">
        <v>1.7454600430954348</v>
      </c>
      <c r="AZ175" s="5">
        <f>S175-AY175</f>
        <v>0</v>
      </c>
      <c r="BA175" s="4">
        <v>0</v>
      </c>
      <c r="BB175" s="4">
        <v>0</v>
      </c>
      <c r="BC175" s="5">
        <f>U175-BB175</f>
        <v>0</v>
      </c>
      <c r="BD175" s="7">
        <f>SUM(IF(BL175="direct",CE175,0),IF(CG175="direct",CZ175,0),IF(DB175="direct",DU175,0),IF(DW175="direct",EP175,0),IF(ER175="direct",FK175,0),IF(FM175="direct",GF175,0),IF(GH175="direct",HA175,0),IF(HC175="direct",HV175,0),IF(HX175="direct",IQ175,0),IF(IS175="direct",JL175,0))</f>
        <v>0.02374880679352871</v>
      </c>
      <c r="BE175" s="7">
        <f>SUM(IF(BL175="treasury",CE175,0),IF(CG175="treasury",CZ175,0),IF(DB175="treasury",DU175,0),IF(DW175="treasury",EP175,0),IF(ER175="treasury",FK175,0),IF(FM175="treasury",GF175,0),IF(GH175="treasury",HA175,0),IF(HC175="treasury",HV175,0),IF(HX175="treasury",IQ175,0),IF(IS175="treasury",JL175,0))</f>
        <v>0</v>
      </c>
      <c r="BF175" s="7">
        <f>SUM(IF(BL175="future",CE175,0),IF(CG175="future",CZ175,0),IF(DB175="future",DU175,0),IF(DW175="future",EP175,0),IF(ER175="future",FK175,0),IF(FM175="future",GF175,0),IF(GH175="future",HA175,0),IF(HC175="future",HV175,0),IF(HX175="future",IQ175,0),IF(IS175="future",JL175,0))</f>
        <v>0</v>
      </c>
      <c r="BG175" s="7">
        <f>SUM(IF(BL175="cash",CE175,0),IF(CG175="cash",CZ175,0),IF(DB175="cash",DU175,0),IF(DW175="cash",EP175,0),IF(ER175="cash",FK175,0),IF(FM175="cash",GF175,0),IF(GH175="cash",HA175,0),IF(HC175="cash",HV175,0),IF(HX175="cash",IQ175,0),IF(IS175="cash",JL175,0))</f>
        <v>0</v>
      </c>
      <c r="BH175" s="7">
        <f>SUM(BD175:BG175)</f>
        <v>0.02374880679352871</v>
      </c>
      <c r="BI175" s="7">
        <f>G175-BH175</f>
        <v>0</v>
      </c>
      <c r="BJ175" s="9">
        <f>COUNTA(BK175,CF175,DA175,DV175,EQ175,FL175,GG175,HB175,HW175,IR175)</f>
        <v>3</v>
      </c>
      <c r="BK175" t="inlineStr">
        <is>
          <t xml:space="preserve">Direct commodity holding</t>
        </is>
      </c>
      <c r="BL175" t="inlineStr">
        <is>
          <t xml:space="preserve">direct</t>
        </is>
      </c>
      <c r="BM175" t="inlineStr">
        <is>
          <t xml:space="preserve">lease</t>
        </is>
      </c>
      <c r="BN175" t="inlineStr">
        <is>
          <t xml:space="preserve">long</t>
        </is>
      </c>
      <c r="BO175"/>
      <c r="BP175" s="4">
        <v>1.768</v>
      </c>
      <c r="BQ175" s="4">
        <v>1.81</v>
      </c>
      <c r="BR175" s="4">
        <v>0.9643490171081345</v>
      </c>
      <c r="BS175" s="6">
        <v>1</v>
      </c>
      <c r="BT175" s="4">
        <v>1.7049690622471818</v>
      </c>
      <c r="BU175" s="4">
        <v>1.7049690622471818</v>
      </c>
      <c r="BV175" s="4">
        <v>1.7454717209657236</v>
      </c>
      <c r="BW175" s="4">
        <v>0.040490980848252145</v>
      </c>
      <c r="BX175" s="4">
        <v>0.000011677870289605874</v>
      </c>
      <c r="BY175" s="4">
        <v>1.768</v>
      </c>
      <c r="BZ175" s="4">
        <v>1.81</v>
      </c>
      <c r="CA175" s="6"/>
      <c r="CB175" s="6"/>
      <c r="CC175" s="6"/>
      <c r="CD175" s="9"/>
      <c r="CE175" s="7">
        <f>IFERROR(BW175/F175,0)</f>
        <v>0.02374880679352871</v>
      </c>
      <c r="CF175" t="inlineStr">
        <is>
          <t xml:space="preserve">Lease cash / margin / financing</t>
        </is>
      </c>
      <c r="CG175" t="inlineStr">
        <is>
          <t xml:space="preserve">cash</t>
        </is>
      </c>
      <c r="CH175" t="inlineStr">
        <is>
          <t xml:space="preserve">lease</t>
        </is>
      </c>
      <c r="CI175" t="inlineStr">
        <is>
          <t xml:space="preserve">cash</t>
        </is>
      </c>
      <c r="CJ175"/>
      <c r="CK175" s="4">
        <v>1</v>
      </c>
      <c r="CL175" s="4">
        <v>1</v>
      </c>
      <c r="CM175" s="4">
        <v>8.881784197001252e-16</v>
      </c>
      <c r="CN175" s="6"/>
      <c r="CO175" s="4">
        <v>8.881784197001252e-16</v>
      </c>
      <c r="CP175" s="4">
        <v>8.881784197001252e-16</v>
      </c>
      <c r="CQ175" s="4">
        <v>-0.000011677870288717696</v>
      </c>
      <c r="CR175" s="4">
        <v>0</v>
      </c>
      <c r="CS175" s="4">
        <v>-0.000011677870289605874</v>
      </c>
      <c r="CT175" s="4">
        <v>1.768</v>
      </c>
      <c r="CU175" s="4">
        <v>1.81</v>
      </c>
      <c r="CV175" s="6"/>
      <c r="CW175" s="6"/>
      <c r="CX175" s="6"/>
      <c r="CY175" s="9"/>
      <c r="CZ175" s="7">
        <f>IFERROR(CR175/F175,0)</f>
        <v>0</v>
      </c>
      <c r="DA175" t="inlineStr">
        <is>
          <t xml:space="preserve">Keep cash / margin / financing</t>
        </is>
      </c>
      <c r="DB175" t="inlineStr">
        <is>
          <t xml:space="preserve">cash</t>
        </is>
      </c>
      <c r="DC175" t="inlineStr">
        <is>
          <t xml:space="preserve">keep</t>
        </is>
      </c>
      <c r="DD175" t="inlineStr">
        <is>
          <t xml:space="preserve">cash</t>
        </is>
      </c>
      <c r="DE175"/>
      <c r="DF175" s="4">
        <v>1</v>
      </c>
      <c r="DG175" s="4">
        <v>1</v>
      </c>
      <c r="DH175" s="4">
        <v>0</v>
      </c>
      <c r="DI175" s="6"/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1.768</v>
      </c>
      <c r="DP175" s="4">
        <v>1.81</v>
      </c>
      <c r="DQ175" s="6"/>
      <c r="DR175" s="6"/>
      <c r="DS175" s="6"/>
      <c r="DT175" s="9"/>
      <c r="DU175" s="7">
        <f>IFERROR(DM175/F175,0)</f>
        <v>0</v>
      </c>
      <c r="DV175"/>
      <c r="DW175"/>
      <c r="DX175"/>
      <c r="DY175"/>
      <c r="DZ175"/>
      <c r="EA175" s="4"/>
      <c r="EB175" s="4"/>
      <c r="EC175" s="4"/>
      <c r="ED175" s="6"/>
      <c r="EE175" s="4"/>
      <c r="EF175" s="4"/>
      <c r="EG175" s="4"/>
      <c r="EH175" s="4"/>
      <c r="EI175" s="4"/>
      <c r="EJ175" s="4"/>
      <c r="EK175" s="4"/>
      <c r="EL175" s="6"/>
      <c r="EM175" s="6"/>
      <c r="EN175" s="6"/>
      <c r="EO175" s="9"/>
      <c r="EP175"/>
      <c r="EQ175"/>
      <c r="ER175"/>
      <c r="ES175"/>
      <c r="ET175"/>
      <c r="EU175"/>
      <c r="EV175" s="4"/>
      <c r="EW175" s="4"/>
      <c r="EX175" s="4"/>
      <c r="EY175" s="6"/>
      <c r="EZ175" s="4"/>
      <c r="FA175" s="4"/>
      <c r="FB175" s="4"/>
      <c r="FC175" s="4"/>
      <c r="FD175" s="4"/>
      <c r="FE175" s="4"/>
      <c r="FF175" s="4"/>
      <c r="FG175" s="6"/>
      <c r="FH175" s="6"/>
      <c r="FI175" s="6"/>
      <c r="FJ175" s="9"/>
      <c r="FK175"/>
      <c r="FL175"/>
      <c r="FM175"/>
      <c r="FN175"/>
      <c r="FO175"/>
      <c r="FP175"/>
      <c r="FQ175" s="4"/>
      <c r="FR175" s="4"/>
      <c r="FS175" s="4"/>
      <c r="FT175" s="6"/>
      <c r="FU175" s="4"/>
      <c r="FV175" s="4"/>
      <c r="FW175" s="4"/>
      <c r="FX175" s="4"/>
      <c r="FY175" s="4"/>
      <c r="FZ175" s="4"/>
      <c r="GA175" s="4"/>
      <c r="GB175" s="6"/>
      <c r="GC175" s="6"/>
      <c r="GD175" s="6"/>
      <c r="GE175" s="9"/>
      <c r="GF175"/>
      <c r="GG175"/>
      <c r="GH175"/>
      <c r="GI175"/>
      <c r="GJ175"/>
      <c r="GK175"/>
      <c r="GL175" s="4"/>
      <c r="GM175" s="4"/>
      <c r="GN175" s="4"/>
      <c r="GO175" s="6"/>
      <c r="GP175" s="4"/>
      <c r="GQ175" s="4"/>
      <c r="GR175" s="4"/>
      <c r="GS175" s="4"/>
      <c r="GT175" s="4"/>
      <c r="GU175" s="4"/>
      <c r="GV175" s="4"/>
      <c r="GW175" s="6"/>
      <c r="GX175" s="6"/>
      <c r="GY175" s="6"/>
      <c r="GZ175" s="9"/>
      <c r="HA175"/>
      <c r="HB175"/>
      <c r="HC175"/>
      <c r="HD175"/>
      <c r="HE175"/>
      <c r="HF175"/>
      <c r="HG175" s="4"/>
      <c r="HH175" s="4"/>
      <c r="HI175" s="4"/>
      <c r="HJ175" s="6"/>
      <c r="HK175" s="4"/>
      <c r="HL175" s="4"/>
      <c r="HM175" s="4"/>
      <c r="HN175" s="4"/>
      <c r="HO175" s="4"/>
      <c r="HP175" s="4"/>
      <c r="HQ175" s="4"/>
      <c r="HR175" s="6"/>
      <c r="HS175" s="6"/>
      <c r="HT175" s="6"/>
      <c r="HU175" s="9"/>
      <c r="HV175"/>
      <c r="HW175"/>
      <c r="HX175"/>
      <c r="HY175"/>
      <c r="HZ175"/>
      <c r="IA175"/>
      <c r="IB175" s="4"/>
      <c r="IC175" s="4"/>
      <c r="ID175" s="4"/>
      <c r="IE175" s="6"/>
      <c r="IF175" s="4"/>
      <c r="IG175" s="4"/>
      <c r="IH175" s="4"/>
      <c r="II175" s="4"/>
      <c r="IJ175" s="4"/>
      <c r="IK175" s="4"/>
      <c r="IL175" s="4"/>
      <c r="IM175" s="6"/>
      <c r="IN175" s="6"/>
      <c r="IO175" s="6"/>
      <c r="IP175" s="9"/>
      <c r="IQ175"/>
      <c r="IR175"/>
      <c r="IS175"/>
      <c r="IT175"/>
      <c r="IU175"/>
      <c r="IV175"/>
      <c r="IW175" s="4"/>
      <c r="IX175" s="4"/>
      <c r="IY175" s="4"/>
      <c r="IZ175" s="6"/>
      <c r="JA175" s="4"/>
      <c r="JB175" s="4"/>
      <c r="JC175" s="4"/>
      <c r="JD175" s="4"/>
      <c r="JE175" s="4"/>
      <c r="JF175" s="4"/>
      <c r="JG175" s="4"/>
      <c r="JH175" s="6"/>
      <c r="JI175" s="6"/>
      <c r="JJ175" s="6"/>
      <c r="JK175" s="9"/>
      <c r="JL175"/>
    </row>
    <row r="176">
      <c r="A176" s="8">
        <v>25463</v>
      </c>
      <c r="B176" s="8">
        <v>25464</v>
      </c>
      <c r="C176" s="9">
        <f>B176-A176</f>
        <v>1</v>
      </c>
      <c r="D176" s="8">
        <v>25463</v>
      </c>
      <c r="E176" t="inlineStr">
        <is>
          <t xml:space="preserve">positive</t>
        </is>
      </c>
      <c r="F176" s="4">
        <v>1.7454600430954341</v>
      </c>
      <c r="G176" s="6">
        <v>0.0022551373646030114</v>
      </c>
      <c r="H176" s="7">
        <f>SUM(CE176,CZ176,DU176,EP176,FK176,GF176,HA176,HV176,IQ176,JL176)</f>
        <v>0.0022551373646030105</v>
      </c>
      <c r="I176" s="7">
        <f>G176-H176</f>
        <v>8.673617379884035e-19</v>
      </c>
      <c r="J176" s="5">
        <f>F176*(1+H176)</f>
        <v>1.74939629525704</v>
      </c>
      <c r="K176" s="4">
        <v>1.74939629525704</v>
      </c>
      <c r="L176" s="5">
        <f>K176-J176</f>
        <v>0</v>
      </c>
      <c r="M176" s="4">
        <v>1.81</v>
      </c>
      <c r="N176" s="4">
        <v>1.79</v>
      </c>
      <c r="O176" s="5">
        <f>M176/$M$3</f>
        <v>0.9244126659856997</v>
      </c>
      <c r="P176" s="5">
        <f>N176/$M$3</f>
        <v>0.9141981613891726</v>
      </c>
      <c r="Q176" s="7">
        <f>IFERROR(N176/M176-1,0)</f>
        <v>-0.011049723756906049</v>
      </c>
      <c r="R176" s="5">
        <f>SUM(IF(BM176="lease",BU176,0),IF(CH176="lease",CP176,0),IF(DC176="lease",DK176,0),IF(DX176="lease",EF176,0),IF(ES176="lease",FA176,0),IF(FN176="lease",FV176,0),IF(GI176="lease",GQ176,0),IF(HD176="lease",HL176,0),IF(HY176="lease",IG176,0),IF(IT176="lease",JB176,0))</f>
        <v>1.7454600430954348</v>
      </c>
      <c r="S176" s="5">
        <f>SUM(IF(BM176="lease",BV176,0),IF(CH176="lease",CQ176,0),IF(DC176="lease",DL176,0),IF(DX176="lease",EG176,0),IF(ES176="lease",FB176,0),IF(FN176="lease",FW176,0),IF(GI176="lease",GR176,0),IF(HD176="lease",HM176,0),IF(HY176="lease",IH176,0),IF(IT176="lease",JC176,0))</f>
        <v>1.7493962952570408</v>
      </c>
      <c r="T176" s="5">
        <f>SUM(IF(BM176="keep",BU176,0),IF(CH176="keep",CP176,0),IF(DC176="keep",DK176,0),IF(DX176="keep",EF176,0),IF(ES176="keep",FA176,0),IF(FN176="keep",FV176,0),IF(GI176="keep",GQ176,0),IF(HD176="keep",HL176,0),IF(HY176="keep",IG176,0),IF(IT176="keep",JB176,0))</f>
        <v>0</v>
      </c>
      <c r="U176" s="5">
        <f>SUM(IF(BM176="keep",BV176,0),IF(CH176="keep",CQ176,0),IF(DC176="keep",DL176,0),IF(DX176="keep",EG176,0),IF(ES176="keep",FB176,0),IF(FN176="keep",FW176,0),IF(GI176="keep",GR176,0),IF(HD176="keep",HM176,0),IF(HY176="keep",IH176,0),IF(IT176="keep",JC176,0))</f>
        <v>0</v>
      </c>
      <c r="V176" s="5">
        <f>R176/O176</f>
        <v>1.888182742751857</v>
      </c>
      <c r="W176" s="5">
        <f>S176/P176</f>
        <v>1.9135854447560257</v>
      </c>
      <c r="X176" s="5">
        <f>T176/O176</f>
        <v>0</v>
      </c>
      <c r="Y176" s="5">
        <f>U176/P176</f>
        <v>0</v>
      </c>
      <c r="Z176" s="5">
        <f>V176+X176</f>
        <v>1.888182742751857</v>
      </c>
      <c r="AA176" s="7">
        <f>IFERROR(W176/V176-1,0)</f>
        <v>0.013453518787671204</v>
      </c>
      <c r="AB176" s="7">
        <f>IFERROR((W176-V176)/Z176,0)</f>
        <v>0.01345351878767124</v>
      </c>
      <c r="AC176" s="7">
        <f>IFERROR(Y176/X176-1,0)</f>
        <v>0</v>
      </c>
      <c r="AD176" s="7">
        <f>IFERROR((Y176-X176)/Z176,0)</f>
        <v>0</v>
      </c>
      <c r="AE176" s="7">
        <f>AB176+AD176</f>
        <v>0.01345351878767124</v>
      </c>
      <c r="AF176" s="7">
        <f>(1+Q176)*(1+AE176)-1</f>
        <v>0.0022551373646031436</v>
      </c>
      <c r="AG176" s="7">
        <f>G176-AF176</f>
        <v>-1.3227266504323154e-16</v>
      </c>
      <c r="AH176" s="5">
        <f>SUM(IF(BM176="lease",BW176,0),IF(CH176="lease",CR176,0),IF(DC176="lease",DM176,0),IF(DX176="lease",EH176,0),IF(ES176="lease",FC176,0),IF(FN176="lease",FX176,0),IF(GI176="lease",GS176,0),IF(HD176="lease",HN176,0),IF(HY176="lease",II176,0),IF(IT176="lease",JD176,0))</f>
        <v>0.003936252161606094</v>
      </c>
      <c r="AI176" s="5">
        <f>SUM(IF(BM176="keep",BW176,0),IF(CH176="keep",CR176,0),IF(DC176="keep",DM176,0),IF(DX176="keep",EH176,0),IF(ES176="keep",FC176,0),IF(FN176="keep",FX176,0),IF(GI176="keep",GS176,0),IF(HD176="keep",HN176,0),IF(HY176="keep",II176,0),IF(IT176="keep",JD176,0))</f>
        <v>0</v>
      </c>
      <c r="AJ176" s="5">
        <f>SUM(IF(BM176="lease",BX176,0),IF(CH176="lease",CS176,0),IF(DC176="lease",DN176,0),IF(DX176="lease",EI176,0),IF(ES176="lease",FD176,0),IF(FN176="lease",FY176,0),IF(GI176="lease",GT176,0),IF(HD176="lease",HO176,0),IF(HY176="lease",IJ176,0),IF(IT176="lease",JE176,0))</f>
        <v>0</v>
      </c>
      <c r="AK176" s="5">
        <f>SUM(IF(BM176="keep",BX176,0),IF(CH176="keep",CS176,0),IF(DC176="keep",DN176,0),IF(DX176="keep",EI176,0),IF(ES176="keep",FD176,0),IF(FN176="keep",FY176,0),IF(GI176="keep",GT176,0),IF(HD176="keep",HO176,0),IF(HY176="keep",IJ176,0),IF(IT176="keep",JE176,0))</f>
        <v>0</v>
      </c>
      <c r="AL176" s="5">
        <f>R176-S175</f>
        <v>0</v>
      </c>
      <c r="AM176" s="5">
        <f>T176-U175</f>
        <v>0</v>
      </c>
      <c r="AN176" s="5">
        <f>AN175</f>
        <v>1</v>
      </c>
      <c r="AO176" s="5">
        <f>AO175+AH176</f>
        <v>0.7493962952570411</v>
      </c>
      <c r="AP176" s="5">
        <f>AP175+AL176</f>
        <v>-4.440892098500626e-16</v>
      </c>
      <c r="AQ176" s="5">
        <f>AN176+AO176+AP176</f>
        <v>1.7493962952570405</v>
      </c>
      <c r="AR176" s="5">
        <f>S176-AQ176</f>
        <v>2.220446049250313e-16</v>
      </c>
      <c r="AS176" s="5">
        <f>AS175</f>
        <v>0</v>
      </c>
      <c r="AT176" s="5">
        <f>AT175+AI176</f>
        <v>0</v>
      </c>
      <c r="AU176" s="5">
        <f>AU175+AM176</f>
        <v>0</v>
      </c>
      <c r="AV176" s="5">
        <f>AS176+AT176+AU176</f>
        <v>0</v>
      </c>
      <c r="AW176" s="5">
        <f>U176-AV176</f>
        <v>0</v>
      </c>
      <c r="AX176" s="4">
        <v>1.7454600430954348</v>
      </c>
      <c r="AY176" s="4">
        <v>1.749396295257041</v>
      </c>
      <c r="AZ176" s="5">
        <f>S176-AY176</f>
        <v>-2.220446049250313e-16</v>
      </c>
      <c r="BA176" s="4">
        <v>0</v>
      </c>
      <c r="BB176" s="4">
        <v>0</v>
      </c>
      <c r="BC176" s="5">
        <f>U176-BB176</f>
        <v>0</v>
      </c>
      <c r="BD176" s="7">
        <f>SUM(IF(BL176="direct",CE176,0),IF(CG176="direct",CZ176,0),IF(DB176="direct",DU176,0),IF(DW176="direct",EP176,0),IF(ER176="direct",FK176,0),IF(FM176="direct",GF176,0),IF(GH176="direct",HA176,0),IF(HC176="direct",HV176,0),IF(HX176="direct",IQ176,0),IF(IS176="direct",JL176,0))</f>
        <v>-0.004772354143053681</v>
      </c>
      <c r="BE176" s="7">
        <f>SUM(IF(BL176="treasury",CE176,0),IF(CG176="treasury",CZ176,0),IF(DB176="treasury",DU176,0),IF(DW176="treasury",EP176,0),IF(ER176="treasury",FK176,0),IF(FM176="treasury",GF176,0),IF(GH176="treasury",HA176,0),IF(HC176="treasury",HV176,0),IF(HX176="treasury",IQ176,0),IF(IS176="treasury",JL176,0))</f>
        <v>0.00011102669994750186</v>
      </c>
      <c r="BF176" s="7">
        <f>SUM(IF(BL176="future",CE176,0),IF(CG176="future",CZ176,0),IF(DB176="future",DU176,0),IF(DW176="future",EP176,0),IF(ER176="future",FK176,0),IF(FM176="future",GF176,0),IF(GH176="future",HA176,0),IF(HC176="future",HV176,0),IF(HX176="future",IQ176,0),IF(IS176="future",JL176,0))</f>
        <v>0.006916464807709189</v>
      </c>
      <c r="BG176" s="7">
        <f>SUM(IF(BL176="cash",CE176,0),IF(CG176="cash",CZ176,0),IF(DB176="cash",DU176,0),IF(DW176="cash",EP176,0),IF(ER176="cash",FK176,0),IF(FM176="cash",GF176,0),IF(GH176="cash",HA176,0),IF(HC176="cash",HV176,0),IF(HX176="cash",IQ176,0),IF(IS176="cash",JL176,0))</f>
        <v>0</v>
      </c>
      <c r="BH176" s="7">
        <f>SUM(BD176:BG176)</f>
        <v>0.00225513736460301</v>
      </c>
      <c r="BI176" s="7">
        <f>G176-BH176</f>
        <v>1.3010426069826053e-18</v>
      </c>
      <c r="BJ176" s="9">
        <f>COUNTA(BK176,CF176,DA176,DV176,EQ176,FL176,GG176,HB176,HW176,IR176)</f>
        <v>10</v>
      </c>
      <c r="BK176" t="inlineStr">
        <is>
          <t xml:space="preserve">Direct commodity holding</t>
        </is>
      </c>
      <c r="BL176" t="inlineStr">
        <is>
          <t xml:space="preserve">direct</t>
        </is>
      </c>
      <c r="BM176" t="inlineStr">
        <is>
          <t xml:space="preserve">lease</t>
        </is>
      </c>
      <c r="BN176" t="inlineStr">
        <is>
          <t xml:space="preserve">long</t>
        </is>
      </c>
      <c r="BO176"/>
      <c r="BP176" s="4">
        <v>1.81</v>
      </c>
      <c r="BQ176" s="4">
        <v>1.79</v>
      </c>
      <c r="BR176" s="4">
        <v>0.4162396618388503</v>
      </c>
      <c r="BS176" s="6">
        <v>0.43163049816496246</v>
      </c>
      <c r="BT176" s="4">
        <v>0.7533937879283191</v>
      </c>
      <c r="BU176" s="4">
        <v>0.7533937879283191</v>
      </c>
      <c r="BV176" s="4">
        <v>0.7450689946915421</v>
      </c>
      <c r="BW176" s="4">
        <v>-0.008329953468201153</v>
      </c>
      <c r="BX176" s="4">
        <v>0.000005160231424113093</v>
      </c>
      <c r="BY176" s="4">
        <v>1.81</v>
      </c>
      <c r="BZ176" s="4">
        <v>1.79</v>
      </c>
      <c r="CA176" s="6"/>
      <c r="CB176" s="6"/>
      <c r="CC176" s="6"/>
      <c r="CD176" s="9"/>
      <c r="CE176" s="7">
        <f>IFERROR(BW176/F176,0)</f>
        <v>-0.004772354143053681</v>
      </c>
      <c r="CF176" t="inlineStr">
        <is>
          <t xml:space="preserve">Treasury collateral</t>
        </is>
      </c>
      <c r="CG176" t="inlineStr">
        <is>
          <t xml:space="preserve">treasury</t>
        </is>
      </c>
      <c r="CH176" t="inlineStr">
        <is>
          <t xml:space="preserve">lease</t>
        </is>
      </c>
      <c r="CI176" t="inlineStr">
        <is>
          <t xml:space="preserve">long</t>
        </is>
      </c>
      <c r="CJ176"/>
      <c r="CK176" s="4">
        <v>104.6277930581591</v>
      </c>
      <c r="CL176" s="4">
        <v>104.64823130924144</v>
      </c>
      <c r="CM176" s="4">
        <v>0.00948186161793223</v>
      </c>
      <c r="CN176" s="6">
        <v>0.5683695018350375</v>
      </c>
      <c r="CO176" s="4">
        <v>0.992066255167115</v>
      </c>
      <c r="CP176" s="4">
        <v>0.992066255167115</v>
      </c>
      <c r="CQ176" s="4">
        <v>0.9922600478355904</v>
      </c>
      <c r="CR176" s="4">
        <v>0.00019379266847511042</v>
      </c>
      <c r="CS176" s="4">
        <v>3.016792544940916e-16</v>
      </c>
      <c r="CT176" s="4">
        <v>1.81</v>
      </c>
      <c r="CU176" s="4">
        <v>1.79</v>
      </c>
      <c r="CV176" s="6"/>
      <c r="CW176" s="6"/>
      <c r="CX176" s="6"/>
      <c r="CY176" s="9">
        <v>103</v>
      </c>
      <c r="CZ176" s="7">
        <f>IFERROR(CR176/F176,0)</f>
        <v>0.00011102669994750186</v>
      </c>
      <c r="DA176" t="inlineStr">
        <is>
          <t xml:space="preserve">SI69Z</t>
        </is>
      </c>
      <c r="DB176" t="inlineStr">
        <is>
          <t xml:space="preserve">future</t>
        </is>
      </c>
      <c r="DC176" t="inlineStr">
        <is>
          <t xml:space="preserve">lease</t>
        </is>
      </c>
      <c r="DD176" t="inlineStr">
        <is>
          <t xml:space="preserve">long</t>
        </is>
      </c>
      <c r="DE176" t="inlineStr">
        <is>
          <t xml:space="preserve">regular</t>
        </is>
      </c>
      <c r="DF176" s="4">
        <v>1.8030000000000002</v>
      </c>
      <c r="DG176" s="4">
        <v>1.825</v>
      </c>
      <c r="DH176" s="4">
        <v>0.5232583405862186</v>
      </c>
      <c r="DI176" s="6">
        <v>0.5405078115703215</v>
      </c>
      <c r="DJ176" s="4">
        <v>0.9434347880769521</v>
      </c>
      <c r="DK176" s="4">
        <v>0</v>
      </c>
      <c r="DL176" s="4">
        <v>0</v>
      </c>
      <c r="DM176" s="4">
        <v>0.011511683492896798</v>
      </c>
      <c r="DN176" s="4">
        <v>-0.011511683492896798</v>
      </c>
      <c r="DO176" s="4">
        <v>1.81</v>
      </c>
      <c r="DP176" s="4">
        <v>1.79</v>
      </c>
      <c r="DQ176" s="6">
        <v>-0.003867403314917084</v>
      </c>
      <c r="DR176" s="6">
        <v>0.07155054945054945</v>
      </c>
      <c r="DS176" s="6">
        <v>0.08525542527525562</v>
      </c>
      <c r="DT176" s="9">
        <v>103</v>
      </c>
      <c r="DU176" s="7">
        <f>IFERROR(DM176/F176,0)</f>
        <v>0.006595214561590162</v>
      </c>
      <c r="DV176" t="inlineStr">
        <is>
          <t xml:space="preserve">SI70F</t>
        </is>
      </c>
      <c r="DW176" t="inlineStr">
        <is>
          <t xml:space="preserve">future</t>
        </is>
      </c>
      <c r="DX176" t="inlineStr">
        <is>
          <t xml:space="preserve">lease</t>
        </is>
      </c>
      <c r="DY176" t="inlineStr">
        <is>
          <t xml:space="preserve">long</t>
        </is>
      </c>
      <c r="DZ176" t="inlineStr">
        <is>
          <t xml:space="preserve">regular</t>
        </is>
      </c>
      <c r="EA176" s="4">
        <v>1.821</v>
      </c>
      <c r="EB176" s="4">
        <v>1.8419999999999999</v>
      </c>
      <c r="EC176" s="4">
        <v>0.026428621815425924</v>
      </c>
      <c r="ED176" s="6">
        <v>0.027572398758863626</v>
      </c>
      <c r="EE176" s="4">
        <v>0.048126520325890605</v>
      </c>
      <c r="EF176" s="4">
        <v>0</v>
      </c>
      <c r="EG176" s="4">
        <v>0</v>
      </c>
      <c r="EH176" s="4">
        <v>0.0005550010581239455</v>
      </c>
      <c r="EI176" s="4">
        <v>-0.0005550010581239455</v>
      </c>
      <c r="EJ176" s="4">
        <v>1.81</v>
      </c>
      <c r="EK176" s="4">
        <v>1.79</v>
      </c>
      <c r="EL176" s="6">
        <v>0.006077348066298338</v>
      </c>
      <c r="EM176" s="6">
        <v>0.07217692307692307</v>
      </c>
      <c r="EN176" s="6">
        <v>0.05549848665437501</v>
      </c>
      <c r="EO176" s="9">
        <v>133</v>
      </c>
      <c r="EP176" s="7">
        <f>IFERROR(EH176/F176,0)</f>
        <v>0.00031796835471506723</v>
      </c>
      <c r="EQ176" t="inlineStr">
        <is>
          <t xml:space="preserve">SI70H</t>
        </is>
      </c>
      <c r="ER176" t="inlineStr">
        <is>
          <t xml:space="preserve">future</t>
        </is>
      </c>
      <c r="ES176" t="inlineStr">
        <is>
          <t xml:space="preserve">lease</t>
        </is>
      </c>
      <c r="ET176" t="inlineStr">
        <is>
          <t xml:space="preserve">long</t>
        </is>
      </c>
      <c r="EU176" t="inlineStr">
        <is>
          <t xml:space="preserve">regular</t>
        </is>
      </c>
      <c r="EV176" s="4">
        <v>1.854</v>
      </c>
      <c r="EW176" s="4">
        <v>1.875</v>
      </c>
      <c r="EX176" s="4">
        <v>0.00025189258687197943</v>
      </c>
      <c r="EY176" s="6">
        <v>0.000267556314398608</v>
      </c>
      <c r="EZ176" s="4">
        <v>0.00046700885606064987</v>
      </c>
      <c r="FA176" s="4">
        <v>0</v>
      </c>
      <c r="FB176" s="4">
        <v>0</v>
      </c>
      <c r="FC176" s="4">
        <v>0.000005289744324311531</v>
      </c>
      <c r="FD176" s="4">
        <v>-0.000005289744324311531</v>
      </c>
      <c r="FE176" s="4">
        <v>1.81</v>
      </c>
      <c r="FF176" s="4">
        <v>1.79</v>
      </c>
      <c r="FG176" s="6">
        <v>0.024309392265193353</v>
      </c>
      <c r="FH176" s="6">
        <v>0.0734311475409836</v>
      </c>
      <c r="FI176" s="6">
        <v>0.026976026196504167</v>
      </c>
      <c r="FJ176" s="9">
        <v>191</v>
      </c>
      <c r="FK176" s="7">
        <f>IFERROR(FC176/F176,0)</f>
        <v>0.0000030305731404372865</v>
      </c>
      <c r="FL176" t="inlineStr">
        <is>
          <t xml:space="preserve">SI70K</t>
        </is>
      </c>
      <c r="FM176" t="inlineStr">
        <is>
          <t xml:space="preserve">future</t>
        </is>
      </c>
      <c r="FN176" t="inlineStr">
        <is>
          <t xml:space="preserve">lease</t>
        </is>
      </c>
      <c r="FO176" t="inlineStr">
        <is>
          <t xml:space="preserve">long</t>
        </is>
      </c>
      <c r="FP176" t="inlineStr">
        <is>
          <t xml:space="preserve">regular</t>
        </is>
      </c>
      <c r="FQ176" s="4">
        <v>1.886</v>
      </c>
      <c r="FR176" s="4">
        <v>1.9080000000000001</v>
      </c>
      <c r="FS176" s="4">
        <v>0.000015969686514255538</v>
      </c>
      <c r="FT176" s="6">
        <v>0.000017255524630900517</v>
      </c>
      <c r="FU176" s="4">
        <v>0.00003011882876588594</v>
      </c>
      <c r="FV176" s="4">
        <v>0</v>
      </c>
      <c r="FW176" s="4">
        <v>0</v>
      </c>
      <c r="FX176" s="4">
        <v>3.513331033136279e-7</v>
      </c>
      <c r="FY176" s="4">
        <v>-3.513331033136279e-7</v>
      </c>
      <c r="FZ176" s="4">
        <v>1.81</v>
      </c>
      <c r="GA176" s="4">
        <v>1.79</v>
      </c>
      <c r="GB176" s="6">
        <v>0.04198895027624294</v>
      </c>
      <c r="GC176" s="6">
        <v>0.07499781420765028</v>
      </c>
      <c r="GD176" s="6">
        <v>0.014180485434520607</v>
      </c>
      <c r="GE176" s="9">
        <v>252</v>
      </c>
      <c r="GF176" s="7">
        <f>IFERROR(FX176/F176,0)</f>
        <v>2.012839564580159e-7</v>
      </c>
      <c r="GG176" t="inlineStr">
        <is>
          <t xml:space="preserve">SI70N</t>
        </is>
      </c>
      <c r="GH176" t="inlineStr">
        <is>
          <t xml:space="preserve">future</t>
        </is>
      </c>
      <c r="GI176" t="inlineStr">
        <is>
          <t xml:space="preserve">lease</t>
        </is>
      </c>
      <c r="GJ176" t="inlineStr">
        <is>
          <t xml:space="preserve">long</t>
        </is>
      </c>
      <c r="GK176" t="inlineStr">
        <is>
          <t xml:space="preserve">regular</t>
        </is>
      </c>
      <c r="GL176" s="4">
        <v>1.919</v>
      </c>
      <c r="GM176" s="4">
        <v>1.94</v>
      </c>
      <c r="GN176" s="4">
        <v>0.000002993317824933802</v>
      </c>
      <c r="GO176" s="6">
        <v>0.0000032909243203649203</v>
      </c>
      <c r="GP176" s="4">
        <v>0.000005744176906047966</v>
      </c>
      <c r="GQ176" s="4">
        <v>0</v>
      </c>
      <c r="GR176" s="4">
        <v>0</v>
      </c>
      <c r="GS176" s="4">
        <v>6.28596743236097e-8</v>
      </c>
      <c r="GT176" s="4">
        <v>-6.28596743236097e-8</v>
      </c>
      <c r="GU176" s="4">
        <v>1.81</v>
      </c>
      <c r="GV176" s="4">
        <v>1.79</v>
      </c>
      <c r="GW176" s="6">
        <v>0.06022099447513818</v>
      </c>
      <c r="GX176" s="6">
        <v>0.07661584699453552</v>
      </c>
      <c r="GY176" s="6">
        <v>0.006835964507470636</v>
      </c>
      <c r="GZ176" s="9">
        <v>315</v>
      </c>
      <c r="HA176" s="7">
        <f>IFERROR(GS176/F176,0)</f>
        <v>3.60132416506843e-8</v>
      </c>
      <c r="HB176" t="inlineStr">
        <is>
          <t xml:space="preserve">SI70U</t>
        </is>
      </c>
      <c r="HC176" t="inlineStr">
        <is>
          <t xml:space="preserve">future</t>
        </is>
      </c>
      <c r="HD176" t="inlineStr">
        <is>
          <t xml:space="preserve">lease</t>
        </is>
      </c>
      <c r="HE176" t="inlineStr">
        <is>
          <t xml:space="preserve">long</t>
        </is>
      </c>
      <c r="HF176" t="inlineStr">
        <is>
          <t xml:space="preserve">regular</t>
        </is>
      </c>
      <c r="HG176" s="4">
        <v>1.95</v>
      </c>
      <c r="HH176" s="4">
        <v>1.973</v>
      </c>
      <c r="HI176" s="4">
        <v>0.000001064052584524681</v>
      </c>
      <c r="HJ176" s="6">
        <v>0.0000011887425026031842</v>
      </c>
      <c r="HK176" s="4">
        <v>0.0000020749025398231282</v>
      </c>
      <c r="HL176" s="4">
        <v>0</v>
      </c>
      <c r="HM176" s="4">
        <v>0</v>
      </c>
      <c r="HN176" s="4">
        <v>2.4473209444067945e-8</v>
      </c>
      <c r="HO176" s="4">
        <v>-2.4473209444067945e-8</v>
      </c>
      <c r="HP176" s="4">
        <v>1.81</v>
      </c>
      <c r="HQ176" s="4">
        <v>1.79</v>
      </c>
      <c r="HR176" s="6">
        <v>0.07734806629834257</v>
      </c>
      <c r="HS176" s="6">
        <v>0.07774027397260275</v>
      </c>
      <c r="HT176" s="6">
        <v>0.0026550500393712484</v>
      </c>
      <c r="HU176" s="9">
        <v>376</v>
      </c>
      <c r="HV176" s="7">
        <f>IFERROR(HN176/F176,0)</f>
        <v>1.402106541531977e-8</v>
      </c>
      <c r="HW176" t="inlineStr">
        <is>
          <t xml:space="preserve">Lease cash / margin / financing</t>
        </is>
      </c>
      <c r="HX176" t="inlineStr">
        <is>
          <t xml:space="preserve">cash</t>
        </is>
      </c>
      <c r="HY176" t="inlineStr">
        <is>
          <t xml:space="preserve">lease</t>
        </is>
      </c>
      <c r="HZ176" t="inlineStr">
        <is>
          <t xml:space="preserve">cash</t>
        </is>
      </c>
      <c r="IA176"/>
      <c r="IB176" s="4">
        <v>1</v>
      </c>
      <c r="IC176" s="4">
        <v>1</v>
      </c>
      <c r="ID176" s="4">
        <v>6.661338147750939e-16</v>
      </c>
      <c r="IE176" s="6"/>
      <c r="IF176" s="4">
        <v>6.661338147750939e-16</v>
      </c>
      <c r="IG176" s="4">
        <v>6.661338147750939e-16</v>
      </c>
      <c r="IH176" s="4">
        <v>0.012067252729908386</v>
      </c>
      <c r="II176" s="4">
        <v>0</v>
      </c>
      <c r="IJ176" s="4">
        <v>0.01206725272990772</v>
      </c>
      <c r="IK176" s="4">
        <v>1.81</v>
      </c>
      <c r="IL176" s="4">
        <v>1.79</v>
      </c>
      <c r="IM176" s="6"/>
      <c r="IN176" s="6"/>
      <c r="IO176" s="6"/>
      <c r="IP176" s="9"/>
      <c r="IQ176" s="7">
        <f>IFERROR(II176/F176,0)</f>
        <v>0</v>
      </c>
      <c r="IR176" t="inlineStr">
        <is>
          <t xml:space="preserve">Keep cash / margin / financing</t>
        </is>
      </c>
      <c r="IS176" t="inlineStr">
        <is>
          <t xml:space="preserve">cash</t>
        </is>
      </c>
      <c r="IT176" t="inlineStr">
        <is>
          <t xml:space="preserve">keep</t>
        </is>
      </c>
      <c r="IU176" t="inlineStr">
        <is>
          <t xml:space="preserve">cash</t>
        </is>
      </c>
      <c r="IV176"/>
      <c r="IW176" s="4">
        <v>1</v>
      </c>
      <c r="IX176" s="4">
        <v>1</v>
      </c>
      <c r="IY176" s="4">
        <v>0</v>
      </c>
      <c r="IZ176" s="6"/>
      <c r="JA176" s="4">
        <v>0</v>
      </c>
      <c r="JB176" s="4">
        <v>0</v>
      </c>
      <c r="JC176" s="4">
        <v>0</v>
      </c>
      <c r="JD176" s="4">
        <v>0</v>
      </c>
      <c r="JE176" s="4">
        <v>0</v>
      </c>
      <c r="JF176" s="4">
        <v>1.81</v>
      </c>
      <c r="JG176" s="4">
        <v>1.79</v>
      </c>
      <c r="JH176" s="6"/>
      <c r="JI176" s="6"/>
      <c r="JJ176" s="6"/>
      <c r="JK176" s="9"/>
      <c r="JL176" s="7">
        <f>IFERROR(JD176/F176,0)</f>
        <v>0</v>
      </c>
    </row>
    <row r="177">
      <c r="A177" s="8">
        <v>25464</v>
      </c>
      <c r="B177" s="8">
        <v>25465</v>
      </c>
      <c r="C177" s="9">
        <f>B177-A177</f>
        <v>1</v>
      </c>
      <c r="D177" s="8">
        <v>25464</v>
      </c>
      <c r="E177" t="inlineStr">
        <is>
          <t xml:space="preserve">positive</t>
        </is>
      </c>
      <c r="F177" s="4">
        <v>1.74939629525704</v>
      </c>
      <c r="G177" s="6">
        <v>0.005028480674646351</v>
      </c>
      <c r="H177" s="7">
        <f>SUM(CE177,CZ177,DU177,EP177,FK177,GF177,HA177,HV177,IQ177,JL177)</f>
        <v>0.00502848067464635</v>
      </c>
      <c r="I177" s="7">
        <f>G177-H177</f>
        <v>8.673617379884035e-19</v>
      </c>
      <c r="J177" s="5">
        <f>F177*(1+H177)</f>
        <v>1.758193100720038</v>
      </c>
      <c r="K177" s="4">
        <v>1.758193100720038</v>
      </c>
      <c r="L177" s="5">
        <f>K177-J177</f>
        <v>0</v>
      </c>
      <c r="M177" s="4">
        <v>1.79</v>
      </c>
      <c r="N177" s="4">
        <v>1.799</v>
      </c>
      <c r="O177" s="5">
        <f>M177/$M$3</f>
        <v>0.9141981613891726</v>
      </c>
      <c r="P177" s="5">
        <f>N177/$M$3</f>
        <v>0.9187946884576098</v>
      </c>
      <c r="Q177" s="7">
        <f>IFERROR(N177/M177-1,0)</f>
        <v>0.005027932960893766</v>
      </c>
      <c r="R177" s="5">
        <f>SUM(IF(BM177="lease",BU177,0),IF(CH177="lease",CP177,0),IF(DC177="lease",DK177,0),IF(DX177="lease",EF177,0),IF(ES177="lease",FA177,0),IF(FN177="lease",FV177,0),IF(GI177="lease",GQ177,0),IF(HD177="lease",HL177,0),IF(HY177="lease",IG177,0),IF(IT177="lease",JB177,0))</f>
        <v>1.749396295257041</v>
      </c>
      <c r="S177" s="5">
        <f>SUM(IF(BM177="lease",BV177,0),IF(CH177="lease",CQ177,0),IF(DC177="lease",DL177,0),IF(DX177="lease",EG177,0),IF(ES177="lease",FB177,0),IF(FN177="lease",FW177,0),IF(GI177="lease",GR177,0),IF(HD177="lease",HM177,0),IF(HY177="lease",IH177,0),IF(IT177="lease",JC177,0))</f>
        <v>1.7581931007200389</v>
      </c>
      <c r="T177" s="5">
        <f>SUM(IF(BM177="keep",BU177,0),IF(CH177="keep",CP177,0),IF(DC177="keep",DK177,0),IF(DX177="keep",EF177,0),IF(ES177="keep",FA177,0),IF(FN177="keep",FV177,0),IF(GI177="keep",GQ177,0),IF(HD177="keep",HL177,0),IF(HY177="keep",IG177,0),IF(IT177="keep",JB177,0))</f>
        <v>0</v>
      </c>
      <c r="U177" s="5">
        <f>SUM(IF(BM177="keep",BV177,0),IF(CH177="keep",CQ177,0),IF(DC177="keep",DL177,0),IF(DX177="keep",EG177,0),IF(ES177="keep",FB177,0),IF(FN177="keep",FW177,0),IF(GI177="keep",GR177,0),IF(HD177="keep",HM177,0),IF(HY177="keep",IH177,0),IF(IT177="keep",JC177,0))</f>
        <v>0</v>
      </c>
      <c r="V177" s="5">
        <f>R177/O177</f>
        <v>1.9135854447560259</v>
      </c>
      <c r="W177" s="5">
        <f>S177/P177</f>
        <v>1.9135864876096922</v>
      </c>
      <c r="X177" s="5">
        <f>T177/O177</f>
        <v>0</v>
      </c>
      <c r="Y177" s="5">
        <f>U177/P177</f>
        <v>0</v>
      </c>
      <c r="Z177" s="5">
        <f>V177+X177</f>
        <v>1.9135854447560259</v>
      </c>
      <c r="AA177" s="7">
        <f>IFERROR(W177/V177-1,0)</f>
        <v>5.449736615315004e-7</v>
      </c>
      <c r="AB177" s="7">
        <f>IFERROR((W177-V177)/Z177,0)</f>
        <v>5.449736614420792e-7</v>
      </c>
      <c r="AC177" s="7">
        <f>IFERROR(Y177/X177-1,0)</f>
        <v>0</v>
      </c>
      <c r="AD177" s="7">
        <f>IFERROR((Y177-X177)/Z177,0)</f>
        <v>0</v>
      </c>
      <c r="AE177" s="7">
        <f>AB177+AD177</f>
        <v>5.449736614420792e-7</v>
      </c>
      <c r="AF177" s="7">
        <f>(1+Q177)*(1+AE177)-1</f>
        <v>0.005028480674646341</v>
      </c>
      <c r="AG177" s="7">
        <f>G177-AF177</f>
        <v>1.0408340855860843e-17</v>
      </c>
      <c r="AH177" s="5">
        <f>SUM(IF(BM177="lease",BW177,0),IF(CH177="lease",CR177,0),IF(DC177="lease",DM177,0),IF(DX177="lease",EH177,0),IF(ES177="lease",FC177,0),IF(FN177="lease",FX177,0),IF(GI177="lease",GS177,0),IF(HD177="lease",HN177,0),IF(HY177="lease",II177,0),IF(IT177="lease",JD177,0))</f>
        <v>0.008796805462997947</v>
      </c>
      <c r="AI177" s="5">
        <f>SUM(IF(BM177="keep",BW177,0),IF(CH177="keep",CR177,0),IF(DC177="keep",DM177,0),IF(DX177="keep",EH177,0),IF(ES177="keep",FC177,0),IF(FN177="keep",FX177,0),IF(GI177="keep",GS177,0),IF(HD177="keep",HN177,0),IF(HY177="keep",II177,0),IF(IT177="keep",JD177,0))</f>
        <v>0</v>
      </c>
      <c r="AJ177" s="5">
        <f>SUM(IF(BM177="lease",BX177,0),IF(CH177="lease",CS177,0),IF(DC177="lease",DN177,0),IF(DX177="lease",EI177,0),IF(ES177="lease",FD177,0),IF(FN177="lease",FY177,0),IF(GI177="lease",GT177,0),IF(HD177="lease",HO177,0),IF(HY177="lease",IJ177,0),IF(IT177="lease",JE177,0))</f>
        <v>0</v>
      </c>
      <c r="AK177" s="5">
        <f>SUM(IF(BM177="keep",BX177,0),IF(CH177="keep",CS177,0),IF(DC177="keep",DN177,0),IF(DX177="keep",EI177,0),IF(ES177="keep",FD177,0),IF(FN177="keep",FY177,0),IF(GI177="keep",GT177,0),IF(HD177="keep",HO177,0),IF(HY177="keep",IJ177,0),IF(IT177="keep",JE177,0))</f>
        <v>0</v>
      </c>
      <c r="AL177" s="5">
        <f>R177-S176</f>
        <v>2.220446049250313e-16</v>
      </c>
      <c r="AM177" s="5">
        <f>T177-U176</f>
        <v>0</v>
      </c>
      <c r="AN177" s="5">
        <f>AN176</f>
        <v>1</v>
      </c>
      <c r="AO177" s="5">
        <f>AO176+AH177</f>
        <v>0.7581931007200391</v>
      </c>
      <c r="AP177" s="5">
        <f>AP176+AL177</f>
        <v>-2.220446049250313e-16</v>
      </c>
      <c r="AQ177" s="5">
        <f>AN177+AO177+AP177</f>
        <v>1.7581931007200389</v>
      </c>
      <c r="AR177" s="5">
        <f>S177-AQ177</f>
        <v>0</v>
      </c>
      <c r="AS177" s="5">
        <f>AS176</f>
        <v>0</v>
      </c>
      <c r="AT177" s="5">
        <f>AT176+AI177</f>
        <v>0</v>
      </c>
      <c r="AU177" s="5">
        <f>AU176+AM177</f>
        <v>0</v>
      </c>
      <c r="AV177" s="5">
        <f>AS177+AT177+AU177</f>
        <v>0</v>
      </c>
      <c r="AW177" s="5">
        <f>U177-AV177</f>
        <v>0</v>
      </c>
      <c r="AX177" s="4">
        <v>1.749396295257041</v>
      </c>
      <c r="AY177" s="4">
        <v>1.7581931007200389</v>
      </c>
      <c r="AZ177" s="5">
        <f>S177-AY177</f>
        <v>0</v>
      </c>
      <c r="BA177" s="4">
        <v>0</v>
      </c>
      <c r="BB177" s="4">
        <v>0</v>
      </c>
      <c r="BC177" s="5">
        <f>U177-BB177</f>
        <v>0</v>
      </c>
      <c r="BD177" s="7">
        <f>SUM(IF(BL177="direct",CE177,0),IF(CG177="direct",CZ177,0),IF(DB177="direct",DU177,0),IF(DW177="direct",EP177,0),IF(ER177="direct",FK177,0),IF(FM177="direct",GF177,0),IF(GH177="direct",HA177,0),IF(HC177="direct",HV177,0),IF(HX177="direct",IQ177,0),IF(IS177="direct",JL177,0))</f>
        <v>0.0049642916565412615</v>
      </c>
      <c r="BE177" s="7">
        <f>SUM(IF(BL177="treasury",CE177,0),IF(CG177="treasury",CZ177,0),IF(DB177="treasury",DU177,0),IF(DW177="treasury",EP177,0),IF(ER177="treasury",FK177,0),IF(FM177="treasury",GF177,0),IF(GH177="treasury",HA177,0),IF(HC177="treasury",HV177,0),IF(HX177="treasury",IQ177,0),IF(IS177="treasury",JL177,0))</f>
        <v>0.000002212559569712921</v>
      </c>
      <c r="BF177" s="7">
        <f>SUM(IF(BL177="future",CE177,0),IF(CG177="future",CZ177,0),IF(DB177="future",DU177,0),IF(DW177="future",EP177,0),IF(ER177="future",FK177,0),IF(FM177="future",GF177,0),IF(GH177="future",HA177,0),IF(HC177="future",HV177,0),IF(HX177="future",IQ177,0),IF(IS177="future",JL177,0))</f>
        <v>0.00006197645853537569</v>
      </c>
      <c r="BG177" s="7">
        <f>SUM(IF(BL177="cash",CE177,0),IF(CG177="cash",CZ177,0),IF(DB177="cash",DU177,0),IF(DW177="cash",EP177,0),IF(ER177="cash",FK177,0),IF(FM177="cash",GF177,0),IF(GH177="cash",HA177,0),IF(HC177="cash",HV177,0),IF(HX177="cash",IQ177,0),IF(IS177="cash",JL177,0))</f>
        <v>0</v>
      </c>
      <c r="BH177" s="7">
        <f>SUM(BD177:BG177)</f>
        <v>0.00502848067464635</v>
      </c>
      <c r="BI177" s="7">
        <f>G177-BH177</f>
        <v>8.673617379884035e-19</v>
      </c>
      <c r="BJ177" s="9">
        <f>COUNTA(BK177,CF177,DA177,DV177,EQ177,FL177,GG177,HB177,HW177,IR177)</f>
        <v>5</v>
      </c>
      <c r="BK177" t="inlineStr">
        <is>
          <t xml:space="preserve">Direct commodity holding</t>
        </is>
      </c>
      <c r="BL177" t="inlineStr">
        <is>
          <t xml:space="preserve">direct</t>
        </is>
      </c>
      <c r="BM177" t="inlineStr">
        <is>
          <t xml:space="preserve">lease</t>
        </is>
      </c>
      <c r="BN177" t="inlineStr">
        <is>
          <t xml:space="preserve">long</t>
        </is>
      </c>
      <c r="BO177"/>
      <c r="BP177" s="4">
        <v>1.79</v>
      </c>
      <c r="BQ177" s="4">
        <v>1.799</v>
      </c>
      <c r="BR177" s="4">
        <v>0.9662622302445607</v>
      </c>
      <c r="BS177" s="6">
        <v>0.9886892963172939</v>
      </c>
      <c r="BT177" s="4">
        <v>1.7296093921377638</v>
      </c>
      <c r="BU177" s="4">
        <v>1.7296093921377638</v>
      </c>
      <c r="BV177" s="4">
        <v>1.7383057522099647</v>
      </c>
      <c r="BW177" s="4">
        <v>0.008684513432528717</v>
      </c>
      <c r="BX177" s="4">
        <v>0.000011846639672264195</v>
      </c>
      <c r="BY177" s="4">
        <v>1.79</v>
      </c>
      <c r="BZ177" s="4">
        <v>1.799</v>
      </c>
      <c r="CA177" s="6"/>
      <c r="CB177" s="6"/>
      <c r="CC177" s="6"/>
      <c r="CD177" s="9"/>
      <c r="CE177" s="7">
        <f>IFERROR(BW177/F177,0)</f>
        <v>0.0049642916565412615</v>
      </c>
      <c r="CF177" t="inlineStr">
        <is>
          <t xml:space="preserve">Treasury collateral</t>
        </is>
      </c>
      <c r="CG177" t="inlineStr">
        <is>
          <t xml:space="preserve">treasury</t>
        </is>
      </c>
      <c r="CH177" t="inlineStr">
        <is>
          <t xml:space="preserve">lease</t>
        </is>
      </c>
      <c r="CI177" t="inlineStr">
        <is>
          <t xml:space="preserve">long</t>
        </is>
      </c>
      <c r="CJ177"/>
      <c r="CK177" s="4">
        <v>104.64823130924144</v>
      </c>
      <c r="CL177" s="4">
        <v>104.66870222353042</v>
      </c>
      <c r="CM177" s="4">
        <v>0.0001890801485292648</v>
      </c>
      <c r="CN177" s="6">
        <v>0.011310703682706112</v>
      </c>
      <c r="CO177" s="4">
        <v>0.01978690311927623</v>
      </c>
      <c r="CP177" s="4">
        <v>0.01978690311927623</v>
      </c>
      <c r="CQ177" s="4">
        <v>0.01979077376279052</v>
      </c>
      <c r="CR177" s="4">
        <v>0.0000038706435142912946</v>
      </c>
      <c r="CS177" s="4">
        <v>-1.260385025514399e-18</v>
      </c>
      <c r="CT177" s="4">
        <v>1.79</v>
      </c>
      <c r="CU177" s="4">
        <v>1.799</v>
      </c>
      <c r="CV177" s="6"/>
      <c r="CW177" s="6"/>
      <c r="CX177" s="6"/>
      <c r="CY177" s="9">
        <v>102</v>
      </c>
      <c r="CZ177" s="7">
        <f>IFERROR(CR177/F177,0)</f>
        <v>0.000002212559569712921</v>
      </c>
      <c r="DA177" t="inlineStr">
        <is>
          <t xml:space="preserve">SI69Z</t>
        </is>
      </c>
      <c r="DB177" t="inlineStr">
        <is>
          <t xml:space="preserve">future</t>
        </is>
      </c>
      <c r="DC177" t="inlineStr">
        <is>
          <t xml:space="preserve">lease</t>
        </is>
      </c>
      <c r="DD177" t="inlineStr">
        <is>
          <t xml:space="preserve">long</t>
        </is>
      </c>
      <c r="DE177" t="inlineStr">
        <is>
          <t xml:space="preserve">regular</t>
        </is>
      </c>
      <c r="DF177" s="4">
        <v>1.825</v>
      </c>
      <c r="DG177" s="4">
        <v>1.835</v>
      </c>
      <c r="DH177" s="4">
        <v>0.010842138695493825</v>
      </c>
      <c r="DI177" s="6">
        <v>0.011310703682706112</v>
      </c>
      <c r="DJ177" s="4">
        <v>0.01978690311927623</v>
      </c>
      <c r="DK177" s="4">
        <v>0</v>
      </c>
      <c r="DL177" s="4">
        <v>0</v>
      </c>
      <c r="DM177" s="4">
        <v>0.00010842138695493779</v>
      </c>
      <c r="DN177" s="4">
        <v>-0.00010842138695493779</v>
      </c>
      <c r="DO177" s="4">
        <v>1.79</v>
      </c>
      <c r="DP177" s="4">
        <v>1.799</v>
      </c>
      <c r="DQ177" s="6">
        <v>0.019553072625698276</v>
      </c>
      <c r="DR177" s="6">
        <v>0.07166593406593406</v>
      </c>
      <c r="DS177" s="6">
        <v>0.0016966055524059165</v>
      </c>
      <c r="DT177" s="9">
        <v>102</v>
      </c>
      <c r="DU177" s="7">
        <f>IFERROR(DM177/F177,0)</f>
        <v>0.00006197645853537569</v>
      </c>
      <c r="DV177" t="inlineStr">
        <is>
          <t xml:space="preserve">Lease cash / margin / financing</t>
        </is>
      </c>
      <c r="DW177" t="inlineStr">
        <is>
          <t xml:space="preserve">cash</t>
        </is>
      </c>
      <c r="DX177" t="inlineStr">
        <is>
          <t xml:space="preserve">lease</t>
        </is>
      </c>
      <c r="DY177" t="inlineStr">
        <is>
          <t xml:space="preserve">cash</t>
        </is>
      </c>
      <c r="DZ177"/>
      <c r="EA177" s="4">
        <v>1</v>
      </c>
      <c r="EB177" s="4">
        <v>1</v>
      </c>
      <c r="EC177" s="4">
        <v>8.881784197001252e-16</v>
      </c>
      <c r="ED177" s="6"/>
      <c r="EE177" s="4">
        <v>8.881784197001252e-16</v>
      </c>
      <c r="EF177" s="4">
        <v>8.881784197001252e-16</v>
      </c>
      <c r="EG177" s="4">
        <v>0.00009657474728356303</v>
      </c>
      <c r="EH177" s="4">
        <v>0</v>
      </c>
      <c r="EI177" s="4">
        <v>0.00009657474728267485</v>
      </c>
      <c r="EJ177" s="4">
        <v>1.79</v>
      </c>
      <c r="EK177" s="4">
        <v>1.799</v>
      </c>
      <c r="EL177" s="6"/>
      <c r="EM177" s="6"/>
      <c r="EN177" s="6"/>
      <c r="EO177" s="9"/>
      <c r="EP177" s="7">
        <f>IFERROR(EH177/F177,0)</f>
        <v>0</v>
      </c>
      <c r="EQ177" t="inlineStr">
        <is>
          <t xml:space="preserve">Keep cash / margin / financing</t>
        </is>
      </c>
      <c r="ER177" t="inlineStr">
        <is>
          <t xml:space="preserve">cash</t>
        </is>
      </c>
      <c r="ES177" t="inlineStr">
        <is>
          <t xml:space="preserve">keep</t>
        </is>
      </c>
      <c r="ET177" t="inlineStr">
        <is>
          <t xml:space="preserve">cash</t>
        </is>
      </c>
      <c r="EU177"/>
      <c r="EV177" s="4">
        <v>1</v>
      </c>
      <c r="EW177" s="4">
        <v>1</v>
      </c>
      <c r="EX177" s="4">
        <v>0</v>
      </c>
      <c r="EY177" s="6"/>
      <c r="EZ177" s="4">
        <v>0</v>
      </c>
      <c r="FA177" s="4">
        <v>0</v>
      </c>
      <c r="FB177" s="4">
        <v>0</v>
      </c>
      <c r="FC177" s="4">
        <v>0</v>
      </c>
      <c r="FD177" s="4">
        <v>0</v>
      </c>
      <c r="FE177" s="4">
        <v>1.79</v>
      </c>
      <c r="FF177" s="4">
        <v>1.799</v>
      </c>
      <c r="FG177" s="6"/>
      <c r="FH177" s="6"/>
      <c r="FI177" s="6"/>
      <c r="FJ177" s="9"/>
      <c r="FK177" s="7">
        <f>IFERROR(FC177/F177,0)</f>
        <v>0</v>
      </c>
      <c r="FL177"/>
      <c r="FM177"/>
      <c r="FN177"/>
      <c r="FO177"/>
      <c r="FP177"/>
      <c r="FQ177" s="4"/>
      <c r="FR177" s="4"/>
      <c r="FS177" s="4"/>
      <c r="FT177" s="6"/>
      <c r="FU177" s="4"/>
      <c r="FV177" s="4"/>
      <c r="FW177" s="4"/>
      <c r="FX177" s="4"/>
      <c r="FY177" s="4"/>
      <c r="FZ177" s="4"/>
      <c r="GA177" s="4"/>
      <c r="GB177" s="6"/>
      <c r="GC177" s="6"/>
      <c r="GD177" s="6"/>
      <c r="GE177" s="9"/>
      <c r="GF177"/>
      <c r="GG177"/>
      <c r="GH177"/>
      <c r="GI177"/>
      <c r="GJ177"/>
      <c r="GK177"/>
      <c r="GL177" s="4"/>
      <c r="GM177" s="4"/>
      <c r="GN177" s="4"/>
      <c r="GO177" s="6"/>
      <c r="GP177" s="4"/>
      <c r="GQ177" s="4"/>
      <c r="GR177" s="4"/>
      <c r="GS177" s="4"/>
      <c r="GT177" s="4"/>
      <c r="GU177" s="4"/>
      <c r="GV177" s="4"/>
      <c r="GW177" s="6"/>
      <c r="GX177" s="6"/>
      <c r="GY177" s="6"/>
      <c r="GZ177" s="9"/>
      <c r="HA177"/>
      <c r="HB177"/>
      <c r="HC177"/>
      <c r="HD177"/>
      <c r="HE177"/>
      <c r="HF177"/>
      <c r="HG177" s="4"/>
      <c r="HH177" s="4"/>
      <c r="HI177" s="4"/>
      <c r="HJ177" s="6"/>
      <c r="HK177" s="4"/>
      <c r="HL177" s="4"/>
      <c r="HM177" s="4"/>
      <c r="HN177" s="4"/>
      <c r="HO177" s="4"/>
      <c r="HP177" s="4"/>
      <c r="HQ177" s="4"/>
      <c r="HR177" s="6"/>
      <c r="HS177" s="6"/>
      <c r="HT177" s="6"/>
      <c r="HU177" s="9"/>
      <c r="HV177"/>
      <c r="HW177"/>
      <c r="HX177"/>
      <c r="HY177"/>
      <c r="HZ177"/>
      <c r="IA177"/>
      <c r="IB177" s="4"/>
      <c r="IC177" s="4"/>
      <c r="ID177" s="4"/>
      <c r="IE177" s="6"/>
      <c r="IF177" s="4"/>
      <c r="IG177" s="4"/>
      <c r="IH177" s="4"/>
      <c r="II177" s="4"/>
      <c r="IJ177" s="4"/>
      <c r="IK177" s="4"/>
      <c r="IL177" s="4"/>
      <c r="IM177" s="6"/>
      <c r="IN177" s="6"/>
      <c r="IO177" s="6"/>
      <c r="IP177" s="9"/>
      <c r="IQ177"/>
      <c r="IR177"/>
      <c r="IS177"/>
      <c r="IT177"/>
      <c r="IU177"/>
      <c r="IV177"/>
      <c r="IW177" s="4"/>
      <c r="IX177" s="4"/>
      <c r="IY177" s="4"/>
      <c r="IZ177" s="6"/>
      <c r="JA177" s="4"/>
      <c r="JB177" s="4"/>
      <c r="JC177" s="4"/>
      <c r="JD177" s="4"/>
      <c r="JE177" s="4"/>
      <c r="JF177" s="4"/>
      <c r="JG177" s="4"/>
      <c r="JH177" s="6"/>
      <c r="JI177" s="6"/>
      <c r="JJ177" s="6"/>
      <c r="JK177" s="9"/>
      <c r="JL177"/>
    </row>
    <row r="178">
      <c r="A178" s="8">
        <v>25465</v>
      </c>
      <c r="B178" s="8">
        <v>25468</v>
      </c>
      <c r="C178" s="9">
        <f>B178-A178</f>
        <v>3</v>
      </c>
      <c r="D178" s="8">
        <v>25465</v>
      </c>
      <c r="E178" t="inlineStr">
        <is>
          <t xml:space="preserve">neutral</t>
        </is>
      </c>
      <c r="F178" s="4">
        <v>1.758193100720038</v>
      </c>
      <c r="G178" s="6">
        <v>0.010540875067579366</v>
      </c>
      <c r="H178" s="7">
        <f>SUM(CE178,CZ178,DU178,EP178,FK178,GF178,HA178,HV178,IQ178,JL178)</f>
        <v>0.010540875067579362</v>
      </c>
      <c r="I178" s="7">
        <f>G178-H178</f>
        <v>3.469446951953614e-18</v>
      </c>
      <c r="J178" s="5">
        <f>F178*(1+H178)</f>
        <v>1.7767259945394078</v>
      </c>
      <c r="K178" s="4">
        <v>1.7767259945394078</v>
      </c>
      <c r="L178" s="5">
        <f>K178-J178</f>
        <v>0</v>
      </c>
      <c r="M178" s="4">
        <v>1.799</v>
      </c>
      <c r="N178" s="4">
        <v>1.818</v>
      </c>
      <c r="O178" s="5">
        <f>M178/$M$3</f>
        <v>0.9187946884576098</v>
      </c>
      <c r="P178" s="5">
        <f>N178/$M$3</f>
        <v>0.9284984678243106</v>
      </c>
      <c r="Q178" s="7">
        <f>IFERROR(N178/M178-1,0)</f>
        <v>0.010561423012784843</v>
      </c>
      <c r="R178" s="5">
        <f>SUM(IF(BM178="lease",BU178,0),IF(CH178="lease",CP178,0),IF(DC178="lease",DK178,0),IF(DX178="lease",EF178,0),IF(ES178="lease",FA178,0),IF(FN178="lease",FV178,0),IF(GI178="lease",GQ178,0),IF(HD178="lease",HL178,0),IF(HY178="lease",IG178,0),IF(IT178="lease",JB178,0))</f>
        <v>1.7581931007200389</v>
      </c>
      <c r="S178" s="5">
        <f>SUM(IF(BM178="lease",BV178,0),IF(CH178="lease",CQ178,0),IF(DC178="lease",DL178,0),IF(DX178="lease",EG178,0),IF(ES178="lease",FB178,0),IF(FN178="lease",FW178,0),IF(GI178="lease",GR178,0),IF(HD178="lease",HM178,0),IF(HY178="lease",IH178,0),IF(IT178="lease",JC178,0))</f>
        <v>1.7767259945394087</v>
      </c>
      <c r="T178" s="5">
        <f>SUM(IF(BM178="keep",BU178,0),IF(CH178="keep",CP178,0),IF(DC178="keep",DK178,0),IF(DX178="keep",EF178,0),IF(ES178="keep",FA178,0),IF(FN178="keep",FV178,0),IF(GI178="keep",GQ178,0),IF(HD178="keep",HL178,0),IF(HY178="keep",IG178,0),IF(IT178="keep",JB178,0))</f>
        <v>0</v>
      </c>
      <c r="U178" s="5">
        <f>SUM(IF(BM178="keep",BV178,0),IF(CH178="keep",CQ178,0),IF(DC178="keep",DL178,0),IF(DX178="keep",EG178,0),IF(ES178="keep",FB178,0),IF(FN178="keep",FW178,0),IF(GI178="keep",GR178,0),IF(HD178="keep",HM178,0),IF(HY178="keep",IH178,0),IF(IT178="keep",JC178,0))</f>
        <v>0</v>
      </c>
      <c r="V178" s="5">
        <f>R178/O178</f>
        <v>1.9135864876096922</v>
      </c>
      <c r="W178" s="5">
        <f>S178/P178</f>
        <v>1.9135475782773168</v>
      </c>
      <c r="X178" s="5">
        <f>T178/O178</f>
        <v>0</v>
      </c>
      <c r="Y178" s="5">
        <f>U178/P178</f>
        <v>0</v>
      </c>
      <c r="Z178" s="5">
        <f>V178+X178</f>
        <v>1.9135864876096922</v>
      </c>
      <c r="AA178" s="7">
        <f>IFERROR(W178/V178-1,0)</f>
        <v>-0.000020333197703559236</v>
      </c>
      <c r="AB178" s="7">
        <f>IFERROR((W178-V178)/Z178,0)</f>
        <v>-0.000020333197703534926</v>
      </c>
      <c r="AC178" s="7">
        <f>IFERROR(Y178/X178-1,0)</f>
        <v>0</v>
      </c>
      <c r="AD178" s="7">
        <f>IFERROR((Y178-X178)/Z178,0)</f>
        <v>0</v>
      </c>
      <c r="AE178" s="7">
        <f>AB178+AD178</f>
        <v>-0.000020333197703534926</v>
      </c>
      <c r="AF178" s="7">
        <f>(1+Q178)*(1+AE178)-1</f>
        <v>0.010540875067579059</v>
      </c>
      <c r="AG178" s="7">
        <f>G178-AF178</f>
        <v>3.0704605524789486e-16</v>
      </c>
      <c r="AH178" s="5">
        <f>SUM(IF(BM178="lease",BW178,0),IF(CH178="lease",CR178,0),IF(DC178="lease",DM178,0),IF(DX178="lease",EH178,0),IF(ES178="lease",FC178,0),IF(FN178="lease",FX178,0),IF(GI178="lease",GS178,0),IF(HD178="lease",HN178,0),IF(HY178="lease",II178,0),IF(IT178="lease",JD178,0))</f>
        <v>0.0185328938193699</v>
      </c>
      <c r="AI178" s="5">
        <f>SUM(IF(BM178="keep",BW178,0),IF(CH178="keep",CR178,0),IF(DC178="keep",DM178,0),IF(DX178="keep",EH178,0),IF(ES178="keep",FC178,0),IF(FN178="keep",FX178,0),IF(GI178="keep",GS178,0),IF(HD178="keep",HN178,0),IF(HY178="keep",II178,0),IF(IT178="keep",JD178,0))</f>
        <v>0</v>
      </c>
      <c r="AJ178" s="5">
        <f>SUM(IF(BM178="lease",BX178,0),IF(CH178="lease",CS178,0),IF(DC178="lease",DN178,0),IF(DX178="lease",EI178,0),IF(ES178="lease",FD178,0),IF(FN178="lease",FY178,0),IF(GI178="lease",GT178,0),IF(HD178="lease",HO178,0),IF(HY178="lease",IJ178,0),IF(IT178="lease",JE178,0))</f>
        <v>0</v>
      </c>
      <c r="AK178" s="5">
        <f>SUM(IF(BM178="keep",BX178,0),IF(CH178="keep",CS178,0),IF(DC178="keep",DN178,0),IF(DX178="keep",EI178,0),IF(ES178="keep",FD178,0),IF(FN178="keep",FY178,0),IF(GI178="keep",GT178,0),IF(HD178="keep",HO178,0),IF(HY178="keep",IJ178,0),IF(IT178="keep",JE178,0))</f>
        <v>0</v>
      </c>
      <c r="AL178" s="5">
        <f>R178-S177</f>
        <v>0</v>
      </c>
      <c r="AM178" s="5">
        <f>T178-U177</f>
        <v>0</v>
      </c>
      <c r="AN178" s="5">
        <f>AN177</f>
        <v>1</v>
      </c>
      <c r="AO178" s="5">
        <f>AO177+AH178</f>
        <v>0.7767259945394089</v>
      </c>
      <c r="AP178" s="5">
        <f>AP177+AL178</f>
        <v>-2.220446049250313e-16</v>
      </c>
      <c r="AQ178" s="5">
        <f>AN178+AO178+AP178</f>
        <v>1.7767259945394087</v>
      </c>
      <c r="AR178" s="5">
        <f>S178-AQ178</f>
        <v>0</v>
      </c>
      <c r="AS178" s="5">
        <f>AS177</f>
        <v>0</v>
      </c>
      <c r="AT178" s="5">
        <f>AT177+AI178</f>
        <v>0</v>
      </c>
      <c r="AU178" s="5">
        <f>AU177+AM178</f>
        <v>0</v>
      </c>
      <c r="AV178" s="5">
        <f>AS178+AT178+AU178</f>
        <v>0</v>
      </c>
      <c r="AW178" s="5">
        <f>U178-AV178</f>
        <v>0</v>
      </c>
      <c r="AX178" s="4">
        <v>1.7581931007200389</v>
      </c>
      <c r="AY178" s="4">
        <v>1.7767259945394087</v>
      </c>
      <c r="AZ178" s="5">
        <f>S178-AY178</f>
        <v>0</v>
      </c>
      <c r="BA178" s="4">
        <v>0</v>
      </c>
      <c r="BB178" s="4">
        <v>0</v>
      </c>
      <c r="BC178" s="5">
        <f>U178-BB178</f>
        <v>0</v>
      </c>
      <c r="BD178" s="7">
        <f>SUM(IF(BL178="direct",CE178,0),IF(CG178="direct",CZ178,0),IF(DB178="direct",DU178,0),IF(DW178="direct",EP178,0),IF(ER178="direct",FK178,0),IF(FM178="direct",GF178,0),IF(GH178="direct",HA178,0),IF(HC178="direct",HV178,0),IF(HX178="direct",IQ178,0),IF(IS178="direct",JL178,0))</f>
        <v>0.010540875067579362</v>
      </c>
      <c r="BE178" s="7">
        <f>SUM(IF(BL178="treasury",CE178,0),IF(CG178="treasury",CZ178,0),IF(DB178="treasury",DU178,0),IF(DW178="treasury",EP178,0),IF(ER178="treasury",FK178,0),IF(FM178="treasury",GF178,0),IF(GH178="treasury",HA178,0),IF(HC178="treasury",HV178,0),IF(HX178="treasury",IQ178,0),IF(IS178="treasury",JL178,0))</f>
        <v>0</v>
      </c>
      <c r="BF178" s="7">
        <f>SUM(IF(BL178="future",CE178,0),IF(CG178="future",CZ178,0),IF(DB178="future",DU178,0),IF(DW178="future",EP178,0),IF(ER178="future",FK178,0),IF(FM178="future",GF178,0),IF(GH178="future",HA178,0),IF(HC178="future",HV178,0),IF(HX178="future",IQ178,0),IF(IS178="future",JL178,0))</f>
        <v>0</v>
      </c>
      <c r="BG178" s="7">
        <f>SUM(IF(BL178="cash",CE178,0),IF(CG178="cash",CZ178,0),IF(DB178="cash",DU178,0),IF(DW178="cash",EP178,0),IF(ER178="cash",FK178,0),IF(FM178="cash",GF178,0),IF(GH178="cash",HA178,0),IF(HC178="cash",HV178,0),IF(HX178="cash",IQ178,0),IF(IS178="cash",JL178,0))</f>
        <v>0</v>
      </c>
      <c r="BH178" s="7">
        <f>SUM(BD178:BG178)</f>
        <v>0.010540875067579362</v>
      </c>
      <c r="BI178" s="7">
        <f>G178-BH178</f>
        <v>3.469446951953614e-18</v>
      </c>
      <c r="BJ178" s="9">
        <f>COUNTA(BK178,CF178,DA178,DV178,EQ178,FL178,GG178,HB178,HW178,IR178)</f>
        <v>3</v>
      </c>
      <c r="BK178" t="inlineStr">
        <is>
          <t xml:space="preserve">Direct commodity holding</t>
        </is>
      </c>
      <c r="BL178" t="inlineStr">
        <is>
          <t xml:space="preserve">direct</t>
        </is>
      </c>
      <c r="BM178" t="inlineStr">
        <is>
          <t xml:space="preserve">lease</t>
        </is>
      </c>
      <c r="BN178" t="inlineStr">
        <is>
          <t xml:space="preserve">long</t>
        </is>
      </c>
      <c r="BO178"/>
      <c r="BP178" s="4">
        <v>1.799</v>
      </c>
      <c r="BQ178" s="4">
        <v>1.818</v>
      </c>
      <c r="BR178" s="4">
        <v>0.977316898677064</v>
      </c>
      <c r="BS178" s="6">
        <v>1</v>
      </c>
      <c r="BT178" s="4">
        <v>1.758193100720038</v>
      </c>
      <c r="BU178" s="4">
        <v>1.758193100720038</v>
      </c>
      <c r="BV178" s="4">
        <v>1.7767621217949023</v>
      </c>
      <c r="BW178" s="4">
        <v>0.0185328938193699</v>
      </c>
      <c r="BX178" s="4">
        <v>0.000036127255494455834</v>
      </c>
      <c r="BY178" s="4">
        <v>1.799</v>
      </c>
      <c r="BZ178" s="4">
        <v>1.818</v>
      </c>
      <c r="CA178" s="6"/>
      <c r="CB178" s="6"/>
      <c r="CC178" s="6"/>
      <c r="CD178" s="9"/>
      <c r="CE178" s="7">
        <f>IFERROR(BW178/F178,0)</f>
        <v>0.010540875067579362</v>
      </c>
      <c r="CF178" t="inlineStr">
        <is>
          <t xml:space="preserve">Lease cash / margin / financing</t>
        </is>
      </c>
      <c r="CG178" t="inlineStr">
        <is>
          <t xml:space="preserve">cash</t>
        </is>
      </c>
      <c r="CH178" t="inlineStr">
        <is>
          <t xml:space="preserve">lease</t>
        </is>
      </c>
      <c r="CI178" t="inlineStr">
        <is>
          <t xml:space="preserve">cash</t>
        </is>
      </c>
      <c r="CJ178"/>
      <c r="CK178" s="4">
        <v>1</v>
      </c>
      <c r="CL178" s="4">
        <v>1</v>
      </c>
      <c r="CM178" s="4">
        <v>8.881784197001252e-16</v>
      </c>
      <c r="CN178" s="6"/>
      <c r="CO178" s="4">
        <v>8.881784197001252e-16</v>
      </c>
      <c r="CP178" s="4">
        <v>8.881784197001252e-16</v>
      </c>
      <c r="CQ178" s="4">
        <v>-0.000036127255493567656</v>
      </c>
      <c r="CR178" s="4">
        <v>0</v>
      </c>
      <c r="CS178" s="4">
        <v>-0.000036127255494455834</v>
      </c>
      <c r="CT178" s="4">
        <v>1.799</v>
      </c>
      <c r="CU178" s="4">
        <v>1.818</v>
      </c>
      <c r="CV178" s="6"/>
      <c r="CW178" s="6"/>
      <c r="CX178" s="6"/>
      <c r="CY178" s="9"/>
      <c r="CZ178" s="7">
        <f>IFERROR(CR178/F178,0)</f>
        <v>0</v>
      </c>
      <c r="DA178" t="inlineStr">
        <is>
          <t xml:space="preserve">Keep cash / margin / financing</t>
        </is>
      </c>
      <c r="DB178" t="inlineStr">
        <is>
          <t xml:space="preserve">cash</t>
        </is>
      </c>
      <c r="DC178" t="inlineStr">
        <is>
          <t xml:space="preserve">keep</t>
        </is>
      </c>
      <c r="DD178" t="inlineStr">
        <is>
          <t xml:space="preserve">cash</t>
        </is>
      </c>
      <c r="DE178"/>
      <c r="DF178" s="4">
        <v>1</v>
      </c>
      <c r="DG178" s="4">
        <v>1</v>
      </c>
      <c r="DH178" s="4">
        <v>0</v>
      </c>
      <c r="DI178" s="6"/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1.799</v>
      </c>
      <c r="DP178" s="4">
        <v>1.818</v>
      </c>
      <c r="DQ178" s="6"/>
      <c r="DR178" s="6"/>
      <c r="DS178" s="6"/>
      <c r="DT178" s="9"/>
      <c r="DU178" s="7">
        <f>IFERROR(DM178/F178,0)</f>
        <v>0</v>
      </c>
      <c r="DV178"/>
      <c r="DW178"/>
      <c r="DX178"/>
      <c r="DY178"/>
      <c r="DZ178"/>
      <c r="EA178" s="4"/>
      <c r="EB178" s="4"/>
      <c r="EC178" s="4"/>
      <c r="ED178" s="6"/>
      <c r="EE178" s="4"/>
      <c r="EF178" s="4"/>
      <c r="EG178" s="4"/>
      <c r="EH178" s="4"/>
      <c r="EI178" s="4"/>
      <c r="EJ178" s="4"/>
      <c r="EK178" s="4"/>
      <c r="EL178" s="6"/>
      <c r="EM178" s="6"/>
      <c r="EN178" s="6"/>
      <c r="EO178" s="9"/>
      <c r="EP178"/>
      <c r="EQ178"/>
      <c r="ER178"/>
      <c r="ES178"/>
      <c r="ET178"/>
      <c r="EU178"/>
      <c r="EV178" s="4"/>
      <c r="EW178" s="4"/>
      <c r="EX178" s="4"/>
      <c r="EY178" s="6"/>
      <c r="EZ178" s="4"/>
      <c r="FA178" s="4"/>
      <c r="FB178" s="4"/>
      <c r="FC178" s="4"/>
      <c r="FD178" s="4"/>
      <c r="FE178" s="4"/>
      <c r="FF178" s="4"/>
      <c r="FG178" s="6"/>
      <c r="FH178" s="6"/>
      <c r="FI178" s="6"/>
      <c r="FJ178" s="9"/>
      <c r="FK178"/>
      <c r="FL178"/>
      <c r="FM178"/>
      <c r="FN178"/>
      <c r="FO178"/>
      <c r="FP178"/>
      <c r="FQ178" s="4"/>
      <c r="FR178" s="4"/>
      <c r="FS178" s="4"/>
      <c r="FT178" s="6"/>
      <c r="FU178" s="4"/>
      <c r="FV178" s="4"/>
      <c r="FW178" s="4"/>
      <c r="FX178" s="4"/>
      <c r="FY178" s="4"/>
      <c r="FZ178" s="4"/>
      <c r="GA178" s="4"/>
      <c r="GB178" s="6"/>
      <c r="GC178" s="6"/>
      <c r="GD178" s="6"/>
      <c r="GE178" s="9"/>
      <c r="GF178"/>
      <c r="GG178"/>
      <c r="GH178"/>
      <c r="GI178"/>
      <c r="GJ178"/>
      <c r="GK178"/>
      <c r="GL178" s="4"/>
      <c r="GM178" s="4"/>
      <c r="GN178" s="4"/>
      <c r="GO178" s="6"/>
      <c r="GP178" s="4"/>
      <c r="GQ178" s="4"/>
      <c r="GR178" s="4"/>
      <c r="GS178" s="4"/>
      <c r="GT178" s="4"/>
      <c r="GU178" s="4"/>
      <c r="GV178" s="4"/>
      <c r="GW178" s="6"/>
      <c r="GX178" s="6"/>
      <c r="GY178" s="6"/>
      <c r="GZ178" s="9"/>
      <c r="HA178"/>
      <c r="HB178"/>
      <c r="HC178"/>
      <c r="HD178"/>
      <c r="HE178"/>
      <c r="HF178"/>
      <c r="HG178" s="4"/>
      <c r="HH178" s="4"/>
      <c r="HI178" s="4"/>
      <c r="HJ178" s="6"/>
      <c r="HK178" s="4"/>
      <c r="HL178" s="4"/>
      <c r="HM178" s="4"/>
      <c r="HN178" s="4"/>
      <c r="HO178" s="4"/>
      <c r="HP178" s="4"/>
      <c r="HQ178" s="4"/>
      <c r="HR178" s="6"/>
      <c r="HS178" s="6"/>
      <c r="HT178" s="6"/>
      <c r="HU178" s="9"/>
      <c r="HV178"/>
      <c r="HW178"/>
      <c r="HX178"/>
      <c r="HY178"/>
      <c r="HZ178"/>
      <c r="IA178"/>
      <c r="IB178" s="4"/>
      <c r="IC178" s="4"/>
      <c r="ID178" s="4"/>
      <c r="IE178" s="6"/>
      <c r="IF178" s="4"/>
      <c r="IG178" s="4"/>
      <c r="IH178" s="4"/>
      <c r="II178" s="4"/>
      <c r="IJ178" s="4"/>
      <c r="IK178" s="4"/>
      <c r="IL178" s="4"/>
      <c r="IM178" s="6"/>
      <c r="IN178" s="6"/>
      <c r="IO178" s="6"/>
      <c r="IP178" s="9"/>
      <c r="IQ178"/>
      <c r="IR178"/>
      <c r="IS178"/>
      <c r="IT178"/>
      <c r="IU178"/>
      <c r="IV178"/>
      <c r="IW178" s="4"/>
      <c r="IX178" s="4"/>
      <c r="IY178" s="4"/>
      <c r="IZ178" s="6"/>
      <c r="JA178" s="4"/>
      <c r="JB178" s="4"/>
      <c r="JC178" s="4"/>
      <c r="JD178" s="4"/>
      <c r="JE178" s="4"/>
      <c r="JF178" s="4"/>
      <c r="JG178" s="4"/>
      <c r="JH178" s="6"/>
      <c r="JI178" s="6"/>
      <c r="JJ178" s="6"/>
      <c r="JK178" s="9"/>
      <c r="JL178"/>
    </row>
    <row r="179">
      <c r="A179" s="8">
        <v>25468</v>
      </c>
      <c r="B179" s="8">
        <v>25469</v>
      </c>
      <c r="C179" s="9">
        <f>B179-A179</f>
        <v>1</v>
      </c>
      <c r="D179" s="8">
        <v>25468</v>
      </c>
      <c r="E179" t="inlineStr">
        <is>
          <t xml:space="preserve">neutral</t>
        </is>
      </c>
      <c r="F179" s="4">
        <v>1.7767259945394078</v>
      </c>
      <c r="G179" s="6">
        <v>0.027495900959959085</v>
      </c>
      <c r="H179" s="7">
        <f>SUM(CE179,CZ179,DU179,EP179,FK179,GF179,HA179,HV179,IQ179,JL179)</f>
        <v>0.027495900959959085</v>
      </c>
      <c r="I179" s="7">
        <f>G179-H179</f>
        <v>0</v>
      </c>
      <c r="J179" s="5">
        <f>F179*(1+H179)</f>
        <v>1.8255786765182482</v>
      </c>
      <c r="K179" s="4">
        <v>1.8255786765182482</v>
      </c>
      <c r="L179" s="5">
        <f>K179-J179</f>
        <v>0</v>
      </c>
      <c r="M179" s="4">
        <v>1.818</v>
      </c>
      <c r="N179" s="4">
        <v>1.868</v>
      </c>
      <c r="O179" s="5">
        <f>M179/$M$3</f>
        <v>0.9284984678243106</v>
      </c>
      <c r="P179" s="5">
        <f>N179/$M$3</f>
        <v>0.9540347293156283</v>
      </c>
      <c r="Q179" s="7">
        <f>IFERROR(N179/M179-1,0)</f>
        <v>0.027502750275027577</v>
      </c>
      <c r="R179" s="5">
        <f>SUM(IF(BM179="lease",BU179,0),IF(CH179="lease",CP179,0),IF(DC179="lease",DK179,0),IF(DX179="lease",EF179,0),IF(ES179="lease",FA179,0),IF(FN179="lease",FV179,0),IF(GI179="lease",GQ179,0),IF(HD179="lease",HL179,0),IF(HY179="lease",IG179,0),IF(IT179="lease",JB179,0))</f>
        <v>1.7767259945394087</v>
      </c>
      <c r="S179" s="5">
        <f>SUM(IF(BM179="lease",BV179,0),IF(CH179="lease",CQ179,0),IF(DC179="lease",DL179,0),IF(DX179="lease",EG179,0),IF(ES179="lease",FB179,0),IF(FN179="lease",FW179,0),IF(GI179="lease",GR179,0),IF(HD179="lease",HM179,0),IF(HY179="lease",IH179,0),IF(IT179="lease",JC179,0))</f>
        <v>1.8255786765182491</v>
      </c>
      <c r="T179" s="5">
        <f>SUM(IF(BM179="keep",BU179,0),IF(CH179="keep",CP179,0),IF(DC179="keep",DK179,0),IF(DX179="keep",EF179,0),IF(ES179="keep",FA179,0),IF(FN179="keep",FV179,0),IF(GI179="keep",GQ179,0),IF(HD179="keep",HL179,0),IF(HY179="keep",IG179,0),IF(IT179="keep",JB179,0))</f>
        <v>0</v>
      </c>
      <c r="U179" s="5">
        <f>SUM(IF(BM179="keep",BV179,0),IF(CH179="keep",CQ179,0),IF(DC179="keep",DL179,0),IF(DX179="keep",EG179,0),IF(ES179="keep",FB179,0),IF(FN179="keep",FW179,0),IF(GI179="keep",GR179,0),IF(HD179="keep",HM179,0),IF(HY179="keep",IH179,0),IF(IT179="keep",JC179,0))</f>
        <v>0</v>
      </c>
      <c r="V179" s="5">
        <f>R179/O179</f>
        <v>1.9135475782773168</v>
      </c>
      <c r="W179" s="5">
        <f>S179/P179</f>
        <v>1.9135348226031754</v>
      </c>
      <c r="X179" s="5">
        <f>T179/O179</f>
        <v>0</v>
      </c>
      <c r="Y179" s="5">
        <f>U179/P179</f>
        <v>0</v>
      </c>
      <c r="Z179" s="5">
        <f>V179+X179</f>
        <v>1.9135475782773168</v>
      </c>
      <c r="AA179" s="7">
        <f>IFERROR(W179/V179-1,0)</f>
        <v>-0.0000066659822238746</v>
      </c>
      <c r="AB179" s="7">
        <f>IFERROR((W179-V179)/Z179,0)</f>
        <v>-0.0000066659822239006796</v>
      </c>
      <c r="AC179" s="7">
        <f>IFERROR(Y179/X179-1,0)</f>
        <v>0</v>
      </c>
      <c r="AD179" s="7">
        <f>IFERROR((Y179-X179)/Z179,0)</f>
        <v>0</v>
      </c>
      <c r="AE179" s="7">
        <f>AB179+AD179</f>
        <v>-0.0000066659822239006796</v>
      </c>
      <c r="AF179" s="7">
        <f>(1+Q179)*(1+AE179)-1</f>
        <v>0.027495900959959352</v>
      </c>
      <c r="AG179" s="7">
        <f>G179-AF179</f>
        <v>-2.671474153004283e-16</v>
      </c>
      <c r="AH179" s="5">
        <f>SUM(IF(BM179="lease",BW179,0),IF(CH179="lease",CR179,0),IF(DC179="lease",DM179,0),IF(DX179="lease",EH179,0),IF(ES179="lease",FC179,0),IF(FN179="lease",FX179,0),IF(GI179="lease",GS179,0),IF(HD179="lease",HN179,0),IF(HY179="lease",II179,0),IF(IT179="lease",JD179,0))</f>
        <v>0.048852681978840365</v>
      </c>
      <c r="AI179" s="5">
        <f>SUM(IF(BM179="keep",BW179,0),IF(CH179="keep",CR179,0),IF(DC179="keep",DM179,0),IF(DX179="keep",EH179,0),IF(ES179="keep",FC179,0),IF(FN179="keep",FX179,0),IF(GI179="keep",GS179,0),IF(HD179="keep",HN179,0),IF(HY179="keep",II179,0),IF(IT179="keep",JD179,0))</f>
        <v>0</v>
      </c>
      <c r="AJ179" s="5">
        <f>SUM(IF(BM179="lease",BX179,0),IF(CH179="lease",CS179,0),IF(DC179="lease",DN179,0),IF(DX179="lease",EI179,0),IF(ES179="lease",FD179,0),IF(FN179="lease",FY179,0),IF(GI179="lease",GT179,0),IF(HD179="lease",HO179,0),IF(HY179="lease",IJ179,0),IF(IT179="lease",JE179,0))</f>
        <v>0</v>
      </c>
      <c r="AK179" s="5">
        <f>SUM(IF(BM179="keep",BX179,0),IF(CH179="keep",CS179,0),IF(DC179="keep",DN179,0),IF(DX179="keep",EI179,0),IF(ES179="keep",FD179,0),IF(FN179="keep",FY179,0),IF(GI179="keep",GT179,0),IF(HD179="keep",HO179,0),IF(HY179="keep",IJ179,0),IF(IT179="keep",JE179,0))</f>
        <v>0</v>
      </c>
      <c r="AL179" s="5">
        <f>R179-S178</f>
        <v>0</v>
      </c>
      <c r="AM179" s="5">
        <f>T179-U178</f>
        <v>0</v>
      </c>
      <c r="AN179" s="5">
        <f>AN178</f>
        <v>1</v>
      </c>
      <c r="AO179" s="5">
        <f>AO178+AH179</f>
        <v>0.8255786765182493</v>
      </c>
      <c r="AP179" s="5">
        <f>AP178+AL179</f>
        <v>-2.220446049250313e-16</v>
      </c>
      <c r="AQ179" s="5">
        <f>AN179+AO179+AP179</f>
        <v>1.8255786765182491</v>
      </c>
      <c r="AR179" s="5">
        <f>S179-AQ179</f>
        <v>0</v>
      </c>
      <c r="AS179" s="5">
        <f>AS178</f>
        <v>0</v>
      </c>
      <c r="AT179" s="5">
        <f>AT178+AI179</f>
        <v>0</v>
      </c>
      <c r="AU179" s="5">
        <f>AU178+AM179</f>
        <v>0</v>
      </c>
      <c r="AV179" s="5">
        <f>AS179+AT179+AU179</f>
        <v>0</v>
      </c>
      <c r="AW179" s="5">
        <f>U179-AV179</f>
        <v>0</v>
      </c>
      <c r="AX179" s="4">
        <v>1.7767259945394087</v>
      </c>
      <c r="AY179" s="4">
        <v>1.8255786765182491</v>
      </c>
      <c r="AZ179" s="5">
        <f>S179-AY179</f>
        <v>0</v>
      </c>
      <c r="BA179" s="4">
        <v>0</v>
      </c>
      <c r="BB179" s="4">
        <v>0</v>
      </c>
      <c r="BC179" s="5">
        <f>U179-BB179</f>
        <v>0</v>
      </c>
      <c r="BD179" s="7">
        <f>SUM(IF(BL179="direct",CE179,0),IF(CG179="direct",CZ179,0),IF(DB179="direct",DU179,0),IF(DW179="direct",EP179,0),IF(ER179="direct",FK179,0),IF(FM179="direct",GF179,0),IF(GH179="direct",HA179,0),IF(HC179="direct",HV179,0),IF(HX179="direct",IQ179,0),IF(IS179="direct",JL179,0))</f>
        <v>0.027495900959959085</v>
      </c>
      <c r="BE179" s="7">
        <f>SUM(IF(BL179="treasury",CE179,0),IF(CG179="treasury",CZ179,0),IF(DB179="treasury",DU179,0),IF(DW179="treasury",EP179,0),IF(ER179="treasury",FK179,0),IF(FM179="treasury",GF179,0),IF(GH179="treasury",HA179,0),IF(HC179="treasury",HV179,0),IF(HX179="treasury",IQ179,0),IF(IS179="treasury",JL179,0))</f>
        <v>0</v>
      </c>
      <c r="BF179" s="7">
        <f>SUM(IF(BL179="future",CE179,0),IF(CG179="future",CZ179,0),IF(DB179="future",DU179,0),IF(DW179="future",EP179,0),IF(ER179="future",FK179,0),IF(FM179="future",GF179,0),IF(GH179="future",HA179,0),IF(HC179="future",HV179,0),IF(HX179="future",IQ179,0),IF(IS179="future",JL179,0))</f>
        <v>0</v>
      </c>
      <c r="BG179" s="7">
        <f>SUM(IF(BL179="cash",CE179,0),IF(CG179="cash",CZ179,0),IF(DB179="cash",DU179,0),IF(DW179="cash",EP179,0),IF(ER179="cash",FK179,0),IF(FM179="cash",GF179,0),IF(GH179="cash",HA179,0),IF(HC179="cash",HV179,0),IF(HX179="cash",IQ179,0),IF(IS179="cash",JL179,0))</f>
        <v>0</v>
      </c>
      <c r="BH179" s="7">
        <f>SUM(BD179:BG179)</f>
        <v>0.027495900959959085</v>
      </c>
      <c r="BI179" s="7">
        <f>G179-BH179</f>
        <v>0</v>
      </c>
      <c r="BJ179" s="9">
        <f>COUNTA(BK179,CF179,DA179,DV179,EQ179,FL179,GG179,HB179,HW179,IR179)</f>
        <v>3</v>
      </c>
      <c r="BK179" t="inlineStr">
        <is>
          <t xml:space="preserve">Direct commodity holding</t>
        </is>
      </c>
      <c r="BL179" t="inlineStr">
        <is>
          <t xml:space="preserve">direct</t>
        </is>
      </c>
      <c r="BM179" t="inlineStr">
        <is>
          <t xml:space="preserve">lease</t>
        </is>
      </c>
      <c r="BN179" t="inlineStr">
        <is>
          <t xml:space="preserve">long</t>
        </is>
      </c>
      <c r="BO179"/>
      <c r="BP179" s="4">
        <v>1.818</v>
      </c>
      <c r="BQ179" s="4">
        <v>1.868</v>
      </c>
      <c r="BR179" s="4">
        <v>0.9772970266993442</v>
      </c>
      <c r="BS179" s="6">
        <v>1</v>
      </c>
      <c r="BT179" s="4">
        <v>1.7767259945394078</v>
      </c>
      <c r="BU179" s="4">
        <v>1.7767259945394078</v>
      </c>
      <c r="BV179" s="4">
        <v>1.825590845874375</v>
      </c>
      <c r="BW179" s="4">
        <v>0.048852681978840365</v>
      </c>
      <c r="BX179" s="4">
        <v>0.000012169356126842668</v>
      </c>
      <c r="BY179" s="4">
        <v>1.818</v>
      </c>
      <c r="BZ179" s="4">
        <v>1.868</v>
      </c>
      <c r="CA179" s="6"/>
      <c r="CB179" s="6"/>
      <c r="CC179" s="6"/>
      <c r="CD179" s="9"/>
      <c r="CE179" s="7">
        <f>IFERROR(BW179/F179,0)</f>
        <v>0.027495900959959085</v>
      </c>
      <c r="CF179" t="inlineStr">
        <is>
          <t xml:space="preserve">Lease cash / margin / financing</t>
        </is>
      </c>
      <c r="CG179" t="inlineStr">
        <is>
          <t xml:space="preserve">cash</t>
        </is>
      </c>
      <c r="CH179" t="inlineStr">
        <is>
          <t xml:space="preserve">lease</t>
        </is>
      </c>
      <c r="CI179" t="inlineStr">
        <is>
          <t xml:space="preserve">cash</t>
        </is>
      </c>
      <c r="CJ179"/>
      <c r="CK179" s="4">
        <v>1</v>
      </c>
      <c r="CL179" s="4">
        <v>1</v>
      </c>
      <c r="CM179" s="4">
        <v>8.881784197001252e-16</v>
      </c>
      <c r="CN179" s="6"/>
      <c r="CO179" s="4">
        <v>8.881784197001252e-16</v>
      </c>
      <c r="CP179" s="4">
        <v>8.881784197001252e-16</v>
      </c>
      <c r="CQ179" s="4">
        <v>-0.000012169356125954489</v>
      </c>
      <c r="CR179" s="4">
        <v>0</v>
      </c>
      <c r="CS179" s="4">
        <v>-0.000012169356126842668</v>
      </c>
      <c r="CT179" s="4">
        <v>1.818</v>
      </c>
      <c r="CU179" s="4">
        <v>1.868</v>
      </c>
      <c r="CV179" s="6"/>
      <c r="CW179" s="6"/>
      <c r="CX179" s="6"/>
      <c r="CY179" s="9"/>
      <c r="CZ179" s="7">
        <f>IFERROR(CR179/F179,0)</f>
        <v>0</v>
      </c>
      <c r="DA179" t="inlineStr">
        <is>
          <t xml:space="preserve">Keep cash / margin / financing</t>
        </is>
      </c>
      <c r="DB179" t="inlineStr">
        <is>
          <t xml:space="preserve">cash</t>
        </is>
      </c>
      <c r="DC179" t="inlineStr">
        <is>
          <t xml:space="preserve">keep</t>
        </is>
      </c>
      <c r="DD179" t="inlineStr">
        <is>
          <t xml:space="preserve">cash</t>
        </is>
      </c>
      <c r="DE179"/>
      <c r="DF179" s="4">
        <v>1</v>
      </c>
      <c r="DG179" s="4">
        <v>1</v>
      </c>
      <c r="DH179" s="4">
        <v>0</v>
      </c>
      <c r="DI179" s="6"/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1.818</v>
      </c>
      <c r="DP179" s="4">
        <v>1.868</v>
      </c>
      <c r="DQ179" s="6"/>
      <c r="DR179" s="6"/>
      <c r="DS179" s="6"/>
      <c r="DT179" s="9"/>
      <c r="DU179" s="7">
        <f>IFERROR(DM179/F179,0)</f>
        <v>0</v>
      </c>
      <c r="DV179"/>
      <c r="DW179"/>
      <c r="DX179"/>
      <c r="DY179"/>
      <c r="DZ179"/>
      <c r="EA179" s="4"/>
      <c r="EB179" s="4"/>
      <c r="EC179" s="4"/>
      <c r="ED179" s="6"/>
      <c r="EE179" s="4"/>
      <c r="EF179" s="4"/>
      <c r="EG179" s="4"/>
      <c r="EH179" s="4"/>
      <c r="EI179" s="4"/>
      <c r="EJ179" s="4"/>
      <c r="EK179" s="4"/>
      <c r="EL179" s="6"/>
      <c r="EM179" s="6"/>
      <c r="EN179" s="6"/>
      <c r="EO179" s="9"/>
      <c r="EP179"/>
      <c r="EQ179"/>
      <c r="ER179"/>
      <c r="ES179"/>
      <c r="ET179"/>
      <c r="EU179"/>
      <c r="EV179" s="4"/>
      <c r="EW179" s="4"/>
      <c r="EX179" s="4"/>
      <c r="EY179" s="6"/>
      <c r="EZ179" s="4"/>
      <c r="FA179" s="4"/>
      <c r="FB179" s="4"/>
      <c r="FC179" s="4"/>
      <c r="FD179" s="4"/>
      <c r="FE179" s="4"/>
      <c r="FF179" s="4"/>
      <c r="FG179" s="6"/>
      <c r="FH179" s="6"/>
      <c r="FI179" s="6"/>
      <c r="FJ179" s="9"/>
      <c r="FK179"/>
      <c r="FL179"/>
      <c r="FM179"/>
      <c r="FN179"/>
      <c r="FO179"/>
      <c r="FP179"/>
      <c r="FQ179" s="4"/>
      <c r="FR179" s="4"/>
      <c r="FS179" s="4"/>
      <c r="FT179" s="6"/>
      <c r="FU179" s="4"/>
      <c r="FV179" s="4"/>
      <c r="FW179" s="4"/>
      <c r="FX179" s="4"/>
      <c r="FY179" s="4"/>
      <c r="FZ179" s="4"/>
      <c r="GA179" s="4"/>
      <c r="GB179" s="6"/>
      <c r="GC179" s="6"/>
      <c r="GD179" s="6"/>
      <c r="GE179" s="9"/>
      <c r="GF179"/>
      <c r="GG179"/>
      <c r="GH179"/>
      <c r="GI179"/>
      <c r="GJ179"/>
      <c r="GK179"/>
      <c r="GL179" s="4"/>
      <c r="GM179" s="4"/>
      <c r="GN179" s="4"/>
      <c r="GO179" s="6"/>
      <c r="GP179" s="4"/>
      <c r="GQ179" s="4"/>
      <c r="GR179" s="4"/>
      <c r="GS179" s="4"/>
      <c r="GT179" s="4"/>
      <c r="GU179" s="4"/>
      <c r="GV179" s="4"/>
      <c r="GW179" s="6"/>
      <c r="GX179" s="6"/>
      <c r="GY179" s="6"/>
      <c r="GZ179" s="9"/>
      <c r="HA179"/>
      <c r="HB179"/>
      <c r="HC179"/>
      <c r="HD179"/>
      <c r="HE179"/>
      <c r="HF179"/>
      <c r="HG179" s="4"/>
      <c r="HH179" s="4"/>
      <c r="HI179" s="4"/>
      <c r="HJ179" s="6"/>
      <c r="HK179" s="4"/>
      <c r="HL179" s="4"/>
      <c r="HM179" s="4"/>
      <c r="HN179" s="4"/>
      <c r="HO179" s="4"/>
      <c r="HP179" s="4"/>
      <c r="HQ179" s="4"/>
      <c r="HR179" s="6"/>
      <c r="HS179" s="6"/>
      <c r="HT179" s="6"/>
      <c r="HU179" s="9"/>
      <c r="HV179"/>
      <c r="HW179"/>
      <c r="HX179"/>
      <c r="HY179"/>
      <c r="HZ179"/>
      <c r="IA179"/>
      <c r="IB179" s="4"/>
      <c r="IC179" s="4"/>
      <c r="ID179" s="4"/>
      <c r="IE179" s="6"/>
      <c r="IF179" s="4"/>
      <c r="IG179" s="4"/>
      <c r="IH179" s="4"/>
      <c r="II179" s="4"/>
      <c r="IJ179" s="4"/>
      <c r="IK179" s="4"/>
      <c r="IL179" s="4"/>
      <c r="IM179" s="6"/>
      <c r="IN179" s="6"/>
      <c r="IO179" s="6"/>
      <c r="IP179" s="9"/>
      <c r="IQ179"/>
      <c r="IR179"/>
      <c r="IS179"/>
      <c r="IT179"/>
      <c r="IU179"/>
      <c r="IV179"/>
      <c r="IW179" s="4"/>
      <c r="IX179" s="4"/>
      <c r="IY179" s="4"/>
      <c r="IZ179" s="6"/>
      <c r="JA179" s="4"/>
      <c r="JB179" s="4"/>
      <c r="JC179" s="4"/>
      <c r="JD179" s="4"/>
      <c r="JE179" s="4"/>
      <c r="JF179" s="4"/>
      <c r="JG179" s="4"/>
      <c r="JH179" s="6"/>
      <c r="JI179" s="6"/>
      <c r="JJ179" s="6"/>
      <c r="JK179" s="9"/>
      <c r="JL179"/>
    </row>
    <row r="180">
      <c r="A180" s="8">
        <v>25469</v>
      </c>
      <c r="B180" s="8">
        <v>25470</v>
      </c>
      <c r="C180" s="9">
        <f>B180-A180</f>
        <v>1</v>
      </c>
      <c r="D180" s="8">
        <v>25469</v>
      </c>
      <c r="E180" t="inlineStr">
        <is>
          <t xml:space="preserve">neutral</t>
        </is>
      </c>
      <c r="F180" s="4">
        <v>1.8255786765182482</v>
      </c>
      <c r="G180" s="6">
        <v>0.012305784517907934</v>
      </c>
      <c r="H180" s="7">
        <f>SUM(CE180,CZ180,DU180,EP180,FK180,GF180,HA180,HV180,IQ180,JL180)</f>
        <v>0.012305784517907934</v>
      </c>
      <c r="I180" s="7">
        <f>G180-H180</f>
        <v>0</v>
      </c>
      <c r="J180" s="5">
        <f>F180*(1+H180)</f>
        <v>1.8480438543319695</v>
      </c>
      <c r="K180" s="4">
        <v>1.8480438543319695</v>
      </c>
      <c r="L180" s="5">
        <f>K180-J180</f>
        <v>0</v>
      </c>
      <c r="M180" s="4">
        <v>1.868</v>
      </c>
      <c r="N180" s="4">
        <v>1.891</v>
      </c>
      <c r="O180" s="5">
        <f>M180/$M$3</f>
        <v>0.9540347293156283</v>
      </c>
      <c r="P180" s="5">
        <f>N180/$M$3</f>
        <v>0.9657814096016344</v>
      </c>
      <c r="Q180" s="7">
        <f>IFERROR(N180/M180-1,0)</f>
        <v>0.012312633832976427</v>
      </c>
      <c r="R180" s="5">
        <f>SUM(IF(BM180="lease",BU180,0),IF(CH180="lease",CP180,0),IF(DC180="lease",DK180,0),IF(DX180="lease",EF180,0),IF(ES180="lease",FA180,0),IF(FN180="lease",FV180,0),IF(GI180="lease",GQ180,0),IF(HD180="lease",HL180,0),IF(HY180="lease",IG180,0),IF(IT180="lease",JB180,0))</f>
        <v>1.8255786765182491</v>
      </c>
      <c r="S180" s="5">
        <f>SUM(IF(BM180="lease",BV180,0),IF(CH180="lease",CQ180,0),IF(DC180="lease",DL180,0),IF(DX180="lease",EG180,0),IF(ES180="lease",FB180,0),IF(FN180="lease",FW180,0),IF(GI180="lease",GR180,0),IF(HD180="lease",HM180,0),IF(HY180="lease",IH180,0),IF(IT180="lease",JC180,0))</f>
        <v>1.8480438543319702</v>
      </c>
      <c r="T180" s="5">
        <f>SUM(IF(BM180="keep",BU180,0),IF(CH180="keep",CP180,0),IF(DC180="keep",DK180,0),IF(DX180="keep",EF180,0),IF(ES180="keep",FA180,0),IF(FN180="keep",FV180,0),IF(GI180="keep",GQ180,0),IF(HD180="keep",HL180,0),IF(HY180="keep",IG180,0),IF(IT180="keep",JB180,0))</f>
        <v>0</v>
      </c>
      <c r="U180" s="5">
        <f>SUM(IF(BM180="keep",BV180,0),IF(CH180="keep",CQ180,0),IF(DC180="keep",DL180,0),IF(DX180="keep",EG180,0),IF(ES180="keep",FB180,0),IF(FN180="keep",FW180,0),IF(GI180="keep",GR180,0),IF(HD180="keep",HM180,0),IF(HY180="keep",IH180,0),IF(IT180="keep",JC180,0))</f>
        <v>0</v>
      </c>
      <c r="V180" s="5">
        <f>R180/O180</f>
        <v>1.9135348226031754</v>
      </c>
      <c r="W180" s="5">
        <f>S180/P180</f>
        <v>1.9135218756118442</v>
      </c>
      <c r="X180" s="5">
        <f>T180/O180</f>
        <v>0</v>
      </c>
      <c r="Y180" s="5">
        <f>U180/P180</f>
        <v>0</v>
      </c>
      <c r="Z180" s="5">
        <f>V180+X180</f>
        <v>1.9135348226031754</v>
      </c>
      <c r="AA180" s="7">
        <f>IFERROR(W180/V180-1,0)</f>
        <v>-0.00000676600769333735</v>
      </c>
      <c r="AB180" s="7">
        <f>IFERROR((W180-V180)/Z180,0)</f>
        <v>-0.000006766007693363993</v>
      </c>
      <c r="AC180" s="7">
        <f>IFERROR(Y180/X180-1,0)</f>
        <v>0</v>
      </c>
      <c r="AD180" s="7">
        <f>IFERROR((Y180-X180)/Z180,0)</f>
        <v>0</v>
      </c>
      <c r="AE180" s="7">
        <f>AB180+AD180</f>
        <v>-0.000006766007693363993</v>
      </c>
      <c r="AF180" s="7">
        <f>(1+Q180)*(1+AE180)-1</f>
        <v>0.012305784517907759</v>
      </c>
      <c r="AG180" s="7">
        <f>G180-AF180</f>
        <v>1.7520707107365752e-16</v>
      </c>
      <c r="AH180" s="5">
        <f>SUM(IF(BM180="lease",BW180,0),IF(CH180="lease",CR180,0),IF(DC180="lease",DM180,0),IF(DX180="lease",EH180,0),IF(ES180="lease",FC180,0),IF(FN180="lease",FX180,0),IF(GI180="lease",GS180,0),IF(HD180="lease",HN180,0),IF(HY180="lease",II180,0),IF(IT180="lease",JD180,0))</f>
        <v>0.022465177813721114</v>
      </c>
      <c r="AI180" s="5">
        <f>SUM(IF(BM180="keep",BW180,0),IF(CH180="keep",CR180,0),IF(DC180="keep",DM180,0),IF(DX180="keep",EH180,0),IF(ES180="keep",FC180,0),IF(FN180="keep",FX180,0),IF(GI180="keep",GS180,0),IF(HD180="keep",HN180,0),IF(HY180="keep",II180,0),IF(IT180="keep",JD180,0))</f>
        <v>0</v>
      </c>
      <c r="AJ180" s="5">
        <f>SUM(IF(BM180="lease",BX180,0),IF(CH180="lease",CS180,0),IF(DC180="lease",DN180,0),IF(DX180="lease",EI180,0),IF(ES180="lease",FD180,0),IF(FN180="lease",FY180,0),IF(GI180="lease",GT180,0),IF(HD180="lease",HO180,0),IF(HY180="lease",IJ180,0),IF(IT180="lease",JE180,0))</f>
        <v>0</v>
      </c>
      <c r="AK180" s="5">
        <f>SUM(IF(BM180="keep",BX180,0),IF(CH180="keep",CS180,0),IF(DC180="keep",DN180,0),IF(DX180="keep",EI180,0),IF(ES180="keep",FD180,0),IF(FN180="keep",FY180,0),IF(GI180="keep",GT180,0),IF(HD180="keep",HO180,0),IF(HY180="keep",IJ180,0),IF(IT180="keep",JE180,0))</f>
        <v>0</v>
      </c>
      <c r="AL180" s="5">
        <f>R180-S179</f>
        <v>0</v>
      </c>
      <c r="AM180" s="5">
        <f>T180-U179</f>
        <v>0</v>
      </c>
      <c r="AN180" s="5">
        <f>AN179</f>
        <v>1</v>
      </c>
      <c r="AO180" s="5">
        <f>AO179+AH180</f>
        <v>0.8480438543319705</v>
      </c>
      <c r="AP180" s="5">
        <f>AP179+AL180</f>
        <v>-2.220446049250313e-16</v>
      </c>
      <c r="AQ180" s="5">
        <f>AN180+AO180+AP180</f>
        <v>1.8480438543319704</v>
      </c>
      <c r="AR180" s="5">
        <f>S180-AQ180</f>
        <v>-2.220446049250313e-16</v>
      </c>
      <c r="AS180" s="5">
        <f>AS179</f>
        <v>0</v>
      </c>
      <c r="AT180" s="5">
        <f>AT179+AI180</f>
        <v>0</v>
      </c>
      <c r="AU180" s="5">
        <f>AU179+AM180</f>
        <v>0</v>
      </c>
      <c r="AV180" s="5">
        <f>AS180+AT180+AU180</f>
        <v>0</v>
      </c>
      <c r="AW180" s="5">
        <f>U180-AV180</f>
        <v>0</v>
      </c>
      <c r="AX180" s="4">
        <v>1.8255786765182491</v>
      </c>
      <c r="AY180" s="4">
        <v>1.8480438543319702</v>
      </c>
      <c r="AZ180" s="5">
        <f>S180-AY180</f>
        <v>0</v>
      </c>
      <c r="BA180" s="4">
        <v>0</v>
      </c>
      <c r="BB180" s="4">
        <v>0</v>
      </c>
      <c r="BC180" s="5">
        <f>U180-BB180</f>
        <v>0</v>
      </c>
      <c r="BD180" s="7">
        <f>SUM(IF(BL180="direct",CE180,0),IF(CG180="direct",CZ180,0),IF(DB180="direct",DU180,0),IF(DW180="direct",EP180,0),IF(ER180="direct",FK180,0),IF(FM180="direct",GF180,0),IF(GH180="direct",HA180,0),IF(HC180="direct",HV180,0),IF(HX180="direct",IQ180,0),IF(IS180="direct",JL180,0))</f>
        <v>0.012305784517907934</v>
      </c>
      <c r="BE180" s="7">
        <f>SUM(IF(BL180="treasury",CE180,0),IF(CG180="treasury",CZ180,0),IF(DB180="treasury",DU180,0),IF(DW180="treasury",EP180,0),IF(ER180="treasury",FK180,0),IF(FM180="treasury",GF180,0),IF(GH180="treasury",HA180,0),IF(HC180="treasury",HV180,0),IF(HX180="treasury",IQ180,0),IF(IS180="treasury",JL180,0))</f>
        <v>0</v>
      </c>
      <c r="BF180" s="7">
        <f>SUM(IF(BL180="future",CE180,0),IF(CG180="future",CZ180,0),IF(DB180="future",DU180,0),IF(DW180="future",EP180,0),IF(ER180="future",FK180,0),IF(FM180="future",GF180,0),IF(GH180="future",HA180,0),IF(HC180="future",HV180,0),IF(HX180="future",IQ180,0),IF(IS180="future",JL180,0))</f>
        <v>0</v>
      </c>
      <c r="BG180" s="7">
        <f>SUM(IF(BL180="cash",CE180,0),IF(CG180="cash",CZ180,0),IF(DB180="cash",DU180,0),IF(DW180="cash",EP180,0),IF(ER180="cash",FK180,0),IF(FM180="cash",GF180,0),IF(GH180="cash",HA180,0),IF(HC180="cash",HV180,0),IF(HX180="cash",IQ180,0),IF(IS180="cash",JL180,0))</f>
        <v>0</v>
      </c>
      <c r="BH180" s="7">
        <f>SUM(BD180:BG180)</f>
        <v>0.012305784517907934</v>
      </c>
      <c r="BI180" s="7">
        <f>G180-BH180</f>
        <v>0</v>
      </c>
      <c r="BJ180" s="9">
        <f>COUNTA(BK180,CF180,DA180,DV180,EQ180,FL180,GG180,HB180,HW180,IR180)</f>
        <v>3</v>
      </c>
      <c r="BK180" t="inlineStr">
        <is>
          <t xml:space="preserve">Direct commodity holding</t>
        </is>
      </c>
      <c r="BL180" t="inlineStr">
        <is>
          <t xml:space="preserve">direct</t>
        </is>
      </c>
      <c r="BM180" t="inlineStr">
        <is>
          <t xml:space="preserve">lease</t>
        </is>
      </c>
      <c r="BN180" t="inlineStr">
        <is>
          <t xml:space="preserve">long</t>
        </is>
      </c>
      <c r="BO180"/>
      <c r="BP180" s="4">
        <v>1.868</v>
      </c>
      <c r="BQ180" s="4">
        <v>1.891</v>
      </c>
      <c r="BR180" s="4">
        <v>0.9772905120547367</v>
      </c>
      <c r="BS180" s="6">
        <v>1</v>
      </c>
      <c r="BT180" s="4">
        <v>1.8255786765182482</v>
      </c>
      <c r="BU180" s="4">
        <v>1.8255786765182482</v>
      </c>
      <c r="BV180" s="4">
        <v>1.8480563582955072</v>
      </c>
      <c r="BW180" s="4">
        <v>0.022465177813721114</v>
      </c>
      <c r="BX180" s="4">
        <v>0.000012503963537836837</v>
      </c>
      <c r="BY180" s="4">
        <v>1.868</v>
      </c>
      <c r="BZ180" s="4">
        <v>1.891</v>
      </c>
      <c r="CA180" s="6"/>
      <c r="CB180" s="6"/>
      <c r="CC180" s="6"/>
      <c r="CD180" s="9"/>
      <c r="CE180" s="7">
        <f>IFERROR(BW180/F180,0)</f>
        <v>0.012305784517907934</v>
      </c>
      <c r="CF180" t="inlineStr">
        <is>
          <t xml:space="preserve">Lease cash / margin / financing</t>
        </is>
      </c>
      <c r="CG180" t="inlineStr">
        <is>
          <t xml:space="preserve">cash</t>
        </is>
      </c>
      <c r="CH180" t="inlineStr">
        <is>
          <t xml:space="preserve">lease</t>
        </is>
      </c>
      <c r="CI180" t="inlineStr">
        <is>
          <t xml:space="preserve">cash</t>
        </is>
      </c>
      <c r="CJ180"/>
      <c r="CK180" s="4">
        <v>1</v>
      </c>
      <c r="CL180" s="4">
        <v>1</v>
      </c>
      <c r="CM180" s="4">
        <v>8.881784197001252e-16</v>
      </c>
      <c r="CN180" s="6"/>
      <c r="CO180" s="4">
        <v>8.881784197001252e-16</v>
      </c>
      <c r="CP180" s="4">
        <v>8.881784197001252e-16</v>
      </c>
      <c r="CQ180" s="4">
        <v>-0.000012503963536948659</v>
      </c>
      <c r="CR180" s="4">
        <v>0</v>
      </c>
      <c r="CS180" s="4">
        <v>-0.000012503963537836837</v>
      </c>
      <c r="CT180" s="4">
        <v>1.868</v>
      </c>
      <c r="CU180" s="4">
        <v>1.891</v>
      </c>
      <c r="CV180" s="6"/>
      <c r="CW180" s="6"/>
      <c r="CX180" s="6"/>
      <c r="CY180" s="9"/>
      <c r="CZ180" s="7">
        <f>IFERROR(CR180/F180,0)</f>
        <v>0</v>
      </c>
      <c r="DA180" t="inlineStr">
        <is>
          <t xml:space="preserve">Keep cash / margin / financing</t>
        </is>
      </c>
      <c r="DB180" t="inlineStr">
        <is>
          <t xml:space="preserve">cash</t>
        </is>
      </c>
      <c r="DC180" t="inlineStr">
        <is>
          <t xml:space="preserve">keep</t>
        </is>
      </c>
      <c r="DD180" t="inlineStr">
        <is>
          <t xml:space="preserve">cash</t>
        </is>
      </c>
      <c r="DE180"/>
      <c r="DF180" s="4">
        <v>1</v>
      </c>
      <c r="DG180" s="4">
        <v>1</v>
      </c>
      <c r="DH180" s="4">
        <v>0</v>
      </c>
      <c r="DI180" s="6"/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1.868</v>
      </c>
      <c r="DP180" s="4">
        <v>1.891</v>
      </c>
      <c r="DQ180" s="6"/>
      <c r="DR180" s="6"/>
      <c r="DS180" s="6"/>
      <c r="DT180" s="9"/>
      <c r="DU180" s="7">
        <f>IFERROR(DM180/F180,0)</f>
        <v>0</v>
      </c>
      <c r="DV180"/>
      <c r="DW180"/>
      <c r="DX180"/>
      <c r="DY180"/>
      <c r="DZ180"/>
      <c r="EA180" s="4"/>
      <c r="EB180" s="4"/>
      <c r="EC180" s="4"/>
      <c r="ED180" s="6"/>
      <c r="EE180" s="4"/>
      <c r="EF180" s="4"/>
      <c r="EG180" s="4"/>
      <c r="EH180" s="4"/>
      <c r="EI180" s="4"/>
      <c r="EJ180" s="4"/>
      <c r="EK180" s="4"/>
      <c r="EL180" s="6"/>
      <c r="EM180" s="6"/>
      <c r="EN180" s="6"/>
      <c r="EO180" s="9"/>
      <c r="EP180"/>
      <c r="EQ180"/>
      <c r="ER180"/>
      <c r="ES180"/>
      <c r="ET180"/>
      <c r="EU180"/>
      <c r="EV180" s="4"/>
      <c r="EW180" s="4"/>
      <c r="EX180" s="4"/>
      <c r="EY180" s="6"/>
      <c r="EZ180" s="4"/>
      <c r="FA180" s="4"/>
      <c r="FB180" s="4"/>
      <c r="FC180" s="4"/>
      <c r="FD180" s="4"/>
      <c r="FE180" s="4"/>
      <c r="FF180" s="4"/>
      <c r="FG180" s="6"/>
      <c r="FH180" s="6"/>
      <c r="FI180" s="6"/>
      <c r="FJ180" s="9"/>
      <c r="FK180"/>
      <c r="FL180"/>
      <c r="FM180"/>
      <c r="FN180"/>
      <c r="FO180"/>
      <c r="FP180"/>
      <c r="FQ180" s="4"/>
      <c r="FR180" s="4"/>
      <c r="FS180" s="4"/>
      <c r="FT180" s="6"/>
      <c r="FU180" s="4"/>
      <c r="FV180" s="4"/>
      <c r="FW180" s="4"/>
      <c r="FX180" s="4"/>
      <c r="FY180" s="4"/>
      <c r="FZ180" s="4"/>
      <c r="GA180" s="4"/>
      <c r="GB180" s="6"/>
      <c r="GC180" s="6"/>
      <c r="GD180" s="6"/>
      <c r="GE180" s="9"/>
      <c r="GF180"/>
      <c r="GG180"/>
      <c r="GH180"/>
      <c r="GI180"/>
      <c r="GJ180"/>
      <c r="GK180"/>
      <c r="GL180" s="4"/>
      <c r="GM180" s="4"/>
      <c r="GN180" s="4"/>
      <c r="GO180" s="6"/>
      <c r="GP180" s="4"/>
      <c r="GQ180" s="4"/>
      <c r="GR180" s="4"/>
      <c r="GS180" s="4"/>
      <c r="GT180" s="4"/>
      <c r="GU180" s="4"/>
      <c r="GV180" s="4"/>
      <c r="GW180" s="6"/>
      <c r="GX180" s="6"/>
      <c r="GY180" s="6"/>
      <c r="GZ180" s="9"/>
      <c r="HA180"/>
      <c r="HB180"/>
      <c r="HC180"/>
      <c r="HD180"/>
      <c r="HE180"/>
      <c r="HF180"/>
      <c r="HG180" s="4"/>
      <c r="HH180" s="4"/>
      <c r="HI180" s="4"/>
      <c r="HJ180" s="6"/>
      <c r="HK180" s="4"/>
      <c r="HL180" s="4"/>
      <c r="HM180" s="4"/>
      <c r="HN180" s="4"/>
      <c r="HO180" s="4"/>
      <c r="HP180" s="4"/>
      <c r="HQ180" s="4"/>
      <c r="HR180" s="6"/>
      <c r="HS180" s="6"/>
      <c r="HT180" s="6"/>
      <c r="HU180" s="9"/>
      <c r="HV180"/>
      <c r="HW180"/>
      <c r="HX180"/>
      <c r="HY180"/>
      <c r="HZ180"/>
      <c r="IA180"/>
      <c r="IB180" s="4"/>
      <c r="IC180" s="4"/>
      <c r="ID180" s="4"/>
      <c r="IE180" s="6"/>
      <c r="IF180" s="4"/>
      <c r="IG180" s="4"/>
      <c r="IH180" s="4"/>
      <c r="II180" s="4"/>
      <c r="IJ180" s="4"/>
      <c r="IK180" s="4"/>
      <c r="IL180" s="4"/>
      <c r="IM180" s="6"/>
      <c r="IN180" s="6"/>
      <c r="IO180" s="6"/>
      <c r="IP180" s="9"/>
      <c r="IQ180"/>
      <c r="IR180"/>
      <c r="IS180"/>
      <c r="IT180"/>
      <c r="IU180"/>
      <c r="IV180"/>
      <c r="IW180" s="4"/>
      <c r="IX180" s="4"/>
      <c r="IY180" s="4"/>
      <c r="IZ180" s="6"/>
      <c r="JA180" s="4"/>
      <c r="JB180" s="4"/>
      <c r="JC180" s="4"/>
      <c r="JD180" s="4"/>
      <c r="JE180" s="4"/>
      <c r="JF180" s="4"/>
      <c r="JG180" s="4"/>
      <c r="JH180" s="6"/>
      <c r="JI180" s="6"/>
      <c r="JJ180" s="6"/>
      <c r="JK180" s="9"/>
      <c r="JL180"/>
    </row>
    <row r="181">
      <c r="A181" s="8">
        <v>25470</v>
      </c>
      <c r="B181" s="8">
        <v>25471</v>
      </c>
      <c r="C181" s="9">
        <f>B181-A181</f>
        <v>1</v>
      </c>
      <c r="D181" s="8">
        <v>25470</v>
      </c>
      <c r="E181" t="inlineStr">
        <is>
          <t xml:space="preserve">neutral</t>
        </is>
      </c>
      <c r="F181" s="4">
        <v>1.8480438543319695</v>
      </c>
      <c r="G181" s="6">
        <v>-0.024332602884608413</v>
      </c>
      <c r="H181" s="7">
        <f>SUM(CE181,CZ181,DU181,EP181,FK181,GF181,HA181,HV181,IQ181,JL181)</f>
        <v>-0.024332602884608413</v>
      </c>
      <c r="I181" s="7">
        <f>G181-H181</f>
        <v>0</v>
      </c>
      <c r="J181" s="5">
        <f>F181*(1+H181)</f>
        <v>1.8030761371111685</v>
      </c>
      <c r="K181" s="4">
        <v>1.8030761371111685</v>
      </c>
      <c r="L181" s="5">
        <f>K181-J181</f>
        <v>0</v>
      </c>
      <c r="M181" s="4">
        <v>1.891</v>
      </c>
      <c r="N181" s="4">
        <v>1.845</v>
      </c>
      <c r="O181" s="5">
        <f>M181/$M$3</f>
        <v>0.9657814096016344</v>
      </c>
      <c r="P181" s="5">
        <f>N181/$M$3</f>
        <v>0.942288049029622</v>
      </c>
      <c r="Q181" s="7">
        <f>IFERROR(N181/M181-1,0)</f>
        <v>-0.02432575356953992</v>
      </c>
      <c r="R181" s="5">
        <f>SUM(IF(BM181="lease",BU181,0),IF(CH181="lease",CP181,0),IF(DC181="lease",DK181,0),IF(DX181="lease",EF181,0),IF(ES181="lease",FA181,0),IF(FN181="lease",FV181,0),IF(GI181="lease",GQ181,0),IF(HD181="lease",HL181,0),IF(HY181="lease",IG181,0),IF(IT181="lease",JB181,0))</f>
        <v>1.8480438543319702</v>
      </c>
      <c r="S181" s="5">
        <f>SUM(IF(BM181="lease",BV181,0),IF(CH181="lease",CQ181,0),IF(DC181="lease",DL181,0),IF(DX181="lease",EG181,0),IF(ES181="lease",FB181,0),IF(FN181="lease",FW181,0),IF(GI181="lease",GR181,0),IF(HD181="lease",HM181,0),IF(HY181="lease",IH181,0),IF(IT181="lease",JC181,0))</f>
        <v>1.8030761371111692</v>
      </c>
      <c r="T181" s="5">
        <f>SUM(IF(BM181="keep",BU181,0),IF(CH181="keep",CP181,0),IF(DC181="keep",DK181,0),IF(DX181="keep",EF181,0),IF(ES181="keep",FA181,0),IF(FN181="keep",FV181,0),IF(GI181="keep",GQ181,0),IF(HD181="keep",HL181,0),IF(HY181="keep",IG181,0),IF(IT181="keep",JB181,0))</f>
        <v>0</v>
      </c>
      <c r="U181" s="5">
        <f>SUM(IF(BM181="keep",BV181,0),IF(CH181="keep",CQ181,0),IF(DC181="keep",DL181,0),IF(DX181="keep",EG181,0),IF(ES181="keep",FB181,0),IF(FN181="keep",FW181,0),IF(GI181="keep",GR181,0),IF(HD181="keep",HM181,0),IF(HY181="keep",IH181,0),IF(IT181="keep",JC181,0))</f>
        <v>0</v>
      </c>
      <c r="V181" s="5">
        <f>R181/O181</f>
        <v>1.9135218756118442</v>
      </c>
      <c r="W181" s="5">
        <f>S181/P181</f>
        <v>1.913508442527734</v>
      </c>
      <c r="X181" s="5">
        <f>T181/O181</f>
        <v>0</v>
      </c>
      <c r="Y181" s="5">
        <f>U181/P181</f>
        <v>0</v>
      </c>
      <c r="Z181" s="5">
        <f>V181+X181</f>
        <v>1.9135218756118442</v>
      </c>
      <c r="AA181" s="7">
        <f>IFERROR(W181/V181-1,0)</f>
        <v>-0.0000070200838994116666</v>
      </c>
      <c r="AB181" s="7">
        <f>IFERROR((W181-V181)/Z181,0)</f>
        <v>-0.000007020083899419867</v>
      </c>
      <c r="AC181" s="7">
        <f>IFERROR(Y181/X181-1,0)</f>
        <v>0</v>
      </c>
      <c r="AD181" s="7">
        <f>IFERROR((Y181-X181)/Z181,0)</f>
        <v>0</v>
      </c>
      <c r="AE181" s="7">
        <f>AB181+AD181</f>
        <v>-0.000007020083899419867</v>
      </c>
      <c r="AF181" s="7">
        <f>(1+Q181)*(1+AE181)-1</f>
        <v>-0.024332602884608368</v>
      </c>
      <c r="AG181" s="7">
        <f>G181-AF181</f>
        <v>-4.5102810375396984e-17</v>
      </c>
      <c r="AH181" s="5">
        <f>SUM(IF(BM181="lease",BW181,0),IF(CH181="lease",CR181,0),IF(DC181="lease",DM181,0),IF(DX181="lease",EH181,0),IF(ES181="lease",FC181,0),IF(FN181="lease",FX181,0),IF(GI181="lease",GS181,0),IF(HD181="lease",HN181,0),IF(HY181="lease",II181,0),IF(IT181="lease",JD181,0))</f>
        <v>-0.04496771722080093</v>
      </c>
      <c r="AI181" s="5">
        <f>SUM(IF(BM181="keep",BW181,0),IF(CH181="keep",CR181,0),IF(DC181="keep",DM181,0),IF(DX181="keep",EH181,0),IF(ES181="keep",FC181,0),IF(FN181="keep",FX181,0),IF(GI181="keep",GS181,0),IF(HD181="keep",HN181,0),IF(HY181="keep",II181,0),IF(IT181="keep",JD181,0))</f>
        <v>0</v>
      </c>
      <c r="AJ181" s="5">
        <f>SUM(IF(BM181="lease",BX181,0),IF(CH181="lease",CS181,0),IF(DC181="lease",DN181,0),IF(DX181="lease",EI181,0),IF(ES181="lease",FD181,0),IF(FN181="lease",FY181,0),IF(GI181="lease",GT181,0),IF(HD181="lease",HO181,0),IF(HY181="lease",IJ181,0),IF(IT181="lease",JE181,0))</f>
        <v>0</v>
      </c>
      <c r="AK181" s="5">
        <f>SUM(IF(BM181="keep",BX181,0),IF(CH181="keep",CS181,0),IF(DC181="keep",DN181,0),IF(DX181="keep",EI181,0),IF(ES181="keep",FD181,0),IF(FN181="keep",FY181,0),IF(GI181="keep",GT181,0),IF(HD181="keep",HO181,0),IF(HY181="keep",IJ181,0),IF(IT181="keep",JE181,0))</f>
        <v>0</v>
      </c>
      <c r="AL181" s="5">
        <f>R181-S180</f>
        <v>0</v>
      </c>
      <c r="AM181" s="5">
        <f>T181-U180</f>
        <v>0</v>
      </c>
      <c r="AN181" s="5">
        <f>AN180</f>
        <v>1</v>
      </c>
      <c r="AO181" s="5">
        <f>AO180+AH181</f>
        <v>0.8030761371111695</v>
      </c>
      <c r="AP181" s="5">
        <f>AP180+AL181</f>
        <v>-2.220446049250313e-16</v>
      </c>
      <c r="AQ181" s="5">
        <f>AN181+AO181+AP181</f>
        <v>1.8030761371111692</v>
      </c>
      <c r="AR181" s="5">
        <f>S181-AQ181</f>
        <v>0</v>
      </c>
      <c r="AS181" s="5">
        <f>AS180</f>
        <v>0</v>
      </c>
      <c r="AT181" s="5">
        <f>AT180+AI181</f>
        <v>0</v>
      </c>
      <c r="AU181" s="5">
        <f>AU180+AM181</f>
        <v>0</v>
      </c>
      <c r="AV181" s="5">
        <f>AS181+AT181+AU181</f>
        <v>0</v>
      </c>
      <c r="AW181" s="5">
        <f>U181-AV181</f>
        <v>0</v>
      </c>
      <c r="AX181" s="4">
        <v>1.8480438543319702</v>
      </c>
      <c r="AY181" s="4">
        <v>1.8030761371111692</v>
      </c>
      <c r="AZ181" s="5">
        <f>S181-AY181</f>
        <v>0</v>
      </c>
      <c r="BA181" s="4">
        <v>0</v>
      </c>
      <c r="BB181" s="4">
        <v>0</v>
      </c>
      <c r="BC181" s="5">
        <f>U181-BB181</f>
        <v>0</v>
      </c>
      <c r="BD181" s="7">
        <f>SUM(IF(BL181="direct",CE181,0),IF(CG181="direct",CZ181,0),IF(DB181="direct",DU181,0),IF(DW181="direct",EP181,0),IF(ER181="direct",FK181,0),IF(FM181="direct",GF181,0),IF(GH181="direct",HA181,0),IF(HC181="direct",HV181,0),IF(HX181="direct",IQ181,0),IF(IS181="direct",JL181,0))</f>
        <v>-0.024332602884608413</v>
      </c>
      <c r="BE181" s="7">
        <f>SUM(IF(BL181="treasury",CE181,0),IF(CG181="treasury",CZ181,0),IF(DB181="treasury",DU181,0),IF(DW181="treasury",EP181,0),IF(ER181="treasury",FK181,0),IF(FM181="treasury",GF181,0),IF(GH181="treasury",HA181,0),IF(HC181="treasury",HV181,0),IF(HX181="treasury",IQ181,0),IF(IS181="treasury",JL181,0))</f>
        <v>0</v>
      </c>
      <c r="BF181" s="7">
        <f>SUM(IF(BL181="future",CE181,0),IF(CG181="future",CZ181,0),IF(DB181="future",DU181,0),IF(DW181="future",EP181,0),IF(ER181="future",FK181,0),IF(FM181="future",GF181,0),IF(GH181="future",HA181,0),IF(HC181="future",HV181,0),IF(HX181="future",IQ181,0),IF(IS181="future",JL181,0))</f>
        <v>0</v>
      </c>
      <c r="BG181" s="7">
        <f>SUM(IF(BL181="cash",CE181,0),IF(CG181="cash",CZ181,0),IF(DB181="cash",DU181,0),IF(DW181="cash",EP181,0),IF(ER181="cash",FK181,0),IF(FM181="cash",GF181,0),IF(GH181="cash",HA181,0),IF(HC181="cash",HV181,0),IF(HX181="cash",IQ181,0),IF(IS181="cash",JL181,0))</f>
        <v>0</v>
      </c>
      <c r="BH181" s="7">
        <f>SUM(BD181:BG181)</f>
        <v>-0.024332602884608413</v>
      </c>
      <c r="BI181" s="7">
        <f>G181-BH181</f>
        <v>0</v>
      </c>
      <c r="BJ181" s="9">
        <f>COUNTA(BK181,CF181,DA181,DV181,EQ181,FL181,GG181,HB181,HW181,IR181)</f>
        <v>3</v>
      </c>
      <c r="BK181" t="inlineStr">
        <is>
          <t xml:space="preserve">Direct commodity holding</t>
        </is>
      </c>
      <c r="BL181" t="inlineStr">
        <is>
          <t xml:space="preserve">direct</t>
        </is>
      </c>
      <c r="BM181" t="inlineStr">
        <is>
          <t xml:space="preserve">lease</t>
        </is>
      </c>
      <c r="BN181" t="inlineStr">
        <is>
          <t xml:space="preserve">long</t>
        </is>
      </c>
      <c r="BO181"/>
      <c r="BP181" s="4">
        <v>1.891</v>
      </c>
      <c r="BQ181" s="4">
        <v>1.845</v>
      </c>
      <c r="BR181" s="4">
        <v>0.9772838996996137</v>
      </c>
      <c r="BS181" s="6">
        <v>1</v>
      </c>
      <c r="BT181" s="4">
        <v>1.8480438543319695</v>
      </c>
      <c r="BU181" s="4">
        <v>1.8480438543319695</v>
      </c>
      <c r="BV181" s="4">
        <v>1.8030887949457872</v>
      </c>
      <c r="BW181" s="4">
        <v>-0.04496771722080093</v>
      </c>
      <c r="BX181" s="4">
        <v>0.00001265783461865816</v>
      </c>
      <c r="BY181" s="4">
        <v>1.891</v>
      </c>
      <c r="BZ181" s="4">
        <v>1.845</v>
      </c>
      <c r="CA181" s="6"/>
      <c r="CB181" s="6"/>
      <c r="CC181" s="6"/>
      <c r="CD181" s="9"/>
      <c r="CE181" s="7">
        <f>IFERROR(BW181/F181,0)</f>
        <v>-0.024332602884608413</v>
      </c>
      <c r="CF181" t="inlineStr">
        <is>
          <t xml:space="preserve">Lease cash / margin / financing</t>
        </is>
      </c>
      <c r="CG181" t="inlineStr">
        <is>
          <t xml:space="preserve">cash</t>
        </is>
      </c>
      <c r="CH181" t="inlineStr">
        <is>
          <t xml:space="preserve">lease</t>
        </is>
      </c>
      <c r="CI181" t="inlineStr">
        <is>
          <t xml:space="preserve">cash</t>
        </is>
      </c>
      <c r="CJ181"/>
      <c r="CK181" s="4">
        <v>1</v>
      </c>
      <c r="CL181" s="4">
        <v>1</v>
      </c>
      <c r="CM181" s="4">
        <v>6.661338147750939e-16</v>
      </c>
      <c r="CN181" s="6"/>
      <c r="CO181" s="4">
        <v>6.661338147750939e-16</v>
      </c>
      <c r="CP181" s="4">
        <v>6.661338147750939e-16</v>
      </c>
      <c r="CQ181" s="4">
        <v>-0.000012657834617992025</v>
      </c>
      <c r="CR181" s="4">
        <v>0</v>
      </c>
      <c r="CS181" s="4">
        <v>-0.00001265783461865816</v>
      </c>
      <c r="CT181" s="4">
        <v>1.891</v>
      </c>
      <c r="CU181" s="4">
        <v>1.845</v>
      </c>
      <c r="CV181" s="6"/>
      <c r="CW181" s="6"/>
      <c r="CX181" s="6"/>
      <c r="CY181" s="9"/>
      <c r="CZ181" s="7">
        <f>IFERROR(CR181/F181,0)</f>
        <v>0</v>
      </c>
      <c r="DA181" t="inlineStr">
        <is>
          <t xml:space="preserve">Keep cash / margin / financing</t>
        </is>
      </c>
      <c r="DB181" t="inlineStr">
        <is>
          <t xml:space="preserve">cash</t>
        </is>
      </c>
      <c r="DC181" t="inlineStr">
        <is>
          <t xml:space="preserve">keep</t>
        </is>
      </c>
      <c r="DD181" t="inlineStr">
        <is>
          <t xml:space="preserve">cash</t>
        </is>
      </c>
      <c r="DE181"/>
      <c r="DF181" s="4">
        <v>1</v>
      </c>
      <c r="DG181" s="4">
        <v>1</v>
      </c>
      <c r="DH181" s="4">
        <v>0</v>
      </c>
      <c r="DI181" s="6"/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1.891</v>
      </c>
      <c r="DP181" s="4">
        <v>1.845</v>
      </c>
      <c r="DQ181" s="6"/>
      <c r="DR181" s="6"/>
      <c r="DS181" s="6"/>
      <c r="DT181" s="9"/>
      <c r="DU181" s="7">
        <f>IFERROR(DM181/F181,0)</f>
        <v>0</v>
      </c>
      <c r="DV181"/>
      <c r="DW181"/>
      <c r="DX181"/>
      <c r="DY181"/>
      <c r="DZ181"/>
      <c r="EA181" s="4"/>
      <c r="EB181" s="4"/>
      <c r="EC181" s="4"/>
      <c r="ED181" s="6"/>
      <c r="EE181" s="4"/>
      <c r="EF181" s="4"/>
      <c r="EG181" s="4"/>
      <c r="EH181" s="4"/>
      <c r="EI181" s="4"/>
      <c r="EJ181" s="4"/>
      <c r="EK181" s="4"/>
      <c r="EL181" s="6"/>
      <c r="EM181" s="6"/>
      <c r="EN181" s="6"/>
      <c r="EO181" s="9"/>
      <c r="EP181"/>
      <c r="EQ181"/>
      <c r="ER181"/>
      <c r="ES181"/>
      <c r="ET181"/>
      <c r="EU181"/>
      <c r="EV181" s="4"/>
      <c r="EW181" s="4"/>
      <c r="EX181" s="4"/>
      <c r="EY181" s="6"/>
      <c r="EZ181" s="4"/>
      <c r="FA181" s="4"/>
      <c r="FB181" s="4"/>
      <c r="FC181" s="4"/>
      <c r="FD181" s="4"/>
      <c r="FE181" s="4"/>
      <c r="FF181" s="4"/>
      <c r="FG181" s="6"/>
      <c r="FH181" s="6"/>
      <c r="FI181" s="6"/>
      <c r="FJ181" s="9"/>
      <c r="FK181"/>
      <c r="FL181"/>
      <c r="FM181"/>
      <c r="FN181"/>
      <c r="FO181"/>
      <c r="FP181"/>
      <c r="FQ181" s="4"/>
      <c r="FR181" s="4"/>
      <c r="FS181" s="4"/>
      <c r="FT181" s="6"/>
      <c r="FU181" s="4"/>
      <c r="FV181" s="4"/>
      <c r="FW181" s="4"/>
      <c r="FX181" s="4"/>
      <c r="FY181" s="4"/>
      <c r="FZ181" s="4"/>
      <c r="GA181" s="4"/>
      <c r="GB181" s="6"/>
      <c r="GC181" s="6"/>
      <c r="GD181" s="6"/>
      <c r="GE181" s="9"/>
      <c r="GF181"/>
      <c r="GG181"/>
      <c r="GH181"/>
      <c r="GI181"/>
      <c r="GJ181"/>
      <c r="GK181"/>
      <c r="GL181" s="4"/>
      <c r="GM181" s="4"/>
      <c r="GN181" s="4"/>
      <c r="GO181" s="6"/>
      <c r="GP181" s="4"/>
      <c r="GQ181" s="4"/>
      <c r="GR181" s="4"/>
      <c r="GS181" s="4"/>
      <c r="GT181" s="4"/>
      <c r="GU181" s="4"/>
      <c r="GV181" s="4"/>
      <c r="GW181" s="6"/>
      <c r="GX181" s="6"/>
      <c r="GY181" s="6"/>
      <c r="GZ181" s="9"/>
      <c r="HA181"/>
      <c r="HB181"/>
      <c r="HC181"/>
      <c r="HD181"/>
      <c r="HE181"/>
      <c r="HF181"/>
      <c r="HG181" s="4"/>
      <c r="HH181" s="4"/>
      <c r="HI181" s="4"/>
      <c r="HJ181" s="6"/>
      <c r="HK181" s="4"/>
      <c r="HL181" s="4"/>
      <c r="HM181" s="4"/>
      <c r="HN181" s="4"/>
      <c r="HO181" s="4"/>
      <c r="HP181" s="4"/>
      <c r="HQ181" s="4"/>
      <c r="HR181" s="6"/>
      <c r="HS181" s="6"/>
      <c r="HT181" s="6"/>
      <c r="HU181" s="9"/>
      <c r="HV181"/>
      <c r="HW181"/>
      <c r="HX181"/>
      <c r="HY181"/>
      <c r="HZ181"/>
      <c r="IA181"/>
      <c r="IB181" s="4"/>
      <c r="IC181" s="4"/>
      <c r="ID181" s="4"/>
      <c r="IE181" s="6"/>
      <c r="IF181" s="4"/>
      <c r="IG181" s="4"/>
      <c r="IH181" s="4"/>
      <c r="II181" s="4"/>
      <c r="IJ181" s="4"/>
      <c r="IK181" s="4"/>
      <c r="IL181" s="4"/>
      <c r="IM181" s="6"/>
      <c r="IN181" s="6"/>
      <c r="IO181" s="6"/>
      <c r="IP181" s="9"/>
      <c r="IQ181"/>
      <c r="IR181"/>
      <c r="IS181"/>
      <c r="IT181"/>
      <c r="IU181"/>
      <c r="IV181"/>
      <c r="IW181" s="4"/>
      <c r="IX181" s="4"/>
      <c r="IY181" s="4"/>
      <c r="IZ181" s="6"/>
      <c r="JA181" s="4"/>
      <c r="JB181" s="4"/>
      <c r="JC181" s="4"/>
      <c r="JD181" s="4"/>
      <c r="JE181" s="4"/>
      <c r="JF181" s="4"/>
      <c r="JG181" s="4"/>
      <c r="JH181" s="6"/>
      <c r="JI181" s="6"/>
      <c r="JJ181" s="6"/>
      <c r="JK181" s="9"/>
      <c r="JL181"/>
    </row>
    <row r="182">
      <c r="A182" s="8">
        <v>25471</v>
      </c>
      <c r="B182" s="8">
        <v>25472</v>
      </c>
      <c r="C182" s="9">
        <f>B182-A182</f>
        <v>1</v>
      </c>
      <c r="D182" s="8">
        <v>25471</v>
      </c>
      <c r="E182" t="inlineStr">
        <is>
          <t xml:space="preserve">neutral</t>
        </is>
      </c>
      <c r="F182" s="4">
        <v>1.8030761371111685</v>
      </c>
      <c r="G182" s="6">
        <v>-0.0075949251958273185</v>
      </c>
      <c r="H182" s="7">
        <f>SUM(CE182,CZ182,DU182,EP182,FK182,GF182,HA182,HV182,IQ182,JL182)</f>
        <v>-0.007594925195827319</v>
      </c>
      <c r="I182" s="7">
        <f>G182-H182</f>
        <v>8.673617379884035e-19</v>
      </c>
      <c r="J182" s="5">
        <f>F182*(1+H182)</f>
        <v>1.789381908727428</v>
      </c>
      <c r="K182" s="4">
        <v>1.789381908727428</v>
      </c>
      <c r="L182" s="5">
        <f>K182-J182</f>
        <v>0</v>
      </c>
      <c r="M182" s="4">
        <v>1.845</v>
      </c>
      <c r="N182" s="4">
        <v>1.831</v>
      </c>
      <c r="O182" s="5">
        <f>M182/$M$3</f>
        <v>0.942288049029622</v>
      </c>
      <c r="P182" s="5">
        <f>N182/$M$3</f>
        <v>0.9351378958120531</v>
      </c>
      <c r="Q182" s="7">
        <f>IFERROR(N182/M182-1,0)</f>
        <v>-0.007588075880758827</v>
      </c>
      <c r="R182" s="5">
        <f>SUM(IF(BM182="lease",BU182,0),IF(CH182="lease",CP182,0),IF(DC182="lease",DK182,0),IF(DX182="lease",EF182,0),IF(ES182="lease",FA182,0),IF(FN182="lease",FV182,0),IF(GI182="lease",GQ182,0),IF(HD182="lease",HL182,0),IF(HY182="lease",IG182,0),IF(IT182="lease",JB182,0))</f>
        <v>1.8030761371111692</v>
      </c>
      <c r="S182" s="5">
        <f>SUM(IF(BM182="lease",BV182,0),IF(CH182="lease",CQ182,0),IF(DC182="lease",DL182,0),IF(DX182="lease",EG182,0),IF(ES182="lease",FB182,0),IF(FN182="lease",FW182,0),IF(GI182="lease",GR182,0),IF(HD182="lease",HM182,0),IF(HY182="lease",IH182,0),IF(IT182="lease",JC182,0))</f>
        <v>1.7893819087274285</v>
      </c>
      <c r="T182" s="5">
        <f>SUM(IF(BM182="keep",BU182,0),IF(CH182="keep",CP182,0),IF(DC182="keep",DK182,0),IF(DX182="keep",EF182,0),IF(ES182="keep",FA182,0),IF(FN182="keep",FV182,0),IF(GI182="keep",GQ182,0),IF(HD182="keep",HL182,0),IF(HY182="keep",IG182,0),IF(IT182="keep",JB182,0))</f>
        <v>0</v>
      </c>
      <c r="U182" s="5">
        <f>SUM(IF(BM182="keep",BV182,0),IF(CH182="keep",CQ182,0),IF(DC182="keep",DL182,0),IF(DX182="keep",EG182,0),IF(ES182="keep",FB182,0),IF(FN182="keep",FW182,0),IF(GI182="keep",GR182,0),IF(HD182="keep",HM182,0),IF(HY182="keep",IH182,0),IF(IT182="keep",JC182,0))</f>
        <v>0</v>
      </c>
      <c r="V182" s="5">
        <f>R182/O182</f>
        <v>1.913508442527734</v>
      </c>
      <c r="W182" s="5">
        <f>S182/P182</f>
        <v>1.9134952360941044</v>
      </c>
      <c r="X182" s="5">
        <f>T182/O182</f>
        <v>0</v>
      </c>
      <c r="Y182" s="5">
        <f>U182/P182</f>
        <v>0</v>
      </c>
      <c r="Z182" s="5">
        <f>V182+X182</f>
        <v>1.913508442527734</v>
      </c>
      <c r="AA182" s="7">
        <f>IFERROR(W182/V182-1,0)</f>
        <v>-0.000006901685582372252</v>
      </c>
      <c r="AB182" s="7">
        <f>IFERROR((W182-V182)/Z182,0)</f>
        <v>-0.000006901685582384421</v>
      </c>
      <c r="AC182" s="7">
        <f>IFERROR(Y182/X182-1,0)</f>
        <v>0</v>
      </c>
      <c r="AD182" s="7">
        <f>IFERROR((Y182-X182)/Z182,0)</f>
        <v>0</v>
      </c>
      <c r="AE182" s="7">
        <f>AB182+AD182</f>
        <v>-0.000006901685582384421</v>
      </c>
      <c r="AF182" s="7">
        <f>(1+Q182)*(1+AE182)-1</f>
        <v>-0.0075949251958272734</v>
      </c>
      <c r="AG182" s="7">
        <f>G182-AF182</f>
        <v>-4.5102810375396984e-17</v>
      </c>
      <c r="AH182" s="5">
        <f>SUM(IF(BM182="lease",BW182,0),IF(CH182="lease",CR182,0),IF(DC182="lease",DM182,0),IF(DX182="lease",EH182,0),IF(ES182="lease",FC182,0),IF(FN182="lease",FX182,0),IF(GI182="lease",GS182,0),IF(HD182="lease",HN182,0),IF(HY182="lease",II182,0),IF(IT182="lease",JD182,0))</f>
        <v>-0.013694228383740608</v>
      </c>
      <c r="AI182" s="5">
        <f>SUM(IF(BM182="keep",BW182,0),IF(CH182="keep",CR182,0),IF(DC182="keep",DM182,0),IF(DX182="keep",EH182,0),IF(ES182="keep",FC182,0),IF(FN182="keep",FX182,0),IF(GI182="keep",GS182,0),IF(HD182="keep",HN182,0),IF(HY182="keep",II182,0),IF(IT182="keep",JD182,0))</f>
        <v>0</v>
      </c>
      <c r="AJ182" s="5">
        <f>SUM(IF(BM182="lease",BX182,0),IF(CH182="lease",CS182,0),IF(DC182="lease",DN182,0),IF(DX182="lease",EI182,0),IF(ES182="lease",FD182,0),IF(FN182="lease",FY182,0),IF(GI182="lease",GT182,0),IF(HD182="lease",HO182,0),IF(HY182="lease",IJ182,0),IF(IT182="lease",JE182,0))</f>
        <v>0</v>
      </c>
      <c r="AK182" s="5">
        <f>SUM(IF(BM182="keep",BX182,0),IF(CH182="keep",CS182,0),IF(DC182="keep",DN182,0),IF(DX182="keep",EI182,0),IF(ES182="keep",FD182,0),IF(FN182="keep",FY182,0),IF(GI182="keep",GT182,0),IF(HD182="keep",HO182,0),IF(HY182="keep",IJ182,0),IF(IT182="keep",JE182,0))</f>
        <v>0</v>
      </c>
      <c r="AL182" s="5">
        <f>R182-S181</f>
        <v>0</v>
      </c>
      <c r="AM182" s="5">
        <f>T182-U181</f>
        <v>0</v>
      </c>
      <c r="AN182" s="5">
        <f>AN181</f>
        <v>1</v>
      </c>
      <c r="AO182" s="5">
        <f>AO181+AH182</f>
        <v>0.789381908727429</v>
      </c>
      <c r="AP182" s="5">
        <f>AP181+AL182</f>
        <v>-2.220446049250313e-16</v>
      </c>
      <c r="AQ182" s="5">
        <f>AN182+AO182+AP182</f>
        <v>1.7893819087274287</v>
      </c>
      <c r="AR182" s="5">
        <f>S182-AQ182</f>
        <v>-2.220446049250313e-16</v>
      </c>
      <c r="AS182" s="5">
        <f>AS181</f>
        <v>0</v>
      </c>
      <c r="AT182" s="5">
        <f>AT181+AI182</f>
        <v>0</v>
      </c>
      <c r="AU182" s="5">
        <f>AU181+AM182</f>
        <v>0</v>
      </c>
      <c r="AV182" s="5">
        <f>AS182+AT182+AU182</f>
        <v>0</v>
      </c>
      <c r="AW182" s="5">
        <f>U182-AV182</f>
        <v>0</v>
      </c>
      <c r="AX182" s="4">
        <v>1.8030761371111692</v>
      </c>
      <c r="AY182" s="4">
        <v>1.7893819087274285</v>
      </c>
      <c r="AZ182" s="5">
        <f>S182-AY182</f>
        <v>0</v>
      </c>
      <c r="BA182" s="4">
        <v>0</v>
      </c>
      <c r="BB182" s="4">
        <v>0</v>
      </c>
      <c r="BC182" s="5">
        <f>U182-BB182</f>
        <v>0</v>
      </c>
      <c r="BD182" s="7">
        <f>SUM(IF(BL182="direct",CE182,0),IF(CG182="direct",CZ182,0),IF(DB182="direct",DU182,0),IF(DW182="direct",EP182,0),IF(ER182="direct",FK182,0),IF(FM182="direct",GF182,0),IF(GH182="direct",HA182,0),IF(HC182="direct",HV182,0),IF(HX182="direct",IQ182,0),IF(IS182="direct",JL182,0))</f>
        <v>-0.007594925195827319</v>
      </c>
      <c r="BE182" s="7">
        <f>SUM(IF(BL182="treasury",CE182,0),IF(CG182="treasury",CZ182,0),IF(DB182="treasury",DU182,0),IF(DW182="treasury",EP182,0),IF(ER182="treasury",FK182,0),IF(FM182="treasury",GF182,0),IF(GH182="treasury",HA182,0),IF(HC182="treasury",HV182,0),IF(HX182="treasury",IQ182,0),IF(IS182="treasury",JL182,0))</f>
        <v>0</v>
      </c>
      <c r="BF182" s="7">
        <f>SUM(IF(BL182="future",CE182,0),IF(CG182="future",CZ182,0),IF(DB182="future",DU182,0),IF(DW182="future",EP182,0),IF(ER182="future",FK182,0),IF(FM182="future",GF182,0),IF(GH182="future",HA182,0),IF(HC182="future",HV182,0),IF(HX182="future",IQ182,0),IF(IS182="future",JL182,0))</f>
        <v>0</v>
      </c>
      <c r="BG182" s="7">
        <f>SUM(IF(BL182="cash",CE182,0),IF(CG182="cash",CZ182,0),IF(DB182="cash",DU182,0),IF(DW182="cash",EP182,0),IF(ER182="cash",FK182,0),IF(FM182="cash",GF182,0),IF(GH182="cash",HA182,0),IF(HC182="cash",HV182,0),IF(HX182="cash",IQ182,0),IF(IS182="cash",JL182,0))</f>
        <v>0</v>
      </c>
      <c r="BH182" s="7">
        <f>SUM(BD182:BG182)</f>
        <v>-0.007594925195827319</v>
      </c>
      <c r="BI182" s="7">
        <f>G182-BH182</f>
        <v>8.673617379884035e-19</v>
      </c>
      <c r="BJ182" s="9">
        <f>COUNTA(BK182,CF182,DA182,DV182,EQ182,FL182,GG182,HB182,HW182,IR182)</f>
        <v>3</v>
      </c>
      <c r="BK182" t="inlineStr">
        <is>
          <t xml:space="preserve">Direct commodity holding</t>
        </is>
      </c>
      <c r="BL182" t="inlineStr">
        <is>
          <t xml:space="preserve">direct</t>
        </is>
      </c>
      <c r="BM182" t="inlineStr">
        <is>
          <t xml:space="preserve">lease</t>
        </is>
      </c>
      <c r="BN182" t="inlineStr">
        <is>
          <t xml:space="preserve">long</t>
        </is>
      </c>
      <c r="BO182"/>
      <c r="BP182" s="4">
        <v>1.845</v>
      </c>
      <c r="BQ182" s="4">
        <v>1.831</v>
      </c>
      <c r="BR182" s="4">
        <v>0.9772770390846443</v>
      </c>
      <c r="BS182" s="6">
        <v>1</v>
      </c>
      <c r="BT182" s="4">
        <v>1.8030761371111685</v>
      </c>
      <c r="BU182" s="4">
        <v>1.8030761371111685</v>
      </c>
      <c r="BV182" s="4">
        <v>1.7893942585639835</v>
      </c>
      <c r="BW182" s="4">
        <v>-0.013694228383740608</v>
      </c>
      <c r="BX182" s="4">
        <v>0.000012349836555552302</v>
      </c>
      <c r="BY182" s="4">
        <v>1.845</v>
      </c>
      <c r="BZ182" s="4">
        <v>1.831</v>
      </c>
      <c r="CA182" s="6"/>
      <c r="CB182" s="6"/>
      <c r="CC182" s="6"/>
      <c r="CD182" s="9"/>
      <c r="CE182" s="7">
        <f>IFERROR(BW182/F182,0)</f>
        <v>-0.007594925195827319</v>
      </c>
      <c r="CF182" t="inlineStr">
        <is>
          <t xml:space="preserve">Lease cash / margin / financing</t>
        </is>
      </c>
      <c r="CG182" t="inlineStr">
        <is>
          <t xml:space="preserve">cash</t>
        </is>
      </c>
      <c r="CH182" t="inlineStr">
        <is>
          <t xml:space="preserve">lease</t>
        </is>
      </c>
      <c r="CI182" t="inlineStr">
        <is>
          <t xml:space="preserve">cash</t>
        </is>
      </c>
      <c r="CJ182"/>
      <c r="CK182" s="4">
        <v>1</v>
      </c>
      <c r="CL182" s="4">
        <v>1</v>
      </c>
      <c r="CM182" s="4">
        <v>6.661338147750939e-16</v>
      </c>
      <c r="CN182" s="6"/>
      <c r="CO182" s="4">
        <v>6.661338147750939e-16</v>
      </c>
      <c r="CP182" s="4">
        <v>6.661338147750939e-16</v>
      </c>
      <c r="CQ182" s="4">
        <v>-0.000012349836554886168</v>
      </c>
      <c r="CR182" s="4">
        <v>0</v>
      </c>
      <c r="CS182" s="4">
        <v>-0.000012349836555552302</v>
      </c>
      <c r="CT182" s="4">
        <v>1.845</v>
      </c>
      <c r="CU182" s="4">
        <v>1.831</v>
      </c>
      <c r="CV182" s="6"/>
      <c r="CW182" s="6"/>
      <c r="CX182" s="6"/>
      <c r="CY182" s="9"/>
      <c r="CZ182" s="7">
        <f>IFERROR(CR182/F182,0)</f>
        <v>0</v>
      </c>
      <c r="DA182" t="inlineStr">
        <is>
          <t xml:space="preserve">Keep cash / margin / financing</t>
        </is>
      </c>
      <c r="DB182" t="inlineStr">
        <is>
          <t xml:space="preserve">cash</t>
        </is>
      </c>
      <c r="DC182" t="inlineStr">
        <is>
          <t xml:space="preserve">keep</t>
        </is>
      </c>
      <c r="DD182" t="inlineStr">
        <is>
          <t xml:space="preserve">cash</t>
        </is>
      </c>
      <c r="DE182"/>
      <c r="DF182" s="4">
        <v>1</v>
      </c>
      <c r="DG182" s="4">
        <v>1</v>
      </c>
      <c r="DH182" s="4">
        <v>0</v>
      </c>
      <c r="DI182" s="6"/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1.845</v>
      </c>
      <c r="DP182" s="4">
        <v>1.831</v>
      </c>
      <c r="DQ182" s="6"/>
      <c r="DR182" s="6"/>
      <c r="DS182" s="6"/>
      <c r="DT182" s="9"/>
      <c r="DU182" s="7">
        <f>IFERROR(DM182/F182,0)</f>
        <v>0</v>
      </c>
      <c r="DV182"/>
      <c r="DW182"/>
      <c r="DX182"/>
      <c r="DY182"/>
      <c r="DZ182"/>
      <c r="EA182" s="4"/>
      <c r="EB182" s="4"/>
      <c r="EC182" s="4"/>
      <c r="ED182" s="6"/>
      <c r="EE182" s="4"/>
      <c r="EF182" s="4"/>
      <c r="EG182" s="4"/>
      <c r="EH182" s="4"/>
      <c r="EI182" s="4"/>
      <c r="EJ182" s="4"/>
      <c r="EK182" s="4"/>
      <c r="EL182" s="6"/>
      <c r="EM182" s="6"/>
      <c r="EN182" s="6"/>
      <c r="EO182" s="9"/>
      <c r="EP182"/>
      <c r="EQ182"/>
      <c r="ER182"/>
      <c r="ES182"/>
      <c r="ET182"/>
      <c r="EU182"/>
      <c r="EV182" s="4"/>
      <c r="EW182" s="4"/>
      <c r="EX182" s="4"/>
      <c r="EY182" s="6"/>
      <c r="EZ182" s="4"/>
      <c r="FA182" s="4"/>
      <c r="FB182" s="4"/>
      <c r="FC182" s="4"/>
      <c r="FD182" s="4"/>
      <c r="FE182" s="4"/>
      <c r="FF182" s="4"/>
      <c r="FG182" s="6"/>
      <c r="FH182" s="6"/>
      <c r="FI182" s="6"/>
      <c r="FJ182" s="9"/>
      <c r="FK182"/>
      <c r="FL182"/>
      <c r="FM182"/>
      <c r="FN182"/>
      <c r="FO182"/>
      <c r="FP182"/>
      <c r="FQ182" s="4"/>
      <c r="FR182" s="4"/>
      <c r="FS182" s="4"/>
      <c r="FT182" s="6"/>
      <c r="FU182" s="4"/>
      <c r="FV182" s="4"/>
      <c r="FW182" s="4"/>
      <c r="FX182" s="4"/>
      <c r="FY182" s="4"/>
      <c r="FZ182" s="4"/>
      <c r="GA182" s="4"/>
      <c r="GB182" s="6"/>
      <c r="GC182" s="6"/>
      <c r="GD182" s="6"/>
      <c r="GE182" s="9"/>
      <c r="GF182"/>
      <c r="GG182"/>
      <c r="GH182"/>
      <c r="GI182"/>
      <c r="GJ182"/>
      <c r="GK182"/>
      <c r="GL182" s="4"/>
      <c r="GM182" s="4"/>
      <c r="GN182" s="4"/>
      <c r="GO182" s="6"/>
      <c r="GP182" s="4"/>
      <c r="GQ182" s="4"/>
      <c r="GR182" s="4"/>
      <c r="GS182" s="4"/>
      <c r="GT182" s="4"/>
      <c r="GU182" s="4"/>
      <c r="GV182" s="4"/>
      <c r="GW182" s="6"/>
      <c r="GX182" s="6"/>
      <c r="GY182" s="6"/>
      <c r="GZ182" s="9"/>
      <c r="HA182"/>
      <c r="HB182"/>
      <c r="HC182"/>
      <c r="HD182"/>
      <c r="HE182"/>
      <c r="HF182"/>
      <c r="HG182" s="4"/>
      <c r="HH182" s="4"/>
      <c r="HI182" s="4"/>
      <c r="HJ182" s="6"/>
      <c r="HK182" s="4"/>
      <c r="HL182" s="4"/>
      <c r="HM182" s="4"/>
      <c r="HN182" s="4"/>
      <c r="HO182" s="4"/>
      <c r="HP182" s="4"/>
      <c r="HQ182" s="4"/>
      <c r="HR182" s="6"/>
      <c r="HS182" s="6"/>
      <c r="HT182" s="6"/>
      <c r="HU182" s="9"/>
      <c r="HV182"/>
      <c r="HW182"/>
      <c r="HX182"/>
      <c r="HY182"/>
      <c r="HZ182"/>
      <c r="IA182"/>
      <c r="IB182" s="4"/>
      <c r="IC182" s="4"/>
      <c r="ID182" s="4"/>
      <c r="IE182" s="6"/>
      <c r="IF182" s="4"/>
      <c r="IG182" s="4"/>
      <c r="IH182" s="4"/>
      <c r="II182" s="4"/>
      <c r="IJ182" s="4"/>
      <c r="IK182" s="4"/>
      <c r="IL182" s="4"/>
      <c r="IM182" s="6"/>
      <c r="IN182" s="6"/>
      <c r="IO182" s="6"/>
      <c r="IP182" s="9"/>
      <c r="IQ182"/>
      <c r="IR182"/>
      <c r="IS182"/>
      <c r="IT182"/>
      <c r="IU182"/>
      <c r="IV182"/>
      <c r="IW182" s="4"/>
      <c r="IX182" s="4"/>
      <c r="IY182" s="4"/>
      <c r="IZ182" s="6"/>
      <c r="JA182" s="4"/>
      <c r="JB182" s="4"/>
      <c r="JC182" s="4"/>
      <c r="JD182" s="4"/>
      <c r="JE182" s="4"/>
      <c r="JF182" s="4"/>
      <c r="JG182" s="4"/>
      <c r="JH182" s="6"/>
      <c r="JI182" s="6"/>
      <c r="JJ182" s="6"/>
      <c r="JK182" s="9"/>
      <c r="JL182"/>
    </row>
    <row r="183">
      <c r="A183" s="8">
        <v>25472</v>
      </c>
      <c r="B183" s="8">
        <v>25475</v>
      </c>
      <c r="C183" s="9">
        <f>B183-A183</f>
        <v>3</v>
      </c>
      <c r="D183" s="8">
        <v>25472</v>
      </c>
      <c r="E183" t="inlineStr">
        <is>
          <t xml:space="preserve">neutral</t>
        </is>
      </c>
      <c r="F183" s="4">
        <v>1.789381908727428</v>
      </c>
      <c r="G183" s="6">
        <v>0.004348649214816452</v>
      </c>
      <c r="H183" s="7">
        <f>SUM(CE183,CZ183,DU183,EP183,FK183,GF183,HA183,HV183,IQ183,JL183)</f>
        <v>0.004348649214816452</v>
      </c>
      <c r="I183" s="7">
        <f>G183-H183</f>
        <v>0</v>
      </c>
      <c r="J183" s="5">
        <f>F183*(1+H183)</f>
        <v>1.7971633029598222</v>
      </c>
      <c r="K183" s="4">
        <v>1.7971633029598222</v>
      </c>
      <c r="L183" s="5">
        <f>K183-J183</f>
        <v>0</v>
      </c>
      <c r="M183" s="4">
        <v>1.831</v>
      </c>
      <c r="N183" s="4">
        <v>1.839</v>
      </c>
      <c r="O183" s="5">
        <f>M183/$M$3</f>
        <v>0.9351378958120531</v>
      </c>
      <c r="P183" s="5">
        <f>N183/$M$3</f>
        <v>0.9392236976506639</v>
      </c>
      <c r="Q183" s="7">
        <f>IFERROR(N183/M183-1,0)</f>
        <v>0.0043691971600219315</v>
      </c>
      <c r="R183" s="5">
        <f>SUM(IF(BM183="lease",BU183,0),IF(CH183="lease",CP183,0),IF(DC183="lease",DK183,0),IF(DX183="lease",EF183,0),IF(ES183="lease",FA183,0),IF(FN183="lease",FV183,0),IF(GI183="lease",GQ183,0),IF(HD183="lease",HL183,0),IF(HY183="lease",IG183,0),IF(IT183="lease",JB183,0))</f>
        <v>1.7893819087274285</v>
      </c>
      <c r="S183" s="5">
        <f>SUM(IF(BM183="lease",BV183,0),IF(CH183="lease",CQ183,0),IF(DC183="lease",DL183,0),IF(DX183="lease",EG183,0),IF(ES183="lease",FB183,0),IF(FN183="lease",FW183,0),IF(GI183="lease",GR183,0),IF(HD183="lease",HM183,0),IF(HY183="lease",IH183,0),IF(IT183="lease",JC183,0))</f>
        <v>1.7971633029598229</v>
      </c>
      <c r="T183" s="5">
        <f>SUM(IF(BM183="keep",BU183,0),IF(CH183="keep",CP183,0),IF(DC183="keep",DK183,0),IF(DX183="keep",EF183,0),IF(ES183="keep",FA183,0),IF(FN183="keep",FV183,0),IF(GI183="keep",GQ183,0),IF(HD183="keep",HL183,0),IF(HY183="keep",IG183,0),IF(IT183="keep",JB183,0))</f>
        <v>0</v>
      </c>
      <c r="U183" s="5">
        <f>SUM(IF(BM183="keep",BV183,0),IF(CH183="keep",CQ183,0),IF(DC183="keep",DL183,0),IF(DX183="keep",EG183,0),IF(ES183="keep",FB183,0),IF(FN183="keep",FW183,0),IF(GI183="keep",GR183,0),IF(HD183="keep",HM183,0),IF(HY183="keep",IH183,0),IF(IT183="keep",JC183,0))</f>
        <v>0</v>
      </c>
      <c r="V183" s="5">
        <f>R183/O183</f>
        <v>1.9134952360941044</v>
      </c>
      <c r="W183" s="5">
        <f>S183/P183</f>
        <v>1.9134560887413448</v>
      </c>
      <c r="X183" s="5">
        <f>T183/O183</f>
        <v>0</v>
      </c>
      <c r="Y183" s="5">
        <f>U183/P183</f>
        <v>0</v>
      </c>
      <c r="Z183" s="5">
        <f>V183+X183</f>
        <v>1.9134952360941044</v>
      </c>
      <c r="AA183" s="7">
        <f>IFERROR(W183/V183-1,0)</f>
        <v>-0.000020458557733138427</v>
      </c>
      <c r="AB183" s="7">
        <f>IFERROR((W183-V183)/Z183,0)</f>
        <v>-0.00002045855773311511</v>
      </c>
      <c r="AC183" s="7">
        <f>IFERROR(Y183/X183-1,0)</f>
        <v>0</v>
      </c>
      <c r="AD183" s="7">
        <f>IFERROR((Y183-X183)/Z183,0)</f>
        <v>0</v>
      </c>
      <c r="AE183" s="7">
        <f>AB183+AD183</f>
        <v>-0.00002045855773311511</v>
      </c>
      <c r="AF183" s="7">
        <f>(1+Q183)*(1+AE183)-1</f>
        <v>0.004348649214816369</v>
      </c>
      <c r="AG183" s="7">
        <f>G183-AF183</f>
        <v>8.326672684688674e-17</v>
      </c>
      <c r="AH183" s="5">
        <f>SUM(IF(BM183="lease",BW183,0),IF(CH183="lease",CR183,0),IF(DC183="lease",DM183,0),IF(DX183="lease",EH183,0),IF(ES183="lease",FC183,0),IF(FN183="lease",FX183,0),IF(GI183="lease",GS183,0),IF(HD183="lease",HN183,0),IF(HY183="lease",II183,0),IF(IT183="lease",JD183,0))</f>
        <v>0.007781394232394295</v>
      </c>
      <c r="AI183" s="5">
        <f>SUM(IF(BM183="keep",BW183,0),IF(CH183="keep",CR183,0),IF(DC183="keep",DM183,0),IF(DX183="keep",EH183,0),IF(ES183="keep",FC183,0),IF(FN183="keep",FX183,0),IF(GI183="keep",GS183,0),IF(HD183="keep",HN183,0),IF(HY183="keep",II183,0),IF(IT183="keep",JD183,0))</f>
        <v>0</v>
      </c>
      <c r="AJ183" s="5">
        <f>SUM(IF(BM183="lease",BX183,0),IF(CH183="lease",CS183,0),IF(DC183="lease",DN183,0),IF(DX183="lease",EI183,0),IF(ES183="lease",FD183,0),IF(FN183="lease",FY183,0),IF(GI183="lease",GT183,0),IF(HD183="lease",HO183,0),IF(HY183="lease",IJ183,0),IF(IT183="lease",JE183,0))</f>
        <v>0</v>
      </c>
      <c r="AK183" s="5">
        <f>SUM(IF(BM183="keep",BX183,0),IF(CH183="keep",CS183,0),IF(DC183="keep",DN183,0),IF(DX183="keep",EI183,0),IF(ES183="keep",FD183,0),IF(FN183="keep",FY183,0),IF(GI183="keep",GT183,0),IF(HD183="keep",HO183,0),IF(HY183="keep",IJ183,0),IF(IT183="keep",JE183,0))</f>
        <v>0</v>
      </c>
      <c r="AL183" s="5">
        <f>R183-S182</f>
        <v>0</v>
      </c>
      <c r="AM183" s="5">
        <f>T183-U182</f>
        <v>0</v>
      </c>
      <c r="AN183" s="5">
        <f>AN182</f>
        <v>1</v>
      </c>
      <c r="AO183" s="5">
        <f>AO182+AH183</f>
        <v>0.7971633029598233</v>
      </c>
      <c r="AP183" s="5">
        <f>AP182+AL183</f>
        <v>-2.220446049250313e-16</v>
      </c>
      <c r="AQ183" s="5">
        <f>AN183+AO183+AP183</f>
        <v>1.797163302959823</v>
      </c>
      <c r="AR183" s="5">
        <f>S183-AQ183</f>
        <v>-2.220446049250313e-16</v>
      </c>
      <c r="AS183" s="5">
        <f>AS182</f>
        <v>0</v>
      </c>
      <c r="AT183" s="5">
        <f>AT182+AI183</f>
        <v>0</v>
      </c>
      <c r="AU183" s="5">
        <f>AU182+AM183</f>
        <v>0</v>
      </c>
      <c r="AV183" s="5">
        <f>AS183+AT183+AU183</f>
        <v>0</v>
      </c>
      <c r="AW183" s="5">
        <f>U183-AV183</f>
        <v>0</v>
      </c>
      <c r="AX183" s="4">
        <v>1.7893819087274285</v>
      </c>
      <c r="AY183" s="4">
        <v>1.7971633029598229</v>
      </c>
      <c r="AZ183" s="5">
        <f>S183-AY183</f>
        <v>0</v>
      </c>
      <c r="BA183" s="4">
        <v>0</v>
      </c>
      <c r="BB183" s="4">
        <v>0</v>
      </c>
      <c r="BC183" s="5">
        <f>U183-BB183</f>
        <v>0</v>
      </c>
      <c r="BD183" s="7">
        <f>SUM(IF(BL183="direct",CE183,0),IF(CG183="direct",CZ183,0),IF(DB183="direct",DU183,0),IF(DW183="direct",EP183,0),IF(ER183="direct",FK183,0),IF(FM183="direct",GF183,0),IF(GH183="direct",HA183,0),IF(HC183="direct",HV183,0),IF(HX183="direct",IQ183,0),IF(IS183="direct",JL183,0))</f>
        <v>0.004348649214816452</v>
      </c>
      <c r="BE183" s="7">
        <f>SUM(IF(BL183="treasury",CE183,0),IF(CG183="treasury",CZ183,0),IF(DB183="treasury",DU183,0),IF(DW183="treasury",EP183,0),IF(ER183="treasury",FK183,0),IF(FM183="treasury",GF183,0),IF(GH183="treasury",HA183,0),IF(HC183="treasury",HV183,0),IF(HX183="treasury",IQ183,0),IF(IS183="treasury",JL183,0))</f>
        <v>0</v>
      </c>
      <c r="BF183" s="7">
        <f>SUM(IF(BL183="future",CE183,0),IF(CG183="future",CZ183,0),IF(DB183="future",DU183,0),IF(DW183="future",EP183,0),IF(ER183="future",FK183,0),IF(FM183="future",GF183,0),IF(GH183="future",HA183,0),IF(HC183="future",HV183,0),IF(HX183="future",IQ183,0),IF(IS183="future",JL183,0))</f>
        <v>0</v>
      </c>
      <c r="BG183" s="7">
        <f>SUM(IF(BL183="cash",CE183,0),IF(CG183="cash",CZ183,0),IF(DB183="cash",DU183,0),IF(DW183="cash",EP183,0),IF(ER183="cash",FK183,0),IF(FM183="cash",GF183,0),IF(GH183="cash",HA183,0),IF(HC183="cash",HV183,0),IF(HX183="cash",IQ183,0),IF(IS183="cash",JL183,0))</f>
        <v>0</v>
      </c>
      <c r="BH183" s="7">
        <f>SUM(BD183:BG183)</f>
        <v>0.004348649214816452</v>
      </c>
      <c r="BI183" s="7">
        <f>G183-BH183</f>
        <v>0</v>
      </c>
      <c r="BJ183" s="9">
        <f>COUNTA(BK183,CF183,DA183,DV183,EQ183,FL183,GG183,HB183,HW183,IR183)</f>
        <v>3</v>
      </c>
      <c r="BK183" t="inlineStr">
        <is>
          <t xml:space="preserve">Direct commodity holding</t>
        </is>
      </c>
      <c r="BL183" t="inlineStr">
        <is>
          <t xml:space="preserve">direct</t>
        </is>
      </c>
      <c r="BM183" t="inlineStr">
        <is>
          <t xml:space="preserve">lease</t>
        </is>
      </c>
      <c r="BN183" t="inlineStr">
        <is>
          <t xml:space="preserve">long</t>
        </is>
      </c>
      <c r="BO183"/>
      <c r="BP183" s="4">
        <v>1.831</v>
      </c>
      <c r="BQ183" s="4">
        <v>1.839</v>
      </c>
      <c r="BR183" s="4">
        <v>0.9772702942257936</v>
      </c>
      <c r="BS183" s="6">
        <v>1</v>
      </c>
      <c r="BT183" s="4">
        <v>1.789381908727428</v>
      </c>
      <c r="BU183" s="4">
        <v>1.789381908727428</v>
      </c>
      <c r="BV183" s="4">
        <v>1.7972000710812344</v>
      </c>
      <c r="BW183" s="4">
        <v>0.007781394232394295</v>
      </c>
      <c r="BX183" s="4">
        <v>0.000036768121411984156</v>
      </c>
      <c r="BY183" s="4">
        <v>1.831</v>
      </c>
      <c r="BZ183" s="4">
        <v>1.839</v>
      </c>
      <c r="CA183" s="6"/>
      <c r="CB183" s="6"/>
      <c r="CC183" s="6"/>
      <c r="CD183" s="9"/>
      <c r="CE183" s="7">
        <f>IFERROR(BW183/F183,0)</f>
        <v>0.004348649214816452</v>
      </c>
      <c r="CF183" t="inlineStr">
        <is>
          <t xml:space="preserve">Lease cash / margin / financing</t>
        </is>
      </c>
      <c r="CG183" t="inlineStr">
        <is>
          <t xml:space="preserve">cash</t>
        </is>
      </c>
      <c r="CH183" t="inlineStr">
        <is>
          <t xml:space="preserve">lease</t>
        </is>
      </c>
      <c r="CI183" t="inlineStr">
        <is>
          <t xml:space="preserve">cash</t>
        </is>
      </c>
      <c r="CJ183"/>
      <c r="CK183" s="4">
        <v>1</v>
      </c>
      <c r="CL183" s="4">
        <v>1</v>
      </c>
      <c r="CM183" s="4">
        <v>4.440892098500626e-16</v>
      </c>
      <c r="CN183" s="6"/>
      <c r="CO183" s="4">
        <v>4.440892098500626e-16</v>
      </c>
      <c r="CP183" s="4">
        <v>4.440892098500626e-16</v>
      </c>
      <c r="CQ183" s="4">
        <v>-0.00003676812141154007</v>
      </c>
      <c r="CR183" s="4">
        <v>0</v>
      </c>
      <c r="CS183" s="4">
        <v>-0.000036768121411984156</v>
      </c>
      <c r="CT183" s="4">
        <v>1.831</v>
      </c>
      <c r="CU183" s="4">
        <v>1.839</v>
      </c>
      <c r="CV183" s="6"/>
      <c r="CW183" s="6"/>
      <c r="CX183" s="6"/>
      <c r="CY183" s="9"/>
      <c r="CZ183" s="7">
        <f>IFERROR(CR183/F183,0)</f>
        <v>0</v>
      </c>
      <c r="DA183" t="inlineStr">
        <is>
          <t xml:space="preserve">Keep cash / margin / financing</t>
        </is>
      </c>
      <c r="DB183" t="inlineStr">
        <is>
          <t xml:space="preserve">cash</t>
        </is>
      </c>
      <c r="DC183" t="inlineStr">
        <is>
          <t xml:space="preserve">keep</t>
        </is>
      </c>
      <c r="DD183" t="inlineStr">
        <is>
          <t xml:space="preserve">cash</t>
        </is>
      </c>
      <c r="DE183"/>
      <c r="DF183" s="4">
        <v>1</v>
      </c>
      <c r="DG183" s="4">
        <v>1</v>
      </c>
      <c r="DH183" s="4">
        <v>0</v>
      </c>
      <c r="DI183" s="6"/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1.831</v>
      </c>
      <c r="DP183" s="4">
        <v>1.839</v>
      </c>
      <c r="DQ183" s="6"/>
      <c r="DR183" s="6"/>
      <c r="DS183" s="6"/>
      <c r="DT183" s="9"/>
      <c r="DU183" s="7">
        <f>IFERROR(DM183/F183,0)</f>
        <v>0</v>
      </c>
      <c r="DV183"/>
      <c r="DW183"/>
      <c r="DX183"/>
      <c r="DY183"/>
      <c r="DZ183"/>
      <c r="EA183" s="4"/>
      <c r="EB183" s="4"/>
      <c r="EC183" s="4"/>
      <c r="ED183" s="6"/>
      <c r="EE183" s="4"/>
      <c r="EF183" s="4"/>
      <c r="EG183" s="4"/>
      <c r="EH183" s="4"/>
      <c r="EI183" s="4"/>
      <c r="EJ183" s="4"/>
      <c r="EK183" s="4"/>
      <c r="EL183" s="6"/>
      <c r="EM183" s="6"/>
      <c r="EN183" s="6"/>
      <c r="EO183" s="9"/>
      <c r="EP183"/>
      <c r="EQ183"/>
      <c r="ER183"/>
      <c r="ES183"/>
      <c r="ET183"/>
      <c r="EU183"/>
      <c r="EV183" s="4"/>
      <c r="EW183" s="4"/>
      <c r="EX183" s="4"/>
      <c r="EY183" s="6"/>
      <c r="EZ183" s="4"/>
      <c r="FA183" s="4"/>
      <c r="FB183" s="4"/>
      <c r="FC183" s="4"/>
      <c r="FD183" s="4"/>
      <c r="FE183" s="4"/>
      <c r="FF183" s="4"/>
      <c r="FG183" s="6"/>
      <c r="FH183" s="6"/>
      <c r="FI183" s="6"/>
      <c r="FJ183" s="9"/>
      <c r="FK183"/>
      <c r="FL183"/>
      <c r="FM183"/>
      <c r="FN183"/>
      <c r="FO183"/>
      <c r="FP183"/>
      <c r="FQ183" s="4"/>
      <c r="FR183" s="4"/>
      <c r="FS183" s="4"/>
      <c r="FT183" s="6"/>
      <c r="FU183" s="4"/>
      <c r="FV183" s="4"/>
      <c r="FW183" s="4"/>
      <c r="FX183" s="4"/>
      <c r="FY183" s="4"/>
      <c r="FZ183" s="4"/>
      <c r="GA183" s="4"/>
      <c r="GB183" s="6"/>
      <c r="GC183" s="6"/>
      <c r="GD183" s="6"/>
      <c r="GE183" s="9"/>
      <c r="GF183"/>
      <c r="GG183"/>
      <c r="GH183"/>
      <c r="GI183"/>
      <c r="GJ183"/>
      <c r="GK183"/>
      <c r="GL183" s="4"/>
      <c r="GM183" s="4"/>
      <c r="GN183" s="4"/>
      <c r="GO183" s="6"/>
      <c r="GP183" s="4"/>
      <c r="GQ183" s="4"/>
      <c r="GR183" s="4"/>
      <c r="GS183" s="4"/>
      <c r="GT183" s="4"/>
      <c r="GU183" s="4"/>
      <c r="GV183" s="4"/>
      <c r="GW183" s="6"/>
      <c r="GX183" s="6"/>
      <c r="GY183" s="6"/>
      <c r="GZ183" s="9"/>
      <c r="HA183"/>
      <c r="HB183"/>
      <c r="HC183"/>
      <c r="HD183"/>
      <c r="HE183"/>
      <c r="HF183"/>
      <c r="HG183" s="4"/>
      <c r="HH183" s="4"/>
      <c r="HI183" s="4"/>
      <c r="HJ183" s="6"/>
      <c r="HK183" s="4"/>
      <c r="HL183" s="4"/>
      <c r="HM183" s="4"/>
      <c r="HN183" s="4"/>
      <c r="HO183" s="4"/>
      <c r="HP183" s="4"/>
      <c r="HQ183" s="4"/>
      <c r="HR183" s="6"/>
      <c r="HS183" s="6"/>
      <c r="HT183" s="6"/>
      <c r="HU183" s="9"/>
      <c r="HV183"/>
      <c r="HW183"/>
      <c r="HX183"/>
      <c r="HY183"/>
      <c r="HZ183"/>
      <c r="IA183"/>
      <c r="IB183" s="4"/>
      <c r="IC183" s="4"/>
      <c r="ID183" s="4"/>
      <c r="IE183" s="6"/>
      <c r="IF183" s="4"/>
      <c r="IG183" s="4"/>
      <c r="IH183" s="4"/>
      <c r="II183" s="4"/>
      <c r="IJ183" s="4"/>
      <c r="IK183" s="4"/>
      <c r="IL183" s="4"/>
      <c r="IM183" s="6"/>
      <c r="IN183" s="6"/>
      <c r="IO183" s="6"/>
      <c r="IP183" s="9"/>
      <c r="IQ183"/>
      <c r="IR183"/>
      <c r="IS183"/>
      <c r="IT183"/>
      <c r="IU183"/>
      <c r="IV183"/>
      <c r="IW183" s="4"/>
      <c r="IX183" s="4"/>
      <c r="IY183" s="4"/>
      <c r="IZ183" s="6"/>
      <c r="JA183" s="4"/>
      <c r="JB183" s="4"/>
      <c r="JC183" s="4"/>
      <c r="JD183" s="4"/>
      <c r="JE183" s="4"/>
      <c r="JF183" s="4"/>
      <c r="JG183" s="4"/>
      <c r="JH183" s="6"/>
      <c r="JI183" s="6"/>
      <c r="JJ183" s="6"/>
      <c r="JK183" s="9"/>
      <c r="JL183"/>
    </row>
    <row r="184">
      <c r="A184" s="8">
        <v>25475</v>
      </c>
      <c r="B184" s="8">
        <v>25476</v>
      </c>
      <c r="C184" s="9">
        <f>B184-A184</f>
        <v>1</v>
      </c>
      <c r="D184" s="8">
        <v>25475</v>
      </c>
      <c r="E184" t="inlineStr">
        <is>
          <t xml:space="preserve">neutral</t>
        </is>
      </c>
      <c r="F184" s="4">
        <v>1.7971633029598222</v>
      </c>
      <c r="G184" s="6">
        <v>0.02011278091875419</v>
      </c>
      <c r="H184" s="7">
        <f>SUM(CE184,CZ184,DU184,EP184,FK184,GF184,HA184,HV184,IQ184,JL184)</f>
        <v>0.02011278091875419</v>
      </c>
      <c r="I184" s="7">
        <f>G184-H184</f>
        <v>0</v>
      </c>
      <c r="J184" s="5">
        <f>F184*(1+H184)</f>
        <v>1.8333092547474779</v>
      </c>
      <c r="K184" s="4">
        <v>1.8333092547474779</v>
      </c>
      <c r="L184" s="5">
        <f>K184-J184</f>
        <v>0</v>
      </c>
      <c r="M184" s="4">
        <v>1.839</v>
      </c>
      <c r="N184" s="4">
        <v>1.876</v>
      </c>
      <c r="O184" s="5">
        <f>M184/$M$3</f>
        <v>0.9392236976506639</v>
      </c>
      <c r="P184" s="5">
        <f>N184/$M$3</f>
        <v>0.958120531154239</v>
      </c>
      <c r="Q184" s="7">
        <f>IFERROR(N184/M184-1,0)</f>
        <v>0.020119630233822683</v>
      </c>
      <c r="R184" s="5">
        <f>SUM(IF(BM184="lease",BU184,0),IF(CH184="lease",CP184,0),IF(DC184="lease",DK184,0),IF(DX184="lease",EF184,0),IF(ES184="lease",FA184,0),IF(FN184="lease",FV184,0),IF(GI184="lease",GQ184,0),IF(HD184="lease",HL184,0),IF(HY184="lease",IG184,0),IF(IT184="lease",JB184,0))</f>
        <v>1.7971633029598229</v>
      </c>
      <c r="S184" s="5">
        <f>SUM(IF(BM184="lease",BV184,0),IF(CH184="lease",CQ184,0),IF(DC184="lease",DL184,0),IF(DX184="lease",EG184,0),IF(ES184="lease",FB184,0),IF(FN184="lease",FW184,0),IF(GI184="lease",GR184,0),IF(HD184="lease",HM184,0),IF(HY184="lease",IH184,0),IF(IT184="lease",JC184,0))</f>
        <v>1.8333092547474785</v>
      </c>
      <c r="T184" s="5">
        <f>SUM(IF(BM184="keep",BU184,0),IF(CH184="keep",CP184,0),IF(DC184="keep",DK184,0),IF(DX184="keep",EF184,0),IF(ES184="keep",FA184,0),IF(FN184="keep",FV184,0),IF(GI184="keep",GQ184,0),IF(HD184="keep",HL184,0),IF(HY184="keep",IG184,0),IF(IT184="keep",JB184,0))</f>
        <v>0</v>
      </c>
      <c r="U184" s="5">
        <f>SUM(IF(BM184="keep",BV184,0),IF(CH184="keep",CQ184,0),IF(DC184="keep",DL184,0),IF(DX184="keep",EG184,0),IF(ES184="keep",FB184,0),IF(FN184="keep",FW184,0),IF(GI184="keep",GR184,0),IF(HD184="keep",HM184,0),IF(HY184="keep",IH184,0),IF(IT184="keep",JC184,0))</f>
        <v>0</v>
      </c>
      <c r="V184" s="5">
        <f>R184/O184</f>
        <v>1.9134560887413448</v>
      </c>
      <c r="W184" s="5">
        <f>S184/P184</f>
        <v>1.9134432413622404</v>
      </c>
      <c r="X184" s="5">
        <f>T184/O184</f>
        <v>0</v>
      </c>
      <c r="Y184" s="5">
        <f>U184/P184</f>
        <v>0</v>
      </c>
      <c r="Z184" s="5">
        <f>V184+X184</f>
        <v>1.9134560887413448</v>
      </c>
      <c r="AA184" s="7">
        <f>IFERROR(W184/V184-1,0)</f>
        <v>-0.000006714227297921482</v>
      </c>
      <c r="AB184" s="7">
        <f>IFERROR((W184-V184)/Z184,0)</f>
        <v>-0.000006714227297890293</v>
      </c>
      <c r="AC184" s="7">
        <f>IFERROR(Y184/X184-1,0)</f>
        <v>0</v>
      </c>
      <c r="AD184" s="7">
        <f>IFERROR((Y184-X184)/Z184,0)</f>
        <v>0</v>
      </c>
      <c r="AE184" s="7">
        <f>AB184+AD184</f>
        <v>-0.000006714227297890293</v>
      </c>
      <c r="AF184" s="7">
        <f>(1+Q184)*(1+AE184)-1</f>
        <v>0.020112780918754236</v>
      </c>
      <c r="AG184" s="7">
        <f>G184-AF184</f>
        <v>-4.5102810375396984e-17</v>
      </c>
      <c r="AH184" s="5">
        <f>SUM(IF(BM184="lease",BW184,0),IF(CH184="lease",CR184,0),IF(DC184="lease",DM184,0),IF(DX184="lease",EH184,0),IF(ES184="lease",FC184,0),IF(FN184="lease",FX184,0),IF(GI184="lease",GS184,0),IF(HD184="lease",HN184,0),IF(HY184="lease",II184,0),IF(IT184="lease",JD184,0))</f>
        <v>0.03614595178765557</v>
      </c>
      <c r="AI184" s="5">
        <f>SUM(IF(BM184="keep",BW184,0),IF(CH184="keep",CR184,0),IF(DC184="keep",DM184,0),IF(DX184="keep",EH184,0),IF(ES184="keep",FC184,0),IF(FN184="keep",FX184,0),IF(GI184="keep",GS184,0),IF(HD184="keep",HN184,0),IF(HY184="keep",II184,0),IF(IT184="keep",JD184,0))</f>
        <v>0</v>
      </c>
      <c r="AJ184" s="5">
        <f>SUM(IF(BM184="lease",BX184,0),IF(CH184="lease",CS184,0),IF(DC184="lease",DN184,0),IF(DX184="lease",EI184,0),IF(ES184="lease",FD184,0),IF(FN184="lease",FY184,0),IF(GI184="lease",GT184,0),IF(HD184="lease",HO184,0),IF(HY184="lease",IJ184,0),IF(IT184="lease",JE184,0))</f>
        <v>0</v>
      </c>
      <c r="AK184" s="5">
        <f>SUM(IF(BM184="keep",BX184,0),IF(CH184="keep",CS184,0),IF(DC184="keep",DN184,0),IF(DX184="keep",EI184,0),IF(ES184="keep",FD184,0),IF(FN184="keep",FY184,0),IF(GI184="keep",GT184,0),IF(HD184="keep",HO184,0),IF(HY184="keep",IJ184,0),IF(IT184="keep",JE184,0))</f>
        <v>0</v>
      </c>
      <c r="AL184" s="5">
        <f>R184-S183</f>
        <v>0</v>
      </c>
      <c r="AM184" s="5">
        <f>T184-U183</f>
        <v>0</v>
      </c>
      <c r="AN184" s="5">
        <f>AN183</f>
        <v>1</v>
      </c>
      <c r="AO184" s="5">
        <f>AO183+AH184</f>
        <v>0.8333092547474789</v>
      </c>
      <c r="AP184" s="5">
        <f>AP183+AL184</f>
        <v>-2.220446049250313e-16</v>
      </c>
      <c r="AQ184" s="5">
        <f>AN184+AO184+AP184</f>
        <v>1.8333092547474787</v>
      </c>
      <c r="AR184" s="5">
        <f>S184-AQ184</f>
        <v>-2.220446049250313e-16</v>
      </c>
      <c r="AS184" s="5">
        <f>AS183</f>
        <v>0</v>
      </c>
      <c r="AT184" s="5">
        <f>AT183+AI184</f>
        <v>0</v>
      </c>
      <c r="AU184" s="5">
        <f>AU183+AM184</f>
        <v>0</v>
      </c>
      <c r="AV184" s="5">
        <f>AS184+AT184+AU184</f>
        <v>0</v>
      </c>
      <c r="AW184" s="5">
        <f>U184-AV184</f>
        <v>0</v>
      </c>
      <c r="AX184" s="4">
        <v>1.7971633029598229</v>
      </c>
      <c r="AY184" s="4">
        <v>1.8333092547474785</v>
      </c>
      <c r="AZ184" s="5">
        <f>S184-AY184</f>
        <v>0</v>
      </c>
      <c r="BA184" s="4">
        <v>0</v>
      </c>
      <c r="BB184" s="4">
        <v>0</v>
      </c>
      <c r="BC184" s="5">
        <f>U184-BB184</f>
        <v>0</v>
      </c>
      <c r="BD184" s="7">
        <f>SUM(IF(BL184="direct",CE184,0),IF(CG184="direct",CZ184,0),IF(DB184="direct",DU184,0),IF(DW184="direct",EP184,0),IF(ER184="direct",FK184,0),IF(FM184="direct",GF184,0),IF(GH184="direct",HA184,0),IF(HC184="direct",HV184,0),IF(HX184="direct",IQ184,0),IF(IS184="direct",JL184,0))</f>
        <v>0.02011278091875419</v>
      </c>
      <c r="BE184" s="7">
        <f>SUM(IF(BL184="treasury",CE184,0),IF(CG184="treasury",CZ184,0),IF(DB184="treasury",DU184,0),IF(DW184="treasury",EP184,0),IF(ER184="treasury",FK184,0),IF(FM184="treasury",GF184,0),IF(GH184="treasury",HA184,0),IF(HC184="treasury",HV184,0),IF(HX184="treasury",IQ184,0),IF(IS184="treasury",JL184,0))</f>
        <v>0</v>
      </c>
      <c r="BF184" s="7">
        <f>SUM(IF(BL184="future",CE184,0),IF(CG184="future",CZ184,0),IF(DB184="future",DU184,0),IF(DW184="future",EP184,0),IF(ER184="future",FK184,0),IF(FM184="future",GF184,0),IF(GH184="future",HA184,0),IF(HC184="future",HV184,0),IF(HX184="future",IQ184,0),IF(IS184="future",JL184,0))</f>
        <v>0</v>
      </c>
      <c r="BG184" s="7">
        <f>SUM(IF(BL184="cash",CE184,0),IF(CG184="cash",CZ184,0),IF(DB184="cash",DU184,0),IF(DW184="cash",EP184,0),IF(ER184="cash",FK184,0),IF(FM184="cash",GF184,0),IF(GH184="cash",HA184,0),IF(HC184="cash",HV184,0),IF(HX184="cash",IQ184,0),IF(IS184="cash",JL184,0))</f>
        <v>0</v>
      </c>
      <c r="BH184" s="7">
        <f>SUM(BD184:BG184)</f>
        <v>0.02011278091875419</v>
      </c>
      <c r="BI184" s="7">
        <f>G184-BH184</f>
        <v>0</v>
      </c>
      <c r="BJ184" s="9">
        <f>COUNTA(BK184,CF184,DA184,DV184,EQ184,FL184,GG184,HB184,HW184,IR184)</f>
        <v>3</v>
      </c>
      <c r="BK184" t="inlineStr">
        <is>
          <t xml:space="preserve">Direct commodity holding</t>
        </is>
      </c>
      <c r="BL184" t="inlineStr">
        <is>
          <t xml:space="preserve">direct</t>
        </is>
      </c>
      <c r="BM184" t="inlineStr">
        <is>
          <t xml:space="preserve">lease</t>
        </is>
      </c>
      <c r="BN184" t="inlineStr">
        <is>
          <t xml:space="preserve">long</t>
        </is>
      </c>
      <c r="BO184"/>
      <c r="BP184" s="4">
        <v>1.839</v>
      </c>
      <c r="BQ184" s="4">
        <v>1.876</v>
      </c>
      <c r="BR184" s="4">
        <v>0.9772503006850582</v>
      </c>
      <c r="BS184" s="6">
        <v>1</v>
      </c>
      <c r="BT184" s="4">
        <v>1.7971633029598222</v>
      </c>
      <c r="BU184" s="4">
        <v>1.7971633029598222</v>
      </c>
      <c r="BV184" s="4">
        <v>1.8333215640851692</v>
      </c>
      <c r="BW184" s="4">
        <v>0.03614595178765557</v>
      </c>
      <c r="BX184" s="4">
        <v>0.000012309337691467082</v>
      </c>
      <c r="BY184" s="4">
        <v>1.839</v>
      </c>
      <c r="BZ184" s="4">
        <v>1.876</v>
      </c>
      <c r="CA184" s="6"/>
      <c r="CB184" s="6"/>
      <c r="CC184" s="6"/>
      <c r="CD184" s="9"/>
      <c r="CE184" s="7">
        <f>IFERROR(BW184/F184,0)</f>
        <v>0.02011278091875419</v>
      </c>
      <c r="CF184" t="inlineStr">
        <is>
          <t xml:space="preserve">Lease cash / margin / financing</t>
        </is>
      </c>
      <c r="CG184" t="inlineStr">
        <is>
          <t xml:space="preserve">cash</t>
        </is>
      </c>
      <c r="CH184" t="inlineStr">
        <is>
          <t xml:space="preserve">lease</t>
        </is>
      </c>
      <c r="CI184" t="inlineStr">
        <is>
          <t xml:space="preserve">cash</t>
        </is>
      </c>
      <c r="CJ184"/>
      <c r="CK184" s="4">
        <v>1</v>
      </c>
      <c r="CL184" s="4">
        <v>1</v>
      </c>
      <c r="CM184" s="4">
        <v>6.661338147750939e-16</v>
      </c>
      <c r="CN184" s="6"/>
      <c r="CO184" s="4">
        <v>6.661338147750939e-16</v>
      </c>
      <c r="CP184" s="4">
        <v>6.661338147750939e-16</v>
      </c>
      <c r="CQ184" s="4">
        <v>-0.000012309337690800948</v>
      </c>
      <c r="CR184" s="4">
        <v>0</v>
      </c>
      <c r="CS184" s="4">
        <v>-0.000012309337691467082</v>
      </c>
      <c r="CT184" s="4">
        <v>1.839</v>
      </c>
      <c r="CU184" s="4">
        <v>1.876</v>
      </c>
      <c r="CV184" s="6"/>
      <c r="CW184" s="6"/>
      <c r="CX184" s="6"/>
      <c r="CY184" s="9"/>
      <c r="CZ184" s="7">
        <f>IFERROR(CR184/F184,0)</f>
        <v>0</v>
      </c>
      <c r="DA184" t="inlineStr">
        <is>
          <t xml:space="preserve">Keep cash / margin / financing</t>
        </is>
      </c>
      <c r="DB184" t="inlineStr">
        <is>
          <t xml:space="preserve">cash</t>
        </is>
      </c>
      <c r="DC184" t="inlineStr">
        <is>
          <t xml:space="preserve">keep</t>
        </is>
      </c>
      <c r="DD184" t="inlineStr">
        <is>
          <t xml:space="preserve">cash</t>
        </is>
      </c>
      <c r="DE184"/>
      <c r="DF184" s="4">
        <v>1</v>
      </c>
      <c r="DG184" s="4">
        <v>1</v>
      </c>
      <c r="DH184" s="4">
        <v>0</v>
      </c>
      <c r="DI184" s="6"/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1.839</v>
      </c>
      <c r="DP184" s="4">
        <v>1.876</v>
      </c>
      <c r="DQ184" s="6"/>
      <c r="DR184" s="6"/>
      <c r="DS184" s="6"/>
      <c r="DT184" s="9"/>
      <c r="DU184" s="7">
        <f>IFERROR(DM184/F184,0)</f>
        <v>0</v>
      </c>
      <c r="DV184"/>
      <c r="DW184"/>
      <c r="DX184"/>
      <c r="DY184"/>
      <c r="DZ184"/>
      <c r="EA184" s="4"/>
      <c r="EB184" s="4"/>
      <c r="EC184" s="4"/>
      <c r="ED184" s="6"/>
      <c r="EE184" s="4"/>
      <c r="EF184" s="4"/>
      <c r="EG184" s="4"/>
      <c r="EH184" s="4"/>
      <c r="EI184" s="4"/>
      <c r="EJ184" s="4"/>
      <c r="EK184" s="4"/>
      <c r="EL184" s="6"/>
      <c r="EM184" s="6"/>
      <c r="EN184" s="6"/>
      <c r="EO184" s="9"/>
      <c r="EP184"/>
      <c r="EQ184"/>
      <c r="ER184"/>
      <c r="ES184"/>
      <c r="ET184"/>
      <c r="EU184"/>
      <c r="EV184" s="4"/>
      <c r="EW184" s="4"/>
      <c r="EX184" s="4"/>
      <c r="EY184" s="6"/>
      <c r="EZ184" s="4"/>
      <c r="FA184" s="4"/>
      <c r="FB184" s="4"/>
      <c r="FC184" s="4"/>
      <c r="FD184" s="4"/>
      <c r="FE184" s="4"/>
      <c r="FF184" s="4"/>
      <c r="FG184" s="6"/>
      <c r="FH184" s="6"/>
      <c r="FI184" s="6"/>
      <c r="FJ184" s="9"/>
      <c r="FK184"/>
      <c r="FL184"/>
      <c r="FM184"/>
      <c r="FN184"/>
      <c r="FO184"/>
      <c r="FP184"/>
      <c r="FQ184" s="4"/>
      <c r="FR184" s="4"/>
      <c r="FS184" s="4"/>
      <c r="FT184" s="6"/>
      <c r="FU184" s="4"/>
      <c r="FV184" s="4"/>
      <c r="FW184" s="4"/>
      <c r="FX184" s="4"/>
      <c r="FY184" s="4"/>
      <c r="FZ184" s="4"/>
      <c r="GA184" s="4"/>
      <c r="GB184" s="6"/>
      <c r="GC184" s="6"/>
      <c r="GD184" s="6"/>
      <c r="GE184" s="9"/>
      <c r="GF184"/>
      <c r="GG184"/>
      <c r="GH184"/>
      <c r="GI184"/>
      <c r="GJ184"/>
      <c r="GK184"/>
      <c r="GL184" s="4"/>
      <c r="GM184" s="4"/>
      <c r="GN184" s="4"/>
      <c r="GO184" s="6"/>
      <c r="GP184" s="4"/>
      <c r="GQ184" s="4"/>
      <c r="GR184" s="4"/>
      <c r="GS184" s="4"/>
      <c r="GT184" s="4"/>
      <c r="GU184" s="4"/>
      <c r="GV184" s="4"/>
      <c r="GW184" s="6"/>
      <c r="GX184" s="6"/>
      <c r="GY184" s="6"/>
      <c r="GZ184" s="9"/>
      <c r="HA184"/>
      <c r="HB184"/>
      <c r="HC184"/>
      <c r="HD184"/>
      <c r="HE184"/>
      <c r="HF184"/>
      <c r="HG184" s="4"/>
      <c r="HH184" s="4"/>
      <c r="HI184" s="4"/>
      <c r="HJ184" s="6"/>
      <c r="HK184" s="4"/>
      <c r="HL184" s="4"/>
      <c r="HM184" s="4"/>
      <c r="HN184" s="4"/>
      <c r="HO184" s="4"/>
      <c r="HP184" s="4"/>
      <c r="HQ184" s="4"/>
      <c r="HR184" s="6"/>
      <c r="HS184" s="6"/>
      <c r="HT184" s="6"/>
      <c r="HU184" s="9"/>
      <c r="HV184"/>
      <c r="HW184"/>
      <c r="HX184"/>
      <c r="HY184"/>
      <c r="HZ184"/>
      <c r="IA184"/>
      <c r="IB184" s="4"/>
      <c r="IC184" s="4"/>
      <c r="ID184" s="4"/>
      <c r="IE184" s="6"/>
      <c r="IF184" s="4"/>
      <c r="IG184" s="4"/>
      <c r="IH184" s="4"/>
      <c r="II184" s="4"/>
      <c r="IJ184" s="4"/>
      <c r="IK184" s="4"/>
      <c r="IL184" s="4"/>
      <c r="IM184" s="6"/>
      <c r="IN184" s="6"/>
      <c r="IO184" s="6"/>
      <c r="IP184" s="9"/>
      <c r="IQ184"/>
      <c r="IR184"/>
      <c r="IS184"/>
      <c r="IT184"/>
      <c r="IU184"/>
      <c r="IV184"/>
      <c r="IW184" s="4"/>
      <c r="IX184" s="4"/>
      <c r="IY184" s="4"/>
      <c r="IZ184" s="6"/>
      <c r="JA184" s="4"/>
      <c r="JB184" s="4"/>
      <c r="JC184" s="4"/>
      <c r="JD184" s="4"/>
      <c r="JE184" s="4"/>
      <c r="JF184" s="4"/>
      <c r="JG184" s="4"/>
      <c r="JH184" s="6"/>
      <c r="JI184" s="6"/>
      <c r="JJ184" s="6"/>
      <c r="JK184" s="9"/>
      <c r="JL184"/>
    </row>
    <row r="185">
      <c r="A185" s="8">
        <v>25476</v>
      </c>
      <c r="B185" s="8">
        <v>25477</v>
      </c>
      <c r="C185" s="9">
        <f>B185-A185</f>
        <v>1</v>
      </c>
      <c r="D185" s="8">
        <v>25476</v>
      </c>
      <c r="E185" t="inlineStr">
        <is>
          <t xml:space="preserve">positive</t>
        </is>
      </c>
      <c r="F185" s="4">
        <v>1.8333092547474779</v>
      </c>
      <c r="G185" s="6">
        <v>-0.004786510714631686</v>
      </c>
      <c r="H185" s="7">
        <f>SUM(CE185,CZ185,DU185,EP185,FK185,GF185,HA185,HV185,IQ185,JL185)</f>
        <v>-0.004786510714631685</v>
      </c>
      <c r="I185" s="7">
        <f>G185-H185</f>
        <v>-8.673617379884035e-19</v>
      </c>
      <c r="J185" s="5">
        <f>F185*(1+H185)</f>
        <v>1.8245341003563957</v>
      </c>
      <c r="K185" s="4">
        <v>1.8245341003563957</v>
      </c>
      <c r="L185" s="5">
        <f>K185-J185</f>
        <v>0</v>
      </c>
      <c r="M185" s="4">
        <v>1.876</v>
      </c>
      <c r="N185" s="4">
        <v>1.863</v>
      </c>
      <c r="O185" s="5">
        <f>M185/$M$3</f>
        <v>0.958120531154239</v>
      </c>
      <c r="P185" s="5">
        <f>N185/$M$3</f>
        <v>0.9514811031664965</v>
      </c>
      <c r="Q185" s="7">
        <f>IFERROR(N185/M185-1,0)</f>
        <v>-0.006929637526652432</v>
      </c>
      <c r="R185" s="5">
        <f>SUM(IF(BM185="lease",BU185,0),IF(CH185="lease",CP185,0),IF(DC185="lease",DK185,0),IF(DX185="lease",EF185,0),IF(ES185="lease",FA185,0),IF(FN185="lease",FV185,0),IF(GI185="lease",GQ185,0),IF(HD185="lease",HL185,0),IF(HY185="lease",IG185,0),IF(IT185="lease",JB185,0))</f>
        <v>1.8333092547474785</v>
      </c>
      <c r="S185" s="5">
        <f>SUM(IF(BM185="lease",BV185,0),IF(CH185="lease",CQ185,0),IF(DC185="lease",DL185,0),IF(DX185="lease",EG185,0),IF(ES185="lease",FB185,0),IF(FN185="lease",FW185,0),IF(GI185="lease",GR185,0),IF(HD185="lease",HM185,0),IF(HY185="lease",IH185,0),IF(IT185="lease",JC185,0))</f>
        <v>1.8245341003563962</v>
      </c>
      <c r="T185" s="5">
        <f>SUM(IF(BM185="keep",BU185,0),IF(CH185="keep",CP185,0),IF(DC185="keep",DK185,0),IF(DX185="keep",EF185,0),IF(ES185="keep",FA185,0),IF(FN185="keep",FV185,0),IF(GI185="keep",GQ185,0),IF(HD185="keep",HL185,0),IF(HY185="keep",IG185,0),IF(IT185="keep",JB185,0))</f>
        <v>0</v>
      </c>
      <c r="U185" s="5">
        <f>SUM(IF(BM185="keep",BV185,0),IF(CH185="keep",CQ185,0),IF(DC185="keep",DL185,0),IF(DX185="keep",EG185,0),IF(ES185="keep",FB185,0),IF(FN185="keep",FW185,0),IF(GI185="keep",GR185,0),IF(HD185="keep",HM185,0),IF(HY185="keep",IH185,0),IF(IT185="keep",JC185,0))</f>
        <v>0</v>
      </c>
      <c r="V185" s="5">
        <f>R185/O185</f>
        <v>1.9134432413622404</v>
      </c>
      <c r="W185" s="5">
        <f>S185/P185</f>
        <v>1.917572607889331</v>
      </c>
      <c r="X185" s="5">
        <f>T185/O185</f>
        <v>0</v>
      </c>
      <c r="Y185" s="5">
        <f>U185/P185</f>
        <v>0</v>
      </c>
      <c r="Z185" s="5">
        <f>V185+X185</f>
        <v>1.9134432413622404</v>
      </c>
      <c r="AA185" s="7">
        <f>IFERROR(W185/V185-1,0)</f>
        <v>0.002158081534809897</v>
      </c>
      <c r="AB185" s="7">
        <f>IFERROR((W185-V185)/Z185,0)</f>
        <v>0.0021580815348098224</v>
      </c>
      <c r="AC185" s="7">
        <f>IFERROR(Y185/X185-1,0)</f>
        <v>0</v>
      </c>
      <c r="AD185" s="7">
        <f>IFERROR((Y185-X185)/Z185,0)</f>
        <v>0</v>
      </c>
      <c r="AE185" s="7">
        <f>AB185+AD185</f>
        <v>0.0021580815348098224</v>
      </c>
      <c r="AF185" s="7">
        <f>(1+Q185)*(1+AE185)-1</f>
        <v>-0.004786510714631764</v>
      </c>
      <c r="AG185" s="7">
        <f>G185-AF185</f>
        <v>7.806255641895632e-17</v>
      </c>
      <c r="AH185" s="5">
        <f>SUM(IF(BM185="lease",BW185,0),IF(CH185="lease",CR185,0),IF(DC185="lease",DM185,0),IF(DX185="lease",EH185,0),IF(ES185="lease",FC185,0),IF(FN185="lease",FX185,0),IF(GI185="lease",GS185,0),IF(HD185="lease",HN185,0),IF(HY185="lease",II185,0),IF(IT185="lease",JD185,0))</f>
        <v>-0.008775154391082233</v>
      </c>
      <c r="AI185" s="5">
        <f>SUM(IF(BM185="keep",BW185,0),IF(CH185="keep",CR185,0),IF(DC185="keep",DM185,0),IF(DX185="keep",EH185,0),IF(ES185="keep",FC185,0),IF(FN185="keep",FX185,0),IF(GI185="keep",GS185,0),IF(HD185="keep",HN185,0),IF(HY185="keep",II185,0),IF(IT185="keep",JD185,0))</f>
        <v>0</v>
      </c>
      <c r="AJ185" s="5">
        <f>SUM(IF(BM185="lease",BX185,0),IF(CH185="lease",CS185,0),IF(DC185="lease",DN185,0),IF(DX185="lease",EI185,0),IF(ES185="lease",FD185,0),IF(FN185="lease",FY185,0),IF(GI185="lease",GT185,0),IF(HD185="lease",HO185,0),IF(HY185="lease",IJ185,0),IF(IT185="lease",JE185,0))</f>
        <v>0</v>
      </c>
      <c r="AK185" s="5">
        <f>SUM(IF(BM185="keep",BX185,0),IF(CH185="keep",CS185,0),IF(DC185="keep",DN185,0),IF(DX185="keep",EI185,0),IF(ES185="keep",FD185,0),IF(FN185="keep",FY185,0),IF(GI185="keep",GT185,0),IF(HD185="keep",HO185,0),IF(HY185="keep",IJ185,0),IF(IT185="keep",JE185,0))</f>
        <v>0</v>
      </c>
      <c r="AL185" s="5">
        <f>R185-S184</f>
        <v>0</v>
      </c>
      <c r="AM185" s="5">
        <f>T185-U184</f>
        <v>0</v>
      </c>
      <c r="AN185" s="5">
        <f>AN184</f>
        <v>1</v>
      </c>
      <c r="AO185" s="5">
        <f>AO184+AH185</f>
        <v>0.8245341003563966</v>
      </c>
      <c r="AP185" s="5">
        <f>AP184+AL185</f>
        <v>-2.220446049250313e-16</v>
      </c>
      <c r="AQ185" s="5">
        <f>AN185+AO185+AP185</f>
        <v>1.8245341003563964</v>
      </c>
      <c r="AR185" s="5">
        <f>S185-AQ185</f>
        <v>-2.220446049250313e-16</v>
      </c>
      <c r="AS185" s="5">
        <f>AS184</f>
        <v>0</v>
      </c>
      <c r="AT185" s="5">
        <f>AT184+AI185</f>
        <v>0</v>
      </c>
      <c r="AU185" s="5">
        <f>AU184+AM185</f>
        <v>0</v>
      </c>
      <c r="AV185" s="5">
        <f>AS185+AT185+AU185</f>
        <v>0</v>
      </c>
      <c r="AW185" s="5">
        <f>U185-AV185</f>
        <v>0</v>
      </c>
      <c r="AX185" s="4">
        <v>1.8333092547474785</v>
      </c>
      <c r="AY185" s="4">
        <v>1.8245341003563962</v>
      </c>
      <c r="AZ185" s="5">
        <f>S185-AY185</f>
        <v>0</v>
      </c>
      <c r="BA185" s="4">
        <v>0</v>
      </c>
      <c r="BB185" s="4">
        <v>0</v>
      </c>
      <c r="BC185" s="5">
        <f>U185-BB185</f>
        <v>0</v>
      </c>
      <c r="BD185" s="7">
        <f>SUM(IF(BL185="direct",CE185,0),IF(CG185="direct",CZ185,0),IF(DB185="direct",DU185,0),IF(DW185="direct",EP185,0),IF(ER185="direct",FK185,0),IF(FM185="direct",GF185,0),IF(GH185="direct",HA185,0),IF(HC185="direct",HV185,0),IF(HX185="direct",IQ185,0),IF(IS185="direct",JL185,0))</f>
        <v>-0.005734070429463202</v>
      </c>
      <c r="BE185" s="7">
        <f>SUM(IF(BL185="treasury",CE185,0),IF(CG185="treasury",CZ185,0),IF(DB185="treasury",DU185,0),IF(DW185="treasury",EP185,0),IF(ER185="treasury",FK185,0),IF(FM185="treasury",GF185,0),IF(GH185="treasury",HA185,0),IF(HC185="treasury",HV185,0),IF(HX185="treasury",IQ185,0),IF(IS185="treasury",JL185,0))</f>
        <v>0.000033909444558031856</v>
      </c>
      <c r="BF185" s="7">
        <f>SUM(IF(BL185="future",CE185,0),IF(CG185="future",CZ185,0),IF(DB185="future",DU185,0),IF(DW185="future",EP185,0),IF(ER185="future",FK185,0),IF(FM185="future",GF185,0),IF(GH185="future",HA185,0),IF(HC185="future",HV185,0),IF(HX185="future",IQ185,0),IF(IS185="future",JL185,0))</f>
        <v>0.0009136502702734833</v>
      </c>
      <c r="BG185" s="7">
        <f>SUM(IF(BL185="cash",CE185,0),IF(CG185="cash",CZ185,0),IF(DB185="cash",DU185,0),IF(DW185="cash",EP185,0),IF(ER185="cash",FK185,0),IF(FM185="cash",GF185,0),IF(GH185="cash",HA185,0),IF(HC185="cash",HV185,0),IF(HX185="cash",IQ185,0),IF(IS185="cash",JL185,0))</f>
        <v>0</v>
      </c>
      <c r="BH185" s="7">
        <f>SUM(BD185:BG185)</f>
        <v>-0.004786510714631686</v>
      </c>
      <c r="BI185" s="7">
        <f>G185-BH185</f>
        <v>0</v>
      </c>
      <c r="BJ185" s="9">
        <f>COUNTA(BK185,CF185,DA185,DV185,EQ185,FL185,GG185,HB185,HW185,IR185)</f>
        <v>6</v>
      </c>
      <c r="BK185" t="inlineStr">
        <is>
          <t xml:space="preserve">Direct commodity holding</t>
        </is>
      </c>
      <c r="BL185" t="inlineStr">
        <is>
          <t xml:space="preserve">direct</t>
        </is>
      </c>
      <c r="BM185" t="inlineStr">
        <is>
          <t xml:space="preserve">lease</t>
        </is>
      </c>
      <c r="BN185" t="inlineStr">
        <is>
          <t xml:space="preserve">long</t>
        </is>
      </c>
      <c r="BO185"/>
      <c r="BP185" s="4">
        <v>1.876</v>
      </c>
      <c r="BQ185" s="4">
        <v>1.863</v>
      </c>
      <c r="BR185" s="4">
        <v>0.8078418593179131</v>
      </c>
      <c r="BS185" s="6">
        <v>0.8266533996683245</v>
      </c>
      <c r="BT185" s="4">
        <v>1.515511328080405</v>
      </c>
      <c r="BU185" s="4">
        <v>1.515511328080405</v>
      </c>
      <c r="BV185" s="4">
        <v>1.505009383909272</v>
      </c>
      <c r="BW185" s="4">
        <v>-0.010512324385708732</v>
      </c>
      <c r="BX185" s="4">
        <v>0.000010380214575805846</v>
      </c>
      <c r="BY185" s="4">
        <v>1.876</v>
      </c>
      <c r="BZ185" s="4">
        <v>1.863</v>
      </c>
      <c r="CA185" s="6"/>
      <c r="CB185" s="6"/>
      <c r="CC185" s="6"/>
      <c r="CD185" s="9"/>
      <c r="CE185" s="7">
        <f>IFERROR(BW185/F185,0)</f>
        <v>-0.005734070429463202</v>
      </c>
      <c r="CF185" t="inlineStr">
        <is>
          <t xml:space="preserve">Treasury collateral</t>
        </is>
      </c>
      <c r="CG185" t="inlineStr">
        <is>
          <t xml:space="preserve">treasury</t>
        </is>
      </c>
      <c r="CH185" t="inlineStr">
        <is>
          <t xml:space="preserve">lease</t>
        </is>
      </c>
      <c r="CI185" t="inlineStr">
        <is>
          <t xml:space="preserve">long</t>
        </is>
      </c>
      <c r="CJ185"/>
      <c r="CK185" s="4">
        <v>104.8925713302952</v>
      </c>
      <c r="CL185" s="4">
        <v>104.91309004150884</v>
      </c>
      <c r="CM185" s="4">
        <v>0.0030297467459955967</v>
      </c>
      <c r="CN185" s="6">
        <v>0.1733466003316755</v>
      </c>
      <c r="CO185" s="4">
        <v>0.3177979266670729</v>
      </c>
      <c r="CP185" s="4">
        <v>0.3177979266670729</v>
      </c>
      <c r="CQ185" s="4">
        <v>0.31786009316560443</v>
      </c>
      <c r="CR185" s="4">
        <v>0.00006216649853158631</v>
      </c>
      <c r="CS185" s="4">
        <v>-6.23009673364483e-17</v>
      </c>
      <c r="CT185" s="4">
        <v>1.876</v>
      </c>
      <c r="CU185" s="4">
        <v>1.863</v>
      </c>
      <c r="CV185" s="6"/>
      <c r="CW185" s="6"/>
      <c r="CX185" s="6"/>
      <c r="CY185" s="9">
        <v>90</v>
      </c>
      <c r="CZ185" s="7">
        <f>IFERROR(CR185/F185,0)</f>
        <v>0.000033909444558031856</v>
      </c>
      <c r="DA185" t="inlineStr">
        <is>
          <t xml:space="preserve">SI69Z</t>
        </is>
      </c>
      <c r="DB185" t="inlineStr">
        <is>
          <t xml:space="preserve">future</t>
        </is>
      </c>
      <c r="DC185" t="inlineStr">
        <is>
          <t xml:space="preserve">lease</t>
        </is>
      </c>
      <c r="DD185" t="inlineStr">
        <is>
          <t xml:space="preserve">long</t>
        </is>
      </c>
      <c r="DE185" t="inlineStr">
        <is>
          <t xml:space="preserve">regular</t>
        </is>
      </c>
      <c r="DF185" s="4">
        <v>1.8969999999999998</v>
      </c>
      <c r="DG185" s="4">
        <v>1.9069999999999998</v>
      </c>
      <c r="DH185" s="4">
        <v>0.16501217671638824</v>
      </c>
      <c r="DI185" s="6">
        <v>0.1707448421047246</v>
      </c>
      <c r="DJ185" s="4">
        <v>0.31302809923098845</v>
      </c>
      <c r="DK185" s="4">
        <v>0</v>
      </c>
      <c r="DL185" s="4">
        <v>0</v>
      </c>
      <c r="DM185" s="4">
        <v>0.0016501217671638499</v>
      </c>
      <c r="DN185" s="4">
        <v>-0.0016501217671638499</v>
      </c>
      <c r="DO185" s="4">
        <v>1.876</v>
      </c>
      <c r="DP185" s="4">
        <v>1.863</v>
      </c>
      <c r="DQ185" s="6">
        <v>0.011194029850746245</v>
      </c>
      <c r="DR185" s="6">
        <v>0.07139999999999999</v>
      </c>
      <c r="DS185" s="6">
        <v>0.026001990049751324</v>
      </c>
      <c r="DT185" s="9">
        <v>90</v>
      </c>
      <c r="DU185" s="7">
        <f>IFERROR(DM185/F185,0)</f>
        <v>0.0009000782398772866</v>
      </c>
      <c r="DV185" t="inlineStr">
        <is>
          <t xml:space="preserve">SI70F</t>
        </is>
      </c>
      <c r="DW185" t="inlineStr">
        <is>
          <t xml:space="preserve">future</t>
        </is>
      </c>
      <c r="DX185" t="inlineStr">
        <is>
          <t xml:space="preserve">lease</t>
        </is>
      </c>
      <c r="DY185" t="inlineStr">
        <is>
          <t xml:space="preserve">long</t>
        </is>
      </c>
      <c r="DZ185" t="inlineStr">
        <is>
          <t xml:space="preserve">regular</t>
        </is>
      </c>
      <c r="EA185" s="4">
        <v>1.9169999999999998</v>
      </c>
      <c r="EB185" s="4">
        <v>1.9269999999999998</v>
      </c>
      <c r="EC185" s="4">
        <v>0.0024881728931061635</v>
      </c>
      <c r="ED185" s="6">
        <v>0.0026017582269509225</v>
      </c>
      <c r="EE185" s="4">
        <v>0.004769827436084515</v>
      </c>
      <c r="EF185" s="4">
        <v>0</v>
      </c>
      <c r="EG185" s="4">
        <v>0</v>
      </c>
      <c r="EH185" s="4">
        <v>0.000024881728931061637</v>
      </c>
      <c r="EI185" s="4">
        <v>-0.000024881728931061637</v>
      </c>
      <c r="EJ185" s="4">
        <v>1.876</v>
      </c>
      <c r="EK185" s="4">
        <v>1.863</v>
      </c>
      <c r="EL185" s="6">
        <v>0.021855010660980723</v>
      </c>
      <c r="EM185" s="6">
        <v>0.0720054945054945</v>
      </c>
      <c r="EN185" s="6">
        <v>0.0055298370783447995</v>
      </c>
      <c r="EO185" s="9">
        <v>120</v>
      </c>
      <c r="EP185" s="7">
        <f>IFERROR(EH185/F185,0)</f>
        <v>0.000013572030396196781</v>
      </c>
      <c r="EQ185" t="inlineStr">
        <is>
          <t xml:space="preserve">Lease cash / margin / financing</t>
        </is>
      </c>
      <c r="ER185" t="inlineStr">
        <is>
          <t xml:space="preserve">cash</t>
        </is>
      </c>
      <c r="ES185" t="inlineStr">
        <is>
          <t xml:space="preserve">lease</t>
        </is>
      </c>
      <c r="ET185" t="inlineStr">
        <is>
          <t xml:space="preserve">cash</t>
        </is>
      </c>
      <c r="EU185"/>
      <c r="EV185" s="4">
        <v>1</v>
      </c>
      <c r="EW185" s="4">
        <v>1</v>
      </c>
      <c r="EX185" s="4">
        <v>6.661338147750939e-16</v>
      </c>
      <c r="EY185" s="6"/>
      <c r="EZ185" s="4">
        <v>6.661338147750939e-16</v>
      </c>
      <c r="FA185" s="4">
        <v>6.661338147750939e-16</v>
      </c>
      <c r="FB185" s="4">
        <v>0.001664623281519834</v>
      </c>
      <c r="FC185" s="4">
        <v>0</v>
      </c>
      <c r="FD185" s="4">
        <v>0.0016646232815191678</v>
      </c>
      <c r="FE185" s="4">
        <v>1.876</v>
      </c>
      <c r="FF185" s="4">
        <v>1.863</v>
      </c>
      <c r="FG185" s="6"/>
      <c r="FH185" s="6"/>
      <c r="FI185" s="6"/>
      <c r="FJ185" s="9"/>
      <c r="FK185" s="7">
        <f>IFERROR(FC185/F185,0)</f>
        <v>0</v>
      </c>
      <c r="FL185" t="inlineStr">
        <is>
          <t xml:space="preserve">Keep cash / margin / financing</t>
        </is>
      </c>
      <c r="FM185" t="inlineStr">
        <is>
          <t xml:space="preserve">cash</t>
        </is>
      </c>
      <c r="FN185" t="inlineStr">
        <is>
          <t xml:space="preserve">keep</t>
        </is>
      </c>
      <c r="FO185" t="inlineStr">
        <is>
          <t xml:space="preserve">cash</t>
        </is>
      </c>
      <c r="FP185"/>
      <c r="FQ185" s="4">
        <v>1</v>
      </c>
      <c r="FR185" s="4">
        <v>1</v>
      </c>
      <c r="FS185" s="4">
        <v>0</v>
      </c>
      <c r="FT185" s="6"/>
      <c r="FU185" s="4">
        <v>0</v>
      </c>
      <c r="FV185" s="4">
        <v>0</v>
      </c>
      <c r="FW185" s="4">
        <v>0</v>
      </c>
      <c r="FX185" s="4">
        <v>0</v>
      </c>
      <c r="FY185" s="4">
        <v>0</v>
      </c>
      <c r="FZ185" s="4">
        <v>1.876</v>
      </c>
      <c r="GA185" s="4">
        <v>1.863</v>
      </c>
      <c r="GB185" s="6"/>
      <c r="GC185" s="6"/>
      <c r="GD185" s="6"/>
      <c r="GE185" s="9"/>
      <c r="GF185" s="7">
        <f>IFERROR(FX185/F185,0)</f>
        <v>0</v>
      </c>
      <c r="GG185"/>
      <c r="GH185"/>
      <c r="GI185"/>
      <c r="GJ185"/>
      <c r="GK185"/>
      <c r="GL185" s="4"/>
      <c r="GM185" s="4"/>
      <c r="GN185" s="4"/>
      <c r="GO185" s="6"/>
      <c r="GP185" s="4"/>
      <c r="GQ185" s="4"/>
      <c r="GR185" s="4"/>
      <c r="GS185" s="4"/>
      <c r="GT185" s="4"/>
      <c r="GU185" s="4"/>
      <c r="GV185" s="4"/>
      <c r="GW185" s="6"/>
      <c r="GX185" s="6"/>
      <c r="GY185" s="6"/>
      <c r="GZ185" s="9"/>
      <c r="HA185"/>
      <c r="HB185"/>
      <c r="HC185"/>
      <c r="HD185"/>
      <c r="HE185"/>
      <c r="HF185"/>
      <c r="HG185" s="4"/>
      <c r="HH185" s="4"/>
      <c r="HI185" s="4"/>
      <c r="HJ185" s="6"/>
      <c r="HK185" s="4"/>
      <c r="HL185" s="4"/>
      <c r="HM185" s="4"/>
      <c r="HN185" s="4"/>
      <c r="HO185" s="4"/>
      <c r="HP185" s="4"/>
      <c r="HQ185" s="4"/>
      <c r="HR185" s="6"/>
      <c r="HS185" s="6"/>
      <c r="HT185" s="6"/>
      <c r="HU185" s="9"/>
      <c r="HV185"/>
      <c r="HW185"/>
      <c r="HX185"/>
      <c r="HY185"/>
      <c r="HZ185"/>
      <c r="IA185"/>
      <c r="IB185" s="4"/>
      <c r="IC185" s="4"/>
      <c r="ID185" s="4"/>
      <c r="IE185" s="6"/>
      <c r="IF185" s="4"/>
      <c r="IG185" s="4"/>
      <c r="IH185" s="4"/>
      <c r="II185" s="4"/>
      <c r="IJ185" s="4"/>
      <c r="IK185" s="4"/>
      <c r="IL185" s="4"/>
      <c r="IM185" s="6"/>
      <c r="IN185" s="6"/>
      <c r="IO185" s="6"/>
      <c r="IP185" s="9"/>
      <c r="IQ185"/>
      <c r="IR185"/>
      <c r="IS185"/>
      <c r="IT185"/>
      <c r="IU185"/>
      <c r="IV185"/>
      <c r="IW185" s="4"/>
      <c r="IX185" s="4"/>
      <c r="IY185" s="4"/>
      <c r="IZ185" s="6"/>
      <c r="JA185" s="4"/>
      <c r="JB185" s="4"/>
      <c r="JC185" s="4"/>
      <c r="JD185" s="4"/>
      <c r="JE185" s="4"/>
      <c r="JF185" s="4"/>
      <c r="JG185" s="4"/>
      <c r="JH185" s="6"/>
      <c r="JI185" s="6"/>
      <c r="JJ185" s="6"/>
      <c r="JK185" s="9"/>
      <c r="JL185"/>
    </row>
    <row r="186">
      <c r="A186" s="8">
        <v>25477</v>
      </c>
      <c r="B186" s="8">
        <v>25478</v>
      </c>
      <c r="C186" s="9">
        <f>B186-A186</f>
        <v>1</v>
      </c>
      <c r="D186" s="8">
        <v>25477</v>
      </c>
      <c r="E186" t="inlineStr">
        <is>
          <t xml:space="preserve">neutral</t>
        </is>
      </c>
      <c r="F186" s="4">
        <v>1.8245341003563957</v>
      </c>
      <c r="G186" s="6">
        <v>0.016632978918962493</v>
      </c>
      <c r="H186" s="7">
        <f>SUM(CE186,CZ186,DU186,EP186,FK186,GF186,HA186,HV186,IQ186,JL186)</f>
        <v>0.016632978918962493</v>
      </c>
      <c r="I186" s="7">
        <f>G186-H186</f>
        <v>0</v>
      </c>
      <c r="J186" s="5">
        <f>F186*(1+H186)</f>
        <v>1.854881537584552</v>
      </c>
      <c r="K186" s="4">
        <v>1.854881537584552</v>
      </c>
      <c r="L186" s="5">
        <f>K186-J186</f>
        <v>0</v>
      </c>
      <c r="M186" s="4">
        <v>1.863</v>
      </c>
      <c r="N186" s="4">
        <v>1.894</v>
      </c>
      <c r="O186" s="5">
        <f>M186/$M$3</f>
        <v>0.9514811031664965</v>
      </c>
      <c r="P186" s="5">
        <f>N186/$M$3</f>
        <v>0.9673135852911133</v>
      </c>
      <c r="Q186" s="7">
        <f>IFERROR(N186/M186-1,0)</f>
        <v>0.016639828234030984</v>
      </c>
      <c r="R186" s="5">
        <f>SUM(IF(BM186="lease",BU186,0),IF(CH186="lease",CP186,0),IF(DC186="lease",DK186,0),IF(DX186="lease",EF186,0),IF(ES186="lease",FA186,0),IF(FN186="lease",FV186,0),IF(GI186="lease",GQ186,0),IF(HD186="lease",HL186,0),IF(HY186="lease",IG186,0),IF(IT186="lease",JB186,0))</f>
        <v>1.8245341003563962</v>
      </c>
      <c r="S186" s="5">
        <f>SUM(IF(BM186="lease",BV186,0),IF(CH186="lease",CQ186,0),IF(DC186="lease",DL186,0),IF(DX186="lease",EG186,0),IF(ES186="lease",FB186,0),IF(FN186="lease",FW186,0),IF(GI186="lease",GR186,0),IF(HD186="lease",HM186,0),IF(HY186="lease",IH186,0),IF(IT186="lease",JC186,0))</f>
        <v>1.8548815375845522</v>
      </c>
      <c r="T186" s="5">
        <f>SUM(IF(BM186="keep",BU186,0),IF(CH186="keep",CP186,0),IF(DC186="keep",DK186,0),IF(DX186="keep",EF186,0),IF(ES186="keep",FA186,0),IF(FN186="keep",FV186,0),IF(GI186="keep",GQ186,0),IF(HD186="keep",HL186,0),IF(HY186="keep",IG186,0),IF(IT186="keep",JB186,0))</f>
        <v>0</v>
      </c>
      <c r="U186" s="5">
        <f>SUM(IF(BM186="keep",BV186,0),IF(CH186="keep",CQ186,0),IF(DC186="keep",DL186,0),IF(DX186="keep",EG186,0),IF(ES186="keep",FB186,0),IF(FN186="keep",FW186,0),IF(GI186="keep",GR186,0),IF(HD186="keep",HM186,0),IF(HY186="keep",IH186,0),IF(IT186="keep",JC186,0))</f>
        <v>0</v>
      </c>
      <c r="V186" s="5">
        <f>R186/O186</f>
        <v>1.917572607889331</v>
      </c>
      <c r="W186" s="5">
        <f>S186/P186</f>
        <v>1.9175596888017705</v>
      </c>
      <c r="X186" s="5">
        <f>T186/O186</f>
        <v>0</v>
      </c>
      <c r="Y186" s="5">
        <f>U186/P186</f>
        <v>0</v>
      </c>
      <c r="Z186" s="5">
        <f>V186+X186</f>
        <v>1.917572607889331</v>
      </c>
      <c r="AA186" s="7">
        <f>IFERROR(W186/V186-1,0)</f>
        <v>-0.000006737209066964844</v>
      </c>
      <c r="AB186" s="7">
        <f>IFERROR((W186-V186)/Z186,0)</f>
        <v>-0.000006737209066948196</v>
      </c>
      <c r="AC186" s="7">
        <f>IFERROR(Y186/X186-1,0)</f>
        <v>0</v>
      </c>
      <c r="AD186" s="7">
        <f>IFERROR((Y186-X186)/Z186,0)</f>
        <v>0</v>
      </c>
      <c r="AE186" s="7">
        <f>AB186+AD186</f>
        <v>-0.000006737209066948196</v>
      </c>
      <c r="AF186" s="7">
        <f>(1+Q186)*(1+AE186)-1</f>
        <v>0.016632978918962316</v>
      </c>
      <c r="AG186" s="7">
        <f>G186-AF186</f>
        <v>1.7694179454963432e-16</v>
      </c>
      <c r="AH186" s="5">
        <f>SUM(IF(BM186="lease",BW186,0),IF(CH186="lease",CR186,0),IF(DC186="lease",DM186,0),IF(DX186="lease",EH186,0),IF(ES186="lease",FC186,0),IF(FN186="lease",FX186,0),IF(GI186="lease",GS186,0),IF(HD186="lease",HN186,0),IF(HY186="lease",II186,0),IF(IT186="lease",JD186,0))</f>
        <v>0.030347437228156127</v>
      </c>
      <c r="AI186" s="5">
        <f>SUM(IF(BM186="keep",BW186,0),IF(CH186="keep",CR186,0),IF(DC186="keep",DM186,0),IF(DX186="keep",EH186,0),IF(ES186="keep",FC186,0),IF(FN186="keep",FX186,0),IF(GI186="keep",GS186,0),IF(HD186="keep",HN186,0),IF(HY186="keep",II186,0),IF(IT186="keep",JD186,0))</f>
        <v>0</v>
      </c>
      <c r="AJ186" s="5">
        <f>SUM(IF(BM186="lease",BX186,0),IF(CH186="lease",CS186,0),IF(DC186="lease",DN186,0),IF(DX186="lease",EI186,0),IF(ES186="lease",FD186,0),IF(FN186="lease",FY186,0),IF(GI186="lease",GT186,0),IF(HD186="lease",HO186,0),IF(HY186="lease",IJ186,0),IF(IT186="lease",JE186,0))</f>
        <v>0</v>
      </c>
      <c r="AK186" s="5">
        <f>SUM(IF(BM186="keep",BX186,0),IF(CH186="keep",CS186,0),IF(DC186="keep",DN186,0),IF(DX186="keep",EI186,0),IF(ES186="keep",FD186,0),IF(FN186="keep",FY186,0),IF(GI186="keep",GT186,0),IF(HD186="keep",HO186,0),IF(HY186="keep",IJ186,0),IF(IT186="keep",JE186,0))</f>
        <v>0</v>
      </c>
      <c r="AL186" s="5">
        <f>R186-S185</f>
        <v>0</v>
      </c>
      <c r="AM186" s="5">
        <f>T186-U185</f>
        <v>0</v>
      </c>
      <c r="AN186" s="5">
        <f>AN185</f>
        <v>1</v>
      </c>
      <c r="AO186" s="5">
        <f>AO185+AH186</f>
        <v>0.8548815375845528</v>
      </c>
      <c r="AP186" s="5">
        <f>AP185+AL186</f>
        <v>-2.220446049250313e-16</v>
      </c>
      <c r="AQ186" s="5">
        <f>AN186+AO186+AP186</f>
        <v>1.8548815375845524</v>
      </c>
      <c r="AR186" s="5">
        <f>S186-AQ186</f>
        <v>-2.220446049250313e-16</v>
      </c>
      <c r="AS186" s="5">
        <f>AS185</f>
        <v>0</v>
      </c>
      <c r="AT186" s="5">
        <f>AT185+AI186</f>
        <v>0</v>
      </c>
      <c r="AU186" s="5">
        <f>AU185+AM186</f>
        <v>0</v>
      </c>
      <c r="AV186" s="5">
        <f>AS186+AT186+AU186</f>
        <v>0</v>
      </c>
      <c r="AW186" s="5">
        <f>U186-AV186</f>
        <v>0</v>
      </c>
      <c r="AX186" s="4">
        <v>1.8245341003563962</v>
      </c>
      <c r="AY186" s="4">
        <v>1.8548815375845522</v>
      </c>
      <c r="AZ186" s="5">
        <f>S186-AY186</f>
        <v>0</v>
      </c>
      <c r="BA186" s="4">
        <v>0</v>
      </c>
      <c r="BB186" s="4">
        <v>0</v>
      </c>
      <c r="BC186" s="5">
        <f>U186-BB186</f>
        <v>0</v>
      </c>
      <c r="BD186" s="7">
        <f>SUM(IF(BL186="direct",CE186,0),IF(CG186="direct",CZ186,0),IF(DB186="direct",DU186,0),IF(DW186="direct",EP186,0),IF(ER186="direct",FK186,0),IF(FM186="direct",GF186,0),IF(GH186="direct",HA186,0),IF(HC186="direct",HV186,0),IF(HX186="direct",IQ186,0),IF(IS186="direct",JL186,0))</f>
        <v>0.016632978918962493</v>
      </c>
      <c r="BE186" s="7">
        <f>SUM(IF(BL186="treasury",CE186,0),IF(CG186="treasury",CZ186,0),IF(DB186="treasury",DU186,0),IF(DW186="treasury",EP186,0),IF(ER186="treasury",FK186,0),IF(FM186="treasury",GF186,0),IF(GH186="treasury",HA186,0),IF(HC186="treasury",HV186,0),IF(HX186="treasury",IQ186,0),IF(IS186="treasury",JL186,0))</f>
        <v>0</v>
      </c>
      <c r="BF186" s="7">
        <f>SUM(IF(BL186="future",CE186,0),IF(CG186="future",CZ186,0),IF(DB186="future",DU186,0),IF(DW186="future",EP186,0),IF(ER186="future",FK186,0),IF(FM186="future",GF186,0),IF(GH186="future",HA186,0),IF(HC186="future",HV186,0),IF(HX186="future",IQ186,0),IF(IS186="future",JL186,0))</f>
        <v>0</v>
      </c>
      <c r="BG186" s="7">
        <f>SUM(IF(BL186="cash",CE186,0),IF(CG186="cash",CZ186,0),IF(DB186="cash",DU186,0),IF(DW186="cash",EP186,0),IF(ER186="cash",FK186,0),IF(FM186="cash",GF186,0),IF(GH186="cash",HA186,0),IF(HC186="cash",HV186,0),IF(HX186="cash",IQ186,0),IF(IS186="cash",JL186,0))</f>
        <v>0</v>
      </c>
      <c r="BH186" s="7">
        <f>SUM(BD186:BG186)</f>
        <v>0.016632978918962493</v>
      </c>
      <c r="BI186" s="7">
        <f>G186-BH186</f>
        <v>0</v>
      </c>
      <c r="BJ186" s="9">
        <f>COUNTA(BK186,CF186,DA186,DV186,EQ186,FL186,GG186,HB186,HW186,IR186)</f>
        <v>3</v>
      </c>
      <c r="BK186" t="inlineStr">
        <is>
          <t xml:space="preserve">Direct commodity holding</t>
        </is>
      </c>
      <c r="BL186" t="inlineStr">
        <is>
          <t xml:space="preserve">direct</t>
        </is>
      </c>
      <c r="BM186" t="inlineStr">
        <is>
          <t xml:space="preserve">lease</t>
        </is>
      </c>
      <c r="BN186" t="inlineStr">
        <is>
          <t xml:space="preserve">long</t>
        </is>
      </c>
      <c r="BO186"/>
      <c r="BP186" s="4">
        <v>1.863</v>
      </c>
      <c r="BQ186" s="4">
        <v>1.894</v>
      </c>
      <c r="BR186" s="4">
        <v>0.9793527108729982</v>
      </c>
      <c r="BS186" s="6">
        <v>1</v>
      </c>
      <c r="BT186" s="4">
        <v>1.8245341003563957</v>
      </c>
      <c r="BU186" s="4">
        <v>1.8245341003563957</v>
      </c>
      <c r="BV186" s="4">
        <v>1.8548940343934586</v>
      </c>
      <c r="BW186" s="4">
        <v>0.030347437228156127</v>
      </c>
      <c r="BX186" s="4">
        <v>0.000012496808906702767</v>
      </c>
      <c r="BY186" s="4">
        <v>1.863</v>
      </c>
      <c r="BZ186" s="4">
        <v>1.894</v>
      </c>
      <c r="CA186" s="6"/>
      <c r="CB186" s="6"/>
      <c r="CC186" s="6"/>
      <c r="CD186" s="9"/>
      <c r="CE186" s="7">
        <f>IFERROR(BW186/F186,0)</f>
        <v>0.016632978918962493</v>
      </c>
      <c r="CF186" t="inlineStr">
        <is>
          <t xml:space="preserve">Lease cash / margin / financing</t>
        </is>
      </c>
      <c r="CG186" t="inlineStr">
        <is>
          <t xml:space="preserve">cash</t>
        </is>
      </c>
      <c r="CH186" t="inlineStr">
        <is>
          <t xml:space="preserve">lease</t>
        </is>
      </c>
      <c r="CI186" t="inlineStr">
        <is>
          <t xml:space="preserve">cash</t>
        </is>
      </c>
      <c r="CJ186"/>
      <c r="CK186" s="4">
        <v>1</v>
      </c>
      <c r="CL186" s="4">
        <v>1</v>
      </c>
      <c r="CM186" s="4">
        <v>4.440892098500626e-16</v>
      </c>
      <c r="CN186" s="6"/>
      <c r="CO186" s="4">
        <v>4.440892098500626e-16</v>
      </c>
      <c r="CP186" s="4">
        <v>4.440892098500626e-16</v>
      </c>
      <c r="CQ186" s="4">
        <v>-0.000012496808906258677</v>
      </c>
      <c r="CR186" s="4">
        <v>0</v>
      </c>
      <c r="CS186" s="4">
        <v>-0.000012496808906702767</v>
      </c>
      <c r="CT186" s="4">
        <v>1.863</v>
      </c>
      <c r="CU186" s="4">
        <v>1.894</v>
      </c>
      <c r="CV186" s="6"/>
      <c r="CW186" s="6"/>
      <c r="CX186" s="6"/>
      <c r="CY186" s="9"/>
      <c r="CZ186" s="7">
        <f>IFERROR(CR186/F186,0)</f>
        <v>0</v>
      </c>
      <c r="DA186" t="inlineStr">
        <is>
          <t xml:space="preserve">Keep cash / margin / financing</t>
        </is>
      </c>
      <c r="DB186" t="inlineStr">
        <is>
          <t xml:space="preserve">cash</t>
        </is>
      </c>
      <c r="DC186" t="inlineStr">
        <is>
          <t xml:space="preserve">keep</t>
        </is>
      </c>
      <c r="DD186" t="inlineStr">
        <is>
          <t xml:space="preserve">cash</t>
        </is>
      </c>
      <c r="DE186"/>
      <c r="DF186" s="4">
        <v>1</v>
      </c>
      <c r="DG186" s="4">
        <v>1</v>
      </c>
      <c r="DH186" s="4">
        <v>0</v>
      </c>
      <c r="DI186" s="6"/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1.863</v>
      </c>
      <c r="DP186" s="4">
        <v>1.894</v>
      </c>
      <c r="DQ186" s="6"/>
      <c r="DR186" s="6"/>
      <c r="DS186" s="6"/>
      <c r="DT186" s="9"/>
      <c r="DU186" s="7">
        <f>IFERROR(DM186/F186,0)</f>
        <v>0</v>
      </c>
      <c r="DV186"/>
      <c r="DW186"/>
      <c r="DX186"/>
      <c r="DY186"/>
      <c r="DZ186"/>
      <c r="EA186" s="4"/>
      <c r="EB186" s="4"/>
      <c r="EC186" s="4"/>
      <c r="ED186" s="6"/>
      <c r="EE186" s="4"/>
      <c r="EF186" s="4"/>
      <c r="EG186" s="4"/>
      <c r="EH186" s="4"/>
      <c r="EI186" s="4"/>
      <c r="EJ186" s="4"/>
      <c r="EK186" s="4"/>
      <c r="EL186" s="6"/>
      <c r="EM186" s="6"/>
      <c r="EN186" s="6"/>
      <c r="EO186" s="9"/>
      <c r="EP186"/>
      <c r="EQ186"/>
      <c r="ER186"/>
      <c r="ES186"/>
      <c r="ET186"/>
      <c r="EU186"/>
      <c r="EV186" s="4"/>
      <c r="EW186" s="4"/>
      <c r="EX186" s="4"/>
      <c r="EY186" s="6"/>
      <c r="EZ186" s="4"/>
      <c r="FA186" s="4"/>
      <c r="FB186" s="4"/>
      <c r="FC186" s="4"/>
      <c r="FD186" s="4"/>
      <c r="FE186" s="4"/>
      <c r="FF186" s="4"/>
      <c r="FG186" s="6"/>
      <c r="FH186" s="6"/>
      <c r="FI186" s="6"/>
      <c r="FJ186" s="9"/>
      <c r="FK186"/>
      <c r="FL186"/>
      <c r="FM186"/>
      <c r="FN186"/>
      <c r="FO186"/>
      <c r="FP186"/>
      <c r="FQ186" s="4"/>
      <c r="FR186" s="4"/>
      <c r="FS186" s="4"/>
      <c r="FT186" s="6"/>
      <c r="FU186" s="4"/>
      <c r="FV186" s="4"/>
      <c r="FW186" s="4"/>
      <c r="FX186" s="4"/>
      <c r="FY186" s="4"/>
      <c r="FZ186" s="4"/>
      <c r="GA186" s="4"/>
      <c r="GB186" s="6"/>
      <c r="GC186" s="6"/>
      <c r="GD186" s="6"/>
      <c r="GE186" s="9"/>
      <c r="GF186"/>
      <c r="GG186"/>
      <c r="GH186"/>
      <c r="GI186"/>
      <c r="GJ186"/>
      <c r="GK186"/>
      <c r="GL186" s="4"/>
      <c r="GM186" s="4"/>
      <c r="GN186" s="4"/>
      <c r="GO186" s="6"/>
      <c r="GP186" s="4"/>
      <c r="GQ186" s="4"/>
      <c r="GR186" s="4"/>
      <c r="GS186" s="4"/>
      <c r="GT186" s="4"/>
      <c r="GU186" s="4"/>
      <c r="GV186" s="4"/>
      <c r="GW186" s="6"/>
      <c r="GX186" s="6"/>
      <c r="GY186" s="6"/>
      <c r="GZ186" s="9"/>
      <c r="HA186"/>
      <c r="HB186"/>
      <c r="HC186"/>
      <c r="HD186"/>
      <c r="HE186"/>
      <c r="HF186"/>
      <c r="HG186" s="4"/>
      <c r="HH186" s="4"/>
      <c r="HI186" s="4"/>
      <c r="HJ186" s="6"/>
      <c r="HK186" s="4"/>
      <c r="HL186" s="4"/>
      <c r="HM186" s="4"/>
      <c r="HN186" s="4"/>
      <c r="HO186" s="4"/>
      <c r="HP186" s="4"/>
      <c r="HQ186" s="4"/>
      <c r="HR186" s="6"/>
      <c r="HS186" s="6"/>
      <c r="HT186" s="6"/>
      <c r="HU186" s="9"/>
      <c r="HV186"/>
      <c r="HW186"/>
      <c r="HX186"/>
      <c r="HY186"/>
      <c r="HZ186"/>
      <c r="IA186"/>
      <c r="IB186" s="4"/>
      <c r="IC186" s="4"/>
      <c r="ID186" s="4"/>
      <c r="IE186" s="6"/>
      <c r="IF186" s="4"/>
      <c r="IG186" s="4"/>
      <c r="IH186" s="4"/>
      <c r="II186" s="4"/>
      <c r="IJ186" s="4"/>
      <c r="IK186" s="4"/>
      <c r="IL186" s="4"/>
      <c r="IM186" s="6"/>
      <c r="IN186" s="6"/>
      <c r="IO186" s="6"/>
      <c r="IP186" s="9"/>
      <c r="IQ186"/>
      <c r="IR186"/>
      <c r="IS186"/>
      <c r="IT186"/>
      <c r="IU186"/>
      <c r="IV186"/>
      <c r="IW186" s="4"/>
      <c r="IX186" s="4"/>
      <c r="IY186" s="4"/>
      <c r="IZ186" s="6"/>
      <c r="JA186" s="4"/>
      <c r="JB186" s="4"/>
      <c r="JC186" s="4"/>
      <c r="JD186" s="4"/>
      <c r="JE186" s="4"/>
      <c r="JF186" s="4"/>
      <c r="JG186" s="4"/>
      <c r="JH186" s="6"/>
      <c r="JI186" s="6"/>
      <c r="JJ186" s="6"/>
      <c r="JK186" s="9"/>
      <c r="JL186"/>
    </row>
    <row r="187">
      <c r="A187" s="8">
        <v>25478</v>
      </c>
      <c r="B187" s="8">
        <v>25479</v>
      </c>
      <c r="C187" s="9">
        <f>B187-A187</f>
        <v>1</v>
      </c>
      <c r="D187" s="8">
        <v>25478</v>
      </c>
      <c r="E187" t="inlineStr">
        <is>
          <t xml:space="preserve">positive</t>
        </is>
      </c>
      <c r="F187" s="4">
        <v>1.854881537584552</v>
      </c>
      <c r="G187" s="6">
        <v>-0.01348641877453021</v>
      </c>
      <c r="H187" s="7">
        <f>SUM(CE187,CZ187,DU187,EP187,FK187,GF187,HA187,HV187,IQ187,JL187)</f>
        <v>-0.013486418774530213</v>
      </c>
      <c r="I187" s="7">
        <f>G187-H187</f>
        <v>1.734723475976807e-18</v>
      </c>
      <c r="J187" s="5">
        <f>F187*(1+H187)</f>
        <v>1.8298658283915423</v>
      </c>
      <c r="K187" s="4">
        <v>1.8298658283915423</v>
      </c>
      <c r="L187" s="5">
        <f>K187-J187</f>
        <v>0</v>
      </c>
      <c r="M187" s="4">
        <v>1.894</v>
      </c>
      <c r="N187" s="4">
        <v>1.87</v>
      </c>
      <c r="O187" s="5">
        <f>M187/$M$3</f>
        <v>0.9673135852911133</v>
      </c>
      <c r="P187" s="5">
        <f>N187/$M$3</f>
        <v>0.955056179775281</v>
      </c>
      <c r="Q187" s="7">
        <f>IFERROR(N187/M187-1,0)</f>
        <v>-0.012671594508975592</v>
      </c>
      <c r="R187" s="5">
        <f>SUM(IF(BM187="lease",BU187,0),IF(CH187="lease",CP187,0),IF(DC187="lease",DK187,0),IF(DX187="lease",EF187,0),IF(ES187="lease",FA187,0),IF(FN187="lease",FV187,0),IF(GI187="lease",GQ187,0),IF(HD187="lease",HL187,0),IF(HY187="lease",IG187,0),IF(IT187="lease",JB187,0))</f>
        <v>1.8548815375845522</v>
      </c>
      <c r="S187" s="5">
        <f>SUM(IF(BM187="lease",BV187,0),IF(CH187="lease",CQ187,0),IF(DC187="lease",DL187,0),IF(DX187="lease",EG187,0),IF(ES187="lease",FB187,0),IF(FN187="lease",FW187,0),IF(GI187="lease",GR187,0),IF(HD187="lease",HM187,0),IF(HY187="lease",IH187,0),IF(IT187="lease",JC187,0))</f>
        <v>1.8298658283915425</v>
      </c>
      <c r="T187" s="5">
        <f>SUM(IF(BM187="keep",BU187,0),IF(CH187="keep",CP187,0),IF(DC187="keep",DK187,0),IF(DX187="keep",EF187,0),IF(ES187="keep",FA187,0),IF(FN187="keep",FV187,0),IF(GI187="keep",GQ187,0),IF(HD187="keep",HL187,0),IF(HY187="keep",IG187,0),IF(IT187="keep",JB187,0))</f>
        <v>0</v>
      </c>
      <c r="U187" s="5">
        <f>SUM(IF(BM187="keep",BV187,0),IF(CH187="keep",CQ187,0),IF(DC187="keep",DL187,0),IF(DX187="keep",EG187,0),IF(ES187="keep",FB187,0),IF(FN187="keep",FW187,0),IF(GI187="keep",GR187,0),IF(HD187="keep",HM187,0),IF(HY187="keep",IH187,0),IF(IT187="keep",JC187,0))</f>
        <v>0</v>
      </c>
      <c r="V187" s="5">
        <f>R187/O187</f>
        <v>1.9175596888017705</v>
      </c>
      <c r="W187" s="5">
        <f>S187/P187</f>
        <v>1.915977161492321</v>
      </c>
      <c r="X187" s="5">
        <f>T187/O187</f>
        <v>0</v>
      </c>
      <c r="Y187" s="5">
        <f>U187/P187</f>
        <v>0</v>
      </c>
      <c r="Z187" s="5">
        <f>V187+X187</f>
        <v>1.9175596888017705</v>
      </c>
      <c r="AA187" s="7">
        <f>IFERROR(W187/V187-1,0)</f>
        <v>-0.0008252819031873138</v>
      </c>
      <c r="AB187" s="7">
        <f>IFERROR((W187-V187)/Z187,0)</f>
        <v>-0.0008252819031873318</v>
      </c>
      <c r="AC187" s="7">
        <f>IFERROR(Y187/X187-1,0)</f>
        <v>0</v>
      </c>
      <c r="AD187" s="7">
        <f>IFERROR((Y187-X187)/Z187,0)</f>
        <v>0</v>
      </c>
      <c r="AE187" s="7">
        <f>AB187+AD187</f>
        <v>-0.0008252819031873318</v>
      </c>
      <c r="AF187" s="7">
        <f>(1+Q187)*(1+AE187)-1</f>
        <v>-0.013486418774530162</v>
      </c>
      <c r="AG187" s="7">
        <f>G187-AF187</f>
        <v>-4.85722573273506e-17</v>
      </c>
      <c r="AH187" s="5">
        <f>SUM(IF(BM187="lease",BW187,0),IF(CH187="lease",CR187,0),IF(DC187="lease",DM187,0),IF(DX187="lease",EH187,0),IF(ES187="lease",FC187,0),IF(FN187="lease",FX187,0),IF(GI187="lease",GS187,0),IF(HD187="lease",HN187,0),IF(HY187="lease",II187,0),IF(IT187="lease",JD187,0))</f>
        <v>-0.02501570919300977</v>
      </c>
      <c r="AI187" s="5">
        <f>SUM(IF(BM187="keep",BW187,0),IF(CH187="keep",CR187,0),IF(DC187="keep",DM187,0),IF(DX187="keep",EH187,0),IF(ES187="keep",FC187,0),IF(FN187="keep",FX187,0),IF(GI187="keep",GS187,0),IF(HD187="keep",HN187,0),IF(HY187="keep",II187,0),IF(IT187="keep",JD187,0))</f>
        <v>0</v>
      </c>
      <c r="AJ187" s="5">
        <f>SUM(IF(BM187="lease",BX187,0),IF(CH187="lease",CS187,0),IF(DC187="lease",DN187,0),IF(DX187="lease",EI187,0),IF(ES187="lease",FD187,0),IF(FN187="lease",FY187,0),IF(GI187="lease",GT187,0),IF(HD187="lease",HO187,0),IF(HY187="lease",IJ187,0),IF(IT187="lease",JE187,0))</f>
        <v>0</v>
      </c>
      <c r="AK187" s="5">
        <f>SUM(IF(BM187="keep",BX187,0),IF(CH187="keep",CS187,0),IF(DC187="keep",DN187,0),IF(DX187="keep",EI187,0),IF(ES187="keep",FD187,0),IF(FN187="keep",FY187,0),IF(GI187="keep",GT187,0),IF(HD187="keep",HO187,0),IF(HY187="keep",IJ187,0),IF(IT187="keep",JE187,0))</f>
        <v>0</v>
      </c>
      <c r="AL187" s="5">
        <f>R187-S186</f>
        <v>0</v>
      </c>
      <c r="AM187" s="5">
        <f>T187-U186</f>
        <v>0</v>
      </c>
      <c r="AN187" s="5">
        <f>AN186</f>
        <v>1</v>
      </c>
      <c r="AO187" s="5">
        <f>AO186+AH187</f>
        <v>0.829865828391543</v>
      </c>
      <c r="AP187" s="5">
        <f>AP186+AL187</f>
        <v>-2.220446049250313e-16</v>
      </c>
      <c r="AQ187" s="5">
        <f>AN187+AO187+AP187</f>
        <v>1.8298658283915428</v>
      </c>
      <c r="AR187" s="5">
        <f>S187-AQ187</f>
        <v>-2.220446049250313e-16</v>
      </c>
      <c r="AS187" s="5">
        <f>AS186</f>
        <v>0</v>
      </c>
      <c r="AT187" s="5">
        <f>AT186+AI187</f>
        <v>0</v>
      </c>
      <c r="AU187" s="5">
        <f>AU186+AM187</f>
        <v>0</v>
      </c>
      <c r="AV187" s="5">
        <f>AS187+AT187+AU187</f>
        <v>0</v>
      </c>
      <c r="AW187" s="5">
        <f>U187-AV187</f>
        <v>0</v>
      </c>
      <c r="AX187" s="4">
        <v>1.8548815375845522</v>
      </c>
      <c r="AY187" s="4">
        <v>1.8298658283915425</v>
      </c>
      <c r="AZ187" s="5">
        <f>S187-AY187</f>
        <v>0</v>
      </c>
      <c r="BA187" s="4">
        <v>0</v>
      </c>
      <c r="BB187" s="4">
        <v>0</v>
      </c>
      <c r="BC187" s="5">
        <f>U187-BB187</f>
        <v>0</v>
      </c>
      <c r="BD187" s="7">
        <f>SUM(IF(BL187="direct",CE187,0),IF(CG187="direct",CZ187,0),IF(DB187="direct",DU187,0),IF(DW187="direct",EP187,0),IF(ER187="direct",FK187,0),IF(FM187="direct",GF187,0),IF(GH187="direct",HA187,0),IF(HC187="direct",HV187,0),IF(HX187="direct",IQ187,0),IF(IS187="direct",JL187,0))</f>
        <v>-0.010026006758824648</v>
      </c>
      <c r="BE187" s="7">
        <f>SUM(IF(BL187="treasury",CE187,0),IF(CG187="treasury",CZ187,0),IF(DB187="treasury",DU187,0),IF(DW187="treasury",EP187,0),IF(ER187="treasury",FK187,0),IF(FM187="treasury",GF187,0),IF(GH187="treasury",HA187,0),IF(HC187="treasury",HV187,0),IF(HX187="treasury",IQ187,0),IF(IS187="treasury",JL187,0))</f>
        <v>0.00004058069967295269</v>
      </c>
      <c r="BF187" s="7">
        <f>SUM(IF(BL187="future",CE187,0),IF(CG187="future",CZ187,0),IF(DB187="future",DU187,0),IF(DW187="future",EP187,0),IF(ER187="future",FK187,0),IF(FM187="future",GF187,0),IF(GH187="future",HA187,0),IF(HC187="future",HV187,0),IF(HX187="future",IQ187,0),IF(IS187="future",JL187,0))</f>
        <v>-0.0035009927153785156</v>
      </c>
      <c r="BG187" s="7">
        <f>SUM(IF(BL187="cash",CE187,0),IF(CG187="cash",CZ187,0),IF(DB187="cash",DU187,0),IF(DW187="cash",EP187,0),IF(ER187="cash",FK187,0),IF(FM187="cash",GF187,0),IF(GH187="cash",HA187,0),IF(HC187="cash",HV187,0),IF(HX187="cash",IQ187,0),IF(IS187="cash",JL187,0))</f>
        <v>0</v>
      </c>
      <c r="BH187" s="7">
        <f>SUM(BD187:BG187)</f>
        <v>-0.01348641877453021</v>
      </c>
      <c r="BI187" s="7">
        <f>G187-BH187</f>
        <v>0</v>
      </c>
      <c r="BJ187" s="9">
        <f>COUNTA(BK187,CF187,DA187,DV187,EQ187,FL187,GG187,HB187,HW187,IR187)</f>
        <v>6</v>
      </c>
      <c r="BK187" t="inlineStr">
        <is>
          <t xml:space="preserve">Direct commodity holding</t>
        </is>
      </c>
      <c r="BL187" t="inlineStr">
        <is>
          <t xml:space="preserve">direct</t>
        </is>
      </c>
      <c r="BM187" t="inlineStr">
        <is>
          <t xml:space="preserve">lease</t>
        </is>
      </c>
      <c r="BN187" t="inlineStr">
        <is>
          <t xml:space="preserve">long</t>
        </is>
      </c>
      <c r="BO187"/>
      <c r="BP187" s="4">
        <v>1.894</v>
      </c>
      <c r="BQ187" s="4">
        <v>1.87</v>
      </c>
      <c r="BR187" s="4">
        <v>0.7744586703322247</v>
      </c>
      <c r="BS187" s="6">
        <v>0.7907915906691</v>
      </c>
      <c r="BT187" s="4">
        <v>1.4668247216092336</v>
      </c>
      <c r="BU187" s="4">
        <v>1.4668247216092336</v>
      </c>
      <c r="BV187" s="4">
        <v>1.4482377135212603</v>
      </c>
      <c r="BW187" s="4">
        <v>-0.018597054832641773</v>
      </c>
      <c r="BX187" s="4">
        <v>0.000010046744668461977</v>
      </c>
      <c r="BY187" s="4">
        <v>1.894</v>
      </c>
      <c r="BZ187" s="4">
        <v>1.87</v>
      </c>
      <c r="CA187" s="6"/>
      <c r="CB187" s="6"/>
      <c r="CC187" s="6"/>
      <c r="CD187" s="9"/>
      <c r="CE187" s="7">
        <f>IFERROR(BW187/F187,0)</f>
        <v>-0.010026006758824648</v>
      </c>
      <c r="CF187" t="inlineStr">
        <is>
          <t xml:space="preserve">Treasury collateral</t>
        </is>
      </c>
      <c r="CG187" t="inlineStr">
        <is>
          <t xml:space="preserve">treasury</t>
        </is>
      </c>
      <c r="CH187" t="inlineStr">
        <is>
          <t xml:space="preserve">lease</t>
        </is>
      </c>
      <c r="CI187" t="inlineStr">
        <is>
          <t xml:space="preserve">long</t>
        </is>
      </c>
      <c r="CJ187"/>
      <c r="CK187" s="4">
        <v>104.9336989964567</v>
      </c>
      <c r="CL187" s="4">
        <v>104.95405325916616</v>
      </c>
      <c r="CM187" s="4">
        <v>0.00369811433015834</v>
      </c>
      <c r="CN187" s="6">
        <v>0.2092084093309001</v>
      </c>
      <c r="CO187" s="4">
        <v>0.3880568159753183</v>
      </c>
      <c r="CP187" s="4">
        <v>0.3880568159753183</v>
      </c>
      <c r="CQ187" s="4">
        <v>0.388132088365924</v>
      </c>
      <c r="CR187" s="4">
        <v>0.0000752723906056234</v>
      </c>
      <c r="CS187" s="4">
        <v>5.063224145507306e-17</v>
      </c>
      <c r="CT187" s="4">
        <v>1.894</v>
      </c>
      <c r="CU187" s="4">
        <v>1.87</v>
      </c>
      <c r="CV187" s="6"/>
      <c r="CW187" s="6"/>
      <c r="CX187" s="6"/>
      <c r="CY187" s="9">
        <v>88</v>
      </c>
      <c r="CZ187" s="7">
        <f>IFERROR(CR187/F187,0)</f>
        <v>0.00004058069967295269</v>
      </c>
      <c r="DA187" t="inlineStr">
        <is>
          <t xml:space="preserve">SI69Z</t>
        </is>
      </c>
      <c r="DB187" t="inlineStr">
        <is>
          <t xml:space="preserve">future</t>
        </is>
      </c>
      <c r="DC187" t="inlineStr">
        <is>
          <t xml:space="preserve">lease</t>
        </is>
      </c>
      <c r="DD187" t="inlineStr">
        <is>
          <t xml:space="preserve">long</t>
        </is>
      </c>
      <c r="DE187" t="inlineStr">
        <is>
          <t xml:space="preserve">regular</t>
        </is>
      </c>
      <c r="DF187" s="4">
        <v>1.912</v>
      </c>
      <c r="DG187" s="4">
        <v>1.88</v>
      </c>
      <c r="DH187" s="4">
        <v>0.20070058073564184</v>
      </c>
      <c r="DI187" s="6">
        <v>0.20688087222338583</v>
      </c>
      <c r="DJ187" s="4">
        <v>0.3837395103665472</v>
      </c>
      <c r="DK187" s="4">
        <v>0</v>
      </c>
      <c r="DL187" s="4">
        <v>0</v>
      </c>
      <c r="DM187" s="4">
        <v>-0.006422418583540555</v>
      </c>
      <c r="DN187" s="4">
        <v>0.006422418583540555</v>
      </c>
      <c r="DO187" s="4">
        <v>1.894</v>
      </c>
      <c r="DP187" s="4">
        <v>1.87</v>
      </c>
      <c r="DQ187" s="6">
        <v>0.009503695881731833</v>
      </c>
      <c r="DR187" s="6">
        <v>0.0708</v>
      </c>
      <c r="DS187" s="6">
        <v>0.03138126139963501</v>
      </c>
      <c r="DT187" s="9">
        <v>88</v>
      </c>
      <c r="DU187" s="7">
        <f>IFERROR(DM187/F187,0)</f>
        <v>-0.0034624413761236215</v>
      </c>
      <c r="DV187" t="inlineStr">
        <is>
          <t xml:space="preserve">SI70F</t>
        </is>
      </c>
      <c r="DW187" t="inlineStr">
        <is>
          <t xml:space="preserve">future</t>
        </is>
      </c>
      <c r="DX187" t="inlineStr">
        <is>
          <t xml:space="preserve">lease</t>
        </is>
      </c>
      <c r="DY187" t="inlineStr">
        <is>
          <t xml:space="preserve">long</t>
        </is>
      </c>
      <c r="DZ187" t="inlineStr">
        <is>
          <t xml:space="preserve">regular</t>
        </is>
      </c>
      <c r="EA187" s="4">
        <v>1.932</v>
      </c>
      <c r="EB187" s="4">
        <v>1.9</v>
      </c>
      <c r="EC187" s="4">
        <v>0.0022346302322831767</v>
      </c>
      <c r="ED187" s="6">
        <v>0.0023275371075142308</v>
      </c>
      <c r="EE187" s="4">
        <v>0.004317305608771097</v>
      </c>
      <c r="EF187" s="4">
        <v>0</v>
      </c>
      <c r="EG187" s="4">
        <v>0</v>
      </c>
      <c r="EH187" s="4">
        <v>-0.00007150816743306163</v>
      </c>
      <c r="EI187" s="4">
        <v>0.00007150816743306163</v>
      </c>
      <c r="EJ187" s="4">
        <v>1.894</v>
      </c>
      <c r="EK187" s="4">
        <v>1.87</v>
      </c>
      <c r="EL187" s="6">
        <v>0.020063357972544882</v>
      </c>
      <c r="EM187" s="6">
        <v>0.07145274725274725</v>
      </c>
      <c r="EN187" s="6">
        <v>0.009392360303773682</v>
      </c>
      <c r="EO187" s="9">
        <v>118</v>
      </c>
      <c r="EP187" s="7">
        <f>IFERROR(EH187/F187,0)</f>
        <v>-0.00003855133925489408</v>
      </c>
      <c r="EQ187" t="inlineStr">
        <is>
          <t xml:space="preserve">Lease cash / margin / financing</t>
        </is>
      </c>
      <c r="ER187" t="inlineStr">
        <is>
          <t xml:space="preserve">cash</t>
        </is>
      </c>
      <c r="ES187" t="inlineStr">
        <is>
          <t xml:space="preserve">lease</t>
        </is>
      </c>
      <c r="ET187" t="inlineStr">
        <is>
          <t xml:space="preserve">cash</t>
        </is>
      </c>
      <c r="EU187"/>
      <c r="EV187" s="4">
        <v>1</v>
      </c>
      <c r="EW187" s="4">
        <v>1</v>
      </c>
      <c r="EX187" s="4">
        <v>2.220446049250313e-16</v>
      </c>
      <c r="EY187" s="6"/>
      <c r="EZ187" s="4">
        <v>2.220446049250313e-16</v>
      </c>
      <c r="FA187" s="4">
        <v>2.220446049250313e-16</v>
      </c>
      <c r="FB187" s="4">
        <v>-0.006503973495641907</v>
      </c>
      <c r="FC187" s="4">
        <v>0</v>
      </c>
      <c r="FD187" s="4">
        <v>-0.0065039734956421295</v>
      </c>
      <c r="FE187" s="4">
        <v>1.894</v>
      </c>
      <c r="FF187" s="4">
        <v>1.87</v>
      </c>
      <c r="FG187" s="6"/>
      <c r="FH187" s="6"/>
      <c r="FI187" s="6"/>
      <c r="FJ187" s="9"/>
      <c r="FK187" s="7">
        <f>IFERROR(FC187/F187,0)</f>
        <v>0</v>
      </c>
      <c r="FL187" t="inlineStr">
        <is>
          <t xml:space="preserve">Keep cash / margin / financing</t>
        </is>
      </c>
      <c r="FM187" t="inlineStr">
        <is>
          <t xml:space="preserve">cash</t>
        </is>
      </c>
      <c r="FN187" t="inlineStr">
        <is>
          <t xml:space="preserve">keep</t>
        </is>
      </c>
      <c r="FO187" t="inlineStr">
        <is>
          <t xml:space="preserve">cash</t>
        </is>
      </c>
      <c r="FP187"/>
      <c r="FQ187" s="4">
        <v>1</v>
      </c>
      <c r="FR187" s="4">
        <v>1</v>
      </c>
      <c r="FS187" s="4">
        <v>0</v>
      </c>
      <c r="FT187" s="6"/>
      <c r="FU187" s="4">
        <v>0</v>
      </c>
      <c r="FV187" s="4">
        <v>0</v>
      </c>
      <c r="FW187" s="4">
        <v>0</v>
      </c>
      <c r="FX187" s="4">
        <v>0</v>
      </c>
      <c r="FY187" s="4">
        <v>0</v>
      </c>
      <c r="FZ187" s="4">
        <v>1.894</v>
      </c>
      <c r="GA187" s="4">
        <v>1.87</v>
      </c>
      <c r="GB187" s="6"/>
      <c r="GC187" s="6"/>
      <c r="GD187" s="6"/>
      <c r="GE187" s="9"/>
      <c r="GF187" s="7">
        <f>IFERROR(FX187/F187,0)</f>
        <v>0</v>
      </c>
      <c r="GG187"/>
      <c r="GH187"/>
      <c r="GI187"/>
      <c r="GJ187"/>
      <c r="GK187"/>
      <c r="GL187" s="4"/>
      <c r="GM187" s="4"/>
      <c r="GN187" s="4"/>
      <c r="GO187" s="6"/>
      <c r="GP187" s="4"/>
      <c r="GQ187" s="4"/>
      <c r="GR187" s="4"/>
      <c r="GS187" s="4"/>
      <c r="GT187" s="4"/>
      <c r="GU187" s="4"/>
      <c r="GV187" s="4"/>
      <c r="GW187" s="6"/>
      <c r="GX187" s="6"/>
      <c r="GY187" s="6"/>
      <c r="GZ187" s="9"/>
      <c r="HA187"/>
      <c r="HB187"/>
      <c r="HC187"/>
      <c r="HD187"/>
      <c r="HE187"/>
      <c r="HF187"/>
      <c r="HG187" s="4"/>
      <c r="HH187" s="4"/>
      <c r="HI187" s="4"/>
      <c r="HJ187" s="6"/>
      <c r="HK187" s="4"/>
      <c r="HL187" s="4"/>
      <c r="HM187" s="4"/>
      <c r="HN187" s="4"/>
      <c r="HO187" s="4"/>
      <c r="HP187" s="4"/>
      <c r="HQ187" s="4"/>
      <c r="HR187" s="6"/>
      <c r="HS187" s="6"/>
      <c r="HT187" s="6"/>
      <c r="HU187" s="9"/>
      <c r="HV187"/>
      <c r="HW187"/>
      <c r="HX187"/>
      <c r="HY187"/>
      <c r="HZ187"/>
      <c r="IA187"/>
      <c r="IB187" s="4"/>
      <c r="IC187" s="4"/>
      <c r="ID187" s="4"/>
      <c r="IE187" s="6"/>
      <c r="IF187" s="4"/>
      <c r="IG187" s="4"/>
      <c r="IH187" s="4"/>
      <c r="II187" s="4"/>
      <c r="IJ187" s="4"/>
      <c r="IK187" s="4"/>
      <c r="IL187" s="4"/>
      <c r="IM187" s="6"/>
      <c r="IN187" s="6"/>
      <c r="IO187" s="6"/>
      <c r="IP187" s="9"/>
      <c r="IQ187"/>
      <c r="IR187"/>
      <c r="IS187"/>
      <c r="IT187"/>
      <c r="IU187"/>
      <c r="IV187"/>
      <c r="IW187" s="4"/>
      <c r="IX187" s="4"/>
      <c r="IY187" s="4"/>
      <c r="IZ187" s="6"/>
      <c r="JA187" s="4"/>
      <c r="JB187" s="4"/>
      <c r="JC187" s="4"/>
      <c r="JD187" s="4"/>
      <c r="JE187" s="4"/>
      <c r="JF187" s="4"/>
      <c r="JG187" s="4"/>
      <c r="JH187" s="6"/>
      <c r="JI187" s="6"/>
      <c r="JJ187" s="6"/>
      <c r="JK187" s="9"/>
      <c r="JL187"/>
    </row>
    <row r="188">
      <c r="A188" s="8">
        <v>25479</v>
      </c>
      <c r="B188" s="8">
        <v>25482</v>
      </c>
      <c r="C188" s="9">
        <f>B188-A188</f>
        <v>3</v>
      </c>
      <c r="D188" s="8">
        <v>25479</v>
      </c>
      <c r="E188" t="inlineStr">
        <is>
          <t xml:space="preserve">positive</t>
        </is>
      </c>
      <c r="F188" s="4">
        <v>1.8298658283915423</v>
      </c>
      <c r="G188" s="6">
        <v>-0.023687188189487954</v>
      </c>
      <c r="H188" s="7">
        <f>SUM(CE188,CZ188,DU188,EP188,FK188,GF188,HA188,HV188,IQ188,JL188)</f>
        <v>-0.02368718818948795</v>
      </c>
      <c r="I188" s="7">
        <f>G188-H188</f>
        <v>-3.469446951953614e-18</v>
      </c>
      <c r="J188" s="5">
        <f>F188*(1+H188)</f>
        <v>1.7865214521529185</v>
      </c>
      <c r="K188" s="4">
        <v>1.7865214521529185</v>
      </c>
      <c r="L188" s="5">
        <f>K188-J188</f>
        <v>0</v>
      </c>
      <c r="M188" s="4">
        <v>1.87</v>
      </c>
      <c r="N188" s="4">
        <v>1.825</v>
      </c>
      <c r="O188" s="5">
        <f>M188/$M$3</f>
        <v>0.955056179775281</v>
      </c>
      <c r="P188" s="5">
        <f>N188/$M$3</f>
        <v>0.932073544433095</v>
      </c>
      <c r="Q188" s="7">
        <f>IFERROR(N188/M188-1,0)</f>
        <v>-0.02406417112299475</v>
      </c>
      <c r="R188" s="5">
        <f>SUM(IF(BM188="lease",BU188,0),IF(CH188="lease",CP188,0),IF(DC188="lease",DK188,0),IF(DX188="lease",EF188,0),IF(ES188="lease",FA188,0),IF(FN188="lease",FV188,0),IF(GI188="lease",GQ188,0),IF(HD188="lease",HL188,0),IF(HY188="lease",IG188,0),IF(IT188="lease",JB188,0))</f>
        <v>1.8298658283915425</v>
      </c>
      <c r="S188" s="5">
        <f>SUM(IF(BM188="lease",BV188,0),IF(CH188="lease",CQ188,0),IF(DC188="lease",DL188,0),IF(DX188="lease",EG188,0),IF(ES188="lease",FB188,0),IF(FN188="lease",FW188,0),IF(GI188="lease",GR188,0),IF(HD188="lease",HM188,0),IF(HY188="lease",IH188,0),IF(IT188="lease",JC188,0))</f>
        <v>1.786521452152919</v>
      </c>
      <c r="T188" s="5">
        <f>SUM(IF(BM188="keep",BU188,0),IF(CH188="keep",CP188,0),IF(DC188="keep",DK188,0),IF(DX188="keep",EF188,0),IF(ES188="keep",FA188,0),IF(FN188="keep",FV188,0),IF(GI188="keep",GQ188,0),IF(HD188="keep",HL188,0),IF(HY188="keep",IG188,0),IF(IT188="keep",JB188,0))</f>
        <v>0</v>
      </c>
      <c r="U188" s="5">
        <f>SUM(IF(BM188="keep",BV188,0),IF(CH188="keep",CQ188,0),IF(DC188="keep",DL188,0),IF(DX188="keep",EG188,0),IF(ES188="keep",FB188,0),IF(FN188="keep",FW188,0),IF(GI188="keep",GR188,0),IF(HD188="keep",HM188,0),IF(HY188="keep",IH188,0),IF(IT188="keep",JC188,0))</f>
        <v>0</v>
      </c>
      <c r="V188" s="5">
        <f>R188/O188</f>
        <v>1.915977161492321</v>
      </c>
      <c r="W188" s="5">
        <f>S188/P188</f>
        <v>1.9167172620906385</v>
      </c>
      <c r="X188" s="5">
        <f>T188/O188</f>
        <v>0</v>
      </c>
      <c r="Y188" s="5">
        <f>U188/P188</f>
        <v>0</v>
      </c>
      <c r="Z188" s="5">
        <f>V188+X188</f>
        <v>1.915977161492321</v>
      </c>
      <c r="AA188" s="7">
        <f>IFERROR(W188/V188-1,0)</f>
        <v>0.0003862784031001265</v>
      </c>
      <c r="AB188" s="7">
        <f>IFERROR((W188-V188)/Z188,0)</f>
        <v>0.00038627840310016413</v>
      </c>
      <c r="AC188" s="7">
        <f>IFERROR(Y188/X188-1,0)</f>
        <v>0</v>
      </c>
      <c r="AD188" s="7">
        <f>IFERROR((Y188-X188)/Z188,0)</f>
        <v>0</v>
      </c>
      <c r="AE188" s="7">
        <f>AB188+AD188</f>
        <v>0.00038627840310016413</v>
      </c>
      <c r="AF188" s="7">
        <f>(1+Q188)*(1+AE188)-1</f>
        <v>-0.023687188189487896</v>
      </c>
      <c r="AG188" s="7">
        <f>G188-AF188</f>
        <v>-5.898059818321144e-17</v>
      </c>
      <c r="AH188" s="5">
        <f>SUM(IF(BM188="lease",BW188,0),IF(CH188="lease",CR188,0),IF(DC188="lease",DM188,0),IF(DX188="lease",EH188,0),IF(ES188="lease",FC188,0),IF(FN188="lease",FX188,0),IF(GI188="lease",GS188,0),IF(HD188="lease",HN188,0),IF(HY188="lease",II188,0),IF(IT188="lease",JD188,0))</f>
        <v>-0.04334437623862373</v>
      </c>
      <c r="AI188" s="5">
        <f>SUM(IF(BM188="keep",BW188,0),IF(CH188="keep",CR188,0),IF(DC188="keep",DM188,0),IF(DX188="keep",EH188,0),IF(ES188="keep",FC188,0),IF(FN188="keep",FX188,0),IF(GI188="keep",GS188,0),IF(HD188="keep",HN188,0),IF(HY188="keep",II188,0),IF(IT188="keep",JD188,0))</f>
        <v>0</v>
      </c>
      <c r="AJ188" s="5">
        <f>SUM(IF(BM188="lease",BX188,0),IF(CH188="lease",CS188,0),IF(DC188="lease",DN188,0),IF(DX188="lease",EI188,0),IF(ES188="lease",FD188,0),IF(FN188="lease",FY188,0),IF(GI188="lease",GT188,0),IF(HD188="lease",HO188,0),IF(HY188="lease",IJ188,0),IF(IT188="lease",JE188,0))</f>
        <v>0</v>
      </c>
      <c r="AK188" s="5">
        <f>SUM(IF(BM188="keep",BX188,0),IF(CH188="keep",CS188,0),IF(DC188="keep",DN188,0),IF(DX188="keep",EI188,0),IF(ES188="keep",FD188,0),IF(FN188="keep",FY188,0),IF(GI188="keep",GT188,0),IF(HD188="keep",HO188,0),IF(HY188="keep",IJ188,0),IF(IT188="keep",JE188,0))</f>
        <v>0</v>
      </c>
      <c r="AL188" s="5">
        <f>R188-S187</f>
        <v>0</v>
      </c>
      <c r="AM188" s="5">
        <f>T188-U187</f>
        <v>0</v>
      </c>
      <c r="AN188" s="5">
        <f>AN187</f>
        <v>1</v>
      </c>
      <c r="AO188" s="5">
        <f>AO187+AH188</f>
        <v>0.7865214521529192</v>
      </c>
      <c r="AP188" s="5">
        <f>AP187+AL188</f>
        <v>-2.220446049250313e-16</v>
      </c>
      <c r="AQ188" s="5">
        <f>AN188+AO188+AP188</f>
        <v>1.786521452152919</v>
      </c>
      <c r="AR188" s="5">
        <f>S188-AQ188</f>
        <v>0</v>
      </c>
      <c r="AS188" s="5">
        <f>AS187</f>
        <v>0</v>
      </c>
      <c r="AT188" s="5">
        <f>AT187+AI188</f>
        <v>0</v>
      </c>
      <c r="AU188" s="5">
        <f>AU187+AM188</f>
        <v>0</v>
      </c>
      <c r="AV188" s="5">
        <f>AS188+AT188+AU188</f>
        <v>0</v>
      </c>
      <c r="AW188" s="5">
        <f>U188-AV188</f>
        <v>0</v>
      </c>
      <c r="AX188" s="4">
        <v>1.8298658283915425</v>
      </c>
      <c r="AY188" s="4">
        <v>1.786521452152919</v>
      </c>
      <c r="AZ188" s="5">
        <f>S188-AY188</f>
        <v>0</v>
      </c>
      <c r="BA188" s="4">
        <v>0</v>
      </c>
      <c r="BB188" s="4">
        <v>0</v>
      </c>
      <c r="BC188" s="5">
        <f>U188-BB188</f>
        <v>0</v>
      </c>
      <c r="BD188" s="7">
        <f>SUM(IF(BL188="direct",CE188,0),IF(CG188="direct",CZ188,0),IF(DB188="direct",DU188,0),IF(DW188="direct",EP188,0),IF(ER188="direct",FK188,0),IF(FM188="direct",GF188,0),IF(GH188="direct",HA188,0),IF(HC188="direct",HV188,0),IF(HX188="direct",IQ188,0),IF(IS188="direct",JL188,0))</f>
        <v>-0.01644750385048731</v>
      </c>
      <c r="BE188" s="7">
        <f>SUM(IF(BL188="treasury",CE188,0),IF(CG188="treasury",CZ188,0),IF(DB188="treasury",DU188,0),IF(DW188="treasury",EP188,0),IF(ER188="treasury",FK188,0),IF(FM188="treasury",GF188,0),IF(GH188="treasury",HA188,0),IF(HC188="treasury",HV188,0),IF(HX188="treasury",IQ188,0),IF(IS188="treasury",JL188,0))</f>
        <v>0.00018243992061547755</v>
      </c>
      <c r="BF188" s="7">
        <f>SUM(IF(BL188="future",CE188,0),IF(CG188="future",CZ188,0),IF(DB188="future",DU188,0),IF(DW188="future",EP188,0),IF(ER188="future",FK188,0),IF(FM188="future",GF188,0),IF(GH188="future",HA188,0),IF(HC188="future",HV188,0),IF(HX188="future",IQ188,0),IF(IS188="future",JL188,0))</f>
        <v>-0.0074221242596161216</v>
      </c>
      <c r="BG188" s="7">
        <f>SUM(IF(BL188="cash",CE188,0),IF(CG188="cash",CZ188,0),IF(DB188="cash",DU188,0),IF(DW188="cash",EP188,0),IF(ER188="cash",FK188,0),IF(FM188="cash",GF188,0),IF(GH188="cash",HA188,0),IF(HC188="cash",HV188,0),IF(HX188="cash",IQ188,0),IF(IS188="cash",JL188,0))</f>
        <v>0</v>
      </c>
      <c r="BH188" s="7">
        <f>SUM(BD188:BG188)</f>
        <v>-0.023687188189487954</v>
      </c>
      <c r="BI188" s="7">
        <f>G188-BH188</f>
        <v>0</v>
      </c>
      <c r="BJ188" s="9">
        <f>COUNTA(BK188,CF188,DA188,DV188,EQ188,FL188,GG188,HB188,HW188,IR188)</f>
        <v>6</v>
      </c>
      <c r="BK188" t="inlineStr">
        <is>
          <t xml:space="preserve">Direct commodity holding</t>
        </is>
      </c>
      <c r="BL188" t="inlineStr">
        <is>
          <t xml:space="preserve">direct</t>
        </is>
      </c>
      <c r="BM188" t="inlineStr">
        <is>
          <t xml:space="preserve">lease</t>
        </is>
      </c>
      <c r="BN188" t="inlineStr">
        <is>
          <t xml:space="preserve">long</t>
        </is>
      </c>
      <c r="BO188"/>
      <c r="BP188" s="4">
        <v>1.87</v>
      </c>
      <c r="BQ188" s="4">
        <v>1.825</v>
      </c>
      <c r="BR188" s="4">
        <v>0.6682455145177952</v>
      </c>
      <c r="BS188" s="6">
        <v>0.6829020427397653</v>
      </c>
      <c r="BT188" s="4">
        <v>1.2496191121482771</v>
      </c>
      <c r="BU188" s="4">
        <v>1.2496191121482771</v>
      </c>
      <c r="BV188" s="4">
        <v>1.2195480639949763</v>
      </c>
      <c r="BW188" s="4">
        <v>-0.030096725258345048</v>
      </c>
      <c r="BX188" s="4">
        <v>0.000025677105044186882</v>
      </c>
      <c r="BY188" s="4">
        <v>1.87</v>
      </c>
      <c r="BZ188" s="4">
        <v>1.825</v>
      </c>
      <c r="CA188" s="6"/>
      <c r="CB188" s="6"/>
      <c r="CC188" s="6"/>
      <c r="CD188" s="9"/>
      <c r="CE188" s="7">
        <f>IFERROR(BW188/F188,0)</f>
        <v>-0.01644750385048731</v>
      </c>
      <c r="CF188" t="inlineStr">
        <is>
          <t xml:space="preserve">Treasury collateral</t>
        </is>
      </c>
      <c r="CG188" t="inlineStr">
        <is>
          <t xml:space="preserve">treasury</t>
        </is>
      </c>
      <c r="CH188" t="inlineStr">
        <is>
          <t xml:space="preserve">lease</t>
        </is>
      </c>
      <c r="CI188" t="inlineStr">
        <is>
          <t xml:space="preserve">long</t>
        </is>
      </c>
      <c r="CJ188"/>
      <c r="CK188" s="4">
        <v>104.95405325916616</v>
      </c>
      <c r="CL188" s="4">
        <v>105.0144377829591</v>
      </c>
      <c r="CM188" s="4">
        <v>0.00552857844194397</v>
      </c>
      <c r="CN188" s="6">
        <v>0.3170979572602347</v>
      </c>
      <c r="CO188" s="4">
        <v>0.5802467162432653</v>
      </c>
      <c r="CP188" s="4">
        <v>0.5802467162432653</v>
      </c>
      <c r="CQ188" s="4">
        <v>0.5805805568197341</v>
      </c>
      <c r="CR188" s="4">
        <v>0.000333840576468728</v>
      </c>
      <c r="CS188" s="4">
        <v>6.326319676452918e-17</v>
      </c>
      <c r="CT188" s="4">
        <v>1.87</v>
      </c>
      <c r="CU188" s="4">
        <v>1.825</v>
      </c>
      <c r="CV188" s="6"/>
      <c r="CW188" s="6"/>
      <c r="CX188" s="6"/>
      <c r="CY188" s="9">
        <v>87</v>
      </c>
      <c r="CZ188" s="7">
        <f>IFERROR(CR188/F188,0)</f>
        <v>0.00018243992061547755</v>
      </c>
      <c r="DA188" t="inlineStr">
        <is>
          <t xml:space="preserve">SI69Z</t>
        </is>
      </c>
      <c r="DB188" t="inlineStr">
        <is>
          <t xml:space="preserve">future</t>
        </is>
      </c>
      <c r="DC188" t="inlineStr">
        <is>
          <t xml:space="preserve">lease</t>
        </is>
      </c>
      <c r="DD188" t="inlineStr">
        <is>
          <t xml:space="preserve">long</t>
        </is>
      </c>
      <c r="DE188" t="inlineStr">
        <is>
          <t xml:space="preserve">regular</t>
        </is>
      </c>
      <c r="DF188" s="4">
        <v>1.88</v>
      </c>
      <c r="DG188" s="4">
        <v>1.8359999999999999</v>
      </c>
      <c r="DH188" s="4">
        <v>0.3062682731268243</v>
      </c>
      <c r="DI188" s="6">
        <v>0.31465932886704917</v>
      </c>
      <c r="DJ188" s="4">
        <v>0.5757843534784297</v>
      </c>
      <c r="DK188" s="4">
        <v>0</v>
      </c>
      <c r="DL188" s="4">
        <v>0</v>
      </c>
      <c r="DM188" s="4">
        <v>-0.013475804017580258</v>
      </c>
      <c r="DN188" s="4">
        <v>0.013475804017580258</v>
      </c>
      <c r="DO188" s="4">
        <v>1.87</v>
      </c>
      <c r="DP188" s="4">
        <v>1.825</v>
      </c>
      <c r="DQ188" s="6">
        <v>0.0053475935828875</v>
      </c>
      <c r="DR188" s="6">
        <v>0.07</v>
      </c>
      <c r="DS188" s="6">
        <v>0.047564693589035215</v>
      </c>
      <c r="DT188" s="9">
        <v>87</v>
      </c>
      <c r="DU188" s="7">
        <f>IFERROR(DM188/F188,0)</f>
        <v>-0.0073643672713564635</v>
      </c>
      <c r="DV188" t="inlineStr">
        <is>
          <t xml:space="preserve">SI70F</t>
        </is>
      </c>
      <c r="DW188" t="inlineStr">
        <is>
          <t xml:space="preserve">future</t>
        </is>
      </c>
      <c r="DX188" t="inlineStr">
        <is>
          <t xml:space="preserve">lease</t>
        </is>
      </c>
      <c r="DY188" t="inlineStr">
        <is>
          <t xml:space="preserve">long</t>
        </is>
      </c>
      <c r="DZ188" t="inlineStr">
        <is>
          <t xml:space="preserve">regular</t>
        </is>
      </c>
      <c r="EA188" s="4">
        <v>1.9</v>
      </c>
      <c r="EB188" s="4">
        <v>1.855</v>
      </c>
      <c r="EC188" s="4">
        <v>0.0023486119814924104</v>
      </c>
      <c r="ED188" s="6">
        <v>0.0024386283931855323</v>
      </c>
      <c r="EE188" s="4">
        <v>0.0044623627648355795</v>
      </c>
      <c r="EF188" s="4">
        <v>0</v>
      </c>
      <c r="EG188" s="4">
        <v>0</v>
      </c>
      <c r="EH188" s="4">
        <v>-0.00010568753916715831</v>
      </c>
      <c r="EI188" s="4">
        <v>0.00010568753916715831</v>
      </c>
      <c r="EJ188" s="4">
        <v>1.87</v>
      </c>
      <c r="EK188" s="4">
        <v>1.825</v>
      </c>
      <c r="EL188" s="6">
        <v>0.016042780748662944</v>
      </c>
      <c r="EM188" s="6">
        <v>0.07082857142857142</v>
      </c>
      <c r="EN188" s="6">
        <v>0.02078058020411012</v>
      </c>
      <c r="EO188" s="9">
        <v>117</v>
      </c>
      <c r="EP188" s="7">
        <f>IFERROR(EH188/F188,0)</f>
        <v>-0.000057756988259657255</v>
      </c>
      <c r="EQ188" t="inlineStr">
        <is>
          <t xml:space="preserve">Lease cash / margin / financing</t>
        </is>
      </c>
      <c r="ER188" t="inlineStr">
        <is>
          <t xml:space="preserve">cash</t>
        </is>
      </c>
      <c r="ES188" t="inlineStr">
        <is>
          <t xml:space="preserve">lease</t>
        </is>
      </c>
      <c r="ET188" t="inlineStr">
        <is>
          <t xml:space="preserve">cash</t>
        </is>
      </c>
      <c r="EU188"/>
      <c r="EV188" s="4">
        <v>1</v>
      </c>
      <c r="EW188" s="4">
        <v>1</v>
      </c>
      <c r="EX188" s="4">
        <v>2.220446049250313e-16</v>
      </c>
      <c r="EY188" s="6"/>
      <c r="EZ188" s="4">
        <v>2.220446049250313e-16</v>
      </c>
      <c r="FA188" s="4">
        <v>2.220446049250313e-16</v>
      </c>
      <c r="FB188" s="4">
        <v>-0.013607168661791444</v>
      </c>
      <c r="FC188" s="4">
        <v>0</v>
      </c>
      <c r="FD188" s="4">
        <v>-0.013607168661791666</v>
      </c>
      <c r="FE188" s="4">
        <v>1.87</v>
      </c>
      <c r="FF188" s="4">
        <v>1.825</v>
      </c>
      <c r="FG188" s="6"/>
      <c r="FH188" s="6"/>
      <c r="FI188" s="6"/>
      <c r="FJ188" s="9"/>
      <c r="FK188" s="7">
        <f>IFERROR(FC188/F188,0)</f>
        <v>0</v>
      </c>
      <c r="FL188" t="inlineStr">
        <is>
          <t xml:space="preserve">Keep cash / margin / financing</t>
        </is>
      </c>
      <c r="FM188" t="inlineStr">
        <is>
          <t xml:space="preserve">cash</t>
        </is>
      </c>
      <c r="FN188" t="inlineStr">
        <is>
          <t xml:space="preserve">keep</t>
        </is>
      </c>
      <c r="FO188" t="inlineStr">
        <is>
          <t xml:space="preserve">cash</t>
        </is>
      </c>
      <c r="FP188"/>
      <c r="FQ188" s="4">
        <v>1</v>
      </c>
      <c r="FR188" s="4">
        <v>1</v>
      </c>
      <c r="FS188" s="4">
        <v>0</v>
      </c>
      <c r="FT188" s="6"/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1.87</v>
      </c>
      <c r="GA188" s="4">
        <v>1.825</v>
      </c>
      <c r="GB188" s="6"/>
      <c r="GC188" s="6"/>
      <c r="GD188" s="6"/>
      <c r="GE188" s="9"/>
      <c r="GF188" s="7">
        <f>IFERROR(FX188/F188,0)</f>
        <v>0</v>
      </c>
      <c r="GG188"/>
      <c r="GH188"/>
      <c r="GI188"/>
      <c r="GJ188"/>
      <c r="GK188"/>
      <c r="GL188" s="4"/>
      <c r="GM188" s="4"/>
      <c r="GN188" s="4"/>
      <c r="GO188" s="6"/>
      <c r="GP188" s="4"/>
      <c r="GQ188" s="4"/>
      <c r="GR188" s="4"/>
      <c r="GS188" s="4"/>
      <c r="GT188" s="4"/>
      <c r="GU188" s="4"/>
      <c r="GV188" s="4"/>
      <c r="GW188" s="6"/>
      <c r="GX188" s="6"/>
      <c r="GY188" s="6"/>
      <c r="GZ188" s="9"/>
      <c r="HA188"/>
      <c r="HB188"/>
      <c r="HC188"/>
      <c r="HD188"/>
      <c r="HE188"/>
      <c r="HF188"/>
      <c r="HG188" s="4"/>
      <c r="HH188" s="4"/>
      <c r="HI188" s="4"/>
      <c r="HJ188" s="6"/>
      <c r="HK188" s="4"/>
      <c r="HL188" s="4"/>
      <c r="HM188" s="4"/>
      <c r="HN188" s="4"/>
      <c r="HO188" s="4"/>
      <c r="HP188" s="4"/>
      <c r="HQ188" s="4"/>
      <c r="HR188" s="6"/>
      <c r="HS188" s="6"/>
      <c r="HT188" s="6"/>
      <c r="HU188" s="9"/>
      <c r="HV188"/>
      <c r="HW188"/>
      <c r="HX188"/>
      <c r="HY188"/>
      <c r="HZ188"/>
      <c r="IA188"/>
      <c r="IB188" s="4"/>
      <c r="IC188" s="4"/>
      <c r="ID188" s="4"/>
      <c r="IE188" s="6"/>
      <c r="IF188" s="4"/>
      <c r="IG188" s="4"/>
      <c r="IH188" s="4"/>
      <c r="II188" s="4"/>
      <c r="IJ188" s="4"/>
      <c r="IK188" s="4"/>
      <c r="IL188" s="4"/>
      <c r="IM188" s="6"/>
      <c r="IN188" s="6"/>
      <c r="IO188" s="6"/>
      <c r="IP188" s="9"/>
      <c r="IQ188"/>
      <c r="IR188"/>
      <c r="IS188"/>
      <c r="IT188"/>
      <c r="IU188"/>
      <c r="IV188"/>
      <c r="IW188" s="4"/>
      <c r="IX188" s="4"/>
      <c r="IY188" s="4"/>
      <c r="IZ188" s="6"/>
      <c r="JA188" s="4"/>
      <c r="JB188" s="4"/>
      <c r="JC188" s="4"/>
      <c r="JD188" s="4"/>
      <c r="JE188" s="4"/>
      <c r="JF188" s="4"/>
      <c r="JG188" s="4"/>
      <c r="JH188" s="6"/>
      <c r="JI188" s="6"/>
      <c r="JJ188" s="6"/>
      <c r="JK188" s="9"/>
      <c r="JL188"/>
    </row>
    <row r="189">
      <c r="A189" s="8">
        <v>25482</v>
      </c>
      <c r="B189" s="8">
        <v>25483</v>
      </c>
      <c r="C189" s="9">
        <f>B189-A189</f>
        <v>1</v>
      </c>
      <c r="D189" s="8">
        <v>25482</v>
      </c>
      <c r="E189" t="inlineStr">
        <is>
          <t xml:space="preserve">positive</t>
        </is>
      </c>
      <c r="F189" s="4">
        <v>1.7865214521529185</v>
      </c>
      <c r="G189" s="6">
        <v>0.017147513940134116</v>
      </c>
      <c r="H189" s="7">
        <f>SUM(CE189,CZ189,DU189,EP189,FK189,GF189,HA189,HV189,IQ189,JL189)</f>
        <v>0.017147513940134116</v>
      </c>
      <c r="I189" s="7">
        <f>G189-H189</f>
        <v>0</v>
      </c>
      <c r="J189" s="5">
        <f>F189*(1+H189)</f>
        <v>1.8171558536580592</v>
      </c>
      <c r="K189" s="4">
        <v>1.8171558536580592</v>
      </c>
      <c r="L189" s="5">
        <f>K189-J189</f>
        <v>0</v>
      </c>
      <c r="M189" s="4">
        <v>1.825</v>
      </c>
      <c r="N189" s="4">
        <v>1.864</v>
      </c>
      <c r="O189" s="5">
        <f>M189/$M$3</f>
        <v>0.932073544433095</v>
      </c>
      <c r="P189" s="5">
        <f>N189/$M$3</f>
        <v>0.9519918283963229</v>
      </c>
      <c r="Q189" s="7">
        <f>IFERROR(N189/M189-1,0)</f>
        <v>0.021369863013698698</v>
      </c>
      <c r="R189" s="5">
        <f>SUM(IF(BM189="lease",BU189,0),IF(CH189="lease",CP189,0),IF(DC189="lease",DK189,0),IF(DX189="lease",EF189,0),IF(ES189="lease",FA189,0),IF(FN189="lease",FV189,0),IF(GI189="lease",GQ189,0),IF(HD189="lease",HL189,0),IF(HY189="lease",IG189,0),IF(IT189="lease",JB189,0))</f>
        <v>1.786521452152919</v>
      </c>
      <c r="S189" s="5">
        <f>SUM(IF(BM189="lease",BV189,0),IF(CH189="lease",CQ189,0),IF(DC189="lease",DL189,0),IF(DX189="lease",EG189,0),IF(ES189="lease",FB189,0),IF(FN189="lease",FW189,0),IF(GI189="lease",GR189,0),IF(HD189="lease",HM189,0),IF(HY189="lease",IH189,0),IF(IT189="lease",JC189,0))</f>
        <v>1.8171558536580596</v>
      </c>
      <c r="T189" s="5">
        <f>SUM(IF(BM189="keep",BU189,0),IF(CH189="keep",CP189,0),IF(DC189="keep",DK189,0),IF(DX189="keep",EF189,0),IF(ES189="keep",FA189,0),IF(FN189="keep",FV189,0),IF(GI189="keep",GQ189,0),IF(HD189="keep",HL189,0),IF(HY189="keep",IG189,0),IF(IT189="keep",JB189,0))</f>
        <v>0</v>
      </c>
      <c r="U189" s="5">
        <f>SUM(IF(BM189="keep",BV189,0),IF(CH189="keep",CQ189,0),IF(DC189="keep",DL189,0),IF(DX189="keep",EG189,0),IF(ES189="keep",FB189,0),IF(FN189="keep",FW189,0),IF(GI189="keep",GR189,0),IF(HD189="keep",HM189,0),IF(HY189="keep",IH189,0),IF(IT189="keep",JC189,0))</f>
        <v>0</v>
      </c>
      <c r="V189" s="5">
        <f>R189/O189</f>
        <v>1.9167172620906385</v>
      </c>
      <c r="W189" s="5">
        <f>S189/P189</f>
        <v>1.9087935415571247</v>
      </c>
      <c r="X189" s="5">
        <f>T189/O189</f>
        <v>0</v>
      </c>
      <c r="Y189" s="5">
        <f>U189/P189</f>
        <v>0</v>
      </c>
      <c r="Z189" s="5">
        <f>V189+X189</f>
        <v>1.9167172620906385</v>
      </c>
      <c r="AA189" s="7">
        <f>IFERROR(W189/V189-1,0)</f>
        <v>-0.004134005933077001</v>
      </c>
      <c r="AB189" s="7">
        <f>IFERROR((W189-V189)/Z189,0)</f>
        <v>-0.004134005933077034</v>
      </c>
      <c r="AC189" s="7">
        <f>IFERROR(Y189/X189-1,0)</f>
        <v>0</v>
      </c>
      <c r="AD189" s="7">
        <f>IFERROR((Y189-X189)/Z189,0)</f>
        <v>0</v>
      </c>
      <c r="AE189" s="7">
        <f>AB189+AD189</f>
        <v>-0.004134005933077034</v>
      </c>
      <c r="AF189" s="7">
        <f>(1+Q189)*(1+AE189)-1</f>
        <v>0.01714751394013403</v>
      </c>
      <c r="AG189" s="7">
        <f>G189-AF189</f>
        <v>8.673617379884035e-17</v>
      </c>
      <c r="AH189" s="5">
        <f>SUM(IF(BM189="lease",BW189,0),IF(CH189="lease",CR189,0),IF(DC189="lease",DM189,0),IF(DX189="lease",EH189,0),IF(ES189="lease",FC189,0),IF(FN189="lease",FX189,0),IF(GI189="lease",GS189,0),IF(HD189="lease",HN189,0),IF(HY189="lease",II189,0),IF(IT189="lease",JD189,0))</f>
        <v>0.030634401505140813</v>
      </c>
      <c r="AI189" s="5">
        <f>SUM(IF(BM189="keep",BW189,0),IF(CH189="keep",CR189,0),IF(DC189="keep",DM189,0),IF(DX189="keep",EH189,0),IF(ES189="keep",FC189,0),IF(FN189="keep",FX189,0),IF(GI189="keep",GS189,0),IF(HD189="keep",HN189,0),IF(HY189="keep",II189,0),IF(IT189="keep",JD189,0))</f>
        <v>0</v>
      </c>
      <c r="AJ189" s="5">
        <f>SUM(IF(BM189="lease",BX189,0),IF(CH189="lease",CS189,0),IF(DC189="lease",DN189,0),IF(DX189="lease",EI189,0),IF(ES189="lease",FD189,0),IF(FN189="lease",FY189,0),IF(GI189="lease",GT189,0),IF(HD189="lease",HO189,0),IF(HY189="lease",IJ189,0),IF(IT189="lease",JE189,0))</f>
        <v>0</v>
      </c>
      <c r="AK189" s="5">
        <f>SUM(IF(BM189="keep",BX189,0),IF(CH189="keep",CS189,0),IF(DC189="keep",DN189,0),IF(DX189="keep",EI189,0),IF(ES189="keep",FD189,0),IF(FN189="keep",FY189,0),IF(GI189="keep",GT189,0),IF(HD189="keep",HO189,0),IF(HY189="keep",IJ189,0),IF(IT189="keep",JE189,0))</f>
        <v>0</v>
      </c>
      <c r="AL189" s="5">
        <f>R189-S188</f>
        <v>0</v>
      </c>
      <c r="AM189" s="5">
        <f>T189-U188</f>
        <v>0</v>
      </c>
      <c r="AN189" s="5">
        <f>AN188</f>
        <v>1</v>
      </c>
      <c r="AO189" s="5">
        <f>AO188+AH189</f>
        <v>0.8171558536580601</v>
      </c>
      <c r="AP189" s="5">
        <f>AP188+AL189</f>
        <v>-2.220446049250313e-16</v>
      </c>
      <c r="AQ189" s="5">
        <f>AN189+AO189+AP189</f>
        <v>1.8171558536580599</v>
      </c>
      <c r="AR189" s="5">
        <f>S189-AQ189</f>
        <v>-2.220446049250313e-16</v>
      </c>
      <c r="AS189" s="5">
        <f>AS188</f>
        <v>0</v>
      </c>
      <c r="AT189" s="5">
        <f>AT188+AI189</f>
        <v>0</v>
      </c>
      <c r="AU189" s="5">
        <f>AU188+AM189</f>
        <v>0</v>
      </c>
      <c r="AV189" s="5">
        <f>AS189+AT189+AU189</f>
        <v>0</v>
      </c>
      <c r="AW189" s="5">
        <f>U189-AV189</f>
        <v>0</v>
      </c>
      <c r="AX189" s="4">
        <v>1.786521452152919</v>
      </c>
      <c r="AY189" s="4">
        <v>1.8171558536580596</v>
      </c>
      <c r="AZ189" s="5">
        <f>S189-AY189</f>
        <v>0</v>
      </c>
      <c r="BA189" s="4">
        <v>0</v>
      </c>
      <c r="BB189" s="4">
        <v>0</v>
      </c>
      <c r="BC189" s="5">
        <f>U189-BB189</f>
        <v>0</v>
      </c>
      <c r="BD189" s="7">
        <f>SUM(IF(BL189="direct",CE189,0),IF(CG189="direct",CZ189,0),IF(DB189="direct",DU189,0),IF(DW189="direct",EP189,0),IF(ER189="direct",FK189,0),IF(FM189="direct",GF189,0),IF(GH189="direct",HA189,0),IF(HC189="direct",HV189,0),IF(HX189="direct",IQ189,0),IF(IS189="direct",JL189,0))</f>
        <v>0.015209109371602598</v>
      </c>
      <c r="BE189" s="7">
        <f>SUM(IF(BL189="treasury",CE189,0),IF(CG189="treasury",CZ189,0),IF(DB189="treasury",DU189,0),IF(DW189="treasury",EP189,0),IF(ER189="treasury",FK189,0),IF(FM189="treasury",GF189,0),IF(GH189="treasury",HA189,0),IF(HC189="treasury",HV189,0),IF(HX189="treasury",IQ189,0),IF(IS189="treasury",JL189,0))</f>
        <v>0.00005477152424440073</v>
      </c>
      <c r="BF189" s="7">
        <f>SUM(IF(BL189="future",CE189,0),IF(CG189="future",CZ189,0),IF(DB189="future",DU189,0),IF(DW189="future",EP189,0),IF(ER189="future",FK189,0),IF(FM189="future",GF189,0),IF(GH189="future",HA189,0),IF(HC189="future",HV189,0),IF(HX189="future",IQ189,0),IF(IS189="future",JL189,0))</f>
        <v>0.0018836330442871178</v>
      </c>
      <c r="BG189" s="7">
        <f>SUM(IF(BL189="cash",CE189,0),IF(CG189="cash",CZ189,0),IF(DB189="cash",DU189,0),IF(DW189="cash",EP189,0),IF(ER189="cash",FK189,0),IF(FM189="cash",GF189,0),IF(GH189="cash",HA189,0),IF(HC189="cash",HV189,0),IF(HX189="cash",IQ189,0),IF(IS189="cash",JL189,0))</f>
        <v>0</v>
      </c>
      <c r="BH189" s="7">
        <f>SUM(BD189:BG189)</f>
        <v>0.017147513940134116</v>
      </c>
      <c r="BI189" s="7">
        <f>G189-BH189</f>
        <v>0</v>
      </c>
      <c r="BJ189" s="9">
        <f>COUNTA(BK189,CF189,DA189,DV189,EQ189,FL189,GG189,HB189,HW189,IR189)</f>
        <v>6</v>
      </c>
      <c r="BK189" t="inlineStr">
        <is>
          <t xml:space="preserve">Direct commodity holding</t>
        </is>
      </c>
      <c r="BL189" t="inlineStr">
        <is>
          <t xml:space="preserve">direct</t>
        </is>
      </c>
      <c r="BM189" t="inlineStr">
        <is>
          <t xml:space="preserve">lease</t>
        </is>
      </c>
      <c r="BN189" t="inlineStr">
        <is>
          <t xml:space="preserve">long</t>
        </is>
      </c>
      <c r="BO189"/>
      <c r="BP189" s="4">
        <v>1.825</v>
      </c>
      <c r="BQ189" s="4">
        <v>1.864</v>
      </c>
      <c r="BR189" s="4">
        <v>0.696925941917485</v>
      </c>
      <c r="BS189" s="6">
        <v>0.7119365079365092</v>
      </c>
      <c r="BT189" s="4">
        <v>1.2718898439994102</v>
      </c>
      <c r="BU189" s="4">
        <v>1.2718898439994102</v>
      </c>
      <c r="BV189" s="4">
        <v>1.2990699557341923</v>
      </c>
      <c r="BW189" s="4">
        <v>0.027171400160508036</v>
      </c>
      <c r="BX189" s="4">
        <v>0.000008711574274039569</v>
      </c>
      <c r="BY189" s="4">
        <v>1.825</v>
      </c>
      <c r="BZ189" s="4">
        <v>1.864</v>
      </c>
      <c r="CA189" s="6"/>
      <c r="CB189" s="6"/>
      <c r="CC189" s="6"/>
      <c r="CD189" s="9"/>
      <c r="CE189" s="7">
        <f>IFERROR(BW189/F189,0)</f>
        <v>0.015209109371602598</v>
      </c>
      <c r="CF189" t="inlineStr">
        <is>
          <t xml:space="preserve">Treasury collateral</t>
        </is>
      </c>
      <c r="CG189" t="inlineStr">
        <is>
          <t xml:space="preserve">treasury</t>
        </is>
      </c>
      <c r="CH189" t="inlineStr">
        <is>
          <t xml:space="preserve">lease</t>
        </is>
      </c>
      <c r="CI189" t="inlineStr">
        <is>
          <t xml:space="preserve">long</t>
        </is>
      </c>
      <c r="CJ189"/>
      <c r="CK189" s="4">
        <v>105.0144377829591</v>
      </c>
      <c r="CL189" s="4">
        <v>105.0344049116773</v>
      </c>
      <c r="CM189" s="4">
        <v>0.004900579568088862</v>
      </c>
      <c r="CN189" s="6">
        <v>0.28806349206349086</v>
      </c>
      <c r="CO189" s="4">
        <v>0.5146316081535084</v>
      </c>
      <c r="CP189" s="4">
        <v>0.5146316081535084</v>
      </c>
      <c r="CQ189" s="4">
        <v>0.5147294586565382</v>
      </c>
      <c r="CR189" s="4">
        <v>0.00009785050302973558</v>
      </c>
      <c r="CS189" s="4">
        <v>5.93465164164253e-17</v>
      </c>
      <c r="CT189" s="4">
        <v>1.825</v>
      </c>
      <c r="CU189" s="4">
        <v>1.864</v>
      </c>
      <c r="CV189" s="6"/>
      <c r="CW189" s="6"/>
      <c r="CX189" s="6"/>
      <c r="CY189" s="9">
        <v>84</v>
      </c>
      <c r="CZ189" s="7">
        <f>IFERROR(CR189/F189,0)</f>
        <v>0.00005477152424440073</v>
      </c>
      <c r="DA189" t="inlineStr">
        <is>
          <t xml:space="preserve">SI69Z</t>
        </is>
      </c>
      <c r="DB189" t="inlineStr">
        <is>
          <t xml:space="preserve">future</t>
        </is>
      </c>
      <c r="DC189" t="inlineStr">
        <is>
          <t xml:space="preserve">lease</t>
        </is>
      </c>
      <c r="DD189" t="inlineStr">
        <is>
          <t xml:space="preserve">long</t>
        </is>
      </c>
      <c r="DE189" t="inlineStr">
        <is>
          <t xml:space="preserve">regular</t>
        </is>
      </c>
      <c r="DF189" s="4">
        <v>1.8359999999999999</v>
      </c>
      <c r="DG189" s="4">
        <v>1.848</v>
      </c>
      <c r="DH189" s="4">
        <v>0.2785174719043228</v>
      </c>
      <c r="DI189" s="6">
        <v>0.286231143656352</v>
      </c>
      <c r="DJ189" s="4">
        <v>0.5113580784163366</v>
      </c>
      <c r="DK189" s="4">
        <v>0</v>
      </c>
      <c r="DL189" s="4">
        <v>0</v>
      </c>
      <c r="DM189" s="4">
        <v>0.0033422096628519748</v>
      </c>
      <c r="DN189" s="4">
        <v>-0.0033422096628519748</v>
      </c>
      <c r="DO189" s="4">
        <v>1.825</v>
      </c>
      <c r="DP189" s="4">
        <v>1.864</v>
      </c>
      <c r="DQ189" s="6">
        <v>0.0060273972602740145</v>
      </c>
      <c r="DR189" s="6">
        <v>0.0694</v>
      </c>
      <c r="DS189" s="6">
        <v>0.04320952380952363</v>
      </c>
      <c r="DT189" s="9">
        <v>84</v>
      </c>
      <c r="DU189" s="7">
        <f>IFERROR(DM189/F189,0)</f>
        <v>0.0018707917886036647</v>
      </c>
      <c r="DV189" t="inlineStr">
        <is>
          <t xml:space="preserve">SI70F</t>
        </is>
      </c>
      <c r="DW189" t="inlineStr">
        <is>
          <t xml:space="preserve">future</t>
        </is>
      </c>
      <c r="DX189" t="inlineStr">
        <is>
          <t xml:space="preserve">lease</t>
        </is>
      </c>
      <c r="DY189" t="inlineStr">
        <is>
          <t xml:space="preserve">long</t>
        </is>
      </c>
      <c r="DZ189" t="inlineStr">
        <is>
          <t xml:space="preserve">regular</t>
        </is>
      </c>
      <c r="EA189" s="4">
        <v>1.855</v>
      </c>
      <c r="EB189" s="4">
        <v>1.868</v>
      </c>
      <c r="EC189" s="4">
        <v>0.0017647060577745833</v>
      </c>
      <c r="ED189" s="6">
        <v>0.0018323484071388874</v>
      </c>
      <c r="EE189" s="4">
        <v>0.003273529737171852</v>
      </c>
      <c r="EF189" s="4">
        <v>0</v>
      </c>
      <c r="EG189" s="4">
        <v>0</v>
      </c>
      <c r="EH189" s="4">
        <v>0.000022941178751069477</v>
      </c>
      <c r="EI189" s="4">
        <v>-0.000022941178751069477</v>
      </c>
      <c r="EJ189" s="4">
        <v>1.825</v>
      </c>
      <c r="EK189" s="4">
        <v>1.864</v>
      </c>
      <c r="EL189" s="6">
        <v>0.016438356164383494</v>
      </c>
      <c r="EM189" s="6">
        <v>0.07023406593406593</v>
      </c>
      <c r="EN189" s="6">
        <v>0.01760248698669773</v>
      </c>
      <c r="EO189" s="9">
        <v>114</v>
      </c>
      <c r="EP189" s="7">
        <f>IFERROR(EH189/F189,0)</f>
        <v>0.000012841255683453059</v>
      </c>
      <c r="EQ189" t="inlineStr">
        <is>
          <t xml:space="preserve">Lease cash / margin / financing</t>
        </is>
      </c>
      <c r="ER189" t="inlineStr">
        <is>
          <t xml:space="preserve">cash</t>
        </is>
      </c>
      <c r="ES189" t="inlineStr">
        <is>
          <t xml:space="preserve">lease</t>
        </is>
      </c>
      <c r="ET189" t="inlineStr">
        <is>
          <t xml:space="preserve">cash</t>
        </is>
      </c>
      <c r="EU189"/>
      <c r="EV189" s="4">
        <v>1</v>
      </c>
      <c r="EW189" s="4">
        <v>1</v>
      </c>
      <c r="EX189" s="4">
        <v>2.220446049250313e-16</v>
      </c>
      <c r="EY189" s="6"/>
      <c r="EZ189" s="4">
        <v>2.220446049250313e-16</v>
      </c>
      <c r="FA189" s="4">
        <v>2.220446049250313e-16</v>
      </c>
      <c r="FB189" s="4">
        <v>0.003356439267329167</v>
      </c>
      <c r="FC189" s="4">
        <v>0</v>
      </c>
      <c r="FD189" s="4">
        <v>0.003356439267328945</v>
      </c>
      <c r="FE189" s="4">
        <v>1.825</v>
      </c>
      <c r="FF189" s="4">
        <v>1.864</v>
      </c>
      <c r="FG189" s="6"/>
      <c r="FH189" s="6"/>
      <c r="FI189" s="6"/>
      <c r="FJ189" s="9"/>
      <c r="FK189" s="7">
        <f>IFERROR(FC189/F189,0)</f>
        <v>0</v>
      </c>
      <c r="FL189" t="inlineStr">
        <is>
          <t xml:space="preserve">Keep cash / margin / financing</t>
        </is>
      </c>
      <c r="FM189" t="inlineStr">
        <is>
          <t xml:space="preserve">cash</t>
        </is>
      </c>
      <c r="FN189" t="inlineStr">
        <is>
          <t xml:space="preserve">keep</t>
        </is>
      </c>
      <c r="FO189" t="inlineStr">
        <is>
          <t xml:space="preserve">cash</t>
        </is>
      </c>
      <c r="FP189"/>
      <c r="FQ189" s="4">
        <v>1</v>
      </c>
      <c r="FR189" s="4">
        <v>1</v>
      </c>
      <c r="FS189" s="4">
        <v>0</v>
      </c>
      <c r="FT189" s="6"/>
      <c r="FU189" s="4">
        <v>0</v>
      </c>
      <c r="FV189" s="4">
        <v>0</v>
      </c>
      <c r="FW189" s="4">
        <v>0</v>
      </c>
      <c r="FX189" s="4">
        <v>0</v>
      </c>
      <c r="FY189" s="4">
        <v>0</v>
      </c>
      <c r="FZ189" s="4">
        <v>1.825</v>
      </c>
      <c r="GA189" s="4">
        <v>1.864</v>
      </c>
      <c r="GB189" s="6"/>
      <c r="GC189" s="6"/>
      <c r="GD189" s="6"/>
      <c r="GE189" s="9"/>
      <c r="GF189" s="7">
        <f>IFERROR(FX189/F189,0)</f>
        <v>0</v>
      </c>
      <c r="GG189"/>
      <c r="GH189"/>
      <c r="GI189"/>
      <c r="GJ189"/>
      <c r="GK189"/>
      <c r="GL189" s="4"/>
      <c r="GM189" s="4"/>
      <c r="GN189" s="4"/>
      <c r="GO189" s="6"/>
      <c r="GP189" s="4"/>
      <c r="GQ189" s="4"/>
      <c r="GR189" s="4"/>
      <c r="GS189" s="4"/>
      <c r="GT189" s="4"/>
      <c r="GU189" s="4"/>
      <c r="GV189" s="4"/>
      <c r="GW189" s="6"/>
      <c r="GX189" s="6"/>
      <c r="GY189" s="6"/>
      <c r="GZ189" s="9"/>
      <c r="HA189"/>
      <c r="HB189"/>
      <c r="HC189"/>
      <c r="HD189"/>
      <c r="HE189"/>
      <c r="HF189"/>
      <c r="HG189" s="4"/>
      <c r="HH189" s="4"/>
      <c r="HI189" s="4"/>
      <c r="HJ189" s="6"/>
      <c r="HK189" s="4"/>
      <c r="HL189" s="4"/>
      <c r="HM189" s="4"/>
      <c r="HN189" s="4"/>
      <c r="HO189" s="4"/>
      <c r="HP189" s="4"/>
      <c r="HQ189" s="4"/>
      <c r="HR189" s="6"/>
      <c r="HS189" s="6"/>
      <c r="HT189" s="6"/>
      <c r="HU189" s="9"/>
      <c r="HV189"/>
      <c r="HW189"/>
      <c r="HX189"/>
      <c r="HY189"/>
      <c r="HZ189"/>
      <c r="IA189"/>
      <c r="IB189" s="4"/>
      <c r="IC189" s="4"/>
      <c r="ID189" s="4"/>
      <c r="IE189" s="6"/>
      <c r="IF189" s="4"/>
      <c r="IG189" s="4"/>
      <c r="IH189" s="4"/>
      <c r="II189" s="4"/>
      <c r="IJ189" s="4"/>
      <c r="IK189" s="4"/>
      <c r="IL189" s="4"/>
      <c r="IM189" s="6"/>
      <c r="IN189" s="6"/>
      <c r="IO189" s="6"/>
      <c r="IP189" s="9"/>
      <c r="IQ189"/>
      <c r="IR189"/>
      <c r="IS189"/>
      <c r="IT189"/>
      <c r="IU189"/>
      <c r="IV189"/>
      <c r="IW189" s="4"/>
      <c r="IX189" s="4"/>
      <c r="IY189" s="4"/>
      <c r="IZ189" s="6"/>
      <c r="JA189" s="4"/>
      <c r="JB189" s="4"/>
      <c r="JC189" s="4"/>
      <c r="JD189" s="4"/>
      <c r="JE189" s="4"/>
      <c r="JF189" s="4"/>
      <c r="JG189" s="4"/>
      <c r="JH189" s="6"/>
      <c r="JI189" s="6"/>
      <c r="JJ189" s="6"/>
      <c r="JK189" s="9"/>
      <c r="JL189"/>
    </row>
    <row r="190">
      <c r="A190" s="8">
        <v>25483</v>
      </c>
      <c r="B190" s="8">
        <v>25484</v>
      </c>
      <c r="C190" s="9">
        <f>B190-A190</f>
        <v>1</v>
      </c>
      <c r="D190" s="8">
        <v>25483</v>
      </c>
      <c r="E190" t="inlineStr">
        <is>
          <t xml:space="preserve">positive</t>
        </is>
      </c>
      <c r="F190" s="4">
        <v>1.8171558536580592</v>
      </c>
      <c r="G190" s="6">
        <v>-0.001415228791954096</v>
      </c>
      <c r="H190" s="7">
        <f>SUM(CE190,CZ190,DU190,EP190,FK190,GF190,HA190,HV190,IQ190,JL190)</f>
        <v>-0.0014152287919540962</v>
      </c>
      <c r="I190" s="7">
        <f>G190-H190</f>
        <v>2.168404344971009e-19</v>
      </c>
      <c r="J190" s="5">
        <f>F190*(1+H190)</f>
        <v>1.8145841623744945</v>
      </c>
      <c r="K190" s="4">
        <v>1.8145841623744945</v>
      </c>
      <c r="L190" s="5">
        <f>K190-J190</f>
        <v>0</v>
      </c>
      <c r="M190" s="4">
        <v>1.864</v>
      </c>
      <c r="N190" s="4">
        <v>1.823</v>
      </c>
      <c r="O190" s="5">
        <f>M190/$M$3</f>
        <v>0.9519918283963229</v>
      </c>
      <c r="P190" s="5">
        <f>N190/$M$3</f>
        <v>0.9310520939734422</v>
      </c>
      <c r="Q190" s="7">
        <f>IFERROR(N190/M190-1,0)</f>
        <v>-0.021995708154506466</v>
      </c>
      <c r="R190" s="5">
        <f>SUM(IF(BM190="lease",BU190,0),IF(CH190="lease",CP190,0),IF(DC190="lease",DK190,0),IF(DX190="lease",EF190,0),IF(ES190="lease",FA190,0),IF(FN190="lease",FV190,0),IF(GI190="lease",GQ190,0),IF(HD190="lease",HL190,0),IF(HY190="lease",IG190,0),IF(IT190="lease",JB190,0))</f>
        <v>1.8171558536580596</v>
      </c>
      <c r="S190" s="5">
        <f>SUM(IF(BM190="lease",BV190,0),IF(CH190="lease",CQ190,0),IF(DC190="lease",DL190,0),IF(DX190="lease",EG190,0),IF(ES190="lease",FB190,0),IF(FN190="lease",FW190,0),IF(GI190="lease",GR190,0),IF(HD190="lease",HM190,0),IF(HY190="lease",IH190,0),IF(IT190="lease",JC190,0))</f>
        <v>1.8145841623744947</v>
      </c>
      <c r="T190" s="5">
        <f>SUM(IF(BM190="keep",BU190,0),IF(CH190="keep",CP190,0),IF(DC190="keep",DK190,0),IF(DX190="keep",EF190,0),IF(ES190="keep",FA190,0),IF(FN190="keep",FV190,0),IF(GI190="keep",GQ190,0),IF(HD190="keep",HL190,0),IF(HY190="keep",IG190,0),IF(IT190="keep",JB190,0))</f>
        <v>0</v>
      </c>
      <c r="U190" s="5">
        <f>SUM(IF(BM190="keep",BV190,0),IF(CH190="keep",CQ190,0),IF(DC190="keep",DL190,0),IF(DX190="keep",EG190,0),IF(ES190="keep",FB190,0),IF(FN190="keep",FW190,0),IF(GI190="keep",GR190,0),IF(HD190="keep",HM190,0),IF(HY190="keep",IH190,0),IF(IT190="keep",JC190,0))</f>
        <v>0</v>
      </c>
      <c r="V190" s="5">
        <f>R190/O190</f>
        <v>1.9087935415571247</v>
      </c>
      <c r="W190" s="5">
        <f>S190/P190</f>
        <v>1.9489609379754584</v>
      </c>
      <c r="X190" s="5">
        <f>T190/O190</f>
        <v>0</v>
      </c>
      <c r="Y190" s="5">
        <f>U190/P190</f>
        <v>0</v>
      </c>
      <c r="Z190" s="5">
        <f>V190+X190</f>
        <v>1.9087935415571247</v>
      </c>
      <c r="AA190" s="7">
        <f>IFERROR(W190/V190-1,0)</f>
        <v>0.02104334258463947</v>
      </c>
      <c r="AB190" s="7">
        <f>IFERROR((W190-V190)/Z190,0)</f>
        <v>0.02104334258463944</v>
      </c>
      <c r="AC190" s="7">
        <f>IFERROR(Y190/X190-1,0)</f>
        <v>0</v>
      </c>
      <c r="AD190" s="7">
        <f>IFERROR((Y190-X190)/Z190,0)</f>
        <v>0</v>
      </c>
      <c r="AE190" s="7">
        <f>AB190+AD190</f>
        <v>0.02104334258463944</v>
      </c>
      <c r="AF190" s="7">
        <f>(1+Q190)*(1+AE190)-1</f>
        <v>-0.001415228791953993</v>
      </c>
      <c r="AG190" s="7">
        <f>G190-AF190</f>
        <v>-1.0299920638612292e-16</v>
      </c>
      <c r="AH190" s="5">
        <f>SUM(IF(BM190="lease",BW190,0),IF(CH190="lease",CR190,0),IF(DC190="lease",DM190,0),IF(DX190="lease",EH190,0),IF(ES190="lease",FC190,0),IF(FN190="lease",FX190,0),IF(GI190="lease",GS190,0),IF(HD190="lease",HN190,0),IF(HY190="lease",II190,0),IF(IT190="lease",JD190,0))</f>
        <v>-0.0025716912835648097</v>
      </c>
      <c r="AI190" s="5">
        <f>SUM(IF(BM190="keep",BW190,0),IF(CH190="keep",CR190,0),IF(DC190="keep",DM190,0),IF(DX190="keep",EH190,0),IF(ES190="keep",FC190,0),IF(FN190="keep",FX190,0),IF(GI190="keep",GS190,0),IF(HD190="keep",HN190,0),IF(HY190="keep",II190,0),IF(IT190="keep",JD190,0))</f>
        <v>0</v>
      </c>
      <c r="AJ190" s="5">
        <f>SUM(IF(BM190="lease",BX190,0),IF(CH190="lease",CS190,0),IF(DC190="lease",DN190,0),IF(DX190="lease",EI190,0),IF(ES190="lease",FD190,0),IF(FN190="lease",FY190,0),IF(GI190="lease",GT190,0),IF(HD190="lease",HO190,0),IF(HY190="lease",IJ190,0),IF(IT190="lease",JE190,0))</f>
        <v>0</v>
      </c>
      <c r="AK190" s="5">
        <f>SUM(IF(BM190="keep",BX190,0),IF(CH190="keep",CS190,0),IF(DC190="keep",DN190,0),IF(DX190="keep",EI190,0),IF(ES190="keep",FD190,0),IF(FN190="keep",FY190,0),IF(GI190="keep",GT190,0),IF(HD190="keep",HO190,0),IF(HY190="keep",IJ190,0),IF(IT190="keep",JE190,0))</f>
        <v>0</v>
      </c>
      <c r="AL190" s="5">
        <f>R190-S189</f>
        <v>0</v>
      </c>
      <c r="AM190" s="5">
        <f>T190-U189</f>
        <v>0</v>
      </c>
      <c r="AN190" s="5">
        <f>AN189</f>
        <v>1</v>
      </c>
      <c r="AO190" s="5">
        <f>AO189+AH190</f>
        <v>0.8145841623744953</v>
      </c>
      <c r="AP190" s="5">
        <f>AP189+AL190</f>
        <v>-2.220446049250313e-16</v>
      </c>
      <c r="AQ190" s="5">
        <f>AN190+AO190+AP190</f>
        <v>1.814584162374495</v>
      </c>
      <c r="AR190" s="5">
        <f>S190-AQ190</f>
        <v>-2.220446049250313e-16</v>
      </c>
      <c r="AS190" s="5">
        <f>AS189</f>
        <v>0</v>
      </c>
      <c r="AT190" s="5">
        <f>AT189+AI190</f>
        <v>0</v>
      </c>
      <c r="AU190" s="5">
        <f>AU189+AM190</f>
        <v>0</v>
      </c>
      <c r="AV190" s="5">
        <f>AS190+AT190+AU190</f>
        <v>0</v>
      </c>
      <c r="AW190" s="5">
        <f>U190-AV190</f>
        <v>0</v>
      </c>
      <c r="AX190" s="4">
        <v>1.8171558536580596</v>
      </c>
      <c r="AY190" s="4">
        <v>1.814584162374495</v>
      </c>
      <c r="AZ190" s="5">
        <f>S190-AY190</f>
        <v>-2.220446049250313e-16</v>
      </c>
      <c r="BA190" s="4">
        <v>0</v>
      </c>
      <c r="BB190" s="4">
        <v>0</v>
      </c>
      <c r="BC190" s="5">
        <f>U190-BB190</f>
        <v>0</v>
      </c>
      <c r="BD190" s="7">
        <f>SUM(IF(BL190="direct",CE190,0),IF(CG190="direct",CZ190,0),IF(DB190="direct",DU190,0),IF(DW190="direct",EP190,0),IF(ER190="direct",FK190,0),IF(FM190="direct",GF190,0),IF(GH190="direct",HA190,0),IF(HC190="direct",HV190,0),IF(HX190="direct",IQ190,0),IF(IS190="direct",JL190,0))</f>
        <v>-0.0062124137771444165</v>
      </c>
      <c r="BE190" s="7">
        <f>SUM(IF(BL190="treasury",CE190,0),IF(CG190="treasury",CZ190,0),IF(DB190="treasury",DU190,0),IF(DW190="treasury",EP190,0),IF(ER190="treasury",FK190,0),IF(FM190="treasury",GF190,0),IF(GH190="treasury",HA190,0),IF(HC190="treasury",HV190,0),IF(HX190="treasury",IQ190,0),IF(IS190="treasury",JL190,0))</f>
        <v>0.00013743496286515965</v>
      </c>
      <c r="BF190" s="7">
        <f>SUM(IF(BL190="future",CE190,0),IF(CG190="future",CZ190,0),IF(DB190="future",DU190,0),IF(DW190="future",EP190,0),IF(ER190="future",FK190,0),IF(FM190="future",GF190,0),IF(GH190="future",HA190,0),IF(HC190="future",HV190,0),IF(HX190="future",IQ190,0),IF(IS190="future",JL190,0))</f>
        <v>0.004659750022325161</v>
      </c>
      <c r="BG190" s="7">
        <f>SUM(IF(BL190="cash",CE190,0),IF(CG190="cash",CZ190,0),IF(DB190="cash",DU190,0),IF(DW190="cash",EP190,0),IF(ER190="cash",FK190,0),IF(FM190="cash",GF190,0),IF(GH190="cash",HA190,0),IF(HC190="cash",HV190,0),IF(HX190="cash",IQ190,0),IF(IS190="cash",JL190,0))</f>
        <v>0</v>
      </c>
      <c r="BH190" s="7">
        <f>SUM(BD190:BG190)</f>
        <v>-0.0014152287919540962</v>
      </c>
      <c r="BI190" s="7">
        <f>G190-BH190</f>
        <v>2.168404344971009e-19</v>
      </c>
      <c r="BJ190" s="9">
        <f>COUNTA(BK190,CF190,DA190,DV190,EQ190,FL190,GG190,HB190,HW190,IR190)</f>
        <v>6</v>
      </c>
      <c r="BK190" t="inlineStr">
        <is>
          <t xml:space="preserve">Direct commodity holding</t>
        </is>
      </c>
      <c r="BL190" t="inlineStr">
        <is>
          <t xml:space="preserve">direct</t>
        </is>
      </c>
      <c r="BM190" t="inlineStr">
        <is>
          <t xml:space="preserve">lease</t>
        </is>
      </c>
      <c r="BN190" t="inlineStr">
        <is>
          <t xml:space="preserve">long</t>
        </is>
      </c>
      <c r="BO190"/>
      <c r="BP190" s="4">
        <v>1.864</v>
      </c>
      <c r="BQ190" s="4">
        <v>1.823</v>
      </c>
      <c r="BR190" s="4">
        <v>0.2752538990248701</v>
      </c>
      <c r="BS190" s="6">
        <v>0.28234962166261424</v>
      </c>
      <c r="BT190" s="4">
        <v>0.5130732677823578</v>
      </c>
      <c r="BU190" s="4">
        <v>0.5130732677823578</v>
      </c>
      <c r="BV190" s="4">
        <v>0.5017878579223382</v>
      </c>
      <c r="BW190" s="4">
        <v>-0.01128892406048395</v>
      </c>
      <c r="BX190" s="4">
        <v>0.000003514200464259376</v>
      </c>
      <c r="BY190" s="4">
        <v>1.864</v>
      </c>
      <c r="BZ190" s="4">
        <v>1.823</v>
      </c>
      <c r="CA190" s="6"/>
      <c r="CB190" s="6"/>
      <c r="CC190" s="6"/>
      <c r="CD190" s="9"/>
      <c r="CE190" s="7">
        <f>IFERROR(BW190/F190,0)</f>
        <v>-0.0062124137771444165</v>
      </c>
      <c r="CF190" t="inlineStr">
        <is>
          <t xml:space="preserve">Treasury collateral</t>
        </is>
      </c>
      <c r="CG190" t="inlineStr">
        <is>
          <t xml:space="preserve">treasury</t>
        </is>
      </c>
      <c r="CH190" t="inlineStr">
        <is>
          <t xml:space="preserve">lease</t>
        </is>
      </c>
      <c r="CI190" t="inlineStr">
        <is>
          <t xml:space="preserve">long</t>
        </is>
      </c>
      <c r="CJ190"/>
      <c r="CK190" s="4">
        <v>105.0344049116773</v>
      </c>
      <c r="CL190" s="4">
        <v>105.05451971963163</v>
      </c>
      <c r="CM190" s="4">
        <v>0.012415765929004839</v>
      </c>
      <c r="CN190" s="6">
        <v>0.7176503783373858</v>
      </c>
      <c r="CO190" s="4">
        <v>1.3040825858757015</v>
      </c>
      <c r="CP190" s="4">
        <v>1.3040825858757015</v>
      </c>
      <c r="CQ190" s="4">
        <v>1.3043323266229694</v>
      </c>
      <c r="CR190" s="4">
        <v>0.0002497407472677028</v>
      </c>
      <c r="CS190" s="4">
        <v>2.0968470015869656e-16</v>
      </c>
      <c r="CT190" s="4">
        <v>1.864</v>
      </c>
      <c r="CU190" s="4">
        <v>1.823</v>
      </c>
      <c r="CV190" s="6"/>
      <c r="CW190" s="6"/>
      <c r="CX190" s="6"/>
      <c r="CY190" s="9">
        <v>83</v>
      </c>
      <c r="CZ190" s="7">
        <f>IFERROR(CR190/F190,0)</f>
        <v>0.00013743496286515965</v>
      </c>
      <c r="DA190" t="inlineStr">
        <is>
          <t xml:space="preserve">SI69Z</t>
        </is>
      </c>
      <c r="DB190" t="inlineStr">
        <is>
          <t xml:space="preserve">future</t>
        </is>
      </c>
      <c r="DC190" t="inlineStr">
        <is>
          <t xml:space="preserve">lease</t>
        </is>
      </c>
      <c r="DD190" t="inlineStr">
        <is>
          <t xml:space="preserve">long</t>
        </is>
      </c>
      <c r="DE190" t="inlineStr">
        <is>
          <t xml:space="preserve">regular</t>
        </is>
      </c>
      <c r="DF190" s="4">
        <v>1.848</v>
      </c>
      <c r="DG190" s="4">
        <v>1.86</v>
      </c>
      <c r="DH190" s="4">
        <v>0.7011836703347034</v>
      </c>
      <c r="DI190" s="6">
        <v>0.7130854627411419</v>
      </c>
      <c r="DJ190" s="4">
        <v>1.295787422778532</v>
      </c>
      <c r="DK190" s="4">
        <v>0</v>
      </c>
      <c r="DL190" s="4">
        <v>0</v>
      </c>
      <c r="DM190" s="4">
        <v>0.008414204044016516</v>
      </c>
      <c r="DN190" s="4">
        <v>-0.008414204044016516</v>
      </c>
      <c r="DO190" s="4">
        <v>1.864</v>
      </c>
      <c r="DP190" s="4">
        <v>1.823</v>
      </c>
      <c r="DQ190" s="6">
        <v>-0.008583690987124526</v>
      </c>
      <c r="DR190" s="6">
        <v>0.0699</v>
      </c>
      <c r="DS190" s="6">
        <v>0.10764755675060785</v>
      </c>
      <c r="DT190" s="9">
        <v>83</v>
      </c>
      <c r="DU190" s="7">
        <f>IFERROR(DM190/F190,0)</f>
        <v>0.004630425082734729</v>
      </c>
      <c r="DV190" t="inlineStr">
        <is>
          <t xml:space="preserve">SI70F</t>
        </is>
      </c>
      <c r="DW190" t="inlineStr">
        <is>
          <t xml:space="preserve">future</t>
        </is>
      </c>
      <c r="DX190" t="inlineStr">
        <is>
          <t xml:space="preserve">lease</t>
        </is>
      </c>
      <c r="DY190" t="inlineStr">
        <is>
          <t xml:space="preserve">long</t>
        </is>
      </c>
      <c r="DZ190" t="inlineStr">
        <is>
          <t xml:space="preserve">regular</t>
        </is>
      </c>
      <c r="EA190" s="4">
        <v>1.868</v>
      </c>
      <c r="EB190" s="4">
        <v>1.88</v>
      </c>
      <c r="EC190" s="4">
        <v>0.00444066546957692</v>
      </c>
      <c r="ED190" s="6">
        <v>0.004564915596243963</v>
      </c>
      <c r="EE190" s="4">
        <v>0.008295163097169687</v>
      </c>
      <c r="EF190" s="4">
        <v>0</v>
      </c>
      <c r="EG190" s="4">
        <v>0</v>
      </c>
      <c r="EH190" s="4">
        <v>0.00005328798563492161</v>
      </c>
      <c r="EI190" s="4">
        <v>-0.00005328798563492161</v>
      </c>
      <c r="EJ190" s="4">
        <v>1.864</v>
      </c>
      <c r="EK190" s="4">
        <v>1.823</v>
      </c>
      <c r="EL190" s="6">
        <v>0.0021459227467810482</v>
      </c>
      <c r="EM190" s="6">
        <v>0.07069780219780221</v>
      </c>
      <c r="EN190" s="6">
        <v>0.06376628182103156</v>
      </c>
      <c r="EO190" s="9">
        <v>113</v>
      </c>
      <c r="EP190" s="7">
        <f>IFERROR(EH190/F190,0)</f>
        <v>0.00002932493959043152</v>
      </c>
      <c r="EQ190" t="inlineStr">
        <is>
          <t xml:space="preserve">Lease cash / margin / financing</t>
        </is>
      </c>
      <c r="ER190" t="inlineStr">
        <is>
          <t xml:space="preserve">cash</t>
        </is>
      </c>
      <c r="ES190" t="inlineStr">
        <is>
          <t xml:space="preserve">lease</t>
        </is>
      </c>
      <c r="ET190" t="inlineStr">
        <is>
          <t xml:space="preserve">cash</t>
        </is>
      </c>
      <c r="EU190"/>
      <c r="EV190" s="4">
        <v>1</v>
      </c>
      <c r="EW190" s="4">
        <v>1</v>
      </c>
      <c r="EX190" s="4">
        <v>2.220446049250313e-16</v>
      </c>
      <c r="EY190" s="6"/>
      <c r="EZ190" s="4">
        <v>2.220446049250313e-16</v>
      </c>
      <c r="FA190" s="4">
        <v>2.220446049250313e-16</v>
      </c>
      <c r="FB190" s="4">
        <v>0.00846397782918719</v>
      </c>
      <c r="FC190" s="4">
        <v>0</v>
      </c>
      <c r="FD190" s="4">
        <v>0.008463977829186968</v>
      </c>
      <c r="FE190" s="4">
        <v>1.864</v>
      </c>
      <c r="FF190" s="4">
        <v>1.823</v>
      </c>
      <c r="FG190" s="6"/>
      <c r="FH190" s="6"/>
      <c r="FI190" s="6"/>
      <c r="FJ190" s="9"/>
      <c r="FK190" s="7">
        <f>IFERROR(FC190/F190,0)</f>
        <v>0</v>
      </c>
      <c r="FL190" t="inlineStr">
        <is>
          <t xml:space="preserve">Keep cash / margin / financing</t>
        </is>
      </c>
      <c r="FM190" t="inlineStr">
        <is>
          <t xml:space="preserve">cash</t>
        </is>
      </c>
      <c r="FN190" t="inlineStr">
        <is>
          <t xml:space="preserve">keep</t>
        </is>
      </c>
      <c r="FO190" t="inlineStr">
        <is>
          <t xml:space="preserve">cash</t>
        </is>
      </c>
      <c r="FP190"/>
      <c r="FQ190" s="4">
        <v>1</v>
      </c>
      <c r="FR190" s="4">
        <v>1</v>
      </c>
      <c r="FS190" s="4">
        <v>0</v>
      </c>
      <c r="FT190" s="6"/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1.864</v>
      </c>
      <c r="GA190" s="4">
        <v>1.823</v>
      </c>
      <c r="GB190" s="6"/>
      <c r="GC190" s="6"/>
      <c r="GD190" s="6"/>
      <c r="GE190" s="9"/>
      <c r="GF190" s="7">
        <f>IFERROR(FX190/F190,0)</f>
        <v>0</v>
      </c>
      <c r="GG190"/>
      <c r="GH190"/>
      <c r="GI190"/>
      <c r="GJ190"/>
      <c r="GK190"/>
      <c r="GL190" s="4"/>
      <c r="GM190" s="4"/>
      <c r="GN190" s="4"/>
      <c r="GO190" s="6"/>
      <c r="GP190" s="4"/>
      <c r="GQ190" s="4"/>
      <c r="GR190" s="4"/>
      <c r="GS190" s="4"/>
      <c r="GT190" s="4"/>
      <c r="GU190" s="4"/>
      <c r="GV190" s="4"/>
      <c r="GW190" s="6"/>
      <c r="GX190" s="6"/>
      <c r="GY190" s="6"/>
      <c r="GZ190" s="9"/>
      <c r="HA190"/>
      <c r="HB190"/>
      <c r="HC190"/>
      <c r="HD190"/>
      <c r="HE190"/>
      <c r="HF190"/>
      <c r="HG190" s="4"/>
      <c r="HH190" s="4"/>
      <c r="HI190" s="4"/>
      <c r="HJ190" s="6"/>
      <c r="HK190" s="4"/>
      <c r="HL190" s="4"/>
      <c r="HM190" s="4"/>
      <c r="HN190" s="4"/>
      <c r="HO190" s="4"/>
      <c r="HP190" s="4"/>
      <c r="HQ190" s="4"/>
      <c r="HR190" s="6"/>
      <c r="HS190" s="6"/>
      <c r="HT190" s="6"/>
      <c r="HU190" s="9"/>
      <c r="HV190"/>
      <c r="HW190"/>
      <c r="HX190"/>
      <c r="HY190"/>
      <c r="HZ190"/>
      <c r="IA190"/>
      <c r="IB190" s="4"/>
      <c r="IC190" s="4"/>
      <c r="ID190" s="4"/>
      <c r="IE190" s="6"/>
      <c r="IF190" s="4"/>
      <c r="IG190" s="4"/>
      <c r="IH190" s="4"/>
      <c r="II190" s="4"/>
      <c r="IJ190" s="4"/>
      <c r="IK190" s="4"/>
      <c r="IL190" s="4"/>
      <c r="IM190" s="6"/>
      <c r="IN190" s="6"/>
      <c r="IO190" s="6"/>
      <c r="IP190" s="9"/>
      <c r="IQ190"/>
      <c r="IR190"/>
      <c r="IS190"/>
      <c r="IT190"/>
      <c r="IU190"/>
      <c r="IV190"/>
      <c r="IW190" s="4"/>
      <c r="IX190" s="4"/>
      <c r="IY190" s="4"/>
      <c r="IZ190" s="6"/>
      <c r="JA190" s="4"/>
      <c r="JB190" s="4"/>
      <c r="JC190" s="4"/>
      <c r="JD190" s="4"/>
      <c r="JE190" s="4"/>
      <c r="JF190" s="4"/>
      <c r="JG190" s="4"/>
      <c r="JH190" s="6"/>
      <c r="JI190" s="6"/>
      <c r="JJ190" s="6"/>
      <c r="JK190" s="9"/>
      <c r="JL190"/>
    </row>
    <row r="191">
      <c r="A191" s="8">
        <v>25484</v>
      </c>
      <c r="B191" s="8">
        <v>25485</v>
      </c>
      <c r="C191" s="9">
        <f>B191-A191</f>
        <v>1</v>
      </c>
      <c r="D191" s="8">
        <v>25484</v>
      </c>
      <c r="E191" t="inlineStr">
        <is>
          <t xml:space="preserve">neutral</t>
        </is>
      </c>
      <c r="F191" s="4">
        <v>1.8145841623744945</v>
      </c>
      <c r="G191" s="6">
        <v>0.011512624080433473</v>
      </c>
      <c r="H191" s="7">
        <f>SUM(CE191,CZ191,DU191,EP191,FK191,GF191,HA191,HV191,IQ191,JL191)</f>
        <v>0.011512624080433473</v>
      </c>
      <c r="I191" s="7">
        <f>G191-H191</f>
        <v>0</v>
      </c>
      <c r="J191" s="5">
        <f>F191*(1+H191)</f>
        <v>1.8354747876982205</v>
      </c>
      <c r="K191" s="4">
        <v>1.8354747876982205</v>
      </c>
      <c r="L191" s="5">
        <f>K191-J191</f>
        <v>0</v>
      </c>
      <c r="M191" s="4">
        <v>1.823</v>
      </c>
      <c r="N191" s="4">
        <v>1.844</v>
      </c>
      <c r="O191" s="5">
        <f>M191/$M$3</f>
        <v>0.9310520939734422</v>
      </c>
      <c r="P191" s="5">
        <f>N191/$M$3</f>
        <v>0.9417773237997957</v>
      </c>
      <c r="Q191" s="7">
        <f>IFERROR(N191/M191-1,0)</f>
        <v>0.011519473395501967</v>
      </c>
      <c r="R191" s="5">
        <f>SUM(IF(BM191="lease",BU191,0),IF(CH191="lease",CP191,0),IF(DC191="lease",DK191,0),IF(DX191="lease",EF191,0),IF(ES191="lease",FA191,0),IF(FN191="lease",FV191,0),IF(GI191="lease",GQ191,0),IF(HD191="lease",HL191,0),IF(HY191="lease",IG191,0),IF(IT191="lease",JB191,0))</f>
        <v>1.814584162374495</v>
      </c>
      <c r="S191" s="5">
        <f>SUM(IF(BM191="lease",BV191,0),IF(CH191="lease",CQ191,0),IF(DC191="lease",DL191,0),IF(DX191="lease",EG191,0),IF(ES191="lease",FB191,0),IF(FN191="lease",FW191,0),IF(GI191="lease",GR191,0),IF(HD191="lease",HM191,0),IF(HY191="lease",IH191,0),IF(IT191="lease",JC191,0))</f>
        <v>1.8354747876982207</v>
      </c>
      <c r="T191" s="5">
        <f>SUM(IF(BM191="keep",BU191,0),IF(CH191="keep",CP191,0),IF(DC191="keep",DK191,0),IF(DX191="keep",EF191,0),IF(ES191="keep",FA191,0),IF(FN191="keep",FV191,0),IF(GI191="keep",GQ191,0),IF(HD191="keep",HL191,0),IF(HY191="keep",IG191,0),IF(IT191="keep",JB191,0))</f>
        <v>0</v>
      </c>
      <c r="U191" s="5">
        <f>SUM(IF(BM191="keep",BV191,0),IF(CH191="keep",CQ191,0),IF(DC191="keep",DL191,0),IF(DX191="keep",EG191,0),IF(ES191="keep",FB191,0),IF(FN191="keep",FW191,0),IF(GI191="keep",GR191,0),IF(HD191="keep",HM191,0),IF(HY191="keep",IH191,0),IF(IT191="keep",JC191,0))</f>
        <v>0</v>
      </c>
      <c r="V191" s="5">
        <f>R191/O191</f>
        <v>1.9489609379754587</v>
      </c>
      <c r="W191" s="5">
        <f>S191/P191</f>
        <v>1.9489477409507137</v>
      </c>
      <c r="X191" s="5">
        <f>T191/O191</f>
        <v>0</v>
      </c>
      <c r="Y191" s="5">
        <f>U191/P191</f>
        <v>0</v>
      </c>
      <c r="Z191" s="5">
        <f>V191+X191</f>
        <v>1.9489609379754587</v>
      </c>
      <c r="AA191" s="7">
        <f>IFERROR(W191/V191-1,0)</f>
        <v>-0.000006771313107334365</v>
      </c>
      <c r="AB191" s="7">
        <f>IFERROR((W191-V191)/Z191,0)</f>
        <v>-0.000006771313107338608</v>
      </c>
      <c r="AC191" s="7">
        <f>IFERROR(Y191/X191-1,0)</f>
        <v>0</v>
      </c>
      <c r="AD191" s="7">
        <f>IFERROR((Y191-X191)/Z191,0)</f>
        <v>0</v>
      </c>
      <c r="AE191" s="7">
        <f>AB191+AD191</f>
        <v>-0.000006771313107338608</v>
      </c>
      <c r="AF191" s="7">
        <f>(1+Q191)*(1+AE191)-1</f>
        <v>0.01151262408043352</v>
      </c>
      <c r="AG191" s="7">
        <f>G191-AF191</f>
        <v>-4.683753385137379e-17</v>
      </c>
      <c r="AH191" s="5">
        <f>SUM(IF(BM191="lease",BW191,0),IF(CH191="lease",CR191,0),IF(DC191="lease",DM191,0),IF(DX191="lease",EH191,0),IF(ES191="lease",FC191,0),IF(FN191="lease",FX191,0),IF(GI191="lease",GS191,0),IF(HD191="lease",HN191,0),IF(HY191="lease",II191,0),IF(IT191="lease",JD191,0))</f>
        <v>0.02089062532372581</v>
      </c>
      <c r="AI191" s="5">
        <f>SUM(IF(BM191="keep",BW191,0),IF(CH191="keep",CR191,0),IF(DC191="keep",DM191,0),IF(DX191="keep",EH191,0),IF(ES191="keep",FC191,0),IF(FN191="keep",FX191,0),IF(GI191="keep",GS191,0),IF(HD191="keep",HN191,0),IF(HY191="keep",II191,0),IF(IT191="keep",JD191,0))</f>
        <v>0</v>
      </c>
      <c r="AJ191" s="5">
        <f>SUM(IF(BM191="lease",BX191,0),IF(CH191="lease",CS191,0),IF(DC191="lease",DN191,0),IF(DX191="lease",EI191,0),IF(ES191="lease",FD191,0),IF(FN191="lease",FY191,0),IF(GI191="lease",GT191,0),IF(HD191="lease",HO191,0),IF(HY191="lease",IJ191,0),IF(IT191="lease",JE191,0))</f>
        <v>0</v>
      </c>
      <c r="AK191" s="5">
        <f>SUM(IF(BM191="keep",BX191,0),IF(CH191="keep",CS191,0),IF(DC191="keep",DN191,0),IF(DX191="keep",EI191,0),IF(ES191="keep",FD191,0),IF(FN191="keep",FY191,0),IF(GI191="keep",GT191,0),IF(HD191="keep",HO191,0),IF(HY191="keep",IJ191,0),IF(IT191="keep",JE191,0))</f>
        <v>0</v>
      </c>
      <c r="AL191" s="5">
        <f>R191-S190</f>
        <v>2.220446049250313e-16</v>
      </c>
      <c r="AM191" s="5">
        <f>T191-U190</f>
        <v>0</v>
      </c>
      <c r="AN191" s="5">
        <f>AN190</f>
        <v>1</v>
      </c>
      <c r="AO191" s="5">
        <f>AO190+AH191</f>
        <v>0.835474787698221</v>
      </c>
      <c r="AP191" s="5">
        <f>AP190+AL191</f>
        <v>0</v>
      </c>
      <c r="AQ191" s="5">
        <f>AN191+AO191+AP191</f>
        <v>1.835474787698221</v>
      </c>
      <c r="AR191" s="5">
        <f>S191-AQ191</f>
        <v>-2.220446049250313e-16</v>
      </c>
      <c r="AS191" s="5">
        <f>AS190</f>
        <v>0</v>
      </c>
      <c r="AT191" s="5">
        <f>AT190+AI191</f>
        <v>0</v>
      </c>
      <c r="AU191" s="5">
        <f>AU190+AM191</f>
        <v>0</v>
      </c>
      <c r="AV191" s="5">
        <f>AS191+AT191+AU191</f>
        <v>0</v>
      </c>
      <c r="AW191" s="5">
        <f>U191-AV191</f>
        <v>0</v>
      </c>
      <c r="AX191" s="4">
        <v>1.814584162374495</v>
      </c>
      <c r="AY191" s="4">
        <v>1.8354747876982207</v>
      </c>
      <c r="AZ191" s="5">
        <f>S191-AY191</f>
        <v>0</v>
      </c>
      <c r="BA191" s="4">
        <v>0</v>
      </c>
      <c r="BB191" s="4">
        <v>0</v>
      </c>
      <c r="BC191" s="5">
        <f>U191-BB191</f>
        <v>0</v>
      </c>
      <c r="BD191" s="7">
        <f>SUM(IF(BL191="direct",CE191,0),IF(CG191="direct",CZ191,0),IF(DB191="direct",DU191,0),IF(DW191="direct",EP191,0),IF(ER191="direct",FK191,0),IF(FM191="direct",GF191,0),IF(GH191="direct",HA191,0),IF(HC191="direct",HV191,0),IF(HX191="direct",IQ191,0),IF(IS191="direct",JL191,0))</f>
        <v>0.011512624080433473</v>
      </c>
      <c r="BE191" s="7">
        <f>SUM(IF(BL191="treasury",CE191,0),IF(CG191="treasury",CZ191,0),IF(DB191="treasury",DU191,0),IF(DW191="treasury",EP191,0),IF(ER191="treasury",FK191,0),IF(FM191="treasury",GF191,0),IF(GH191="treasury",HA191,0),IF(HC191="treasury",HV191,0),IF(HX191="treasury",IQ191,0),IF(IS191="treasury",JL191,0))</f>
        <v>0</v>
      </c>
      <c r="BF191" s="7">
        <f>SUM(IF(BL191="future",CE191,0),IF(CG191="future",CZ191,0),IF(DB191="future",DU191,0),IF(DW191="future",EP191,0),IF(ER191="future",FK191,0),IF(FM191="future",GF191,0),IF(GH191="future",HA191,0),IF(HC191="future",HV191,0),IF(HX191="future",IQ191,0),IF(IS191="future",JL191,0))</f>
        <v>0</v>
      </c>
      <c r="BG191" s="7">
        <f>SUM(IF(BL191="cash",CE191,0),IF(CG191="cash",CZ191,0),IF(DB191="cash",DU191,0),IF(DW191="cash",EP191,0),IF(ER191="cash",FK191,0),IF(FM191="cash",GF191,0),IF(GH191="cash",HA191,0),IF(HC191="cash",HV191,0),IF(HX191="cash",IQ191,0),IF(IS191="cash",JL191,0))</f>
        <v>0</v>
      </c>
      <c r="BH191" s="7">
        <f>SUM(BD191:BG191)</f>
        <v>0.011512624080433473</v>
      </c>
      <c r="BI191" s="7">
        <f>G191-BH191</f>
        <v>0</v>
      </c>
      <c r="BJ191" s="9">
        <f>COUNTA(BK191,CF191,DA191,DV191,EQ191,FL191,GG191,HB191,HW191,IR191)</f>
        <v>3</v>
      </c>
      <c r="BK191" t="inlineStr">
        <is>
          <t xml:space="preserve">Direct commodity holding</t>
        </is>
      </c>
      <c r="BL191" t="inlineStr">
        <is>
          <t xml:space="preserve">direct</t>
        </is>
      </c>
      <c r="BM191" t="inlineStr">
        <is>
          <t xml:space="preserve">lease</t>
        </is>
      </c>
      <c r="BN191" t="inlineStr">
        <is>
          <t xml:space="preserve">long</t>
        </is>
      </c>
      <c r="BO191"/>
      <c r="BP191" s="4">
        <v>1.823</v>
      </c>
      <c r="BQ191" s="4">
        <v>1.844</v>
      </c>
      <c r="BR191" s="4">
        <v>0.9953835229701012</v>
      </c>
      <c r="BS191" s="6">
        <v>1</v>
      </c>
      <c r="BT191" s="4">
        <v>1.8145841623744945</v>
      </c>
      <c r="BU191" s="4">
        <v>1.8145841623744945</v>
      </c>
      <c r="BV191" s="4">
        <v>1.8354872163568667</v>
      </c>
      <c r="BW191" s="4">
        <v>0.02089062532372581</v>
      </c>
      <c r="BX191" s="4">
        <v>0.00001242865864643436</v>
      </c>
      <c r="BY191" s="4">
        <v>1.823</v>
      </c>
      <c r="BZ191" s="4">
        <v>1.844</v>
      </c>
      <c r="CA191" s="6"/>
      <c r="CB191" s="6"/>
      <c r="CC191" s="6"/>
      <c r="CD191" s="9"/>
      <c r="CE191" s="7">
        <f>IFERROR(BW191/F191,0)</f>
        <v>0.011512624080433473</v>
      </c>
      <c r="CF191" t="inlineStr">
        <is>
          <t xml:space="preserve">Lease cash / margin / financing</t>
        </is>
      </c>
      <c r="CG191" t="inlineStr">
        <is>
          <t xml:space="preserve">cash</t>
        </is>
      </c>
      <c r="CH191" t="inlineStr">
        <is>
          <t xml:space="preserve">lease</t>
        </is>
      </c>
      <c r="CI191" t="inlineStr">
        <is>
          <t xml:space="preserve">cash</t>
        </is>
      </c>
      <c r="CJ191"/>
      <c r="CK191" s="4">
        <v>1</v>
      </c>
      <c r="CL191" s="4">
        <v>1</v>
      </c>
      <c r="CM191" s="4">
        <v>4.440892098500626e-16</v>
      </c>
      <c r="CN191" s="6"/>
      <c r="CO191" s="4">
        <v>4.440892098500626e-16</v>
      </c>
      <c r="CP191" s="4">
        <v>4.440892098500626e-16</v>
      </c>
      <c r="CQ191" s="4">
        <v>-0.00001242865864599027</v>
      </c>
      <c r="CR191" s="4">
        <v>0</v>
      </c>
      <c r="CS191" s="4">
        <v>-0.00001242865864643436</v>
      </c>
      <c r="CT191" s="4">
        <v>1.823</v>
      </c>
      <c r="CU191" s="4">
        <v>1.844</v>
      </c>
      <c r="CV191" s="6"/>
      <c r="CW191" s="6"/>
      <c r="CX191" s="6"/>
      <c r="CY191" s="9"/>
      <c r="CZ191" s="7">
        <f>IFERROR(CR191/F191,0)</f>
        <v>0</v>
      </c>
      <c r="DA191" t="inlineStr">
        <is>
          <t xml:space="preserve">Keep cash / margin / financing</t>
        </is>
      </c>
      <c r="DB191" t="inlineStr">
        <is>
          <t xml:space="preserve">cash</t>
        </is>
      </c>
      <c r="DC191" t="inlineStr">
        <is>
          <t xml:space="preserve">keep</t>
        </is>
      </c>
      <c r="DD191" t="inlineStr">
        <is>
          <t xml:space="preserve">cash</t>
        </is>
      </c>
      <c r="DE191"/>
      <c r="DF191" s="4">
        <v>1</v>
      </c>
      <c r="DG191" s="4">
        <v>1</v>
      </c>
      <c r="DH191" s="4">
        <v>0</v>
      </c>
      <c r="DI191" s="6"/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1.823</v>
      </c>
      <c r="DP191" s="4">
        <v>1.844</v>
      </c>
      <c r="DQ191" s="6"/>
      <c r="DR191" s="6"/>
      <c r="DS191" s="6"/>
      <c r="DT191" s="9"/>
      <c r="DU191" s="7">
        <f>IFERROR(DM191/F191,0)</f>
        <v>0</v>
      </c>
      <c r="DV191"/>
      <c r="DW191"/>
      <c r="DX191"/>
      <c r="DY191"/>
      <c r="DZ191"/>
      <c r="EA191" s="4"/>
      <c r="EB191" s="4"/>
      <c r="EC191" s="4"/>
      <c r="ED191" s="6"/>
      <c r="EE191" s="4"/>
      <c r="EF191" s="4"/>
      <c r="EG191" s="4"/>
      <c r="EH191" s="4"/>
      <c r="EI191" s="4"/>
      <c r="EJ191" s="4"/>
      <c r="EK191" s="4"/>
      <c r="EL191" s="6"/>
      <c r="EM191" s="6"/>
      <c r="EN191" s="6"/>
      <c r="EO191" s="9"/>
      <c r="EP191"/>
      <c r="EQ191"/>
      <c r="ER191"/>
      <c r="ES191"/>
      <c r="ET191"/>
      <c r="EU191"/>
      <c r="EV191" s="4"/>
      <c r="EW191" s="4"/>
      <c r="EX191" s="4"/>
      <c r="EY191" s="6"/>
      <c r="EZ191" s="4"/>
      <c r="FA191" s="4"/>
      <c r="FB191" s="4"/>
      <c r="FC191" s="4"/>
      <c r="FD191" s="4"/>
      <c r="FE191" s="4"/>
      <c r="FF191" s="4"/>
      <c r="FG191" s="6"/>
      <c r="FH191" s="6"/>
      <c r="FI191" s="6"/>
      <c r="FJ191" s="9"/>
      <c r="FK191"/>
      <c r="FL191"/>
      <c r="FM191"/>
      <c r="FN191"/>
      <c r="FO191"/>
      <c r="FP191"/>
      <c r="FQ191" s="4"/>
      <c r="FR191" s="4"/>
      <c r="FS191" s="4"/>
      <c r="FT191" s="6"/>
      <c r="FU191" s="4"/>
      <c r="FV191" s="4"/>
      <c r="FW191" s="4"/>
      <c r="FX191" s="4"/>
      <c r="FY191" s="4"/>
      <c r="FZ191" s="4"/>
      <c r="GA191" s="4"/>
      <c r="GB191" s="6"/>
      <c r="GC191" s="6"/>
      <c r="GD191" s="6"/>
      <c r="GE191" s="9"/>
      <c r="GF191"/>
      <c r="GG191"/>
      <c r="GH191"/>
      <c r="GI191"/>
      <c r="GJ191"/>
      <c r="GK191"/>
      <c r="GL191" s="4"/>
      <c r="GM191" s="4"/>
      <c r="GN191" s="4"/>
      <c r="GO191" s="6"/>
      <c r="GP191" s="4"/>
      <c r="GQ191" s="4"/>
      <c r="GR191" s="4"/>
      <c r="GS191" s="4"/>
      <c r="GT191" s="4"/>
      <c r="GU191" s="4"/>
      <c r="GV191" s="4"/>
      <c r="GW191" s="6"/>
      <c r="GX191" s="6"/>
      <c r="GY191" s="6"/>
      <c r="GZ191" s="9"/>
      <c r="HA191"/>
      <c r="HB191"/>
      <c r="HC191"/>
      <c r="HD191"/>
      <c r="HE191"/>
      <c r="HF191"/>
      <c r="HG191" s="4"/>
      <c r="HH191" s="4"/>
      <c r="HI191" s="4"/>
      <c r="HJ191" s="6"/>
      <c r="HK191" s="4"/>
      <c r="HL191" s="4"/>
      <c r="HM191" s="4"/>
      <c r="HN191" s="4"/>
      <c r="HO191" s="4"/>
      <c r="HP191" s="4"/>
      <c r="HQ191" s="4"/>
      <c r="HR191" s="6"/>
      <c r="HS191" s="6"/>
      <c r="HT191" s="6"/>
      <c r="HU191" s="9"/>
      <c r="HV191"/>
      <c r="HW191"/>
      <c r="HX191"/>
      <c r="HY191"/>
      <c r="HZ191"/>
      <c r="IA191"/>
      <c r="IB191" s="4"/>
      <c r="IC191" s="4"/>
      <c r="ID191" s="4"/>
      <c r="IE191" s="6"/>
      <c r="IF191" s="4"/>
      <c r="IG191" s="4"/>
      <c r="IH191" s="4"/>
      <c r="II191" s="4"/>
      <c r="IJ191" s="4"/>
      <c r="IK191" s="4"/>
      <c r="IL191" s="4"/>
      <c r="IM191" s="6"/>
      <c r="IN191" s="6"/>
      <c r="IO191" s="6"/>
      <c r="IP191" s="9"/>
      <c r="IQ191"/>
      <c r="IR191"/>
      <c r="IS191"/>
      <c r="IT191"/>
      <c r="IU191"/>
      <c r="IV191"/>
      <c r="IW191" s="4"/>
      <c r="IX191" s="4"/>
      <c r="IY191" s="4"/>
      <c r="IZ191" s="6"/>
      <c r="JA191" s="4"/>
      <c r="JB191" s="4"/>
      <c r="JC191" s="4"/>
      <c r="JD191" s="4"/>
      <c r="JE191" s="4"/>
      <c r="JF191" s="4"/>
      <c r="JG191" s="4"/>
      <c r="JH191" s="6"/>
      <c r="JI191" s="6"/>
      <c r="JJ191" s="6"/>
      <c r="JK191" s="9"/>
      <c r="JL191"/>
    </row>
    <row r="192">
      <c r="A192" s="8">
        <v>25485</v>
      </c>
      <c r="B192" s="8">
        <v>25486</v>
      </c>
      <c r="C192" s="9">
        <f>B192-A192</f>
        <v>1</v>
      </c>
      <c r="D192" s="8">
        <v>25485</v>
      </c>
      <c r="E192" t="inlineStr">
        <is>
          <t xml:space="preserve">positive</t>
        </is>
      </c>
      <c r="F192" s="4">
        <v>1.8354747876982205</v>
      </c>
      <c r="G192" s="6">
        <v>-0.001992060608308249</v>
      </c>
      <c r="H192" s="7">
        <f>SUM(CE192,CZ192,DU192,EP192,FK192,GF192,HA192,HV192,IQ192,JL192)</f>
        <v>-0.001992060608308249</v>
      </c>
      <c r="I192" s="7">
        <f>G192-H192</f>
        <v>0</v>
      </c>
      <c r="J192" s="5">
        <f>F192*(1+H192)</f>
        <v>1.831818410676104</v>
      </c>
      <c r="K192" s="4">
        <v>1.831818410676104</v>
      </c>
      <c r="L192" s="5">
        <f>K192-J192</f>
        <v>0</v>
      </c>
      <c r="M192" s="4">
        <v>1.844</v>
      </c>
      <c r="N192" s="4">
        <v>1.84</v>
      </c>
      <c r="O192" s="5">
        <f>M192/$M$3</f>
        <v>0.9417773237997957</v>
      </c>
      <c r="P192" s="5">
        <f>N192/$M$3</f>
        <v>0.9397344228804904</v>
      </c>
      <c r="Q192" s="7">
        <f>IFERROR(N192/M192-1,0)</f>
        <v>-0.002169197396963085</v>
      </c>
      <c r="R192" s="5">
        <f>SUM(IF(BM192="lease",BU192,0),IF(CH192="lease",CP192,0),IF(DC192="lease",DK192,0),IF(DX192="lease",EF192,0),IF(ES192="lease",FA192,0),IF(FN192="lease",FV192,0),IF(GI192="lease",GQ192,0),IF(HD192="lease",HL192,0),IF(HY192="lease",IG192,0),IF(IT192="lease",JB192,0))</f>
        <v>1.8354747876982207</v>
      </c>
      <c r="S192" s="5">
        <f>SUM(IF(BM192="lease",BV192,0),IF(CH192="lease",CQ192,0),IF(DC192="lease",DL192,0),IF(DX192="lease",EG192,0),IF(ES192="lease",FB192,0),IF(FN192="lease",FW192,0),IF(GI192="lease",GR192,0),IF(HD192="lease",HM192,0),IF(HY192="lease",IH192,0),IF(IT192="lease",JC192,0))</f>
        <v>1.831818410676104</v>
      </c>
      <c r="T192" s="5">
        <f>SUM(IF(BM192="keep",BU192,0),IF(CH192="keep",CP192,0),IF(DC192="keep",DK192,0),IF(DX192="keep",EF192,0),IF(ES192="keep",FA192,0),IF(FN192="keep",FV192,0),IF(GI192="keep",GQ192,0),IF(HD192="keep",HL192,0),IF(HY192="keep",IG192,0),IF(IT192="keep",JB192,0))</f>
        <v>0</v>
      </c>
      <c r="U192" s="5">
        <f>SUM(IF(BM192="keep",BV192,0),IF(CH192="keep",CQ192,0),IF(DC192="keep",DL192,0),IF(DX192="keep",EG192,0),IF(ES192="keep",FB192,0),IF(FN192="keep",FW192,0),IF(GI192="keep",GR192,0),IF(HD192="keep",HM192,0),IF(HY192="keep",IH192,0),IF(IT192="keep",JC192,0))</f>
        <v>0</v>
      </c>
      <c r="V192" s="5">
        <f>R192/O192</f>
        <v>1.9489477409507137</v>
      </c>
      <c r="W192" s="5">
        <f>S192/P192</f>
        <v>1.9492937217955497</v>
      </c>
      <c r="X192" s="5">
        <f>T192/O192</f>
        <v>0</v>
      </c>
      <c r="Y192" s="5">
        <f>U192/P192</f>
        <v>0</v>
      </c>
      <c r="Z192" s="5">
        <f>V192+X192</f>
        <v>1.9489477409507137</v>
      </c>
      <c r="AA192" s="7">
        <f>IFERROR(W192/V192-1,0)</f>
        <v>0.0001775218686301816</v>
      </c>
      <c r="AB192" s="7">
        <f>IFERROR((W192-V192)/Z192,0)</f>
        <v>0.00017752186863013858</v>
      </c>
      <c r="AC192" s="7">
        <f>IFERROR(Y192/X192-1,0)</f>
        <v>0</v>
      </c>
      <c r="AD192" s="7">
        <f>IFERROR((Y192-X192)/Z192,0)</f>
        <v>0</v>
      </c>
      <c r="AE192" s="7">
        <f>AB192+AD192</f>
        <v>0.00017752186863013858</v>
      </c>
      <c r="AF192" s="7">
        <f>(1+Q192)*(1+AE192)-1</f>
        <v>-0.001992060608308255</v>
      </c>
      <c r="AG192" s="7">
        <f>G192-AF192</f>
        <v>5.637851296924623e-18</v>
      </c>
      <c r="AH192" s="5">
        <f>SUM(IF(BM192="lease",BW192,0),IF(CH192="lease",CR192,0),IF(DC192="lease",DM192,0),IF(DX192="lease",EH192,0),IF(ES192="lease",FC192,0),IF(FN192="lease",FX192,0),IF(GI192="lease",GS192,0),IF(HD192="lease",HN192,0),IF(HY192="lease",II192,0),IF(IT192="lease",JD192,0))</f>
        <v>-0.0036563770221165717</v>
      </c>
      <c r="AI192" s="5">
        <f>SUM(IF(BM192="keep",BW192,0),IF(CH192="keep",CR192,0),IF(DC192="keep",DM192,0),IF(DX192="keep",EH192,0),IF(ES192="keep",FC192,0),IF(FN192="keep",FX192,0),IF(GI192="keep",GS192,0),IF(HD192="keep",HN192,0),IF(HY192="keep",II192,0),IF(IT192="keep",JD192,0))</f>
        <v>0</v>
      </c>
      <c r="AJ192" s="5">
        <f>SUM(IF(BM192="lease",BX192,0),IF(CH192="lease",CS192,0),IF(DC192="lease",DN192,0),IF(DX192="lease",EI192,0),IF(ES192="lease",FD192,0),IF(FN192="lease",FY192,0),IF(GI192="lease",GT192,0),IF(HD192="lease",HO192,0),IF(HY192="lease",IJ192,0),IF(IT192="lease",JE192,0))</f>
        <v>0</v>
      </c>
      <c r="AK192" s="5">
        <f>SUM(IF(BM192="keep",BX192,0),IF(CH192="keep",CS192,0),IF(DC192="keep",DN192,0),IF(DX192="keep",EI192,0),IF(ES192="keep",FD192,0),IF(FN192="keep",FY192,0),IF(GI192="keep",GT192,0),IF(HD192="keep",HO192,0),IF(HY192="keep",IJ192,0),IF(IT192="keep",JE192,0))</f>
        <v>0</v>
      </c>
      <c r="AL192" s="5">
        <f>R192-S191</f>
        <v>0</v>
      </c>
      <c r="AM192" s="5">
        <f>T192-U191</f>
        <v>0</v>
      </c>
      <c r="AN192" s="5">
        <f>AN191</f>
        <v>1</v>
      </c>
      <c r="AO192" s="5">
        <f>AO191+AH192</f>
        <v>0.8318184106761045</v>
      </c>
      <c r="AP192" s="5">
        <f>AP191+AL192</f>
        <v>0</v>
      </c>
      <c r="AQ192" s="5">
        <f>AN192+AO192+AP192</f>
        <v>1.8318184106761044</v>
      </c>
      <c r="AR192" s="5">
        <f>S192-AQ192</f>
        <v>-4.440892098500626e-16</v>
      </c>
      <c r="AS192" s="5">
        <f>AS191</f>
        <v>0</v>
      </c>
      <c r="AT192" s="5">
        <f>AT191+AI192</f>
        <v>0</v>
      </c>
      <c r="AU192" s="5">
        <f>AU191+AM192</f>
        <v>0</v>
      </c>
      <c r="AV192" s="5">
        <f>AS192+AT192+AU192</f>
        <v>0</v>
      </c>
      <c r="AW192" s="5">
        <f>U192-AV192</f>
        <v>0</v>
      </c>
      <c r="AX192" s="4">
        <v>1.8354747876982207</v>
      </c>
      <c r="AY192" s="4">
        <v>1.8318184106761042</v>
      </c>
      <c r="AZ192" s="5">
        <f>S192-AY192</f>
        <v>-2.220446049250313e-16</v>
      </c>
      <c r="BA192" s="4">
        <v>0</v>
      </c>
      <c r="BB192" s="4">
        <v>0</v>
      </c>
      <c r="BC192" s="5">
        <f>U192-BB192</f>
        <v>0</v>
      </c>
      <c r="BD192" s="7">
        <f>SUM(IF(BL192="direct",CE192,0),IF(CG192="direct",CZ192,0),IF(DB192="direct",DU192,0),IF(DW192="direct",EP192,0),IF(ER192="direct",FK192,0),IF(FM192="direct",GF192,0),IF(GH192="direct",HA192,0),IF(HC192="direct",HV192,0),IF(HX192="direct",IQ192,0),IF(IS192="direct",JL192,0))</f>
        <v>-0.002007021128372683</v>
      </c>
      <c r="BE192" s="7">
        <f>SUM(IF(BL192="treasury",CE192,0),IF(CG192="treasury",CZ192,0),IF(DB192="treasury",DU192,0),IF(DW192="treasury",EP192,0),IF(ER192="treasury",FK192,0),IF(FM192="treasury",GF192,0),IF(GH192="treasury",HA192,0),IF(HC192="treasury",HV192,0),IF(HX192="treasury",IQ192,0),IF(IS192="treasury",JL192,0))</f>
        <v>0.000014960520064433986</v>
      </c>
      <c r="BF192" s="7">
        <f>SUM(IF(BL192="future",CE192,0),IF(CG192="future",CZ192,0),IF(DB192="future",DU192,0),IF(DW192="future",EP192,0),IF(ER192="future",FK192,0),IF(FM192="future",GF192,0),IF(GH192="future",HA192,0),IF(HC192="future",HV192,0),IF(HX192="future",IQ192,0),IF(IS192="future",JL192,0))</f>
        <v>0</v>
      </c>
      <c r="BG192" s="7">
        <f>SUM(IF(BL192="cash",CE192,0),IF(CG192="cash",CZ192,0),IF(DB192="cash",DU192,0),IF(DW192="cash",EP192,0),IF(ER192="cash",FK192,0),IF(FM192="cash",GF192,0),IF(GH192="cash",HA192,0),IF(HC192="cash",HV192,0),IF(HX192="cash",IQ192,0),IF(IS192="cash",JL192,0))</f>
        <v>0</v>
      </c>
      <c r="BH192" s="7">
        <f>SUM(BD192:BG192)</f>
        <v>-0.001992060608308249</v>
      </c>
      <c r="BI192" s="7">
        <f>G192-BH192</f>
        <v>0</v>
      </c>
      <c r="BJ192" s="9">
        <f>COUNTA(BK192,CF192,DA192,DV192,EQ192,FL192,GG192,HB192,HW192,IR192)</f>
        <v>5</v>
      </c>
      <c r="BK192" t="inlineStr">
        <is>
          <t xml:space="preserve">Direct commodity holding</t>
        </is>
      </c>
      <c r="BL192" t="inlineStr">
        <is>
          <t xml:space="preserve">direct</t>
        </is>
      </c>
      <c r="BM192" t="inlineStr">
        <is>
          <t xml:space="preserve">lease</t>
        </is>
      </c>
      <c r="BN192" t="inlineStr">
        <is>
          <t xml:space="preserve">long</t>
        </is>
      </c>
      <c r="BO192"/>
      <c r="BP192" s="4">
        <v>1.844</v>
      </c>
      <c r="BQ192" s="4">
        <v>1.84</v>
      </c>
      <c r="BR192" s="4">
        <v>0.9180603628403479</v>
      </c>
      <c r="BS192" s="6">
        <v>0.9223244690822417</v>
      </c>
      <c r="BT192" s="4">
        <v>1.6929033090776016</v>
      </c>
      <c r="BU192" s="4">
        <v>1.6929033090776016</v>
      </c>
      <c r="BV192" s="4">
        <v>1.68923106762624</v>
      </c>
      <c r="BW192" s="4">
        <v>-0.0036838366795056937</v>
      </c>
      <c r="BX192" s="4">
        <v>0.000011595228144224961</v>
      </c>
      <c r="BY192" s="4">
        <v>1.844</v>
      </c>
      <c r="BZ192" s="4">
        <v>1.84</v>
      </c>
      <c r="CA192" s="6"/>
      <c r="CB192" s="6"/>
      <c r="CC192" s="6"/>
      <c r="CD192" s="9"/>
      <c r="CE192" s="7">
        <f>IFERROR(BW192/F192,0)</f>
        <v>-0.002007021128372683</v>
      </c>
      <c r="CF192" t="inlineStr">
        <is>
          <t xml:space="preserve">Treasury collateral</t>
        </is>
      </c>
      <c r="CG192" t="inlineStr">
        <is>
          <t xml:space="preserve">treasury</t>
        </is>
      </c>
      <c r="CH192" t="inlineStr">
        <is>
          <t xml:space="preserve">lease</t>
        </is>
      </c>
      <c r="CI192" t="inlineStr">
        <is>
          <t xml:space="preserve">long</t>
        </is>
      </c>
      <c r="CJ192"/>
      <c r="CK192" s="4">
        <v>105.07466716176963</v>
      </c>
      <c r="CL192" s="4">
        <v>105.0949048305408</v>
      </c>
      <c r="CM192" s="4">
        <v>0.0013568587221991421</v>
      </c>
      <c r="CN192" s="6">
        <v>0.07767553091775825</v>
      </c>
      <c r="CO192" s="4">
        <v>0.1425714786206189</v>
      </c>
      <c r="CP192" s="4">
        <v>0.1425714786206189</v>
      </c>
      <c r="CQ192" s="4">
        <v>0.14259893827800804</v>
      </c>
      <c r="CR192" s="4">
        <v>0.000027459657389121938</v>
      </c>
      <c r="CS192" s="4">
        <v>2.863310174898437e-17</v>
      </c>
      <c r="CT192" s="4">
        <v>1.844</v>
      </c>
      <c r="CU192" s="4">
        <v>1.84</v>
      </c>
      <c r="CV192" s="6"/>
      <c r="CW192" s="6"/>
      <c r="CX192" s="6"/>
      <c r="CY192" s="9">
        <v>81</v>
      </c>
      <c r="CZ192" s="7">
        <f>IFERROR(CR192/F192,0)</f>
        <v>0.000014960520064433986</v>
      </c>
      <c r="DA192" t="inlineStr">
        <is>
          <t xml:space="preserve">SI69Z</t>
        </is>
      </c>
      <c r="DB192" t="inlineStr">
        <is>
          <t xml:space="preserve">future</t>
        </is>
      </c>
      <c r="DC192" t="inlineStr">
        <is>
          <t xml:space="preserve">lease</t>
        </is>
      </c>
      <c r="DD192" t="inlineStr">
        <is>
          <t xml:space="preserve">long</t>
        </is>
      </c>
      <c r="DE192" t="inlineStr">
        <is>
          <t xml:space="preserve">regular</t>
        </is>
      </c>
      <c r="DF192" s="4">
        <v>1.868</v>
      </c>
      <c r="DG192" s="4">
        <v>1.868</v>
      </c>
      <c r="DH192" s="4">
        <v>0.07632306136007434</v>
      </c>
      <c r="DI192" s="6">
        <v>0.07767553091775825</v>
      </c>
      <c r="DJ192" s="4">
        <v>0.1425714786206189</v>
      </c>
      <c r="DK192" s="4">
        <v>0</v>
      </c>
      <c r="DL192" s="4">
        <v>0</v>
      </c>
      <c r="DM192" s="4">
        <v>0</v>
      </c>
      <c r="DN192" s="4">
        <v>0</v>
      </c>
      <c r="DO192" s="4">
        <v>1.844</v>
      </c>
      <c r="DP192" s="4">
        <v>1.84</v>
      </c>
      <c r="DQ192" s="6">
        <v>0.013015184381778733</v>
      </c>
      <c r="DR192" s="6">
        <v>0.0703</v>
      </c>
      <c r="DS192" s="6">
        <v>0.011651329637663736</v>
      </c>
      <c r="DT192" s="9">
        <v>81</v>
      </c>
      <c r="DU192" s="7">
        <f>IFERROR(DM192/F192,0)</f>
        <v>0</v>
      </c>
      <c r="DV192" t="inlineStr">
        <is>
          <t xml:space="preserve">Lease cash / margin / financing</t>
        </is>
      </c>
      <c r="DW192" t="inlineStr">
        <is>
          <t xml:space="preserve">cash</t>
        </is>
      </c>
      <c r="DX192" t="inlineStr">
        <is>
          <t xml:space="preserve">lease</t>
        </is>
      </c>
      <c r="DY192" t="inlineStr">
        <is>
          <t xml:space="preserve">cash</t>
        </is>
      </c>
      <c r="DZ192"/>
      <c r="EA192" s="4">
        <v>1</v>
      </c>
      <c r="EB192" s="4">
        <v>1</v>
      </c>
      <c r="EC192" s="4">
        <v>2.220446049250313e-16</v>
      </c>
      <c r="ED192" s="6"/>
      <c r="EE192" s="4">
        <v>2.220446049250313e-16</v>
      </c>
      <c r="EF192" s="4">
        <v>2.220446049250313e-16</v>
      </c>
      <c r="EG192" s="4">
        <v>-0.00001159522814403155</v>
      </c>
      <c r="EH192" s="4">
        <v>0</v>
      </c>
      <c r="EI192" s="4">
        <v>-0.000011595228144253594</v>
      </c>
      <c r="EJ192" s="4">
        <v>1.844</v>
      </c>
      <c r="EK192" s="4">
        <v>1.84</v>
      </c>
      <c r="EL192" s="6"/>
      <c r="EM192" s="6"/>
      <c r="EN192" s="6"/>
      <c r="EO192" s="9"/>
      <c r="EP192" s="7">
        <f>IFERROR(EH192/F192,0)</f>
        <v>0</v>
      </c>
      <c r="EQ192" t="inlineStr">
        <is>
          <t xml:space="preserve">Keep cash / margin / financing</t>
        </is>
      </c>
      <c r="ER192" t="inlineStr">
        <is>
          <t xml:space="preserve">cash</t>
        </is>
      </c>
      <c r="ES192" t="inlineStr">
        <is>
          <t xml:space="preserve">keep</t>
        </is>
      </c>
      <c r="ET192" t="inlineStr">
        <is>
          <t xml:space="preserve">cash</t>
        </is>
      </c>
      <c r="EU192"/>
      <c r="EV192" s="4">
        <v>1</v>
      </c>
      <c r="EW192" s="4">
        <v>1</v>
      </c>
      <c r="EX192" s="4">
        <v>0</v>
      </c>
      <c r="EY192" s="6"/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1.844</v>
      </c>
      <c r="FF192" s="4">
        <v>1.84</v>
      </c>
      <c r="FG192" s="6"/>
      <c r="FH192" s="6"/>
      <c r="FI192" s="6"/>
      <c r="FJ192" s="9"/>
      <c r="FK192" s="7">
        <f>IFERROR(FC192/F192,0)</f>
        <v>0</v>
      </c>
      <c r="FL192"/>
      <c r="FM192"/>
      <c r="FN192"/>
      <c r="FO192"/>
      <c r="FP192"/>
      <c r="FQ192" s="4"/>
      <c r="FR192" s="4"/>
      <c r="FS192" s="4"/>
      <c r="FT192" s="6"/>
      <c r="FU192" s="4"/>
      <c r="FV192" s="4"/>
      <c r="FW192" s="4"/>
      <c r="FX192" s="4"/>
      <c r="FY192" s="4"/>
      <c r="FZ192" s="4"/>
      <c r="GA192" s="4"/>
      <c r="GB192" s="6"/>
      <c r="GC192" s="6"/>
      <c r="GD192" s="6"/>
      <c r="GE192" s="9"/>
      <c r="GF192"/>
      <c r="GG192"/>
      <c r="GH192"/>
      <c r="GI192"/>
      <c r="GJ192"/>
      <c r="GK192"/>
      <c r="GL192" s="4"/>
      <c r="GM192" s="4"/>
      <c r="GN192" s="4"/>
      <c r="GO192" s="6"/>
      <c r="GP192" s="4"/>
      <c r="GQ192" s="4"/>
      <c r="GR192" s="4"/>
      <c r="GS192" s="4"/>
      <c r="GT192" s="4"/>
      <c r="GU192" s="4"/>
      <c r="GV192" s="4"/>
      <c r="GW192" s="6"/>
      <c r="GX192" s="6"/>
      <c r="GY192" s="6"/>
      <c r="GZ192" s="9"/>
      <c r="HA192"/>
      <c r="HB192"/>
      <c r="HC192"/>
      <c r="HD192"/>
      <c r="HE192"/>
      <c r="HF192"/>
      <c r="HG192" s="4"/>
      <c r="HH192" s="4"/>
      <c r="HI192" s="4"/>
      <c r="HJ192" s="6"/>
      <c r="HK192" s="4"/>
      <c r="HL192" s="4"/>
      <c r="HM192" s="4"/>
      <c r="HN192" s="4"/>
      <c r="HO192" s="4"/>
      <c r="HP192" s="4"/>
      <c r="HQ192" s="4"/>
      <c r="HR192" s="6"/>
      <c r="HS192" s="6"/>
      <c r="HT192" s="6"/>
      <c r="HU192" s="9"/>
      <c r="HV192"/>
      <c r="HW192"/>
      <c r="HX192"/>
      <c r="HY192"/>
      <c r="HZ192"/>
      <c r="IA192"/>
      <c r="IB192" s="4"/>
      <c r="IC192" s="4"/>
      <c r="ID192" s="4"/>
      <c r="IE192" s="6"/>
      <c r="IF192" s="4"/>
      <c r="IG192" s="4"/>
      <c r="IH192" s="4"/>
      <c r="II192" s="4"/>
      <c r="IJ192" s="4"/>
      <c r="IK192" s="4"/>
      <c r="IL192" s="4"/>
      <c r="IM192" s="6"/>
      <c r="IN192" s="6"/>
      <c r="IO192" s="6"/>
      <c r="IP192" s="9"/>
      <c r="IQ192"/>
      <c r="IR192"/>
      <c r="IS192"/>
      <c r="IT192"/>
      <c r="IU192"/>
      <c r="IV192"/>
      <c r="IW192" s="4"/>
      <c r="IX192" s="4"/>
      <c r="IY192" s="4"/>
      <c r="IZ192" s="6"/>
      <c r="JA192" s="4"/>
      <c r="JB192" s="4"/>
      <c r="JC192" s="4"/>
      <c r="JD192" s="4"/>
      <c r="JE192" s="4"/>
      <c r="JF192" s="4"/>
      <c r="JG192" s="4"/>
      <c r="JH192" s="6"/>
      <c r="JI192" s="6"/>
      <c r="JJ192" s="6"/>
      <c r="JK192" s="9"/>
      <c r="JL192"/>
    </row>
    <row r="193">
      <c r="A193" s="8">
        <v>25486</v>
      </c>
      <c r="B193" s="8">
        <v>25490</v>
      </c>
      <c r="C193" s="9">
        <f>B193-A193</f>
        <v>4</v>
      </c>
      <c r="D193" s="8">
        <v>25486</v>
      </c>
      <c r="E193" t="inlineStr">
        <is>
          <t xml:space="preserve">positive</t>
        </is>
      </c>
      <c r="F193" s="4">
        <v>1.831818410676104</v>
      </c>
      <c r="G193" s="6">
        <v>-0.008214350132162016</v>
      </c>
      <c r="H193" s="7">
        <f>SUM(CE193,CZ193,DU193,EP193,FK193,GF193,HA193,HV193,IQ193,JL193)</f>
        <v>-0.008214350132162014</v>
      </c>
      <c r="I193" s="7">
        <f>G193-H193</f>
        <v>-1.734723475976807e-18</v>
      </c>
      <c r="J193" s="5">
        <f>F193*(1+H193)</f>
        <v>1.81677121287227</v>
      </c>
      <c r="K193" s="4">
        <v>1.81677121287227</v>
      </c>
      <c r="L193" s="5">
        <f>K193-J193</f>
        <v>0</v>
      </c>
      <c r="M193" s="4">
        <v>1.84</v>
      </c>
      <c r="N193" s="4">
        <v>1.825</v>
      </c>
      <c r="O193" s="5">
        <f>M193/$M$3</f>
        <v>0.9397344228804904</v>
      </c>
      <c r="P193" s="5">
        <f>N193/$M$3</f>
        <v>0.932073544433095</v>
      </c>
      <c r="Q193" s="7">
        <f>IFERROR(N193/M193-1,0)</f>
        <v>-0.00815217391304357</v>
      </c>
      <c r="R193" s="5">
        <f>SUM(IF(BM193="lease",BU193,0),IF(CH193="lease",CP193,0),IF(DC193="lease",DK193,0),IF(DX193="lease",EF193,0),IF(ES193="lease",FA193,0),IF(FN193="lease",FV193,0),IF(GI193="lease",GQ193,0),IF(HD193="lease",HL193,0),IF(HY193="lease",IG193,0),IF(IT193="lease",JB193,0))</f>
        <v>1.8318184106761042</v>
      </c>
      <c r="S193" s="5">
        <f>SUM(IF(BM193="lease",BV193,0),IF(CH193="lease",CQ193,0),IF(DC193="lease",DL193,0),IF(DX193="lease",EG193,0),IF(ES193="lease",FB193,0),IF(FN193="lease",FW193,0),IF(GI193="lease",GR193,0),IF(HD193="lease",HM193,0),IF(HY193="lease",IH193,0),IF(IT193="lease",JC193,0))</f>
        <v>1.8167712128722702</v>
      </c>
      <c r="T193" s="5">
        <f>SUM(IF(BM193="keep",BU193,0),IF(CH193="keep",CP193,0),IF(DC193="keep",DK193,0),IF(DX193="keep",EF193,0),IF(ES193="keep",FA193,0),IF(FN193="keep",FV193,0),IF(GI193="keep",GQ193,0),IF(HD193="keep",HL193,0),IF(HY193="keep",IG193,0),IF(IT193="keep",JB193,0))</f>
        <v>0</v>
      </c>
      <c r="U193" s="5">
        <f>SUM(IF(BM193="keep",BV193,0),IF(CH193="keep",CQ193,0),IF(DC193="keep",DL193,0),IF(DX193="keep",EG193,0),IF(ES193="keep",FB193,0),IF(FN193="keep",FW193,0),IF(GI193="keep",GR193,0),IF(HD193="keep",HM193,0),IF(HY193="keep",IH193,0),IF(IT193="keep",JC193,0))</f>
        <v>0</v>
      </c>
      <c r="V193" s="5">
        <f>R193/O193</f>
        <v>1.94929372179555</v>
      </c>
      <c r="W193" s="5">
        <f>S193/P193</f>
        <v>1.949171525919948</v>
      </c>
      <c r="X193" s="5">
        <f>T193/O193</f>
        <v>0</v>
      </c>
      <c r="Y193" s="5">
        <f>U193/P193</f>
        <v>0</v>
      </c>
      <c r="Z193" s="5">
        <f>V193+X193</f>
        <v>1.94929372179555</v>
      </c>
      <c r="AA193" s="7">
        <f>IFERROR(W193/V193-1,0)</f>
        <v>-0.00006268725653579832</v>
      </c>
      <c r="AB193" s="7">
        <f>IFERROR((W193-V193)/Z193,0)</f>
        <v>-0.00006268725653584818</v>
      </c>
      <c r="AC193" s="7">
        <f>IFERROR(Y193/X193-1,0)</f>
        <v>0</v>
      </c>
      <c r="AD193" s="7">
        <f>IFERROR((Y193-X193)/Z193,0)</f>
        <v>0</v>
      </c>
      <c r="AE193" s="7">
        <f>AB193+AD193</f>
        <v>-0.00006268725653584818</v>
      </c>
      <c r="AF193" s="7">
        <f>(1+Q193)*(1+AE193)-1</f>
        <v>-0.008214350132161985</v>
      </c>
      <c r="AG193" s="7">
        <f>G193-AF193</f>
        <v>-3.122502256758253e-17</v>
      </c>
      <c r="AH193" s="5">
        <f>SUM(IF(BM193="lease",BW193,0),IF(CH193="lease",CR193,0),IF(DC193="lease",DM193,0),IF(DX193="lease",EH193,0),IF(ES193="lease",FC193,0),IF(FN193="lease",FX193,0),IF(GI193="lease",GS193,0),IF(HD193="lease",HN193,0),IF(HY193="lease",II193,0),IF(IT193="lease",JD193,0))</f>
        <v>-0.015047197803834067</v>
      </c>
      <c r="AI193" s="5">
        <f>SUM(IF(BM193="keep",BW193,0),IF(CH193="keep",CR193,0),IF(DC193="keep",DM193,0),IF(DX193="keep",EH193,0),IF(ES193="keep",FC193,0),IF(FN193="keep",FX193,0),IF(GI193="keep",GS193,0),IF(HD193="keep",HN193,0),IF(HY193="keep",II193,0),IF(IT193="keep",JD193,0))</f>
        <v>0</v>
      </c>
      <c r="AJ193" s="5">
        <f>SUM(IF(BM193="lease",BX193,0),IF(CH193="lease",CS193,0),IF(DC193="lease",DN193,0),IF(DX193="lease",EI193,0),IF(ES193="lease",FD193,0),IF(FN193="lease",FY193,0),IF(GI193="lease",GT193,0),IF(HD193="lease",HO193,0),IF(HY193="lease",IJ193,0),IF(IT193="lease",JE193,0))</f>
        <v>0</v>
      </c>
      <c r="AK193" s="5">
        <f>SUM(IF(BM193="keep",BX193,0),IF(CH193="keep",CS193,0),IF(DC193="keep",DN193,0),IF(DX193="keep",EI193,0),IF(ES193="keep",FD193,0),IF(FN193="keep",FY193,0),IF(GI193="keep",GT193,0),IF(HD193="keep",HO193,0),IF(HY193="keep",IJ193,0),IF(IT193="keep",JE193,0))</f>
        <v>0</v>
      </c>
      <c r="AL193" s="5">
        <f>R193-S192</f>
        <v>2.220446049250313e-16</v>
      </c>
      <c r="AM193" s="5">
        <f>T193-U192</f>
        <v>0</v>
      </c>
      <c r="AN193" s="5">
        <f>AN192</f>
        <v>1</v>
      </c>
      <c r="AO193" s="5">
        <f>AO192+AH193</f>
        <v>0.8167712128722704</v>
      </c>
      <c r="AP193" s="5">
        <f>AP192+AL193</f>
        <v>2.220446049250313e-16</v>
      </c>
      <c r="AQ193" s="5">
        <f>AN193+AO193+AP193</f>
        <v>1.8167712128722706</v>
      </c>
      <c r="AR193" s="5">
        <f>S193-AQ193</f>
        <v>-4.440892098500626e-16</v>
      </c>
      <c r="AS193" s="5">
        <f>AS192</f>
        <v>0</v>
      </c>
      <c r="AT193" s="5">
        <f>AT192+AI193</f>
        <v>0</v>
      </c>
      <c r="AU193" s="5">
        <f>AU192+AM193</f>
        <v>0</v>
      </c>
      <c r="AV193" s="5">
        <f>AS193+AT193+AU193</f>
        <v>0</v>
      </c>
      <c r="AW193" s="5">
        <f>U193-AV193</f>
        <v>0</v>
      </c>
      <c r="AX193" s="4">
        <v>1.8318184106761042</v>
      </c>
      <c r="AY193" s="4">
        <v>1.8167712128722702</v>
      </c>
      <c r="AZ193" s="5">
        <f>S193-AY193</f>
        <v>0</v>
      </c>
      <c r="BA193" s="4">
        <v>0</v>
      </c>
      <c r="BB193" s="4">
        <v>0</v>
      </c>
      <c r="BC193" s="5">
        <f>U193-BB193</f>
        <v>0</v>
      </c>
      <c r="BD193" s="7">
        <f>SUM(IF(BL193="direct",CE193,0),IF(CG193="direct",CZ193,0),IF(DB193="direct",DU193,0),IF(DW193="direct",EP193,0),IF(ER193="direct",FK193,0),IF(FM193="direct",GF193,0),IF(GH193="direct",HA193,0),IF(HC193="direct",HV193,0),IF(HX193="direct",IQ193,0),IF(IS193="direct",JL193,0))</f>
        <v>-0.008159359334403772</v>
      </c>
      <c r="BE193" s="7">
        <f>SUM(IF(BL193="treasury",CE193,0),IF(CG193="treasury",CZ193,0),IF(DB193="treasury",DU193,0),IF(DW193="treasury",EP193,0),IF(ER193="treasury",FK193,0),IF(FM193="treasury",GF193,0),IF(GH193="treasury",HA193,0),IF(HC193="treasury",HV193,0),IF(HX193="treasury",IQ193,0),IF(IS193="treasury",JL193,0))</f>
        <v>0.0000018901568393879908</v>
      </c>
      <c r="BF193" s="7">
        <f>SUM(IF(BL193="future",CE193,0),IF(CG193="future",CZ193,0),IF(DB193="future",DU193,0),IF(DW193="future",EP193,0),IF(ER193="future",FK193,0),IF(FM193="future",GF193,0),IF(GH193="future",HA193,0),IF(HC193="future",HV193,0),IF(HX193="future",IQ193,0),IF(IS193="future",JL193,0))</f>
        <v>-0.000056880954597631727</v>
      </c>
      <c r="BG193" s="7">
        <f>SUM(IF(BL193="cash",CE193,0),IF(CG193="cash",CZ193,0),IF(DB193="cash",DU193,0),IF(DW193="cash",EP193,0),IF(ER193="cash",FK193,0),IF(FM193="cash",GF193,0),IF(GH193="cash",HA193,0),IF(HC193="cash",HV193,0),IF(HX193="cash",IQ193,0),IF(IS193="cash",JL193,0))</f>
        <v>0</v>
      </c>
      <c r="BH193" s="7">
        <f>SUM(BD193:BG193)</f>
        <v>-0.008214350132162016</v>
      </c>
      <c r="BI193" s="7">
        <f>G193-BH193</f>
        <v>0</v>
      </c>
      <c r="BJ193" s="9">
        <f>COUNTA(BK193,CF193,DA193,DV193,EQ193,FL193,GG193,HB193,HW193,IR193)</f>
        <v>5</v>
      </c>
      <c r="BK193" t="inlineStr">
        <is>
          <t xml:space="preserve">Direct commodity holding</t>
        </is>
      </c>
      <c r="BL193" t="inlineStr">
        <is>
          <t xml:space="preserve">direct</t>
        </is>
      </c>
      <c r="BM193" t="inlineStr">
        <is>
          <t xml:space="preserve">lease</t>
        </is>
      </c>
      <c r="BN193" t="inlineStr">
        <is>
          <t xml:space="preserve">long</t>
        </is>
      </c>
      <c r="BO193"/>
      <c r="BP193" s="4">
        <v>1.84</v>
      </c>
      <c r="BQ193" s="4">
        <v>1.825</v>
      </c>
      <c r="BR193" s="4">
        <v>0.9930934569756694</v>
      </c>
      <c r="BS193" s="6">
        <v>0.9975289855072471</v>
      </c>
      <c r="BT193" s="4">
        <v>1.8272919608352318</v>
      </c>
      <c r="BU193" s="4">
        <v>1.8272919608352318</v>
      </c>
      <c r="BV193" s="4">
        <v>1.8123955589805967</v>
      </c>
      <c r="BW193" s="4">
        <v>-0.01494646464808275</v>
      </c>
      <c r="BX193" s="4">
        <v>0.00005006279344760625</v>
      </c>
      <c r="BY193" s="4">
        <v>1.84</v>
      </c>
      <c r="BZ193" s="4">
        <v>1.825</v>
      </c>
      <c r="CA193" s="6"/>
      <c r="CB193" s="6"/>
      <c r="CC193" s="6"/>
      <c r="CD193" s="9"/>
      <c r="CE193" s="7">
        <f>IFERROR(BW193/F193,0)</f>
        <v>-0.008159359334403772</v>
      </c>
      <c r="CF193" t="inlineStr">
        <is>
          <t xml:space="preserve">Treasury collateral</t>
        </is>
      </c>
      <c r="CG193" t="inlineStr">
        <is>
          <t xml:space="preserve">treasury</t>
        </is>
      </c>
      <c r="CH193" t="inlineStr">
        <is>
          <t xml:space="preserve">lease</t>
        </is>
      </c>
      <c r="CI193" t="inlineStr">
        <is>
          <t xml:space="preserve">long</t>
        </is>
      </c>
      <c r="CJ193"/>
      <c r="CK193" s="4">
        <v>105.0949048305408</v>
      </c>
      <c r="CL193" s="4">
        <v>105.17529523445504</v>
      </c>
      <c r="CM193" s="4">
        <v>0.00004307011694021618</v>
      </c>
      <c r="CN193" s="6">
        <v>0.002471014492752925</v>
      </c>
      <c r="CO193" s="4">
        <v>0.0045264498408722825</v>
      </c>
      <c r="CP193" s="4">
        <v>0.0045264498408722825</v>
      </c>
      <c r="CQ193" s="4">
        <v>0.004529912264969739</v>
      </c>
      <c r="CR193" s="4">
        <v>0.0000034624240974562773</v>
      </c>
      <c r="CS193" s="4">
        <v>6.111342714439777e-19</v>
      </c>
      <c r="CT193" s="4">
        <v>1.84</v>
      </c>
      <c r="CU193" s="4">
        <v>1.825</v>
      </c>
      <c r="CV193" s="6"/>
      <c r="CW193" s="6"/>
      <c r="CX193" s="6"/>
      <c r="CY193" s="9">
        <v>80</v>
      </c>
      <c r="CZ193" s="7">
        <f>IFERROR(CR193/F193,0)</f>
        <v>0.0000018901568393879908</v>
      </c>
      <c r="DA193" t="inlineStr">
        <is>
          <t xml:space="preserve">SI69Z</t>
        </is>
      </c>
      <c r="DB193" t="inlineStr">
        <is>
          <t xml:space="preserve">future</t>
        </is>
      </c>
      <c r="DC193" t="inlineStr">
        <is>
          <t xml:space="preserve">lease</t>
        </is>
      </c>
      <c r="DD193" t="inlineStr">
        <is>
          <t xml:space="preserve">long</t>
        </is>
      </c>
      <c r="DE193" t="inlineStr">
        <is>
          <t xml:space="preserve">regular</t>
        </is>
      </c>
      <c r="DF193" s="4">
        <v>1.868</v>
      </c>
      <c r="DG193" s="4">
        <v>1.825</v>
      </c>
      <c r="DH193" s="4">
        <v>0.0024231530197389092</v>
      </c>
      <c r="DI193" s="6">
        <v>0.002471014492752925</v>
      </c>
      <c r="DJ193" s="4">
        <v>0.0045264498408722825</v>
      </c>
      <c r="DK193" s="4">
        <v>0</v>
      </c>
      <c r="DL193" s="4">
        <v>0</v>
      </c>
      <c r="DM193" s="4">
        <v>-0.00010419557984877338</v>
      </c>
      <c r="DN193" s="4">
        <v>0.00010419557984877338</v>
      </c>
      <c r="DO193" s="4">
        <v>1.84</v>
      </c>
      <c r="DP193" s="4">
        <v>1.825</v>
      </c>
      <c r="DQ193" s="6">
        <v>0.01521739130434785</v>
      </c>
      <c r="DR193" s="6">
        <v>0.0698</v>
      </c>
      <c r="DS193" s="6">
        <v>0.0003706521739129387</v>
      </c>
      <c r="DT193" s="9">
        <v>80</v>
      </c>
      <c r="DU193" s="7">
        <f>IFERROR(DM193/F193,0)</f>
        <v>-0.000056880954597631727</v>
      </c>
      <c r="DV193" t="inlineStr">
        <is>
          <t xml:space="preserve">Lease cash / margin / financing</t>
        </is>
      </c>
      <c r="DW193" t="inlineStr">
        <is>
          <t xml:space="preserve">cash</t>
        </is>
      </c>
      <c r="DX193" t="inlineStr">
        <is>
          <t xml:space="preserve">lease</t>
        </is>
      </c>
      <c r="DY193" t="inlineStr">
        <is>
          <t xml:space="preserve">cash</t>
        </is>
      </c>
      <c r="DZ193"/>
      <c r="EA193" s="4">
        <v>1</v>
      </c>
      <c r="EB193" s="4">
        <v>1</v>
      </c>
      <c r="EC193" s="4">
        <v>0</v>
      </c>
      <c r="ED193" s="6"/>
      <c r="EE193" s="4">
        <v>0</v>
      </c>
      <c r="EF193" s="4">
        <v>0</v>
      </c>
      <c r="EG193" s="4">
        <v>-0.00015425837329638024</v>
      </c>
      <c r="EH193" s="4">
        <v>0</v>
      </c>
      <c r="EI193" s="4">
        <v>-0.00015425837329638024</v>
      </c>
      <c r="EJ193" s="4">
        <v>1.84</v>
      </c>
      <c r="EK193" s="4">
        <v>1.825</v>
      </c>
      <c r="EL193" s="6"/>
      <c r="EM193" s="6"/>
      <c r="EN193" s="6"/>
      <c r="EO193" s="9"/>
      <c r="EP193" s="7">
        <f>IFERROR(EH193/F193,0)</f>
        <v>0</v>
      </c>
      <c r="EQ193" t="inlineStr">
        <is>
          <t xml:space="preserve">Keep cash / margin / financing</t>
        </is>
      </c>
      <c r="ER193" t="inlineStr">
        <is>
          <t xml:space="preserve">cash</t>
        </is>
      </c>
      <c r="ES193" t="inlineStr">
        <is>
          <t xml:space="preserve">keep</t>
        </is>
      </c>
      <c r="ET193" t="inlineStr">
        <is>
          <t xml:space="preserve">cash</t>
        </is>
      </c>
      <c r="EU193"/>
      <c r="EV193" s="4">
        <v>1</v>
      </c>
      <c r="EW193" s="4">
        <v>1</v>
      </c>
      <c r="EX193" s="4">
        <v>0</v>
      </c>
      <c r="EY193" s="6"/>
      <c r="EZ193" s="4">
        <v>0</v>
      </c>
      <c r="FA193" s="4">
        <v>0</v>
      </c>
      <c r="FB193" s="4">
        <v>0</v>
      </c>
      <c r="FC193" s="4">
        <v>0</v>
      </c>
      <c r="FD193" s="4">
        <v>0</v>
      </c>
      <c r="FE193" s="4">
        <v>1.84</v>
      </c>
      <c r="FF193" s="4">
        <v>1.825</v>
      </c>
      <c r="FG193" s="6"/>
      <c r="FH193" s="6"/>
      <c r="FI193" s="6"/>
      <c r="FJ193" s="9"/>
      <c r="FK193" s="7">
        <f>IFERROR(FC193/F193,0)</f>
        <v>0</v>
      </c>
      <c r="FL193"/>
      <c r="FM193"/>
      <c r="FN193"/>
      <c r="FO193"/>
      <c r="FP193"/>
      <c r="FQ193" s="4"/>
      <c r="FR193" s="4"/>
      <c r="FS193" s="4"/>
      <c r="FT193" s="6"/>
      <c r="FU193" s="4"/>
      <c r="FV193" s="4"/>
      <c r="FW193" s="4"/>
      <c r="FX193" s="4"/>
      <c r="FY193" s="4"/>
      <c r="FZ193" s="4"/>
      <c r="GA193" s="4"/>
      <c r="GB193" s="6"/>
      <c r="GC193" s="6"/>
      <c r="GD193" s="6"/>
      <c r="GE193" s="9"/>
      <c r="GF193"/>
      <c r="GG193"/>
      <c r="GH193"/>
      <c r="GI193"/>
      <c r="GJ193"/>
      <c r="GK193"/>
      <c r="GL193" s="4"/>
      <c r="GM193" s="4"/>
      <c r="GN193" s="4"/>
      <c r="GO193" s="6"/>
      <c r="GP193" s="4"/>
      <c r="GQ193" s="4"/>
      <c r="GR193" s="4"/>
      <c r="GS193" s="4"/>
      <c r="GT193" s="4"/>
      <c r="GU193" s="4"/>
      <c r="GV193" s="4"/>
      <c r="GW193" s="6"/>
      <c r="GX193" s="6"/>
      <c r="GY193" s="6"/>
      <c r="GZ193" s="9"/>
      <c r="HA193"/>
      <c r="HB193"/>
      <c r="HC193"/>
      <c r="HD193"/>
      <c r="HE193"/>
      <c r="HF193"/>
      <c r="HG193" s="4"/>
      <c r="HH193" s="4"/>
      <c r="HI193" s="4"/>
      <c r="HJ193" s="6"/>
      <c r="HK193" s="4"/>
      <c r="HL193" s="4"/>
      <c r="HM193" s="4"/>
      <c r="HN193" s="4"/>
      <c r="HO193" s="4"/>
      <c r="HP193" s="4"/>
      <c r="HQ193" s="4"/>
      <c r="HR193" s="6"/>
      <c r="HS193" s="6"/>
      <c r="HT193" s="6"/>
      <c r="HU193" s="9"/>
      <c r="HV193"/>
      <c r="HW193"/>
      <c r="HX193"/>
      <c r="HY193"/>
      <c r="HZ193"/>
      <c r="IA193"/>
      <c r="IB193" s="4"/>
      <c r="IC193" s="4"/>
      <c r="ID193" s="4"/>
      <c r="IE193" s="6"/>
      <c r="IF193" s="4"/>
      <c r="IG193" s="4"/>
      <c r="IH193" s="4"/>
      <c r="II193" s="4"/>
      <c r="IJ193" s="4"/>
      <c r="IK193" s="4"/>
      <c r="IL193" s="4"/>
      <c r="IM193" s="6"/>
      <c r="IN193" s="6"/>
      <c r="IO193" s="6"/>
      <c r="IP193" s="9"/>
      <c r="IQ193"/>
      <c r="IR193"/>
      <c r="IS193"/>
      <c r="IT193"/>
      <c r="IU193"/>
      <c r="IV193"/>
      <c r="IW193" s="4"/>
      <c r="IX193" s="4"/>
      <c r="IY193" s="4"/>
      <c r="IZ193" s="6"/>
      <c r="JA193" s="4"/>
      <c r="JB193" s="4"/>
      <c r="JC193" s="4"/>
      <c r="JD193" s="4"/>
      <c r="JE193" s="4"/>
      <c r="JF193" s="4"/>
      <c r="JG193" s="4"/>
      <c r="JH193" s="6"/>
      <c r="JI193" s="6"/>
      <c r="JJ193" s="6"/>
      <c r="JK193" s="9"/>
      <c r="JL193"/>
    </row>
    <row r="194">
      <c r="A194" s="8">
        <v>25490</v>
      </c>
      <c r="B194" s="8">
        <v>25491</v>
      </c>
      <c r="C194" s="9">
        <f>B194-A194</f>
        <v>1</v>
      </c>
      <c r="D194" s="8">
        <v>25490</v>
      </c>
      <c r="E194" t="inlineStr">
        <is>
          <t xml:space="preserve">positive</t>
        </is>
      </c>
      <c r="F194" s="4">
        <v>1.81677121287227</v>
      </c>
      <c r="G194" s="6">
        <v>0.0031159298630137073</v>
      </c>
      <c r="H194" s="7">
        <f>SUM(CE194,CZ194,DU194,EP194,FK194,GF194,HA194,HV194,IQ194,JL194)</f>
        <v>0.003115929863013707</v>
      </c>
      <c r="I194" s="7">
        <f>G194-H194</f>
        <v>4.336808689942018e-19</v>
      </c>
      <c r="J194" s="5">
        <f>F194*(1+H194)</f>
        <v>1.8224321445487222</v>
      </c>
      <c r="K194" s="4">
        <v>1.8224321445487222</v>
      </c>
      <c r="L194" s="5">
        <f>K194-J194</f>
        <v>0</v>
      </c>
      <c r="M194" s="4">
        <v>1.825</v>
      </c>
      <c r="N194" s="4">
        <v>1.808</v>
      </c>
      <c r="O194" s="5">
        <f>M194/$M$3</f>
        <v>0.932073544433095</v>
      </c>
      <c r="P194" s="5">
        <f>N194/$M$3</f>
        <v>0.9233912155260471</v>
      </c>
      <c r="Q194" s="7">
        <f>IFERROR(N194/M194-1,0)</f>
        <v>-0.009315068493150669</v>
      </c>
      <c r="R194" s="5">
        <f>SUM(IF(BM194="lease",BU194,0),IF(CH194="lease",CP194,0),IF(DC194="lease",DK194,0),IF(DX194="lease",EF194,0),IF(ES194="lease",FA194,0),IF(FN194="lease",FV194,0),IF(GI194="lease",GQ194,0),IF(HD194="lease",HL194,0),IF(HY194="lease",IG194,0),IF(IT194="lease",JB194,0))</f>
        <v>1.8167712128722702</v>
      </c>
      <c r="S194" s="5">
        <f>SUM(IF(BM194="lease",BV194,0),IF(CH194="lease",CQ194,0),IF(DC194="lease",DL194,0),IF(DX194="lease",EG194,0),IF(ES194="lease",FB194,0),IF(FN194="lease",FW194,0),IF(GI194="lease",GR194,0),IF(HD194="lease",HM194,0),IF(HY194="lease",IH194,0),IF(IT194="lease",JC194,0))</f>
        <v>1.8224321445487226</v>
      </c>
      <c r="T194" s="5">
        <f>SUM(IF(BM194="keep",BU194,0),IF(CH194="keep",CP194,0),IF(DC194="keep",DK194,0),IF(DX194="keep",EF194,0),IF(ES194="keep",FA194,0),IF(FN194="keep",FV194,0),IF(GI194="keep",GQ194,0),IF(HD194="keep",HL194,0),IF(HY194="keep",IG194,0),IF(IT194="keep",JB194,0))</f>
        <v>0</v>
      </c>
      <c r="U194" s="5">
        <f>SUM(IF(BM194="keep",BV194,0),IF(CH194="keep",CQ194,0),IF(DC194="keep",DL194,0),IF(DX194="keep",EG194,0),IF(ES194="keep",FB194,0),IF(FN194="keep",FW194,0),IF(GI194="keep",GR194,0),IF(HD194="keep",HM194,0),IF(HY194="keep",IH194,0),IF(IT194="keep",JC194,0))</f>
        <v>0</v>
      </c>
      <c r="V194" s="5">
        <f>R194/O194</f>
        <v>1.949171525919948</v>
      </c>
      <c r="W194" s="5">
        <f>S194/P194</f>
        <v>1.973629501673893</v>
      </c>
      <c r="X194" s="5">
        <f>T194/O194</f>
        <v>0</v>
      </c>
      <c r="Y194" s="5">
        <f>U194/P194</f>
        <v>0</v>
      </c>
      <c r="Z194" s="5">
        <f>V194+X194</f>
        <v>1.949171525919948</v>
      </c>
      <c r="AA194" s="7">
        <f>IFERROR(W194/V194-1,0)</f>
        <v>0.012547882743362715</v>
      </c>
      <c r="AB194" s="7">
        <f>IFERROR((W194-V194)/Z194,0)</f>
        <v>0.012547882743362736</v>
      </c>
      <c r="AC194" s="7">
        <f>IFERROR(Y194/X194-1,0)</f>
        <v>0</v>
      </c>
      <c r="AD194" s="7">
        <f>IFERROR((Y194-X194)/Z194,0)</f>
        <v>0</v>
      </c>
      <c r="AE194" s="7">
        <f>AB194+AD194</f>
        <v>0.012547882743362736</v>
      </c>
      <c r="AF194" s="7">
        <f>(1+Q194)*(1+AE194)-1</f>
        <v>0.003115929863013678</v>
      </c>
      <c r="AG194" s="7">
        <f>G194-AF194</f>
        <v>2.949029909160572e-17</v>
      </c>
      <c r="AH194" s="5">
        <f>SUM(IF(BM194="lease",BW194,0),IF(CH194="lease",CR194,0),IF(DC194="lease",DM194,0),IF(DX194="lease",EH194,0),IF(ES194="lease",FC194,0),IF(FN194="lease",FX194,0),IF(GI194="lease",GS194,0),IF(HD194="lease",HN194,0),IF(HY194="lease",II194,0),IF(IT194="lease",JD194,0))</f>
        <v>0.005660931676452338</v>
      </c>
      <c r="AI194" s="5">
        <f>SUM(IF(BM194="keep",BW194,0),IF(CH194="keep",CR194,0),IF(DC194="keep",DM194,0),IF(DX194="keep",EH194,0),IF(ES194="keep",FC194,0),IF(FN194="keep",FX194,0),IF(GI194="keep",GS194,0),IF(HD194="keep",HN194,0),IF(HY194="keep",II194,0),IF(IT194="keep",JD194,0))</f>
        <v>0</v>
      </c>
      <c r="AJ194" s="5">
        <f>SUM(IF(BM194="lease",BX194,0),IF(CH194="lease",CS194,0),IF(DC194="lease",DN194,0),IF(DX194="lease",EI194,0),IF(ES194="lease",FD194,0),IF(FN194="lease",FY194,0),IF(GI194="lease",GT194,0),IF(HD194="lease",HO194,0),IF(HY194="lease",IJ194,0),IF(IT194="lease",JE194,0))</f>
        <v>0</v>
      </c>
      <c r="AK194" s="5">
        <f>SUM(IF(BM194="keep",BX194,0),IF(CH194="keep",CS194,0),IF(DC194="keep",DN194,0),IF(DX194="keep",EI194,0),IF(ES194="keep",FD194,0),IF(FN194="keep",FY194,0),IF(GI194="keep",GT194,0),IF(HD194="keep",HO194,0),IF(HY194="keep",IJ194,0),IF(IT194="keep",JE194,0))</f>
        <v>0</v>
      </c>
      <c r="AL194" s="5">
        <f>R194-S193</f>
        <v>0</v>
      </c>
      <c r="AM194" s="5">
        <f>T194-U193</f>
        <v>0</v>
      </c>
      <c r="AN194" s="5">
        <f>AN193</f>
        <v>1</v>
      </c>
      <c r="AO194" s="5">
        <f>AO193+AH194</f>
        <v>0.8224321445487227</v>
      </c>
      <c r="AP194" s="5">
        <f>AP193+AL194</f>
        <v>2.220446049250313e-16</v>
      </c>
      <c r="AQ194" s="5">
        <f>AN194+AO194+AP194</f>
        <v>1.822432144548723</v>
      </c>
      <c r="AR194" s="5">
        <f>S194-AQ194</f>
        <v>-4.440892098500626e-16</v>
      </c>
      <c r="AS194" s="5">
        <f>AS193</f>
        <v>0</v>
      </c>
      <c r="AT194" s="5">
        <f>AT193+AI194</f>
        <v>0</v>
      </c>
      <c r="AU194" s="5">
        <f>AU193+AM194</f>
        <v>0</v>
      </c>
      <c r="AV194" s="5">
        <f>AS194+AT194+AU194</f>
        <v>0</v>
      </c>
      <c r="AW194" s="5">
        <f>U194-AV194</f>
        <v>0</v>
      </c>
      <c r="AX194" s="4">
        <v>1.8167712128722702</v>
      </c>
      <c r="AY194" s="4">
        <v>1.8224321445487226</v>
      </c>
      <c r="AZ194" s="5">
        <f>S194-AY194</f>
        <v>0</v>
      </c>
      <c r="BA194" s="4">
        <v>0</v>
      </c>
      <c r="BB194" s="4">
        <v>0</v>
      </c>
      <c r="BC194" s="5">
        <f>U194-BB194</f>
        <v>0</v>
      </c>
      <c r="BD194" s="7">
        <f>SUM(IF(BL194="direct",CE194,0),IF(CG194="direct",CZ194,0),IF(DB194="direct",DU194,0),IF(DW194="direct",EP194,0),IF(ER194="direct",FK194,0),IF(FM194="direct",GF194,0),IF(GH194="direct",HA194,0),IF(HC194="direct",HV194,0),IF(HX194="direct",IQ194,0),IF(IS194="direct",JL194,0))</f>
        <v>-0.004946831050228302</v>
      </c>
      <c r="BE194" s="7">
        <f>SUM(IF(BL194="treasury",CE194,0),IF(CG194="treasury",CZ194,0),IF(DB194="treasury",DU194,0),IF(DW194="treasury",EP194,0),IF(ER194="treasury",FK194,0),IF(FM194="treasury",GF194,0),IF(GH194="treasury",HA194,0),IF(HC194="treasury",HV194,0),IF(HX194="treasury",IQ194,0),IF(IS194="treasury",JL194,0))</f>
        <v>0.00009052347031963472</v>
      </c>
      <c r="BF194" s="7">
        <f>SUM(IF(BL194="future",CE194,0),IF(CG194="future",CZ194,0),IF(DB194="future",DU194,0),IF(DW194="future",EP194,0),IF(ER194="future",FK194,0),IF(FM194="future",GF194,0),IF(GH194="future",HA194,0),IF(HC194="future",HV194,0),IF(HX194="future",IQ194,0),IF(IS194="future",JL194,0))</f>
        <v>0.007972237442922374</v>
      </c>
      <c r="BG194" s="7">
        <f>SUM(IF(BL194="cash",CE194,0),IF(CG194="cash",CZ194,0),IF(DB194="cash",DU194,0),IF(DW194="cash",EP194,0),IF(ER194="cash",FK194,0),IF(FM194="cash",GF194,0),IF(GH194="cash",HA194,0),IF(HC194="cash",HV194,0),IF(HX194="cash",IQ194,0),IF(IS194="cash",JL194,0))</f>
        <v>0</v>
      </c>
      <c r="BH194" s="7">
        <f>SUM(BD194:BG194)</f>
        <v>0.0031159298630137073</v>
      </c>
      <c r="BI194" s="7">
        <f>G194-BH194</f>
        <v>0</v>
      </c>
      <c r="BJ194" s="9">
        <f>COUNTA(BK194,CF194,DA194,DV194,EQ194,FL194,GG194,HB194,HW194,IR194)</f>
        <v>5</v>
      </c>
      <c r="BK194" t="inlineStr">
        <is>
          <t xml:space="preserve">Direct commodity holding</t>
        </is>
      </c>
      <c r="BL194" t="inlineStr">
        <is>
          <t xml:space="preserve">direct</t>
        </is>
      </c>
      <c r="BM194" t="inlineStr">
        <is>
          <t xml:space="preserve">lease</t>
        </is>
      </c>
      <c r="BN194" t="inlineStr">
        <is>
          <t xml:space="preserve">long</t>
        </is>
      </c>
      <c r="BO194"/>
      <c r="BP194" s="4">
        <v>1.825</v>
      </c>
      <c r="BQ194" s="4">
        <v>1.808</v>
      </c>
      <c r="BR194" s="4">
        <v>0.5282739307566491</v>
      </c>
      <c r="BS194" s="6">
        <v>0.5306666666666666</v>
      </c>
      <c r="BT194" s="4">
        <v>0.9640999236308845</v>
      </c>
      <c r="BU194" s="4">
        <v>0.9640999236308845</v>
      </c>
      <c r="BV194" s="4">
        <v>0.9551192668080216</v>
      </c>
      <c r="BW194" s="4">
        <v>-0.008987260246997477</v>
      </c>
      <c r="BX194" s="4">
        <v>0.000006603424134611971</v>
      </c>
      <c r="BY194" s="4">
        <v>1.825</v>
      </c>
      <c r="BZ194" s="4">
        <v>1.808</v>
      </c>
      <c r="CA194" s="6"/>
      <c r="CB194" s="6"/>
      <c r="CC194" s="6"/>
      <c r="CD194" s="9"/>
      <c r="CE194" s="7">
        <f>IFERROR(BW194/F194,0)</f>
        <v>-0.004946831050228302</v>
      </c>
      <c r="CF194" t="inlineStr">
        <is>
          <t xml:space="preserve">Treasury collateral</t>
        </is>
      </c>
      <c r="CG194" t="inlineStr">
        <is>
          <t xml:space="preserve">treasury</t>
        </is>
      </c>
      <c r="CH194" t="inlineStr">
        <is>
          <t xml:space="preserve">lease</t>
        </is>
      </c>
      <c r="CI194" t="inlineStr">
        <is>
          <t xml:space="preserve">long</t>
        </is>
      </c>
      <c r="CJ194"/>
      <c r="CK194" s="4">
        <v>105.17529523445504</v>
      </c>
      <c r="CL194" s="4">
        <v>105.19558109961807</v>
      </c>
      <c r="CM194" s="4">
        <v>0.008107144242767511</v>
      </c>
      <c r="CN194" s="6">
        <v>0.4693333333333334</v>
      </c>
      <c r="CO194" s="4">
        <v>0.8526712892413855</v>
      </c>
      <c r="CP194" s="4">
        <v>0.8526712892413855</v>
      </c>
      <c r="CQ194" s="4">
        <v>0.8528357496763515</v>
      </c>
      <c r="CR194" s="4">
        <v>0.0001644604349660097</v>
      </c>
      <c r="CS194" s="4">
        <v>-2.4638494369733088e-17</v>
      </c>
      <c r="CT194" s="4">
        <v>1.825</v>
      </c>
      <c r="CU194" s="4">
        <v>1.808</v>
      </c>
      <c r="CV194" s="6"/>
      <c r="CW194" s="6"/>
      <c r="CX194" s="6"/>
      <c r="CY194" s="9">
        <v>76</v>
      </c>
      <c r="CZ194" s="7">
        <f>IFERROR(CR194/F194,0)</f>
        <v>0.00009052347031963472</v>
      </c>
      <c r="DA194" t="inlineStr">
        <is>
          <t xml:space="preserve">SI69Z</t>
        </is>
      </c>
      <c r="DB194" t="inlineStr">
        <is>
          <t xml:space="preserve">future</t>
        </is>
      </c>
      <c r="DC194" t="inlineStr">
        <is>
          <t xml:space="preserve">lease</t>
        </is>
      </c>
      <c r="DD194" t="inlineStr">
        <is>
          <t xml:space="preserve">long</t>
        </is>
      </c>
      <c r="DE194" t="inlineStr">
        <is>
          <t xml:space="preserve">regular</t>
        </is>
      </c>
      <c r="DF194" s="4">
        <v>1.825</v>
      </c>
      <c r="DG194" s="4">
        <v>1.8559999999999999</v>
      </c>
      <c r="DH194" s="4">
        <v>0.46721714478980025</v>
      </c>
      <c r="DI194" s="6">
        <v>0.4693333333333334</v>
      </c>
      <c r="DJ194" s="4">
        <v>0.8526712892413855</v>
      </c>
      <c r="DK194" s="4">
        <v>0</v>
      </c>
      <c r="DL194" s="4">
        <v>0</v>
      </c>
      <c r="DM194" s="4">
        <v>0.014483731488483805</v>
      </c>
      <c r="DN194" s="4">
        <v>-0.014483731488483805</v>
      </c>
      <c r="DO194" s="4">
        <v>1.825</v>
      </c>
      <c r="DP194" s="4">
        <v>1.808</v>
      </c>
      <c r="DQ194" s="6">
        <v>0</v>
      </c>
      <c r="DR194" s="6">
        <v>0.0704</v>
      </c>
      <c r="DS194" s="6">
        <v>0.0704</v>
      </c>
      <c r="DT194" s="9">
        <v>76</v>
      </c>
      <c r="DU194" s="7">
        <f>IFERROR(DM194/F194,0)</f>
        <v>0.007972237442922374</v>
      </c>
      <c r="DV194" t="inlineStr">
        <is>
          <t xml:space="preserve">Lease cash / margin / financing</t>
        </is>
      </c>
      <c r="DW194" t="inlineStr">
        <is>
          <t xml:space="preserve">cash</t>
        </is>
      </c>
      <c r="DX194" t="inlineStr">
        <is>
          <t xml:space="preserve">lease</t>
        </is>
      </c>
      <c r="DY194" t="inlineStr">
        <is>
          <t xml:space="preserve">cash</t>
        </is>
      </c>
      <c r="DZ194"/>
      <c r="EA194" s="4">
        <v>1</v>
      </c>
      <c r="EB194" s="4">
        <v>1</v>
      </c>
      <c r="EC194" s="4">
        <v>2.220446049250313e-16</v>
      </c>
      <c r="ED194" s="6"/>
      <c r="EE194" s="4">
        <v>2.220446049250313e-16</v>
      </c>
      <c r="EF194" s="4">
        <v>2.220446049250313e-16</v>
      </c>
      <c r="EG194" s="4">
        <v>0.01447712806434944</v>
      </c>
      <c r="EH194" s="4">
        <v>0</v>
      </c>
      <c r="EI194" s="4">
        <v>0.014477128064349217</v>
      </c>
      <c r="EJ194" s="4">
        <v>1.825</v>
      </c>
      <c r="EK194" s="4">
        <v>1.808</v>
      </c>
      <c r="EL194" s="6"/>
      <c r="EM194" s="6"/>
      <c r="EN194" s="6"/>
      <c r="EO194" s="9"/>
      <c r="EP194" s="7">
        <f>IFERROR(EH194/F194,0)</f>
        <v>0</v>
      </c>
      <c r="EQ194" t="inlineStr">
        <is>
          <t xml:space="preserve">Keep cash / margin / financing</t>
        </is>
      </c>
      <c r="ER194" t="inlineStr">
        <is>
          <t xml:space="preserve">cash</t>
        </is>
      </c>
      <c r="ES194" t="inlineStr">
        <is>
          <t xml:space="preserve">keep</t>
        </is>
      </c>
      <c r="ET194" t="inlineStr">
        <is>
          <t xml:space="preserve">cash</t>
        </is>
      </c>
      <c r="EU194"/>
      <c r="EV194" s="4">
        <v>1</v>
      </c>
      <c r="EW194" s="4">
        <v>1</v>
      </c>
      <c r="EX194" s="4">
        <v>0</v>
      </c>
      <c r="EY194" s="6"/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1.825</v>
      </c>
      <c r="FF194" s="4">
        <v>1.808</v>
      </c>
      <c r="FG194" s="6"/>
      <c r="FH194" s="6"/>
      <c r="FI194" s="6"/>
      <c r="FJ194" s="9"/>
      <c r="FK194" s="7">
        <f>IFERROR(FC194/F194,0)</f>
        <v>0</v>
      </c>
      <c r="FL194"/>
      <c r="FM194"/>
      <c r="FN194"/>
      <c r="FO194"/>
      <c r="FP194"/>
      <c r="FQ194" s="4"/>
      <c r="FR194" s="4"/>
      <c r="FS194" s="4"/>
      <c r="FT194" s="6"/>
      <c r="FU194" s="4"/>
      <c r="FV194" s="4"/>
      <c r="FW194" s="4"/>
      <c r="FX194" s="4"/>
      <c r="FY194" s="4"/>
      <c r="FZ194" s="4"/>
      <c r="GA194" s="4"/>
      <c r="GB194" s="6"/>
      <c r="GC194" s="6"/>
      <c r="GD194" s="6"/>
      <c r="GE194" s="9"/>
      <c r="GF194"/>
      <c r="GG194"/>
      <c r="GH194"/>
      <c r="GI194"/>
      <c r="GJ194"/>
      <c r="GK194"/>
      <c r="GL194" s="4"/>
      <c r="GM194" s="4"/>
      <c r="GN194" s="4"/>
      <c r="GO194" s="6"/>
      <c r="GP194" s="4"/>
      <c r="GQ194" s="4"/>
      <c r="GR194" s="4"/>
      <c r="GS194" s="4"/>
      <c r="GT194" s="4"/>
      <c r="GU194" s="4"/>
      <c r="GV194" s="4"/>
      <c r="GW194" s="6"/>
      <c r="GX194" s="6"/>
      <c r="GY194" s="6"/>
      <c r="GZ194" s="9"/>
      <c r="HA194"/>
      <c r="HB194"/>
      <c r="HC194"/>
      <c r="HD194"/>
      <c r="HE194"/>
      <c r="HF194"/>
      <c r="HG194" s="4"/>
      <c r="HH194" s="4"/>
      <c r="HI194" s="4"/>
      <c r="HJ194" s="6"/>
      <c r="HK194" s="4"/>
      <c r="HL194" s="4"/>
      <c r="HM194" s="4"/>
      <c r="HN194" s="4"/>
      <c r="HO194" s="4"/>
      <c r="HP194" s="4"/>
      <c r="HQ194" s="4"/>
      <c r="HR194" s="6"/>
      <c r="HS194" s="6"/>
      <c r="HT194" s="6"/>
      <c r="HU194" s="9"/>
      <c r="HV194"/>
      <c r="HW194"/>
      <c r="HX194"/>
      <c r="HY194"/>
      <c r="HZ194"/>
      <c r="IA194"/>
      <c r="IB194" s="4"/>
      <c r="IC194" s="4"/>
      <c r="ID194" s="4"/>
      <c r="IE194" s="6"/>
      <c r="IF194" s="4"/>
      <c r="IG194" s="4"/>
      <c r="IH194" s="4"/>
      <c r="II194" s="4"/>
      <c r="IJ194" s="4"/>
      <c r="IK194" s="4"/>
      <c r="IL194" s="4"/>
      <c r="IM194" s="6"/>
      <c r="IN194" s="6"/>
      <c r="IO194" s="6"/>
      <c r="IP194" s="9"/>
      <c r="IQ194"/>
      <c r="IR194"/>
      <c r="IS194"/>
      <c r="IT194"/>
      <c r="IU194"/>
      <c r="IV194"/>
      <c r="IW194" s="4"/>
      <c r="IX194" s="4"/>
      <c r="IY194" s="4"/>
      <c r="IZ194" s="6"/>
      <c r="JA194" s="4"/>
      <c r="JB194" s="4"/>
      <c r="JC194" s="4"/>
      <c r="JD194" s="4"/>
      <c r="JE194" s="4"/>
      <c r="JF194" s="4"/>
      <c r="JG194" s="4"/>
      <c r="JH194" s="6"/>
      <c r="JI194" s="6"/>
      <c r="JJ194" s="6"/>
      <c r="JK194" s="9"/>
      <c r="JL194"/>
    </row>
    <row r="195">
      <c r="A195" s="8">
        <v>25491</v>
      </c>
      <c r="B195" s="8">
        <v>25492</v>
      </c>
      <c r="C195" s="9">
        <f>B195-A195</f>
        <v>1</v>
      </c>
      <c r="D195" s="8">
        <v>25491</v>
      </c>
      <c r="E195" t="inlineStr">
        <is>
          <t xml:space="preserve">neutral</t>
        </is>
      </c>
      <c r="F195" s="4">
        <v>1.8224321445487222</v>
      </c>
      <c r="G195" s="6">
        <v>0.019351557764577487</v>
      </c>
      <c r="H195" s="7">
        <f>SUM(CE195,CZ195,DU195,EP195,FK195,GF195,HA195,HV195,IQ195,JL195)</f>
        <v>0.019351557764577487</v>
      </c>
      <c r="I195" s="7">
        <f>G195-H195</f>
        <v>0</v>
      </c>
      <c r="J195" s="5">
        <f>F195*(1+H195)</f>
        <v>1.8576990454659796</v>
      </c>
      <c r="K195" s="4">
        <v>1.8576990454659796</v>
      </c>
      <c r="L195" s="5">
        <f>K195-J195</f>
        <v>0</v>
      </c>
      <c r="M195" s="4">
        <v>1.808</v>
      </c>
      <c r="N195" s="4">
        <v>1.843</v>
      </c>
      <c r="O195" s="5">
        <f>M195/$M$3</f>
        <v>0.9233912155260471</v>
      </c>
      <c r="P195" s="5">
        <f>N195/$M$3</f>
        <v>0.9412665985699694</v>
      </c>
      <c r="Q195" s="7">
        <f>IFERROR(N195/M195-1,0)</f>
        <v>0.01935840707964598</v>
      </c>
      <c r="R195" s="5">
        <f>SUM(IF(BM195="lease",BU195,0),IF(CH195="lease",CP195,0),IF(DC195="lease",DK195,0),IF(DX195="lease",EF195,0),IF(ES195="lease",FA195,0),IF(FN195="lease",FV195,0),IF(GI195="lease",GQ195,0),IF(HD195="lease",HL195,0),IF(HY195="lease",IG195,0),IF(IT195="lease",JB195,0))</f>
        <v>1.8224321445487226</v>
      </c>
      <c r="S195" s="5">
        <f>SUM(IF(BM195="lease",BV195,0),IF(CH195="lease",CQ195,0),IF(DC195="lease",DL195,0),IF(DX195="lease",EG195,0),IF(ES195="lease",FB195,0),IF(FN195="lease",FW195,0),IF(GI195="lease",GR195,0),IF(HD195="lease",HM195,0),IF(HY195="lease",IH195,0),IF(IT195="lease",JC195,0))</f>
        <v>1.85769904546598</v>
      </c>
      <c r="T195" s="5">
        <f>SUM(IF(BM195="keep",BU195,0),IF(CH195="keep",CP195,0),IF(DC195="keep",DK195,0),IF(DX195="keep",EF195,0),IF(ES195="keep",FA195,0),IF(FN195="keep",FV195,0),IF(GI195="keep",GQ195,0),IF(HD195="keep",HL195,0),IF(HY195="keep",IG195,0),IF(IT195="keep",JB195,0))</f>
        <v>0</v>
      </c>
      <c r="U195" s="5">
        <f>SUM(IF(BM195="keep",BV195,0),IF(CH195="keep",CQ195,0),IF(DC195="keep",DL195,0),IF(DX195="keep",EG195,0),IF(ES195="keep",FB195,0),IF(FN195="keep",FW195,0),IF(GI195="keep",GR195,0),IF(HD195="keep",HM195,0),IF(HY195="keep",IH195,0),IF(IT195="keep",JC195,0))</f>
        <v>0</v>
      </c>
      <c r="V195" s="5">
        <f>R195/O195</f>
        <v>1.973629501673893</v>
      </c>
      <c r="W195" s="5">
        <f>S195/P195</f>
        <v>1.9736162403811117</v>
      </c>
      <c r="X195" s="5">
        <f>T195/O195</f>
        <v>0</v>
      </c>
      <c r="Y195" s="5">
        <f>U195/P195</f>
        <v>0</v>
      </c>
      <c r="Z195" s="5">
        <f>V195+X195</f>
        <v>1.973629501673893</v>
      </c>
      <c r="AA195" s="7">
        <f>IFERROR(W195/V195-1,0)</f>
        <v>-0.000006719241260833009</v>
      </c>
      <c r="AB195" s="7">
        <f>IFERROR((W195-V195)/Z195,0)</f>
        <v>-0.000006719241260825828</v>
      </c>
      <c r="AC195" s="7">
        <f>IFERROR(Y195/X195-1,0)</f>
        <v>0</v>
      </c>
      <c r="AD195" s="7">
        <f>IFERROR((Y195-X195)/Z195,0)</f>
        <v>0</v>
      </c>
      <c r="AE195" s="7">
        <f>AB195+AD195</f>
        <v>-0.000006719241260825828</v>
      </c>
      <c r="AF195" s="7">
        <f>(1+Q195)*(1+AE195)-1</f>
        <v>0.01935155776457753</v>
      </c>
      <c r="AG195" s="7">
        <f>G195-AF195</f>
        <v>-4.5102810375396984e-17</v>
      </c>
      <c r="AH195" s="5">
        <f>SUM(IF(BM195="lease",BW195,0),IF(CH195="lease",CR195,0),IF(DC195="lease",DM195,0),IF(DX195="lease",EH195,0),IF(ES195="lease",FC195,0),IF(FN195="lease",FX195,0),IF(GI195="lease",GS195,0),IF(HD195="lease",HN195,0),IF(HY195="lease",II195,0),IF(IT195="lease",JD195,0))</f>
        <v>0.03526690091725743</v>
      </c>
      <c r="AI195" s="5">
        <f>SUM(IF(BM195="keep",BW195,0),IF(CH195="keep",CR195,0),IF(DC195="keep",DM195,0),IF(DX195="keep",EH195,0),IF(ES195="keep",FC195,0),IF(FN195="keep",FX195,0),IF(GI195="keep",GS195,0),IF(HD195="keep",HN195,0),IF(HY195="keep",II195,0),IF(IT195="keep",JD195,0))</f>
        <v>0</v>
      </c>
      <c r="AJ195" s="5">
        <f>SUM(IF(BM195="lease",BX195,0),IF(CH195="lease",CS195,0),IF(DC195="lease",DN195,0),IF(DX195="lease",EI195,0),IF(ES195="lease",FD195,0),IF(FN195="lease",FY195,0),IF(GI195="lease",GT195,0),IF(HD195="lease",HO195,0),IF(HY195="lease",IJ195,0),IF(IT195="lease",JE195,0))</f>
        <v>0</v>
      </c>
      <c r="AK195" s="5">
        <f>SUM(IF(BM195="keep",BX195,0),IF(CH195="keep",CS195,0),IF(DC195="keep",DN195,0),IF(DX195="keep",EI195,0),IF(ES195="keep",FD195,0),IF(FN195="keep",FY195,0),IF(GI195="keep",GT195,0),IF(HD195="keep",HO195,0),IF(HY195="keep",IJ195,0),IF(IT195="keep",JE195,0))</f>
        <v>0</v>
      </c>
      <c r="AL195" s="5">
        <f>R195-S194</f>
        <v>0</v>
      </c>
      <c r="AM195" s="5">
        <f>T195-U194</f>
        <v>0</v>
      </c>
      <c r="AN195" s="5">
        <f>AN194</f>
        <v>1</v>
      </c>
      <c r="AO195" s="5">
        <f>AO194+AH195</f>
        <v>0.8576990454659801</v>
      </c>
      <c r="AP195" s="5">
        <f>AP194+AL195</f>
        <v>2.220446049250313e-16</v>
      </c>
      <c r="AQ195" s="5">
        <f>AN195+AO195+AP195</f>
        <v>1.8576990454659803</v>
      </c>
      <c r="AR195" s="5">
        <f>S195-AQ195</f>
        <v>-2.220446049250313e-16</v>
      </c>
      <c r="AS195" s="5">
        <f>AS194</f>
        <v>0</v>
      </c>
      <c r="AT195" s="5">
        <f>AT194+AI195</f>
        <v>0</v>
      </c>
      <c r="AU195" s="5">
        <f>AU194+AM195</f>
        <v>0</v>
      </c>
      <c r="AV195" s="5">
        <f>AS195+AT195+AU195</f>
        <v>0</v>
      </c>
      <c r="AW195" s="5">
        <f>U195-AV195</f>
        <v>0</v>
      </c>
      <c r="AX195" s="4">
        <v>1.8224321445487226</v>
      </c>
      <c r="AY195" s="4">
        <v>1.85769904546598</v>
      </c>
      <c r="AZ195" s="5">
        <f>S195-AY195</f>
        <v>0</v>
      </c>
      <c r="BA195" s="4">
        <v>0</v>
      </c>
      <c r="BB195" s="4">
        <v>0</v>
      </c>
      <c r="BC195" s="5">
        <f>U195-BB195</f>
        <v>0</v>
      </c>
      <c r="BD195" s="7">
        <f>SUM(IF(BL195="direct",CE195,0),IF(CG195="direct",CZ195,0),IF(DB195="direct",DU195,0),IF(DW195="direct",EP195,0),IF(ER195="direct",FK195,0),IF(FM195="direct",GF195,0),IF(GH195="direct",HA195,0),IF(HC195="direct",HV195,0),IF(HX195="direct",IQ195,0),IF(IS195="direct",JL195,0))</f>
        <v>0.019351557764577487</v>
      </c>
      <c r="BE195" s="7">
        <f>SUM(IF(BL195="treasury",CE195,0),IF(CG195="treasury",CZ195,0),IF(DB195="treasury",DU195,0),IF(DW195="treasury",EP195,0),IF(ER195="treasury",FK195,0),IF(FM195="treasury",GF195,0),IF(GH195="treasury",HA195,0),IF(HC195="treasury",HV195,0),IF(HX195="treasury",IQ195,0),IF(IS195="treasury",JL195,0))</f>
        <v>0</v>
      </c>
      <c r="BF195" s="7">
        <f>SUM(IF(BL195="future",CE195,0),IF(CG195="future",CZ195,0),IF(DB195="future",DU195,0),IF(DW195="future",EP195,0),IF(ER195="future",FK195,0),IF(FM195="future",GF195,0),IF(GH195="future",HA195,0),IF(HC195="future",HV195,0),IF(HX195="future",IQ195,0),IF(IS195="future",JL195,0))</f>
        <v>0</v>
      </c>
      <c r="BG195" s="7">
        <f>SUM(IF(BL195="cash",CE195,0),IF(CG195="cash",CZ195,0),IF(DB195="cash",DU195,0),IF(DW195="cash",EP195,0),IF(ER195="cash",FK195,0),IF(FM195="cash",GF195,0),IF(GH195="cash",HA195,0),IF(HC195="cash",HV195,0),IF(HX195="cash",IQ195,0),IF(IS195="cash",JL195,0))</f>
        <v>0</v>
      </c>
      <c r="BH195" s="7">
        <f>SUM(BD195:BG195)</f>
        <v>0.019351557764577487</v>
      </c>
      <c r="BI195" s="7">
        <f>G195-BH195</f>
        <v>0</v>
      </c>
      <c r="BJ195" s="9">
        <f>COUNTA(BK195,CF195,DA195,DV195,EQ195,FL195,GG195,HB195,HW195,IR195)</f>
        <v>3</v>
      </c>
      <c r="BK195" t="inlineStr">
        <is>
          <t xml:space="preserve">Direct commodity holding</t>
        </is>
      </c>
      <c r="BL195" t="inlineStr">
        <is>
          <t xml:space="preserve">direct</t>
        </is>
      </c>
      <c r="BM195" t="inlineStr">
        <is>
          <t xml:space="preserve">lease</t>
        </is>
      </c>
      <c r="BN195" t="inlineStr">
        <is>
          <t xml:space="preserve">long</t>
        </is>
      </c>
      <c r="BO195"/>
      <c r="BP195" s="4">
        <v>1.808</v>
      </c>
      <c r="BQ195" s="4">
        <v>1.843</v>
      </c>
      <c r="BR195" s="4">
        <v>1.0079823808344701</v>
      </c>
      <c r="BS195" s="6">
        <v>1</v>
      </c>
      <c r="BT195" s="4">
        <v>1.8224321445487222</v>
      </c>
      <c r="BU195" s="4">
        <v>1.8224321445487222</v>
      </c>
      <c r="BV195" s="4">
        <v>1.8577115278779284</v>
      </c>
      <c r="BW195" s="4">
        <v>0.03526690091725743</v>
      </c>
      <c r="BX195" s="4">
        <v>0.00001248241194878874</v>
      </c>
      <c r="BY195" s="4">
        <v>1.808</v>
      </c>
      <c r="BZ195" s="4">
        <v>1.843</v>
      </c>
      <c r="CA195" s="6"/>
      <c r="CB195" s="6"/>
      <c r="CC195" s="6"/>
      <c r="CD195" s="9"/>
      <c r="CE195" s="7">
        <f>IFERROR(BW195/F195,0)</f>
        <v>0.019351557764577487</v>
      </c>
      <c r="CF195" t="inlineStr">
        <is>
          <t xml:space="preserve">Lease cash / margin / financing</t>
        </is>
      </c>
      <c r="CG195" t="inlineStr">
        <is>
          <t xml:space="preserve">cash</t>
        </is>
      </c>
      <c r="CH195" t="inlineStr">
        <is>
          <t xml:space="preserve">lease</t>
        </is>
      </c>
      <c r="CI195" t="inlineStr">
        <is>
          <t xml:space="preserve">cash</t>
        </is>
      </c>
      <c r="CJ195"/>
      <c r="CK195" s="4">
        <v>1</v>
      </c>
      <c r="CL195" s="4">
        <v>1</v>
      </c>
      <c r="CM195" s="4">
        <v>4.440892098500626e-16</v>
      </c>
      <c r="CN195" s="6"/>
      <c r="CO195" s="4">
        <v>4.440892098500626e-16</v>
      </c>
      <c r="CP195" s="4">
        <v>4.440892098500626e-16</v>
      </c>
      <c r="CQ195" s="4">
        <v>-0.000012482411948344652</v>
      </c>
      <c r="CR195" s="4">
        <v>0</v>
      </c>
      <c r="CS195" s="4">
        <v>-0.00001248241194878874</v>
      </c>
      <c r="CT195" s="4">
        <v>1.808</v>
      </c>
      <c r="CU195" s="4">
        <v>1.843</v>
      </c>
      <c r="CV195" s="6"/>
      <c r="CW195" s="6"/>
      <c r="CX195" s="6"/>
      <c r="CY195" s="9"/>
      <c r="CZ195" s="7">
        <f>IFERROR(CR195/F195,0)</f>
        <v>0</v>
      </c>
      <c r="DA195" t="inlineStr">
        <is>
          <t xml:space="preserve">Keep cash / margin / financing</t>
        </is>
      </c>
      <c r="DB195" t="inlineStr">
        <is>
          <t xml:space="preserve">cash</t>
        </is>
      </c>
      <c r="DC195" t="inlineStr">
        <is>
          <t xml:space="preserve">keep</t>
        </is>
      </c>
      <c r="DD195" t="inlineStr">
        <is>
          <t xml:space="preserve">cash</t>
        </is>
      </c>
      <c r="DE195"/>
      <c r="DF195" s="4">
        <v>1</v>
      </c>
      <c r="DG195" s="4">
        <v>1</v>
      </c>
      <c r="DH195" s="4">
        <v>0</v>
      </c>
      <c r="DI195" s="6"/>
      <c r="DJ195" s="4">
        <v>0</v>
      </c>
      <c r="DK195" s="4">
        <v>0</v>
      </c>
      <c r="DL195" s="4">
        <v>0</v>
      </c>
      <c r="DM195" s="4">
        <v>0</v>
      </c>
      <c r="DN195" s="4">
        <v>0</v>
      </c>
      <c r="DO195" s="4">
        <v>1.808</v>
      </c>
      <c r="DP195" s="4">
        <v>1.843</v>
      </c>
      <c r="DQ195" s="6"/>
      <c r="DR195" s="6"/>
      <c r="DS195" s="6"/>
      <c r="DT195" s="9"/>
      <c r="DU195" s="7">
        <f>IFERROR(DM195/F195,0)</f>
        <v>0</v>
      </c>
      <c r="DV195"/>
      <c r="DW195"/>
      <c r="DX195"/>
      <c r="DY195"/>
      <c r="DZ195"/>
      <c r="EA195" s="4"/>
      <c r="EB195" s="4"/>
      <c r="EC195" s="4"/>
      <c r="ED195" s="6"/>
      <c r="EE195" s="4"/>
      <c r="EF195" s="4"/>
      <c r="EG195" s="4"/>
      <c r="EH195" s="4"/>
      <c r="EI195" s="4"/>
      <c r="EJ195" s="4"/>
      <c r="EK195" s="4"/>
      <c r="EL195" s="6"/>
      <c r="EM195" s="6"/>
      <c r="EN195" s="6"/>
      <c r="EO195" s="9"/>
      <c r="EP195"/>
      <c r="EQ195"/>
      <c r="ER195"/>
      <c r="ES195"/>
      <c r="ET195"/>
      <c r="EU195"/>
      <c r="EV195" s="4"/>
      <c r="EW195" s="4"/>
      <c r="EX195" s="4"/>
      <c r="EY195" s="6"/>
      <c r="EZ195" s="4"/>
      <c r="FA195" s="4"/>
      <c r="FB195" s="4"/>
      <c r="FC195" s="4"/>
      <c r="FD195" s="4"/>
      <c r="FE195" s="4"/>
      <c r="FF195" s="4"/>
      <c r="FG195" s="6"/>
      <c r="FH195" s="6"/>
      <c r="FI195" s="6"/>
      <c r="FJ195" s="9"/>
      <c r="FK195"/>
      <c r="FL195"/>
      <c r="FM195"/>
      <c r="FN195"/>
      <c r="FO195"/>
      <c r="FP195"/>
      <c r="FQ195" s="4"/>
      <c r="FR195" s="4"/>
      <c r="FS195" s="4"/>
      <c r="FT195" s="6"/>
      <c r="FU195" s="4"/>
      <c r="FV195" s="4"/>
      <c r="FW195" s="4"/>
      <c r="FX195" s="4"/>
      <c r="FY195" s="4"/>
      <c r="FZ195" s="4"/>
      <c r="GA195" s="4"/>
      <c r="GB195" s="6"/>
      <c r="GC195" s="6"/>
      <c r="GD195" s="6"/>
      <c r="GE195" s="9"/>
      <c r="GF195"/>
      <c r="GG195"/>
      <c r="GH195"/>
      <c r="GI195"/>
      <c r="GJ195"/>
      <c r="GK195"/>
      <c r="GL195" s="4"/>
      <c r="GM195" s="4"/>
      <c r="GN195" s="4"/>
      <c r="GO195" s="6"/>
      <c r="GP195" s="4"/>
      <c r="GQ195" s="4"/>
      <c r="GR195" s="4"/>
      <c r="GS195" s="4"/>
      <c r="GT195" s="4"/>
      <c r="GU195" s="4"/>
      <c r="GV195" s="4"/>
      <c r="GW195" s="6"/>
      <c r="GX195" s="6"/>
      <c r="GY195" s="6"/>
      <c r="GZ195" s="9"/>
      <c r="HA195"/>
      <c r="HB195"/>
      <c r="HC195"/>
      <c r="HD195"/>
      <c r="HE195"/>
      <c r="HF195"/>
      <c r="HG195" s="4"/>
      <c r="HH195" s="4"/>
      <c r="HI195" s="4"/>
      <c r="HJ195" s="6"/>
      <c r="HK195" s="4"/>
      <c r="HL195" s="4"/>
      <c r="HM195" s="4"/>
      <c r="HN195" s="4"/>
      <c r="HO195" s="4"/>
      <c r="HP195" s="4"/>
      <c r="HQ195" s="4"/>
      <c r="HR195" s="6"/>
      <c r="HS195" s="6"/>
      <c r="HT195" s="6"/>
      <c r="HU195" s="9"/>
      <c r="HV195"/>
      <c r="HW195"/>
      <c r="HX195"/>
      <c r="HY195"/>
      <c r="HZ195"/>
      <c r="IA195"/>
      <c r="IB195" s="4"/>
      <c r="IC195" s="4"/>
      <c r="ID195" s="4"/>
      <c r="IE195" s="6"/>
      <c r="IF195" s="4"/>
      <c r="IG195" s="4"/>
      <c r="IH195" s="4"/>
      <c r="II195" s="4"/>
      <c r="IJ195" s="4"/>
      <c r="IK195" s="4"/>
      <c r="IL195" s="4"/>
      <c r="IM195" s="6"/>
      <c r="IN195" s="6"/>
      <c r="IO195" s="6"/>
      <c r="IP195" s="9"/>
      <c r="IQ195"/>
      <c r="IR195"/>
      <c r="IS195"/>
      <c r="IT195"/>
      <c r="IU195"/>
      <c r="IV195"/>
      <c r="IW195" s="4"/>
      <c r="IX195" s="4"/>
      <c r="IY195" s="4"/>
      <c r="IZ195" s="6"/>
      <c r="JA195" s="4"/>
      <c r="JB195" s="4"/>
      <c r="JC195" s="4"/>
      <c r="JD195" s="4"/>
      <c r="JE195" s="4"/>
      <c r="JF195" s="4"/>
      <c r="JG195" s="4"/>
      <c r="JH195" s="6"/>
      <c r="JI195" s="6"/>
      <c r="JJ195" s="6"/>
      <c r="JK195" s="9"/>
      <c r="JL195"/>
    </row>
    <row r="196">
      <c r="A196" s="8">
        <v>25492</v>
      </c>
      <c r="B196" s="8">
        <v>25493</v>
      </c>
      <c r="C196" s="9">
        <f>B196-A196</f>
        <v>1</v>
      </c>
      <c r="D196" s="8">
        <v>25492</v>
      </c>
      <c r="E196" t="inlineStr">
        <is>
          <t xml:space="preserve">neutral</t>
        </is>
      </c>
      <c r="F196" s="4">
        <v>1.8576990454659796</v>
      </c>
      <c r="G196" s="6">
        <v>-0.016284657236934997</v>
      </c>
      <c r="H196" s="7">
        <f>SUM(CE196,CZ196,DU196,EP196,FK196,GF196,HA196,HV196,IQ196,JL196)</f>
        <v>-0.016284657236934997</v>
      </c>
      <c r="I196" s="7">
        <f>G196-H196</f>
        <v>0</v>
      </c>
      <c r="J196" s="5">
        <f>F196*(1+H196)</f>
        <v>1.8274470532611848</v>
      </c>
      <c r="K196" s="4">
        <v>1.8274470532611848</v>
      </c>
      <c r="L196" s="5">
        <f>K196-J196</f>
        <v>0</v>
      </c>
      <c r="M196" s="4">
        <v>1.843</v>
      </c>
      <c r="N196" s="4">
        <v>1.813</v>
      </c>
      <c r="O196" s="5">
        <f>M196/$M$3</f>
        <v>0.9412665985699694</v>
      </c>
      <c r="P196" s="5">
        <f>N196/$M$3</f>
        <v>0.9259448416751788</v>
      </c>
      <c r="Q196" s="7">
        <f>IFERROR(N196/M196-1,0)</f>
        <v>-0.016277807921866505</v>
      </c>
      <c r="R196" s="5">
        <f>SUM(IF(BM196="lease",BU196,0),IF(CH196="lease",CP196,0),IF(DC196="lease",DK196,0),IF(DX196="lease",EF196,0),IF(ES196="lease",FA196,0),IF(FN196="lease",FV196,0),IF(GI196="lease",GQ196,0),IF(HD196="lease",HL196,0),IF(HY196="lease",IG196,0),IF(IT196="lease",JB196,0))</f>
        <v>1.85769904546598</v>
      </c>
      <c r="S196" s="5">
        <f>SUM(IF(BM196="lease",BV196,0),IF(CH196="lease",CQ196,0),IF(DC196="lease",DL196,0),IF(DX196="lease",EG196,0),IF(ES196="lease",FB196,0),IF(FN196="lease",FW196,0),IF(GI196="lease",GR196,0),IF(HD196="lease",HM196,0),IF(HY196="lease",IH196,0),IF(IT196="lease",JC196,0))</f>
        <v>1.8274470532611853</v>
      </c>
      <c r="T196" s="5">
        <f>SUM(IF(BM196="keep",BU196,0),IF(CH196="keep",CP196,0),IF(DC196="keep",DK196,0),IF(DX196="keep",EF196,0),IF(ES196="keep",FA196,0),IF(FN196="keep",FV196,0),IF(GI196="keep",GQ196,0),IF(HD196="keep",HL196,0),IF(HY196="keep",IG196,0),IF(IT196="keep",JB196,0))</f>
        <v>0</v>
      </c>
      <c r="U196" s="5">
        <f>SUM(IF(BM196="keep",BV196,0),IF(CH196="keep",CQ196,0),IF(DC196="keep",DL196,0),IF(DX196="keep",EG196,0),IF(ES196="keep",FB196,0),IF(FN196="keep",FW196,0),IF(GI196="keep",GR196,0),IF(HD196="keep",HM196,0),IF(HY196="keep",IH196,0),IF(IT196="keep",JC196,0))</f>
        <v>0</v>
      </c>
      <c r="V196" s="5">
        <f>R196/O196</f>
        <v>1.9736162403811117</v>
      </c>
      <c r="W196" s="5">
        <f>S196/P196</f>
        <v>1.973602498778489</v>
      </c>
      <c r="X196" s="5">
        <f>T196/O196</f>
        <v>0</v>
      </c>
      <c r="Y196" s="5">
        <f>U196/P196</f>
        <v>0</v>
      </c>
      <c r="Z196" s="5">
        <f>V196+X196</f>
        <v>1.9736162403811117</v>
      </c>
      <c r="AA196" s="7">
        <f>IFERROR(W196/V196-1,0)</f>
        <v>-0.000006962651776687423</v>
      </c>
      <c r="AB196" s="7">
        <f>IFERROR((W196-V196)/Z196,0)</f>
        <v>-0.000006962651776736487</v>
      </c>
      <c r="AC196" s="7">
        <f>IFERROR(Y196/X196-1,0)</f>
        <v>0</v>
      </c>
      <c r="AD196" s="7">
        <f>IFERROR((Y196-X196)/Z196,0)</f>
        <v>0</v>
      </c>
      <c r="AE196" s="7">
        <f>AB196+AD196</f>
        <v>-0.000006962651776736487</v>
      </c>
      <c r="AF196" s="7">
        <f>(1+Q196)*(1+AE196)-1</f>
        <v>-0.016284657236934952</v>
      </c>
      <c r="AG196" s="7">
        <f>G196-AF196</f>
        <v>-4.5102810375396984e-17</v>
      </c>
      <c r="AH196" s="5">
        <f>SUM(IF(BM196="lease",BW196,0),IF(CH196="lease",CR196,0),IF(DC196="lease",DM196,0),IF(DX196="lease",EH196,0),IF(ES196="lease",FC196,0),IF(FN196="lease",FX196,0),IF(GI196="lease",GS196,0),IF(HD196="lease",HN196,0),IF(HY196="lease",II196,0),IF(IT196="lease",JD196,0))</f>
        <v>-0.0302519922047948</v>
      </c>
      <c r="AI196" s="5">
        <f>SUM(IF(BM196="keep",BW196,0),IF(CH196="keep",CR196,0),IF(DC196="keep",DM196,0),IF(DX196="keep",EH196,0),IF(ES196="keep",FC196,0),IF(FN196="keep",FX196,0),IF(GI196="keep",GS196,0),IF(HD196="keep",HN196,0),IF(HY196="keep",II196,0),IF(IT196="keep",JD196,0))</f>
        <v>0</v>
      </c>
      <c r="AJ196" s="5">
        <f>SUM(IF(BM196="lease",BX196,0),IF(CH196="lease",CS196,0),IF(DC196="lease",DN196,0),IF(DX196="lease",EI196,0),IF(ES196="lease",FD196,0),IF(FN196="lease",FY196,0),IF(GI196="lease",GT196,0),IF(HD196="lease",HO196,0),IF(HY196="lease",IJ196,0),IF(IT196="lease",JE196,0))</f>
        <v>0</v>
      </c>
      <c r="AK196" s="5">
        <f>SUM(IF(BM196="keep",BX196,0),IF(CH196="keep",CS196,0),IF(DC196="keep",DN196,0),IF(DX196="keep",EI196,0),IF(ES196="keep",FD196,0),IF(FN196="keep",FY196,0),IF(GI196="keep",GT196,0),IF(HD196="keep",HO196,0),IF(HY196="keep",IJ196,0),IF(IT196="keep",JE196,0))</f>
        <v>0</v>
      </c>
      <c r="AL196" s="5">
        <f>R196-S195</f>
        <v>0</v>
      </c>
      <c r="AM196" s="5">
        <f>T196-U195</f>
        <v>0</v>
      </c>
      <c r="AN196" s="5">
        <f>AN195</f>
        <v>1</v>
      </c>
      <c r="AO196" s="5">
        <f>AO195+AH196</f>
        <v>0.8274470532611853</v>
      </c>
      <c r="AP196" s="5">
        <f>AP195+AL196</f>
        <v>2.220446049250313e-16</v>
      </c>
      <c r="AQ196" s="5">
        <f>AN196+AO196+AP196</f>
        <v>1.8274470532611855</v>
      </c>
      <c r="AR196" s="5">
        <f>S196-AQ196</f>
        <v>-2.220446049250313e-16</v>
      </c>
      <c r="AS196" s="5">
        <f>AS195</f>
        <v>0</v>
      </c>
      <c r="AT196" s="5">
        <f>AT195+AI196</f>
        <v>0</v>
      </c>
      <c r="AU196" s="5">
        <f>AU195+AM196</f>
        <v>0</v>
      </c>
      <c r="AV196" s="5">
        <f>AS196+AT196+AU196</f>
        <v>0</v>
      </c>
      <c r="AW196" s="5">
        <f>U196-AV196</f>
        <v>0</v>
      </c>
      <c r="AX196" s="4">
        <v>1.85769904546598</v>
      </c>
      <c r="AY196" s="4">
        <v>1.8274470532611853</v>
      </c>
      <c r="AZ196" s="5">
        <f>S196-AY196</f>
        <v>0</v>
      </c>
      <c r="BA196" s="4">
        <v>0</v>
      </c>
      <c r="BB196" s="4">
        <v>0</v>
      </c>
      <c r="BC196" s="5">
        <f>U196-BB196</f>
        <v>0</v>
      </c>
      <c r="BD196" s="7">
        <f>SUM(IF(BL196="direct",CE196,0),IF(CG196="direct",CZ196,0),IF(DB196="direct",DU196,0),IF(DW196="direct",EP196,0),IF(ER196="direct",FK196,0),IF(FM196="direct",GF196,0),IF(GH196="direct",HA196,0),IF(HC196="direct",HV196,0),IF(HX196="direct",IQ196,0),IF(IS196="direct",JL196,0))</f>
        <v>-0.016284657236934997</v>
      </c>
      <c r="BE196" s="7">
        <f>SUM(IF(BL196="treasury",CE196,0),IF(CG196="treasury",CZ196,0),IF(DB196="treasury",DU196,0),IF(DW196="treasury",EP196,0),IF(ER196="treasury",FK196,0),IF(FM196="treasury",GF196,0),IF(GH196="treasury",HA196,0),IF(HC196="treasury",HV196,0),IF(HX196="treasury",IQ196,0),IF(IS196="treasury",JL196,0))</f>
        <v>0</v>
      </c>
      <c r="BF196" s="7">
        <f>SUM(IF(BL196="future",CE196,0),IF(CG196="future",CZ196,0),IF(DB196="future",DU196,0),IF(DW196="future",EP196,0),IF(ER196="future",FK196,0),IF(FM196="future",GF196,0),IF(GH196="future",HA196,0),IF(HC196="future",HV196,0),IF(HX196="future",IQ196,0),IF(IS196="future",JL196,0))</f>
        <v>0</v>
      </c>
      <c r="BG196" s="7">
        <f>SUM(IF(BL196="cash",CE196,0),IF(CG196="cash",CZ196,0),IF(DB196="cash",DU196,0),IF(DW196="cash",EP196,0),IF(ER196="cash",FK196,0),IF(FM196="cash",GF196,0),IF(GH196="cash",HA196,0),IF(HC196="cash",HV196,0),IF(HX196="cash",IQ196,0),IF(IS196="cash",JL196,0))</f>
        <v>0</v>
      </c>
      <c r="BH196" s="7">
        <f>SUM(BD196:BG196)</f>
        <v>-0.016284657236934997</v>
      </c>
      <c r="BI196" s="7">
        <f>G196-BH196</f>
        <v>0</v>
      </c>
      <c r="BJ196" s="9">
        <f>COUNTA(BK196,CF196,DA196,DV196,EQ196,FL196,GG196,HB196,HW196,IR196)</f>
        <v>3</v>
      </c>
      <c r="BK196" t="inlineStr">
        <is>
          <t xml:space="preserve">Direct commodity holding</t>
        </is>
      </c>
      <c r="BL196" t="inlineStr">
        <is>
          <t xml:space="preserve">direct</t>
        </is>
      </c>
      <c r="BM196" t="inlineStr">
        <is>
          <t xml:space="preserve">lease</t>
        </is>
      </c>
      <c r="BN196" t="inlineStr">
        <is>
          <t xml:space="preserve">long</t>
        </is>
      </c>
      <c r="BO196"/>
      <c r="BP196" s="4">
        <v>1.843</v>
      </c>
      <c r="BQ196" s="4">
        <v>1.813</v>
      </c>
      <c r="BR196" s="4">
        <v>1.0079756079576667</v>
      </c>
      <c r="BS196" s="6">
        <v>1</v>
      </c>
      <c r="BT196" s="4">
        <v>1.8576990454659796</v>
      </c>
      <c r="BU196" s="4">
        <v>1.8576990454659796</v>
      </c>
      <c r="BV196" s="4">
        <v>1.8274597772272496</v>
      </c>
      <c r="BW196" s="4">
        <v>-0.0302519922047948</v>
      </c>
      <c r="BX196" s="4">
        <v>0.000012723966064779463</v>
      </c>
      <c r="BY196" s="4">
        <v>1.843</v>
      </c>
      <c r="BZ196" s="4">
        <v>1.813</v>
      </c>
      <c r="CA196" s="6"/>
      <c r="CB196" s="6"/>
      <c r="CC196" s="6"/>
      <c r="CD196" s="9"/>
      <c r="CE196" s="7">
        <f>IFERROR(BW196/F196,0)</f>
        <v>-0.016284657236934997</v>
      </c>
      <c r="CF196" t="inlineStr">
        <is>
          <t xml:space="preserve">Lease cash / margin / financing</t>
        </is>
      </c>
      <c r="CG196" t="inlineStr">
        <is>
          <t xml:space="preserve">cash</t>
        </is>
      </c>
      <c r="CH196" t="inlineStr">
        <is>
          <t xml:space="preserve">lease</t>
        </is>
      </c>
      <c r="CI196" t="inlineStr">
        <is>
          <t xml:space="preserve">cash</t>
        </is>
      </c>
      <c r="CJ196"/>
      <c r="CK196" s="4">
        <v>1</v>
      </c>
      <c r="CL196" s="4">
        <v>1</v>
      </c>
      <c r="CM196" s="4">
        <v>4.440892098500626e-16</v>
      </c>
      <c r="CN196" s="6"/>
      <c r="CO196" s="4">
        <v>4.440892098500626e-16</v>
      </c>
      <c r="CP196" s="4">
        <v>4.440892098500626e-16</v>
      </c>
      <c r="CQ196" s="4">
        <v>-0.000012723966064335374</v>
      </c>
      <c r="CR196" s="4">
        <v>0</v>
      </c>
      <c r="CS196" s="4">
        <v>-0.000012723966064779463</v>
      </c>
      <c r="CT196" s="4">
        <v>1.843</v>
      </c>
      <c r="CU196" s="4">
        <v>1.813</v>
      </c>
      <c r="CV196" s="6"/>
      <c r="CW196" s="6"/>
      <c r="CX196" s="6"/>
      <c r="CY196" s="9"/>
      <c r="CZ196" s="7">
        <f>IFERROR(CR196/F196,0)</f>
        <v>0</v>
      </c>
      <c r="DA196" t="inlineStr">
        <is>
          <t xml:space="preserve">Keep cash / margin / financing</t>
        </is>
      </c>
      <c r="DB196" t="inlineStr">
        <is>
          <t xml:space="preserve">cash</t>
        </is>
      </c>
      <c r="DC196" t="inlineStr">
        <is>
          <t xml:space="preserve">keep</t>
        </is>
      </c>
      <c r="DD196" t="inlineStr">
        <is>
          <t xml:space="preserve">cash</t>
        </is>
      </c>
      <c r="DE196"/>
      <c r="DF196" s="4">
        <v>1</v>
      </c>
      <c r="DG196" s="4">
        <v>1</v>
      </c>
      <c r="DH196" s="4">
        <v>0</v>
      </c>
      <c r="DI196" s="6"/>
      <c r="DJ196" s="4">
        <v>0</v>
      </c>
      <c r="DK196" s="4">
        <v>0</v>
      </c>
      <c r="DL196" s="4">
        <v>0</v>
      </c>
      <c r="DM196" s="4">
        <v>0</v>
      </c>
      <c r="DN196" s="4">
        <v>0</v>
      </c>
      <c r="DO196" s="4">
        <v>1.843</v>
      </c>
      <c r="DP196" s="4">
        <v>1.813</v>
      </c>
      <c r="DQ196" s="6"/>
      <c r="DR196" s="6"/>
      <c r="DS196" s="6"/>
      <c r="DT196" s="9"/>
      <c r="DU196" s="7">
        <f>IFERROR(DM196/F196,0)</f>
        <v>0</v>
      </c>
      <c r="DV196"/>
      <c r="DW196"/>
      <c r="DX196"/>
      <c r="DY196"/>
      <c r="DZ196"/>
      <c r="EA196" s="4"/>
      <c r="EB196" s="4"/>
      <c r="EC196" s="4"/>
      <c r="ED196" s="6"/>
      <c r="EE196" s="4"/>
      <c r="EF196" s="4"/>
      <c r="EG196" s="4"/>
      <c r="EH196" s="4"/>
      <c r="EI196" s="4"/>
      <c r="EJ196" s="4"/>
      <c r="EK196" s="4"/>
      <c r="EL196" s="6"/>
      <c r="EM196" s="6"/>
      <c r="EN196" s="6"/>
      <c r="EO196" s="9"/>
      <c r="EP196"/>
      <c r="EQ196"/>
      <c r="ER196"/>
      <c r="ES196"/>
      <c r="ET196"/>
      <c r="EU196"/>
      <c r="EV196" s="4"/>
      <c r="EW196" s="4"/>
      <c r="EX196" s="4"/>
      <c r="EY196" s="6"/>
      <c r="EZ196" s="4"/>
      <c r="FA196" s="4"/>
      <c r="FB196" s="4"/>
      <c r="FC196" s="4"/>
      <c r="FD196" s="4"/>
      <c r="FE196" s="4"/>
      <c r="FF196" s="4"/>
      <c r="FG196" s="6"/>
      <c r="FH196" s="6"/>
      <c r="FI196" s="6"/>
      <c r="FJ196" s="9"/>
      <c r="FK196"/>
      <c r="FL196"/>
      <c r="FM196"/>
      <c r="FN196"/>
      <c r="FO196"/>
      <c r="FP196"/>
      <c r="FQ196" s="4"/>
      <c r="FR196" s="4"/>
      <c r="FS196" s="4"/>
      <c r="FT196" s="6"/>
      <c r="FU196" s="4"/>
      <c r="FV196" s="4"/>
      <c r="FW196" s="4"/>
      <c r="FX196" s="4"/>
      <c r="FY196" s="4"/>
      <c r="FZ196" s="4"/>
      <c r="GA196" s="4"/>
      <c r="GB196" s="6"/>
      <c r="GC196" s="6"/>
      <c r="GD196" s="6"/>
      <c r="GE196" s="9"/>
      <c r="GF196"/>
      <c r="GG196"/>
      <c r="GH196"/>
      <c r="GI196"/>
      <c r="GJ196"/>
      <c r="GK196"/>
      <c r="GL196" s="4"/>
      <c r="GM196" s="4"/>
      <c r="GN196" s="4"/>
      <c r="GO196" s="6"/>
      <c r="GP196" s="4"/>
      <c r="GQ196" s="4"/>
      <c r="GR196" s="4"/>
      <c r="GS196" s="4"/>
      <c r="GT196" s="4"/>
      <c r="GU196" s="4"/>
      <c r="GV196" s="4"/>
      <c r="GW196" s="6"/>
      <c r="GX196" s="6"/>
      <c r="GY196" s="6"/>
      <c r="GZ196" s="9"/>
      <c r="HA196"/>
      <c r="HB196"/>
      <c r="HC196"/>
      <c r="HD196"/>
      <c r="HE196"/>
      <c r="HF196"/>
      <c r="HG196" s="4"/>
      <c r="HH196" s="4"/>
      <c r="HI196" s="4"/>
      <c r="HJ196" s="6"/>
      <c r="HK196" s="4"/>
      <c r="HL196" s="4"/>
      <c r="HM196" s="4"/>
      <c r="HN196" s="4"/>
      <c r="HO196" s="4"/>
      <c r="HP196" s="4"/>
      <c r="HQ196" s="4"/>
      <c r="HR196" s="6"/>
      <c r="HS196" s="6"/>
      <c r="HT196" s="6"/>
      <c r="HU196" s="9"/>
      <c r="HV196"/>
      <c r="HW196"/>
      <c r="HX196"/>
      <c r="HY196"/>
      <c r="HZ196"/>
      <c r="IA196"/>
      <c r="IB196" s="4"/>
      <c r="IC196" s="4"/>
      <c r="ID196" s="4"/>
      <c r="IE196" s="6"/>
      <c r="IF196" s="4"/>
      <c r="IG196" s="4"/>
      <c r="IH196" s="4"/>
      <c r="II196" s="4"/>
      <c r="IJ196" s="4"/>
      <c r="IK196" s="4"/>
      <c r="IL196" s="4"/>
      <c r="IM196" s="6"/>
      <c r="IN196" s="6"/>
      <c r="IO196" s="6"/>
      <c r="IP196" s="9"/>
      <c r="IQ196"/>
      <c r="IR196"/>
      <c r="IS196"/>
      <c r="IT196"/>
      <c r="IU196"/>
      <c r="IV196"/>
      <c r="IW196" s="4"/>
      <c r="IX196" s="4"/>
      <c r="IY196" s="4"/>
      <c r="IZ196" s="6"/>
      <c r="JA196" s="4"/>
      <c r="JB196" s="4"/>
      <c r="JC196" s="4"/>
      <c r="JD196" s="4"/>
      <c r="JE196" s="4"/>
      <c r="JF196" s="4"/>
      <c r="JG196" s="4"/>
      <c r="JH196" s="6"/>
      <c r="JI196" s="6"/>
      <c r="JJ196" s="6"/>
      <c r="JK196" s="9"/>
      <c r="JL196"/>
    </row>
    <row r="197">
      <c r="A197" s="8">
        <v>25493</v>
      </c>
      <c r="B197" s="8">
        <v>25496</v>
      </c>
      <c r="C197" s="9">
        <f>B197-A197</f>
        <v>3</v>
      </c>
      <c r="D197" s="8">
        <v>25493</v>
      </c>
      <c r="E197" t="inlineStr">
        <is>
          <t xml:space="preserve">neutral</t>
        </is>
      </c>
      <c r="F197" s="4">
        <v>1.8274470532611848</v>
      </c>
      <c r="G197" s="6">
        <v>0.022593903240674423</v>
      </c>
      <c r="H197" s="7">
        <f>SUM(CE197,CZ197,DU197,EP197,FK197,GF197,HA197,HV197,IQ197,JL197)</f>
        <v>0.022593903240674423</v>
      </c>
      <c r="I197" s="7">
        <f>G197-H197</f>
        <v>0</v>
      </c>
      <c r="J197" s="5">
        <f>F197*(1+H197)</f>
        <v>1.8687362151600235</v>
      </c>
      <c r="K197" s="4">
        <v>1.8687362151600235</v>
      </c>
      <c r="L197" s="5">
        <f>K197-J197</f>
        <v>0</v>
      </c>
      <c r="M197" s="4">
        <v>1.813</v>
      </c>
      <c r="N197" s="4">
        <v>1.854</v>
      </c>
      <c r="O197" s="5">
        <f>M197/$M$3</f>
        <v>0.9259448416751788</v>
      </c>
      <c r="P197" s="5">
        <f>N197/$M$3</f>
        <v>0.9468845760980593</v>
      </c>
      <c r="Q197" s="7">
        <f>IFERROR(N197/M197-1,0)</f>
        <v>0.022614451185879902</v>
      </c>
      <c r="R197" s="5">
        <f>SUM(IF(BM197="lease",BU197,0),IF(CH197="lease",CP197,0),IF(DC197="lease",DK197,0),IF(DX197="lease",EF197,0),IF(ES197="lease",FA197,0),IF(FN197="lease",FV197,0),IF(GI197="lease",GQ197,0),IF(HD197="lease",HL197,0),IF(HY197="lease",IG197,0),IF(IT197="lease",JB197,0))</f>
        <v>1.8274470532611853</v>
      </c>
      <c r="S197" s="5">
        <f>SUM(IF(BM197="lease",BV197,0),IF(CH197="lease",CQ197,0),IF(DC197="lease",DL197,0),IF(DX197="lease",EG197,0),IF(ES197="lease",FB197,0),IF(FN197="lease",FW197,0),IF(GI197="lease",GR197,0),IF(HD197="lease",HM197,0),IF(HY197="lease",IH197,0),IF(IT197="lease",JC197,0))</f>
        <v>1.8687362151600242</v>
      </c>
      <c r="T197" s="5">
        <f>SUM(IF(BM197="keep",BU197,0),IF(CH197="keep",CP197,0),IF(DC197="keep",DK197,0),IF(DX197="keep",EF197,0),IF(ES197="keep",FA197,0),IF(FN197="keep",FV197,0),IF(GI197="keep",GQ197,0),IF(HD197="keep",HL197,0),IF(HY197="keep",IG197,0),IF(IT197="keep",JB197,0))</f>
        <v>0</v>
      </c>
      <c r="U197" s="5">
        <f>SUM(IF(BM197="keep",BV197,0),IF(CH197="keep",CQ197,0),IF(DC197="keep",DL197,0),IF(DX197="keep",EG197,0),IF(ES197="keep",FB197,0),IF(FN197="keep",FW197,0),IF(GI197="keep",GR197,0),IF(HD197="keep",HM197,0),IF(HY197="keep",IH197,0),IF(IT197="keep",JC197,0))</f>
        <v>0</v>
      </c>
      <c r="V197" s="5">
        <f>R197/O197</f>
        <v>1.973602498778489</v>
      </c>
      <c r="W197" s="5">
        <f>S197/P197</f>
        <v>1.973562842116142</v>
      </c>
      <c r="X197" s="5">
        <f>T197/O197</f>
        <v>0</v>
      </c>
      <c r="Y197" s="5">
        <f>U197/P197</f>
        <v>0</v>
      </c>
      <c r="Z197" s="5">
        <f>V197+X197</f>
        <v>1.973602498778489</v>
      </c>
      <c r="AA197" s="7">
        <f>IFERROR(W197/V197-1,0)</f>
        <v>-0.000020093540807564203</v>
      </c>
      <c r="AB197" s="7">
        <f>IFERROR((W197-V197)/Z197,0)</f>
        <v>-0.00002009354080753829</v>
      </c>
      <c r="AC197" s="7">
        <f>IFERROR(Y197/X197-1,0)</f>
        <v>0</v>
      </c>
      <c r="AD197" s="7">
        <f>IFERROR((Y197-X197)/Z197,0)</f>
        <v>0</v>
      </c>
      <c r="AE197" s="7">
        <f>AB197+AD197</f>
        <v>-0.00002009354080753829</v>
      </c>
      <c r="AF197" s="7">
        <f>(1+Q197)*(1+AE197)-1</f>
        <v>0.022593903240674562</v>
      </c>
      <c r="AG197" s="7">
        <f>G197-AF197</f>
        <v>-1.3877787807814457e-16</v>
      </c>
      <c r="AH197" s="5">
        <f>SUM(IF(BM197="lease",BW197,0),IF(CH197="lease",CR197,0),IF(DC197="lease",DM197,0),IF(DX197="lease",EH197,0),IF(ES197="lease",FC197,0),IF(FN197="lease",FX197,0),IF(GI197="lease",GS197,0),IF(HD197="lease",HN197,0),IF(HY197="lease",II197,0),IF(IT197="lease",JD197,0))</f>
        <v>0.04128916189883881</v>
      </c>
      <c r="AI197" s="5">
        <f>SUM(IF(BM197="keep",BW197,0),IF(CH197="keep",CR197,0),IF(DC197="keep",DM197,0),IF(DX197="keep",EH197,0),IF(ES197="keep",FC197,0),IF(FN197="keep",FX197,0),IF(GI197="keep",GS197,0),IF(HD197="keep",HN197,0),IF(HY197="keep",II197,0),IF(IT197="keep",JD197,0))</f>
        <v>0</v>
      </c>
      <c r="AJ197" s="5">
        <f>SUM(IF(BM197="lease",BX197,0),IF(CH197="lease",CS197,0),IF(DC197="lease",DN197,0),IF(DX197="lease",EI197,0),IF(ES197="lease",FD197,0),IF(FN197="lease",FY197,0),IF(GI197="lease",GT197,0),IF(HD197="lease",HO197,0),IF(HY197="lease",IJ197,0),IF(IT197="lease",JE197,0))</f>
        <v>0</v>
      </c>
      <c r="AK197" s="5">
        <f>SUM(IF(BM197="keep",BX197,0),IF(CH197="keep",CS197,0),IF(DC197="keep",DN197,0),IF(DX197="keep",EI197,0),IF(ES197="keep",FD197,0),IF(FN197="keep",FY197,0),IF(GI197="keep",GT197,0),IF(HD197="keep",HO197,0),IF(HY197="keep",IJ197,0),IF(IT197="keep",JE197,0))</f>
        <v>0</v>
      </c>
      <c r="AL197" s="5">
        <f>R197-S196</f>
        <v>0</v>
      </c>
      <c r="AM197" s="5">
        <f>T197-U196</f>
        <v>0</v>
      </c>
      <c r="AN197" s="5">
        <f>AN196</f>
        <v>1</v>
      </c>
      <c r="AO197" s="5">
        <f>AO196+AH197</f>
        <v>0.8687362151600241</v>
      </c>
      <c r="AP197" s="5">
        <f>AP196+AL197</f>
        <v>2.220446049250313e-16</v>
      </c>
      <c r="AQ197" s="5">
        <f>AN197+AO197+AP197</f>
        <v>1.8687362151600244</v>
      </c>
      <c r="AR197" s="5">
        <f>S197-AQ197</f>
        <v>-2.220446049250313e-16</v>
      </c>
      <c r="AS197" s="5">
        <f>AS196</f>
        <v>0</v>
      </c>
      <c r="AT197" s="5">
        <f>AT196+AI197</f>
        <v>0</v>
      </c>
      <c r="AU197" s="5">
        <f>AU196+AM197</f>
        <v>0</v>
      </c>
      <c r="AV197" s="5">
        <f>AS197+AT197+AU197</f>
        <v>0</v>
      </c>
      <c r="AW197" s="5">
        <f>U197-AV197</f>
        <v>0</v>
      </c>
      <c r="AX197" s="4">
        <v>1.8274470532611853</v>
      </c>
      <c r="AY197" s="4">
        <v>1.8687362151600242</v>
      </c>
      <c r="AZ197" s="5">
        <f>S197-AY197</f>
        <v>0</v>
      </c>
      <c r="BA197" s="4">
        <v>0</v>
      </c>
      <c r="BB197" s="4">
        <v>0</v>
      </c>
      <c r="BC197" s="5">
        <f>U197-BB197</f>
        <v>0</v>
      </c>
      <c r="BD197" s="7">
        <f>SUM(IF(BL197="direct",CE197,0),IF(CG197="direct",CZ197,0),IF(DB197="direct",DU197,0),IF(DW197="direct",EP197,0),IF(ER197="direct",FK197,0),IF(FM197="direct",GF197,0),IF(GH197="direct",HA197,0),IF(HC197="direct",HV197,0),IF(HX197="direct",IQ197,0),IF(IS197="direct",JL197,0))</f>
        <v>0.022593903240674423</v>
      </c>
      <c r="BE197" s="7">
        <f>SUM(IF(BL197="treasury",CE197,0),IF(CG197="treasury",CZ197,0),IF(DB197="treasury",DU197,0),IF(DW197="treasury",EP197,0),IF(ER197="treasury",FK197,0),IF(FM197="treasury",GF197,0),IF(GH197="treasury",HA197,0),IF(HC197="treasury",HV197,0),IF(HX197="treasury",IQ197,0),IF(IS197="treasury",JL197,0))</f>
        <v>0</v>
      </c>
      <c r="BF197" s="7">
        <f>SUM(IF(BL197="future",CE197,0),IF(CG197="future",CZ197,0),IF(DB197="future",DU197,0),IF(DW197="future",EP197,0),IF(ER197="future",FK197,0),IF(FM197="future",GF197,0),IF(GH197="future",HA197,0),IF(HC197="future",HV197,0),IF(HX197="future",IQ197,0),IF(IS197="future",JL197,0))</f>
        <v>0</v>
      </c>
      <c r="BG197" s="7">
        <f>SUM(IF(BL197="cash",CE197,0),IF(CG197="cash",CZ197,0),IF(DB197="cash",DU197,0),IF(DW197="cash",EP197,0),IF(ER197="cash",FK197,0),IF(FM197="cash",GF197,0),IF(GH197="cash",HA197,0),IF(HC197="cash",HV197,0),IF(HX197="cash",IQ197,0),IF(IS197="cash",JL197,0))</f>
        <v>0</v>
      </c>
      <c r="BH197" s="7">
        <f>SUM(BD197:BG197)</f>
        <v>0.022593903240674423</v>
      </c>
      <c r="BI197" s="7">
        <f>G197-BH197</f>
        <v>0</v>
      </c>
      <c r="BJ197" s="9">
        <f>COUNTA(BK197,CF197,DA197,DV197,EQ197,FL197,GG197,HB197,HW197,IR197)</f>
        <v>3</v>
      </c>
      <c r="BK197" t="inlineStr">
        <is>
          <t xml:space="preserve">Direct commodity holding</t>
        </is>
      </c>
      <c r="BL197" t="inlineStr">
        <is>
          <t xml:space="preserve">direct</t>
        </is>
      </c>
      <c r="BM197" t="inlineStr">
        <is>
          <t xml:space="preserve">lease</t>
        </is>
      </c>
      <c r="BN197" t="inlineStr">
        <is>
          <t xml:space="preserve">long</t>
        </is>
      </c>
      <c r="BO197"/>
      <c r="BP197" s="4">
        <v>1.813</v>
      </c>
      <c r="BQ197" s="4">
        <v>1.854</v>
      </c>
      <c r="BR197" s="4">
        <v>1.007968589774509</v>
      </c>
      <c r="BS197" s="6">
        <v>1</v>
      </c>
      <c r="BT197" s="4">
        <v>1.8274470532611848</v>
      </c>
      <c r="BU197" s="4">
        <v>1.8274470532611848</v>
      </c>
      <c r="BV197" s="4">
        <v>1.8687737654419398</v>
      </c>
      <c r="BW197" s="4">
        <v>0.04128916189883881</v>
      </c>
      <c r="BX197" s="4">
        <v>0.000037550281916202966</v>
      </c>
      <c r="BY197" s="4">
        <v>1.813</v>
      </c>
      <c r="BZ197" s="4">
        <v>1.854</v>
      </c>
      <c r="CA197" s="6"/>
      <c r="CB197" s="6"/>
      <c r="CC197" s="6"/>
      <c r="CD197" s="9"/>
      <c r="CE197" s="7">
        <f>IFERROR(BW197/F197,0)</f>
        <v>0.022593903240674423</v>
      </c>
      <c r="CF197" t="inlineStr">
        <is>
          <t xml:space="preserve">Lease cash / margin / financing</t>
        </is>
      </c>
      <c r="CG197" t="inlineStr">
        <is>
          <t xml:space="preserve">cash</t>
        </is>
      </c>
      <c r="CH197" t="inlineStr">
        <is>
          <t xml:space="preserve">lease</t>
        </is>
      </c>
      <c r="CI197" t="inlineStr">
        <is>
          <t xml:space="preserve">cash</t>
        </is>
      </c>
      <c r="CJ197"/>
      <c r="CK197" s="4">
        <v>1</v>
      </c>
      <c r="CL197" s="4">
        <v>1</v>
      </c>
      <c r="CM197" s="4">
        <v>4.440892098500626e-16</v>
      </c>
      <c r="CN197" s="6"/>
      <c r="CO197" s="4">
        <v>4.440892098500626e-16</v>
      </c>
      <c r="CP197" s="4">
        <v>4.440892098500626e-16</v>
      </c>
      <c r="CQ197" s="4">
        <v>-0.000037550281915758876</v>
      </c>
      <c r="CR197" s="4">
        <v>0</v>
      </c>
      <c r="CS197" s="4">
        <v>-0.000037550281916202966</v>
      </c>
      <c r="CT197" s="4">
        <v>1.813</v>
      </c>
      <c r="CU197" s="4">
        <v>1.854</v>
      </c>
      <c r="CV197" s="6"/>
      <c r="CW197" s="6"/>
      <c r="CX197" s="6"/>
      <c r="CY197" s="9"/>
      <c r="CZ197" s="7">
        <f>IFERROR(CR197/F197,0)</f>
        <v>0</v>
      </c>
      <c r="DA197" t="inlineStr">
        <is>
          <t xml:space="preserve">Keep cash / margin / financing</t>
        </is>
      </c>
      <c r="DB197" t="inlineStr">
        <is>
          <t xml:space="preserve">cash</t>
        </is>
      </c>
      <c r="DC197" t="inlineStr">
        <is>
          <t xml:space="preserve">keep</t>
        </is>
      </c>
      <c r="DD197" t="inlineStr">
        <is>
          <t xml:space="preserve">cash</t>
        </is>
      </c>
      <c r="DE197"/>
      <c r="DF197" s="4">
        <v>1</v>
      </c>
      <c r="DG197" s="4">
        <v>1</v>
      </c>
      <c r="DH197" s="4">
        <v>0</v>
      </c>
      <c r="DI197" s="6"/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1.813</v>
      </c>
      <c r="DP197" s="4">
        <v>1.854</v>
      </c>
      <c r="DQ197" s="6"/>
      <c r="DR197" s="6"/>
      <c r="DS197" s="6"/>
      <c r="DT197" s="9"/>
      <c r="DU197" s="7">
        <f>IFERROR(DM197/F197,0)</f>
        <v>0</v>
      </c>
      <c r="DV197"/>
      <c r="DW197"/>
      <c r="DX197"/>
      <c r="DY197"/>
      <c r="DZ197"/>
      <c r="EA197" s="4"/>
      <c r="EB197" s="4"/>
      <c r="EC197" s="4"/>
      <c r="ED197" s="6"/>
      <c r="EE197" s="4"/>
      <c r="EF197" s="4"/>
      <c r="EG197" s="4"/>
      <c r="EH197" s="4"/>
      <c r="EI197" s="4"/>
      <c r="EJ197" s="4"/>
      <c r="EK197" s="4"/>
      <c r="EL197" s="6"/>
      <c r="EM197" s="6"/>
      <c r="EN197" s="6"/>
      <c r="EO197" s="9"/>
      <c r="EP197"/>
      <c r="EQ197"/>
      <c r="ER197"/>
      <c r="ES197"/>
      <c r="ET197"/>
      <c r="EU197"/>
      <c r="EV197" s="4"/>
      <c r="EW197" s="4"/>
      <c r="EX197" s="4"/>
      <c r="EY197" s="6"/>
      <c r="EZ197" s="4"/>
      <c r="FA197" s="4"/>
      <c r="FB197" s="4"/>
      <c r="FC197" s="4"/>
      <c r="FD197" s="4"/>
      <c r="FE197" s="4"/>
      <c r="FF197" s="4"/>
      <c r="FG197" s="6"/>
      <c r="FH197" s="6"/>
      <c r="FI197" s="6"/>
      <c r="FJ197" s="9"/>
      <c r="FK197"/>
      <c r="FL197"/>
      <c r="FM197"/>
      <c r="FN197"/>
      <c r="FO197"/>
      <c r="FP197"/>
      <c r="FQ197" s="4"/>
      <c r="FR197" s="4"/>
      <c r="FS197" s="4"/>
      <c r="FT197" s="6"/>
      <c r="FU197" s="4"/>
      <c r="FV197" s="4"/>
      <c r="FW197" s="4"/>
      <c r="FX197" s="4"/>
      <c r="FY197" s="4"/>
      <c r="FZ197" s="4"/>
      <c r="GA197" s="4"/>
      <c r="GB197" s="6"/>
      <c r="GC197" s="6"/>
      <c r="GD197" s="6"/>
      <c r="GE197" s="9"/>
      <c r="GF197"/>
      <c r="GG197"/>
      <c r="GH197"/>
      <c r="GI197"/>
      <c r="GJ197"/>
      <c r="GK197"/>
      <c r="GL197" s="4"/>
      <c r="GM197" s="4"/>
      <c r="GN197" s="4"/>
      <c r="GO197" s="6"/>
      <c r="GP197" s="4"/>
      <c r="GQ197" s="4"/>
      <c r="GR197" s="4"/>
      <c r="GS197" s="4"/>
      <c r="GT197" s="4"/>
      <c r="GU197" s="4"/>
      <c r="GV197" s="4"/>
      <c r="GW197" s="6"/>
      <c r="GX197" s="6"/>
      <c r="GY197" s="6"/>
      <c r="GZ197" s="9"/>
      <c r="HA197"/>
      <c r="HB197"/>
      <c r="HC197"/>
      <c r="HD197"/>
      <c r="HE197"/>
      <c r="HF197"/>
      <c r="HG197" s="4"/>
      <c r="HH197" s="4"/>
      <c r="HI197" s="4"/>
      <c r="HJ197" s="6"/>
      <c r="HK197" s="4"/>
      <c r="HL197" s="4"/>
      <c r="HM197" s="4"/>
      <c r="HN197" s="4"/>
      <c r="HO197" s="4"/>
      <c r="HP197" s="4"/>
      <c r="HQ197" s="4"/>
      <c r="HR197" s="6"/>
      <c r="HS197" s="6"/>
      <c r="HT197" s="6"/>
      <c r="HU197" s="9"/>
      <c r="HV197"/>
      <c r="HW197"/>
      <c r="HX197"/>
      <c r="HY197"/>
      <c r="HZ197"/>
      <c r="IA197"/>
      <c r="IB197" s="4"/>
      <c r="IC197" s="4"/>
      <c r="ID197" s="4"/>
      <c r="IE197" s="6"/>
      <c r="IF197" s="4"/>
      <c r="IG197" s="4"/>
      <c r="IH197" s="4"/>
      <c r="II197" s="4"/>
      <c r="IJ197" s="4"/>
      <c r="IK197" s="4"/>
      <c r="IL197" s="4"/>
      <c r="IM197" s="6"/>
      <c r="IN197" s="6"/>
      <c r="IO197" s="6"/>
      <c r="IP197" s="9"/>
      <c r="IQ197"/>
      <c r="IR197"/>
      <c r="IS197"/>
      <c r="IT197"/>
      <c r="IU197"/>
      <c r="IV197"/>
      <c r="IW197" s="4"/>
      <c r="IX197" s="4"/>
      <c r="IY197" s="4"/>
      <c r="IZ197" s="6"/>
      <c r="JA197" s="4"/>
      <c r="JB197" s="4"/>
      <c r="JC197" s="4"/>
      <c r="JD197" s="4"/>
      <c r="JE197" s="4"/>
      <c r="JF197" s="4"/>
      <c r="JG197" s="4"/>
      <c r="JH197" s="6"/>
      <c r="JI197" s="6"/>
      <c r="JJ197" s="6"/>
      <c r="JK197" s="9"/>
      <c r="JL197"/>
    </row>
    <row r="198">
      <c r="A198" s="8">
        <v>25496</v>
      </c>
      <c r="B198" s="8">
        <v>25497</v>
      </c>
      <c r="C198" s="9">
        <f>B198-A198</f>
        <v>1</v>
      </c>
      <c r="D198" s="8">
        <v>25496</v>
      </c>
      <c r="E198" t="inlineStr">
        <is>
          <t xml:space="preserve">neutral</t>
        </is>
      </c>
      <c r="F198" s="4">
        <v>1.8687362151600235</v>
      </c>
      <c r="G198" s="6">
        <v>0.010780637200573382</v>
      </c>
      <c r="H198" s="7">
        <f>SUM(CE198,CZ198,DU198,EP198,FK198,GF198,HA198,HV198,IQ198,JL198)</f>
        <v>0.010780637200573382</v>
      </c>
      <c r="I198" s="7">
        <f>G198-H198</f>
        <v>0</v>
      </c>
      <c r="J198" s="5">
        <f>F198*(1+H198)</f>
        <v>1.8888823823192364</v>
      </c>
      <c r="K198" s="4">
        <v>1.8888823823192364</v>
      </c>
      <c r="L198" s="5">
        <f>K198-J198</f>
        <v>0</v>
      </c>
      <c r="M198" s="4">
        <v>1.854</v>
      </c>
      <c r="N198" s="4">
        <v>1.874</v>
      </c>
      <c r="O198" s="5">
        <f>M198/$M$3</f>
        <v>0.9468845760980593</v>
      </c>
      <c r="P198" s="5">
        <f>N198/$M$3</f>
        <v>0.9570990806945864</v>
      </c>
      <c r="Q198" s="7">
        <f>IFERROR(N198/M198-1,0)</f>
        <v>0.010787486515641875</v>
      </c>
      <c r="R198" s="5">
        <f>SUM(IF(BM198="lease",BU198,0),IF(CH198="lease",CP198,0),IF(DC198="lease",DK198,0),IF(DX198="lease",EF198,0),IF(ES198="lease",FA198,0),IF(FN198="lease",FV198,0),IF(GI198="lease",GQ198,0),IF(HD198="lease",HL198,0),IF(HY198="lease",IG198,0),IF(IT198="lease",JB198,0))</f>
        <v>1.8687362151600242</v>
      </c>
      <c r="S198" s="5">
        <f>SUM(IF(BM198="lease",BV198,0),IF(CH198="lease",CQ198,0),IF(DC198="lease",DL198,0),IF(DX198="lease",EG198,0),IF(ES198="lease",FB198,0),IF(FN198="lease",FW198,0),IF(GI198="lease",GR198,0),IF(HD198="lease",HM198,0),IF(HY198="lease",IH198,0),IF(IT198="lease",JC198,0))</f>
        <v>1.888882382319237</v>
      </c>
      <c r="T198" s="5">
        <f>SUM(IF(BM198="keep",BU198,0),IF(CH198="keep",CP198,0),IF(DC198="keep",DK198,0),IF(DX198="keep",EF198,0),IF(ES198="keep",FA198,0),IF(FN198="keep",FV198,0),IF(GI198="keep",GQ198,0),IF(HD198="keep",HL198,0),IF(HY198="keep",IG198,0),IF(IT198="keep",JB198,0))</f>
        <v>0</v>
      </c>
      <c r="U198" s="5">
        <f>SUM(IF(BM198="keep",BV198,0),IF(CH198="keep",CQ198,0),IF(DC198="keep",DL198,0),IF(DX198="keep",EG198,0),IF(ES198="keep",FB198,0),IF(FN198="keep",FW198,0),IF(GI198="keep",GR198,0),IF(HD198="keep",HM198,0),IF(HY198="keep",IH198,0),IF(IT198="keep",JC198,0))</f>
        <v>0</v>
      </c>
      <c r="V198" s="5">
        <f>R198/O198</f>
        <v>1.973562842116142</v>
      </c>
      <c r="W198" s="5">
        <f>S198/P198</f>
        <v>1.9735494688266093</v>
      </c>
      <c r="X198" s="5">
        <f>T198/O198</f>
        <v>0</v>
      </c>
      <c r="Y198" s="5">
        <f>U198/P198</f>
        <v>0</v>
      </c>
      <c r="Z198" s="5">
        <f>V198+X198</f>
        <v>1.973562842116142</v>
      </c>
      <c r="AA198" s="7">
        <f>IFERROR(W198/V198-1,0)</f>
        <v>-0.000006776216721959827</v>
      </c>
      <c r="AB198" s="7">
        <f>IFERROR((W198-V198)/Z198,0)</f>
        <v>-0.000006776216721996741</v>
      </c>
      <c r="AC198" s="7">
        <f>IFERROR(Y198/X198-1,0)</f>
        <v>0</v>
      </c>
      <c r="AD198" s="7">
        <f>IFERROR((Y198-X198)/Z198,0)</f>
        <v>0</v>
      </c>
      <c r="AE198" s="7">
        <f>AB198+AD198</f>
        <v>-0.000006776216721996741</v>
      </c>
      <c r="AF198" s="7">
        <f>(1+Q198)*(1+AE198)-1</f>
        <v>0.010780637200573429</v>
      </c>
      <c r="AG198" s="7">
        <f>G198-AF198</f>
        <v>-4.683753385137379e-17</v>
      </c>
      <c r="AH198" s="5">
        <f>SUM(IF(BM198="lease",BW198,0),IF(CH198="lease",CR198,0),IF(DC198="lease",DM198,0),IF(DX198="lease",EH198,0),IF(ES198="lease",FC198,0),IF(FN198="lease",FX198,0),IF(GI198="lease",GS198,0),IF(HD198="lease",HN198,0),IF(HY198="lease",II198,0),IF(IT198="lease",JD198,0))</f>
        <v>0.020146167159212854</v>
      </c>
      <c r="AI198" s="5">
        <f>SUM(IF(BM198="keep",BW198,0),IF(CH198="keep",CR198,0),IF(DC198="keep",DM198,0),IF(DX198="keep",EH198,0),IF(ES198="keep",FC198,0),IF(FN198="keep",FX198,0),IF(GI198="keep",GS198,0),IF(HD198="keep",HN198,0),IF(HY198="keep",II198,0),IF(IT198="keep",JD198,0))</f>
        <v>0</v>
      </c>
      <c r="AJ198" s="5">
        <f>SUM(IF(BM198="lease",BX198,0),IF(CH198="lease",CS198,0),IF(DC198="lease",DN198,0),IF(DX198="lease",EI198,0),IF(ES198="lease",FD198,0),IF(FN198="lease",FY198,0),IF(GI198="lease",GT198,0),IF(HD198="lease",HO198,0),IF(HY198="lease",IJ198,0),IF(IT198="lease",JE198,0))</f>
        <v>0</v>
      </c>
      <c r="AK198" s="5">
        <f>SUM(IF(BM198="keep",BX198,0),IF(CH198="keep",CS198,0),IF(DC198="keep",DN198,0),IF(DX198="keep",EI198,0),IF(ES198="keep",FD198,0),IF(FN198="keep",FY198,0),IF(GI198="keep",GT198,0),IF(HD198="keep",HO198,0),IF(HY198="keep",IJ198,0),IF(IT198="keep",JE198,0))</f>
        <v>0</v>
      </c>
      <c r="AL198" s="5">
        <f>R198-S197</f>
        <v>0</v>
      </c>
      <c r="AM198" s="5">
        <f>T198-U197</f>
        <v>0</v>
      </c>
      <c r="AN198" s="5">
        <f>AN197</f>
        <v>1</v>
      </c>
      <c r="AO198" s="5">
        <f>AO197+AH198</f>
        <v>0.8888823823192369</v>
      </c>
      <c r="AP198" s="5">
        <f>AP197+AL198</f>
        <v>2.220446049250313e-16</v>
      </c>
      <c r="AQ198" s="5">
        <f>AN198+AO198+AP198</f>
        <v>1.888882382319237</v>
      </c>
      <c r="AR198" s="5">
        <f>S198-AQ198</f>
        <v>0</v>
      </c>
      <c r="AS198" s="5">
        <f>AS197</f>
        <v>0</v>
      </c>
      <c r="AT198" s="5">
        <f>AT197+AI198</f>
        <v>0</v>
      </c>
      <c r="AU198" s="5">
        <f>AU197+AM198</f>
        <v>0</v>
      </c>
      <c r="AV198" s="5">
        <f>AS198+AT198+AU198</f>
        <v>0</v>
      </c>
      <c r="AW198" s="5">
        <f>U198-AV198</f>
        <v>0</v>
      </c>
      <c r="AX198" s="4">
        <v>1.8687362151600242</v>
      </c>
      <c r="AY198" s="4">
        <v>1.888882382319237</v>
      </c>
      <c r="AZ198" s="5">
        <f>S198-AY198</f>
        <v>0</v>
      </c>
      <c r="BA198" s="4">
        <v>0</v>
      </c>
      <c r="BB198" s="4">
        <v>0</v>
      </c>
      <c r="BC198" s="5">
        <f>U198-BB198</f>
        <v>0</v>
      </c>
      <c r="BD198" s="7">
        <f>SUM(IF(BL198="direct",CE198,0),IF(CG198="direct",CZ198,0),IF(DB198="direct",DU198,0),IF(DW198="direct",EP198,0),IF(ER198="direct",FK198,0),IF(FM198="direct",GF198,0),IF(GH198="direct",HA198,0),IF(HC198="direct",HV198,0),IF(HX198="direct",IQ198,0),IF(IS198="direct",JL198,0))</f>
        <v>0.010780637200573382</v>
      </c>
      <c r="BE198" s="7">
        <f>SUM(IF(BL198="treasury",CE198,0),IF(CG198="treasury",CZ198,0),IF(DB198="treasury",DU198,0),IF(DW198="treasury",EP198,0),IF(ER198="treasury",FK198,0),IF(FM198="treasury",GF198,0),IF(GH198="treasury",HA198,0),IF(HC198="treasury",HV198,0),IF(HX198="treasury",IQ198,0),IF(IS198="treasury",JL198,0))</f>
        <v>0</v>
      </c>
      <c r="BF198" s="7">
        <f>SUM(IF(BL198="future",CE198,0),IF(CG198="future",CZ198,0),IF(DB198="future",DU198,0),IF(DW198="future",EP198,0),IF(ER198="future",FK198,0),IF(FM198="future",GF198,0),IF(GH198="future",HA198,0),IF(HC198="future",HV198,0),IF(HX198="future",IQ198,0),IF(IS198="future",JL198,0))</f>
        <v>0</v>
      </c>
      <c r="BG198" s="7">
        <f>SUM(IF(BL198="cash",CE198,0),IF(CG198="cash",CZ198,0),IF(DB198="cash",DU198,0),IF(DW198="cash",EP198,0),IF(ER198="cash",FK198,0),IF(FM198="cash",GF198,0),IF(GH198="cash",HA198,0),IF(HC198="cash",HV198,0),IF(HX198="cash",IQ198,0),IF(IS198="cash",JL198,0))</f>
        <v>0</v>
      </c>
      <c r="BH198" s="7">
        <f>SUM(BD198:BG198)</f>
        <v>0.010780637200573382</v>
      </c>
      <c r="BI198" s="7">
        <f>G198-BH198</f>
        <v>0</v>
      </c>
      <c r="BJ198" s="9">
        <f>COUNTA(BK198,CF198,DA198,DV198,EQ198,FL198,GG198,HB198,HW198,IR198)</f>
        <v>3</v>
      </c>
      <c r="BK198" t="inlineStr">
        <is>
          <t xml:space="preserve">Direct commodity holding</t>
        </is>
      </c>
      <c r="BL198" t="inlineStr">
        <is>
          <t xml:space="preserve">direct</t>
        </is>
      </c>
      <c r="BM198" t="inlineStr">
        <is>
          <t xml:space="preserve">lease</t>
        </is>
      </c>
      <c r="BN198" t="inlineStr">
        <is>
          <t xml:space="preserve">long</t>
        </is>
      </c>
      <c r="BO198"/>
      <c r="BP198" s="4">
        <v>1.854</v>
      </c>
      <c r="BQ198" s="4">
        <v>1.874</v>
      </c>
      <c r="BR198" s="4">
        <v>1.0079483361165176</v>
      </c>
      <c r="BS198" s="6">
        <v>1</v>
      </c>
      <c r="BT198" s="4">
        <v>1.8687362151600235</v>
      </c>
      <c r="BU198" s="4">
        <v>1.8687362151600235</v>
      </c>
      <c r="BV198" s="4">
        <v>1.888895181882354</v>
      </c>
      <c r="BW198" s="4">
        <v>0.020146167159212854</v>
      </c>
      <c r="BX198" s="4">
        <v>0.000012799563117674856</v>
      </c>
      <c r="BY198" s="4">
        <v>1.854</v>
      </c>
      <c r="BZ198" s="4">
        <v>1.874</v>
      </c>
      <c r="CA198" s="6"/>
      <c r="CB198" s="6"/>
      <c r="CC198" s="6"/>
      <c r="CD198" s="9"/>
      <c r="CE198" s="7">
        <f>IFERROR(BW198/F198,0)</f>
        <v>0.010780637200573382</v>
      </c>
      <c r="CF198" t="inlineStr">
        <is>
          <t xml:space="preserve">Lease cash / margin / financing</t>
        </is>
      </c>
      <c r="CG198" t="inlineStr">
        <is>
          <t xml:space="preserve">cash</t>
        </is>
      </c>
      <c r="CH198" t="inlineStr">
        <is>
          <t xml:space="preserve">lease</t>
        </is>
      </c>
      <c r="CI198" t="inlineStr">
        <is>
          <t xml:space="preserve">cash</t>
        </is>
      </c>
      <c r="CJ198"/>
      <c r="CK198" s="4">
        <v>1</v>
      </c>
      <c r="CL198" s="4">
        <v>1</v>
      </c>
      <c r="CM198" s="4">
        <v>6.661338147750939e-16</v>
      </c>
      <c r="CN198" s="6"/>
      <c r="CO198" s="4">
        <v>6.661338147750939e-16</v>
      </c>
      <c r="CP198" s="4">
        <v>6.661338147750939e-16</v>
      </c>
      <c r="CQ198" s="4">
        <v>-0.000012799563117008722</v>
      </c>
      <c r="CR198" s="4">
        <v>0</v>
      </c>
      <c r="CS198" s="4">
        <v>-0.000012799563117674856</v>
      </c>
      <c r="CT198" s="4">
        <v>1.854</v>
      </c>
      <c r="CU198" s="4">
        <v>1.874</v>
      </c>
      <c r="CV198" s="6"/>
      <c r="CW198" s="6"/>
      <c r="CX198" s="6"/>
      <c r="CY198" s="9"/>
      <c r="CZ198" s="7">
        <f>IFERROR(CR198/F198,0)</f>
        <v>0</v>
      </c>
      <c r="DA198" t="inlineStr">
        <is>
          <t xml:space="preserve">Keep cash / margin / financing</t>
        </is>
      </c>
      <c r="DB198" t="inlineStr">
        <is>
          <t xml:space="preserve">cash</t>
        </is>
      </c>
      <c r="DC198" t="inlineStr">
        <is>
          <t xml:space="preserve">keep</t>
        </is>
      </c>
      <c r="DD198" t="inlineStr">
        <is>
          <t xml:space="preserve">cash</t>
        </is>
      </c>
      <c r="DE198"/>
      <c r="DF198" s="4">
        <v>1</v>
      </c>
      <c r="DG198" s="4">
        <v>1</v>
      </c>
      <c r="DH198" s="4">
        <v>0</v>
      </c>
      <c r="DI198" s="6"/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1.854</v>
      </c>
      <c r="DP198" s="4">
        <v>1.874</v>
      </c>
      <c r="DQ198" s="6"/>
      <c r="DR198" s="6"/>
      <c r="DS198" s="6"/>
      <c r="DT198" s="9"/>
      <c r="DU198" s="7">
        <f>IFERROR(DM198/F198,0)</f>
        <v>0</v>
      </c>
      <c r="DV198"/>
      <c r="DW198"/>
      <c r="DX198"/>
      <c r="DY198"/>
      <c r="DZ198"/>
      <c r="EA198" s="4"/>
      <c r="EB198" s="4"/>
      <c r="EC198" s="4"/>
      <c r="ED198" s="6"/>
      <c r="EE198" s="4"/>
      <c r="EF198" s="4"/>
      <c r="EG198" s="4"/>
      <c r="EH198" s="4"/>
      <c r="EI198" s="4"/>
      <c r="EJ198" s="4"/>
      <c r="EK198" s="4"/>
      <c r="EL198" s="6"/>
      <c r="EM198" s="6"/>
      <c r="EN198" s="6"/>
      <c r="EO198" s="9"/>
      <c r="EP198"/>
      <c r="EQ198"/>
      <c r="ER198"/>
      <c r="ES198"/>
      <c r="ET198"/>
      <c r="EU198"/>
      <c r="EV198" s="4"/>
      <c r="EW198" s="4"/>
      <c r="EX198" s="4"/>
      <c r="EY198" s="6"/>
      <c r="EZ198" s="4"/>
      <c r="FA198" s="4"/>
      <c r="FB198" s="4"/>
      <c r="FC198" s="4"/>
      <c r="FD198" s="4"/>
      <c r="FE198" s="4"/>
      <c r="FF198" s="4"/>
      <c r="FG198" s="6"/>
      <c r="FH198" s="6"/>
      <c r="FI198" s="6"/>
      <c r="FJ198" s="9"/>
      <c r="FK198"/>
      <c r="FL198"/>
      <c r="FM198"/>
      <c r="FN198"/>
      <c r="FO198"/>
      <c r="FP198"/>
      <c r="FQ198" s="4"/>
      <c r="FR198" s="4"/>
      <c r="FS198" s="4"/>
      <c r="FT198" s="6"/>
      <c r="FU198" s="4"/>
      <c r="FV198" s="4"/>
      <c r="FW198" s="4"/>
      <c r="FX198" s="4"/>
      <c r="FY198" s="4"/>
      <c r="FZ198" s="4"/>
      <c r="GA198" s="4"/>
      <c r="GB198" s="6"/>
      <c r="GC198" s="6"/>
      <c r="GD198" s="6"/>
      <c r="GE198" s="9"/>
      <c r="GF198"/>
      <c r="GG198"/>
      <c r="GH198"/>
      <c r="GI198"/>
      <c r="GJ198"/>
      <c r="GK198"/>
      <c r="GL198" s="4"/>
      <c r="GM198" s="4"/>
      <c r="GN198" s="4"/>
      <c r="GO198" s="6"/>
      <c r="GP198" s="4"/>
      <c r="GQ198" s="4"/>
      <c r="GR198" s="4"/>
      <c r="GS198" s="4"/>
      <c r="GT198" s="4"/>
      <c r="GU198" s="4"/>
      <c r="GV198" s="4"/>
      <c r="GW198" s="6"/>
      <c r="GX198" s="6"/>
      <c r="GY198" s="6"/>
      <c r="GZ198" s="9"/>
      <c r="HA198"/>
      <c r="HB198"/>
      <c r="HC198"/>
      <c r="HD198"/>
      <c r="HE198"/>
      <c r="HF198"/>
      <c r="HG198" s="4"/>
      <c r="HH198" s="4"/>
      <c r="HI198" s="4"/>
      <c r="HJ198" s="6"/>
      <c r="HK198" s="4"/>
      <c r="HL198" s="4"/>
      <c r="HM198" s="4"/>
      <c r="HN198" s="4"/>
      <c r="HO198" s="4"/>
      <c r="HP198" s="4"/>
      <c r="HQ198" s="4"/>
      <c r="HR198" s="6"/>
      <c r="HS198" s="6"/>
      <c r="HT198" s="6"/>
      <c r="HU198" s="9"/>
      <c r="HV198"/>
      <c r="HW198"/>
      <c r="HX198"/>
      <c r="HY198"/>
      <c r="HZ198"/>
      <c r="IA198"/>
      <c r="IB198" s="4"/>
      <c r="IC198" s="4"/>
      <c r="ID198" s="4"/>
      <c r="IE198" s="6"/>
      <c r="IF198" s="4"/>
      <c r="IG198" s="4"/>
      <c r="IH198" s="4"/>
      <c r="II198" s="4"/>
      <c r="IJ198" s="4"/>
      <c r="IK198" s="4"/>
      <c r="IL198" s="4"/>
      <c r="IM198" s="6"/>
      <c r="IN198" s="6"/>
      <c r="IO198" s="6"/>
      <c r="IP198" s="9"/>
      <c r="IQ198"/>
      <c r="IR198"/>
      <c r="IS198"/>
      <c r="IT198"/>
      <c r="IU198"/>
      <c r="IV198"/>
      <c r="IW198" s="4"/>
      <c r="IX198" s="4"/>
      <c r="IY198" s="4"/>
      <c r="IZ198" s="6"/>
      <c r="JA198" s="4"/>
      <c r="JB198" s="4"/>
      <c r="JC198" s="4"/>
      <c r="JD198" s="4"/>
      <c r="JE198" s="4"/>
      <c r="JF198" s="4"/>
      <c r="JG198" s="4"/>
      <c r="JH198" s="6"/>
      <c r="JI198" s="6"/>
      <c r="JJ198" s="6"/>
      <c r="JK198" s="9"/>
      <c r="JL198"/>
    </row>
    <row r="199">
      <c r="A199" s="8">
        <v>25497</v>
      </c>
      <c r="B199" s="8">
        <v>25498</v>
      </c>
      <c r="C199" s="9">
        <f>B199-A199</f>
        <v>1</v>
      </c>
      <c r="D199" s="8">
        <v>25497</v>
      </c>
      <c r="E199" t="inlineStr">
        <is>
          <t xml:space="preserve">positive</t>
        </is>
      </c>
      <c r="F199" s="4">
        <v>1.8888823823192364</v>
      </c>
      <c r="G199" s="6">
        <v>-0.012151052960057172</v>
      </c>
      <c r="H199" s="7">
        <f>SUM(CE199,CZ199,DU199,EP199,FK199,GF199,HA199,HV199,IQ199,JL199)</f>
        <v>-0.012151052960057172</v>
      </c>
      <c r="I199" s="7">
        <f>G199-H199</f>
        <v>0</v>
      </c>
      <c r="J199" s="5">
        <f>F199*(1+H199)</f>
        <v>1.8659304724563566</v>
      </c>
      <c r="K199" s="4">
        <v>1.8659304724563566</v>
      </c>
      <c r="L199" s="5">
        <f>K199-J199</f>
        <v>0</v>
      </c>
      <c r="M199" s="4">
        <v>1.874</v>
      </c>
      <c r="N199" s="4">
        <v>1.846</v>
      </c>
      <c r="O199" s="5">
        <f>M199/$M$3</f>
        <v>0.9570990806945864</v>
      </c>
      <c r="P199" s="5">
        <f>N199/$M$3</f>
        <v>0.9427987742594485</v>
      </c>
      <c r="Q199" s="7">
        <f>IFERROR(N199/M199-1,0)</f>
        <v>-0.014941302027748127</v>
      </c>
      <c r="R199" s="5">
        <f>SUM(IF(BM199="lease",BU199,0),IF(CH199="lease",CP199,0),IF(DC199="lease",DK199,0),IF(DX199="lease",EF199,0),IF(ES199="lease",FA199,0),IF(FN199="lease",FV199,0),IF(GI199="lease",GQ199,0),IF(HD199="lease",HL199,0),IF(HY199="lease",IG199,0),IF(IT199="lease",JB199,0))</f>
        <v>1.888882382319237</v>
      </c>
      <c r="S199" s="5">
        <f>SUM(IF(BM199="lease",BV199,0),IF(CH199="lease",CQ199,0),IF(DC199="lease",DL199,0),IF(DX199="lease",EG199,0),IF(ES199="lease",FB199,0),IF(FN199="lease",FW199,0),IF(GI199="lease",GR199,0),IF(HD199="lease",HM199,0),IF(HY199="lease",IH199,0),IF(IT199="lease",JC199,0))</f>
        <v>1.865930472456357</v>
      </c>
      <c r="T199" s="5">
        <f>SUM(IF(BM199="keep",BU199,0),IF(CH199="keep",CP199,0),IF(DC199="keep",DK199,0),IF(DX199="keep",EF199,0),IF(ES199="keep",FA199,0),IF(FN199="keep",FV199,0),IF(GI199="keep",GQ199,0),IF(HD199="keep",HL199,0),IF(HY199="keep",IG199,0),IF(IT199="keep",JB199,0))</f>
        <v>0</v>
      </c>
      <c r="U199" s="5">
        <f>SUM(IF(BM199="keep",BV199,0),IF(CH199="keep",CQ199,0),IF(DC199="keep",DL199,0),IF(DX199="keep",EG199,0),IF(ES199="keep",FB199,0),IF(FN199="keep",FW199,0),IF(GI199="keep",GR199,0),IF(HD199="keep",HM199,0),IF(HY199="keep",IH199,0),IF(IT199="keep",JC199,0))</f>
        <v>0</v>
      </c>
      <c r="V199" s="5">
        <f>R199/O199</f>
        <v>1.9735494688266093</v>
      </c>
      <c r="W199" s="5">
        <f>S199/P199</f>
        <v>1.979139688553384</v>
      </c>
      <c r="X199" s="5">
        <f>T199/O199</f>
        <v>0</v>
      </c>
      <c r="Y199" s="5">
        <f>U199/P199</f>
        <v>0</v>
      </c>
      <c r="Z199" s="5">
        <f>V199+X199</f>
        <v>1.9735494688266093</v>
      </c>
      <c r="AA199" s="7">
        <f>IFERROR(W199/V199-1,0)</f>
        <v>0.0028325713720762646</v>
      </c>
      <c r="AB199" s="7">
        <f>IFERROR((W199-V199)/Z199,0)</f>
        <v>0.002832571372076359</v>
      </c>
      <c r="AC199" s="7">
        <f>IFERROR(Y199/X199-1,0)</f>
        <v>0</v>
      </c>
      <c r="AD199" s="7">
        <f>IFERROR((Y199-X199)/Z199,0)</f>
        <v>0</v>
      </c>
      <c r="AE199" s="7">
        <f>AB199+AD199</f>
        <v>0.002832571372076359</v>
      </c>
      <c r="AF199" s="7">
        <f>(1+Q199)*(1+AE199)-1</f>
        <v>-0.012151052960057251</v>
      </c>
      <c r="AG199" s="7">
        <f>G199-AF199</f>
        <v>7.979727989493313e-17</v>
      </c>
      <c r="AH199" s="5">
        <f>SUM(IF(BM199="lease",BW199,0),IF(CH199="lease",CR199,0),IF(DC199="lease",DM199,0),IF(DX199="lease",EH199,0),IF(ES199="lease",FC199,0),IF(FN199="lease",FX199,0),IF(GI199="lease",GS199,0),IF(HD199="lease",HN199,0),IF(HY199="lease",II199,0),IF(IT199="lease",JD199,0))</f>
        <v>-0.02295190986288</v>
      </c>
      <c r="AI199" s="5">
        <f>SUM(IF(BM199="keep",BW199,0),IF(CH199="keep",CR199,0),IF(DC199="keep",DM199,0),IF(DX199="keep",EH199,0),IF(ES199="keep",FC199,0),IF(FN199="keep",FX199,0),IF(GI199="keep",GS199,0),IF(HD199="keep",HN199,0),IF(HY199="keep",II199,0),IF(IT199="keep",JD199,0))</f>
        <v>0</v>
      </c>
      <c r="AJ199" s="5">
        <f>SUM(IF(BM199="lease",BX199,0),IF(CH199="lease",CS199,0),IF(DC199="lease",DN199,0),IF(DX199="lease",EI199,0),IF(ES199="lease",FD199,0),IF(FN199="lease",FY199,0),IF(GI199="lease",GT199,0),IF(HD199="lease",HO199,0),IF(HY199="lease",IJ199,0),IF(IT199="lease",JE199,0))</f>
        <v>0</v>
      </c>
      <c r="AK199" s="5">
        <f>SUM(IF(BM199="keep",BX199,0),IF(CH199="keep",CS199,0),IF(DC199="keep",DN199,0),IF(DX199="keep",EI199,0),IF(ES199="keep",FD199,0),IF(FN199="keep",FY199,0),IF(GI199="keep",GT199,0),IF(HD199="keep",HO199,0),IF(HY199="keep",IJ199,0),IF(IT199="keep",JE199,0))</f>
        <v>0</v>
      </c>
      <c r="AL199" s="5">
        <f>R199-S198</f>
        <v>0</v>
      </c>
      <c r="AM199" s="5">
        <f>T199-U198</f>
        <v>0</v>
      </c>
      <c r="AN199" s="5">
        <f>AN198</f>
        <v>1</v>
      </c>
      <c r="AO199" s="5">
        <f>AO198+AH199</f>
        <v>0.8659304724563569</v>
      </c>
      <c r="AP199" s="5">
        <f>AP198+AL199</f>
        <v>2.220446049250313e-16</v>
      </c>
      <c r="AQ199" s="5">
        <f>AN199+AO199+AP199</f>
        <v>1.865930472456357</v>
      </c>
      <c r="AR199" s="5">
        <f>S199-AQ199</f>
        <v>0</v>
      </c>
      <c r="AS199" s="5">
        <f>AS198</f>
        <v>0</v>
      </c>
      <c r="AT199" s="5">
        <f>AT198+AI199</f>
        <v>0</v>
      </c>
      <c r="AU199" s="5">
        <f>AU198+AM199</f>
        <v>0</v>
      </c>
      <c r="AV199" s="5">
        <f>AS199+AT199+AU199</f>
        <v>0</v>
      </c>
      <c r="AW199" s="5">
        <f>U199-AV199</f>
        <v>0</v>
      </c>
      <c r="AX199" s="4">
        <v>1.888882382319237</v>
      </c>
      <c r="AY199" s="4">
        <v>1.865930472456357</v>
      </c>
      <c r="AZ199" s="5">
        <f>S199-AY199</f>
        <v>0</v>
      </c>
      <c r="BA199" s="4">
        <v>0</v>
      </c>
      <c r="BB199" s="4">
        <v>0</v>
      </c>
      <c r="BC199" s="5">
        <f>U199-BB199</f>
        <v>0</v>
      </c>
      <c r="BD199" s="7">
        <f>SUM(IF(BL199="direct",CE199,0),IF(CG199="direct",CZ199,0),IF(DB199="direct",DU199,0),IF(DW199="direct",EP199,0),IF(ER199="direct",FK199,0),IF(FM199="direct",GF199,0),IF(GH199="direct",HA199,0),IF(HC199="direct",HV199,0),IF(HX199="direct",IQ199,0),IF(IS199="direct",JL199,0))</f>
        <v>-0.013135409678466981</v>
      </c>
      <c r="BE199" s="7">
        <f>SUM(IF(BL199="treasury",CE199,0),IF(CG199="treasury",CZ199,0),IF(DB199="treasury",DU199,0),IF(DW199="treasury",EP199,0),IF(ER199="treasury",FK199,0),IF(FM199="treasury",GF199,0),IF(GH199="treasury",HA199,0),IF(HC199="treasury",HV199,0),IF(HX199="treasury",IQ199,0),IF(IS199="treasury",JL199,0))</f>
        <v>0.000022924752562097975</v>
      </c>
      <c r="BF199" s="7">
        <f>SUM(IF(BL199="future",CE199,0),IF(CG199="future",CZ199,0),IF(DB199="future",DU199,0),IF(DW199="future",EP199,0),IF(ER199="future",FK199,0),IF(FM199="future",GF199,0),IF(GH199="future",HA199,0),IF(HC199="future",HV199,0),IF(HX199="future",IQ199,0),IF(IS199="future",JL199,0))</f>
        <v>0.0009614319658477108</v>
      </c>
      <c r="BG199" s="7">
        <f>SUM(IF(BL199="cash",CE199,0),IF(CG199="cash",CZ199,0),IF(DB199="cash",DU199,0),IF(DW199="cash",EP199,0),IF(ER199="cash",FK199,0),IF(FM199="cash",GF199,0),IF(GH199="cash",HA199,0),IF(HC199="cash",HV199,0),IF(HX199="cash",IQ199,0),IF(IS199="cash",JL199,0))</f>
        <v>0</v>
      </c>
      <c r="BH199" s="7">
        <f>SUM(BD199:BG199)</f>
        <v>-0.012151052960057172</v>
      </c>
      <c r="BI199" s="7">
        <f>G199-BH199</f>
        <v>0</v>
      </c>
      <c r="BJ199" s="9">
        <f>COUNTA(BK199,CF199,DA199,DV199,EQ199,FL199,GG199,HB199,HW199,IR199)</f>
        <v>5</v>
      </c>
      <c r="BK199" t="inlineStr">
        <is>
          <t xml:space="preserve">Direct commodity holding</t>
        </is>
      </c>
      <c r="BL199" t="inlineStr">
        <is>
          <t xml:space="preserve">direct</t>
        </is>
      </c>
      <c r="BM199" t="inlineStr">
        <is>
          <t xml:space="preserve">lease</t>
        </is>
      </c>
      <c r="BN199" t="inlineStr">
        <is>
          <t xml:space="preserve">long</t>
        </is>
      </c>
      <c r="BO199"/>
      <c r="BP199" s="4">
        <v>1.874</v>
      </c>
      <c r="BQ199" s="4">
        <v>1.846</v>
      </c>
      <c r="BR199" s="4">
        <v>0.8857098319472613</v>
      </c>
      <c r="BS199" s="6">
        <v>0.8787313813744093</v>
      </c>
      <c r="BT199" s="4">
        <v>1.6598202250691678</v>
      </c>
      <c r="BU199" s="4">
        <v>1.6598202250691678</v>
      </c>
      <c r="BV199" s="4">
        <v>1.6350203497746443</v>
      </c>
      <c r="BW199" s="4">
        <v>-0.024811243926201865</v>
      </c>
      <c r="BX199" s="4">
        <v>0.000011368631678321944</v>
      </c>
      <c r="BY199" s="4">
        <v>1.874</v>
      </c>
      <c r="BZ199" s="4">
        <v>1.846</v>
      </c>
      <c r="CA199" s="6"/>
      <c r="CB199" s="6"/>
      <c r="CC199" s="6"/>
      <c r="CD199" s="9"/>
      <c r="CE199" s="7">
        <f>IFERROR(BW199/F199,0)</f>
        <v>-0.013135409678466981</v>
      </c>
      <c r="CF199" t="inlineStr">
        <is>
          <t xml:space="preserve">Treasury collateral</t>
        </is>
      </c>
      <c r="CG199" t="inlineStr">
        <is>
          <t xml:space="preserve">treasury</t>
        </is>
      </c>
      <c r="CH199" t="inlineStr">
        <is>
          <t xml:space="preserve">lease</t>
        </is>
      </c>
      <c r="CI199" t="inlineStr">
        <is>
          <t xml:space="preserve">long</t>
        </is>
      </c>
      <c r="CJ199"/>
      <c r="CK199" s="4">
        <v>105.3163284252141</v>
      </c>
      <c r="CL199" s="4">
        <v>105.33623753935477</v>
      </c>
      <c r="CM199" s="4">
        <v>0.002174991861900384</v>
      </c>
      <c r="CN199" s="6">
        <v>0.12126861862559074</v>
      </c>
      <c r="CO199" s="4">
        <v>0.22906215725006876</v>
      </c>
      <c r="CP199" s="4">
        <v>0.22906215725006876</v>
      </c>
      <c r="CQ199" s="4">
        <v>0.22910545941130236</v>
      </c>
      <c r="CR199" s="4">
        <v>0.00004330216123357464</v>
      </c>
      <c r="CS199" s="4">
        <v>3.0222135558033436e-17</v>
      </c>
      <c r="CT199" s="4">
        <v>1.874</v>
      </c>
      <c r="CU199" s="4">
        <v>1.846</v>
      </c>
      <c r="CV199" s="6"/>
      <c r="CW199" s="6"/>
      <c r="CX199" s="6"/>
      <c r="CY199" s="9">
        <v>69</v>
      </c>
      <c r="CZ199" s="7">
        <f>IFERROR(CR199/F199,0)</f>
        <v>0.000022924752562097975</v>
      </c>
      <c r="DA199" t="inlineStr">
        <is>
          <t xml:space="preserve">SI69Z</t>
        </is>
      </c>
      <c r="DB199" t="inlineStr">
        <is>
          <t xml:space="preserve">future</t>
        </is>
      </c>
      <c r="DC199" t="inlineStr">
        <is>
          <t xml:space="preserve">lease</t>
        </is>
      </c>
      <c r="DD199" t="inlineStr">
        <is>
          <t xml:space="preserve">long</t>
        </is>
      </c>
      <c r="DE199" t="inlineStr">
        <is>
          <t xml:space="preserve">regular</t>
        </is>
      </c>
      <c r="DF199" s="4">
        <v>1.892</v>
      </c>
      <c r="DG199" s="4">
        <v>1.9069999999999998</v>
      </c>
      <c r="DH199" s="4">
        <v>0.1210687934725522</v>
      </c>
      <c r="DI199" s="6">
        <v>0.12126861862559074</v>
      </c>
      <c r="DJ199" s="4">
        <v>0.22906215725006876</v>
      </c>
      <c r="DK199" s="4">
        <v>0</v>
      </c>
      <c r="DL199" s="4">
        <v>0</v>
      </c>
      <c r="DM199" s="4">
        <v>0.0018160319020882909</v>
      </c>
      <c r="DN199" s="4">
        <v>-0.0018160319020882909</v>
      </c>
      <c r="DO199" s="4">
        <v>1.874</v>
      </c>
      <c r="DP199" s="4">
        <v>1.846</v>
      </c>
      <c r="DQ199" s="6">
        <v>0.009605122732123661</v>
      </c>
      <c r="DR199" s="6">
        <v>0.069</v>
      </c>
      <c r="DS199" s="6">
        <v>0.01819029279383861</v>
      </c>
      <c r="DT199" s="9">
        <v>69</v>
      </c>
      <c r="DU199" s="7">
        <f>IFERROR(DM199/F199,0)</f>
        <v>0.0009614319658477108</v>
      </c>
      <c r="DV199" t="inlineStr">
        <is>
          <t xml:space="preserve">Lease cash / margin / financing</t>
        </is>
      </c>
      <c r="DW199" t="inlineStr">
        <is>
          <t xml:space="preserve">cash</t>
        </is>
      </c>
      <c r="DX199" t="inlineStr">
        <is>
          <t xml:space="preserve">lease</t>
        </is>
      </c>
      <c r="DY199" t="inlineStr">
        <is>
          <t xml:space="preserve">cash</t>
        </is>
      </c>
      <c r="DZ199"/>
      <c r="EA199" s="4">
        <v>1</v>
      </c>
      <c r="EB199" s="4">
        <v>1</v>
      </c>
      <c r="EC199" s="4">
        <v>4.440892098500626e-16</v>
      </c>
      <c r="ED199" s="6"/>
      <c r="EE199" s="4">
        <v>4.440892098500626e-16</v>
      </c>
      <c r="EF199" s="4">
        <v>4.440892098500626e-16</v>
      </c>
      <c r="EG199" s="4">
        <v>0.0018046632704103829</v>
      </c>
      <c r="EH199" s="4">
        <v>0</v>
      </c>
      <c r="EI199" s="4">
        <v>0.0018046632704099388</v>
      </c>
      <c r="EJ199" s="4">
        <v>1.874</v>
      </c>
      <c r="EK199" s="4">
        <v>1.846</v>
      </c>
      <c r="EL199" s="6"/>
      <c r="EM199" s="6"/>
      <c r="EN199" s="6"/>
      <c r="EO199" s="9"/>
      <c r="EP199" s="7">
        <f>IFERROR(EH199/F199,0)</f>
        <v>0</v>
      </c>
      <c r="EQ199" t="inlineStr">
        <is>
          <t xml:space="preserve">Keep cash / margin / financing</t>
        </is>
      </c>
      <c r="ER199" t="inlineStr">
        <is>
          <t xml:space="preserve">cash</t>
        </is>
      </c>
      <c r="ES199" t="inlineStr">
        <is>
          <t xml:space="preserve">keep</t>
        </is>
      </c>
      <c r="ET199" t="inlineStr">
        <is>
          <t xml:space="preserve">cash</t>
        </is>
      </c>
      <c r="EU199"/>
      <c r="EV199" s="4">
        <v>1</v>
      </c>
      <c r="EW199" s="4">
        <v>1</v>
      </c>
      <c r="EX199" s="4">
        <v>0</v>
      </c>
      <c r="EY199" s="6"/>
      <c r="EZ199" s="4">
        <v>0</v>
      </c>
      <c r="FA199" s="4">
        <v>0</v>
      </c>
      <c r="FB199" s="4">
        <v>0</v>
      </c>
      <c r="FC199" s="4">
        <v>0</v>
      </c>
      <c r="FD199" s="4">
        <v>0</v>
      </c>
      <c r="FE199" s="4">
        <v>1.874</v>
      </c>
      <c r="FF199" s="4">
        <v>1.846</v>
      </c>
      <c r="FG199" s="6"/>
      <c r="FH199" s="6"/>
      <c r="FI199" s="6"/>
      <c r="FJ199" s="9"/>
      <c r="FK199" s="7">
        <f>IFERROR(FC199/F199,0)</f>
        <v>0</v>
      </c>
      <c r="FL199"/>
      <c r="FM199"/>
      <c r="FN199"/>
      <c r="FO199"/>
      <c r="FP199"/>
      <c r="FQ199" s="4"/>
      <c r="FR199" s="4"/>
      <c r="FS199" s="4"/>
      <c r="FT199" s="6"/>
      <c r="FU199" s="4"/>
      <c r="FV199" s="4"/>
      <c r="FW199" s="4"/>
      <c r="FX199" s="4"/>
      <c r="FY199" s="4"/>
      <c r="FZ199" s="4"/>
      <c r="GA199" s="4"/>
      <c r="GB199" s="6"/>
      <c r="GC199" s="6"/>
      <c r="GD199" s="6"/>
      <c r="GE199" s="9"/>
      <c r="GF199"/>
      <c r="GG199"/>
      <c r="GH199"/>
      <c r="GI199"/>
      <c r="GJ199"/>
      <c r="GK199"/>
      <c r="GL199" s="4"/>
      <c r="GM199" s="4"/>
      <c r="GN199" s="4"/>
      <c r="GO199" s="6"/>
      <c r="GP199" s="4"/>
      <c r="GQ199" s="4"/>
      <c r="GR199" s="4"/>
      <c r="GS199" s="4"/>
      <c r="GT199" s="4"/>
      <c r="GU199" s="4"/>
      <c r="GV199" s="4"/>
      <c r="GW199" s="6"/>
      <c r="GX199" s="6"/>
      <c r="GY199" s="6"/>
      <c r="GZ199" s="9"/>
      <c r="HA199"/>
      <c r="HB199"/>
      <c r="HC199"/>
      <c r="HD199"/>
      <c r="HE199"/>
      <c r="HF199"/>
      <c r="HG199" s="4"/>
      <c r="HH199" s="4"/>
      <c r="HI199" s="4"/>
      <c r="HJ199" s="6"/>
      <c r="HK199" s="4"/>
      <c r="HL199" s="4"/>
      <c r="HM199" s="4"/>
      <c r="HN199" s="4"/>
      <c r="HO199" s="4"/>
      <c r="HP199" s="4"/>
      <c r="HQ199" s="4"/>
      <c r="HR199" s="6"/>
      <c r="HS199" s="6"/>
      <c r="HT199" s="6"/>
      <c r="HU199" s="9"/>
      <c r="HV199"/>
      <c r="HW199"/>
      <c r="HX199"/>
      <c r="HY199"/>
      <c r="HZ199"/>
      <c r="IA199"/>
      <c r="IB199" s="4"/>
      <c r="IC199" s="4"/>
      <c r="ID199" s="4"/>
      <c r="IE199" s="6"/>
      <c r="IF199" s="4"/>
      <c r="IG199" s="4"/>
      <c r="IH199" s="4"/>
      <c r="II199" s="4"/>
      <c r="IJ199" s="4"/>
      <c r="IK199" s="4"/>
      <c r="IL199" s="4"/>
      <c r="IM199" s="6"/>
      <c r="IN199" s="6"/>
      <c r="IO199" s="6"/>
      <c r="IP199" s="9"/>
      <c r="IQ199"/>
      <c r="IR199"/>
      <c r="IS199"/>
      <c r="IT199"/>
      <c r="IU199"/>
      <c r="IV199"/>
      <c r="IW199" s="4"/>
      <c r="IX199" s="4"/>
      <c r="IY199" s="4"/>
      <c r="IZ199" s="6"/>
      <c r="JA199" s="4"/>
      <c r="JB199" s="4"/>
      <c r="JC199" s="4"/>
      <c r="JD199" s="4"/>
      <c r="JE199" s="4"/>
      <c r="JF199" s="4"/>
      <c r="JG199" s="4"/>
      <c r="JH199" s="6"/>
      <c r="JI199" s="6"/>
      <c r="JJ199" s="6"/>
      <c r="JK199" s="9"/>
      <c r="JL199"/>
    </row>
    <row r="200">
      <c r="A200" s="8">
        <v>25498</v>
      </c>
      <c r="B200" s="8">
        <v>25499</v>
      </c>
      <c r="C200" s="9">
        <f>B200-A200</f>
        <v>1</v>
      </c>
      <c r="D200" s="8">
        <v>25498</v>
      </c>
      <c r="E200" t="inlineStr">
        <is>
          <t xml:space="preserve">neutral</t>
        </is>
      </c>
      <c r="F200" s="4">
        <v>1.8659304724563566</v>
      </c>
      <c r="G200" s="6">
        <v>0.009202251443328044</v>
      </c>
      <c r="H200" s="7">
        <f>SUM(CE200,CZ200,DU200,EP200,FK200,GF200,HA200,HV200,IQ200,JL200)</f>
        <v>0.009202251443328044</v>
      </c>
      <c r="I200" s="7">
        <f>G200-H200</f>
        <v>0</v>
      </c>
      <c r="J200" s="5">
        <f>F200*(1+H200)</f>
        <v>1.883101233839668</v>
      </c>
      <c r="K200" s="4">
        <v>1.883101233839668</v>
      </c>
      <c r="L200" s="5">
        <f>K200-J200</f>
        <v>0</v>
      </c>
      <c r="M200" s="4">
        <v>1.846</v>
      </c>
      <c r="N200" s="4">
        <v>1.863</v>
      </c>
      <c r="O200" s="5">
        <f>M200/$M$3</f>
        <v>0.9427987742594485</v>
      </c>
      <c r="P200" s="5">
        <f>N200/$M$3</f>
        <v>0.9514811031664965</v>
      </c>
      <c r="Q200" s="7">
        <f>IFERROR(N200/M200-1,0)</f>
        <v>0.009209100758396538</v>
      </c>
      <c r="R200" s="5">
        <f>SUM(IF(BM200="lease",BU200,0),IF(CH200="lease",CP200,0),IF(DC200="lease",DK200,0),IF(DX200="lease",EF200,0),IF(ES200="lease",FA200,0),IF(FN200="lease",FV200,0),IF(GI200="lease",GQ200,0),IF(HD200="lease",HL200,0),IF(HY200="lease",IG200,0),IF(IT200="lease",JB200,0))</f>
        <v>1.865930472456357</v>
      </c>
      <c r="S200" s="5">
        <f>SUM(IF(BM200="lease",BV200,0),IF(CH200="lease",CQ200,0),IF(DC200="lease",DL200,0),IF(DX200="lease",EG200,0),IF(ES200="lease",FB200,0),IF(FN200="lease",FW200,0),IF(GI200="lease",GR200,0),IF(HD200="lease",HM200,0),IF(HY200="lease",IH200,0),IF(IT200="lease",JC200,0))</f>
        <v>1.8831012338396682</v>
      </c>
      <c r="T200" s="5">
        <f>SUM(IF(BM200="keep",BU200,0),IF(CH200="keep",CP200,0),IF(DC200="keep",DK200,0),IF(DX200="keep",EF200,0),IF(ES200="keep",FA200,0),IF(FN200="keep",FV200,0),IF(GI200="keep",GQ200,0),IF(HD200="keep",HL200,0),IF(HY200="keep",IG200,0),IF(IT200="keep",JB200,0))</f>
        <v>0</v>
      </c>
      <c r="U200" s="5">
        <f>SUM(IF(BM200="keep",BV200,0),IF(CH200="keep",CQ200,0),IF(DC200="keep",DL200,0),IF(DX200="keep",EG200,0),IF(ES200="keep",FB200,0),IF(FN200="keep",FW200,0),IF(GI200="keep",GR200,0),IF(HD200="keep",HM200,0),IF(HY200="keep",IH200,0),IF(IT200="keep",JC200,0))</f>
        <v>0</v>
      </c>
      <c r="V200" s="5">
        <f>R200/O200</f>
        <v>1.979139688553384</v>
      </c>
      <c r="W200" s="5">
        <f>S200/P200</f>
        <v>1.9791262564992325</v>
      </c>
      <c r="X200" s="5">
        <f>T200/O200</f>
        <v>0</v>
      </c>
      <c r="Y200" s="5">
        <f>U200/P200</f>
        <v>0</v>
      </c>
      <c r="Z200" s="5">
        <f>V200+X200</f>
        <v>1.979139688553384</v>
      </c>
      <c r="AA200" s="7">
        <f>IFERROR(W200/V200-1,0)</f>
        <v>-0.000006786814609083258</v>
      </c>
      <c r="AB200" s="7">
        <f>IFERROR((W200-V200)/Z200,0)</f>
        <v>-0.000006786814609041288</v>
      </c>
      <c r="AC200" s="7">
        <f>IFERROR(Y200/X200-1,0)</f>
        <v>0</v>
      </c>
      <c r="AD200" s="7">
        <f>IFERROR((Y200-X200)/Z200,0)</f>
        <v>0</v>
      </c>
      <c r="AE200" s="7">
        <f>AB200+AD200</f>
        <v>-0.000006786814609041288</v>
      </c>
      <c r="AF200" s="7">
        <f>(1+Q200)*(1+AE200)-1</f>
        <v>0.009202251443327869</v>
      </c>
      <c r="AG200" s="7">
        <f>G200-AF200</f>
        <v>1.7520707107365752e-16</v>
      </c>
      <c r="AH200" s="5">
        <f>SUM(IF(BM200="lease",BW200,0),IF(CH200="lease",CR200,0),IF(DC200="lease",DM200,0),IF(DX200="lease",EH200,0),IF(ES200="lease",FC200,0),IF(FN200="lease",FX200,0),IF(GI200="lease",GS200,0),IF(HD200="lease",HN200,0),IF(HY200="lease",II200,0),IF(IT200="lease",JD200,0))</f>
        <v>0.017170761383311285</v>
      </c>
      <c r="AI200" s="5">
        <f>SUM(IF(BM200="keep",BW200,0),IF(CH200="keep",CR200,0),IF(DC200="keep",DM200,0),IF(DX200="keep",EH200,0),IF(ES200="keep",FC200,0),IF(FN200="keep",FX200,0),IF(GI200="keep",GS200,0),IF(HD200="keep",HN200,0),IF(HY200="keep",II200,0),IF(IT200="keep",JD200,0))</f>
        <v>0</v>
      </c>
      <c r="AJ200" s="5">
        <f>SUM(IF(BM200="lease",BX200,0),IF(CH200="lease",CS200,0),IF(DC200="lease",DN200,0),IF(DX200="lease",EI200,0),IF(ES200="lease",FD200,0),IF(FN200="lease",FY200,0),IF(GI200="lease",GT200,0),IF(HD200="lease",HO200,0),IF(HY200="lease",IJ200,0),IF(IT200="lease",JE200,0))</f>
        <v>0</v>
      </c>
      <c r="AK200" s="5">
        <f>SUM(IF(BM200="keep",BX200,0),IF(CH200="keep",CS200,0),IF(DC200="keep",DN200,0),IF(DX200="keep",EI200,0),IF(ES200="keep",FD200,0),IF(FN200="keep",FY200,0),IF(GI200="keep",GT200,0),IF(HD200="keep",HO200,0),IF(HY200="keep",IJ200,0),IF(IT200="keep",JE200,0))</f>
        <v>0</v>
      </c>
      <c r="AL200" s="5">
        <f>R200-S199</f>
        <v>0</v>
      </c>
      <c r="AM200" s="5">
        <f>T200-U199</f>
        <v>0</v>
      </c>
      <c r="AN200" s="5">
        <f>AN199</f>
        <v>1</v>
      </c>
      <c r="AO200" s="5">
        <f>AO199+AH200</f>
        <v>0.8831012338396682</v>
      </c>
      <c r="AP200" s="5">
        <f>AP199+AL200</f>
        <v>2.220446049250313e-16</v>
      </c>
      <c r="AQ200" s="5">
        <f>AN200+AO200+AP200</f>
        <v>1.8831012338396684</v>
      </c>
      <c r="AR200" s="5">
        <f>S200-AQ200</f>
        <v>-2.220446049250313e-16</v>
      </c>
      <c r="AS200" s="5">
        <f>AS199</f>
        <v>0</v>
      </c>
      <c r="AT200" s="5">
        <f>AT199+AI200</f>
        <v>0</v>
      </c>
      <c r="AU200" s="5">
        <f>AU199+AM200</f>
        <v>0</v>
      </c>
      <c r="AV200" s="5">
        <f>AS200+AT200+AU200</f>
        <v>0</v>
      </c>
      <c r="AW200" s="5">
        <f>U200-AV200</f>
        <v>0</v>
      </c>
      <c r="AX200" s="4">
        <v>1.865930472456357</v>
      </c>
      <c r="AY200" s="4">
        <v>1.8831012338396682</v>
      </c>
      <c r="AZ200" s="5">
        <f>S200-AY200</f>
        <v>0</v>
      </c>
      <c r="BA200" s="4">
        <v>0</v>
      </c>
      <c r="BB200" s="4">
        <v>0</v>
      </c>
      <c r="BC200" s="5">
        <f>U200-BB200</f>
        <v>0</v>
      </c>
      <c r="BD200" s="7">
        <f>SUM(IF(BL200="direct",CE200,0),IF(CG200="direct",CZ200,0),IF(DB200="direct",DU200,0),IF(DW200="direct",EP200,0),IF(ER200="direct",FK200,0),IF(FM200="direct",GF200,0),IF(GH200="direct",HA200,0),IF(HC200="direct",HV200,0),IF(HX200="direct",IQ200,0),IF(IS200="direct",JL200,0))</f>
        <v>0.009202251443328044</v>
      </c>
      <c r="BE200" s="7">
        <f>SUM(IF(BL200="treasury",CE200,0),IF(CG200="treasury",CZ200,0),IF(DB200="treasury",DU200,0),IF(DW200="treasury",EP200,0),IF(ER200="treasury",FK200,0),IF(FM200="treasury",GF200,0),IF(GH200="treasury",HA200,0),IF(HC200="treasury",HV200,0),IF(HX200="treasury",IQ200,0),IF(IS200="treasury",JL200,0))</f>
        <v>0</v>
      </c>
      <c r="BF200" s="7">
        <f>SUM(IF(BL200="future",CE200,0),IF(CG200="future",CZ200,0),IF(DB200="future",DU200,0),IF(DW200="future",EP200,0),IF(ER200="future",FK200,0),IF(FM200="future",GF200,0),IF(GH200="future",HA200,0),IF(HC200="future",HV200,0),IF(HX200="future",IQ200,0),IF(IS200="future",JL200,0))</f>
        <v>0</v>
      </c>
      <c r="BG200" s="7">
        <f>SUM(IF(BL200="cash",CE200,0),IF(CG200="cash",CZ200,0),IF(DB200="cash",DU200,0),IF(DW200="cash",EP200,0),IF(ER200="cash",FK200,0),IF(FM200="cash",GF200,0),IF(GH200="cash",HA200,0),IF(HC200="cash",HV200,0),IF(HX200="cash",IQ200,0),IF(IS200="cash",JL200,0))</f>
        <v>0</v>
      </c>
      <c r="BH200" s="7">
        <f>SUM(BD200:BG200)</f>
        <v>0.009202251443328044</v>
      </c>
      <c r="BI200" s="7">
        <f>G200-BH200</f>
        <v>0</v>
      </c>
      <c r="BJ200" s="9">
        <f>COUNTA(BK200,CF200,DA200,DV200,EQ200,FL200,GG200,HB200,HW200,IR200)</f>
        <v>3</v>
      </c>
      <c r="BK200" t="inlineStr">
        <is>
          <t xml:space="preserve">Direct commodity holding</t>
        </is>
      </c>
      <c r="BL200" t="inlineStr">
        <is>
          <t xml:space="preserve">direct</t>
        </is>
      </c>
      <c r="BM200" t="inlineStr">
        <is>
          <t xml:space="preserve">lease</t>
        </is>
      </c>
      <c r="BN200" t="inlineStr">
        <is>
          <t xml:space="preserve">long</t>
        </is>
      </c>
      <c r="BO200"/>
      <c r="BP200" s="4">
        <v>1.846</v>
      </c>
      <c r="BQ200" s="4">
        <v>1.863</v>
      </c>
      <c r="BR200" s="4">
        <v>1.0107965722948844</v>
      </c>
      <c r="BS200" s="6">
        <v>1</v>
      </c>
      <c r="BT200" s="4">
        <v>1.8659304724563566</v>
      </c>
      <c r="BU200" s="4">
        <v>1.8659304724563566</v>
      </c>
      <c r="BV200" s="4">
        <v>1.8831140141853697</v>
      </c>
      <c r="BW200" s="4">
        <v>0.017170761383311285</v>
      </c>
      <c r="BX200" s="4">
        <v>0.000012780345701866869</v>
      </c>
      <c r="BY200" s="4">
        <v>1.846</v>
      </c>
      <c r="BZ200" s="4">
        <v>1.863</v>
      </c>
      <c r="CA200" s="6"/>
      <c r="CB200" s="6"/>
      <c r="CC200" s="6"/>
      <c r="CD200" s="9"/>
      <c r="CE200" s="7">
        <f>IFERROR(BW200/F200,0)</f>
        <v>0.009202251443328044</v>
      </c>
      <c r="CF200" t="inlineStr">
        <is>
          <t xml:space="preserve">Lease cash / margin / financing</t>
        </is>
      </c>
      <c r="CG200" t="inlineStr">
        <is>
          <t xml:space="preserve">cash</t>
        </is>
      </c>
      <c r="CH200" t="inlineStr">
        <is>
          <t xml:space="preserve">lease</t>
        </is>
      </c>
      <c r="CI200" t="inlineStr">
        <is>
          <t xml:space="preserve">cash</t>
        </is>
      </c>
      <c r="CJ200"/>
      <c r="CK200" s="4">
        <v>1</v>
      </c>
      <c r="CL200" s="4">
        <v>1</v>
      </c>
      <c r="CM200" s="4">
        <v>4.440892098500626e-16</v>
      </c>
      <c r="CN200" s="6"/>
      <c r="CO200" s="4">
        <v>4.440892098500626e-16</v>
      </c>
      <c r="CP200" s="4">
        <v>4.440892098500626e-16</v>
      </c>
      <c r="CQ200" s="4">
        <v>-0.00001278034570142278</v>
      </c>
      <c r="CR200" s="4">
        <v>0</v>
      </c>
      <c r="CS200" s="4">
        <v>-0.000012780345701866869</v>
      </c>
      <c r="CT200" s="4">
        <v>1.846</v>
      </c>
      <c r="CU200" s="4">
        <v>1.863</v>
      </c>
      <c r="CV200" s="6"/>
      <c r="CW200" s="6"/>
      <c r="CX200" s="6"/>
      <c r="CY200" s="9"/>
      <c r="CZ200" s="7">
        <f>IFERROR(CR200/F200,0)</f>
        <v>0</v>
      </c>
      <c r="DA200" t="inlineStr">
        <is>
          <t xml:space="preserve">Keep cash / margin / financing</t>
        </is>
      </c>
      <c r="DB200" t="inlineStr">
        <is>
          <t xml:space="preserve">cash</t>
        </is>
      </c>
      <c r="DC200" t="inlineStr">
        <is>
          <t xml:space="preserve">keep</t>
        </is>
      </c>
      <c r="DD200" t="inlineStr">
        <is>
          <t xml:space="preserve">cash</t>
        </is>
      </c>
      <c r="DE200"/>
      <c r="DF200" s="4">
        <v>1</v>
      </c>
      <c r="DG200" s="4">
        <v>1</v>
      </c>
      <c r="DH200" s="4">
        <v>0</v>
      </c>
      <c r="DI200" s="6"/>
      <c r="DJ200" s="4">
        <v>0</v>
      </c>
      <c r="DK200" s="4">
        <v>0</v>
      </c>
      <c r="DL200" s="4">
        <v>0</v>
      </c>
      <c r="DM200" s="4">
        <v>0</v>
      </c>
      <c r="DN200" s="4">
        <v>0</v>
      </c>
      <c r="DO200" s="4">
        <v>1.846</v>
      </c>
      <c r="DP200" s="4">
        <v>1.863</v>
      </c>
      <c r="DQ200" s="6"/>
      <c r="DR200" s="6"/>
      <c r="DS200" s="6"/>
      <c r="DT200" s="9"/>
      <c r="DU200" s="7">
        <f>IFERROR(DM200/F200,0)</f>
        <v>0</v>
      </c>
      <c r="DV200"/>
      <c r="DW200"/>
      <c r="DX200"/>
      <c r="DY200"/>
      <c r="DZ200"/>
      <c r="EA200" s="4"/>
      <c r="EB200" s="4"/>
      <c r="EC200" s="4"/>
      <c r="ED200" s="6"/>
      <c r="EE200" s="4"/>
      <c r="EF200" s="4"/>
      <c r="EG200" s="4"/>
      <c r="EH200" s="4"/>
      <c r="EI200" s="4"/>
      <c r="EJ200" s="4"/>
      <c r="EK200" s="4"/>
      <c r="EL200" s="6"/>
      <c r="EM200" s="6"/>
      <c r="EN200" s="6"/>
      <c r="EO200" s="9"/>
      <c r="EP200"/>
      <c r="EQ200"/>
      <c r="ER200"/>
      <c r="ES200"/>
      <c r="ET200"/>
      <c r="EU200"/>
      <c r="EV200" s="4"/>
      <c r="EW200" s="4"/>
      <c r="EX200" s="4"/>
      <c r="EY200" s="6"/>
      <c r="EZ200" s="4"/>
      <c r="FA200" s="4"/>
      <c r="FB200" s="4"/>
      <c r="FC200" s="4"/>
      <c r="FD200" s="4"/>
      <c r="FE200" s="4"/>
      <c r="FF200" s="4"/>
      <c r="FG200" s="6"/>
      <c r="FH200" s="6"/>
      <c r="FI200" s="6"/>
      <c r="FJ200" s="9"/>
      <c r="FK200"/>
      <c r="FL200"/>
      <c r="FM200"/>
      <c r="FN200"/>
      <c r="FO200"/>
      <c r="FP200"/>
      <c r="FQ200" s="4"/>
      <c r="FR200" s="4"/>
      <c r="FS200" s="4"/>
      <c r="FT200" s="6"/>
      <c r="FU200" s="4"/>
      <c r="FV200" s="4"/>
      <c r="FW200" s="4"/>
      <c r="FX200" s="4"/>
      <c r="FY200" s="4"/>
      <c r="FZ200" s="4"/>
      <c r="GA200" s="4"/>
      <c r="GB200" s="6"/>
      <c r="GC200" s="6"/>
      <c r="GD200" s="6"/>
      <c r="GE200" s="9"/>
      <c r="GF200"/>
      <c r="GG200"/>
      <c r="GH200"/>
      <c r="GI200"/>
      <c r="GJ200"/>
      <c r="GK200"/>
      <c r="GL200" s="4"/>
      <c r="GM200" s="4"/>
      <c r="GN200" s="4"/>
      <c r="GO200" s="6"/>
      <c r="GP200" s="4"/>
      <c r="GQ200" s="4"/>
      <c r="GR200" s="4"/>
      <c r="GS200" s="4"/>
      <c r="GT200" s="4"/>
      <c r="GU200" s="4"/>
      <c r="GV200" s="4"/>
      <c r="GW200" s="6"/>
      <c r="GX200" s="6"/>
      <c r="GY200" s="6"/>
      <c r="GZ200" s="9"/>
      <c r="HA200"/>
      <c r="HB200"/>
      <c r="HC200"/>
      <c r="HD200"/>
      <c r="HE200"/>
      <c r="HF200"/>
      <c r="HG200" s="4"/>
      <c r="HH200" s="4"/>
      <c r="HI200" s="4"/>
      <c r="HJ200" s="6"/>
      <c r="HK200" s="4"/>
      <c r="HL200" s="4"/>
      <c r="HM200" s="4"/>
      <c r="HN200" s="4"/>
      <c r="HO200" s="4"/>
      <c r="HP200" s="4"/>
      <c r="HQ200" s="4"/>
      <c r="HR200" s="6"/>
      <c r="HS200" s="6"/>
      <c r="HT200" s="6"/>
      <c r="HU200" s="9"/>
      <c r="HV200"/>
      <c r="HW200"/>
      <c r="HX200"/>
      <c r="HY200"/>
      <c r="HZ200"/>
      <c r="IA200"/>
      <c r="IB200" s="4"/>
      <c r="IC200" s="4"/>
      <c r="ID200" s="4"/>
      <c r="IE200" s="6"/>
      <c r="IF200" s="4"/>
      <c r="IG200" s="4"/>
      <c r="IH200" s="4"/>
      <c r="II200" s="4"/>
      <c r="IJ200" s="4"/>
      <c r="IK200" s="4"/>
      <c r="IL200" s="4"/>
      <c r="IM200" s="6"/>
      <c r="IN200" s="6"/>
      <c r="IO200" s="6"/>
      <c r="IP200" s="9"/>
      <c r="IQ200"/>
      <c r="IR200"/>
      <c r="IS200"/>
      <c r="IT200"/>
      <c r="IU200"/>
      <c r="IV200"/>
      <c r="IW200" s="4"/>
      <c r="IX200" s="4"/>
      <c r="IY200" s="4"/>
      <c r="IZ200" s="6"/>
      <c r="JA200" s="4"/>
      <c r="JB200" s="4"/>
      <c r="JC200" s="4"/>
      <c r="JD200" s="4"/>
      <c r="JE200" s="4"/>
      <c r="JF200" s="4"/>
      <c r="JG200" s="4"/>
      <c r="JH200" s="6"/>
      <c r="JI200" s="6"/>
      <c r="JJ200" s="6"/>
      <c r="JK200" s="9"/>
      <c r="JL200"/>
    </row>
    <row r="201">
      <c r="A201" s="8">
        <v>25499</v>
      </c>
      <c r="B201" s="8">
        <v>25500</v>
      </c>
      <c r="C201" s="9">
        <f>B201-A201</f>
        <v>1</v>
      </c>
      <c r="D201" s="8">
        <v>25499</v>
      </c>
      <c r="E201" t="inlineStr">
        <is>
          <t xml:space="preserve">neutral</t>
        </is>
      </c>
      <c r="F201" s="4">
        <v>1.883101233839668</v>
      </c>
      <c r="G201" s="6">
        <v>-0.005374535842175333</v>
      </c>
      <c r="H201" s="7">
        <f>SUM(CE201,CZ201,DU201,EP201,FK201,GF201,HA201,HV201,IQ201,JL201)</f>
        <v>-0.0053745358421753335</v>
      </c>
      <c r="I201" s="7">
        <f>G201-H201</f>
        <v>8.673617379884035e-19</v>
      </c>
      <c r="J201" s="5">
        <f>F201*(1+H201)</f>
        <v>1.8729804387639521</v>
      </c>
      <c r="K201" s="4">
        <v>1.8729804387639521</v>
      </c>
      <c r="L201" s="5">
        <f>K201-J201</f>
        <v>0</v>
      </c>
      <c r="M201" s="4">
        <v>1.863</v>
      </c>
      <c r="N201" s="4">
        <v>1.853</v>
      </c>
      <c r="O201" s="5">
        <f>M201/$M$3</f>
        <v>0.9514811031664965</v>
      </c>
      <c r="P201" s="5">
        <f>N201/$M$3</f>
        <v>0.9463738508682329</v>
      </c>
      <c r="Q201" s="7">
        <f>IFERROR(N201/M201-1,0)</f>
        <v>-0.005367686527106841</v>
      </c>
      <c r="R201" s="5">
        <f>SUM(IF(BM201="lease",BU201,0),IF(CH201="lease",CP201,0),IF(DC201="lease",DK201,0),IF(DX201="lease",EF201,0),IF(ES201="lease",FA201,0),IF(FN201="lease",FV201,0),IF(GI201="lease",GQ201,0),IF(HD201="lease",HL201,0),IF(HY201="lease",IG201,0),IF(IT201="lease",JB201,0))</f>
        <v>1.8831012338396682</v>
      </c>
      <c r="S201" s="5">
        <f>SUM(IF(BM201="lease",BV201,0),IF(CH201="lease",CQ201,0),IF(DC201="lease",DL201,0),IF(DX201="lease",EG201,0),IF(ES201="lease",FB201,0),IF(FN201="lease",FW201,0),IF(GI201="lease",GR201,0),IF(HD201="lease",HM201,0),IF(HY201="lease",IH201,0),IF(IT201="lease",JC201,0))</f>
        <v>1.8729804387639524</v>
      </c>
      <c r="T201" s="5">
        <f>SUM(IF(BM201="keep",BU201,0),IF(CH201="keep",CP201,0),IF(DC201="keep",DK201,0),IF(DX201="keep",EF201,0),IF(ES201="keep",FA201,0),IF(FN201="keep",FV201,0),IF(GI201="keep",GQ201,0),IF(HD201="keep",HL201,0),IF(HY201="keep",IG201,0),IF(IT201="keep",JB201,0))</f>
        <v>0</v>
      </c>
      <c r="U201" s="5">
        <f>SUM(IF(BM201="keep",BV201,0),IF(CH201="keep",CQ201,0),IF(DC201="keep",DL201,0),IF(DX201="keep",EG201,0),IF(ES201="keep",FB201,0),IF(FN201="keep",FW201,0),IF(GI201="keep",GR201,0),IF(HD201="keep",HM201,0),IF(HY201="keep",IH201,0),IF(IT201="keep",JC201,0))</f>
        <v>0</v>
      </c>
      <c r="V201" s="5">
        <f>R201/O201</f>
        <v>1.9791262564992325</v>
      </c>
      <c r="W201" s="5">
        <f>S201/P201</f>
        <v>1.9791126276847375</v>
      </c>
      <c r="X201" s="5">
        <f>T201/O201</f>
        <v>0</v>
      </c>
      <c r="Y201" s="5">
        <f>U201/P201</f>
        <v>0</v>
      </c>
      <c r="Z201" s="5">
        <f>V201+X201</f>
        <v>1.9791262564992325</v>
      </c>
      <c r="AA201" s="7">
        <f>IFERROR(W201/V201-1,0)</f>
        <v>-0.000006886278452578054</v>
      </c>
      <c r="AB201" s="7">
        <f>IFERROR((W201-V201)/Z201,0)</f>
        <v>-0.000006886278452526061</v>
      </c>
      <c r="AC201" s="7">
        <f>IFERROR(Y201/X201-1,0)</f>
        <v>0</v>
      </c>
      <c r="AD201" s="7">
        <f>IFERROR((Y201-X201)/Z201,0)</f>
        <v>0</v>
      </c>
      <c r="AE201" s="7">
        <f>AB201+AD201</f>
        <v>-0.000006886278452526061</v>
      </c>
      <c r="AF201" s="7">
        <f>(1+Q201)*(1+AE201)-1</f>
        <v>-0.005374535842175399</v>
      </c>
      <c r="AG201" s="7">
        <f>G201-AF201</f>
        <v>6.591949208711867e-17</v>
      </c>
      <c r="AH201" s="5">
        <f>SUM(IF(BM201="lease",BW201,0),IF(CH201="lease",CR201,0),IF(DC201="lease",DM201,0),IF(DX201="lease",EH201,0),IF(ES201="lease",FC201,0),IF(FN201="lease",FX201,0),IF(GI201="lease",GS201,0),IF(HD201="lease",HN201,0),IF(HY201="lease",II201,0),IF(IT201="lease",JD201,0))</f>
        <v>-0.01012079507571589</v>
      </c>
      <c r="AI201" s="5">
        <f>SUM(IF(BM201="keep",BW201,0),IF(CH201="keep",CR201,0),IF(DC201="keep",DM201,0),IF(DX201="keep",EH201,0),IF(ES201="keep",FC201,0),IF(FN201="keep",FX201,0),IF(GI201="keep",GS201,0),IF(HD201="keep",HN201,0),IF(HY201="keep",II201,0),IF(IT201="keep",JD201,0))</f>
        <v>0</v>
      </c>
      <c r="AJ201" s="5">
        <f>SUM(IF(BM201="lease",BX201,0),IF(CH201="lease",CS201,0),IF(DC201="lease",DN201,0),IF(DX201="lease",EI201,0),IF(ES201="lease",FD201,0),IF(FN201="lease",FY201,0),IF(GI201="lease",GT201,0),IF(HD201="lease",HO201,0),IF(HY201="lease",IJ201,0),IF(IT201="lease",JE201,0))</f>
        <v>0</v>
      </c>
      <c r="AK201" s="5">
        <f>SUM(IF(BM201="keep",BX201,0),IF(CH201="keep",CS201,0),IF(DC201="keep",DN201,0),IF(DX201="keep",EI201,0),IF(ES201="keep",FD201,0),IF(FN201="keep",FY201,0),IF(GI201="keep",GT201,0),IF(HD201="keep",HO201,0),IF(HY201="keep",IJ201,0),IF(IT201="keep",JE201,0))</f>
        <v>0</v>
      </c>
      <c r="AL201" s="5">
        <f>R201-S200</f>
        <v>0</v>
      </c>
      <c r="AM201" s="5">
        <f>T201-U200</f>
        <v>0</v>
      </c>
      <c r="AN201" s="5">
        <f>AN200</f>
        <v>1</v>
      </c>
      <c r="AO201" s="5">
        <f>AO200+AH201</f>
        <v>0.8729804387639524</v>
      </c>
      <c r="AP201" s="5">
        <f>AP200+AL201</f>
        <v>2.220446049250313e-16</v>
      </c>
      <c r="AQ201" s="5">
        <f>AN201+AO201+AP201</f>
        <v>1.8729804387639526</v>
      </c>
      <c r="AR201" s="5">
        <f>S201-AQ201</f>
        <v>-2.220446049250313e-16</v>
      </c>
      <c r="AS201" s="5">
        <f>AS200</f>
        <v>0</v>
      </c>
      <c r="AT201" s="5">
        <f>AT200+AI201</f>
        <v>0</v>
      </c>
      <c r="AU201" s="5">
        <f>AU200+AM201</f>
        <v>0</v>
      </c>
      <c r="AV201" s="5">
        <f>AS201+AT201+AU201</f>
        <v>0</v>
      </c>
      <c r="AW201" s="5">
        <f>U201-AV201</f>
        <v>0</v>
      </c>
      <c r="AX201" s="4">
        <v>1.8831012338396682</v>
      </c>
      <c r="AY201" s="4">
        <v>1.8729804387639524</v>
      </c>
      <c r="AZ201" s="5">
        <f>S201-AY201</f>
        <v>0</v>
      </c>
      <c r="BA201" s="4">
        <v>0</v>
      </c>
      <c r="BB201" s="4">
        <v>0</v>
      </c>
      <c r="BC201" s="5">
        <f>U201-BB201</f>
        <v>0</v>
      </c>
      <c r="BD201" s="7">
        <f>SUM(IF(BL201="direct",CE201,0),IF(CG201="direct",CZ201,0),IF(DB201="direct",DU201,0),IF(DW201="direct",EP201,0),IF(ER201="direct",FK201,0),IF(FM201="direct",GF201,0),IF(GH201="direct",HA201,0),IF(HC201="direct",HV201,0),IF(HX201="direct",IQ201,0),IF(IS201="direct",JL201,0))</f>
        <v>-0.0053745358421753335</v>
      </c>
      <c r="BE201" s="7">
        <f>SUM(IF(BL201="treasury",CE201,0),IF(CG201="treasury",CZ201,0),IF(DB201="treasury",DU201,0),IF(DW201="treasury",EP201,0),IF(ER201="treasury",FK201,0),IF(FM201="treasury",GF201,0),IF(GH201="treasury",HA201,0),IF(HC201="treasury",HV201,0),IF(HX201="treasury",IQ201,0),IF(IS201="treasury",JL201,0))</f>
        <v>0</v>
      </c>
      <c r="BF201" s="7">
        <f>SUM(IF(BL201="future",CE201,0),IF(CG201="future",CZ201,0),IF(DB201="future",DU201,0),IF(DW201="future",EP201,0),IF(ER201="future",FK201,0),IF(FM201="future",GF201,0),IF(GH201="future",HA201,0),IF(HC201="future",HV201,0),IF(HX201="future",IQ201,0),IF(IS201="future",JL201,0))</f>
        <v>0</v>
      </c>
      <c r="BG201" s="7">
        <f>SUM(IF(BL201="cash",CE201,0),IF(CG201="cash",CZ201,0),IF(DB201="cash",DU201,0),IF(DW201="cash",EP201,0),IF(ER201="cash",FK201,0),IF(FM201="cash",GF201,0),IF(GH201="cash",HA201,0),IF(HC201="cash",HV201,0),IF(HX201="cash",IQ201,0),IF(IS201="cash",JL201,0))</f>
        <v>0</v>
      </c>
      <c r="BH201" s="7">
        <f>SUM(BD201:BG201)</f>
        <v>-0.0053745358421753335</v>
      </c>
      <c r="BI201" s="7">
        <f>G201-BH201</f>
        <v>8.673617379884035e-19</v>
      </c>
      <c r="BJ201" s="9">
        <f>COUNTA(BK201,CF201,DA201,DV201,EQ201,FL201,GG201,HB201,HW201,IR201)</f>
        <v>3</v>
      </c>
      <c r="BK201" t="inlineStr">
        <is>
          <t xml:space="preserve">Direct commodity holding</t>
        </is>
      </c>
      <c r="BL201" t="inlineStr">
        <is>
          <t xml:space="preserve">direct</t>
        </is>
      </c>
      <c r="BM201" t="inlineStr">
        <is>
          <t xml:space="preserve">lease</t>
        </is>
      </c>
      <c r="BN201" t="inlineStr">
        <is>
          <t xml:space="preserve">long</t>
        </is>
      </c>
      <c r="BO201"/>
      <c r="BP201" s="4">
        <v>1.863</v>
      </c>
      <c r="BQ201" s="4">
        <v>1.853</v>
      </c>
      <c r="BR201" s="4">
        <v>1.010789712205941</v>
      </c>
      <c r="BS201" s="6">
        <v>1</v>
      </c>
      <c r="BT201" s="4">
        <v>1.883101233839668</v>
      </c>
      <c r="BU201" s="4">
        <v>1.883101233839668</v>
      </c>
      <c r="BV201" s="4">
        <v>1.8729933367176088</v>
      </c>
      <c r="BW201" s="4">
        <v>-0.01012079507571589</v>
      </c>
      <c r="BX201" s="4">
        <v>0.000012897953656717392</v>
      </c>
      <c r="BY201" s="4">
        <v>1.863</v>
      </c>
      <c r="BZ201" s="4">
        <v>1.853</v>
      </c>
      <c r="CA201" s="6"/>
      <c r="CB201" s="6"/>
      <c r="CC201" s="6"/>
      <c r="CD201" s="9"/>
      <c r="CE201" s="7">
        <f>IFERROR(BW201/F201,0)</f>
        <v>-0.0053745358421753335</v>
      </c>
      <c r="CF201" t="inlineStr">
        <is>
          <t xml:space="preserve">Lease cash / margin / financing</t>
        </is>
      </c>
      <c r="CG201" t="inlineStr">
        <is>
          <t xml:space="preserve">cash</t>
        </is>
      </c>
      <c r="CH201" t="inlineStr">
        <is>
          <t xml:space="preserve">lease</t>
        </is>
      </c>
      <c r="CI201" t="inlineStr">
        <is>
          <t xml:space="preserve">cash</t>
        </is>
      </c>
      <c r="CJ201"/>
      <c r="CK201" s="4">
        <v>1</v>
      </c>
      <c r="CL201" s="4">
        <v>1</v>
      </c>
      <c r="CM201" s="4">
        <v>2.220446049250313e-16</v>
      </c>
      <c r="CN201" s="6"/>
      <c r="CO201" s="4">
        <v>2.220446049250313e-16</v>
      </c>
      <c r="CP201" s="4">
        <v>2.220446049250313e-16</v>
      </c>
      <c r="CQ201" s="4">
        <v>-0.000012897953656495348</v>
      </c>
      <c r="CR201" s="4">
        <v>0</v>
      </c>
      <c r="CS201" s="4">
        <v>-0.000012897953656717392</v>
      </c>
      <c r="CT201" s="4">
        <v>1.863</v>
      </c>
      <c r="CU201" s="4">
        <v>1.853</v>
      </c>
      <c r="CV201" s="6"/>
      <c r="CW201" s="6"/>
      <c r="CX201" s="6"/>
      <c r="CY201" s="9"/>
      <c r="CZ201" s="7">
        <f>IFERROR(CR201/F201,0)</f>
        <v>0</v>
      </c>
      <c r="DA201" t="inlineStr">
        <is>
          <t xml:space="preserve">Keep cash / margin / financing</t>
        </is>
      </c>
      <c r="DB201" t="inlineStr">
        <is>
          <t xml:space="preserve">cash</t>
        </is>
      </c>
      <c r="DC201" t="inlineStr">
        <is>
          <t xml:space="preserve">keep</t>
        </is>
      </c>
      <c r="DD201" t="inlineStr">
        <is>
          <t xml:space="preserve">cash</t>
        </is>
      </c>
      <c r="DE201"/>
      <c r="DF201" s="4">
        <v>1</v>
      </c>
      <c r="DG201" s="4">
        <v>1</v>
      </c>
      <c r="DH201" s="4">
        <v>0</v>
      </c>
      <c r="DI201" s="6"/>
      <c r="DJ201" s="4">
        <v>0</v>
      </c>
      <c r="DK201" s="4">
        <v>0</v>
      </c>
      <c r="DL201" s="4">
        <v>0</v>
      </c>
      <c r="DM201" s="4">
        <v>0</v>
      </c>
      <c r="DN201" s="4">
        <v>0</v>
      </c>
      <c r="DO201" s="4">
        <v>1.863</v>
      </c>
      <c r="DP201" s="4">
        <v>1.853</v>
      </c>
      <c r="DQ201" s="6"/>
      <c r="DR201" s="6"/>
      <c r="DS201" s="6"/>
      <c r="DT201" s="9"/>
      <c r="DU201" s="7">
        <f>IFERROR(DM201/F201,0)</f>
        <v>0</v>
      </c>
      <c r="DV201"/>
      <c r="DW201"/>
      <c r="DX201"/>
      <c r="DY201"/>
      <c r="DZ201"/>
      <c r="EA201" s="4"/>
      <c r="EB201" s="4"/>
      <c r="EC201" s="4"/>
      <c r="ED201" s="6"/>
      <c r="EE201" s="4"/>
      <c r="EF201" s="4"/>
      <c r="EG201" s="4"/>
      <c r="EH201" s="4"/>
      <c r="EI201" s="4"/>
      <c r="EJ201" s="4"/>
      <c r="EK201" s="4"/>
      <c r="EL201" s="6"/>
      <c r="EM201" s="6"/>
      <c r="EN201" s="6"/>
      <c r="EO201" s="9"/>
      <c r="EP201"/>
      <c r="EQ201"/>
      <c r="ER201"/>
      <c r="ES201"/>
      <c r="ET201"/>
      <c r="EU201"/>
      <c r="EV201" s="4"/>
      <c r="EW201" s="4"/>
      <c r="EX201" s="4"/>
      <c r="EY201" s="6"/>
      <c r="EZ201" s="4"/>
      <c r="FA201" s="4"/>
      <c r="FB201" s="4"/>
      <c r="FC201" s="4"/>
      <c r="FD201" s="4"/>
      <c r="FE201" s="4"/>
      <c r="FF201" s="4"/>
      <c r="FG201" s="6"/>
      <c r="FH201" s="6"/>
      <c r="FI201" s="6"/>
      <c r="FJ201" s="9"/>
      <c r="FK201"/>
      <c r="FL201"/>
      <c r="FM201"/>
      <c r="FN201"/>
      <c r="FO201"/>
      <c r="FP201"/>
      <c r="FQ201" s="4"/>
      <c r="FR201" s="4"/>
      <c r="FS201" s="4"/>
      <c r="FT201" s="6"/>
      <c r="FU201" s="4"/>
      <c r="FV201" s="4"/>
      <c r="FW201" s="4"/>
      <c r="FX201" s="4"/>
      <c r="FY201" s="4"/>
      <c r="FZ201" s="4"/>
      <c r="GA201" s="4"/>
      <c r="GB201" s="6"/>
      <c r="GC201" s="6"/>
      <c r="GD201" s="6"/>
      <c r="GE201" s="9"/>
      <c r="GF201"/>
      <c r="GG201"/>
      <c r="GH201"/>
      <c r="GI201"/>
      <c r="GJ201"/>
      <c r="GK201"/>
      <c r="GL201" s="4"/>
      <c r="GM201" s="4"/>
      <c r="GN201" s="4"/>
      <c r="GO201" s="6"/>
      <c r="GP201" s="4"/>
      <c r="GQ201" s="4"/>
      <c r="GR201" s="4"/>
      <c r="GS201" s="4"/>
      <c r="GT201" s="4"/>
      <c r="GU201" s="4"/>
      <c r="GV201" s="4"/>
      <c r="GW201" s="6"/>
      <c r="GX201" s="6"/>
      <c r="GY201" s="6"/>
      <c r="GZ201" s="9"/>
      <c r="HA201"/>
      <c r="HB201"/>
      <c r="HC201"/>
      <c r="HD201"/>
      <c r="HE201"/>
      <c r="HF201"/>
      <c r="HG201" s="4"/>
      <c r="HH201" s="4"/>
      <c r="HI201" s="4"/>
      <c r="HJ201" s="6"/>
      <c r="HK201" s="4"/>
      <c r="HL201" s="4"/>
      <c r="HM201" s="4"/>
      <c r="HN201" s="4"/>
      <c r="HO201" s="4"/>
      <c r="HP201" s="4"/>
      <c r="HQ201" s="4"/>
      <c r="HR201" s="6"/>
      <c r="HS201" s="6"/>
      <c r="HT201" s="6"/>
      <c r="HU201" s="9"/>
      <c r="HV201"/>
      <c r="HW201"/>
      <c r="HX201"/>
      <c r="HY201"/>
      <c r="HZ201"/>
      <c r="IA201"/>
      <c r="IB201" s="4"/>
      <c r="IC201" s="4"/>
      <c r="ID201" s="4"/>
      <c r="IE201" s="6"/>
      <c r="IF201" s="4"/>
      <c r="IG201" s="4"/>
      <c r="IH201" s="4"/>
      <c r="II201" s="4"/>
      <c r="IJ201" s="4"/>
      <c r="IK201" s="4"/>
      <c r="IL201" s="4"/>
      <c r="IM201" s="6"/>
      <c r="IN201" s="6"/>
      <c r="IO201" s="6"/>
      <c r="IP201" s="9"/>
      <c r="IQ201"/>
      <c r="IR201"/>
      <c r="IS201"/>
      <c r="IT201"/>
      <c r="IU201"/>
      <c r="IV201"/>
      <c r="IW201" s="4"/>
      <c r="IX201" s="4"/>
      <c r="IY201" s="4"/>
      <c r="IZ201" s="6"/>
      <c r="JA201" s="4"/>
      <c r="JB201" s="4"/>
      <c r="JC201" s="4"/>
      <c r="JD201" s="4"/>
      <c r="JE201" s="4"/>
      <c r="JF201" s="4"/>
      <c r="JG201" s="4"/>
      <c r="JH201" s="6"/>
      <c r="JI201" s="6"/>
      <c r="JJ201" s="6"/>
      <c r="JK201" s="9"/>
      <c r="JL201"/>
    </row>
    <row r="202">
      <c r="A202" s="8">
        <v>25500</v>
      </c>
      <c r="B202" s="8">
        <v>25503</v>
      </c>
      <c r="C202" s="9">
        <f>B202-A202</f>
        <v>3</v>
      </c>
      <c r="D202" s="8">
        <v>25500</v>
      </c>
      <c r="E202" t="inlineStr">
        <is>
          <t xml:space="preserve">neutral</t>
        </is>
      </c>
      <c r="F202" s="4">
        <v>1.8729804387639521</v>
      </c>
      <c r="G202" s="6">
        <v>0.028581718649505733</v>
      </c>
      <c r="H202" s="7">
        <f>SUM(CE202,CZ202,DU202,EP202,FK202,GF202,HA202,HV202,IQ202,JL202)</f>
        <v>0.028581718649505733</v>
      </c>
      <c r="I202" s="7">
        <f>G202-H202</f>
        <v>0</v>
      </c>
      <c r="J202" s="5">
        <f>F202*(1+H202)</f>
        <v>1.926513438700731</v>
      </c>
      <c r="K202" s="4">
        <v>1.926513438700731</v>
      </c>
      <c r="L202" s="5">
        <f>K202-J202</f>
        <v>0</v>
      </c>
      <c r="M202" s="4">
        <v>1.853</v>
      </c>
      <c r="N202" s="4">
        <v>1.906</v>
      </c>
      <c r="O202" s="5">
        <f>M202/$M$3</f>
        <v>0.9463738508682329</v>
      </c>
      <c r="P202" s="5">
        <f>N202/$M$3</f>
        <v>0.9734422880490295</v>
      </c>
      <c r="Q202" s="7">
        <f>IFERROR(N202/M202-1,0)</f>
        <v>0.028602266594711212</v>
      </c>
      <c r="R202" s="5">
        <f>SUM(IF(BM202="lease",BU202,0),IF(CH202="lease",CP202,0),IF(DC202="lease",DK202,0),IF(DX202="lease",EF202,0),IF(ES202="lease",FA202,0),IF(FN202="lease",FV202,0),IF(GI202="lease",GQ202,0),IF(HD202="lease",HL202,0),IF(HY202="lease",IG202,0),IF(IT202="lease",JB202,0))</f>
        <v>1.8729804387639524</v>
      </c>
      <c r="S202" s="5">
        <f>SUM(IF(BM202="lease",BV202,0),IF(CH202="lease",CQ202,0),IF(DC202="lease",DL202,0),IF(DX202="lease",EG202,0),IF(ES202="lease",FB202,0),IF(FN202="lease",FW202,0),IF(GI202="lease",GR202,0),IF(HD202="lease",HM202,0),IF(HY202="lease",IH202,0),IF(IT202="lease",JC202,0))</f>
        <v>1.9265134387007314</v>
      </c>
      <c r="T202" s="5">
        <f>SUM(IF(BM202="keep",BU202,0),IF(CH202="keep",CP202,0),IF(DC202="keep",DK202,0),IF(DX202="keep",EF202,0),IF(ES202="keep",FA202,0),IF(FN202="keep",FV202,0),IF(GI202="keep",GQ202,0),IF(HD202="keep",HL202,0),IF(HY202="keep",IG202,0),IF(IT202="keep",JB202,0))</f>
        <v>0</v>
      </c>
      <c r="U202" s="5">
        <f>SUM(IF(BM202="keep",BV202,0),IF(CH202="keep",CQ202,0),IF(DC202="keep",DL202,0),IF(DX202="keep",EG202,0),IF(ES202="keep",FB202,0),IF(FN202="keep",FW202,0),IF(GI202="keep",GR202,0),IF(HD202="keep",HM202,0),IF(HY202="keep",IH202,0),IF(IT202="keep",JC202,0))</f>
        <v>0</v>
      </c>
      <c r="V202" s="5">
        <f>R202/O202</f>
        <v>1.9791126276847375</v>
      </c>
      <c r="W202" s="5">
        <f>S202/P202</f>
        <v>1.9790730918027453</v>
      </c>
      <c r="X202" s="5">
        <f>T202/O202</f>
        <v>0</v>
      </c>
      <c r="Y202" s="5">
        <f>U202/P202</f>
        <v>0</v>
      </c>
      <c r="Z202" s="5">
        <f>V202+X202</f>
        <v>1.9791126276847375</v>
      </c>
      <c r="AA202" s="7">
        <f>IFERROR(W202/V202-1,0)</f>
        <v>-0.00001997657002394959</v>
      </c>
      <c r="AB202" s="7">
        <f>IFERROR((W202-V202)/Z202,0)</f>
        <v>-0.00001997657002395435</v>
      </c>
      <c r="AC202" s="7">
        <f>IFERROR(Y202/X202-1,0)</f>
        <v>0</v>
      </c>
      <c r="AD202" s="7">
        <f>IFERROR((Y202-X202)/Z202,0)</f>
        <v>0</v>
      </c>
      <c r="AE202" s="7">
        <f>AB202+AD202</f>
        <v>-0.00001997657002395435</v>
      </c>
      <c r="AF202" s="7">
        <f>(1+Q202)*(1+AE202)-1</f>
        <v>0.02858171864950587</v>
      </c>
      <c r="AG202" s="7">
        <f>G202-AF202</f>
        <v>-1.3877787807814457e-16</v>
      </c>
      <c r="AH202" s="5">
        <f>SUM(IF(BM202="lease",BW202,0),IF(CH202="lease",CR202,0),IF(DC202="lease",DM202,0),IF(DX202="lease",EH202,0),IF(ES202="lease",FC202,0),IF(FN202="lease",FX202,0),IF(GI202="lease",GS202,0),IF(HD202="lease",HN202,0),IF(HY202="lease",II202,0),IF(IT202="lease",JD202,0))</f>
        <v>0.05353299993677908</v>
      </c>
      <c r="AI202" s="5">
        <f>SUM(IF(BM202="keep",BW202,0),IF(CH202="keep",CR202,0),IF(DC202="keep",DM202,0),IF(DX202="keep",EH202,0),IF(ES202="keep",FC202,0),IF(FN202="keep",FX202,0),IF(GI202="keep",GS202,0),IF(HD202="keep",HN202,0),IF(HY202="keep",II202,0),IF(IT202="keep",JD202,0))</f>
        <v>0</v>
      </c>
      <c r="AJ202" s="5">
        <f>SUM(IF(BM202="lease",BX202,0),IF(CH202="lease",CS202,0),IF(DC202="lease",DN202,0),IF(DX202="lease",EI202,0),IF(ES202="lease",FD202,0),IF(FN202="lease",FY202,0),IF(GI202="lease",GT202,0),IF(HD202="lease",HO202,0),IF(HY202="lease",IJ202,0),IF(IT202="lease",JE202,0))</f>
        <v>0</v>
      </c>
      <c r="AK202" s="5">
        <f>SUM(IF(BM202="keep",BX202,0),IF(CH202="keep",CS202,0),IF(DC202="keep",DN202,0),IF(DX202="keep",EI202,0),IF(ES202="keep",FD202,0),IF(FN202="keep",FY202,0),IF(GI202="keep",GT202,0),IF(HD202="keep",HO202,0),IF(HY202="keep",IJ202,0),IF(IT202="keep",JE202,0))</f>
        <v>0</v>
      </c>
      <c r="AL202" s="5">
        <f>R202-S201</f>
        <v>0</v>
      </c>
      <c r="AM202" s="5">
        <f>T202-U201</f>
        <v>0</v>
      </c>
      <c r="AN202" s="5">
        <f>AN201</f>
        <v>1</v>
      </c>
      <c r="AO202" s="5">
        <f>AO201+AH202</f>
        <v>0.9265134387007314</v>
      </c>
      <c r="AP202" s="5">
        <f>AP201+AL202</f>
        <v>2.220446049250313e-16</v>
      </c>
      <c r="AQ202" s="5">
        <f>AN202+AO202+AP202</f>
        <v>1.9265134387007317</v>
      </c>
      <c r="AR202" s="5">
        <f>S202-AQ202</f>
        <v>-2.220446049250313e-16</v>
      </c>
      <c r="AS202" s="5">
        <f>AS201</f>
        <v>0</v>
      </c>
      <c r="AT202" s="5">
        <f>AT201+AI202</f>
        <v>0</v>
      </c>
      <c r="AU202" s="5">
        <f>AU201+AM202</f>
        <v>0</v>
      </c>
      <c r="AV202" s="5">
        <f>AS202+AT202+AU202</f>
        <v>0</v>
      </c>
      <c r="AW202" s="5">
        <f>U202-AV202</f>
        <v>0</v>
      </c>
      <c r="AX202" s="4">
        <v>1.8729804387639524</v>
      </c>
      <c r="AY202" s="4">
        <v>1.9265134387007314</v>
      </c>
      <c r="AZ202" s="5">
        <f>S202-AY202</f>
        <v>0</v>
      </c>
      <c r="BA202" s="4">
        <v>0</v>
      </c>
      <c r="BB202" s="4">
        <v>0</v>
      </c>
      <c r="BC202" s="5">
        <f>U202-BB202</f>
        <v>0</v>
      </c>
      <c r="BD202" s="7">
        <f>SUM(IF(BL202="direct",CE202,0),IF(CG202="direct",CZ202,0),IF(DB202="direct",DU202,0),IF(DW202="direct",EP202,0),IF(ER202="direct",FK202,0),IF(FM202="direct",GF202,0),IF(GH202="direct",HA202,0),IF(HC202="direct",HV202,0),IF(HX202="direct",IQ202,0),IF(IS202="direct",JL202,0))</f>
        <v>0.028581718649505733</v>
      </c>
      <c r="BE202" s="7">
        <f>SUM(IF(BL202="treasury",CE202,0),IF(CG202="treasury",CZ202,0),IF(DB202="treasury",DU202,0),IF(DW202="treasury",EP202,0),IF(ER202="treasury",FK202,0),IF(FM202="treasury",GF202,0),IF(GH202="treasury",HA202,0),IF(HC202="treasury",HV202,0),IF(HX202="treasury",IQ202,0),IF(IS202="treasury",JL202,0))</f>
        <v>0</v>
      </c>
      <c r="BF202" s="7">
        <f>SUM(IF(BL202="future",CE202,0),IF(CG202="future",CZ202,0),IF(DB202="future",DU202,0),IF(DW202="future",EP202,0),IF(ER202="future",FK202,0),IF(FM202="future",GF202,0),IF(GH202="future",HA202,0),IF(HC202="future",HV202,0),IF(HX202="future",IQ202,0),IF(IS202="future",JL202,0))</f>
        <v>0</v>
      </c>
      <c r="BG202" s="7">
        <f>SUM(IF(BL202="cash",CE202,0),IF(CG202="cash",CZ202,0),IF(DB202="cash",DU202,0),IF(DW202="cash",EP202,0),IF(ER202="cash",FK202,0),IF(FM202="cash",GF202,0),IF(GH202="cash",HA202,0),IF(HC202="cash",HV202,0),IF(HX202="cash",IQ202,0),IF(IS202="cash",JL202,0))</f>
        <v>0</v>
      </c>
      <c r="BH202" s="7">
        <f>SUM(BD202:BG202)</f>
        <v>0.028581718649505733</v>
      </c>
      <c r="BI202" s="7">
        <f>G202-BH202</f>
        <v>0</v>
      </c>
      <c r="BJ202" s="9">
        <f>COUNTA(BK202,CF202,DA202,DV202,EQ202,FL202,GG202,HB202,HW202,IR202)</f>
        <v>3</v>
      </c>
      <c r="BK202" t="inlineStr">
        <is>
          <t xml:space="preserve">Direct commodity holding</t>
        </is>
      </c>
      <c r="BL202" t="inlineStr">
        <is>
          <t xml:space="preserve">direct</t>
        </is>
      </c>
      <c r="BM202" t="inlineStr">
        <is>
          <t xml:space="preserve">lease</t>
        </is>
      </c>
      <c r="BN202" t="inlineStr">
        <is>
          <t xml:space="preserve">long</t>
        </is>
      </c>
      <c r="BO202"/>
      <c r="BP202" s="4">
        <v>1.853</v>
      </c>
      <c r="BQ202" s="4">
        <v>1.906</v>
      </c>
      <c r="BR202" s="4">
        <v>1.0107827516265258</v>
      </c>
      <c r="BS202" s="6">
        <v>1</v>
      </c>
      <c r="BT202" s="4">
        <v>1.8729804387639521</v>
      </c>
      <c r="BU202" s="4">
        <v>1.8729804387639521</v>
      </c>
      <c r="BV202" s="4">
        <v>1.926551924600158</v>
      </c>
      <c r="BW202" s="4">
        <v>0.05353299993677908</v>
      </c>
      <c r="BX202" s="4">
        <v>0.00003848589942666292</v>
      </c>
      <c r="BY202" s="4">
        <v>1.853</v>
      </c>
      <c r="BZ202" s="4">
        <v>1.906</v>
      </c>
      <c r="CA202" s="6"/>
      <c r="CB202" s="6"/>
      <c r="CC202" s="6"/>
      <c r="CD202" s="9"/>
      <c r="CE202" s="7">
        <f>IFERROR(BW202/F202,0)</f>
        <v>0.028581718649505733</v>
      </c>
      <c r="CF202" t="inlineStr">
        <is>
          <t xml:space="preserve">Lease cash / margin / financing</t>
        </is>
      </c>
      <c r="CG202" t="inlineStr">
        <is>
          <t xml:space="preserve">cash</t>
        </is>
      </c>
      <c r="CH202" t="inlineStr">
        <is>
          <t xml:space="preserve">lease</t>
        </is>
      </c>
      <c r="CI202" t="inlineStr">
        <is>
          <t xml:space="preserve">cash</t>
        </is>
      </c>
      <c r="CJ202"/>
      <c r="CK202" s="4">
        <v>1</v>
      </c>
      <c r="CL202" s="4">
        <v>1</v>
      </c>
      <c r="CM202" s="4">
        <v>2.220446049250313e-16</v>
      </c>
      <c r="CN202" s="6"/>
      <c r="CO202" s="4">
        <v>2.220446049250313e-16</v>
      </c>
      <c r="CP202" s="4">
        <v>2.220446049250313e-16</v>
      </c>
      <c r="CQ202" s="4">
        <v>-0.00003848589942644087</v>
      </c>
      <c r="CR202" s="4">
        <v>0</v>
      </c>
      <c r="CS202" s="4">
        <v>-0.00003848589942666292</v>
      </c>
      <c r="CT202" s="4">
        <v>1.853</v>
      </c>
      <c r="CU202" s="4">
        <v>1.906</v>
      </c>
      <c r="CV202" s="6"/>
      <c r="CW202" s="6"/>
      <c r="CX202" s="6"/>
      <c r="CY202" s="9"/>
      <c r="CZ202" s="7">
        <f>IFERROR(CR202/F202,0)</f>
        <v>0</v>
      </c>
      <c r="DA202" t="inlineStr">
        <is>
          <t xml:space="preserve">Keep cash / margin / financing</t>
        </is>
      </c>
      <c r="DB202" t="inlineStr">
        <is>
          <t xml:space="preserve">cash</t>
        </is>
      </c>
      <c r="DC202" t="inlineStr">
        <is>
          <t xml:space="preserve">keep</t>
        </is>
      </c>
      <c r="DD202" t="inlineStr">
        <is>
          <t xml:space="preserve">cash</t>
        </is>
      </c>
      <c r="DE202"/>
      <c r="DF202" s="4">
        <v>1</v>
      </c>
      <c r="DG202" s="4">
        <v>1</v>
      </c>
      <c r="DH202" s="4">
        <v>0</v>
      </c>
      <c r="DI202" s="6"/>
      <c r="DJ202" s="4">
        <v>0</v>
      </c>
      <c r="DK202" s="4">
        <v>0</v>
      </c>
      <c r="DL202" s="4">
        <v>0</v>
      </c>
      <c r="DM202" s="4">
        <v>0</v>
      </c>
      <c r="DN202" s="4">
        <v>0</v>
      </c>
      <c r="DO202" s="4">
        <v>1.853</v>
      </c>
      <c r="DP202" s="4">
        <v>1.906</v>
      </c>
      <c r="DQ202" s="6"/>
      <c r="DR202" s="6"/>
      <c r="DS202" s="6"/>
      <c r="DT202" s="9"/>
      <c r="DU202" s="7">
        <f>IFERROR(DM202/F202,0)</f>
        <v>0</v>
      </c>
      <c r="DV202"/>
      <c r="DW202"/>
      <c r="DX202"/>
      <c r="DY202"/>
      <c r="DZ202"/>
      <c r="EA202" s="4"/>
      <c r="EB202" s="4"/>
      <c r="EC202" s="4"/>
      <c r="ED202" s="6"/>
      <c r="EE202" s="4"/>
      <c r="EF202" s="4"/>
      <c r="EG202" s="4"/>
      <c r="EH202" s="4"/>
      <c r="EI202" s="4"/>
      <c r="EJ202" s="4"/>
      <c r="EK202" s="4"/>
      <c r="EL202" s="6"/>
      <c r="EM202" s="6"/>
      <c r="EN202" s="6"/>
      <c r="EO202" s="9"/>
      <c r="EP202"/>
      <c r="EQ202"/>
      <c r="ER202"/>
      <c r="ES202"/>
      <c r="ET202"/>
      <c r="EU202"/>
      <c r="EV202" s="4"/>
      <c r="EW202" s="4"/>
      <c r="EX202" s="4"/>
      <c r="EY202" s="6"/>
      <c r="EZ202" s="4"/>
      <c r="FA202" s="4"/>
      <c r="FB202" s="4"/>
      <c r="FC202" s="4"/>
      <c r="FD202" s="4"/>
      <c r="FE202" s="4"/>
      <c r="FF202" s="4"/>
      <c r="FG202" s="6"/>
      <c r="FH202" s="6"/>
      <c r="FI202" s="6"/>
      <c r="FJ202" s="9"/>
      <c r="FK202"/>
      <c r="FL202"/>
      <c r="FM202"/>
      <c r="FN202"/>
      <c r="FO202"/>
      <c r="FP202"/>
      <c r="FQ202" s="4"/>
      <c r="FR202" s="4"/>
      <c r="FS202" s="4"/>
      <c r="FT202" s="6"/>
      <c r="FU202" s="4"/>
      <c r="FV202" s="4"/>
      <c r="FW202" s="4"/>
      <c r="FX202" s="4"/>
      <c r="FY202" s="4"/>
      <c r="FZ202" s="4"/>
      <c r="GA202" s="4"/>
      <c r="GB202" s="6"/>
      <c r="GC202" s="6"/>
      <c r="GD202" s="6"/>
      <c r="GE202" s="9"/>
      <c r="GF202"/>
      <c r="GG202"/>
      <c r="GH202"/>
      <c r="GI202"/>
      <c r="GJ202"/>
      <c r="GK202"/>
      <c r="GL202" s="4"/>
      <c r="GM202" s="4"/>
      <c r="GN202" s="4"/>
      <c r="GO202" s="6"/>
      <c r="GP202" s="4"/>
      <c r="GQ202" s="4"/>
      <c r="GR202" s="4"/>
      <c r="GS202" s="4"/>
      <c r="GT202" s="4"/>
      <c r="GU202" s="4"/>
      <c r="GV202" s="4"/>
      <c r="GW202" s="6"/>
      <c r="GX202" s="6"/>
      <c r="GY202" s="6"/>
      <c r="GZ202" s="9"/>
      <c r="HA202"/>
      <c r="HB202"/>
      <c r="HC202"/>
      <c r="HD202"/>
      <c r="HE202"/>
      <c r="HF202"/>
      <c r="HG202" s="4"/>
      <c r="HH202" s="4"/>
      <c r="HI202" s="4"/>
      <c r="HJ202" s="6"/>
      <c r="HK202" s="4"/>
      <c r="HL202" s="4"/>
      <c r="HM202" s="4"/>
      <c r="HN202" s="4"/>
      <c r="HO202" s="4"/>
      <c r="HP202" s="4"/>
      <c r="HQ202" s="4"/>
      <c r="HR202" s="6"/>
      <c r="HS202" s="6"/>
      <c r="HT202" s="6"/>
      <c r="HU202" s="9"/>
      <c r="HV202"/>
      <c r="HW202"/>
      <c r="HX202"/>
      <c r="HY202"/>
      <c r="HZ202"/>
      <c r="IA202"/>
      <c r="IB202" s="4"/>
      <c r="IC202" s="4"/>
      <c r="ID202" s="4"/>
      <c r="IE202" s="6"/>
      <c r="IF202" s="4"/>
      <c r="IG202" s="4"/>
      <c r="IH202" s="4"/>
      <c r="II202" s="4"/>
      <c r="IJ202" s="4"/>
      <c r="IK202" s="4"/>
      <c r="IL202" s="4"/>
      <c r="IM202" s="6"/>
      <c r="IN202" s="6"/>
      <c r="IO202" s="6"/>
      <c r="IP202" s="9"/>
      <c r="IQ202"/>
      <c r="IR202"/>
      <c r="IS202"/>
      <c r="IT202"/>
      <c r="IU202"/>
      <c r="IV202"/>
      <c r="IW202" s="4"/>
      <c r="IX202" s="4"/>
      <c r="IY202" s="4"/>
      <c r="IZ202" s="6"/>
      <c r="JA202" s="4"/>
      <c r="JB202" s="4"/>
      <c r="JC202" s="4"/>
      <c r="JD202" s="4"/>
      <c r="JE202" s="4"/>
      <c r="JF202" s="4"/>
      <c r="JG202" s="4"/>
      <c r="JH202" s="6"/>
      <c r="JI202" s="6"/>
      <c r="JJ202" s="6"/>
      <c r="JK202" s="9"/>
      <c r="JL202"/>
    </row>
    <row r="203">
      <c r="A203" s="8">
        <v>25503</v>
      </c>
      <c r="B203" s="8">
        <v>25504</v>
      </c>
      <c r="C203" s="9">
        <f>B203-A203</f>
        <v>1</v>
      </c>
      <c r="D203" s="8">
        <v>25503</v>
      </c>
      <c r="E203" t="inlineStr">
        <is>
          <t xml:space="preserve">neutral</t>
        </is>
      </c>
      <c r="F203" s="4">
        <v>1.926513438700731</v>
      </c>
      <c r="G203" s="6">
        <v>-0.011024687720105166</v>
      </c>
      <c r="H203" s="7">
        <f>SUM(CE203,CZ203,DU203,EP203,FK203,GF203,HA203,HV203,IQ203,JL203)</f>
        <v>-0.011024687720105166</v>
      </c>
      <c r="I203" s="7">
        <f>G203-H203</f>
        <v>0</v>
      </c>
      <c r="J203" s="5">
        <f>F203*(1+H203)</f>
        <v>1.9052742296504697</v>
      </c>
      <c r="K203" s="4">
        <v>1.9052742296504697</v>
      </c>
      <c r="L203" s="5">
        <f>K203-J203</f>
        <v>0</v>
      </c>
      <c r="M203" s="4">
        <v>1.906</v>
      </c>
      <c r="N203" s="4">
        <v>1.885</v>
      </c>
      <c r="O203" s="5">
        <f>M203/$M$3</f>
        <v>0.9734422880490295</v>
      </c>
      <c r="P203" s="5">
        <f>N203/$M$3</f>
        <v>0.9627170582226762</v>
      </c>
      <c r="Q203" s="7">
        <f>IFERROR(N203/M203-1,0)</f>
        <v>-0.011017838405036673</v>
      </c>
      <c r="R203" s="5">
        <f>SUM(IF(BM203="lease",BU203,0),IF(CH203="lease",CP203,0),IF(DC203="lease",DK203,0),IF(DX203="lease",EF203,0),IF(ES203="lease",FA203,0),IF(FN203="lease",FV203,0),IF(GI203="lease",GQ203,0),IF(HD203="lease",HL203,0),IF(HY203="lease",IG203,0),IF(IT203="lease",JB203,0))</f>
        <v>1.9265134387007314</v>
      </c>
      <c r="S203" s="5">
        <f>SUM(IF(BM203="lease",BV203,0),IF(CH203="lease",CQ203,0),IF(DC203="lease",DL203,0),IF(DX203="lease",EG203,0),IF(ES203="lease",FB203,0),IF(FN203="lease",FW203,0),IF(GI203="lease",GR203,0),IF(HD203="lease",HM203,0),IF(HY203="lease",IH203,0),IF(IT203="lease",JC203,0))</f>
        <v>1.9052742296504699</v>
      </c>
      <c r="T203" s="5">
        <f>SUM(IF(BM203="keep",BU203,0),IF(CH203="keep",CP203,0),IF(DC203="keep",DK203,0),IF(DX203="keep",EF203,0),IF(ES203="keep",FA203,0),IF(FN203="keep",FV203,0),IF(GI203="keep",GQ203,0),IF(HD203="keep",HL203,0),IF(HY203="keep",IG203,0),IF(IT203="keep",JB203,0))</f>
        <v>0</v>
      </c>
      <c r="U203" s="5">
        <f>SUM(IF(BM203="keep",BV203,0),IF(CH203="keep",CQ203,0),IF(DC203="keep",DL203,0),IF(DX203="keep",EG203,0),IF(ES203="keep",FB203,0),IF(FN203="keep",FW203,0),IF(GI203="keep",GR203,0),IF(HD203="keep",HM203,0),IF(HY203="keep",IH203,0),IF(IT203="keep",JC203,0))</f>
        <v>0</v>
      </c>
      <c r="V203" s="5">
        <f>R203/O203</f>
        <v>1.9790730918027453</v>
      </c>
      <c r="W203" s="5">
        <f>S203/P203</f>
        <v>1.9790593854936978</v>
      </c>
      <c r="X203" s="5">
        <f>T203/O203</f>
        <v>0</v>
      </c>
      <c r="Y203" s="5">
        <f>U203/P203</f>
        <v>0</v>
      </c>
      <c r="Z203" s="5">
        <f>V203+X203</f>
        <v>1.9790730918027453</v>
      </c>
      <c r="AA203" s="7">
        <f>IFERROR(W203/V203-1,0)</f>
        <v>-0.000006925620435249691</v>
      </c>
      <c r="AB203" s="7">
        <f>IFERROR((W203-V203)/Z203,0)</f>
        <v>-0.000006925620435285132</v>
      </c>
      <c r="AC203" s="7">
        <f>IFERROR(Y203/X203-1,0)</f>
        <v>0</v>
      </c>
      <c r="AD203" s="7">
        <f>IFERROR((Y203-X203)/Z203,0)</f>
        <v>0</v>
      </c>
      <c r="AE203" s="7">
        <f>AB203+AD203</f>
        <v>-0.000006925620435285132</v>
      </c>
      <c r="AF203" s="7">
        <f>(1+Q203)*(1+AE203)-1</f>
        <v>-0.01102468772010512</v>
      </c>
      <c r="AG203" s="7">
        <f>G203-AF203</f>
        <v>-4.683753385137379e-17</v>
      </c>
      <c r="AH203" s="5">
        <f>SUM(IF(BM203="lease",BW203,0),IF(CH203="lease",CR203,0),IF(DC203="lease",DM203,0),IF(DX203="lease",EH203,0),IF(ES203="lease",FC203,0),IF(FN203="lease",FX203,0),IF(GI203="lease",GS203,0),IF(HD203="lease",HN203,0),IF(HY203="lease",II203,0),IF(IT203="lease",JD203,0))</f>
        <v>-0.021239209050261526</v>
      </c>
      <c r="AI203" s="5">
        <f>SUM(IF(BM203="keep",BW203,0),IF(CH203="keep",CR203,0),IF(DC203="keep",DM203,0),IF(DX203="keep",EH203,0),IF(ES203="keep",FC203,0),IF(FN203="keep",FX203,0),IF(GI203="keep",GS203,0),IF(HD203="keep",HN203,0),IF(HY203="keep",II203,0),IF(IT203="keep",JD203,0))</f>
        <v>0</v>
      </c>
      <c r="AJ203" s="5">
        <f>SUM(IF(BM203="lease",BX203,0),IF(CH203="lease",CS203,0),IF(DC203="lease",DN203,0),IF(DX203="lease",EI203,0),IF(ES203="lease",FD203,0),IF(FN203="lease",FY203,0),IF(GI203="lease",GT203,0),IF(HD203="lease",HO203,0),IF(HY203="lease",IJ203,0),IF(IT203="lease",JE203,0))</f>
        <v>0</v>
      </c>
      <c r="AK203" s="5">
        <f>SUM(IF(BM203="keep",BX203,0),IF(CH203="keep",CS203,0),IF(DC203="keep",DN203,0),IF(DX203="keep",EI203,0),IF(ES203="keep",FD203,0),IF(FN203="keep",FY203,0),IF(GI203="keep",GT203,0),IF(HD203="keep",HO203,0),IF(HY203="keep",IJ203,0),IF(IT203="keep",JE203,0))</f>
        <v>0</v>
      </c>
      <c r="AL203" s="5">
        <f>R203-S202</f>
        <v>0</v>
      </c>
      <c r="AM203" s="5">
        <f>T203-U202</f>
        <v>0</v>
      </c>
      <c r="AN203" s="5">
        <f>AN202</f>
        <v>1</v>
      </c>
      <c r="AO203" s="5">
        <f>AO202+AH203</f>
        <v>0.9052742296504699</v>
      </c>
      <c r="AP203" s="5">
        <f>AP202+AL203</f>
        <v>2.220446049250313e-16</v>
      </c>
      <c r="AQ203" s="5">
        <f>AN203+AO203+AP203</f>
        <v>1.90527422965047</v>
      </c>
      <c r="AR203" s="5">
        <f>S203-AQ203</f>
        <v>-2.220446049250313e-16</v>
      </c>
      <c r="AS203" s="5">
        <f>AS202</f>
        <v>0</v>
      </c>
      <c r="AT203" s="5">
        <f>AT202+AI203</f>
        <v>0</v>
      </c>
      <c r="AU203" s="5">
        <f>AU202+AM203</f>
        <v>0</v>
      </c>
      <c r="AV203" s="5">
        <f>AS203+AT203+AU203</f>
        <v>0</v>
      </c>
      <c r="AW203" s="5">
        <f>U203-AV203</f>
        <v>0</v>
      </c>
      <c r="AX203" s="4">
        <v>1.9265134387007314</v>
      </c>
      <c r="AY203" s="4">
        <v>1.9052742296504699</v>
      </c>
      <c r="AZ203" s="5">
        <f>S203-AY203</f>
        <v>0</v>
      </c>
      <c r="BA203" s="4">
        <v>0</v>
      </c>
      <c r="BB203" s="4">
        <v>0</v>
      </c>
      <c r="BC203" s="5">
        <f>U203-BB203</f>
        <v>0</v>
      </c>
      <c r="BD203" s="7">
        <f>SUM(IF(BL203="direct",CE203,0),IF(CG203="direct",CZ203,0),IF(DB203="direct",DU203,0),IF(DW203="direct",EP203,0),IF(ER203="direct",FK203,0),IF(FM203="direct",GF203,0),IF(GH203="direct",HA203,0),IF(HC203="direct",HV203,0),IF(HX203="direct",IQ203,0),IF(IS203="direct",JL203,0))</f>
        <v>-0.011024687720105166</v>
      </c>
      <c r="BE203" s="7">
        <f>SUM(IF(BL203="treasury",CE203,0),IF(CG203="treasury",CZ203,0),IF(DB203="treasury",DU203,0),IF(DW203="treasury",EP203,0),IF(ER203="treasury",FK203,0),IF(FM203="treasury",GF203,0),IF(GH203="treasury",HA203,0),IF(HC203="treasury",HV203,0),IF(HX203="treasury",IQ203,0),IF(IS203="treasury",JL203,0))</f>
        <v>0</v>
      </c>
      <c r="BF203" s="7">
        <f>SUM(IF(BL203="future",CE203,0),IF(CG203="future",CZ203,0),IF(DB203="future",DU203,0),IF(DW203="future",EP203,0),IF(ER203="future",FK203,0),IF(FM203="future",GF203,0),IF(GH203="future",HA203,0),IF(HC203="future",HV203,0),IF(HX203="future",IQ203,0),IF(IS203="future",JL203,0))</f>
        <v>0</v>
      </c>
      <c r="BG203" s="7">
        <f>SUM(IF(BL203="cash",CE203,0),IF(CG203="cash",CZ203,0),IF(DB203="cash",DU203,0),IF(DW203="cash",EP203,0),IF(ER203="cash",FK203,0),IF(FM203="cash",GF203,0),IF(GH203="cash",HA203,0),IF(HC203="cash",HV203,0),IF(HX203="cash",IQ203,0),IF(IS203="cash",JL203,0))</f>
        <v>0</v>
      </c>
      <c r="BH203" s="7">
        <f>SUM(BD203:BG203)</f>
        <v>-0.011024687720105166</v>
      </c>
      <c r="BI203" s="7">
        <f>G203-BH203</f>
        <v>0</v>
      </c>
      <c r="BJ203" s="9">
        <f>COUNTA(BK203,CF203,DA203,DV203,EQ203,FL203,GG203,HB203,HW203,IR203)</f>
        <v>3</v>
      </c>
      <c r="BK203" t="inlineStr">
        <is>
          <t xml:space="preserve">Direct commodity holding</t>
        </is>
      </c>
      <c r="BL203" t="inlineStr">
        <is>
          <t xml:space="preserve">direct</t>
        </is>
      </c>
      <c r="BM203" t="inlineStr">
        <is>
          <t xml:space="preserve">lease</t>
        </is>
      </c>
      <c r="BN203" t="inlineStr">
        <is>
          <t xml:space="preserve">long</t>
        </is>
      </c>
      <c r="BO203"/>
      <c r="BP203" s="4">
        <v>1.906</v>
      </c>
      <c r="BQ203" s="4">
        <v>1.885</v>
      </c>
      <c r="BR203" s="4">
        <v>1.0107625596541085</v>
      </c>
      <c r="BS203" s="6">
        <v>1</v>
      </c>
      <c r="BT203" s="4">
        <v>1.926513438700731</v>
      </c>
      <c r="BU203" s="4">
        <v>1.926513438700731</v>
      </c>
      <c r="BV203" s="4">
        <v>1.9052874249479945</v>
      </c>
      <c r="BW203" s="4">
        <v>-0.021239209050261526</v>
      </c>
      <c r="BX203" s="4">
        <v>0.000013195297525053773</v>
      </c>
      <c r="BY203" s="4">
        <v>1.906</v>
      </c>
      <c r="BZ203" s="4">
        <v>1.885</v>
      </c>
      <c r="CA203" s="6"/>
      <c r="CB203" s="6"/>
      <c r="CC203" s="6"/>
      <c r="CD203" s="9"/>
      <c r="CE203" s="7">
        <f>IFERROR(BW203/F203,0)</f>
        <v>-0.011024687720105166</v>
      </c>
      <c r="CF203" t="inlineStr">
        <is>
          <t xml:space="preserve">Lease cash / margin / financing</t>
        </is>
      </c>
      <c r="CG203" t="inlineStr">
        <is>
          <t xml:space="preserve">cash</t>
        </is>
      </c>
      <c r="CH203" t="inlineStr">
        <is>
          <t xml:space="preserve">lease</t>
        </is>
      </c>
      <c r="CI203" t="inlineStr">
        <is>
          <t xml:space="preserve">cash</t>
        </is>
      </c>
      <c r="CJ203"/>
      <c r="CK203" s="4">
        <v>1</v>
      </c>
      <c r="CL203" s="4">
        <v>1</v>
      </c>
      <c r="CM203" s="4">
        <v>4.440892098500626e-16</v>
      </c>
      <c r="CN203" s="6"/>
      <c r="CO203" s="4">
        <v>4.440892098500626e-16</v>
      </c>
      <c r="CP203" s="4">
        <v>4.440892098500626e-16</v>
      </c>
      <c r="CQ203" s="4">
        <v>-0.000013195297524609684</v>
      </c>
      <c r="CR203" s="4">
        <v>0</v>
      </c>
      <c r="CS203" s="4">
        <v>-0.000013195297525053773</v>
      </c>
      <c r="CT203" s="4">
        <v>1.906</v>
      </c>
      <c r="CU203" s="4">
        <v>1.885</v>
      </c>
      <c r="CV203" s="6"/>
      <c r="CW203" s="6"/>
      <c r="CX203" s="6"/>
      <c r="CY203" s="9"/>
      <c r="CZ203" s="7">
        <f>IFERROR(CR203/F203,0)</f>
        <v>0</v>
      </c>
      <c r="DA203" t="inlineStr">
        <is>
          <t xml:space="preserve">Keep cash / margin / financing</t>
        </is>
      </c>
      <c r="DB203" t="inlineStr">
        <is>
          <t xml:space="preserve">cash</t>
        </is>
      </c>
      <c r="DC203" t="inlineStr">
        <is>
          <t xml:space="preserve">keep</t>
        </is>
      </c>
      <c r="DD203" t="inlineStr">
        <is>
          <t xml:space="preserve">cash</t>
        </is>
      </c>
      <c r="DE203"/>
      <c r="DF203" s="4">
        <v>1</v>
      </c>
      <c r="DG203" s="4">
        <v>1</v>
      </c>
      <c r="DH203" s="4">
        <v>0</v>
      </c>
      <c r="DI203" s="6"/>
      <c r="DJ203" s="4">
        <v>0</v>
      </c>
      <c r="DK203" s="4">
        <v>0</v>
      </c>
      <c r="DL203" s="4">
        <v>0</v>
      </c>
      <c r="DM203" s="4">
        <v>0</v>
      </c>
      <c r="DN203" s="4">
        <v>0</v>
      </c>
      <c r="DO203" s="4">
        <v>1.906</v>
      </c>
      <c r="DP203" s="4">
        <v>1.885</v>
      </c>
      <c r="DQ203" s="6"/>
      <c r="DR203" s="6"/>
      <c r="DS203" s="6"/>
      <c r="DT203" s="9"/>
      <c r="DU203" s="7">
        <f>IFERROR(DM203/F203,0)</f>
        <v>0</v>
      </c>
      <c r="DV203"/>
      <c r="DW203"/>
      <c r="DX203"/>
      <c r="DY203"/>
      <c r="DZ203"/>
      <c r="EA203" s="4"/>
      <c r="EB203" s="4"/>
      <c r="EC203" s="4"/>
      <c r="ED203" s="6"/>
      <c r="EE203" s="4"/>
      <c r="EF203" s="4"/>
      <c r="EG203" s="4"/>
      <c r="EH203" s="4"/>
      <c r="EI203" s="4"/>
      <c r="EJ203" s="4"/>
      <c r="EK203" s="4"/>
      <c r="EL203" s="6"/>
      <c r="EM203" s="6"/>
      <c r="EN203" s="6"/>
      <c r="EO203" s="9"/>
      <c r="EP203"/>
      <c r="EQ203"/>
      <c r="ER203"/>
      <c r="ES203"/>
      <c r="ET203"/>
      <c r="EU203"/>
      <c r="EV203" s="4"/>
      <c r="EW203" s="4"/>
      <c r="EX203" s="4"/>
      <c r="EY203" s="6"/>
      <c r="EZ203" s="4"/>
      <c r="FA203" s="4"/>
      <c r="FB203" s="4"/>
      <c r="FC203" s="4"/>
      <c r="FD203" s="4"/>
      <c r="FE203" s="4"/>
      <c r="FF203" s="4"/>
      <c r="FG203" s="6"/>
      <c r="FH203" s="6"/>
      <c r="FI203" s="6"/>
      <c r="FJ203" s="9"/>
      <c r="FK203"/>
      <c r="FL203"/>
      <c r="FM203"/>
      <c r="FN203"/>
      <c r="FO203"/>
      <c r="FP203"/>
      <c r="FQ203" s="4"/>
      <c r="FR203" s="4"/>
      <c r="FS203" s="4"/>
      <c r="FT203" s="6"/>
      <c r="FU203" s="4"/>
      <c r="FV203" s="4"/>
      <c r="FW203" s="4"/>
      <c r="FX203" s="4"/>
      <c r="FY203" s="4"/>
      <c r="FZ203" s="4"/>
      <c r="GA203" s="4"/>
      <c r="GB203" s="6"/>
      <c r="GC203" s="6"/>
      <c r="GD203" s="6"/>
      <c r="GE203" s="9"/>
      <c r="GF203"/>
      <c r="GG203"/>
      <c r="GH203"/>
      <c r="GI203"/>
      <c r="GJ203"/>
      <c r="GK203"/>
      <c r="GL203" s="4"/>
      <c r="GM203" s="4"/>
      <c r="GN203" s="4"/>
      <c r="GO203" s="6"/>
      <c r="GP203" s="4"/>
      <c r="GQ203" s="4"/>
      <c r="GR203" s="4"/>
      <c r="GS203" s="4"/>
      <c r="GT203" s="4"/>
      <c r="GU203" s="4"/>
      <c r="GV203" s="4"/>
      <c r="GW203" s="6"/>
      <c r="GX203" s="6"/>
      <c r="GY203" s="6"/>
      <c r="GZ203" s="9"/>
      <c r="HA203"/>
      <c r="HB203"/>
      <c r="HC203"/>
      <c r="HD203"/>
      <c r="HE203"/>
      <c r="HF203"/>
      <c r="HG203" s="4"/>
      <c r="HH203" s="4"/>
      <c r="HI203" s="4"/>
      <c r="HJ203" s="6"/>
      <c r="HK203" s="4"/>
      <c r="HL203" s="4"/>
      <c r="HM203" s="4"/>
      <c r="HN203" s="4"/>
      <c r="HO203" s="4"/>
      <c r="HP203" s="4"/>
      <c r="HQ203" s="4"/>
      <c r="HR203" s="6"/>
      <c r="HS203" s="6"/>
      <c r="HT203" s="6"/>
      <c r="HU203" s="9"/>
      <c r="HV203"/>
      <c r="HW203"/>
      <c r="HX203"/>
      <c r="HY203"/>
      <c r="HZ203"/>
      <c r="IA203"/>
      <c r="IB203" s="4"/>
      <c r="IC203" s="4"/>
      <c r="ID203" s="4"/>
      <c r="IE203" s="6"/>
      <c r="IF203" s="4"/>
      <c r="IG203" s="4"/>
      <c r="IH203" s="4"/>
      <c r="II203" s="4"/>
      <c r="IJ203" s="4"/>
      <c r="IK203" s="4"/>
      <c r="IL203" s="4"/>
      <c r="IM203" s="6"/>
      <c r="IN203" s="6"/>
      <c r="IO203" s="6"/>
      <c r="IP203" s="9"/>
      <c r="IQ203"/>
      <c r="IR203"/>
      <c r="IS203"/>
      <c r="IT203"/>
      <c r="IU203"/>
      <c r="IV203"/>
      <c r="IW203" s="4"/>
      <c r="IX203" s="4"/>
      <c r="IY203" s="4"/>
      <c r="IZ203" s="6"/>
      <c r="JA203" s="4"/>
      <c r="JB203" s="4"/>
      <c r="JC203" s="4"/>
      <c r="JD203" s="4"/>
      <c r="JE203" s="4"/>
      <c r="JF203" s="4"/>
      <c r="JG203" s="4"/>
      <c r="JH203" s="6"/>
      <c r="JI203" s="6"/>
      <c r="JJ203" s="6"/>
      <c r="JK203" s="9"/>
      <c r="JL203"/>
    </row>
    <row r="204">
      <c r="A204" s="8">
        <v>25504</v>
      </c>
      <c r="B204" s="8">
        <v>25505</v>
      </c>
      <c r="C204" s="9">
        <f>B204-A204</f>
        <v>1</v>
      </c>
      <c r="D204" s="8">
        <v>25504</v>
      </c>
      <c r="E204" t="inlineStr">
        <is>
          <t xml:space="preserve">neutral</t>
        </is>
      </c>
      <c r="F204" s="4">
        <v>1.9052742296504697</v>
      </c>
      <c r="G204" s="6">
        <v>0.005828694451509752</v>
      </c>
      <c r="H204" s="7">
        <f>SUM(CE204,CZ204,DU204,EP204,FK204,GF204,HA204,HV204,IQ204,JL204)</f>
        <v>0.005828694451509751</v>
      </c>
      <c r="I204" s="7">
        <f>G204-H204</f>
        <v>8.673617379884035e-19</v>
      </c>
      <c r="J204" s="5">
        <f>F204*(1+H204)</f>
        <v>1.916379490981438</v>
      </c>
      <c r="K204" s="4">
        <v>1.916379490981438</v>
      </c>
      <c r="L204" s="5">
        <f>K204-J204</f>
        <v>0</v>
      </c>
      <c r="M204" s="4">
        <v>1.885</v>
      </c>
      <c r="N204" s="4">
        <v>1.896</v>
      </c>
      <c r="O204" s="5">
        <f>M204/$M$3</f>
        <v>0.9627170582226762</v>
      </c>
      <c r="P204" s="5">
        <f>N204/$M$3</f>
        <v>0.9683350357507661</v>
      </c>
      <c r="Q204" s="7">
        <f>IFERROR(N204/M204-1,0)</f>
        <v>0.005835543766578244</v>
      </c>
      <c r="R204" s="5">
        <f>SUM(IF(BM204="lease",BU204,0),IF(CH204="lease",CP204,0),IF(DC204="lease",DK204,0),IF(DX204="lease",EF204,0),IF(ES204="lease",FA204,0),IF(FN204="lease",FV204,0),IF(GI204="lease",GQ204,0),IF(HD204="lease",HL204,0),IF(HY204="lease",IG204,0),IF(IT204="lease",JB204,0))</f>
        <v>1.9052742296504699</v>
      </c>
      <c r="S204" s="5">
        <f>SUM(IF(BM204="lease",BV204,0),IF(CH204="lease",CQ204,0),IF(DC204="lease",DL204,0),IF(DX204="lease",EG204,0),IF(ES204="lease",FB204,0),IF(FN204="lease",FW204,0),IF(GI204="lease",GR204,0),IF(HD204="lease",HM204,0),IF(HY204="lease",IH204,0),IF(IT204="lease",JC204,0))</f>
        <v>1.916379490981438</v>
      </c>
      <c r="T204" s="5">
        <f>SUM(IF(BM204="keep",BU204,0),IF(CH204="keep",CP204,0),IF(DC204="keep",DK204,0),IF(DX204="keep",EF204,0),IF(ES204="keep",FA204,0),IF(FN204="keep",FV204,0),IF(GI204="keep",GQ204,0),IF(HD204="keep",HL204,0),IF(HY204="keep",IG204,0),IF(IT204="keep",JB204,0))</f>
        <v>0</v>
      </c>
      <c r="U204" s="5">
        <f>SUM(IF(BM204="keep",BV204,0),IF(CH204="keep",CQ204,0),IF(DC204="keep",DL204,0),IF(DX204="keep",EG204,0),IF(ES204="keep",FB204,0),IF(FN204="keep",FW204,0),IF(GI204="keep",GR204,0),IF(HD204="keep",HM204,0),IF(HY204="keep",IH204,0),IF(IT204="keep",JC204,0))</f>
        <v>0</v>
      </c>
      <c r="V204" s="5">
        <f>R204/O204</f>
        <v>1.9790593854936978</v>
      </c>
      <c r="W204" s="5">
        <f>S204/P204</f>
        <v>1.9790459089354724</v>
      </c>
      <c r="X204" s="5">
        <f>T204/O204</f>
        <v>0</v>
      </c>
      <c r="Y204" s="5">
        <f>U204/P204</f>
        <v>0</v>
      </c>
      <c r="Z204" s="5">
        <f>V204+X204</f>
        <v>1.9790593854936978</v>
      </c>
      <c r="AA204" s="7">
        <f>IFERROR(W204/V204-1,0)</f>
        <v>-0.000006809577481226015</v>
      </c>
      <c r="AB204" s="7">
        <f>IFERROR((W204-V204)/Z204,0)</f>
        <v>-0.00000680957748117559</v>
      </c>
      <c r="AC204" s="7">
        <f>IFERROR(Y204/X204-1,0)</f>
        <v>0</v>
      </c>
      <c r="AD204" s="7">
        <f>IFERROR((Y204-X204)/Z204,0)</f>
        <v>0</v>
      </c>
      <c r="AE204" s="7">
        <f>AB204+AD204</f>
        <v>-0.00000680957748117559</v>
      </c>
      <c r="AF204" s="7">
        <f>(1+Q204)*(1+AE204)-1</f>
        <v>0.005828694451509575</v>
      </c>
      <c r="AG204" s="7">
        <f>G204-AF204</f>
        <v>1.7694179454963432e-16</v>
      </c>
      <c r="AH204" s="5">
        <f>SUM(IF(BM204="lease",BW204,0),IF(CH204="lease",CR204,0),IF(DC204="lease",DM204,0),IF(DX204="lease",EH204,0),IF(ES204="lease",FC204,0),IF(FN204="lease",FX204,0),IF(GI204="lease",GS204,0),IF(HD204="lease",HN204,0),IF(HY204="lease",II204,0),IF(IT204="lease",JD204,0))</f>
        <v>0.011105261330968208</v>
      </c>
      <c r="AI204" s="5">
        <f>SUM(IF(BM204="keep",BW204,0),IF(CH204="keep",CR204,0),IF(DC204="keep",DM204,0),IF(DX204="keep",EH204,0),IF(ES204="keep",FC204,0),IF(FN204="keep",FX204,0),IF(GI204="keep",GS204,0),IF(HD204="keep",HN204,0),IF(HY204="keep",II204,0),IF(IT204="keep",JD204,0))</f>
        <v>0</v>
      </c>
      <c r="AJ204" s="5">
        <f>SUM(IF(BM204="lease",BX204,0),IF(CH204="lease",CS204,0),IF(DC204="lease",DN204,0),IF(DX204="lease",EI204,0),IF(ES204="lease",FD204,0),IF(FN204="lease",FY204,0),IF(GI204="lease",GT204,0),IF(HD204="lease",HO204,0),IF(HY204="lease",IJ204,0),IF(IT204="lease",JE204,0))</f>
        <v>0</v>
      </c>
      <c r="AK204" s="5">
        <f>SUM(IF(BM204="keep",BX204,0),IF(CH204="keep",CS204,0),IF(DC204="keep",DN204,0),IF(DX204="keep",EI204,0),IF(ES204="keep",FD204,0),IF(FN204="keep",FY204,0),IF(GI204="keep",GT204,0),IF(HD204="keep",HO204,0),IF(HY204="keep",IJ204,0),IF(IT204="keep",JE204,0))</f>
        <v>0</v>
      </c>
      <c r="AL204" s="5">
        <f>R204-S203</f>
        <v>0</v>
      </c>
      <c r="AM204" s="5">
        <f>T204-U203</f>
        <v>0</v>
      </c>
      <c r="AN204" s="5">
        <f>AN203</f>
        <v>1</v>
      </c>
      <c r="AO204" s="5">
        <f>AO203+AH204</f>
        <v>0.9163794909814381</v>
      </c>
      <c r="AP204" s="5">
        <f>AP203+AL204</f>
        <v>2.220446049250313e-16</v>
      </c>
      <c r="AQ204" s="5">
        <f>AN204+AO204+AP204</f>
        <v>1.9163794909814384</v>
      </c>
      <c r="AR204" s="5">
        <f>S204-AQ204</f>
        <v>-4.440892098500626e-16</v>
      </c>
      <c r="AS204" s="5">
        <f>AS203</f>
        <v>0</v>
      </c>
      <c r="AT204" s="5">
        <f>AT203+AI204</f>
        <v>0</v>
      </c>
      <c r="AU204" s="5">
        <f>AU203+AM204</f>
        <v>0</v>
      </c>
      <c r="AV204" s="5">
        <f>AS204+AT204+AU204</f>
        <v>0</v>
      </c>
      <c r="AW204" s="5">
        <f>U204-AV204</f>
        <v>0</v>
      </c>
      <c r="AX204" s="4">
        <v>1.9052742296504699</v>
      </c>
      <c r="AY204" s="4">
        <v>1.916379490981438</v>
      </c>
      <c r="AZ204" s="5">
        <f>S204-AY204</f>
        <v>0</v>
      </c>
      <c r="BA204" s="4">
        <v>0</v>
      </c>
      <c r="BB204" s="4">
        <v>0</v>
      </c>
      <c r="BC204" s="5">
        <f>U204-BB204</f>
        <v>0</v>
      </c>
      <c r="BD204" s="7">
        <f>SUM(IF(BL204="direct",CE204,0),IF(CG204="direct",CZ204,0),IF(DB204="direct",DU204,0),IF(DW204="direct",EP204,0),IF(ER204="direct",FK204,0),IF(FM204="direct",GF204,0),IF(GH204="direct",HA204,0),IF(HC204="direct",HV204,0),IF(HX204="direct",IQ204,0),IF(IS204="direct",JL204,0))</f>
        <v>0.005828694451509751</v>
      </c>
      <c r="BE204" s="7">
        <f>SUM(IF(BL204="treasury",CE204,0),IF(CG204="treasury",CZ204,0),IF(DB204="treasury",DU204,0),IF(DW204="treasury",EP204,0),IF(ER204="treasury",FK204,0),IF(FM204="treasury",GF204,0),IF(GH204="treasury",HA204,0),IF(HC204="treasury",HV204,0),IF(HX204="treasury",IQ204,0),IF(IS204="treasury",JL204,0))</f>
        <v>0</v>
      </c>
      <c r="BF204" s="7">
        <f>SUM(IF(BL204="future",CE204,0),IF(CG204="future",CZ204,0),IF(DB204="future",DU204,0),IF(DW204="future",EP204,0),IF(ER204="future",FK204,0),IF(FM204="future",GF204,0),IF(GH204="future",HA204,0),IF(HC204="future",HV204,0),IF(HX204="future",IQ204,0),IF(IS204="future",JL204,0))</f>
        <v>0</v>
      </c>
      <c r="BG204" s="7">
        <f>SUM(IF(BL204="cash",CE204,0),IF(CG204="cash",CZ204,0),IF(DB204="cash",DU204,0),IF(DW204="cash",EP204,0),IF(ER204="cash",FK204,0),IF(FM204="cash",GF204,0),IF(GH204="cash",HA204,0),IF(HC204="cash",HV204,0),IF(HX204="cash",IQ204,0),IF(IS204="cash",JL204,0))</f>
        <v>0</v>
      </c>
      <c r="BH204" s="7">
        <f>SUM(BD204:BG204)</f>
        <v>0.005828694451509751</v>
      </c>
      <c r="BI204" s="7">
        <f>G204-BH204</f>
        <v>8.673617379884035e-19</v>
      </c>
      <c r="BJ204" s="9">
        <f>COUNTA(BK204,CF204,DA204,DV204,EQ204,FL204,GG204,HB204,HW204,IR204)</f>
        <v>3</v>
      </c>
      <c r="BK204" t="inlineStr">
        <is>
          <t xml:space="preserve">Direct commodity holding</t>
        </is>
      </c>
      <c r="BL204" t="inlineStr">
        <is>
          <t xml:space="preserve">direct</t>
        </is>
      </c>
      <c r="BM204" t="inlineStr">
        <is>
          <t xml:space="preserve">lease</t>
        </is>
      </c>
      <c r="BN204" t="inlineStr">
        <is>
          <t xml:space="preserve">long</t>
        </is>
      </c>
      <c r="BO204"/>
      <c r="BP204" s="4">
        <v>1.885</v>
      </c>
      <c r="BQ204" s="4">
        <v>1.896</v>
      </c>
      <c r="BR204" s="4">
        <v>1.0107555594962703</v>
      </c>
      <c r="BS204" s="6">
        <v>1</v>
      </c>
      <c r="BT204" s="4">
        <v>1.9052742296504697</v>
      </c>
      <c r="BU204" s="4">
        <v>1.9052742296504697</v>
      </c>
      <c r="BV204" s="4">
        <v>1.9163925408049283</v>
      </c>
      <c r="BW204" s="4">
        <v>0.011105261330968208</v>
      </c>
      <c r="BX204" s="4">
        <v>0.000013049823490396753</v>
      </c>
      <c r="BY204" s="4">
        <v>1.885</v>
      </c>
      <c r="BZ204" s="4">
        <v>1.896</v>
      </c>
      <c r="CA204" s="6"/>
      <c r="CB204" s="6"/>
      <c r="CC204" s="6"/>
      <c r="CD204" s="9"/>
      <c r="CE204" s="7">
        <f>IFERROR(BW204/F204,0)</f>
        <v>0.005828694451509751</v>
      </c>
      <c r="CF204" t="inlineStr">
        <is>
          <t xml:space="preserve">Lease cash / margin / financing</t>
        </is>
      </c>
      <c r="CG204" t="inlineStr">
        <is>
          <t xml:space="preserve">cash</t>
        </is>
      </c>
      <c r="CH204" t="inlineStr">
        <is>
          <t xml:space="preserve">lease</t>
        </is>
      </c>
      <c r="CI204" t="inlineStr">
        <is>
          <t xml:space="preserve">cash</t>
        </is>
      </c>
      <c r="CJ204"/>
      <c r="CK204" s="4">
        <v>1</v>
      </c>
      <c r="CL204" s="4">
        <v>1</v>
      </c>
      <c r="CM204" s="4">
        <v>2.220446049250313e-16</v>
      </c>
      <c r="CN204" s="6"/>
      <c r="CO204" s="4">
        <v>2.220446049250313e-16</v>
      </c>
      <c r="CP204" s="4">
        <v>2.220446049250313e-16</v>
      </c>
      <c r="CQ204" s="4">
        <v>-0.000013049823490174708</v>
      </c>
      <c r="CR204" s="4">
        <v>0</v>
      </c>
      <c r="CS204" s="4">
        <v>-0.000013049823490396753</v>
      </c>
      <c r="CT204" s="4">
        <v>1.885</v>
      </c>
      <c r="CU204" s="4">
        <v>1.896</v>
      </c>
      <c r="CV204" s="6"/>
      <c r="CW204" s="6"/>
      <c r="CX204" s="6"/>
      <c r="CY204" s="9"/>
      <c r="CZ204" s="7">
        <f>IFERROR(CR204/F204,0)</f>
        <v>0</v>
      </c>
      <c r="DA204" t="inlineStr">
        <is>
          <t xml:space="preserve">Keep cash / margin / financing</t>
        </is>
      </c>
      <c r="DB204" t="inlineStr">
        <is>
          <t xml:space="preserve">cash</t>
        </is>
      </c>
      <c r="DC204" t="inlineStr">
        <is>
          <t xml:space="preserve">keep</t>
        </is>
      </c>
      <c r="DD204" t="inlineStr">
        <is>
          <t xml:space="preserve">cash</t>
        </is>
      </c>
      <c r="DE204"/>
      <c r="DF204" s="4">
        <v>1</v>
      </c>
      <c r="DG204" s="4">
        <v>1</v>
      </c>
      <c r="DH204" s="4">
        <v>0</v>
      </c>
      <c r="DI204" s="6"/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1.885</v>
      </c>
      <c r="DP204" s="4">
        <v>1.896</v>
      </c>
      <c r="DQ204" s="6"/>
      <c r="DR204" s="6"/>
      <c r="DS204" s="6"/>
      <c r="DT204" s="9"/>
      <c r="DU204" s="7">
        <f>IFERROR(DM204/F204,0)</f>
        <v>0</v>
      </c>
      <c r="DV204"/>
      <c r="DW204"/>
      <c r="DX204"/>
      <c r="DY204"/>
      <c r="DZ204"/>
      <c r="EA204" s="4"/>
      <c r="EB204" s="4"/>
      <c r="EC204" s="4"/>
      <c r="ED204" s="6"/>
      <c r="EE204" s="4"/>
      <c r="EF204" s="4"/>
      <c r="EG204" s="4"/>
      <c r="EH204" s="4"/>
      <c r="EI204" s="4"/>
      <c r="EJ204" s="4"/>
      <c r="EK204" s="4"/>
      <c r="EL204" s="6"/>
      <c r="EM204" s="6"/>
      <c r="EN204" s="6"/>
      <c r="EO204" s="9"/>
      <c r="EP204"/>
      <c r="EQ204"/>
      <c r="ER204"/>
      <c r="ES204"/>
      <c r="ET204"/>
      <c r="EU204"/>
      <c r="EV204" s="4"/>
      <c r="EW204" s="4"/>
      <c r="EX204" s="4"/>
      <c r="EY204" s="6"/>
      <c r="EZ204" s="4"/>
      <c r="FA204" s="4"/>
      <c r="FB204" s="4"/>
      <c r="FC204" s="4"/>
      <c r="FD204" s="4"/>
      <c r="FE204" s="4"/>
      <c r="FF204" s="4"/>
      <c r="FG204" s="6"/>
      <c r="FH204" s="6"/>
      <c r="FI204" s="6"/>
      <c r="FJ204" s="9"/>
      <c r="FK204"/>
      <c r="FL204"/>
      <c r="FM204"/>
      <c r="FN204"/>
      <c r="FO204"/>
      <c r="FP204"/>
      <c r="FQ204" s="4"/>
      <c r="FR204" s="4"/>
      <c r="FS204" s="4"/>
      <c r="FT204" s="6"/>
      <c r="FU204" s="4"/>
      <c r="FV204" s="4"/>
      <c r="FW204" s="4"/>
      <c r="FX204" s="4"/>
      <c r="FY204" s="4"/>
      <c r="FZ204" s="4"/>
      <c r="GA204" s="4"/>
      <c r="GB204" s="6"/>
      <c r="GC204" s="6"/>
      <c r="GD204" s="6"/>
      <c r="GE204" s="9"/>
      <c r="GF204"/>
      <c r="GG204"/>
      <c r="GH204"/>
      <c r="GI204"/>
      <c r="GJ204"/>
      <c r="GK204"/>
      <c r="GL204" s="4"/>
      <c r="GM204" s="4"/>
      <c r="GN204" s="4"/>
      <c r="GO204" s="6"/>
      <c r="GP204" s="4"/>
      <c r="GQ204" s="4"/>
      <c r="GR204" s="4"/>
      <c r="GS204" s="4"/>
      <c r="GT204" s="4"/>
      <c r="GU204" s="4"/>
      <c r="GV204" s="4"/>
      <c r="GW204" s="6"/>
      <c r="GX204" s="6"/>
      <c r="GY204" s="6"/>
      <c r="GZ204" s="9"/>
      <c r="HA204"/>
      <c r="HB204"/>
      <c r="HC204"/>
      <c r="HD204"/>
      <c r="HE204"/>
      <c r="HF204"/>
      <c r="HG204" s="4"/>
      <c r="HH204" s="4"/>
      <c r="HI204" s="4"/>
      <c r="HJ204" s="6"/>
      <c r="HK204" s="4"/>
      <c r="HL204" s="4"/>
      <c r="HM204" s="4"/>
      <c r="HN204" s="4"/>
      <c r="HO204" s="4"/>
      <c r="HP204" s="4"/>
      <c r="HQ204" s="4"/>
      <c r="HR204" s="6"/>
      <c r="HS204" s="6"/>
      <c r="HT204" s="6"/>
      <c r="HU204" s="9"/>
      <c r="HV204"/>
      <c r="HW204"/>
      <c r="HX204"/>
      <c r="HY204"/>
      <c r="HZ204"/>
      <c r="IA204"/>
      <c r="IB204" s="4"/>
      <c r="IC204" s="4"/>
      <c r="ID204" s="4"/>
      <c r="IE204" s="6"/>
      <c r="IF204" s="4"/>
      <c r="IG204" s="4"/>
      <c r="IH204" s="4"/>
      <c r="II204" s="4"/>
      <c r="IJ204" s="4"/>
      <c r="IK204" s="4"/>
      <c r="IL204" s="4"/>
      <c r="IM204" s="6"/>
      <c r="IN204" s="6"/>
      <c r="IO204" s="6"/>
      <c r="IP204" s="9"/>
      <c r="IQ204"/>
      <c r="IR204"/>
      <c r="IS204"/>
      <c r="IT204"/>
      <c r="IU204"/>
      <c r="IV204"/>
      <c r="IW204" s="4"/>
      <c r="IX204" s="4"/>
      <c r="IY204" s="4"/>
      <c r="IZ204" s="6"/>
      <c r="JA204" s="4"/>
      <c r="JB204" s="4"/>
      <c r="JC204" s="4"/>
      <c r="JD204" s="4"/>
      <c r="JE204" s="4"/>
      <c r="JF204" s="4"/>
      <c r="JG204" s="4"/>
      <c r="JH204" s="6"/>
      <c r="JI204" s="6"/>
      <c r="JJ204" s="6"/>
      <c r="JK204" s="9"/>
      <c r="JL204"/>
    </row>
    <row r="205">
      <c r="A205" s="8">
        <v>25505</v>
      </c>
      <c r="B205" s="8">
        <v>25506</v>
      </c>
      <c r="C205" s="9">
        <f>B205-A205</f>
        <v>1</v>
      </c>
      <c r="D205" s="8">
        <v>25505</v>
      </c>
      <c r="E205" t="inlineStr">
        <is>
          <t xml:space="preserve">neutral</t>
        </is>
      </c>
      <c r="F205" s="4">
        <v>1.916379490981438</v>
      </c>
      <c r="G205" s="6">
        <v>0.016343361655395804</v>
      </c>
      <c r="H205" s="7">
        <f>SUM(CE205,CZ205,DU205,EP205,FK205,GF205,HA205,HV205,IQ205,JL205)</f>
        <v>0.016343361655395804</v>
      </c>
      <c r="I205" s="7">
        <f>G205-H205</f>
        <v>0</v>
      </c>
      <c r="J205" s="5">
        <f>F205*(1+H205)</f>
        <v>1.947699574071531</v>
      </c>
      <c r="K205" s="4">
        <v>1.947699574071531</v>
      </c>
      <c r="L205" s="5">
        <f>K205-J205</f>
        <v>0</v>
      </c>
      <c r="M205" s="4">
        <v>1.896</v>
      </c>
      <c r="N205" s="4">
        <v>1.927</v>
      </c>
      <c r="O205" s="5">
        <f>M205/$M$3</f>
        <v>0.9683350357507661</v>
      </c>
      <c r="P205" s="5">
        <f>N205/$M$3</f>
        <v>0.984167517875383</v>
      </c>
      <c r="Q205" s="7">
        <f>IFERROR(N205/M205-1,0)</f>
        <v>0.016350210970464296</v>
      </c>
      <c r="R205" s="5">
        <f>SUM(IF(BM205="lease",BU205,0),IF(CH205="lease",CP205,0),IF(DC205="lease",DK205,0),IF(DX205="lease",EF205,0),IF(ES205="lease",FA205,0),IF(FN205="lease",FV205,0),IF(GI205="lease",GQ205,0),IF(HD205="lease",HL205,0),IF(HY205="lease",IG205,0),IF(IT205="lease",JB205,0))</f>
        <v>1.916379490981438</v>
      </c>
      <c r="S205" s="5">
        <f>SUM(IF(BM205="lease",BV205,0),IF(CH205="lease",CQ205,0),IF(DC205="lease",DL205,0),IF(DX205="lease",EG205,0),IF(ES205="lease",FB205,0),IF(FN205="lease",FW205,0),IF(GI205="lease",GR205,0),IF(HD205="lease",HM205,0),IF(HY205="lease",IH205,0),IF(IT205="lease",JC205,0))</f>
        <v>1.947699574071531</v>
      </c>
      <c r="T205" s="5">
        <f>SUM(IF(BM205="keep",BU205,0),IF(CH205="keep",CP205,0),IF(DC205="keep",DK205,0),IF(DX205="keep",EF205,0),IF(ES205="keep",FA205,0),IF(FN205="keep",FV205,0),IF(GI205="keep",GQ205,0),IF(HD205="keep",HL205,0),IF(HY205="keep",IG205,0),IF(IT205="keep",JB205,0))</f>
        <v>0</v>
      </c>
      <c r="U205" s="5">
        <f>SUM(IF(BM205="keep",BV205,0),IF(CH205="keep",CQ205,0),IF(DC205="keep",DL205,0),IF(DX205="keep",EG205,0),IF(ES205="keep",FB205,0),IF(FN205="keep",FW205,0),IF(GI205="keep",GR205,0),IF(HD205="keep",HM205,0),IF(HY205="keep",IH205,0),IF(IT205="keep",JC205,0))</f>
        <v>0</v>
      </c>
      <c r="V205" s="5">
        <f>R205/O205</f>
        <v>1.9790459089354724</v>
      </c>
      <c r="W205" s="5">
        <f>S205/P205</f>
        <v>1.9790325718900144</v>
      </c>
      <c r="X205" s="5">
        <f>T205/O205</f>
        <v>0</v>
      </c>
      <c r="Y205" s="5">
        <f>U205/P205</f>
        <v>0</v>
      </c>
      <c r="Z205" s="5">
        <f>V205+X205</f>
        <v>1.9790459089354724</v>
      </c>
      <c r="AA205" s="7">
        <f>IFERROR(W205/V205-1,0)</f>
        <v>-0.000006739128889265977</v>
      </c>
      <c r="AB205" s="7">
        <f>IFERROR((W205-V205)/Z205,0)</f>
        <v>-0.0000067391288892344965</v>
      </c>
      <c r="AC205" s="7">
        <f>IFERROR(Y205/X205-1,0)</f>
        <v>0</v>
      </c>
      <c r="AD205" s="7">
        <f>IFERROR((Y205-X205)/Z205,0)</f>
        <v>0</v>
      </c>
      <c r="AE205" s="7">
        <f>AB205+AD205</f>
        <v>-0.0000067391288892344965</v>
      </c>
      <c r="AF205" s="7">
        <f>(1+Q205)*(1+AE205)-1</f>
        <v>0.01634336165539585</v>
      </c>
      <c r="AG205" s="7">
        <f>G205-AF205</f>
        <v>-4.5102810375396984e-17</v>
      </c>
      <c r="AH205" s="5">
        <f>SUM(IF(BM205="lease",BW205,0),IF(CH205="lease",CR205,0),IF(DC205="lease",DM205,0),IF(DX205="lease",EH205,0),IF(ES205="lease",FC205,0),IF(FN205="lease",FX205,0),IF(GI205="lease",GS205,0),IF(HD205="lease",HN205,0),IF(HY205="lease",II205,0),IF(IT205="lease",JD205,0))</f>
        <v>0.031320083090092966</v>
      </c>
      <c r="AI205" s="5">
        <f>SUM(IF(BM205="keep",BW205,0),IF(CH205="keep",CR205,0),IF(DC205="keep",DM205,0),IF(DX205="keep",EH205,0),IF(ES205="keep",FC205,0),IF(FN205="keep",FX205,0),IF(GI205="keep",GS205,0),IF(HD205="keep",HN205,0),IF(HY205="keep",II205,0),IF(IT205="keep",JD205,0))</f>
        <v>0</v>
      </c>
      <c r="AJ205" s="5">
        <f>SUM(IF(BM205="lease",BX205,0),IF(CH205="lease",CS205,0),IF(DC205="lease",DN205,0),IF(DX205="lease",EI205,0),IF(ES205="lease",FD205,0),IF(FN205="lease",FY205,0),IF(GI205="lease",GT205,0),IF(HD205="lease",HO205,0),IF(HY205="lease",IJ205,0),IF(IT205="lease",JE205,0))</f>
        <v>0</v>
      </c>
      <c r="AK205" s="5">
        <f>SUM(IF(BM205="keep",BX205,0),IF(CH205="keep",CS205,0),IF(DC205="keep",DN205,0),IF(DX205="keep",EI205,0),IF(ES205="keep",FD205,0),IF(FN205="keep",FY205,0),IF(GI205="keep",GT205,0),IF(HD205="keep",HO205,0),IF(HY205="keep",IJ205,0),IF(IT205="keep",JE205,0))</f>
        <v>0</v>
      </c>
      <c r="AL205" s="5">
        <f>R205-S204</f>
        <v>0</v>
      </c>
      <c r="AM205" s="5">
        <f>T205-U204</f>
        <v>0</v>
      </c>
      <c r="AN205" s="5">
        <f>AN204</f>
        <v>1</v>
      </c>
      <c r="AO205" s="5">
        <f>AO204+AH205</f>
        <v>0.947699574071531</v>
      </c>
      <c r="AP205" s="5">
        <f>AP204+AL205</f>
        <v>2.220446049250313e-16</v>
      </c>
      <c r="AQ205" s="5">
        <f>AN205+AO205+AP205</f>
        <v>1.9476995740715313</v>
      </c>
      <c r="AR205" s="5">
        <f>S205-AQ205</f>
        <v>-2.220446049250313e-16</v>
      </c>
      <c r="AS205" s="5">
        <f>AS204</f>
        <v>0</v>
      </c>
      <c r="AT205" s="5">
        <f>AT204+AI205</f>
        <v>0</v>
      </c>
      <c r="AU205" s="5">
        <f>AU204+AM205</f>
        <v>0</v>
      </c>
      <c r="AV205" s="5">
        <f>AS205+AT205+AU205</f>
        <v>0</v>
      </c>
      <c r="AW205" s="5">
        <f>U205-AV205</f>
        <v>0</v>
      </c>
      <c r="AX205" s="4">
        <v>1.916379490981438</v>
      </c>
      <c r="AY205" s="4">
        <v>1.947699574071531</v>
      </c>
      <c r="AZ205" s="5">
        <f>S205-AY205</f>
        <v>0</v>
      </c>
      <c r="BA205" s="4">
        <v>0</v>
      </c>
      <c r="BB205" s="4">
        <v>0</v>
      </c>
      <c r="BC205" s="5">
        <f>U205-BB205</f>
        <v>0</v>
      </c>
      <c r="BD205" s="7">
        <f>SUM(IF(BL205="direct",CE205,0),IF(CG205="direct",CZ205,0),IF(DB205="direct",DU205,0),IF(DW205="direct",EP205,0),IF(ER205="direct",FK205,0),IF(FM205="direct",GF205,0),IF(GH205="direct",HA205,0),IF(HC205="direct",HV205,0),IF(HX205="direct",IQ205,0),IF(IS205="direct",JL205,0))</f>
        <v>0.016343361655395804</v>
      </c>
      <c r="BE205" s="7">
        <f>SUM(IF(BL205="treasury",CE205,0),IF(CG205="treasury",CZ205,0),IF(DB205="treasury",DU205,0),IF(DW205="treasury",EP205,0),IF(ER205="treasury",FK205,0),IF(FM205="treasury",GF205,0),IF(GH205="treasury",HA205,0),IF(HC205="treasury",HV205,0),IF(HX205="treasury",IQ205,0),IF(IS205="treasury",JL205,0))</f>
        <v>0</v>
      </c>
      <c r="BF205" s="7">
        <f>SUM(IF(BL205="future",CE205,0),IF(CG205="future",CZ205,0),IF(DB205="future",DU205,0),IF(DW205="future",EP205,0),IF(ER205="future",FK205,0),IF(FM205="future",GF205,0),IF(GH205="future",HA205,0),IF(HC205="future",HV205,0),IF(HX205="future",IQ205,0),IF(IS205="future",JL205,0))</f>
        <v>0</v>
      </c>
      <c r="BG205" s="7">
        <f>SUM(IF(BL205="cash",CE205,0),IF(CG205="cash",CZ205,0),IF(DB205="cash",DU205,0),IF(DW205="cash",EP205,0),IF(ER205="cash",FK205,0),IF(FM205="cash",GF205,0),IF(GH205="cash",HA205,0),IF(HC205="cash",HV205,0),IF(HX205="cash",IQ205,0),IF(IS205="cash",JL205,0))</f>
        <v>0</v>
      </c>
      <c r="BH205" s="7">
        <f>SUM(BD205:BG205)</f>
        <v>0.016343361655395804</v>
      </c>
      <c r="BI205" s="7">
        <f>G205-BH205</f>
        <v>0</v>
      </c>
      <c r="BJ205" s="9">
        <f>COUNTA(BK205,CF205,DA205,DV205,EQ205,FL205,GG205,HB205,HW205,IR205)</f>
        <v>3</v>
      </c>
      <c r="BK205" t="inlineStr">
        <is>
          <t xml:space="preserve">Direct commodity holding</t>
        </is>
      </c>
      <c r="BL205" t="inlineStr">
        <is>
          <t xml:space="preserve">direct</t>
        </is>
      </c>
      <c r="BM205" t="inlineStr">
        <is>
          <t xml:space="preserve">lease</t>
        </is>
      </c>
      <c r="BN205" t="inlineStr">
        <is>
          <t xml:space="preserve">long</t>
        </is>
      </c>
      <c r="BO205"/>
      <c r="BP205" s="4">
        <v>1.896</v>
      </c>
      <c r="BQ205" s="4">
        <v>1.927</v>
      </c>
      <c r="BR205" s="4">
        <v>1.0107486766779736</v>
      </c>
      <c r="BS205" s="6">
        <v>1</v>
      </c>
      <c r="BT205" s="4">
        <v>1.916379490981438</v>
      </c>
      <c r="BU205" s="4">
        <v>1.916379490981438</v>
      </c>
      <c r="BV205" s="4">
        <v>1.9477126999584553</v>
      </c>
      <c r="BW205" s="4">
        <v>0.031320083090092966</v>
      </c>
      <c r="BX205" s="4">
        <v>0.000013125886924335306</v>
      </c>
      <c r="BY205" s="4">
        <v>1.896</v>
      </c>
      <c r="BZ205" s="4">
        <v>1.927</v>
      </c>
      <c r="CA205" s="6"/>
      <c r="CB205" s="6"/>
      <c r="CC205" s="6"/>
      <c r="CD205" s="9"/>
      <c r="CE205" s="7">
        <f>IFERROR(BW205/F205,0)</f>
        <v>0.016343361655395804</v>
      </c>
      <c r="CF205" t="inlineStr">
        <is>
          <t xml:space="preserve">Lease cash / margin / financing</t>
        </is>
      </c>
      <c r="CG205" t="inlineStr">
        <is>
          <t xml:space="preserve">cash</t>
        </is>
      </c>
      <c r="CH205" t="inlineStr">
        <is>
          <t xml:space="preserve">lease</t>
        </is>
      </c>
      <c r="CI205" t="inlineStr">
        <is>
          <t xml:space="preserve">cash</t>
        </is>
      </c>
      <c r="CJ205"/>
      <c r="CK205" s="4">
        <v>1</v>
      </c>
      <c r="CL205" s="4">
        <v>1</v>
      </c>
      <c r="CM205" s="4">
        <v>0</v>
      </c>
      <c r="CN205" s="6"/>
      <c r="CO205" s="4">
        <v>0</v>
      </c>
      <c r="CP205" s="4">
        <v>0</v>
      </c>
      <c r="CQ205" s="4">
        <v>-0.000013125886924335306</v>
      </c>
      <c r="CR205" s="4">
        <v>0</v>
      </c>
      <c r="CS205" s="4">
        <v>-0.000013125886924335306</v>
      </c>
      <c r="CT205" s="4">
        <v>1.896</v>
      </c>
      <c r="CU205" s="4">
        <v>1.927</v>
      </c>
      <c r="CV205" s="6"/>
      <c r="CW205" s="6"/>
      <c r="CX205" s="6"/>
      <c r="CY205" s="9"/>
      <c r="CZ205" s="7">
        <f>IFERROR(CR205/F205,0)</f>
        <v>0</v>
      </c>
      <c r="DA205" t="inlineStr">
        <is>
          <t xml:space="preserve">Keep cash / margin / financing</t>
        </is>
      </c>
      <c r="DB205" t="inlineStr">
        <is>
          <t xml:space="preserve">cash</t>
        </is>
      </c>
      <c r="DC205" t="inlineStr">
        <is>
          <t xml:space="preserve">keep</t>
        </is>
      </c>
      <c r="DD205" t="inlineStr">
        <is>
          <t xml:space="preserve">cash</t>
        </is>
      </c>
      <c r="DE205"/>
      <c r="DF205" s="4">
        <v>1</v>
      </c>
      <c r="DG205" s="4">
        <v>1</v>
      </c>
      <c r="DH205" s="4">
        <v>0</v>
      </c>
      <c r="DI205" s="6"/>
      <c r="DJ205" s="4">
        <v>0</v>
      </c>
      <c r="DK205" s="4">
        <v>0</v>
      </c>
      <c r="DL205" s="4">
        <v>0</v>
      </c>
      <c r="DM205" s="4">
        <v>0</v>
      </c>
      <c r="DN205" s="4">
        <v>0</v>
      </c>
      <c r="DO205" s="4">
        <v>1.896</v>
      </c>
      <c r="DP205" s="4">
        <v>1.927</v>
      </c>
      <c r="DQ205" s="6"/>
      <c r="DR205" s="6"/>
      <c r="DS205" s="6"/>
      <c r="DT205" s="9"/>
      <c r="DU205" s="7">
        <f>IFERROR(DM205/F205,0)</f>
        <v>0</v>
      </c>
      <c r="DV205"/>
      <c r="DW205"/>
      <c r="DX205"/>
      <c r="DY205"/>
      <c r="DZ205"/>
      <c r="EA205" s="4"/>
      <c r="EB205" s="4"/>
      <c r="EC205" s="4"/>
      <c r="ED205" s="6"/>
      <c r="EE205" s="4"/>
      <c r="EF205" s="4"/>
      <c r="EG205" s="4"/>
      <c r="EH205" s="4"/>
      <c r="EI205" s="4"/>
      <c r="EJ205" s="4"/>
      <c r="EK205" s="4"/>
      <c r="EL205" s="6"/>
      <c r="EM205" s="6"/>
      <c r="EN205" s="6"/>
      <c r="EO205" s="9"/>
      <c r="EP205"/>
      <c r="EQ205"/>
      <c r="ER205"/>
      <c r="ES205"/>
      <c r="ET205"/>
      <c r="EU205"/>
      <c r="EV205" s="4"/>
      <c r="EW205" s="4"/>
      <c r="EX205" s="4"/>
      <c r="EY205" s="6"/>
      <c r="EZ205" s="4"/>
      <c r="FA205" s="4"/>
      <c r="FB205" s="4"/>
      <c r="FC205" s="4"/>
      <c r="FD205" s="4"/>
      <c r="FE205" s="4"/>
      <c r="FF205" s="4"/>
      <c r="FG205" s="6"/>
      <c r="FH205" s="6"/>
      <c r="FI205" s="6"/>
      <c r="FJ205" s="9"/>
      <c r="FK205"/>
      <c r="FL205"/>
      <c r="FM205"/>
      <c r="FN205"/>
      <c r="FO205"/>
      <c r="FP205"/>
      <c r="FQ205" s="4"/>
      <c r="FR205" s="4"/>
      <c r="FS205" s="4"/>
      <c r="FT205" s="6"/>
      <c r="FU205" s="4"/>
      <c r="FV205" s="4"/>
      <c r="FW205" s="4"/>
      <c r="FX205" s="4"/>
      <c r="FY205" s="4"/>
      <c r="FZ205" s="4"/>
      <c r="GA205" s="4"/>
      <c r="GB205" s="6"/>
      <c r="GC205" s="6"/>
      <c r="GD205" s="6"/>
      <c r="GE205" s="9"/>
      <c r="GF205"/>
      <c r="GG205"/>
      <c r="GH205"/>
      <c r="GI205"/>
      <c r="GJ205"/>
      <c r="GK205"/>
      <c r="GL205" s="4"/>
      <c r="GM205" s="4"/>
      <c r="GN205" s="4"/>
      <c r="GO205" s="6"/>
      <c r="GP205" s="4"/>
      <c r="GQ205" s="4"/>
      <c r="GR205" s="4"/>
      <c r="GS205" s="4"/>
      <c r="GT205" s="4"/>
      <c r="GU205" s="4"/>
      <c r="GV205" s="4"/>
      <c r="GW205" s="6"/>
      <c r="GX205" s="6"/>
      <c r="GY205" s="6"/>
      <c r="GZ205" s="9"/>
      <c r="HA205"/>
      <c r="HB205"/>
      <c r="HC205"/>
      <c r="HD205"/>
      <c r="HE205"/>
      <c r="HF205"/>
      <c r="HG205" s="4"/>
      <c r="HH205" s="4"/>
      <c r="HI205" s="4"/>
      <c r="HJ205" s="6"/>
      <c r="HK205" s="4"/>
      <c r="HL205" s="4"/>
      <c r="HM205" s="4"/>
      <c r="HN205" s="4"/>
      <c r="HO205" s="4"/>
      <c r="HP205" s="4"/>
      <c r="HQ205" s="4"/>
      <c r="HR205" s="6"/>
      <c r="HS205" s="6"/>
      <c r="HT205" s="6"/>
      <c r="HU205" s="9"/>
      <c r="HV205"/>
      <c r="HW205"/>
      <c r="HX205"/>
      <c r="HY205"/>
      <c r="HZ205"/>
      <c r="IA205"/>
      <c r="IB205" s="4"/>
      <c r="IC205" s="4"/>
      <c r="ID205" s="4"/>
      <c r="IE205" s="6"/>
      <c r="IF205" s="4"/>
      <c r="IG205" s="4"/>
      <c r="IH205" s="4"/>
      <c r="II205" s="4"/>
      <c r="IJ205" s="4"/>
      <c r="IK205" s="4"/>
      <c r="IL205" s="4"/>
      <c r="IM205" s="6"/>
      <c r="IN205" s="6"/>
      <c r="IO205" s="6"/>
      <c r="IP205" s="9"/>
      <c r="IQ205"/>
      <c r="IR205"/>
      <c r="IS205"/>
      <c r="IT205"/>
      <c r="IU205"/>
      <c r="IV205"/>
      <c r="IW205" s="4"/>
      <c r="IX205" s="4"/>
      <c r="IY205" s="4"/>
      <c r="IZ205" s="6"/>
      <c r="JA205" s="4"/>
      <c r="JB205" s="4"/>
      <c r="JC205" s="4"/>
      <c r="JD205" s="4"/>
      <c r="JE205" s="4"/>
      <c r="JF205" s="4"/>
      <c r="JG205" s="4"/>
      <c r="JH205" s="6"/>
      <c r="JI205" s="6"/>
      <c r="JJ205" s="6"/>
      <c r="JK205" s="9"/>
      <c r="JL205"/>
    </row>
    <row r="206">
      <c r="A206" s="8">
        <v>25506</v>
      </c>
      <c r="B206" s="8">
        <v>25507</v>
      </c>
      <c r="C206" s="9">
        <f>B206-A206</f>
        <v>1</v>
      </c>
      <c r="D206" s="8">
        <v>25506</v>
      </c>
      <c r="E206" t="inlineStr">
        <is>
          <t xml:space="preserve">neutral</t>
        </is>
      </c>
      <c r="F206" s="4">
        <v>1.947699574071531</v>
      </c>
      <c r="G206" s="6">
        <v>0.010371977877458869</v>
      </c>
      <c r="H206" s="7">
        <f>SUM(CE206,CZ206,DU206,EP206,FK206,GF206,HA206,HV206,IQ206,JL206)</f>
        <v>0.01037197787745887</v>
      </c>
      <c r="I206" s="7">
        <f>G206-H206</f>
        <v>-1.734723475976807e-18</v>
      </c>
      <c r="J206" s="5">
        <f>F206*(1+H206)</f>
        <v>1.9679010709657372</v>
      </c>
      <c r="K206" s="4">
        <v>1.9679010709657372</v>
      </c>
      <c r="L206" s="5">
        <f>K206-J206</f>
        <v>0</v>
      </c>
      <c r="M206" s="4">
        <v>1.927</v>
      </c>
      <c r="N206" s="4">
        <v>1.947</v>
      </c>
      <c r="O206" s="5">
        <f>M206/$M$3</f>
        <v>0.984167517875383</v>
      </c>
      <c r="P206" s="5">
        <f>N206/$M$3</f>
        <v>0.9943820224719102</v>
      </c>
      <c r="Q206" s="7">
        <f>IFERROR(N206/M206-1,0)</f>
        <v>0.010378827192527362</v>
      </c>
      <c r="R206" s="5">
        <f>SUM(IF(BM206="lease",BU206,0),IF(CH206="lease",CP206,0),IF(DC206="lease",DK206,0),IF(DX206="lease",EF206,0),IF(ES206="lease",FA206,0),IF(FN206="lease",FV206,0),IF(GI206="lease",GQ206,0),IF(HD206="lease",HL206,0),IF(HY206="lease",IG206,0),IF(IT206="lease",JB206,0))</f>
        <v>1.947699574071531</v>
      </c>
      <c r="S206" s="5">
        <f>SUM(IF(BM206="lease",BV206,0),IF(CH206="lease",CQ206,0),IF(DC206="lease",DL206,0),IF(DX206="lease",EG206,0),IF(ES206="lease",FB206,0),IF(FN206="lease",FW206,0),IF(GI206="lease",GR206,0),IF(HD206="lease",HM206,0),IF(HY206="lease",IH206,0),IF(IT206="lease",JC206,0))</f>
        <v>1.967901070965737</v>
      </c>
      <c r="T206" s="5">
        <f>SUM(IF(BM206="keep",BU206,0),IF(CH206="keep",CP206,0),IF(DC206="keep",DK206,0),IF(DX206="keep",EF206,0),IF(ES206="keep",FA206,0),IF(FN206="keep",FV206,0),IF(GI206="keep",GQ206,0),IF(HD206="keep",HL206,0),IF(HY206="keep",IG206,0),IF(IT206="keep",JB206,0))</f>
        <v>0</v>
      </c>
      <c r="U206" s="5">
        <f>SUM(IF(BM206="keep",BV206,0),IF(CH206="keep",CQ206,0),IF(DC206="keep",DL206,0),IF(DX206="keep",EG206,0),IF(ES206="keep",FB206,0),IF(FN206="keep",FW206,0),IF(GI206="keep",GR206,0),IF(HD206="keep",HM206,0),IF(HY206="keep",IH206,0),IF(IT206="keep",JC206,0))</f>
        <v>0</v>
      </c>
      <c r="V206" s="5">
        <f>R206/O206</f>
        <v>1.9790325718900144</v>
      </c>
      <c r="W206" s="5">
        <f>S206/P206</f>
        <v>1.979019156112436</v>
      </c>
      <c r="X206" s="5">
        <f>T206/O206</f>
        <v>0</v>
      </c>
      <c r="Y206" s="5">
        <f>U206/P206</f>
        <v>0</v>
      </c>
      <c r="Z206" s="5">
        <f>V206+X206</f>
        <v>1.9790325718900144</v>
      </c>
      <c r="AA206" s="7">
        <f>IFERROR(W206/V206-1,0)</f>
        <v>-0.000006778957440611855</v>
      </c>
      <c r="AB206" s="7">
        <f>IFERROR((W206-V206)/Z206,0)</f>
        <v>-0.000006778957440601822</v>
      </c>
      <c r="AC206" s="7">
        <f>IFERROR(Y206/X206-1,0)</f>
        <v>0</v>
      </c>
      <c r="AD206" s="7">
        <f>IFERROR((Y206-X206)/Z206,0)</f>
        <v>0</v>
      </c>
      <c r="AE206" s="7">
        <f>AB206+AD206</f>
        <v>-0.000006778957440601822</v>
      </c>
      <c r="AF206" s="7">
        <f>(1+Q206)*(1+AE206)-1</f>
        <v>0.010371977877458916</v>
      </c>
      <c r="AG206" s="7">
        <f>G206-AF206</f>
        <v>-4.683753385137379e-17</v>
      </c>
      <c r="AH206" s="5">
        <f>SUM(IF(BM206="lease",BW206,0),IF(CH206="lease",CR206,0),IF(DC206="lease",DM206,0),IF(DX206="lease",EH206,0),IF(ES206="lease",FC206,0),IF(FN206="lease",FX206,0),IF(GI206="lease",GS206,0),IF(HD206="lease",HN206,0),IF(HY206="lease",II206,0),IF(IT206="lease",JD206,0))</f>
        <v>0.020201496894205983</v>
      </c>
      <c r="AI206" s="5">
        <f>SUM(IF(BM206="keep",BW206,0),IF(CH206="keep",CR206,0),IF(DC206="keep",DM206,0),IF(DX206="keep",EH206,0),IF(ES206="keep",FC206,0),IF(FN206="keep",FX206,0),IF(GI206="keep",GS206,0),IF(HD206="keep",HN206,0),IF(HY206="keep",II206,0),IF(IT206="keep",JD206,0))</f>
        <v>0</v>
      </c>
      <c r="AJ206" s="5">
        <f>SUM(IF(BM206="lease",BX206,0),IF(CH206="lease",CS206,0),IF(DC206="lease",DN206,0),IF(DX206="lease",EI206,0),IF(ES206="lease",FD206,0),IF(FN206="lease",FY206,0),IF(GI206="lease",GT206,0),IF(HD206="lease",HO206,0),IF(HY206="lease",IJ206,0),IF(IT206="lease",JE206,0))</f>
        <v>0</v>
      </c>
      <c r="AK206" s="5">
        <f>SUM(IF(BM206="keep",BX206,0),IF(CH206="keep",CS206,0),IF(DC206="keep",DN206,0),IF(DX206="keep",EI206,0),IF(ES206="keep",FD206,0),IF(FN206="keep",FY206,0),IF(GI206="keep",GT206,0),IF(HD206="keep",HO206,0),IF(HY206="keep",IJ206,0),IF(IT206="keep",JE206,0))</f>
        <v>0</v>
      </c>
      <c r="AL206" s="5">
        <f>R206-S205</f>
        <v>0</v>
      </c>
      <c r="AM206" s="5">
        <f>T206-U205</f>
        <v>0</v>
      </c>
      <c r="AN206" s="5">
        <f>AN205</f>
        <v>1</v>
      </c>
      <c r="AO206" s="5">
        <f>AO205+AH206</f>
        <v>0.9679010709657371</v>
      </c>
      <c r="AP206" s="5">
        <f>AP205+AL206</f>
        <v>2.220446049250313e-16</v>
      </c>
      <c r="AQ206" s="5">
        <f>AN206+AO206+AP206</f>
        <v>1.9679010709657374</v>
      </c>
      <c r="AR206" s="5">
        <f>S206-AQ206</f>
        <v>-4.440892098500626e-16</v>
      </c>
      <c r="AS206" s="5">
        <f>AS205</f>
        <v>0</v>
      </c>
      <c r="AT206" s="5">
        <f>AT205+AI206</f>
        <v>0</v>
      </c>
      <c r="AU206" s="5">
        <f>AU205+AM206</f>
        <v>0</v>
      </c>
      <c r="AV206" s="5">
        <f>AS206+AT206+AU206</f>
        <v>0</v>
      </c>
      <c r="AW206" s="5">
        <f>U206-AV206</f>
        <v>0</v>
      </c>
      <c r="AX206" s="4">
        <v>1.947699574071531</v>
      </c>
      <c r="AY206" s="4">
        <v>1.967901070965737</v>
      </c>
      <c r="AZ206" s="5">
        <f>S206-AY206</f>
        <v>0</v>
      </c>
      <c r="BA206" s="4">
        <v>0</v>
      </c>
      <c r="BB206" s="4">
        <v>0</v>
      </c>
      <c r="BC206" s="5">
        <f>U206-BB206</f>
        <v>0</v>
      </c>
      <c r="BD206" s="7">
        <f>SUM(IF(BL206="direct",CE206,0),IF(CG206="direct",CZ206,0),IF(DB206="direct",DU206,0),IF(DW206="direct",EP206,0),IF(ER206="direct",FK206,0),IF(FM206="direct",GF206,0),IF(GH206="direct",HA206,0),IF(HC206="direct",HV206,0),IF(HX206="direct",IQ206,0),IF(IS206="direct",JL206,0))</f>
        <v>0.01037197787745887</v>
      </c>
      <c r="BE206" s="7">
        <f>SUM(IF(BL206="treasury",CE206,0),IF(CG206="treasury",CZ206,0),IF(DB206="treasury",DU206,0),IF(DW206="treasury",EP206,0),IF(ER206="treasury",FK206,0),IF(FM206="treasury",GF206,0),IF(GH206="treasury",HA206,0),IF(HC206="treasury",HV206,0),IF(HX206="treasury",IQ206,0),IF(IS206="treasury",JL206,0))</f>
        <v>0</v>
      </c>
      <c r="BF206" s="7">
        <f>SUM(IF(BL206="future",CE206,0),IF(CG206="future",CZ206,0),IF(DB206="future",DU206,0),IF(DW206="future",EP206,0),IF(ER206="future",FK206,0),IF(FM206="future",GF206,0),IF(GH206="future",HA206,0),IF(HC206="future",HV206,0),IF(HX206="future",IQ206,0),IF(IS206="future",JL206,0))</f>
        <v>0</v>
      </c>
      <c r="BG206" s="7">
        <f>SUM(IF(BL206="cash",CE206,0),IF(CG206="cash",CZ206,0),IF(DB206="cash",DU206,0),IF(DW206="cash",EP206,0),IF(ER206="cash",FK206,0),IF(FM206="cash",GF206,0),IF(GH206="cash",HA206,0),IF(HC206="cash",HV206,0),IF(HX206="cash",IQ206,0),IF(IS206="cash",JL206,0))</f>
        <v>0</v>
      </c>
      <c r="BH206" s="7">
        <f>SUM(BD206:BG206)</f>
        <v>0.01037197787745887</v>
      </c>
      <c r="BI206" s="7">
        <f>G206-BH206</f>
        <v>-1.734723475976807e-18</v>
      </c>
      <c r="BJ206" s="9">
        <f>COUNTA(BK206,CF206,DA206,DV206,EQ206,FL206,GG206,HB206,HW206,IR206)</f>
        <v>3</v>
      </c>
      <c r="BK206" t="inlineStr">
        <is>
          <t xml:space="preserve">Direct commodity holding</t>
        </is>
      </c>
      <c r="BL206" t="inlineStr">
        <is>
          <t xml:space="preserve">direct</t>
        </is>
      </c>
      <c r="BM206" t="inlineStr">
        <is>
          <t xml:space="preserve">lease</t>
        </is>
      </c>
      <c r="BN206" t="inlineStr">
        <is>
          <t xml:space="preserve">long</t>
        </is>
      </c>
      <c r="BO206"/>
      <c r="BP206" s="4">
        <v>1.927</v>
      </c>
      <c r="BQ206" s="4">
        <v>1.947</v>
      </c>
      <c r="BR206" s="4">
        <v>1.010741865112367</v>
      </c>
      <c r="BS206" s="6">
        <v>1</v>
      </c>
      <c r="BT206" s="4">
        <v>1.947699574071531</v>
      </c>
      <c r="BU206" s="4">
        <v>1.947699574071531</v>
      </c>
      <c r="BV206" s="4">
        <v>1.9679144113737785</v>
      </c>
      <c r="BW206" s="4">
        <v>0.020201496894205983</v>
      </c>
      <c r="BX206" s="4">
        <v>0.000013340408041507407</v>
      </c>
      <c r="BY206" s="4">
        <v>1.927</v>
      </c>
      <c r="BZ206" s="4">
        <v>1.947</v>
      </c>
      <c r="CA206" s="6"/>
      <c r="CB206" s="6"/>
      <c r="CC206" s="6"/>
      <c r="CD206" s="9"/>
      <c r="CE206" s="7">
        <f>IFERROR(BW206/F206,0)</f>
        <v>0.01037197787745887</v>
      </c>
      <c r="CF206" t="inlineStr">
        <is>
          <t xml:space="preserve">Lease cash / margin / financing</t>
        </is>
      </c>
      <c r="CG206" t="inlineStr">
        <is>
          <t xml:space="preserve">cash</t>
        </is>
      </c>
      <c r="CH206" t="inlineStr">
        <is>
          <t xml:space="preserve">lease</t>
        </is>
      </c>
      <c r="CI206" t="inlineStr">
        <is>
          <t xml:space="preserve">cash</t>
        </is>
      </c>
      <c r="CJ206"/>
      <c r="CK206" s="4">
        <v>1</v>
      </c>
      <c r="CL206" s="4">
        <v>1</v>
      </c>
      <c r="CM206" s="4">
        <v>0</v>
      </c>
      <c r="CN206" s="6"/>
      <c r="CO206" s="4">
        <v>0</v>
      </c>
      <c r="CP206" s="4">
        <v>0</v>
      </c>
      <c r="CQ206" s="4">
        <v>-0.000013340408041507407</v>
      </c>
      <c r="CR206" s="4">
        <v>0</v>
      </c>
      <c r="CS206" s="4">
        <v>-0.000013340408041507407</v>
      </c>
      <c r="CT206" s="4">
        <v>1.927</v>
      </c>
      <c r="CU206" s="4">
        <v>1.947</v>
      </c>
      <c r="CV206" s="6"/>
      <c r="CW206" s="6"/>
      <c r="CX206" s="6"/>
      <c r="CY206" s="9"/>
      <c r="CZ206" s="7">
        <f>IFERROR(CR206/F206,0)</f>
        <v>0</v>
      </c>
      <c r="DA206" t="inlineStr">
        <is>
          <t xml:space="preserve">Keep cash / margin / financing</t>
        </is>
      </c>
      <c r="DB206" t="inlineStr">
        <is>
          <t xml:space="preserve">cash</t>
        </is>
      </c>
      <c r="DC206" t="inlineStr">
        <is>
          <t xml:space="preserve">keep</t>
        </is>
      </c>
      <c r="DD206" t="inlineStr">
        <is>
          <t xml:space="preserve">cash</t>
        </is>
      </c>
      <c r="DE206"/>
      <c r="DF206" s="4">
        <v>1</v>
      </c>
      <c r="DG206" s="4">
        <v>1</v>
      </c>
      <c r="DH206" s="4">
        <v>0</v>
      </c>
      <c r="DI206" s="6"/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1.927</v>
      </c>
      <c r="DP206" s="4">
        <v>1.947</v>
      </c>
      <c r="DQ206" s="6"/>
      <c r="DR206" s="6"/>
      <c r="DS206" s="6"/>
      <c r="DT206" s="9"/>
      <c r="DU206" s="7">
        <f>IFERROR(DM206/F206,0)</f>
        <v>0</v>
      </c>
      <c r="DV206"/>
      <c r="DW206"/>
      <c r="DX206"/>
      <c r="DY206"/>
      <c r="DZ206"/>
      <c r="EA206" s="4"/>
      <c r="EB206" s="4"/>
      <c r="EC206" s="4"/>
      <c r="ED206" s="6"/>
      <c r="EE206" s="4"/>
      <c r="EF206" s="4"/>
      <c r="EG206" s="4"/>
      <c r="EH206" s="4"/>
      <c r="EI206" s="4"/>
      <c r="EJ206" s="4"/>
      <c r="EK206" s="4"/>
      <c r="EL206" s="6"/>
      <c r="EM206" s="6"/>
      <c r="EN206" s="6"/>
      <c r="EO206" s="9"/>
      <c r="EP206"/>
      <c r="EQ206"/>
      <c r="ER206"/>
      <c r="ES206"/>
      <c r="ET206"/>
      <c r="EU206"/>
      <c r="EV206" s="4"/>
      <c r="EW206" s="4"/>
      <c r="EX206" s="4"/>
      <c r="EY206" s="6"/>
      <c r="EZ206" s="4"/>
      <c r="FA206" s="4"/>
      <c r="FB206" s="4"/>
      <c r="FC206" s="4"/>
      <c r="FD206" s="4"/>
      <c r="FE206" s="4"/>
      <c r="FF206" s="4"/>
      <c r="FG206" s="6"/>
      <c r="FH206" s="6"/>
      <c r="FI206" s="6"/>
      <c r="FJ206" s="9"/>
      <c r="FK206"/>
      <c r="FL206"/>
      <c r="FM206"/>
      <c r="FN206"/>
      <c r="FO206"/>
      <c r="FP206"/>
      <c r="FQ206" s="4"/>
      <c r="FR206" s="4"/>
      <c r="FS206" s="4"/>
      <c r="FT206" s="6"/>
      <c r="FU206" s="4"/>
      <c r="FV206" s="4"/>
      <c r="FW206" s="4"/>
      <c r="FX206" s="4"/>
      <c r="FY206" s="4"/>
      <c r="FZ206" s="4"/>
      <c r="GA206" s="4"/>
      <c r="GB206" s="6"/>
      <c r="GC206" s="6"/>
      <c r="GD206" s="6"/>
      <c r="GE206" s="9"/>
      <c r="GF206"/>
      <c r="GG206"/>
      <c r="GH206"/>
      <c r="GI206"/>
      <c r="GJ206"/>
      <c r="GK206"/>
      <c r="GL206" s="4"/>
      <c r="GM206" s="4"/>
      <c r="GN206" s="4"/>
      <c r="GO206" s="6"/>
      <c r="GP206" s="4"/>
      <c r="GQ206" s="4"/>
      <c r="GR206" s="4"/>
      <c r="GS206" s="4"/>
      <c r="GT206" s="4"/>
      <c r="GU206" s="4"/>
      <c r="GV206" s="4"/>
      <c r="GW206" s="6"/>
      <c r="GX206" s="6"/>
      <c r="GY206" s="6"/>
      <c r="GZ206" s="9"/>
      <c r="HA206"/>
      <c r="HB206"/>
      <c r="HC206"/>
      <c r="HD206"/>
      <c r="HE206"/>
      <c r="HF206"/>
      <c r="HG206" s="4"/>
      <c r="HH206" s="4"/>
      <c r="HI206" s="4"/>
      <c r="HJ206" s="6"/>
      <c r="HK206" s="4"/>
      <c r="HL206" s="4"/>
      <c r="HM206" s="4"/>
      <c r="HN206" s="4"/>
      <c r="HO206" s="4"/>
      <c r="HP206" s="4"/>
      <c r="HQ206" s="4"/>
      <c r="HR206" s="6"/>
      <c r="HS206" s="6"/>
      <c r="HT206" s="6"/>
      <c r="HU206" s="9"/>
      <c r="HV206"/>
      <c r="HW206"/>
      <c r="HX206"/>
      <c r="HY206"/>
      <c r="HZ206"/>
      <c r="IA206"/>
      <c r="IB206" s="4"/>
      <c r="IC206" s="4"/>
      <c r="ID206" s="4"/>
      <c r="IE206" s="6"/>
      <c r="IF206" s="4"/>
      <c r="IG206" s="4"/>
      <c r="IH206" s="4"/>
      <c r="II206" s="4"/>
      <c r="IJ206" s="4"/>
      <c r="IK206" s="4"/>
      <c r="IL206" s="4"/>
      <c r="IM206" s="6"/>
      <c r="IN206" s="6"/>
      <c r="IO206" s="6"/>
      <c r="IP206" s="9"/>
      <c r="IQ206"/>
      <c r="IR206"/>
      <c r="IS206"/>
      <c r="IT206"/>
      <c r="IU206"/>
      <c r="IV206"/>
      <c r="IW206" s="4"/>
      <c r="IX206" s="4"/>
      <c r="IY206" s="4"/>
      <c r="IZ206" s="6"/>
      <c r="JA206" s="4"/>
      <c r="JB206" s="4"/>
      <c r="JC206" s="4"/>
      <c r="JD206" s="4"/>
      <c r="JE206" s="4"/>
      <c r="JF206" s="4"/>
      <c r="JG206" s="4"/>
      <c r="JH206" s="6"/>
      <c r="JI206" s="6"/>
      <c r="JJ206" s="6"/>
      <c r="JK206" s="9"/>
      <c r="JL206"/>
    </row>
    <row r="207">
      <c r="A207" s="8">
        <v>25507</v>
      </c>
      <c r="B207" s="8">
        <v>25510</v>
      </c>
      <c r="C207" s="9">
        <f>B207-A207</f>
        <v>3</v>
      </c>
      <c r="D207" s="8">
        <v>25507</v>
      </c>
      <c r="E207" t="inlineStr">
        <is>
          <t xml:space="preserve">neutral</t>
        </is>
      </c>
      <c r="F207" s="4">
        <v>1.9679010709657372</v>
      </c>
      <c r="G207" s="6">
        <v>0.02514637552680274</v>
      </c>
      <c r="H207" s="7">
        <f>SUM(CE207,CZ207,DU207,EP207,FK207,GF207,HA207,HV207,IQ207,JL207)</f>
        <v>0.02514637552680274</v>
      </c>
      <c r="I207" s="7">
        <f>G207-H207</f>
        <v>0</v>
      </c>
      <c r="J207" s="5">
        <f>F207*(1+H207)</f>
        <v>2.0173866502958386</v>
      </c>
      <c r="K207" s="4">
        <v>2.0173866502958386</v>
      </c>
      <c r="L207" s="5">
        <f>K207-J207</f>
        <v>0</v>
      </c>
      <c r="M207" s="4">
        <v>1.947</v>
      </c>
      <c r="N207" s="4">
        <v>1.996</v>
      </c>
      <c r="O207" s="5">
        <f>M207/$M$3</f>
        <v>0.9943820224719102</v>
      </c>
      <c r="P207" s="5">
        <f>N207/$M$3</f>
        <v>1.0194075587334015</v>
      </c>
      <c r="Q207" s="7">
        <f>IFERROR(N207/M207-1,0)</f>
        <v>0.025166923472008218</v>
      </c>
      <c r="R207" s="5">
        <f>SUM(IF(BM207="lease",BU207,0),IF(CH207="lease",CP207,0),IF(DC207="lease",DK207,0),IF(DX207="lease",EF207,0),IF(ES207="lease",FA207,0),IF(FN207="lease",FV207,0),IF(GI207="lease",GQ207,0),IF(HD207="lease",HL207,0),IF(HY207="lease",IG207,0),IF(IT207="lease",JB207,0))</f>
        <v>1.967901070965737</v>
      </c>
      <c r="S207" s="5">
        <f>SUM(IF(BM207="lease",BV207,0),IF(CH207="lease",CQ207,0),IF(DC207="lease",DL207,0),IF(DX207="lease",EG207,0),IF(ES207="lease",FB207,0),IF(FN207="lease",FW207,0),IF(GI207="lease",GR207,0),IF(HD207="lease",HM207,0),IF(HY207="lease",IH207,0),IF(IT207="lease",JC207,0))</f>
        <v>2.0173866502958386</v>
      </c>
      <c r="T207" s="5">
        <f>SUM(IF(BM207="keep",BU207,0),IF(CH207="keep",CP207,0),IF(DC207="keep",DK207,0),IF(DX207="keep",EF207,0),IF(ES207="keep",FA207,0),IF(FN207="keep",FV207,0),IF(GI207="keep",GQ207,0),IF(HD207="keep",HL207,0),IF(HY207="keep",IG207,0),IF(IT207="keep",JB207,0))</f>
        <v>0</v>
      </c>
      <c r="U207" s="5">
        <f>SUM(IF(BM207="keep",BV207,0),IF(CH207="keep",CQ207,0),IF(DC207="keep",DL207,0),IF(DX207="keep",EG207,0),IF(ES207="keep",FB207,0),IF(FN207="keep",FW207,0),IF(GI207="keep",GR207,0),IF(HD207="keep",HM207,0),IF(HY207="keep",IH207,0),IF(IT207="keep",JC207,0))</f>
        <v>0</v>
      </c>
      <c r="V207" s="5">
        <f>R207/O207</f>
        <v>1.979019156112436</v>
      </c>
      <c r="W207" s="5">
        <f>S207/P207</f>
        <v>1.9789794896188637</v>
      </c>
      <c r="X207" s="5">
        <f>T207/O207</f>
        <v>0</v>
      </c>
      <c r="Y207" s="5">
        <f>U207/P207</f>
        <v>0</v>
      </c>
      <c r="Z207" s="5">
        <f>V207+X207</f>
        <v>1.979019156112436</v>
      </c>
      <c r="AA207" s="7">
        <f>IFERROR(W207/V207-1,0)</f>
        <v>-0.00002004351168083396</v>
      </c>
      <c r="AB207" s="7">
        <f>IFERROR((W207-V207)/Z207,0)</f>
        <v>-0.000020043511680883795</v>
      </c>
      <c r="AC207" s="7">
        <f>IFERROR(Y207/X207-1,0)</f>
        <v>0</v>
      </c>
      <c r="AD207" s="7">
        <f>IFERROR((Y207-X207)/Z207,0)</f>
        <v>0</v>
      </c>
      <c r="AE207" s="7">
        <f>AB207+AD207</f>
        <v>-0.000020043511680883795</v>
      </c>
      <c r="AF207" s="7">
        <f>(1+Q207)*(1+AE207)-1</f>
        <v>0.025146375526802878</v>
      </c>
      <c r="AG207" s="7">
        <f>G207-AF207</f>
        <v>-1.3877787807814457e-16</v>
      </c>
      <c r="AH207" s="5">
        <f>SUM(IF(BM207="lease",BW207,0),IF(CH207="lease",CR207,0),IF(DC207="lease",DM207,0),IF(DX207="lease",EH207,0),IF(ES207="lease",FC207,0),IF(FN207="lease",FX207,0),IF(GI207="lease",GS207,0),IF(HD207="lease",HN207,0),IF(HY207="lease",II207,0),IF(IT207="lease",JD207,0))</f>
        <v>0.04948557933010171</v>
      </c>
      <c r="AI207" s="5">
        <f>SUM(IF(BM207="keep",BW207,0),IF(CH207="keep",CR207,0),IF(DC207="keep",DM207,0),IF(DX207="keep",EH207,0),IF(ES207="keep",FC207,0),IF(FN207="keep",FX207,0),IF(GI207="keep",GS207,0),IF(HD207="keep",HN207,0),IF(HY207="keep",II207,0),IF(IT207="keep",JD207,0))</f>
        <v>0</v>
      </c>
      <c r="AJ207" s="5">
        <f>SUM(IF(BM207="lease",BX207,0),IF(CH207="lease",CS207,0),IF(DC207="lease",DN207,0),IF(DX207="lease",EI207,0),IF(ES207="lease",FD207,0),IF(FN207="lease",FY207,0),IF(GI207="lease",GT207,0),IF(HD207="lease",HO207,0),IF(HY207="lease",IJ207,0),IF(IT207="lease",JE207,0))</f>
        <v>0</v>
      </c>
      <c r="AK207" s="5">
        <f>SUM(IF(BM207="keep",BX207,0),IF(CH207="keep",CS207,0),IF(DC207="keep",DN207,0),IF(DX207="keep",EI207,0),IF(ES207="keep",FD207,0),IF(FN207="keep",FY207,0),IF(GI207="keep",GT207,0),IF(HD207="keep",HO207,0),IF(HY207="keep",IJ207,0),IF(IT207="keep",JE207,0))</f>
        <v>0</v>
      </c>
      <c r="AL207" s="5">
        <f>R207-S206</f>
        <v>0</v>
      </c>
      <c r="AM207" s="5">
        <f>T207-U206</f>
        <v>0</v>
      </c>
      <c r="AN207" s="5">
        <f>AN206</f>
        <v>1</v>
      </c>
      <c r="AO207" s="5">
        <f>AO206+AH207</f>
        <v>1.0173866502958389</v>
      </c>
      <c r="AP207" s="5">
        <f>AP206+AL207</f>
        <v>2.220446049250313e-16</v>
      </c>
      <c r="AQ207" s="5">
        <f>AN207+AO207+AP207</f>
        <v>2.0173866502958386</v>
      </c>
      <c r="AR207" s="5">
        <f>S207-AQ207</f>
        <v>0</v>
      </c>
      <c r="AS207" s="5">
        <f>AS206</f>
        <v>0</v>
      </c>
      <c r="AT207" s="5">
        <f>AT206+AI207</f>
        <v>0</v>
      </c>
      <c r="AU207" s="5">
        <f>AU206+AM207</f>
        <v>0</v>
      </c>
      <c r="AV207" s="5">
        <f>AS207+AT207+AU207</f>
        <v>0</v>
      </c>
      <c r="AW207" s="5">
        <f>U207-AV207</f>
        <v>0</v>
      </c>
      <c r="AX207" s="4">
        <v>1.967901070965737</v>
      </c>
      <c r="AY207" s="4">
        <v>2.0173866502958386</v>
      </c>
      <c r="AZ207" s="5">
        <f>S207-AY207</f>
        <v>0</v>
      </c>
      <c r="BA207" s="4">
        <v>0</v>
      </c>
      <c r="BB207" s="4">
        <v>0</v>
      </c>
      <c r="BC207" s="5">
        <f>U207-BB207</f>
        <v>0</v>
      </c>
      <c r="BD207" s="7">
        <f>SUM(IF(BL207="direct",CE207,0),IF(CG207="direct",CZ207,0),IF(DB207="direct",DU207,0),IF(DW207="direct",EP207,0),IF(ER207="direct",FK207,0),IF(FM207="direct",GF207,0),IF(GH207="direct",HA207,0),IF(HC207="direct",HV207,0),IF(HX207="direct",IQ207,0),IF(IS207="direct",JL207,0))</f>
        <v>0.02514637552680274</v>
      </c>
      <c r="BE207" s="7">
        <f>SUM(IF(BL207="treasury",CE207,0),IF(CG207="treasury",CZ207,0),IF(DB207="treasury",DU207,0),IF(DW207="treasury",EP207,0),IF(ER207="treasury",FK207,0),IF(FM207="treasury",GF207,0),IF(GH207="treasury",HA207,0),IF(HC207="treasury",HV207,0),IF(HX207="treasury",IQ207,0),IF(IS207="treasury",JL207,0))</f>
        <v>0</v>
      </c>
      <c r="BF207" s="7">
        <f>SUM(IF(BL207="future",CE207,0),IF(CG207="future",CZ207,0),IF(DB207="future",DU207,0),IF(DW207="future",EP207,0),IF(ER207="future",FK207,0),IF(FM207="future",GF207,0),IF(GH207="future",HA207,0),IF(HC207="future",HV207,0),IF(HX207="future",IQ207,0),IF(IS207="future",JL207,0))</f>
        <v>0</v>
      </c>
      <c r="BG207" s="7">
        <f>SUM(IF(BL207="cash",CE207,0),IF(CG207="cash",CZ207,0),IF(DB207="cash",DU207,0),IF(DW207="cash",EP207,0),IF(ER207="cash",FK207,0),IF(FM207="cash",GF207,0),IF(GH207="cash",HA207,0),IF(HC207="cash",HV207,0),IF(HX207="cash",IQ207,0),IF(IS207="cash",JL207,0))</f>
        <v>0</v>
      </c>
      <c r="BH207" s="7">
        <f>SUM(BD207:BG207)</f>
        <v>0.02514637552680274</v>
      </c>
      <c r="BI207" s="7">
        <f>G207-BH207</f>
        <v>0</v>
      </c>
      <c r="BJ207" s="9">
        <f>COUNTA(BK207,CF207,DA207,DV207,EQ207,FL207,GG207,HB207,HW207,IR207)</f>
        <v>3</v>
      </c>
      <c r="BK207" t="inlineStr">
        <is>
          <t xml:space="preserve">Direct commodity holding</t>
        </is>
      </c>
      <c r="BL207" t="inlineStr">
        <is>
          <t xml:space="preserve">direct</t>
        </is>
      </c>
      <c r="BM207" t="inlineStr">
        <is>
          <t xml:space="preserve">lease</t>
        </is>
      </c>
      <c r="BN207" t="inlineStr">
        <is>
          <t xml:space="preserve">long</t>
        </is>
      </c>
      <c r="BO207"/>
      <c r="BP207" s="4">
        <v>1.947</v>
      </c>
      <c r="BQ207" s="4">
        <v>1.996</v>
      </c>
      <c r="BR207" s="4">
        <v>1.01073501333628</v>
      </c>
      <c r="BS207" s="6">
        <v>1</v>
      </c>
      <c r="BT207" s="4">
        <v>1.9679010709657372</v>
      </c>
      <c r="BU207" s="4">
        <v>1.9679010709657372</v>
      </c>
      <c r="BV207" s="4">
        <v>2.017427086619215</v>
      </c>
      <c r="BW207" s="4">
        <v>0.04948557933010171</v>
      </c>
      <c r="BX207" s="4">
        <v>0.000040436323376094596</v>
      </c>
      <c r="BY207" s="4">
        <v>1.947</v>
      </c>
      <c r="BZ207" s="4">
        <v>1.996</v>
      </c>
      <c r="CA207" s="6"/>
      <c r="CB207" s="6"/>
      <c r="CC207" s="6"/>
      <c r="CD207" s="9"/>
      <c r="CE207" s="7">
        <f>IFERROR(BW207/F207,0)</f>
        <v>0.02514637552680274</v>
      </c>
      <c r="CF207" t="inlineStr">
        <is>
          <t xml:space="preserve">Lease cash / margin / financing</t>
        </is>
      </c>
      <c r="CG207" t="inlineStr">
        <is>
          <t xml:space="preserve">cash</t>
        </is>
      </c>
      <c r="CH207" t="inlineStr">
        <is>
          <t xml:space="preserve">lease</t>
        </is>
      </c>
      <c r="CI207" t="inlineStr">
        <is>
          <t xml:space="preserve">cash</t>
        </is>
      </c>
      <c r="CJ207"/>
      <c r="CK207" s="4">
        <v>1</v>
      </c>
      <c r="CL207" s="4">
        <v>1</v>
      </c>
      <c r="CM207" s="4">
        <v>-2.220446049250313e-16</v>
      </c>
      <c r="CN207" s="6"/>
      <c r="CO207" s="4">
        <v>-2.220446049250313e-16</v>
      </c>
      <c r="CP207" s="4">
        <v>-2.220446049250313e-16</v>
      </c>
      <c r="CQ207" s="4">
        <v>-0.00004043632337631664</v>
      </c>
      <c r="CR207" s="4">
        <v>0</v>
      </c>
      <c r="CS207" s="4">
        <v>-0.000040436323376094596</v>
      </c>
      <c r="CT207" s="4">
        <v>1.947</v>
      </c>
      <c r="CU207" s="4">
        <v>1.996</v>
      </c>
      <c r="CV207" s="6"/>
      <c r="CW207" s="6"/>
      <c r="CX207" s="6"/>
      <c r="CY207" s="9"/>
      <c r="CZ207" s="7">
        <f>IFERROR(CR207/F207,0)</f>
        <v>0</v>
      </c>
      <c r="DA207" t="inlineStr">
        <is>
          <t xml:space="preserve">Keep cash / margin / financing</t>
        </is>
      </c>
      <c r="DB207" t="inlineStr">
        <is>
          <t xml:space="preserve">cash</t>
        </is>
      </c>
      <c r="DC207" t="inlineStr">
        <is>
          <t xml:space="preserve">keep</t>
        </is>
      </c>
      <c r="DD207" t="inlineStr">
        <is>
          <t xml:space="preserve">cash</t>
        </is>
      </c>
      <c r="DE207"/>
      <c r="DF207" s="4">
        <v>1</v>
      </c>
      <c r="DG207" s="4">
        <v>1</v>
      </c>
      <c r="DH207" s="4">
        <v>0</v>
      </c>
      <c r="DI207" s="6"/>
      <c r="DJ207" s="4">
        <v>0</v>
      </c>
      <c r="DK207" s="4">
        <v>0</v>
      </c>
      <c r="DL207" s="4">
        <v>0</v>
      </c>
      <c r="DM207" s="4">
        <v>0</v>
      </c>
      <c r="DN207" s="4">
        <v>0</v>
      </c>
      <c r="DO207" s="4">
        <v>1.947</v>
      </c>
      <c r="DP207" s="4">
        <v>1.996</v>
      </c>
      <c r="DQ207" s="6"/>
      <c r="DR207" s="6"/>
      <c r="DS207" s="6"/>
      <c r="DT207" s="9"/>
      <c r="DU207" s="7">
        <f>IFERROR(DM207/F207,0)</f>
        <v>0</v>
      </c>
      <c r="DV207"/>
      <c r="DW207"/>
      <c r="DX207"/>
      <c r="DY207"/>
      <c r="DZ207"/>
      <c r="EA207" s="4"/>
      <c r="EB207" s="4"/>
      <c r="EC207" s="4"/>
      <c r="ED207" s="6"/>
      <c r="EE207" s="4"/>
      <c r="EF207" s="4"/>
      <c r="EG207" s="4"/>
      <c r="EH207" s="4"/>
      <c r="EI207" s="4"/>
      <c r="EJ207" s="4"/>
      <c r="EK207" s="4"/>
      <c r="EL207" s="6"/>
      <c r="EM207" s="6"/>
      <c r="EN207" s="6"/>
      <c r="EO207" s="9"/>
      <c r="EP207"/>
      <c r="EQ207"/>
      <c r="ER207"/>
      <c r="ES207"/>
      <c r="ET207"/>
      <c r="EU207"/>
      <c r="EV207" s="4"/>
      <c r="EW207" s="4"/>
      <c r="EX207" s="4"/>
      <c r="EY207" s="6"/>
      <c r="EZ207" s="4"/>
      <c r="FA207" s="4"/>
      <c r="FB207" s="4"/>
      <c r="FC207" s="4"/>
      <c r="FD207" s="4"/>
      <c r="FE207" s="4"/>
      <c r="FF207" s="4"/>
      <c r="FG207" s="6"/>
      <c r="FH207" s="6"/>
      <c r="FI207" s="6"/>
      <c r="FJ207" s="9"/>
      <c r="FK207"/>
      <c r="FL207"/>
      <c r="FM207"/>
      <c r="FN207"/>
      <c r="FO207"/>
      <c r="FP207"/>
      <c r="FQ207" s="4"/>
      <c r="FR207" s="4"/>
      <c r="FS207" s="4"/>
      <c r="FT207" s="6"/>
      <c r="FU207" s="4"/>
      <c r="FV207" s="4"/>
      <c r="FW207" s="4"/>
      <c r="FX207" s="4"/>
      <c r="FY207" s="4"/>
      <c r="FZ207" s="4"/>
      <c r="GA207" s="4"/>
      <c r="GB207" s="6"/>
      <c r="GC207" s="6"/>
      <c r="GD207" s="6"/>
      <c r="GE207" s="9"/>
      <c r="GF207"/>
      <c r="GG207"/>
      <c r="GH207"/>
      <c r="GI207"/>
      <c r="GJ207"/>
      <c r="GK207"/>
      <c r="GL207" s="4"/>
      <c r="GM207" s="4"/>
      <c r="GN207" s="4"/>
      <c r="GO207" s="6"/>
      <c r="GP207" s="4"/>
      <c r="GQ207" s="4"/>
      <c r="GR207" s="4"/>
      <c r="GS207" s="4"/>
      <c r="GT207" s="4"/>
      <c r="GU207" s="4"/>
      <c r="GV207" s="4"/>
      <c r="GW207" s="6"/>
      <c r="GX207" s="6"/>
      <c r="GY207" s="6"/>
      <c r="GZ207" s="9"/>
      <c r="HA207"/>
      <c r="HB207"/>
      <c r="HC207"/>
      <c r="HD207"/>
      <c r="HE207"/>
      <c r="HF207"/>
      <c r="HG207" s="4"/>
      <c r="HH207" s="4"/>
      <c r="HI207" s="4"/>
      <c r="HJ207" s="6"/>
      <c r="HK207" s="4"/>
      <c r="HL207" s="4"/>
      <c r="HM207" s="4"/>
      <c r="HN207" s="4"/>
      <c r="HO207" s="4"/>
      <c r="HP207" s="4"/>
      <c r="HQ207" s="4"/>
      <c r="HR207" s="6"/>
      <c r="HS207" s="6"/>
      <c r="HT207" s="6"/>
      <c r="HU207" s="9"/>
      <c r="HV207"/>
      <c r="HW207"/>
      <c r="HX207"/>
      <c r="HY207"/>
      <c r="HZ207"/>
      <c r="IA207"/>
      <c r="IB207" s="4"/>
      <c r="IC207" s="4"/>
      <c r="ID207" s="4"/>
      <c r="IE207" s="6"/>
      <c r="IF207" s="4"/>
      <c r="IG207" s="4"/>
      <c r="IH207" s="4"/>
      <c r="II207" s="4"/>
      <c r="IJ207" s="4"/>
      <c r="IK207" s="4"/>
      <c r="IL207" s="4"/>
      <c r="IM207" s="6"/>
      <c r="IN207" s="6"/>
      <c r="IO207" s="6"/>
      <c r="IP207" s="9"/>
      <c r="IQ207"/>
      <c r="IR207"/>
      <c r="IS207"/>
      <c r="IT207"/>
      <c r="IU207"/>
      <c r="IV207"/>
      <c r="IW207" s="4"/>
      <c r="IX207" s="4"/>
      <c r="IY207" s="4"/>
      <c r="IZ207" s="6"/>
      <c r="JA207" s="4"/>
      <c r="JB207" s="4"/>
      <c r="JC207" s="4"/>
      <c r="JD207" s="4"/>
      <c r="JE207" s="4"/>
      <c r="JF207" s="4"/>
      <c r="JG207" s="4"/>
      <c r="JH207" s="6"/>
      <c r="JI207" s="6"/>
      <c r="JJ207" s="6"/>
      <c r="JK207" s="9"/>
      <c r="JL207"/>
    </row>
    <row r="208">
      <c r="A208" s="8">
        <v>25510</v>
      </c>
      <c r="B208" s="8">
        <v>25512</v>
      </c>
      <c r="C208" s="9">
        <f>B208-A208</f>
        <v>2</v>
      </c>
      <c r="D208" s="8">
        <v>25510</v>
      </c>
      <c r="E208" t="inlineStr">
        <is>
          <t xml:space="preserve">positive</t>
        </is>
      </c>
      <c r="F208" s="4">
        <v>2.0173866502958386</v>
      </c>
      <c r="G208" s="6">
        <v>0.016049604724310097</v>
      </c>
      <c r="H208" s="7">
        <f>SUM(CE208,CZ208,DU208,EP208,FK208,GF208,HA208,HV208,IQ208,JL208)</f>
        <v>0.016049604724310093</v>
      </c>
      <c r="I208" s="7">
        <f>G208-H208</f>
        <v>3.469446951953614e-18</v>
      </c>
      <c r="J208" s="5">
        <f>F208*(1+H208)</f>
        <v>2.049764908609187</v>
      </c>
      <c r="K208" s="4">
        <v>2.049764908609187</v>
      </c>
      <c r="L208" s="5">
        <f>K208-J208</f>
        <v>0</v>
      </c>
      <c r="M208" s="4">
        <v>1.996</v>
      </c>
      <c r="N208" s="4">
        <v>1.993</v>
      </c>
      <c r="O208" s="5">
        <f>M208/$M$3</f>
        <v>1.0194075587334015</v>
      </c>
      <c r="P208" s="5">
        <f>N208/$M$3</f>
        <v>1.0178753830439224</v>
      </c>
      <c r="Q208" s="7">
        <f>IFERROR(N208/M208-1,0)</f>
        <v>-0.0015030060120240218</v>
      </c>
      <c r="R208" s="5">
        <f>SUM(IF(BM208="lease",BU208,0),IF(CH208="lease",CP208,0),IF(DC208="lease",DK208,0),IF(DX208="lease",EF208,0),IF(ES208="lease",FA208,0),IF(FN208="lease",FV208,0),IF(GI208="lease",GQ208,0),IF(HD208="lease",HL208,0),IF(HY208="lease",IG208,0),IF(IT208="lease",JB208,0))</f>
        <v>2.0173866502958386</v>
      </c>
      <c r="S208" s="5">
        <f>SUM(IF(BM208="lease",BV208,0),IF(CH208="lease",CQ208,0),IF(DC208="lease",DL208,0),IF(DX208="lease",EG208,0),IF(ES208="lease",FB208,0),IF(FN208="lease",FW208,0),IF(GI208="lease",GR208,0),IF(HD208="lease",HM208,0),IF(HY208="lease",IH208,0),IF(IT208="lease",JC208,0))</f>
        <v>2.0497649086091867</v>
      </c>
      <c r="T208" s="5">
        <f>SUM(IF(BM208="keep",BU208,0),IF(CH208="keep",CP208,0),IF(DC208="keep",DK208,0),IF(DX208="keep",EF208,0),IF(ES208="keep",FA208,0),IF(FN208="keep",FV208,0),IF(GI208="keep",GQ208,0),IF(HD208="keep",HL208,0),IF(HY208="keep",IG208,0),IF(IT208="keep",JB208,0))</f>
        <v>0</v>
      </c>
      <c r="U208" s="5">
        <f>SUM(IF(BM208="keep",BV208,0),IF(CH208="keep",CQ208,0),IF(DC208="keep",DL208,0),IF(DX208="keep",EG208,0),IF(ES208="keep",FB208,0),IF(FN208="keep",FW208,0),IF(GI208="keep",GR208,0),IF(HD208="keep",HM208,0),IF(HY208="keep",IH208,0),IF(IT208="keep",JC208,0))</f>
        <v>0</v>
      </c>
      <c r="V208" s="5">
        <f>R208/O208</f>
        <v>1.9789794896188637</v>
      </c>
      <c r="W208" s="5">
        <f>S208/P208</f>
        <v>2.013768033646155</v>
      </c>
      <c r="X208" s="5">
        <f>T208/O208</f>
        <v>0</v>
      </c>
      <c r="Y208" s="5">
        <f>U208/P208</f>
        <v>0</v>
      </c>
      <c r="Z208" s="5">
        <f>V208+X208</f>
        <v>1.9789794896188637</v>
      </c>
      <c r="AA208" s="7">
        <f>IFERROR(W208/V208-1,0)</f>
        <v>0.017579032127306826</v>
      </c>
      <c r="AB208" s="7">
        <f>IFERROR((W208-V208)/Z208,0)</f>
        <v>0.01757903212730682</v>
      </c>
      <c r="AC208" s="7">
        <f>IFERROR(Y208/X208-1,0)</f>
        <v>0</v>
      </c>
      <c r="AD208" s="7">
        <f>IFERROR((Y208-X208)/Z208,0)</f>
        <v>0</v>
      </c>
      <c r="AE208" s="7">
        <f>AB208+AD208</f>
        <v>0.01757903212730682</v>
      </c>
      <c r="AF208" s="7">
        <f>(1+Q208)*(1+AE208)-1</f>
        <v>0.01604960472430994</v>
      </c>
      <c r="AG208" s="7">
        <f>G208-AF208</f>
        <v>1.5612511283791264e-16</v>
      </c>
      <c r="AH208" s="5">
        <f>SUM(IF(BM208="lease",BW208,0),IF(CH208="lease",CR208,0),IF(DC208="lease",DM208,0),IF(DX208="lease",EH208,0),IF(ES208="lease",FC208,0),IF(FN208="lease",FX208,0),IF(GI208="lease",GS208,0),IF(HD208="lease",HN208,0),IF(HY208="lease",II208,0),IF(IT208="lease",JD208,0))</f>
        <v>0.03237825831334821</v>
      </c>
      <c r="AI208" s="5">
        <f>SUM(IF(BM208="keep",BW208,0),IF(CH208="keep",CR208,0),IF(DC208="keep",DM208,0),IF(DX208="keep",EH208,0),IF(ES208="keep",FC208,0),IF(FN208="keep",FX208,0),IF(GI208="keep",GS208,0),IF(HD208="keep",HN208,0),IF(HY208="keep",II208,0),IF(IT208="keep",JD208,0))</f>
        <v>0</v>
      </c>
      <c r="AJ208" s="5">
        <f>SUM(IF(BM208="lease",BX208,0),IF(CH208="lease",CS208,0),IF(DC208="lease",DN208,0),IF(DX208="lease",EI208,0),IF(ES208="lease",FD208,0),IF(FN208="lease",FY208,0),IF(GI208="lease",GT208,0),IF(HD208="lease",HO208,0),IF(HY208="lease",IJ208,0),IF(IT208="lease",JE208,0))</f>
        <v>0</v>
      </c>
      <c r="AK208" s="5">
        <f>SUM(IF(BM208="keep",BX208,0),IF(CH208="keep",CS208,0),IF(DC208="keep",DN208,0),IF(DX208="keep",EI208,0),IF(ES208="keep",FD208,0),IF(FN208="keep",FY208,0),IF(GI208="keep",GT208,0),IF(HD208="keep",HO208,0),IF(HY208="keep",IJ208,0),IF(IT208="keep",JE208,0))</f>
        <v>0</v>
      </c>
      <c r="AL208" s="5">
        <f>R208-S207</f>
        <v>0</v>
      </c>
      <c r="AM208" s="5">
        <f>T208-U207</f>
        <v>0</v>
      </c>
      <c r="AN208" s="5">
        <f>AN207</f>
        <v>1</v>
      </c>
      <c r="AO208" s="5">
        <f>AO207+AH208</f>
        <v>1.0497649086091871</v>
      </c>
      <c r="AP208" s="5">
        <f>AP207+AL208</f>
        <v>2.220446049250313e-16</v>
      </c>
      <c r="AQ208" s="5">
        <f>AN208+AO208+AP208</f>
        <v>2.0497649086091876</v>
      </c>
      <c r="AR208" s="5">
        <f>S208-AQ208</f>
        <v>-8.881784197001252e-16</v>
      </c>
      <c r="AS208" s="5">
        <f>AS207</f>
        <v>0</v>
      </c>
      <c r="AT208" s="5">
        <f>AT207+AI208</f>
        <v>0</v>
      </c>
      <c r="AU208" s="5">
        <f>AU207+AM208</f>
        <v>0</v>
      </c>
      <c r="AV208" s="5">
        <f>AS208+AT208+AU208</f>
        <v>0</v>
      </c>
      <c r="AW208" s="5">
        <f>U208-AV208</f>
        <v>0</v>
      </c>
      <c r="AX208" s="4">
        <v>2.0173866502958386</v>
      </c>
      <c r="AY208" s="4">
        <v>2.0497649086091867</v>
      </c>
      <c r="AZ208" s="5">
        <f>S208-AY208</f>
        <v>0</v>
      </c>
      <c r="BA208" s="4">
        <v>0</v>
      </c>
      <c r="BB208" s="4">
        <v>0</v>
      </c>
      <c r="BC208" s="5">
        <f>U208-BB208</f>
        <v>0</v>
      </c>
      <c r="BD208" s="7">
        <f>SUM(IF(BL208="direct",CE208,0),IF(CG208="direct",CZ208,0),IF(DB208="direct",DU208,0),IF(DW208="direct",EP208,0),IF(ER208="direct",FK208,0),IF(FM208="direct",GF208,0),IF(GH208="direct",HA208,0),IF(HC208="direct",HV208,0),IF(HX208="direct",IQ208,0),IF(IS208="direct",JL208,0))</f>
        <v>-0.00008554104181260836</v>
      </c>
      <c r="BE208" s="7">
        <f>SUM(IF(BL208="treasury",CE208,0),IF(CG208="treasury",CZ208,0),IF(DB208="treasury",DU208,0),IF(DW208="treasury",EP208,0),IF(ER208="treasury",FK208,0),IF(FM208="treasury",GF208,0),IF(GH208="treasury",HA208,0),IF(HC208="treasury",HV208,0),IF(HX208="treasury",IQ208,0),IF(IS208="treasury",JL208,0))</f>
        <v>0.000360377920825342</v>
      </c>
      <c r="BF208" s="7">
        <f>SUM(IF(BL208="future",CE208,0),IF(CG208="future",CZ208,0),IF(DB208="future",DU208,0),IF(DW208="future",EP208,0),IF(ER208="future",FK208,0),IF(FM208="future",GF208,0),IF(GH208="future",HA208,0),IF(HC208="future",HV208,0),IF(HX208="future",IQ208,0),IF(IS208="future",JL208,0))</f>
        <v>0.015774767845297362</v>
      </c>
      <c r="BG208" s="7">
        <f>SUM(IF(BL208="cash",CE208,0),IF(CG208="cash",CZ208,0),IF(DB208="cash",DU208,0),IF(DW208="cash",EP208,0),IF(ER208="cash",FK208,0),IF(FM208="cash",GF208,0),IF(GH208="cash",HA208,0),IF(HC208="cash",HV208,0),IF(HX208="cash",IQ208,0),IF(IS208="cash",JL208,0))</f>
        <v>0</v>
      </c>
      <c r="BH208" s="7">
        <f>SUM(BD208:BG208)</f>
        <v>0.016049604724310097</v>
      </c>
      <c r="BI208" s="7">
        <f>G208-BH208</f>
        <v>0</v>
      </c>
      <c r="BJ208" s="9">
        <f>COUNTA(BK208,CF208,DA208,DV208,EQ208,FL208,GG208,HB208,HW208,IR208)</f>
        <v>7</v>
      </c>
      <c r="BK208" t="inlineStr">
        <is>
          <t xml:space="preserve">Direct commodity holding</t>
        </is>
      </c>
      <c r="BL208" t="inlineStr">
        <is>
          <t xml:space="preserve">direct</t>
        </is>
      </c>
      <c r="BM208" t="inlineStr">
        <is>
          <t xml:space="preserve">lease</t>
        </is>
      </c>
      <c r="BN208" t="inlineStr">
        <is>
          <t xml:space="preserve">long</t>
        </is>
      </c>
      <c r="BO208"/>
      <c r="BP208" s="4">
        <v>1.996</v>
      </c>
      <c r="BQ208" s="4">
        <v>1.993</v>
      </c>
      <c r="BR208" s="4">
        <v>0.05700357913164256</v>
      </c>
      <c r="BS208" s="6">
        <v>0.05639927473995798</v>
      </c>
      <c r="BT208" s="4">
        <v>0.11377914394675855</v>
      </c>
      <c r="BU208" s="4">
        <v>0.11377914394675855</v>
      </c>
      <c r="BV208" s="4">
        <v>0.11360813320936362</v>
      </c>
      <c r="BW208" s="4">
        <v>-0.00017256935580515427</v>
      </c>
      <c r="BX208" s="4">
        <v>0.0000015586184102321491</v>
      </c>
      <c r="BY208" s="4">
        <v>1.996</v>
      </c>
      <c r="BZ208" s="4">
        <v>1.993</v>
      </c>
      <c r="CA208" s="6"/>
      <c r="CB208" s="6"/>
      <c r="CC208" s="6"/>
      <c r="CD208" s="9"/>
      <c r="CE208" s="7">
        <f>IFERROR(BW208/F208,0)</f>
        <v>-0.00008554104181260836</v>
      </c>
      <c r="CF208" t="inlineStr">
        <is>
          <t xml:space="preserve">Treasury collateral</t>
        </is>
      </c>
      <c r="CG208" t="inlineStr">
        <is>
          <t xml:space="preserve">treasury</t>
        </is>
      </c>
      <c r="CH208" t="inlineStr">
        <is>
          <t xml:space="preserve">lease</t>
        </is>
      </c>
      <c r="CI208" t="inlineStr">
        <is>
          <t xml:space="preserve">long</t>
        </is>
      </c>
      <c r="CJ208"/>
      <c r="CK208" s="4">
        <v>105.57854075039353</v>
      </c>
      <c r="CL208" s="4">
        <v>105.61886307527189</v>
      </c>
      <c r="CM208" s="4">
        <v>0.018030250208226947</v>
      </c>
      <c r="CN208" s="6">
        <v>0.943600725260042</v>
      </c>
      <c r="CO208" s="4">
        <v>1.90360750634908</v>
      </c>
      <c r="CP208" s="4">
        <v>1.90360750634908</v>
      </c>
      <c r="CQ208" s="4">
        <v>1.9043345279556143</v>
      </c>
      <c r="CR208" s="4">
        <v>0.0007270216065344157</v>
      </c>
      <c r="CS208" s="4">
        <v>-1.5406512871019018e-16</v>
      </c>
      <c r="CT208" s="4">
        <v>1.996</v>
      </c>
      <c r="CU208" s="4">
        <v>1.993</v>
      </c>
      <c r="CV208" s="6"/>
      <c r="CW208" s="6"/>
      <c r="CX208" s="6"/>
      <c r="CY208" s="9">
        <v>56</v>
      </c>
      <c r="CZ208" s="7">
        <f>IFERROR(CR208/F208,0)</f>
        <v>0.000360377920825342</v>
      </c>
      <c r="DA208" t="inlineStr">
        <is>
          <t xml:space="preserve">SI69Z</t>
        </is>
      </c>
      <c r="DB208" t="inlineStr">
        <is>
          <t xml:space="preserve">future</t>
        </is>
      </c>
      <c r="DC208" t="inlineStr">
        <is>
          <t xml:space="preserve">lease</t>
        </is>
      </c>
      <c r="DD208" t="inlineStr">
        <is>
          <t xml:space="preserve">long</t>
        </is>
      </c>
      <c r="DE208" t="inlineStr">
        <is>
          <t xml:space="preserve">regular</t>
        </is>
      </c>
      <c r="DF208" s="4">
        <v>1.974</v>
      </c>
      <c r="DG208" s="4">
        <v>2.0069999999999997</v>
      </c>
      <c r="DH208" s="4">
        <v>0.9634359164886036</v>
      </c>
      <c r="DI208" s="6">
        <v>0.9427159136150781</v>
      </c>
      <c r="DJ208" s="4">
        <v>1.9018224991485035</v>
      </c>
      <c r="DK208" s="4">
        <v>0</v>
      </c>
      <c r="DL208" s="4">
        <v>0</v>
      </c>
      <c r="DM208" s="4">
        <v>0.03179338524412353</v>
      </c>
      <c r="DN208" s="4">
        <v>-0.03179338524412353</v>
      </c>
      <c r="DO208" s="4">
        <v>1.996</v>
      </c>
      <c r="DP208" s="4">
        <v>1.993</v>
      </c>
      <c r="DQ208" s="6">
        <v>-0.011022044088176308</v>
      </c>
      <c r="DR208" s="6">
        <v>0.0697</v>
      </c>
      <c r="DS208" s="6">
        <v>0.1415401087890063</v>
      </c>
      <c r="DT208" s="9">
        <v>56</v>
      </c>
      <c r="DU208" s="7">
        <f>IFERROR(DM208/F208,0)</f>
        <v>0.015759688525479834</v>
      </c>
      <c r="DV208" t="inlineStr">
        <is>
          <t xml:space="preserve">SI70F</t>
        </is>
      </c>
      <c r="DW208" t="inlineStr">
        <is>
          <t xml:space="preserve">future</t>
        </is>
      </c>
      <c r="DX208" t="inlineStr">
        <is>
          <t xml:space="preserve">lease</t>
        </is>
      </c>
      <c r="DY208" t="inlineStr">
        <is>
          <t xml:space="preserve">long</t>
        </is>
      </c>
      <c r="DZ208" t="inlineStr">
        <is>
          <t xml:space="preserve">regular</t>
        </is>
      </c>
      <c r="EA208" s="4">
        <v>1.995</v>
      </c>
      <c r="EB208" s="4">
        <v>2.029</v>
      </c>
      <c r="EC208" s="4">
        <v>0.0008945339323776568</v>
      </c>
      <c r="ED208" s="6">
        <v>0.0008846074176369336</v>
      </c>
      <c r="EE208" s="4">
        <v>0.0017845951950934255</v>
      </c>
      <c r="EF208" s="4">
        <v>0</v>
      </c>
      <c r="EG208" s="4">
        <v>0</v>
      </c>
      <c r="EH208" s="4">
        <v>0.000030414153700839976</v>
      </c>
      <c r="EI208" s="4">
        <v>-0.000030414153700839976</v>
      </c>
      <c r="EJ208" s="4">
        <v>1.996</v>
      </c>
      <c r="EK208" s="4">
        <v>1.993</v>
      </c>
      <c r="EL208" s="6">
        <v>-0.0005010020040079333</v>
      </c>
      <c r="EM208" s="6">
        <v>0.0697</v>
      </c>
      <c r="EN208" s="6">
        <v>0.07182634571468482</v>
      </c>
      <c r="EO208" s="9">
        <v>86</v>
      </c>
      <c r="EP208" s="7">
        <f>IFERROR(EH208/F208,0)</f>
        <v>0.00001507601614017814</v>
      </c>
      <c r="EQ208" t="inlineStr">
        <is>
          <t xml:space="preserve">SI70H</t>
        </is>
      </c>
      <c r="ER208" t="inlineStr">
        <is>
          <t xml:space="preserve">future</t>
        </is>
      </c>
      <c r="ES208" t="inlineStr">
        <is>
          <t xml:space="preserve">lease</t>
        </is>
      </c>
      <c r="ET208" t="inlineStr">
        <is>
          <t xml:space="preserve">long</t>
        </is>
      </c>
      <c r="EU208" t="inlineStr">
        <is>
          <t xml:space="preserve">regular</t>
        </is>
      </c>
      <c r="EV208" s="4">
        <v>2.04</v>
      </c>
      <c r="EW208" s="4">
        <v>2.073</v>
      </c>
      <c r="EX208" s="4">
        <v>2.0196347208354742e-7</v>
      </c>
      <c r="EY208" s="6">
        <v>2.0422732696779688e-7</v>
      </c>
      <c r="EZ208" s="4">
        <v>4.1200548305043676e-7</v>
      </c>
      <c r="FA208" s="4">
        <v>0</v>
      </c>
      <c r="FB208" s="4">
        <v>0</v>
      </c>
      <c r="FC208" s="4">
        <v>6.664794578757041e-9</v>
      </c>
      <c r="FD208" s="4">
        <v>-6.664794578757041e-9</v>
      </c>
      <c r="FE208" s="4">
        <v>1.996</v>
      </c>
      <c r="FF208" s="4">
        <v>1.993</v>
      </c>
      <c r="FG208" s="6">
        <v>0.022044088176352616</v>
      </c>
      <c r="FH208" s="6">
        <v>0.07162197802197802</v>
      </c>
      <c r="FI208" s="6">
        <v>0.015746337852750904</v>
      </c>
      <c r="FJ208" s="9">
        <v>144</v>
      </c>
      <c r="FK208" s="7">
        <f>IFERROR(FC208/F208,0)</f>
        <v>3.303677348008467e-9</v>
      </c>
      <c r="FL208" t="inlineStr">
        <is>
          <t xml:space="preserve">Lease cash / margin / financing</t>
        </is>
      </c>
      <c r="FM208" t="inlineStr">
        <is>
          <t xml:space="preserve">cash</t>
        </is>
      </c>
      <c r="FN208" t="inlineStr">
        <is>
          <t xml:space="preserve">lease</t>
        </is>
      </c>
      <c r="FO208" t="inlineStr">
        <is>
          <t xml:space="preserve">cash</t>
        </is>
      </c>
      <c r="FP208"/>
      <c r="FQ208" s="4">
        <v>1</v>
      </c>
      <c r="FR208" s="4">
        <v>1</v>
      </c>
      <c r="FS208" s="4">
        <v>0</v>
      </c>
      <c r="FT208" s="6"/>
      <c r="FU208" s="4">
        <v>0</v>
      </c>
      <c r="FV208" s="4">
        <v>0</v>
      </c>
      <c r="FW208" s="4">
        <v>0.03182224744420887</v>
      </c>
      <c r="FX208" s="4">
        <v>0</v>
      </c>
      <c r="FY208" s="4">
        <v>0.03182224744420887</v>
      </c>
      <c r="FZ208" s="4">
        <v>1.996</v>
      </c>
      <c r="GA208" s="4">
        <v>1.993</v>
      </c>
      <c r="GB208" s="6"/>
      <c r="GC208" s="6"/>
      <c r="GD208" s="6"/>
      <c r="GE208" s="9"/>
      <c r="GF208" s="7">
        <f>IFERROR(FX208/F208,0)</f>
        <v>0</v>
      </c>
      <c r="GG208" t="inlineStr">
        <is>
          <t xml:space="preserve">Keep cash / margin / financing</t>
        </is>
      </c>
      <c r="GH208" t="inlineStr">
        <is>
          <t xml:space="preserve">cash</t>
        </is>
      </c>
      <c r="GI208" t="inlineStr">
        <is>
          <t xml:space="preserve">keep</t>
        </is>
      </c>
      <c r="GJ208" t="inlineStr">
        <is>
          <t xml:space="preserve">cash</t>
        </is>
      </c>
      <c r="GK208"/>
      <c r="GL208" s="4">
        <v>1</v>
      </c>
      <c r="GM208" s="4">
        <v>1</v>
      </c>
      <c r="GN208" s="4">
        <v>0</v>
      </c>
      <c r="GO208" s="6"/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1.996</v>
      </c>
      <c r="GV208" s="4">
        <v>1.993</v>
      </c>
      <c r="GW208" s="6"/>
      <c r="GX208" s="6"/>
      <c r="GY208" s="6"/>
      <c r="GZ208" s="9"/>
      <c r="HA208" s="7">
        <f>IFERROR(GS208/F208,0)</f>
        <v>0</v>
      </c>
      <c r="HB208"/>
      <c r="HC208"/>
      <c r="HD208"/>
      <c r="HE208"/>
      <c r="HF208"/>
      <c r="HG208" s="4"/>
      <c r="HH208" s="4"/>
      <c r="HI208" s="4"/>
      <c r="HJ208" s="6"/>
      <c r="HK208" s="4"/>
      <c r="HL208" s="4"/>
      <c r="HM208" s="4"/>
      <c r="HN208" s="4"/>
      <c r="HO208" s="4"/>
      <c r="HP208" s="4"/>
      <c r="HQ208" s="4"/>
      <c r="HR208" s="6"/>
      <c r="HS208" s="6"/>
      <c r="HT208" s="6"/>
      <c r="HU208" s="9"/>
      <c r="HV208"/>
      <c r="HW208"/>
      <c r="HX208"/>
      <c r="HY208"/>
      <c r="HZ208"/>
      <c r="IA208"/>
      <c r="IB208" s="4"/>
      <c r="IC208" s="4"/>
      <c r="ID208" s="4"/>
      <c r="IE208" s="6"/>
      <c r="IF208" s="4"/>
      <c r="IG208" s="4"/>
      <c r="IH208" s="4"/>
      <c r="II208" s="4"/>
      <c r="IJ208" s="4"/>
      <c r="IK208" s="4"/>
      <c r="IL208" s="4"/>
      <c r="IM208" s="6"/>
      <c r="IN208" s="6"/>
      <c r="IO208" s="6"/>
      <c r="IP208" s="9"/>
      <c r="IQ208"/>
      <c r="IR208"/>
      <c r="IS208"/>
      <c r="IT208"/>
      <c r="IU208"/>
      <c r="IV208"/>
      <c r="IW208" s="4"/>
      <c r="IX208" s="4"/>
      <c r="IY208" s="4"/>
      <c r="IZ208" s="6"/>
      <c r="JA208" s="4"/>
      <c r="JB208" s="4"/>
      <c r="JC208" s="4"/>
      <c r="JD208" s="4"/>
      <c r="JE208" s="4"/>
      <c r="JF208" s="4"/>
      <c r="JG208" s="4"/>
      <c r="JH208" s="6"/>
      <c r="JI208" s="6"/>
      <c r="JJ208" s="6"/>
      <c r="JK208" s="9"/>
      <c r="JL208"/>
    </row>
    <row r="209">
      <c r="A209" s="8">
        <v>25512</v>
      </c>
      <c r="B209" s="8">
        <v>25513</v>
      </c>
      <c r="C209" s="9">
        <f>B209-A209</f>
        <v>1</v>
      </c>
      <c r="D209" s="8">
        <v>25512</v>
      </c>
      <c r="E209" t="inlineStr">
        <is>
          <t xml:space="preserve">positive</t>
        </is>
      </c>
      <c r="F209" s="4">
        <v>2.049764908609187</v>
      </c>
      <c r="G209" s="6">
        <v>-0.002751930568085771</v>
      </c>
      <c r="H209" s="7">
        <f>SUM(CE209,CZ209,DU209,EP209,FK209,GF209,HA209,HV209,IQ209,JL209)</f>
        <v>-0.002751930568085771</v>
      </c>
      <c r="I209" s="7">
        <f>G209-H209</f>
        <v>0</v>
      </c>
      <c r="J209" s="5">
        <f>F209*(1+H209)</f>
        <v>2.044124097899796</v>
      </c>
      <c r="K209" s="4">
        <v>2.044124097899796</v>
      </c>
      <c r="L209" s="5">
        <f>K209-J209</f>
        <v>0</v>
      </c>
      <c r="M209" s="4">
        <v>1.993</v>
      </c>
      <c r="N209" s="4">
        <v>1.989</v>
      </c>
      <c r="O209" s="5">
        <f>M209/$M$3</f>
        <v>1.0178753830439224</v>
      </c>
      <c r="P209" s="5">
        <f>N209/$M$3</f>
        <v>1.015832482124617</v>
      </c>
      <c r="Q209" s="7">
        <f>IFERROR(N209/M209-1,0)</f>
        <v>-0.002007024586051176</v>
      </c>
      <c r="R209" s="5">
        <f>SUM(IF(BM209="lease",BU209,0),IF(CH209="lease",CP209,0),IF(DC209="lease",DK209,0),IF(DX209="lease",EF209,0),IF(ES209="lease",FA209,0),IF(FN209="lease",FV209,0),IF(GI209="lease",GQ209,0),IF(HD209="lease",HL209,0),IF(HY209="lease",IG209,0),IF(IT209="lease",JB209,0))</f>
        <v>2.0497649086091867</v>
      </c>
      <c r="S209" s="5">
        <f>SUM(IF(BM209="lease",BV209,0),IF(CH209="lease",CQ209,0),IF(DC209="lease",DL209,0),IF(DX209="lease",EG209,0),IF(ES209="lease",FB209,0),IF(FN209="lease",FW209,0),IF(GI209="lease",GR209,0),IF(HD209="lease",HM209,0),IF(HY209="lease",IH209,0),IF(IT209="lease",JC209,0))</f>
        <v>2.0441240978997954</v>
      </c>
      <c r="T209" s="5">
        <f>SUM(IF(BM209="keep",BU209,0),IF(CH209="keep",CP209,0),IF(DC209="keep",DK209,0),IF(DX209="keep",EF209,0),IF(ES209="keep",FA209,0),IF(FN209="keep",FV209,0),IF(GI209="keep",GQ209,0),IF(HD209="keep",HL209,0),IF(HY209="keep",IG209,0),IF(IT209="keep",JB209,0))</f>
        <v>0</v>
      </c>
      <c r="U209" s="5">
        <f>SUM(IF(BM209="keep",BV209,0),IF(CH209="keep",CQ209,0),IF(DC209="keep",DL209,0),IF(DX209="keep",EG209,0),IF(ES209="keep",FB209,0),IF(FN209="keep",FW209,0),IF(GI209="keep",GR209,0),IF(HD209="keep",HM209,0),IF(HY209="keep",IH209,0),IF(IT209="keep",JC209,0))</f>
        <v>0</v>
      </c>
      <c r="V209" s="5">
        <f>R209/O209</f>
        <v>2.013768033646155</v>
      </c>
      <c r="W209" s="5">
        <f>S209/P209</f>
        <v>2.0122649490637503</v>
      </c>
      <c r="X209" s="5">
        <f>T209/O209</f>
        <v>0</v>
      </c>
      <c r="Y209" s="5">
        <f>U209/P209</f>
        <v>0</v>
      </c>
      <c r="Z209" s="5">
        <f>V209+X209</f>
        <v>2.013768033646155</v>
      </c>
      <c r="AA209" s="7">
        <f>IFERROR(W209/V209-1,0)</f>
        <v>-0.0007464040332804123</v>
      </c>
      <c r="AB209" s="7">
        <f>IFERROR((W209-V209)/Z209,0)</f>
        <v>-0.0007464040332804187</v>
      </c>
      <c r="AC209" s="7">
        <f>IFERROR(Y209/X209-1,0)</f>
        <v>0</v>
      </c>
      <c r="AD209" s="7">
        <f>IFERROR((Y209-X209)/Z209,0)</f>
        <v>0</v>
      </c>
      <c r="AE209" s="7">
        <f>AB209+AD209</f>
        <v>-0.0007464040332804187</v>
      </c>
      <c r="AF209" s="7">
        <f>(1+Q209)*(1+AE209)-1</f>
        <v>-0.0027519305680856476</v>
      </c>
      <c r="AG209" s="7">
        <f>G209-AF209</f>
        <v>-1.231653667943533e-16</v>
      </c>
      <c r="AH209" s="5">
        <f>SUM(IF(BM209="lease",BW209,0),IF(CH209="lease",CR209,0),IF(DC209="lease",DM209,0),IF(DX209="lease",EH209,0),IF(ES209="lease",FC209,0),IF(FN209="lease",FX209,0),IF(GI209="lease",GS209,0),IF(HD209="lease",HN209,0),IF(HY209="lease",II209,0),IF(IT209="lease",JD209,0))</f>
        <v>-0.005640810709391158</v>
      </c>
      <c r="AI209" s="5">
        <f>SUM(IF(BM209="keep",BW209,0),IF(CH209="keep",CR209,0),IF(DC209="keep",DM209,0),IF(DX209="keep",EH209,0),IF(ES209="keep",FC209,0),IF(FN209="keep",FX209,0),IF(GI209="keep",GS209,0),IF(HD209="keep",HN209,0),IF(HY209="keep",II209,0),IF(IT209="keep",JD209,0))</f>
        <v>0</v>
      </c>
      <c r="AJ209" s="5">
        <f>SUM(IF(BM209="lease",BX209,0),IF(CH209="lease",CS209,0),IF(DC209="lease",DN209,0),IF(DX209="lease",EI209,0),IF(ES209="lease",FD209,0),IF(FN209="lease",FY209,0),IF(GI209="lease",GT209,0),IF(HD209="lease",HO209,0),IF(HY209="lease",IJ209,0),IF(IT209="lease",JE209,0))</f>
        <v>0</v>
      </c>
      <c r="AK209" s="5">
        <f>SUM(IF(BM209="keep",BX209,0),IF(CH209="keep",CS209,0),IF(DC209="keep",DN209,0),IF(DX209="keep",EI209,0),IF(ES209="keep",FD209,0),IF(FN209="keep",FY209,0),IF(GI209="keep",GT209,0),IF(HD209="keep",HO209,0),IF(HY209="keep",IJ209,0),IF(IT209="keep",JE209,0))</f>
        <v>0</v>
      </c>
      <c r="AL209" s="5">
        <f>R209-S208</f>
        <v>0</v>
      </c>
      <c r="AM209" s="5">
        <f>T209-U208</f>
        <v>0</v>
      </c>
      <c r="AN209" s="5">
        <f>AN208</f>
        <v>1</v>
      </c>
      <c r="AO209" s="5">
        <f>AO208+AH209</f>
        <v>1.0441240978997959</v>
      </c>
      <c r="AP209" s="5">
        <f>AP208+AL209</f>
        <v>2.220446049250313e-16</v>
      </c>
      <c r="AQ209" s="5">
        <f>AN209+AO209+AP209</f>
        <v>2.044124097899796</v>
      </c>
      <c r="AR209" s="5">
        <f>S209-AQ209</f>
        <v>-4.440892098500626e-16</v>
      </c>
      <c r="AS209" s="5">
        <f>AS208</f>
        <v>0</v>
      </c>
      <c r="AT209" s="5">
        <f>AT208+AI209</f>
        <v>0</v>
      </c>
      <c r="AU209" s="5">
        <f>AU208+AM209</f>
        <v>0</v>
      </c>
      <c r="AV209" s="5">
        <f>AS209+AT209+AU209</f>
        <v>0</v>
      </c>
      <c r="AW209" s="5">
        <f>U209-AV209</f>
        <v>0</v>
      </c>
      <c r="AX209" s="4">
        <v>2.0497649086091867</v>
      </c>
      <c r="AY209" s="4">
        <v>2.0441240978997954</v>
      </c>
      <c r="AZ209" s="5">
        <f>S209-AY209</f>
        <v>0</v>
      </c>
      <c r="BA209" s="4">
        <v>0</v>
      </c>
      <c r="BB209" s="4">
        <v>0</v>
      </c>
      <c r="BC209" s="5">
        <f>U209-BB209</f>
        <v>0</v>
      </c>
      <c r="BD209" s="7">
        <f>SUM(IF(BL209="direct",CE209,0),IF(CG209="direct",CZ209,0),IF(DB209="direct",DU209,0),IF(DW209="direct",EP209,0),IF(ER209="direct",FK209,0),IF(FM209="direct",GF209,0),IF(GH209="direct",HA209,0),IF(HC209="direct",HV209,0),IF(HX209="direct",IQ209,0),IF(IS209="direct",JL209,0))</f>
        <v>-0.001702139624347857</v>
      </c>
      <c r="BE209" s="7">
        <f>SUM(IF(BL209="treasury",CE209,0),IF(CG209="treasury",CZ209,0),IF(DB209="treasury",DU209,0),IF(DW209="treasury",EP209,0),IF(ER209="treasury",FK209,0),IF(FM209="treasury",GF209,0),IF(GH209="treasury",HA209,0),IF(HC209="treasury",HV209,0),IF(HX209="treasury",IQ209,0),IF(IS209="treasury",JL209,0))</f>
        <v>0.00002998325880477067</v>
      </c>
      <c r="BF209" s="7">
        <f>SUM(IF(BL209="future",CE209,0),IF(CG209="future",CZ209,0),IF(DB209="future",DU209,0),IF(DW209="future",EP209,0),IF(ER209="future",FK209,0),IF(FM209="future",GF209,0),IF(GH209="future",HA209,0),IF(HC209="future",HV209,0),IF(HX209="future",IQ209,0),IF(IS209="future",JL209,0))</f>
        <v>-0.0010797742025426846</v>
      </c>
      <c r="BG209" s="7">
        <f>SUM(IF(BL209="cash",CE209,0),IF(CG209="cash",CZ209,0),IF(DB209="cash",DU209,0),IF(DW209="cash",EP209,0),IF(ER209="cash",FK209,0),IF(FM209="cash",GF209,0),IF(GH209="cash",HA209,0),IF(HC209="cash",HV209,0),IF(HX209="cash",IQ209,0),IF(IS209="cash",JL209,0))</f>
        <v>0</v>
      </c>
      <c r="BH209" s="7">
        <f>SUM(BD209:BG209)</f>
        <v>-0.002751930568085771</v>
      </c>
      <c r="BI209" s="7">
        <f>G209-BH209</f>
        <v>0</v>
      </c>
      <c r="BJ209" s="9">
        <f>COUNTA(BK209,CF209,DA209,DV209,EQ209,FL209,GG209,HB209,HW209,IR209)</f>
        <v>5</v>
      </c>
      <c r="BK209" t="inlineStr">
        <is>
          <t xml:space="preserve">Direct commodity holding</t>
        </is>
      </c>
      <c r="BL209" t="inlineStr">
        <is>
          <t xml:space="preserve">direct</t>
        </is>
      </c>
      <c r="BM209" t="inlineStr">
        <is>
          <t xml:space="preserve">lease</t>
        </is>
      </c>
      <c r="BN209" t="inlineStr">
        <is>
          <t xml:space="preserve">long</t>
        </is>
      </c>
      <c r="BO209"/>
      <c r="BP209" s="4">
        <v>1.993</v>
      </c>
      <c r="BQ209" s="4">
        <v>1.989</v>
      </c>
      <c r="BR209" s="4">
        <v>0.8692799512025811</v>
      </c>
      <c r="BS209" s="6">
        <v>0.8452066553926266</v>
      </c>
      <c r="BT209" s="4">
        <v>1.732474942746744</v>
      </c>
      <c r="BU209" s="4">
        <v>1.732474942746744</v>
      </c>
      <c r="BV209" s="4">
        <v>1.7289978229419338</v>
      </c>
      <c r="BW209" s="4">
        <v>-0.003488986071541461</v>
      </c>
      <c r="BX209" s="4">
        <v>0.000011866266731214072</v>
      </c>
      <c r="BY209" s="4">
        <v>1.993</v>
      </c>
      <c r="BZ209" s="4">
        <v>1.989</v>
      </c>
      <c r="CA209" s="6"/>
      <c r="CB209" s="6"/>
      <c r="CC209" s="6"/>
      <c r="CD209" s="9"/>
      <c r="CE209" s="7">
        <f>IFERROR(BW209/F209,0)</f>
        <v>-0.001702139624347857</v>
      </c>
      <c r="CF209" t="inlineStr">
        <is>
          <t xml:space="preserve">Treasury collateral</t>
        </is>
      </c>
      <c r="CG209" t="inlineStr">
        <is>
          <t xml:space="preserve">treasury</t>
        </is>
      </c>
      <c r="CH209" t="inlineStr">
        <is>
          <t xml:space="preserve">lease</t>
        </is>
      </c>
      <c r="CI209" t="inlineStr">
        <is>
          <t xml:space="preserve">long</t>
        </is>
      </c>
      <c r="CJ209"/>
      <c r="CK209" s="4">
        <v>105.61886307527189</v>
      </c>
      <c r="CL209" s="4">
        <v>105.63932130436619</v>
      </c>
      <c r="CM209" s="4">
        <v>0.003004103212475583</v>
      </c>
      <c r="CN209" s="6">
        <v>0.15479334460737335</v>
      </c>
      <c r="CO209" s="4">
        <v>0.317289965862443</v>
      </c>
      <c r="CP209" s="4">
        <v>0.317289965862443</v>
      </c>
      <c r="CQ209" s="4">
        <v>0.31735142449418674</v>
      </c>
      <c r="CR209" s="4">
        <v>0.00006145863174376636</v>
      </c>
      <c r="CS209" s="4">
        <v>-3.923456611681919e-17</v>
      </c>
      <c r="CT209" s="4">
        <v>1.993</v>
      </c>
      <c r="CU209" s="4">
        <v>1.989</v>
      </c>
      <c r="CV209" s="6"/>
      <c r="CW209" s="6"/>
      <c r="CX209" s="6"/>
      <c r="CY209" s="9">
        <v>54</v>
      </c>
      <c r="CZ209" s="7">
        <f>IFERROR(CR209/F209,0)</f>
        <v>0.00002998325880477067</v>
      </c>
      <c r="DA209" t="inlineStr">
        <is>
          <t xml:space="preserve">SI69Z</t>
        </is>
      </c>
      <c r="DB209" t="inlineStr">
        <is>
          <t xml:space="preserve">future</t>
        </is>
      </c>
      <c r="DC209" t="inlineStr">
        <is>
          <t xml:space="preserve">lease</t>
        </is>
      </c>
      <c r="DD209" t="inlineStr">
        <is>
          <t xml:space="preserve">long</t>
        </is>
      </c>
      <c r="DE209" t="inlineStr">
        <is>
          <t xml:space="preserve">regular</t>
        </is>
      </c>
      <c r="DF209" s="4">
        <v>2.0069999999999997</v>
      </c>
      <c r="DG209" s="4">
        <v>1.993</v>
      </c>
      <c r="DH209" s="4">
        <v>0.15809166211382314</v>
      </c>
      <c r="DI209" s="6">
        <v>0.15479334460737335</v>
      </c>
      <c r="DJ209" s="4">
        <v>0.317289965862443</v>
      </c>
      <c r="DK209" s="4">
        <v>0</v>
      </c>
      <c r="DL209" s="4">
        <v>0</v>
      </c>
      <c r="DM209" s="4">
        <v>-0.002213283269593464</v>
      </c>
      <c r="DN209" s="4">
        <v>0.002213283269593464</v>
      </c>
      <c r="DO209" s="4">
        <v>1.993</v>
      </c>
      <c r="DP209" s="4">
        <v>1.989</v>
      </c>
      <c r="DQ209" s="6">
        <v>0.007024586051178838</v>
      </c>
      <c r="DR209" s="6">
        <v>0.0707</v>
      </c>
      <c r="DS209" s="6">
        <v>0.023219001691106002</v>
      </c>
      <c r="DT209" s="9">
        <v>54</v>
      </c>
      <c r="DU209" s="7">
        <f>IFERROR(DM209/F209,0)</f>
        <v>-0.0010797742025426846</v>
      </c>
      <c r="DV209" t="inlineStr">
        <is>
          <t xml:space="preserve">Lease cash / margin / financing</t>
        </is>
      </c>
      <c r="DW209" t="inlineStr">
        <is>
          <t xml:space="preserve">cash</t>
        </is>
      </c>
      <c r="DX209" t="inlineStr">
        <is>
          <t xml:space="preserve">lease</t>
        </is>
      </c>
      <c r="DY209" t="inlineStr">
        <is>
          <t xml:space="preserve">cash</t>
        </is>
      </c>
      <c r="DZ209"/>
      <c r="EA209" s="4">
        <v>1</v>
      </c>
      <c r="EB209" s="4">
        <v>1</v>
      </c>
      <c r="EC209" s="4">
        <v>-4.440892098500626e-16</v>
      </c>
      <c r="ED209" s="6"/>
      <c r="EE209" s="4">
        <v>-4.440892098500626e-16</v>
      </c>
      <c r="EF209" s="4">
        <v>-4.440892098500626e-16</v>
      </c>
      <c r="EG209" s="4">
        <v>-0.002225149536325083</v>
      </c>
      <c r="EH209" s="4">
        <v>0</v>
      </c>
      <c r="EI209" s="4">
        <v>-0.002225149536324639</v>
      </c>
      <c r="EJ209" s="4">
        <v>1.993</v>
      </c>
      <c r="EK209" s="4">
        <v>1.989</v>
      </c>
      <c r="EL209" s="6"/>
      <c r="EM209" s="6"/>
      <c r="EN209" s="6"/>
      <c r="EO209" s="9"/>
      <c r="EP209" s="7">
        <f>IFERROR(EH209/F209,0)</f>
        <v>0</v>
      </c>
      <c r="EQ209" t="inlineStr">
        <is>
          <t xml:space="preserve">Keep cash / margin / financing</t>
        </is>
      </c>
      <c r="ER209" t="inlineStr">
        <is>
          <t xml:space="preserve">cash</t>
        </is>
      </c>
      <c r="ES209" t="inlineStr">
        <is>
          <t xml:space="preserve">keep</t>
        </is>
      </c>
      <c r="ET209" t="inlineStr">
        <is>
          <t xml:space="preserve">cash</t>
        </is>
      </c>
      <c r="EU209"/>
      <c r="EV209" s="4">
        <v>1</v>
      </c>
      <c r="EW209" s="4">
        <v>1</v>
      </c>
      <c r="EX209" s="4">
        <v>0</v>
      </c>
      <c r="EY209" s="6"/>
      <c r="EZ209" s="4">
        <v>0</v>
      </c>
      <c r="FA209" s="4">
        <v>0</v>
      </c>
      <c r="FB209" s="4">
        <v>0</v>
      </c>
      <c r="FC209" s="4">
        <v>0</v>
      </c>
      <c r="FD209" s="4">
        <v>0</v>
      </c>
      <c r="FE209" s="4">
        <v>1.993</v>
      </c>
      <c r="FF209" s="4">
        <v>1.989</v>
      </c>
      <c r="FG209" s="6"/>
      <c r="FH209" s="6"/>
      <c r="FI209" s="6"/>
      <c r="FJ209" s="9"/>
      <c r="FK209" s="7">
        <f>IFERROR(FC209/F209,0)</f>
        <v>0</v>
      </c>
      <c r="FL209"/>
      <c r="FM209"/>
      <c r="FN209"/>
      <c r="FO209"/>
      <c r="FP209"/>
      <c r="FQ209" s="4"/>
      <c r="FR209" s="4"/>
      <c r="FS209" s="4"/>
      <c r="FT209" s="6"/>
      <c r="FU209" s="4"/>
      <c r="FV209" s="4"/>
      <c r="FW209" s="4"/>
      <c r="FX209" s="4"/>
      <c r="FY209" s="4"/>
      <c r="FZ209" s="4"/>
      <c r="GA209" s="4"/>
      <c r="GB209" s="6"/>
      <c r="GC209" s="6"/>
      <c r="GD209" s="6"/>
      <c r="GE209" s="9"/>
      <c r="GF209"/>
      <c r="GG209"/>
      <c r="GH209"/>
      <c r="GI209"/>
      <c r="GJ209"/>
      <c r="GK209"/>
      <c r="GL209" s="4"/>
      <c r="GM209" s="4"/>
      <c r="GN209" s="4"/>
      <c r="GO209" s="6"/>
      <c r="GP209" s="4"/>
      <c r="GQ209" s="4"/>
      <c r="GR209" s="4"/>
      <c r="GS209" s="4"/>
      <c r="GT209" s="4"/>
      <c r="GU209" s="4"/>
      <c r="GV209" s="4"/>
      <c r="GW209" s="6"/>
      <c r="GX209" s="6"/>
      <c r="GY209" s="6"/>
      <c r="GZ209" s="9"/>
      <c r="HA209"/>
      <c r="HB209"/>
      <c r="HC209"/>
      <c r="HD209"/>
      <c r="HE209"/>
      <c r="HF209"/>
      <c r="HG209" s="4"/>
      <c r="HH209" s="4"/>
      <c r="HI209" s="4"/>
      <c r="HJ209" s="6"/>
      <c r="HK209" s="4"/>
      <c r="HL209" s="4"/>
      <c r="HM209" s="4"/>
      <c r="HN209" s="4"/>
      <c r="HO209" s="4"/>
      <c r="HP209" s="4"/>
      <c r="HQ209" s="4"/>
      <c r="HR209" s="6"/>
      <c r="HS209" s="6"/>
      <c r="HT209" s="6"/>
      <c r="HU209" s="9"/>
      <c r="HV209"/>
      <c r="HW209"/>
      <c r="HX209"/>
      <c r="HY209"/>
      <c r="HZ209"/>
      <c r="IA209"/>
      <c r="IB209" s="4"/>
      <c r="IC209" s="4"/>
      <c r="ID209" s="4"/>
      <c r="IE209" s="6"/>
      <c r="IF209" s="4"/>
      <c r="IG209" s="4"/>
      <c r="IH209" s="4"/>
      <c r="II209" s="4"/>
      <c r="IJ209" s="4"/>
      <c r="IK209" s="4"/>
      <c r="IL209" s="4"/>
      <c r="IM209" s="6"/>
      <c r="IN209" s="6"/>
      <c r="IO209" s="6"/>
      <c r="IP209" s="9"/>
      <c r="IQ209"/>
      <c r="IR209"/>
      <c r="IS209"/>
      <c r="IT209"/>
      <c r="IU209"/>
      <c r="IV209"/>
      <c r="IW209" s="4"/>
      <c r="IX209" s="4"/>
      <c r="IY209" s="4"/>
      <c r="IZ209" s="6"/>
      <c r="JA209" s="4"/>
      <c r="JB209" s="4"/>
      <c r="JC209" s="4"/>
      <c r="JD209" s="4"/>
      <c r="JE209" s="4"/>
      <c r="JF209" s="4"/>
      <c r="JG209" s="4"/>
      <c r="JH209" s="6"/>
      <c r="JI209" s="6"/>
      <c r="JJ209" s="6"/>
      <c r="JK209" s="9"/>
      <c r="JL209"/>
    </row>
    <row r="210">
      <c r="A210" s="8">
        <v>25513</v>
      </c>
      <c r="B210" s="8">
        <v>25514</v>
      </c>
      <c r="C210" s="9">
        <f>B210-A210</f>
        <v>1</v>
      </c>
      <c r="D210" s="8">
        <v>25513</v>
      </c>
      <c r="E210" t="inlineStr">
        <is>
          <t xml:space="preserve">positive</t>
        </is>
      </c>
      <c r="F210" s="4">
        <v>2.044124097899796</v>
      </c>
      <c r="G210" s="6">
        <v>-0.014791201195764098</v>
      </c>
      <c r="H210" s="7">
        <f>SUM(CE210,CZ210,DU210,EP210,FK210,GF210,HA210,HV210,IQ210,JL210)</f>
        <v>-0.014791201195764098</v>
      </c>
      <c r="I210" s="7">
        <f>G210-H210</f>
        <v>0</v>
      </c>
      <c r="J210" s="5">
        <f>F210*(1+H210)</f>
        <v>2.01388904709865</v>
      </c>
      <c r="K210" s="4">
        <v>2.01388904709865</v>
      </c>
      <c r="L210" s="5">
        <f>K210-J210</f>
        <v>0</v>
      </c>
      <c r="M210" s="4">
        <v>1.989</v>
      </c>
      <c r="N210" s="4">
        <v>1.964</v>
      </c>
      <c r="O210" s="5">
        <f>M210/$M$3</f>
        <v>1.015832482124617</v>
      </c>
      <c r="P210" s="5">
        <f>N210/$M$3</f>
        <v>1.003064351378958</v>
      </c>
      <c r="Q210" s="7">
        <f>IFERROR(N210/M210-1,0)</f>
        <v>-0.012569130216189106</v>
      </c>
      <c r="R210" s="5">
        <f>SUM(IF(BM210="lease",BU210,0),IF(CH210="lease",CP210,0),IF(DC210="lease",DK210,0),IF(DX210="lease",EF210,0),IF(ES210="lease",FA210,0),IF(FN210="lease",FV210,0),IF(GI210="lease",GQ210,0),IF(HD210="lease",HL210,0),IF(HY210="lease",IG210,0),IF(IT210="lease",JB210,0))</f>
        <v>2.0441240978997954</v>
      </c>
      <c r="S210" s="5">
        <f>SUM(IF(BM210="lease",BV210,0),IF(CH210="lease",CQ210,0),IF(DC210="lease",DL210,0),IF(DX210="lease",EG210,0),IF(ES210="lease",FB210,0),IF(FN210="lease",FW210,0),IF(GI210="lease",GR210,0),IF(HD210="lease",HM210,0),IF(HY210="lease",IH210,0),IF(IT210="lease",JC210,0))</f>
        <v>2.0138890470986497</v>
      </c>
      <c r="T210" s="5">
        <f>SUM(IF(BM210="keep",BU210,0),IF(CH210="keep",CP210,0),IF(DC210="keep",DK210,0),IF(DX210="keep",EF210,0),IF(ES210="keep",FA210,0),IF(FN210="keep",FV210,0),IF(GI210="keep",GQ210,0),IF(HD210="keep",HL210,0),IF(HY210="keep",IG210,0),IF(IT210="keep",JB210,0))</f>
        <v>0</v>
      </c>
      <c r="U210" s="5">
        <f>SUM(IF(BM210="keep",BV210,0),IF(CH210="keep",CQ210,0),IF(DC210="keep",DL210,0),IF(DX210="keep",EG210,0),IF(ES210="keep",FB210,0),IF(FN210="keep",FW210,0),IF(GI210="keep",GR210,0),IF(HD210="keep",HM210,0),IF(HY210="keep",IH210,0),IF(IT210="keep",JC210,0))</f>
        <v>0</v>
      </c>
      <c r="V210" s="5">
        <f>R210/O210</f>
        <v>2.0122649490637503</v>
      </c>
      <c r="W210" s="5">
        <f>S210/P210</f>
        <v>2.0077366365677984</v>
      </c>
      <c r="X210" s="5">
        <f>T210/O210</f>
        <v>0</v>
      </c>
      <c r="Y210" s="5">
        <f>U210/P210</f>
        <v>0</v>
      </c>
      <c r="Z210" s="5">
        <f>V210+X210</f>
        <v>2.0122649490637503</v>
      </c>
      <c r="AA210" s="7">
        <f>IFERROR(W210/V210-1,0)</f>
        <v>-0.0022503559971358555</v>
      </c>
      <c r="AB210" s="7">
        <f>IFERROR((W210-V210)/Z210,0)</f>
        <v>-0.0022503559971358464</v>
      </c>
      <c r="AC210" s="7">
        <f>IFERROR(Y210/X210-1,0)</f>
        <v>0</v>
      </c>
      <c r="AD210" s="7">
        <f>IFERROR((Y210-X210)/Z210,0)</f>
        <v>0</v>
      </c>
      <c r="AE210" s="7">
        <f>AB210+AD210</f>
        <v>-0.0022503559971358464</v>
      </c>
      <c r="AF210" s="7">
        <f>(1+Q210)*(1+AE210)-1</f>
        <v>-0.014791201195764159</v>
      </c>
      <c r="AG210" s="7">
        <f>G210-AF210</f>
        <v>6.071532165918825e-17</v>
      </c>
      <c r="AH210" s="5">
        <f>SUM(IF(BM210="lease",BW210,0),IF(CH210="lease",CR210,0),IF(DC210="lease",DM210,0),IF(DX210="lease",EH210,0),IF(ES210="lease",FC210,0),IF(FN210="lease",FX210,0),IF(GI210="lease",GS210,0),IF(HD210="lease",HN210,0),IF(HY210="lease",II210,0),IF(IT210="lease",JD210,0))</f>
        <v>-0.03023505080114567</v>
      </c>
      <c r="AI210" s="5">
        <f>SUM(IF(BM210="keep",BW210,0),IF(CH210="keep",CR210,0),IF(DC210="keep",DM210,0),IF(DX210="keep",EH210,0),IF(ES210="keep",FC210,0),IF(FN210="keep",FX210,0),IF(GI210="keep",GS210,0),IF(HD210="keep",HN210,0),IF(HY210="keep",II210,0),IF(IT210="keep",JD210,0))</f>
        <v>0</v>
      </c>
      <c r="AJ210" s="5">
        <f>SUM(IF(BM210="lease",BX210,0),IF(CH210="lease",CS210,0),IF(DC210="lease",DN210,0),IF(DX210="lease",EI210,0),IF(ES210="lease",FD210,0),IF(FN210="lease",FY210,0),IF(GI210="lease",GT210,0),IF(HD210="lease",HO210,0),IF(HY210="lease",IJ210,0),IF(IT210="lease",JE210,0))</f>
        <v>0</v>
      </c>
      <c r="AK210" s="5">
        <f>SUM(IF(BM210="keep",BX210,0),IF(CH210="keep",CS210,0),IF(DC210="keep",DN210,0),IF(DX210="keep",EI210,0),IF(ES210="keep",FD210,0),IF(FN210="keep",FY210,0),IF(GI210="keep",GT210,0),IF(HD210="keep",HO210,0),IF(HY210="keep",IJ210,0),IF(IT210="keep",JE210,0))</f>
        <v>0</v>
      </c>
      <c r="AL210" s="5">
        <f>R210-S209</f>
        <v>0</v>
      </c>
      <c r="AM210" s="5">
        <f>T210-U209</f>
        <v>0</v>
      </c>
      <c r="AN210" s="5">
        <f>AN209</f>
        <v>1</v>
      </c>
      <c r="AO210" s="5">
        <f>AO209+AH210</f>
        <v>1.0138890470986501</v>
      </c>
      <c r="AP210" s="5">
        <f>AP209+AL210</f>
        <v>2.220446049250313e-16</v>
      </c>
      <c r="AQ210" s="5">
        <f>AN210+AO210+AP210</f>
        <v>2.01388904709865</v>
      </c>
      <c r="AR210" s="5">
        <f>S210-AQ210</f>
        <v>-4.440892098500626e-16</v>
      </c>
      <c r="AS210" s="5">
        <f>AS209</f>
        <v>0</v>
      </c>
      <c r="AT210" s="5">
        <f>AT209+AI210</f>
        <v>0</v>
      </c>
      <c r="AU210" s="5">
        <f>AU209+AM210</f>
        <v>0</v>
      </c>
      <c r="AV210" s="5">
        <f>AS210+AT210+AU210</f>
        <v>0</v>
      </c>
      <c r="AW210" s="5">
        <f>U210-AV210</f>
        <v>0</v>
      </c>
      <c r="AX210" s="4">
        <v>2.0441240978997954</v>
      </c>
      <c r="AY210" s="4">
        <v>2.0138890470986497</v>
      </c>
      <c r="AZ210" s="5">
        <f>S210-AY210</f>
        <v>0</v>
      </c>
      <c r="BA210" s="4">
        <v>0</v>
      </c>
      <c r="BB210" s="4">
        <v>0</v>
      </c>
      <c r="BC210" s="5">
        <f>U210-BB210</f>
        <v>0</v>
      </c>
      <c r="BD210" s="7">
        <f>SUM(IF(BL210="direct",CE210,0),IF(CG210="direct",CZ210,0),IF(DB210="direct",DU210,0),IF(DW210="direct",EP210,0),IF(ER210="direct",FK210,0),IF(FM210="direct",GF210,0),IF(GH210="direct",HA210,0),IF(HC210="direct",HV210,0),IF(HX210="direct",IQ210,0),IF(IS210="direct",JL210,0))</f>
        <v>-0.00776774311633903</v>
      </c>
      <c r="BE210" s="7">
        <f>SUM(IF(BL210="treasury",CE210,0),IF(CG210="treasury",CZ210,0),IF(DB210="treasury",DU210,0),IF(DW210="treasury",EP210,0),IF(ER210="treasury",FK210,0),IF(FM210="treasury",GF210,0),IF(GH210="treasury",HA210,0),IF(HC210="treasury",HV210,0),IF(HX210="treasury",IQ210,0),IF(IS210="treasury",JL210,0))</f>
        <v>0.00007458150117366032</v>
      </c>
      <c r="BF210" s="7">
        <f>SUM(IF(BL210="future",CE210,0),IF(CG210="future",CZ210,0),IF(DB210="future",DU210,0),IF(DW210="future",EP210,0),IF(ER210="future",FK210,0),IF(FM210="future",GF210,0),IF(GH210="future",HA210,0),IF(HC210="future",HV210,0),IF(HX210="future",IQ210,0),IF(IS210="future",JL210,0))</f>
        <v>-0.007098039580598729</v>
      </c>
      <c r="BG210" s="7">
        <f>SUM(IF(BL210="cash",CE210,0),IF(CG210="cash",CZ210,0),IF(DB210="cash",DU210,0),IF(DW210="cash",EP210,0),IF(ER210="cash",FK210,0),IF(FM210="cash",GF210,0),IF(GH210="cash",HA210,0),IF(HC210="cash",HV210,0),IF(HX210="cash",IQ210,0),IF(IS210="cash",JL210,0))</f>
        <v>0</v>
      </c>
      <c r="BH210" s="7">
        <f>SUM(BD210:BG210)</f>
        <v>-0.0147912011957641</v>
      </c>
      <c r="BI210" s="7">
        <f>G210-BH210</f>
        <v>1.734723475976807e-18</v>
      </c>
      <c r="BJ210" s="9">
        <f>COUNTA(BK210,CF210,DA210,DV210,EQ210,FL210,GG210,HB210,HW210,IR210)</f>
        <v>5</v>
      </c>
      <c r="BK210" t="inlineStr">
        <is>
          <t xml:space="preserve">Direct commodity holding</t>
        </is>
      </c>
      <c r="BL210" t="inlineStr">
        <is>
          <t xml:space="preserve">direct</t>
        </is>
      </c>
      <c r="BM210" t="inlineStr">
        <is>
          <t xml:space="preserve">lease</t>
        </is>
      </c>
      <c r="BN210" t="inlineStr">
        <is>
          <t xml:space="preserve">long</t>
        </is>
      </c>
      <c r="BO210"/>
      <c r="BP210" s="4">
        <v>1.989</v>
      </c>
      <c r="BQ210" s="4">
        <v>1.964</v>
      </c>
      <c r="BR210" s="4">
        <v>0.6347833221838709</v>
      </c>
      <c r="BS210" s="6">
        <v>0.6176650571855896</v>
      </c>
      <c r="BT210" s="4">
        <v>1.2625840278237193</v>
      </c>
      <c r="BU210" s="4">
        <v>1.2625840278237193</v>
      </c>
      <c r="BV210" s="4">
        <v>1.2467144447691225</v>
      </c>
      <c r="BW210" s="4">
        <v>-0.01587823089040387</v>
      </c>
      <c r="BX210" s="4">
        <v>0.000008647835807132354</v>
      </c>
      <c r="BY210" s="4">
        <v>1.989</v>
      </c>
      <c r="BZ210" s="4">
        <v>1.964</v>
      </c>
      <c r="CA210" s="6"/>
      <c r="CB210" s="6"/>
      <c r="CC210" s="6"/>
      <c r="CD210" s="9"/>
      <c r="CE210" s="7">
        <f>IFERROR(BW210/F210,0)</f>
        <v>-0.00776774311633903</v>
      </c>
      <c r="CF210" t="inlineStr">
        <is>
          <t xml:space="preserve">Treasury collateral</t>
        </is>
      </c>
      <c r="CG210" t="inlineStr">
        <is>
          <t xml:space="preserve">treasury</t>
        </is>
      </c>
      <c r="CH210" t="inlineStr">
        <is>
          <t xml:space="preserve">lease</t>
        </is>
      </c>
      <c r="CI210" t="inlineStr">
        <is>
          <t xml:space="preserve">long</t>
        </is>
      </c>
      <c r="CJ210"/>
      <c r="CK210" s="4">
        <v>105.63932130436619</v>
      </c>
      <c r="CL210" s="4">
        <v>105.6599282075905</v>
      </c>
      <c r="CM210" s="4">
        <v>0.007398192836020944</v>
      </c>
      <c r="CN210" s="6">
        <v>0.3823349428144104</v>
      </c>
      <c r="CO210" s="4">
        <v>0.7815400700760766</v>
      </c>
      <c r="CP210" s="4">
        <v>0.7815400700760766</v>
      </c>
      <c r="CQ210" s="4">
        <v>0.7816925239198833</v>
      </c>
      <c r="CR210" s="4">
        <v>0.00015245384380662097</v>
      </c>
      <c r="CS210" s="4">
        <v>6.705790436822845e-17</v>
      </c>
      <c r="CT210" s="4">
        <v>1.989</v>
      </c>
      <c r="CU210" s="4">
        <v>1.964</v>
      </c>
      <c r="CV210" s="6"/>
      <c r="CW210" s="6"/>
      <c r="CX210" s="6"/>
      <c r="CY210" s="9">
        <v>53</v>
      </c>
      <c r="CZ210" s="7">
        <f>IFERROR(CR210/F210,0)</f>
        <v>0.00007458150117366032</v>
      </c>
      <c r="DA210" t="inlineStr">
        <is>
          <t xml:space="preserve">SI69Z</t>
        </is>
      </c>
      <c r="DB210" t="inlineStr">
        <is>
          <t xml:space="preserve">future</t>
        </is>
      </c>
      <c r="DC210" t="inlineStr">
        <is>
          <t xml:space="preserve">lease</t>
        </is>
      </c>
      <c r="DD210" t="inlineStr">
        <is>
          <t xml:space="preserve">long</t>
        </is>
      </c>
      <c r="DE210" t="inlineStr">
        <is>
          <t xml:space="preserve">regular</t>
        </is>
      </c>
      <c r="DF210" s="4">
        <v>1.993</v>
      </c>
      <c r="DG210" s="4">
        <v>1.956</v>
      </c>
      <c r="DH210" s="4">
        <v>0.3921425339067118</v>
      </c>
      <c r="DI210" s="6">
        <v>0.3823349428144104</v>
      </c>
      <c r="DJ210" s="4">
        <v>0.7815400700760766</v>
      </c>
      <c r="DK210" s="4">
        <v>0</v>
      </c>
      <c r="DL210" s="4">
        <v>0</v>
      </c>
      <c r="DM210" s="4">
        <v>-0.014509273754548423</v>
      </c>
      <c r="DN210" s="4">
        <v>0.014509273754548423</v>
      </c>
      <c r="DO210" s="4">
        <v>1.989</v>
      </c>
      <c r="DP210" s="4">
        <v>1.964</v>
      </c>
      <c r="DQ210" s="6">
        <v>0.002011060834590239</v>
      </c>
      <c r="DR210" s="6">
        <v>0.0712</v>
      </c>
      <c r="DS210" s="6">
        <v>0.057350241422161566</v>
      </c>
      <c r="DT210" s="9">
        <v>53</v>
      </c>
      <c r="DU210" s="7">
        <f>IFERROR(DM210/F210,0)</f>
        <v>-0.007098039580598729</v>
      </c>
      <c r="DV210" t="inlineStr">
        <is>
          <t xml:space="preserve">Lease cash / margin / financing</t>
        </is>
      </c>
      <c r="DW210" t="inlineStr">
        <is>
          <t xml:space="preserve">cash</t>
        </is>
      </c>
      <c r="DX210" t="inlineStr">
        <is>
          <t xml:space="preserve">lease</t>
        </is>
      </c>
      <c r="DY210" t="inlineStr">
        <is>
          <t xml:space="preserve">cash</t>
        </is>
      </c>
      <c r="DZ210"/>
      <c r="EA210" s="4">
        <v>1</v>
      </c>
      <c r="EB210" s="4">
        <v>1</v>
      </c>
      <c r="EC210" s="4">
        <v>-4.440892098500626e-16</v>
      </c>
      <c r="ED210" s="6"/>
      <c r="EE210" s="4">
        <v>-4.440892098500626e-16</v>
      </c>
      <c r="EF210" s="4">
        <v>-4.440892098500626e-16</v>
      </c>
      <c r="EG210" s="4">
        <v>-0.014517921590356067</v>
      </c>
      <c r="EH210" s="4">
        <v>0</v>
      </c>
      <c r="EI210" s="4">
        <v>-0.014517921590355623</v>
      </c>
      <c r="EJ210" s="4">
        <v>1.989</v>
      </c>
      <c r="EK210" s="4">
        <v>1.964</v>
      </c>
      <c r="EL210" s="6"/>
      <c r="EM210" s="6"/>
      <c r="EN210" s="6"/>
      <c r="EO210" s="9"/>
      <c r="EP210" s="7">
        <f>IFERROR(EH210/F210,0)</f>
        <v>0</v>
      </c>
      <c r="EQ210" t="inlineStr">
        <is>
          <t xml:space="preserve">Keep cash / margin / financing</t>
        </is>
      </c>
      <c r="ER210" t="inlineStr">
        <is>
          <t xml:space="preserve">cash</t>
        </is>
      </c>
      <c r="ES210" t="inlineStr">
        <is>
          <t xml:space="preserve">keep</t>
        </is>
      </c>
      <c r="ET210" t="inlineStr">
        <is>
          <t xml:space="preserve">cash</t>
        </is>
      </c>
      <c r="EU210"/>
      <c r="EV210" s="4">
        <v>1</v>
      </c>
      <c r="EW210" s="4">
        <v>1</v>
      </c>
      <c r="EX210" s="4">
        <v>0</v>
      </c>
      <c r="EY210" s="6"/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1.989</v>
      </c>
      <c r="FF210" s="4">
        <v>1.964</v>
      </c>
      <c r="FG210" s="6"/>
      <c r="FH210" s="6"/>
      <c r="FI210" s="6"/>
      <c r="FJ210" s="9"/>
      <c r="FK210" s="7">
        <f>IFERROR(FC210/F210,0)</f>
        <v>0</v>
      </c>
      <c r="FL210"/>
      <c r="FM210"/>
      <c r="FN210"/>
      <c r="FO210"/>
      <c r="FP210"/>
      <c r="FQ210" s="4"/>
      <c r="FR210" s="4"/>
      <c r="FS210" s="4"/>
      <c r="FT210" s="6"/>
      <c r="FU210" s="4"/>
      <c r="FV210" s="4"/>
      <c r="FW210" s="4"/>
      <c r="FX210" s="4"/>
      <c r="FY210" s="4"/>
      <c r="FZ210" s="4"/>
      <c r="GA210" s="4"/>
      <c r="GB210" s="6"/>
      <c r="GC210" s="6"/>
      <c r="GD210" s="6"/>
      <c r="GE210" s="9"/>
      <c r="GF210"/>
      <c r="GG210"/>
      <c r="GH210"/>
      <c r="GI210"/>
      <c r="GJ210"/>
      <c r="GK210"/>
      <c r="GL210" s="4"/>
      <c r="GM210" s="4"/>
      <c r="GN210" s="4"/>
      <c r="GO210" s="6"/>
      <c r="GP210" s="4"/>
      <c r="GQ210" s="4"/>
      <c r="GR210" s="4"/>
      <c r="GS210" s="4"/>
      <c r="GT210" s="4"/>
      <c r="GU210" s="4"/>
      <c r="GV210" s="4"/>
      <c r="GW210" s="6"/>
      <c r="GX210" s="6"/>
      <c r="GY210" s="6"/>
      <c r="GZ210" s="9"/>
      <c r="HA210"/>
      <c r="HB210"/>
      <c r="HC210"/>
      <c r="HD210"/>
      <c r="HE210"/>
      <c r="HF210"/>
      <c r="HG210" s="4"/>
      <c r="HH210" s="4"/>
      <c r="HI210" s="4"/>
      <c r="HJ210" s="6"/>
      <c r="HK210" s="4"/>
      <c r="HL210" s="4"/>
      <c r="HM210" s="4"/>
      <c r="HN210" s="4"/>
      <c r="HO210" s="4"/>
      <c r="HP210" s="4"/>
      <c r="HQ210" s="4"/>
      <c r="HR210" s="6"/>
      <c r="HS210" s="6"/>
      <c r="HT210" s="6"/>
      <c r="HU210" s="9"/>
      <c r="HV210"/>
      <c r="HW210"/>
      <c r="HX210"/>
      <c r="HY210"/>
      <c r="HZ210"/>
      <c r="IA210"/>
      <c r="IB210" s="4"/>
      <c r="IC210" s="4"/>
      <c r="ID210" s="4"/>
      <c r="IE210" s="6"/>
      <c r="IF210" s="4"/>
      <c r="IG210" s="4"/>
      <c r="IH210" s="4"/>
      <c r="II210" s="4"/>
      <c r="IJ210" s="4"/>
      <c r="IK210" s="4"/>
      <c r="IL210" s="4"/>
      <c r="IM210" s="6"/>
      <c r="IN210" s="6"/>
      <c r="IO210" s="6"/>
      <c r="IP210" s="9"/>
      <c r="IQ210"/>
      <c r="IR210"/>
      <c r="IS210"/>
      <c r="IT210"/>
      <c r="IU210"/>
      <c r="IV210"/>
      <c r="IW210" s="4"/>
      <c r="IX210" s="4"/>
      <c r="IY210" s="4"/>
      <c r="IZ210" s="6"/>
      <c r="JA210" s="4"/>
      <c r="JB210" s="4"/>
      <c r="JC210" s="4"/>
      <c r="JD210" s="4"/>
      <c r="JE210" s="4"/>
      <c r="JF210" s="4"/>
      <c r="JG210" s="4"/>
      <c r="JH210" s="6"/>
      <c r="JI210" s="6"/>
      <c r="JJ210" s="6"/>
      <c r="JK210" s="9"/>
      <c r="JL210"/>
    </row>
    <row r="211">
      <c r="A211" s="8">
        <v>25514</v>
      </c>
      <c r="B211" s="8">
        <v>25517</v>
      </c>
      <c r="C211" s="9">
        <f>B211-A211</f>
        <v>3</v>
      </c>
      <c r="D211" s="8">
        <v>25514</v>
      </c>
      <c r="E211" t="inlineStr">
        <is>
          <t xml:space="preserve">positive</t>
        </is>
      </c>
      <c r="F211" s="4">
        <v>2.01388904709865</v>
      </c>
      <c r="G211" s="6">
        <v>-0.0008052522757661675</v>
      </c>
      <c r="H211" s="7">
        <f>SUM(CE211,CZ211,DU211,EP211,FK211,GF211,HA211,HV211,IQ211,JL211)</f>
        <v>-0.0008052522757661676</v>
      </c>
      <c r="I211" s="7">
        <f>G211-H211</f>
        <v>1.0842021724855044e-19</v>
      </c>
      <c r="J211" s="5">
        <f>F211*(1+H211)</f>
        <v>2.0122673583603334</v>
      </c>
      <c r="K211" s="4">
        <v>2.0122673583603334</v>
      </c>
      <c r="L211" s="5">
        <f>K211-J211</f>
        <v>0</v>
      </c>
      <c r="M211" s="4">
        <v>1.964</v>
      </c>
      <c r="N211" s="4">
        <v>1.943</v>
      </c>
      <c r="O211" s="5">
        <f>M211/$M$3</f>
        <v>1.003064351378958</v>
      </c>
      <c r="P211" s="5">
        <f>N211/$M$3</f>
        <v>0.9923391215526047</v>
      </c>
      <c r="Q211" s="7">
        <f>IFERROR(N211/M211-1,0)</f>
        <v>-0.010692464358452058</v>
      </c>
      <c r="R211" s="5">
        <f>SUM(IF(BM211="lease",BU211,0),IF(CH211="lease",CP211,0),IF(DC211="lease",DK211,0),IF(DX211="lease",EF211,0),IF(ES211="lease",FA211,0),IF(FN211="lease",FV211,0),IF(GI211="lease",GQ211,0),IF(HD211="lease",HL211,0),IF(HY211="lease",IG211,0),IF(IT211="lease",JB211,0))</f>
        <v>2.0138890470986497</v>
      </c>
      <c r="S211" s="5">
        <f>SUM(IF(BM211="lease",BV211,0),IF(CH211="lease",CQ211,0),IF(DC211="lease",DL211,0),IF(DX211="lease",EG211,0),IF(ES211="lease",FB211,0),IF(FN211="lease",FW211,0),IF(GI211="lease",GR211,0),IF(HD211="lease",HM211,0),IF(HY211="lease",IH211,0),IF(IT211="lease",JC211,0))</f>
        <v>2.012267358360333</v>
      </c>
      <c r="T211" s="5">
        <f>SUM(IF(BM211="keep",BU211,0),IF(CH211="keep",CP211,0),IF(DC211="keep",DK211,0),IF(DX211="keep",EF211,0),IF(ES211="keep",FA211,0),IF(FN211="keep",FV211,0),IF(GI211="keep",GQ211,0),IF(HD211="keep",HL211,0),IF(HY211="keep",IG211,0),IF(IT211="keep",JB211,0))</f>
        <v>0</v>
      </c>
      <c r="U211" s="5">
        <f>SUM(IF(BM211="keep",BV211,0),IF(CH211="keep",CQ211,0),IF(DC211="keep",DL211,0),IF(DX211="keep",EG211,0),IF(ES211="keep",FB211,0),IF(FN211="keep",FW211,0),IF(GI211="keep",GR211,0),IF(HD211="keep",HM211,0),IF(HY211="keep",IH211,0),IF(IT211="keep",JC211,0))</f>
        <v>0</v>
      </c>
      <c r="V211" s="5">
        <f>R211/O211</f>
        <v>2.0077366365677984</v>
      </c>
      <c r="W211" s="5">
        <f>S211/P211</f>
        <v>2.0278021037928626</v>
      </c>
      <c r="X211" s="5">
        <f>T211/O211</f>
        <v>0</v>
      </c>
      <c r="Y211" s="5">
        <f>U211/P211</f>
        <v>0</v>
      </c>
      <c r="Z211" s="5">
        <f>V211+X211</f>
        <v>2.0077366365677984</v>
      </c>
      <c r="AA211" s="7">
        <f>IFERROR(W211/V211-1,0)</f>
        <v>0.009994073355839017</v>
      </c>
      <c r="AB211" s="7">
        <f>IFERROR((W211-V211)/Z211,0)</f>
        <v>0.009994073355839074</v>
      </c>
      <c r="AC211" s="7">
        <f>IFERROR(Y211/X211-1,0)</f>
        <v>0</v>
      </c>
      <c r="AD211" s="7">
        <f>IFERROR((Y211-X211)/Z211,0)</f>
        <v>0</v>
      </c>
      <c r="AE211" s="7">
        <f>AB211+AD211</f>
        <v>0.009994073355839074</v>
      </c>
      <c r="AF211" s="7">
        <f>(1+Q211)*(1+AE211)-1</f>
        <v>-0.0008052522757661107</v>
      </c>
      <c r="AG211" s="7">
        <f>G211-AF211</f>
        <v>-5.681219383824043e-17</v>
      </c>
      <c r="AH211" s="5">
        <f>SUM(IF(BM211="lease",BW211,0),IF(CH211="lease",CR211,0),IF(DC211="lease",DM211,0),IF(DX211="lease",EH211,0),IF(ES211="lease",FC211,0),IF(FN211="lease",FX211,0),IF(GI211="lease",GS211,0),IF(HD211="lease",HN211,0),IF(HY211="lease",II211,0),IF(IT211="lease",JD211,0))</f>
        <v>-0.0016216887383167468</v>
      </c>
      <c r="AI211" s="5">
        <f>SUM(IF(BM211="keep",BW211,0),IF(CH211="keep",CR211,0),IF(DC211="keep",DM211,0),IF(DX211="keep",EH211,0),IF(ES211="keep",FC211,0),IF(FN211="keep",FX211,0),IF(GI211="keep",GS211,0),IF(HD211="keep",HN211,0),IF(HY211="keep",II211,0),IF(IT211="keep",JD211,0))</f>
        <v>0</v>
      </c>
      <c r="AJ211" s="5">
        <f>SUM(IF(BM211="lease",BX211,0),IF(CH211="lease",CS211,0),IF(DC211="lease",DN211,0),IF(DX211="lease",EI211,0),IF(ES211="lease",FD211,0),IF(FN211="lease",FY211,0),IF(GI211="lease",GT211,0),IF(HD211="lease",HO211,0),IF(HY211="lease",IJ211,0),IF(IT211="lease",JE211,0))</f>
        <v>0</v>
      </c>
      <c r="AK211" s="5">
        <f>SUM(IF(BM211="keep",BX211,0),IF(CH211="keep",CS211,0),IF(DC211="keep",DN211,0),IF(DX211="keep",EI211,0),IF(ES211="keep",FD211,0),IF(FN211="keep",FY211,0),IF(GI211="keep",GT211,0),IF(HD211="keep",HO211,0),IF(HY211="keep",IJ211,0),IF(IT211="keep",JE211,0))</f>
        <v>0</v>
      </c>
      <c r="AL211" s="5">
        <f>R211-S210</f>
        <v>0</v>
      </c>
      <c r="AM211" s="5">
        <f>T211-U210</f>
        <v>0</v>
      </c>
      <c r="AN211" s="5">
        <f>AN210</f>
        <v>1</v>
      </c>
      <c r="AO211" s="5">
        <f>AO210+AH211</f>
        <v>1.0122673583603334</v>
      </c>
      <c r="AP211" s="5">
        <f>AP210+AL211</f>
        <v>2.220446049250313e-16</v>
      </c>
      <c r="AQ211" s="5">
        <f>AN211+AO211+AP211</f>
        <v>2.012267358360334</v>
      </c>
      <c r="AR211" s="5">
        <f>S211-AQ211</f>
        <v>-8.881784197001252e-16</v>
      </c>
      <c r="AS211" s="5">
        <f>AS210</f>
        <v>0</v>
      </c>
      <c r="AT211" s="5">
        <f>AT210+AI211</f>
        <v>0</v>
      </c>
      <c r="AU211" s="5">
        <f>AU210+AM211</f>
        <v>0</v>
      </c>
      <c r="AV211" s="5">
        <f>AS211+AT211+AU211</f>
        <v>0</v>
      </c>
      <c r="AW211" s="5">
        <f>U211-AV211</f>
        <v>0</v>
      </c>
      <c r="AX211" s="4">
        <v>2.0138890470986497</v>
      </c>
      <c r="AY211" s="4">
        <v>2.012267358360333</v>
      </c>
      <c r="AZ211" s="5">
        <f>S211-AY211</f>
        <v>0</v>
      </c>
      <c r="BA211" s="4">
        <v>0</v>
      </c>
      <c r="BB211" s="4">
        <v>0</v>
      </c>
      <c r="BC211" s="5">
        <f>U211-BB211</f>
        <v>0</v>
      </c>
      <c r="BD211" s="7">
        <f>SUM(IF(BL211="direct",CE211,0),IF(CG211="direct",CZ211,0),IF(DB211="direct",DU211,0),IF(DW211="direct",EP211,0),IF(ER211="direct",FK211,0),IF(FM211="direct",GF211,0),IF(GH211="direct",HA211,0),IF(HC211="direct",HV211,0),IF(HX211="direct",IQ211,0),IF(IS211="direct",JL211,0))</f>
        <v>-0.0035787480834797505</v>
      </c>
      <c r="BE211" s="7">
        <f>SUM(IF(BL211="treasury",CE211,0),IF(CG211="treasury",CZ211,0),IF(DB211="treasury",DU211,0),IF(DW211="treasury",EP211,0),IF(ER211="treasury",FK211,0),IF(FM211="treasury",GF211,0),IF(GH211="treasury",HA211,0),IF(HC211="treasury",HV211,0),IF(HX211="treasury",IQ211,0),IF(IS211="treasury",JL211,0))</f>
        <v>0.0003902613171545123</v>
      </c>
      <c r="BF211" s="7">
        <f>SUM(IF(BL211="future",CE211,0),IF(CG211="future",CZ211,0),IF(DB211="future",DU211,0),IF(DW211="future",EP211,0),IF(ER211="future",FK211,0),IF(FM211="future",GF211,0),IF(GH211="future",HA211,0),IF(HC211="future",HV211,0),IF(HX211="future",IQ211,0),IF(IS211="future",JL211,0))</f>
        <v>0.002383234490559071</v>
      </c>
      <c r="BG211" s="7">
        <f>SUM(IF(BL211="cash",CE211,0),IF(CG211="cash",CZ211,0),IF(DB211="cash",DU211,0),IF(DW211="cash",EP211,0),IF(ER211="cash",FK211,0),IF(FM211="cash",GF211,0),IF(GH211="cash",HA211,0),IF(HC211="cash",HV211,0),IF(HX211="cash",IQ211,0),IF(IS211="cash",JL211,0))</f>
        <v>0</v>
      </c>
      <c r="BH211" s="7">
        <f>SUM(BD211:BG211)</f>
        <v>-0.0008052522757661675</v>
      </c>
      <c r="BI211" s="7">
        <f>G211-BH211</f>
        <v>0</v>
      </c>
      <c r="BJ211" s="9">
        <f>COUNTA(BK211,CF211,DA211,DV211,EQ211,FL211,GG211,HB211,HW211,IR211)</f>
        <v>5</v>
      </c>
      <c r="BK211" t="inlineStr">
        <is>
          <t xml:space="preserve">Direct commodity holding</t>
        </is>
      </c>
      <c r="BL211" t="inlineStr">
        <is>
          <t xml:space="preserve">direct</t>
        </is>
      </c>
      <c r="BM211" t="inlineStr">
        <is>
          <t xml:space="preserve">lease</t>
        </is>
      </c>
      <c r="BN211" t="inlineStr">
        <is>
          <t xml:space="preserve">long</t>
        </is>
      </c>
      <c r="BO211"/>
      <c r="BP211" s="4">
        <v>1.964</v>
      </c>
      <c r="BQ211" s="4">
        <v>1.943</v>
      </c>
      <c r="BR211" s="4">
        <v>0.3425418044892856</v>
      </c>
      <c r="BS211" s="6">
        <v>0.3340561909238102</v>
      </c>
      <c r="BT211" s="4">
        <v>0.672752104016957</v>
      </c>
      <c r="BU211" s="4">
        <v>0.672752104016957</v>
      </c>
      <c r="BV211" s="4">
        <v>0.665558726122682</v>
      </c>
      <c r="BW211" s="4">
        <v>-0.007207201567645156</v>
      </c>
      <c r="BX211" s="4">
        <v>0.000013823673370167398</v>
      </c>
      <c r="BY211" s="4">
        <v>1.964</v>
      </c>
      <c r="BZ211" s="4">
        <v>1.943</v>
      </c>
      <c r="CA211" s="6"/>
      <c r="CB211" s="6"/>
      <c r="CC211" s="6"/>
      <c r="CD211" s="9"/>
      <c r="CE211" s="7">
        <f>IFERROR(BW211/F211,0)</f>
        <v>-0.0035787480834797505</v>
      </c>
      <c r="CF211" t="inlineStr">
        <is>
          <t xml:space="preserve">Treasury collateral</t>
        </is>
      </c>
      <c r="CG211" t="inlineStr">
        <is>
          <t xml:space="preserve">treasury</t>
        </is>
      </c>
      <c r="CH211" t="inlineStr">
        <is>
          <t xml:space="preserve">lease</t>
        </is>
      </c>
      <c r="CI211" t="inlineStr">
        <is>
          <t xml:space="preserve">long</t>
        </is>
      </c>
      <c r="CJ211"/>
      <c r="CK211" s="4">
        <v>105.6599282075905</v>
      </c>
      <c r="CL211" s="4">
        <v>105.72184782031269</v>
      </c>
      <c r="CM211" s="4">
        <v>0.012692957167704638</v>
      </c>
      <c r="CN211" s="6">
        <v>0.6659438090761899</v>
      </c>
      <c r="CO211" s="4">
        <v>1.3411369430816933</v>
      </c>
      <c r="CP211" s="4">
        <v>1.3411369430816933</v>
      </c>
      <c r="CQ211" s="4">
        <v>1.3419228860738168</v>
      </c>
      <c r="CR211" s="4">
        <v>0.000785942992123765</v>
      </c>
      <c r="CS211" s="4">
        <v>-2.31043482956661e-16</v>
      </c>
      <c r="CT211" s="4">
        <v>1.964</v>
      </c>
      <c r="CU211" s="4">
        <v>1.943</v>
      </c>
      <c r="CV211" s="6"/>
      <c r="CW211" s="6"/>
      <c r="CX211" s="6"/>
      <c r="CY211" s="9">
        <v>52</v>
      </c>
      <c r="CZ211" s="7">
        <f>IFERROR(CR211/F211,0)</f>
        <v>0.0003902613171545123</v>
      </c>
      <c r="DA211" t="inlineStr">
        <is>
          <t xml:space="preserve">SI69Z</t>
        </is>
      </c>
      <c r="DB211" t="inlineStr">
        <is>
          <t xml:space="preserve">future</t>
        </is>
      </c>
      <c r="DC211" t="inlineStr">
        <is>
          <t xml:space="preserve">lease</t>
        </is>
      </c>
      <c r="DD211" t="inlineStr">
        <is>
          <t xml:space="preserve">long</t>
        </is>
      </c>
      <c r="DE211" t="inlineStr">
        <is>
          <t xml:space="preserve">regular</t>
        </is>
      </c>
      <c r="DF211" s="4">
        <v>1.956</v>
      </c>
      <c r="DG211" s="4">
        <v>1.963</v>
      </c>
      <c r="DH211" s="4">
        <v>0.6856528338863462</v>
      </c>
      <c r="DI211" s="6">
        <v>0.6659438090761899</v>
      </c>
      <c r="DJ211" s="4">
        <v>1.3411369430816933</v>
      </c>
      <c r="DK211" s="4">
        <v>0</v>
      </c>
      <c r="DL211" s="4">
        <v>0</v>
      </c>
      <c r="DM211" s="4">
        <v>0.004799569837204644</v>
      </c>
      <c r="DN211" s="4">
        <v>-0.004799569837204644</v>
      </c>
      <c r="DO211" s="4">
        <v>1.964</v>
      </c>
      <c r="DP211" s="4">
        <v>1.943</v>
      </c>
      <c r="DQ211" s="6">
        <v>-0.004073319755600768</v>
      </c>
      <c r="DR211" s="6">
        <v>0.0713</v>
      </c>
      <c r="DS211" s="6">
        <v>0.09989157136142847</v>
      </c>
      <c r="DT211" s="9">
        <v>52</v>
      </c>
      <c r="DU211" s="7">
        <f>IFERROR(DM211/F211,0)</f>
        <v>0.002383234490559071</v>
      </c>
      <c r="DV211" t="inlineStr">
        <is>
          <t xml:space="preserve">Lease cash / margin / financing</t>
        </is>
      </c>
      <c r="DW211" t="inlineStr">
        <is>
          <t xml:space="preserve">cash</t>
        </is>
      </c>
      <c r="DX211" t="inlineStr">
        <is>
          <t xml:space="preserve">lease</t>
        </is>
      </c>
      <c r="DY211" t="inlineStr">
        <is>
          <t xml:space="preserve">cash</t>
        </is>
      </c>
      <c r="DZ211"/>
      <c r="EA211" s="4">
        <v>1</v>
      </c>
      <c r="EB211" s="4">
        <v>1</v>
      </c>
      <c r="EC211" s="4">
        <v>-4.440892098500626e-16</v>
      </c>
      <c r="ED211" s="6"/>
      <c r="EE211" s="4">
        <v>-4.440892098500626e-16</v>
      </c>
      <c r="EF211" s="4">
        <v>-4.440892098500626e-16</v>
      </c>
      <c r="EG211" s="4">
        <v>0.0047857461638342634</v>
      </c>
      <c r="EH211" s="4">
        <v>0</v>
      </c>
      <c r="EI211" s="4">
        <v>0.0047857461638347075</v>
      </c>
      <c r="EJ211" s="4">
        <v>1.964</v>
      </c>
      <c r="EK211" s="4">
        <v>1.943</v>
      </c>
      <c r="EL211" s="6"/>
      <c r="EM211" s="6"/>
      <c r="EN211" s="6"/>
      <c r="EO211" s="9"/>
      <c r="EP211" s="7">
        <f>IFERROR(EH211/F211,0)</f>
        <v>0</v>
      </c>
      <c r="EQ211" t="inlineStr">
        <is>
          <t xml:space="preserve">Keep cash / margin / financing</t>
        </is>
      </c>
      <c r="ER211" t="inlineStr">
        <is>
          <t xml:space="preserve">cash</t>
        </is>
      </c>
      <c r="ES211" t="inlineStr">
        <is>
          <t xml:space="preserve">keep</t>
        </is>
      </c>
      <c r="ET211" t="inlineStr">
        <is>
          <t xml:space="preserve">cash</t>
        </is>
      </c>
      <c r="EU211"/>
      <c r="EV211" s="4">
        <v>1</v>
      </c>
      <c r="EW211" s="4">
        <v>1</v>
      </c>
      <c r="EX211" s="4">
        <v>0</v>
      </c>
      <c r="EY211" s="6"/>
      <c r="EZ211" s="4">
        <v>0</v>
      </c>
      <c r="FA211" s="4">
        <v>0</v>
      </c>
      <c r="FB211" s="4">
        <v>0</v>
      </c>
      <c r="FC211" s="4">
        <v>0</v>
      </c>
      <c r="FD211" s="4">
        <v>0</v>
      </c>
      <c r="FE211" s="4">
        <v>1.964</v>
      </c>
      <c r="FF211" s="4">
        <v>1.943</v>
      </c>
      <c r="FG211" s="6"/>
      <c r="FH211" s="6"/>
      <c r="FI211" s="6"/>
      <c r="FJ211" s="9"/>
      <c r="FK211" s="7">
        <f>IFERROR(FC211/F211,0)</f>
        <v>0</v>
      </c>
      <c r="FL211"/>
      <c r="FM211"/>
      <c r="FN211"/>
      <c r="FO211"/>
      <c r="FP211"/>
      <c r="FQ211" s="4"/>
      <c r="FR211" s="4"/>
      <c r="FS211" s="4"/>
      <c r="FT211" s="6"/>
      <c r="FU211" s="4"/>
      <c r="FV211" s="4"/>
      <c r="FW211" s="4"/>
      <c r="FX211" s="4"/>
      <c r="FY211" s="4"/>
      <c r="FZ211" s="4"/>
      <c r="GA211" s="4"/>
      <c r="GB211" s="6"/>
      <c r="GC211" s="6"/>
      <c r="GD211" s="6"/>
      <c r="GE211" s="9"/>
      <c r="GF211"/>
      <c r="GG211"/>
      <c r="GH211"/>
      <c r="GI211"/>
      <c r="GJ211"/>
      <c r="GK211"/>
      <c r="GL211" s="4"/>
      <c r="GM211" s="4"/>
      <c r="GN211" s="4"/>
      <c r="GO211" s="6"/>
      <c r="GP211" s="4"/>
      <c r="GQ211" s="4"/>
      <c r="GR211" s="4"/>
      <c r="GS211" s="4"/>
      <c r="GT211" s="4"/>
      <c r="GU211" s="4"/>
      <c r="GV211" s="4"/>
      <c r="GW211" s="6"/>
      <c r="GX211" s="6"/>
      <c r="GY211" s="6"/>
      <c r="GZ211" s="9"/>
      <c r="HA211"/>
      <c r="HB211"/>
      <c r="HC211"/>
      <c r="HD211"/>
      <c r="HE211"/>
      <c r="HF211"/>
      <c r="HG211" s="4"/>
      <c r="HH211" s="4"/>
      <c r="HI211" s="4"/>
      <c r="HJ211" s="6"/>
      <c r="HK211" s="4"/>
      <c r="HL211" s="4"/>
      <c r="HM211" s="4"/>
      <c r="HN211" s="4"/>
      <c r="HO211" s="4"/>
      <c r="HP211" s="4"/>
      <c r="HQ211" s="4"/>
      <c r="HR211" s="6"/>
      <c r="HS211" s="6"/>
      <c r="HT211" s="6"/>
      <c r="HU211" s="9"/>
      <c r="HV211"/>
      <c r="HW211"/>
      <c r="HX211"/>
      <c r="HY211"/>
      <c r="HZ211"/>
      <c r="IA211"/>
      <c r="IB211" s="4"/>
      <c r="IC211" s="4"/>
      <c r="ID211" s="4"/>
      <c r="IE211" s="6"/>
      <c r="IF211" s="4"/>
      <c r="IG211" s="4"/>
      <c r="IH211" s="4"/>
      <c r="II211" s="4"/>
      <c r="IJ211" s="4"/>
      <c r="IK211" s="4"/>
      <c r="IL211" s="4"/>
      <c r="IM211" s="6"/>
      <c r="IN211" s="6"/>
      <c r="IO211" s="6"/>
      <c r="IP211" s="9"/>
      <c r="IQ211"/>
      <c r="IR211"/>
      <c r="IS211"/>
      <c r="IT211"/>
      <c r="IU211"/>
      <c r="IV211"/>
      <c r="IW211" s="4"/>
      <c r="IX211" s="4"/>
      <c r="IY211" s="4"/>
      <c r="IZ211" s="6"/>
      <c r="JA211" s="4"/>
      <c r="JB211" s="4"/>
      <c r="JC211" s="4"/>
      <c r="JD211" s="4"/>
      <c r="JE211" s="4"/>
      <c r="JF211" s="4"/>
      <c r="JG211" s="4"/>
      <c r="JH211" s="6"/>
      <c r="JI211" s="6"/>
      <c r="JJ211" s="6"/>
      <c r="JK211" s="9"/>
      <c r="JL211"/>
    </row>
    <row r="212">
      <c r="A212" s="8">
        <v>25517</v>
      </c>
      <c r="B212" s="8">
        <v>25519</v>
      </c>
      <c r="C212" s="9">
        <f>B212-A212</f>
        <v>2</v>
      </c>
      <c r="D212" s="8">
        <v>25517</v>
      </c>
      <c r="E212" t="inlineStr">
        <is>
          <t xml:space="preserve">neutral</t>
        </is>
      </c>
      <c r="F212" s="4">
        <v>2.0122673583603334</v>
      </c>
      <c r="G212" s="6">
        <v>0.009250326073928858</v>
      </c>
      <c r="H212" s="7">
        <f>SUM(CE212,CZ212,DU212,EP212,FK212,GF212,HA212,HV212,IQ212,JL212)</f>
        <v>0.009250326073928858</v>
      </c>
      <c r="I212" s="7">
        <f>G212-H212</f>
        <v>0</v>
      </c>
      <c r="J212" s="5">
        <f>F212*(1+H212)</f>
        <v>2.0308814875730903</v>
      </c>
      <c r="K212" s="4">
        <v>2.0308814875730903</v>
      </c>
      <c r="L212" s="5">
        <f>K212-J212</f>
        <v>0</v>
      </c>
      <c r="M212" s="4">
        <v>1.943</v>
      </c>
      <c r="N212" s="4">
        <v>1.961</v>
      </c>
      <c r="O212" s="5">
        <f>M212/$M$3</f>
        <v>0.9923391215526047</v>
      </c>
      <c r="P212" s="5">
        <f>N212/$M$3</f>
        <v>1.001532175689479</v>
      </c>
      <c r="Q212" s="7">
        <f>IFERROR(N212/M212-1,0)</f>
        <v>0.009264024704065843</v>
      </c>
      <c r="R212" s="5">
        <f>SUM(IF(BM212="lease",BU212,0),IF(CH212="lease",CP212,0),IF(DC212="lease",DK212,0),IF(DX212="lease",EF212,0),IF(ES212="lease",FA212,0),IF(FN212="lease",FV212,0),IF(GI212="lease",GQ212,0),IF(HD212="lease",HL212,0),IF(HY212="lease",IG212,0),IF(IT212="lease",JB212,0))</f>
        <v>2.012267358360333</v>
      </c>
      <c r="S212" s="5">
        <f>SUM(IF(BM212="lease",BV212,0),IF(CH212="lease",CQ212,0),IF(DC212="lease",DL212,0),IF(DX212="lease",EG212,0),IF(ES212="lease",FB212,0),IF(FN212="lease",FW212,0),IF(GI212="lease",GR212,0),IF(HD212="lease",HM212,0),IF(HY212="lease",IH212,0),IF(IT212="lease",JC212,0))</f>
        <v>2.0308814875730894</v>
      </c>
      <c r="T212" s="5">
        <f>SUM(IF(BM212="keep",BU212,0),IF(CH212="keep",CP212,0),IF(DC212="keep",DK212,0),IF(DX212="keep",EF212,0),IF(ES212="keep",FA212,0),IF(FN212="keep",FV212,0),IF(GI212="keep",GQ212,0),IF(HD212="keep",HL212,0),IF(HY212="keep",IG212,0),IF(IT212="keep",JB212,0))</f>
        <v>0</v>
      </c>
      <c r="U212" s="5">
        <f>SUM(IF(BM212="keep",BV212,0),IF(CH212="keep",CQ212,0),IF(DC212="keep",DL212,0),IF(DX212="keep",EG212,0),IF(ES212="keep",FB212,0),IF(FN212="keep",FW212,0),IF(GI212="keep",GR212,0),IF(HD212="keep",HM212,0),IF(HY212="keep",IH212,0),IF(IT212="keep",JC212,0))</f>
        <v>0</v>
      </c>
      <c r="V212" s="5">
        <f>R212/O212</f>
        <v>2.0278021037928626</v>
      </c>
      <c r="W212" s="5">
        <f>S212/P212</f>
        <v>2.0277745806568634</v>
      </c>
      <c r="X212" s="5">
        <f>T212/O212</f>
        <v>0</v>
      </c>
      <c r="Y212" s="5">
        <f>U212/P212</f>
        <v>0</v>
      </c>
      <c r="Z212" s="5">
        <f>V212+X212</f>
        <v>2.0278021037928626</v>
      </c>
      <c r="AA212" s="7">
        <f>IFERROR(W212/V212-1,0)</f>
        <v>-0.00001357289054371158</v>
      </c>
      <c r="AB212" s="7">
        <f>IFERROR((W212-V212)/Z212,0)</f>
        <v>-0.000013572890543759446</v>
      </c>
      <c r="AC212" s="7">
        <f>IFERROR(Y212/X212-1,0)</f>
        <v>0</v>
      </c>
      <c r="AD212" s="7">
        <f>IFERROR((Y212-X212)/Z212,0)</f>
        <v>0</v>
      </c>
      <c r="AE212" s="7">
        <f>AB212+AD212</f>
        <v>-0.000013572890543759446</v>
      </c>
      <c r="AF212" s="7">
        <f>(1+Q212)*(1+AE212)-1</f>
        <v>0.009250326073928727</v>
      </c>
      <c r="AG212" s="7">
        <f>G212-AF212</f>
        <v>1.3010426069826053e-16</v>
      </c>
      <c r="AH212" s="5">
        <f>SUM(IF(BM212="lease",BW212,0),IF(CH212="lease",CR212,0),IF(DC212="lease",DM212,0),IF(DX212="lease",EH212,0),IF(ES212="lease",FC212,0),IF(FN212="lease",FX212,0),IF(GI212="lease",GS212,0),IF(HD212="lease",HN212,0),IF(HY212="lease",II212,0),IF(IT212="lease",JD212,0))</f>
        <v>0.018614129212756538</v>
      </c>
      <c r="AI212" s="5">
        <f>SUM(IF(BM212="keep",BW212,0),IF(CH212="keep",CR212,0),IF(DC212="keep",DM212,0),IF(DX212="keep",EH212,0),IF(ES212="keep",FC212,0),IF(FN212="keep",FX212,0),IF(GI212="keep",GS212,0),IF(HD212="keep",HN212,0),IF(HY212="keep",II212,0),IF(IT212="keep",JD212,0))</f>
        <v>0</v>
      </c>
      <c r="AJ212" s="5">
        <f>SUM(IF(BM212="lease",BX212,0),IF(CH212="lease",CS212,0),IF(DC212="lease",DN212,0),IF(DX212="lease",EI212,0),IF(ES212="lease",FD212,0),IF(FN212="lease",FY212,0),IF(GI212="lease",GT212,0),IF(HD212="lease",HO212,0),IF(HY212="lease",IJ212,0),IF(IT212="lease",JE212,0))</f>
        <v>0</v>
      </c>
      <c r="AK212" s="5">
        <f>SUM(IF(BM212="keep",BX212,0),IF(CH212="keep",CS212,0),IF(DC212="keep",DN212,0),IF(DX212="keep",EI212,0),IF(ES212="keep",FD212,0),IF(FN212="keep",FY212,0),IF(GI212="keep",GT212,0),IF(HD212="keep",HO212,0),IF(HY212="keep",IJ212,0),IF(IT212="keep",JE212,0))</f>
        <v>0</v>
      </c>
      <c r="AL212" s="5">
        <f>R212-S211</f>
        <v>0</v>
      </c>
      <c r="AM212" s="5">
        <f>T212-U211</f>
        <v>0</v>
      </c>
      <c r="AN212" s="5">
        <f>AN211</f>
        <v>1</v>
      </c>
      <c r="AO212" s="5">
        <f>AO211+AH212</f>
        <v>1.03088148757309</v>
      </c>
      <c r="AP212" s="5">
        <f>AP211+AL212</f>
        <v>2.220446049250313e-16</v>
      </c>
      <c r="AQ212" s="5">
        <f>AN212+AO212+AP212</f>
        <v>2.0308814875730903</v>
      </c>
      <c r="AR212" s="5">
        <f>S212-AQ212</f>
        <v>-8.881784197001252e-16</v>
      </c>
      <c r="AS212" s="5">
        <f>AS211</f>
        <v>0</v>
      </c>
      <c r="AT212" s="5">
        <f>AT211+AI212</f>
        <v>0</v>
      </c>
      <c r="AU212" s="5">
        <f>AU211+AM212</f>
        <v>0</v>
      </c>
      <c r="AV212" s="5">
        <f>AS212+AT212+AU212</f>
        <v>0</v>
      </c>
      <c r="AW212" s="5">
        <f>U212-AV212</f>
        <v>0</v>
      </c>
      <c r="AX212" s="4">
        <v>2.012267358360333</v>
      </c>
      <c r="AY212" s="4">
        <v>2.0308814875730894</v>
      </c>
      <c r="AZ212" s="5">
        <f>S212-AY212</f>
        <v>0</v>
      </c>
      <c r="BA212" s="4">
        <v>0</v>
      </c>
      <c r="BB212" s="4">
        <v>0</v>
      </c>
      <c r="BC212" s="5">
        <f>U212-BB212</f>
        <v>0</v>
      </c>
      <c r="BD212" s="7">
        <f>SUM(IF(BL212="direct",CE212,0),IF(CG212="direct",CZ212,0),IF(DB212="direct",DU212,0),IF(DW212="direct",EP212,0),IF(ER212="direct",FK212,0),IF(FM212="direct",GF212,0),IF(GH212="direct",HA212,0),IF(HC212="direct",HV212,0),IF(HX212="direct",IQ212,0),IF(IS212="direct",JL212,0))</f>
        <v>0.009250326073928858</v>
      </c>
      <c r="BE212" s="7">
        <f>SUM(IF(BL212="treasury",CE212,0),IF(CG212="treasury",CZ212,0),IF(DB212="treasury",DU212,0),IF(DW212="treasury",EP212,0),IF(ER212="treasury",FK212,0),IF(FM212="treasury",GF212,0),IF(GH212="treasury",HA212,0),IF(HC212="treasury",HV212,0),IF(HX212="treasury",IQ212,0),IF(IS212="treasury",JL212,0))</f>
        <v>0</v>
      </c>
      <c r="BF212" s="7">
        <f>SUM(IF(BL212="future",CE212,0),IF(CG212="future",CZ212,0),IF(DB212="future",DU212,0),IF(DW212="future",EP212,0),IF(ER212="future",FK212,0),IF(FM212="future",GF212,0),IF(GH212="future",HA212,0),IF(HC212="future",HV212,0),IF(HX212="future",IQ212,0),IF(IS212="future",JL212,0))</f>
        <v>0</v>
      </c>
      <c r="BG212" s="7">
        <f>SUM(IF(BL212="cash",CE212,0),IF(CG212="cash",CZ212,0),IF(DB212="cash",DU212,0),IF(DW212="cash",EP212,0),IF(ER212="cash",FK212,0),IF(FM212="cash",GF212,0),IF(GH212="cash",HA212,0),IF(HC212="cash",HV212,0),IF(HX212="cash",IQ212,0),IF(IS212="cash",JL212,0))</f>
        <v>0</v>
      </c>
      <c r="BH212" s="7">
        <f>SUM(BD212:BG212)</f>
        <v>0.009250326073928858</v>
      </c>
      <c r="BI212" s="7">
        <f>G212-BH212</f>
        <v>0</v>
      </c>
      <c r="BJ212" s="9">
        <f>COUNTA(BK212,CF212,DA212,DV212,EQ212,FL212,GG212,HB212,HW212,IR212)</f>
        <v>3</v>
      </c>
      <c r="BK212" t="inlineStr">
        <is>
          <t xml:space="preserve">Direct commodity holding</t>
        </is>
      </c>
      <c r="BL212" t="inlineStr">
        <is>
          <t xml:space="preserve">direct</t>
        </is>
      </c>
      <c r="BM212" t="inlineStr">
        <is>
          <t xml:space="preserve">lease</t>
        </is>
      </c>
      <c r="BN212" t="inlineStr">
        <is>
          <t xml:space="preserve">long</t>
        </is>
      </c>
      <c r="BO212"/>
      <c r="BP212" s="4">
        <v>1.943</v>
      </c>
      <c r="BQ212" s="4">
        <v>1.961</v>
      </c>
      <c r="BR212" s="4">
        <v>1.035649695501973</v>
      </c>
      <c r="BS212" s="6">
        <v>1</v>
      </c>
      <c r="BT212" s="4">
        <v>2.0122673583603334</v>
      </c>
      <c r="BU212" s="4">
        <v>2.0122673583603334</v>
      </c>
      <c r="BV212" s="4">
        <v>2.030909052879369</v>
      </c>
      <c r="BW212" s="4">
        <v>0.018614129212756538</v>
      </c>
      <c r="BX212" s="4">
        <v>0.000027565306279207086</v>
      </c>
      <c r="BY212" s="4">
        <v>1.943</v>
      </c>
      <c r="BZ212" s="4">
        <v>1.961</v>
      </c>
      <c r="CA212" s="6"/>
      <c r="CB212" s="6"/>
      <c r="CC212" s="6"/>
      <c r="CD212" s="9"/>
      <c r="CE212" s="7">
        <f>IFERROR(BW212/F212,0)</f>
        <v>0.009250326073928858</v>
      </c>
      <c r="CF212" t="inlineStr">
        <is>
          <t xml:space="preserve">Lease cash / margin / financing</t>
        </is>
      </c>
      <c r="CG212" t="inlineStr">
        <is>
          <t xml:space="preserve">cash</t>
        </is>
      </c>
      <c r="CH212" t="inlineStr">
        <is>
          <t xml:space="preserve">lease</t>
        </is>
      </c>
      <c r="CI212" t="inlineStr">
        <is>
          <t xml:space="preserve">cash</t>
        </is>
      </c>
      <c r="CJ212"/>
      <c r="CK212" s="4">
        <v>1</v>
      </c>
      <c r="CL212" s="4">
        <v>1</v>
      </c>
      <c r="CM212" s="4">
        <v>-4.440892098500626e-16</v>
      </c>
      <c r="CN212" s="6"/>
      <c r="CO212" s="4">
        <v>-4.440892098500626e-16</v>
      </c>
      <c r="CP212" s="4">
        <v>-4.440892098500626e-16</v>
      </c>
      <c r="CQ212" s="4">
        <v>-0.000027565306279651175</v>
      </c>
      <c r="CR212" s="4">
        <v>0</v>
      </c>
      <c r="CS212" s="4">
        <v>-0.000027565306279207086</v>
      </c>
      <c r="CT212" s="4">
        <v>1.943</v>
      </c>
      <c r="CU212" s="4">
        <v>1.961</v>
      </c>
      <c r="CV212" s="6"/>
      <c r="CW212" s="6"/>
      <c r="CX212" s="6"/>
      <c r="CY212" s="9"/>
      <c r="CZ212" s="7">
        <f>IFERROR(CR212/F212,0)</f>
        <v>0</v>
      </c>
      <c r="DA212" t="inlineStr">
        <is>
          <t xml:space="preserve">Keep cash / margin / financing</t>
        </is>
      </c>
      <c r="DB212" t="inlineStr">
        <is>
          <t xml:space="preserve">cash</t>
        </is>
      </c>
      <c r="DC212" t="inlineStr">
        <is>
          <t xml:space="preserve">keep</t>
        </is>
      </c>
      <c r="DD212" t="inlineStr">
        <is>
          <t xml:space="preserve">cash</t>
        </is>
      </c>
      <c r="DE212"/>
      <c r="DF212" s="4">
        <v>1</v>
      </c>
      <c r="DG212" s="4">
        <v>1</v>
      </c>
      <c r="DH212" s="4">
        <v>0</v>
      </c>
      <c r="DI212" s="6"/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1.943</v>
      </c>
      <c r="DP212" s="4">
        <v>1.961</v>
      </c>
      <c r="DQ212" s="6"/>
      <c r="DR212" s="6"/>
      <c r="DS212" s="6"/>
      <c r="DT212" s="9"/>
      <c r="DU212" s="7">
        <f>IFERROR(DM212/F212,0)</f>
        <v>0</v>
      </c>
      <c r="DV212"/>
      <c r="DW212"/>
      <c r="DX212"/>
      <c r="DY212"/>
      <c r="DZ212"/>
      <c r="EA212" s="4"/>
      <c r="EB212" s="4"/>
      <c r="EC212" s="4"/>
      <c r="ED212" s="6"/>
      <c r="EE212" s="4"/>
      <c r="EF212" s="4"/>
      <c r="EG212" s="4"/>
      <c r="EH212" s="4"/>
      <c r="EI212" s="4"/>
      <c r="EJ212" s="4"/>
      <c r="EK212" s="4"/>
      <c r="EL212" s="6"/>
      <c r="EM212" s="6"/>
      <c r="EN212" s="6"/>
      <c r="EO212" s="9"/>
      <c r="EP212"/>
      <c r="EQ212"/>
      <c r="ER212"/>
      <c r="ES212"/>
      <c r="ET212"/>
      <c r="EU212"/>
      <c r="EV212" s="4"/>
      <c r="EW212" s="4"/>
      <c r="EX212" s="4"/>
      <c r="EY212" s="6"/>
      <c r="EZ212" s="4"/>
      <c r="FA212" s="4"/>
      <c r="FB212" s="4"/>
      <c r="FC212" s="4"/>
      <c r="FD212" s="4"/>
      <c r="FE212" s="4"/>
      <c r="FF212" s="4"/>
      <c r="FG212" s="6"/>
      <c r="FH212" s="6"/>
      <c r="FI212" s="6"/>
      <c r="FJ212" s="9"/>
      <c r="FK212"/>
      <c r="FL212"/>
      <c r="FM212"/>
      <c r="FN212"/>
      <c r="FO212"/>
      <c r="FP212"/>
      <c r="FQ212" s="4"/>
      <c r="FR212" s="4"/>
      <c r="FS212" s="4"/>
      <c r="FT212" s="6"/>
      <c r="FU212" s="4"/>
      <c r="FV212" s="4"/>
      <c r="FW212" s="4"/>
      <c r="FX212" s="4"/>
      <c r="FY212" s="4"/>
      <c r="FZ212" s="4"/>
      <c r="GA212" s="4"/>
      <c r="GB212" s="6"/>
      <c r="GC212" s="6"/>
      <c r="GD212" s="6"/>
      <c r="GE212" s="9"/>
      <c r="GF212"/>
      <c r="GG212"/>
      <c r="GH212"/>
      <c r="GI212"/>
      <c r="GJ212"/>
      <c r="GK212"/>
      <c r="GL212" s="4"/>
      <c r="GM212" s="4"/>
      <c r="GN212" s="4"/>
      <c r="GO212" s="6"/>
      <c r="GP212" s="4"/>
      <c r="GQ212" s="4"/>
      <c r="GR212" s="4"/>
      <c r="GS212" s="4"/>
      <c r="GT212" s="4"/>
      <c r="GU212" s="4"/>
      <c r="GV212" s="4"/>
      <c r="GW212" s="6"/>
      <c r="GX212" s="6"/>
      <c r="GY212" s="6"/>
      <c r="GZ212" s="9"/>
      <c r="HA212"/>
      <c r="HB212"/>
      <c r="HC212"/>
      <c r="HD212"/>
      <c r="HE212"/>
      <c r="HF212"/>
      <c r="HG212" s="4"/>
      <c r="HH212" s="4"/>
      <c r="HI212" s="4"/>
      <c r="HJ212" s="6"/>
      <c r="HK212" s="4"/>
      <c r="HL212" s="4"/>
      <c r="HM212" s="4"/>
      <c r="HN212" s="4"/>
      <c r="HO212" s="4"/>
      <c r="HP212" s="4"/>
      <c r="HQ212" s="4"/>
      <c r="HR212" s="6"/>
      <c r="HS212" s="6"/>
      <c r="HT212" s="6"/>
      <c r="HU212" s="9"/>
      <c r="HV212"/>
      <c r="HW212"/>
      <c r="HX212"/>
      <c r="HY212"/>
      <c r="HZ212"/>
      <c r="IA212"/>
      <c r="IB212" s="4"/>
      <c r="IC212" s="4"/>
      <c r="ID212" s="4"/>
      <c r="IE212" s="6"/>
      <c r="IF212" s="4"/>
      <c r="IG212" s="4"/>
      <c r="IH212" s="4"/>
      <c r="II212" s="4"/>
      <c r="IJ212" s="4"/>
      <c r="IK212" s="4"/>
      <c r="IL212" s="4"/>
      <c r="IM212" s="6"/>
      <c r="IN212" s="6"/>
      <c r="IO212" s="6"/>
      <c r="IP212" s="9"/>
      <c r="IQ212"/>
      <c r="IR212"/>
      <c r="IS212"/>
      <c r="IT212"/>
      <c r="IU212"/>
      <c r="IV212"/>
      <c r="IW212" s="4"/>
      <c r="IX212" s="4"/>
      <c r="IY212" s="4"/>
      <c r="IZ212" s="6"/>
      <c r="JA212" s="4"/>
      <c r="JB212" s="4"/>
      <c r="JC212" s="4"/>
      <c r="JD212" s="4"/>
      <c r="JE212" s="4"/>
      <c r="JF212" s="4"/>
      <c r="JG212" s="4"/>
      <c r="JH212" s="6"/>
      <c r="JI212" s="6"/>
      <c r="JJ212" s="6"/>
      <c r="JK212" s="9"/>
      <c r="JL212"/>
    </row>
    <row r="213">
      <c r="A213" s="8">
        <v>25519</v>
      </c>
      <c r="B213" s="8">
        <v>25520</v>
      </c>
      <c r="C213" s="9">
        <f>B213-A213</f>
        <v>1</v>
      </c>
      <c r="D213" s="8">
        <v>25519</v>
      </c>
      <c r="E213" t="inlineStr">
        <is>
          <t xml:space="preserve">positive</t>
        </is>
      </c>
      <c r="F213" s="4">
        <v>2.0308814875730903</v>
      </c>
      <c r="G213" s="6">
        <v>-0.01675521346153666</v>
      </c>
      <c r="H213" s="7">
        <f>SUM(CE213,CZ213,DU213,EP213,FK213,GF213,HA213,HV213,IQ213,JL213)</f>
        <v>-0.016755213461536658</v>
      </c>
      <c r="I213" s="7">
        <f>G213-H213</f>
        <v>-3.469446951953614e-18</v>
      </c>
      <c r="J213" s="5">
        <f>F213*(1+H213)</f>
        <v>1.99685363473372</v>
      </c>
      <c r="K213" s="4">
        <v>1.99685363473372</v>
      </c>
      <c r="L213" s="5">
        <f>K213-J213</f>
        <v>0</v>
      </c>
      <c r="M213" s="4">
        <v>1.961</v>
      </c>
      <c r="N213" s="4">
        <v>1.932</v>
      </c>
      <c r="O213" s="5">
        <f>M213/$M$3</f>
        <v>1.001532175689479</v>
      </c>
      <c r="P213" s="5">
        <f>N213/$M$3</f>
        <v>0.9867211440245148</v>
      </c>
      <c r="Q213" s="7">
        <f>IFERROR(N213/M213-1,0)</f>
        <v>-0.014788373278939337</v>
      </c>
      <c r="R213" s="5">
        <f>SUM(IF(BM213="lease",BU213,0),IF(CH213="lease",CP213,0),IF(DC213="lease",DK213,0),IF(DX213="lease",EF213,0),IF(ES213="lease",FA213,0),IF(FN213="lease",FV213,0),IF(GI213="lease",GQ213,0),IF(HD213="lease",HL213,0),IF(HY213="lease",IG213,0),IF(IT213="lease",JB213,0))</f>
        <v>2.0308814875730894</v>
      </c>
      <c r="S213" s="5">
        <f>SUM(IF(BM213="lease",BV213,0),IF(CH213="lease",CQ213,0),IF(DC213="lease",DL213,0),IF(DX213="lease",EG213,0),IF(ES213="lease",FB213,0),IF(FN213="lease",FW213,0),IF(GI213="lease",GR213,0),IF(HD213="lease",HM213,0),IF(HY213="lease",IH213,0),IF(IT213="lease",JC213,0))</f>
        <v>1.9968536347337191</v>
      </c>
      <c r="T213" s="5">
        <f>SUM(IF(BM213="keep",BU213,0),IF(CH213="keep",CP213,0),IF(DC213="keep",DK213,0),IF(DX213="keep",EF213,0),IF(ES213="keep",FA213,0),IF(FN213="keep",FV213,0),IF(GI213="keep",GQ213,0),IF(HD213="keep",HL213,0),IF(HY213="keep",IG213,0),IF(IT213="keep",JB213,0))</f>
        <v>0</v>
      </c>
      <c r="U213" s="5">
        <f>SUM(IF(BM213="keep",BV213,0),IF(CH213="keep",CQ213,0),IF(DC213="keep",DL213,0),IF(DX213="keep",EG213,0),IF(ES213="keep",FB213,0),IF(FN213="keep",FW213,0),IF(GI213="keep",GR213,0),IF(HD213="keep",HM213,0),IF(HY213="keep",IH213,0),IF(IT213="keep",JC213,0))</f>
        <v>0</v>
      </c>
      <c r="V213" s="5">
        <f>R213/O213</f>
        <v>2.0277745806568634</v>
      </c>
      <c r="W213" s="5">
        <f>S213/P213</f>
        <v>2.023726406215643</v>
      </c>
      <c r="X213" s="5">
        <f>T213/O213</f>
        <v>0</v>
      </c>
      <c r="Y213" s="5">
        <f>U213/P213</f>
        <v>0</v>
      </c>
      <c r="Z213" s="5">
        <f>V213+X213</f>
        <v>2.0277745806568634</v>
      </c>
      <c r="AA213" s="7">
        <f>IFERROR(W213/V213-1,0)</f>
        <v>-0.0019963631460008235</v>
      </c>
      <c r="AB213" s="7">
        <f>IFERROR((W213-V213)/Z213,0)</f>
        <v>-0.001996363146000821</v>
      </c>
      <c r="AC213" s="7">
        <f>IFERROR(Y213/X213-1,0)</f>
        <v>0</v>
      </c>
      <c r="AD213" s="7">
        <f>IFERROR((Y213-X213)/Z213,0)</f>
        <v>0</v>
      </c>
      <c r="AE213" s="7">
        <f>AB213+AD213</f>
        <v>-0.001996363146000821</v>
      </c>
      <c r="AF213" s="7">
        <f>(1+Q213)*(1+AE213)-1</f>
        <v>-0.016755213461536744</v>
      </c>
      <c r="AG213" s="7">
        <f>G213-AF213</f>
        <v>8.326672684688674e-17</v>
      </c>
      <c r="AH213" s="5">
        <f>SUM(IF(BM213="lease",BW213,0),IF(CH213="lease",CR213,0),IF(DC213="lease",DM213,0),IF(DX213="lease",EH213,0),IF(ES213="lease",FC213,0),IF(FN213="lease",FX213,0),IF(GI213="lease",GS213,0),IF(HD213="lease",HN213,0),IF(HY213="lease",II213,0),IF(IT213="lease",JD213,0))</f>
        <v>-0.03402785283937024</v>
      </c>
      <c r="AI213" s="5">
        <f>SUM(IF(BM213="keep",BW213,0),IF(CH213="keep",CR213,0),IF(DC213="keep",DM213,0),IF(DX213="keep",EH213,0),IF(ES213="keep",FC213,0),IF(FN213="keep",FX213,0),IF(GI213="keep",GS213,0),IF(HD213="keep",HN213,0),IF(HY213="keep",II213,0),IF(IT213="keep",JD213,0))</f>
        <v>0</v>
      </c>
      <c r="AJ213" s="5">
        <f>SUM(IF(BM213="lease",BX213,0),IF(CH213="lease",CS213,0),IF(DC213="lease",DN213,0),IF(DX213="lease",EI213,0),IF(ES213="lease",FD213,0),IF(FN213="lease",FY213,0),IF(GI213="lease",GT213,0),IF(HD213="lease",HO213,0),IF(HY213="lease",IJ213,0),IF(IT213="lease",JE213,0))</f>
        <v>0</v>
      </c>
      <c r="AK213" s="5">
        <f>SUM(IF(BM213="keep",BX213,0),IF(CH213="keep",CS213,0),IF(DC213="keep",DN213,0),IF(DX213="keep",EI213,0),IF(ES213="keep",FD213,0),IF(FN213="keep",FY213,0),IF(GI213="keep",GT213,0),IF(HD213="keep",HO213,0),IF(HY213="keep",IJ213,0),IF(IT213="keep",JE213,0))</f>
        <v>0</v>
      </c>
      <c r="AL213" s="5">
        <f>R213-S212</f>
        <v>0</v>
      </c>
      <c r="AM213" s="5">
        <f>T213-U212</f>
        <v>0</v>
      </c>
      <c r="AN213" s="5">
        <f>AN212</f>
        <v>1</v>
      </c>
      <c r="AO213" s="5">
        <f>AO212+AH213</f>
        <v>0.9968536347337198</v>
      </c>
      <c r="AP213" s="5">
        <f>AP212+AL213</f>
        <v>2.220446049250313e-16</v>
      </c>
      <c r="AQ213" s="5">
        <f>AN213+AO213+AP213</f>
        <v>1.99685363473372</v>
      </c>
      <c r="AR213" s="5">
        <f>S213-AQ213</f>
        <v>-8.881784197001252e-16</v>
      </c>
      <c r="AS213" s="5">
        <f>AS212</f>
        <v>0</v>
      </c>
      <c r="AT213" s="5">
        <f>AT212+AI213</f>
        <v>0</v>
      </c>
      <c r="AU213" s="5">
        <f>AU212+AM213</f>
        <v>0</v>
      </c>
      <c r="AV213" s="5">
        <f>AS213+AT213+AU213</f>
        <v>0</v>
      </c>
      <c r="AW213" s="5">
        <f>U213-AV213</f>
        <v>0</v>
      </c>
      <c r="AX213" s="4">
        <v>2.0308814875730894</v>
      </c>
      <c r="AY213" s="4">
        <v>1.9968536347337191</v>
      </c>
      <c r="AZ213" s="5">
        <f>S213-AY213</f>
        <v>0</v>
      </c>
      <c r="BA213" s="4">
        <v>0</v>
      </c>
      <c r="BB213" s="4">
        <v>0</v>
      </c>
      <c r="BC213" s="5">
        <f>U213-BB213</f>
        <v>0</v>
      </c>
      <c r="BD213" s="7">
        <f>SUM(IF(BL213="direct",CE213,0),IF(CG213="direct",CZ213,0),IF(DB213="direct",DU213,0),IF(DW213="direct",EP213,0),IF(ER213="direct",FK213,0),IF(FM213="direct",GF213,0),IF(GH213="direct",HA213,0),IF(HC213="direct",HV213,0),IF(HX213="direct",IQ213,0),IF(IS213="direct",JL213,0))</f>
        <v>-0.00733249232672159</v>
      </c>
      <c r="BE213" s="7">
        <f>SUM(IF(BL213="treasury",CE213,0),IF(CG213="treasury",CZ213,0),IF(DB213="treasury",DU213,0),IF(DW213="treasury",EP213,0),IF(ER213="treasury",FK213,0),IF(FM213="treasury",GF213,0),IF(GH213="treasury",HA213,0),IF(HC213="treasury",HV213,0),IF(HX213="treasury",IQ213,0),IF(IS213="treasury",JL213,0))</f>
        <v>0.00009908377227103205</v>
      </c>
      <c r="BF213" s="7">
        <f>SUM(IF(BL213="future",CE213,0),IF(CG213="future",CZ213,0),IF(DB213="future",DU213,0),IF(DW213="future",EP213,0),IF(ER213="future",FK213,0),IF(FM213="future",GF213,0),IF(GH213="future",HA213,0),IF(HC213="future",HV213,0),IF(HX213="future",IQ213,0),IF(IS213="future",JL213,0))</f>
        <v>-0.009521804907086102</v>
      </c>
      <c r="BG213" s="7">
        <f>SUM(IF(BL213="cash",CE213,0),IF(CG213="cash",CZ213,0),IF(DB213="cash",DU213,0),IF(DW213="cash",EP213,0),IF(ER213="cash",FK213,0),IF(FM213="cash",GF213,0),IF(GH213="cash",HA213,0),IF(HC213="cash",HV213,0),IF(HX213="cash",IQ213,0),IF(IS213="cash",JL213,0))</f>
        <v>0</v>
      </c>
      <c r="BH213" s="7">
        <f>SUM(BD213:BG213)</f>
        <v>-0.01675521346153666</v>
      </c>
      <c r="BI213" s="7">
        <f>G213-BH213</f>
        <v>0</v>
      </c>
      <c r="BJ213" s="9">
        <f>COUNTA(BK213,CF213,DA213,DV213,EQ213,FL213,GG213,HB213,HW213,IR213)</f>
        <v>6</v>
      </c>
      <c r="BK213" t="inlineStr">
        <is>
          <t xml:space="preserve">Direct commodity holding</t>
        </is>
      </c>
      <c r="BL213" t="inlineStr">
        <is>
          <t xml:space="preserve">direct</t>
        </is>
      </c>
      <c r="BM213" t="inlineStr">
        <is>
          <t xml:space="preserve">lease</t>
        </is>
      </c>
      <c r="BN213" t="inlineStr">
        <is>
          <t xml:space="preserve">long</t>
        </is>
      </c>
      <c r="BO213"/>
      <c r="BP213" s="4">
        <v>1.961</v>
      </c>
      <c r="BQ213" s="4">
        <v>1.932</v>
      </c>
      <c r="BR213" s="4">
        <v>0.5132596232401918</v>
      </c>
      <c r="BS213" s="6">
        <v>0.49559864882947424</v>
      </c>
      <c r="BT213" s="4">
        <v>1.0065021211740162</v>
      </c>
      <c r="BU213" s="4">
        <v>1.0065021211740162</v>
      </c>
      <c r="BV213" s="4">
        <v>0.9916175921000505</v>
      </c>
      <c r="BW213" s="4">
        <v>-0.014891422924110612</v>
      </c>
      <c r="BX213" s="4">
        <v>0.000006893850144965713</v>
      </c>
      <c r="BY213" s="4">
        <v>1.961</v>
      </c>
      <c r="BZ213" s="4">
        <v>1.932</v>
      </c>
      <c r="CA213" s="6"/>
      <c r="CB213" s="6"/>
      <c r="CC213" s="6"/>
      <c r="CD213" s="9"/>
      <c r="CE213" s="7">
        <f>IFERROR(BW213/F213,0)</f>
        <v>-0.00733249232672159</v>
      </c>
      <c r="CF213" t="inlineStr">
        <is>
          <t xml:space="preserve">Treasury collateral</t>
        </is>
      </c>
      <c r="CG213" t="inlineStr">
        <is>
          <t xml:space="preserve">treasury</t>
        </is>
      </c>
      <c r="CH213" t="inlineStr">
        <is>
          <t xml:space="preserve">lease</t>
        </is>
      </c>
      <c r="CI213" t="inlineStr">
        <is>
          <t xml:space="preserve">long</t>
        </is>
      </c>
      <c r="CJ213"/>
      <c r="CK213" s="4">
        <v>105.76309382340752</v>
      </c>
      <c r="CL213" s="4">
        <v>105.78386975170105</v>
      </c>
      <c r="CM213" s="4">
        <v>0.009685603260712843</v>
      </c>
      <c r="CN213" s="6">
        <v>0.5044013511705258</v>
      </c>
      <c r="CO213" s="4">
        <v>1.0243793663990741</v>
      </c>
      <c r="CP213" s="4">
        <v>1.0243793663990741</v>
      </c>
      <c r="CQ213" s="4">
        <v>1.0245805937978982</v>
      </c>
      <c r="CR213" s="4">
        <v>0.0002012273988241469</v>
      </c>
      <c r="CS213" s="4">
        <v>-3.599551212651875e-17</v>
      </c>
      <c r="CT213" s="4">
        <v>1.961</v>
      </c>
      <c r="CU213" s="4">
        <v>1.932</v>
      </c>
      <c r="CV213" s="6"/>
      <c r="CW213" s="6"/>
      <c r="CX213" s="6"/>
      <c r="CY213" s="9">
        <v>47</v>
      </c>
      <c r="CZ213" s="7">
        <f>IFERROR(CR213/F213,0)</f>
        <v>0.00009908377227103205</v>
      </c>
      <c r="DA213" t="inlineStr">
        <is>
          <t xml:space="preserve">SI69Z</t>
        </is>
      </c>
      <c r="DB213" t="inlineStr">
        <is>
          <t xml:space="preserve">future</t>
        </is>
      </c>
      <c r="DC213" t="inlineStr">
        <is>
          <t xml:space="preserve">lease</t>
        </is>
      </c>
      <c r="DD213" t="inlineStr">
        <is>
          <t xml:space="preserve">long</t>
        </is>
      </c>
      <c r="DE213" t="inlineStr">
        <is>
          <t xml:space="preserve">regular</t>
        </is>
      </c>
      <c r="DF213" s="4">
        <v>1.96</v>
      </c>
      <c r="DG213" s="4">
        <v>1.923</v>
      </c>
      <c r="DH213" s="4">
        <v>0.5223590168899279</v>
      </c>
      <c r="DI213" s="6">
        <v>0.50412772944606</v>
      </c>
      <c r="DJ213" s="4">
        <v>1.0238236731042587</v>
      </c>
      <c r="DK213" s="4">
        <v>0</v>
      </c>
      <c r="DL213" s="4">
        <v>0</v>
      </c>
      <c r="DM213" s="4">
        <v>-0.01932728362492728</v>
      </c>
      <c r="DN213" s="4">
        <v>0.01932728362492728</v>
      </c>
      <c r="DO213" s="4">
        <v>1.961</v>
      </c>
      <c r="DP213" s="4">
        <v>1.932</v>
      </c>
      <c r="DQ213" s="6">
        <v>-0.0005099439061704292</v>
      </c>
      <c r="DR213" s="6">
        <v>0.0717</v>
      </c>
      <c r="DS213" s="6">
        <v>0.07566020267557887</v>
      </c>
      <c r="DT213" s="9">
        <v>47</v>
      </c>
      <c r="DU213" s="7">
        <f>IFERROR(DM213/F213,0)</f>
        <v>-0.009516696933420495</v>
      </c>
      <c r="DV213" t="inlineStr">
        <is>
          <t xml:space="preserve">SI70F</t>
        </is>
      </c>
      <c r="DW213" t="inlineStr">
        <is>
          <t xml:space="preserve">future</t>
        </is>
      </c>
      <c r="DX213" t="inlineStr">
        <is>
          <t xml:space="preserve">lease</t>
        </is>
      </c>
      <c r="DY213" t="inlineStr">
        <is>
          <t xml:space="preserve">long</t>
        </is>
      </c>
      <c r="DZ213" t="inlineStr">
        <is>
          <t xml:space="preserve">regular</t>
        </is>
      </c>
      <c r="EA213" s="4">
        <v>1.982</v>
      </c>
      <c r="EB213" s="4">
        <v>1.945</v>
      </c>
      <c r="EC213" s="4">
        <v>0.00028036997720248374</v>
      </c>
      <c r="ED213" s="6">
        <v>0.00027362172446575306</v>
      </c>
      <c r="EE213" s="4">
        <v>0.0005556932948153228</v>
      </c>
      <c r="EF213" s="4">
        <v>0</v>
      </c>
      <c r="EG213" s="4">
        <v>0</v>
      </c>
      <c r="EH213" s="4">
        <v>-0.000010373689156491904</v>
      </c>
      <c r="EI213" s="4">
        <v>0.000010373689156491904</v>
      </c>
      <c r="EJ213" s="4">
        <v>1.961</v>
      </c>
      <c r="EK213" s="4">
        <v>1.932</v>
      </c>
      <c r="EL213" s="6">
        <v>0.010708822029576792</v>
      </c>
      <c r="EM213" s="6">
        <v>0.0717</v>
      </c>
      <c r="EN213" s="6">
        <v>0.020937402067590524</v>
      </c>
      <c r="EO213" s="9">
        <v>77</v>
      </c>
      <c r="EP213" s="7">
        <f>IFERROR(EH213/F213,0)</f>
        <v>-0.000005107973665606896</v>
      </c>
      <c r="EQ213" t="inlineStr">
        <is>
          <t xml:space="preserve">Lease cash / margin / financing</t>
        </is>
      </c>
      <c r="ER213" t="inlineStr">
        <is>
          <t xml:space="preserve">cash</t>
        </is>
      </c>
      <c r="ES213" t="inlineStr">
        <is>
          <t xml:space="preserve">lease</t>
        </is>
      </c>
      <c r="ET213" t="inlineStr">
        <is>
          <t xml:space="preserve">cash</t>
        </is>
      </c>
      <c r="EU213"/>
      <c r="EV213" s="4">
        <v>1</v>
      </c>
      <c r="EW213" s="4">
        <v>1</v>
      </c>
      <c r="EX213" s="4">
        <v>-8.881784197001252e-16</v>
      </c>
      <c r="EY213" s="6"/>
      <c r="EZ213" s="4">
        <v>-8.881784197001252e-16</v>
      </c>
      <c r="FA213" s="4">
        <v>-8.881784197001252e-16</v>
      </c>
      <c r="FB213" s="4">
        <v>-0.019344551164229593</v>
      </c>
      <c r="FC213" s="4">
        <v>0</v>
      </c>
      <c r="FD213" s="4">
        <v>-0.019344551164228705</v>
      </c>
      <c r="FE213" s="4">
        <v>1.961</v>
      </c>
      <c r="FF213" s="4">
        <v>1.932</v>
      </c>
      <c r="FG213" s="6"/>
      <c r="FH213" s="6"/>
      <c r="FI213" s="6"/>
      <c r="FJ213" s="9"/>
      <c r="FK213" s="7">
        <f>IFERROR(FC213/F213,0)</f>
        <v>0</v>
      </c>
      <c r="FL213" t="inlineStr">
        <is>
          <t xml:space="preserve">Keep cash / margin / financing</t>
        </is>
      </c>
      <c r="FM213" t="inlineStr">
        <is>
          <t xml:space="preserve">cash</t>
        </is>
      </c>
      <c r="FN213" t="inlineStr">
        <is>
          <t xml:space="preserve">keep</t>
        </is>
      </c>
      <c r="FO213" t="inlineStr">
        <is>
          <t xml:space="preserve">cash</t>
        </is>
      </c>
      <c r="FP213"/>
      <c r="FQ213" s="4">
        <v>1</v>
      </c>
      <c r="FR213" s="4">
        <v>1</v>
      </c>
      <c r="FS213" s="4">
        <v>0</v>
      </c>
      <c r="FT213" s="6"/>
      <c r="FU213" s="4">
        <v>0</v>
      </c>
      <c r="FV213" s="4">
        <v>0</v>
      </c>
      <c r="FW213" s="4">
        <v>0</v>
      </c>
      <c r="FX213" s="4">
        <v>0</v>
      </c>
      <c r="FY213" s="4">
        <v>0</v>
      </c>
      <c r="FZ213" s="4">
        <v>1.961</v>
      </c>
      <c r="GA213" s="4">
        <v>1.932</v>
      </c>
      <c r="GB213" s="6"/>
      <c r="GC213" s="6"/>
      <c r="GD213" s="6"/>
      <c r="GE213" s="9"/>
      <c r="GF213" s="7">
        <f>IFERROR(FX213/F213,0)</f>
        <v>0</v>
      </c>
      <c r="GG213"/>
      <c r="GH213"/>
      <c r="GI213"/>
      <c r="GJ213"/>
      <c r="GK213"/>
      <c r="GL213" s="4"/>
      <c r="GM213" s="4"/>
      <c r="GN213" s="4"/>
      <c r="GO213" s="6"/>
      <c r="GP213" s="4"/>
      <c r="GQ213" s="4"/>
      <c r="GR213" s="4"/>
      <c r="GS213" s="4"/>
      <c r="GT213" s="4"/>
      <c r="GU213" s="4"/>
      <c r="GV213" s="4"/>
      <c r="GW213" s="6"/>
      <c r="GX213" s="6"/>
      <c r="GY213" s="6"/>
      <c r="GZ213" s="9"/>
      <c r="HA213"/>
      <c r="HB213"/>
      <c r="HC213"/>
      <c r="HD213"/>
      <c r="HE213"/>
      <c r="HF213"/>
      <c r="HG213" s="4"/>
      <c r="HH213" s="4"/>
      <c r="HI213" s="4"/>
      <c r="HJ213" s="6"/>
      <c r="HK213" s="4"/>
      <c r="HL213" s="4"/>
      <c r="HM213" s="4"/>
      <c r="HN213" s="4"/>
      <c r="HO213" s="4"/>
      <c r="HP213" s="4"/>
      <c r="HQ213" s="4"/>
      <c r="HR213" s="6"/>
      <c r="HS213" s="6"/>
      <c r="HT213" s="6"/>
      <c r="HU213" s="9"/>
      <c r="HV213"/>
      <c r="HW213"/>
      <c r="HX213"/>
      <c r="HY213"/>
      <c r="HZ213"/>
      <c r="IA213"/>
      <c r="IB213" s="4"/>
      <c r="IC213" s="4"/>
      <c r="ID213" s="4"/>
      <c r="IE213" s="6"/>
      <c r="IF213" s="4"/>
      <c r="IG213" s="4"/>
      <c r="IH213" s="4"/>
      <c r="II213" s="4"/>
      <c r="IJ213" s="4"/>
      <c r="IK213" s="4"/>
      <c r="IL213" s="4"/>
      <c r="IM213" s="6"/>
      <c r="IN213" s="6"/>
      <c r="IO213" s="6"/>
      <c r="IP213" s="9"/>
      <c r="IQ213"/>
      <c r="IR213"/>
      <c r="IS213"/>
      <c r="IT213"/>
      <c r="IU213"/>
      <c r="IV213"/>
      <c r="IW213" s="4"/>
      <c r="IX213" s="4"/>
      <c r="IY213" s="4"/>
      <c r="IZ213" s="6"/>
      <c r="JA213" s="4"/>
      <c r="JB213" s="4"/>
      <c r="JC213" s="4"/>
      <c r="JD213" s="4"/>
      <c r="JE213" s="4"/>
      <c r="JF213" s="4"/>
      <c r="JG213" s="4"/>
      <c r="JH213" s="6"/>
      <c r="JI213" s="6"/>
      <c r="JJ213" s="6"/>
      <c r="JK213" s="9"/>
      <c r="JL213"/>
    </row>
    <row r="214">
      <c r="A214" s="8">
        <v>25520</v>
      </c>
      <c r="B214" s="8">
        <v>25521</v>
      </c>
      <c r="C214" s="9">
        <f>B214-A214</f>
        <v>1</v>
      </c>
      <c r="D214" s="8">
        <v>25520</v>
      </c>
      <c r="E214" t="inlineStr">
        <is>
          <t xml:space="preserve">positive</t>
        </is>
      </c>
      <c r="F214" s="4">
        <v>1.99685363473372</v>
      </c>
      <c r="G214" s="6">
        <v>0.0021251534656584695</v>
      </c>
      <c r="H214" s="7">
        <f>SUM(CE214,CZ214,DU214,EP214,FK214,GF214,HA214,HV214,IQ214,JL214)</f>
        <v>0.00212515346565847</v>
      </c>
      <c r="I214" s="7">
        <f>G214-H214</f>
        <v>-4.336808689942018e-19</v>
      </c>
      <c r="J214" s="5">
        <f>F214*(1+H214)</f>
        <v>2.001097255155987</v>
      </c>
      <c r="K214" s="4">
        <v>2.001097255155987</v>
      </c>
      <c r="L214" s="5">
        <f>K214-J214</f>
        <v>0</v>
      </c>
      <c r="M214" s="4">
        <v>1.932</v>
      </c>
      <c r="N214" s="4">
        <v>1.922</v>
      </c>
      <c r="O214" s="5">
        <f>M214/$M$3</f>
        <v>0.9867211440245148</v>
      </c>
      <c r="P214" s="5">
        <f>N214/$M$3</f>
        <v>0.9816138917262512</v>
      </c>
      <c r="Q214" s="7">
        <f>IFERROR(N214/M214-1,0)</f>
        <v>-0.005175983436852993</v>
      </c>
      <c r="R214" s="5">
        <f>SUM(IF(BM214="lease",BU214,0),IF(CH214="lease",CP214,0),IF(DC214="lease",DK214,0),IF(DX214="lease",EF214,0),IF(ES214="lease",FA214,0),IF(FN214="lease",FV214,0),IF(GI214="lease",GQ214,0),IF(HD214="lease",HL214,0),IF(HY214="lease",IG214,0),IF(IT214="lease",JB214,0))</f>
        <v>1.9968536347337191</v>
      </c>
      <c r="S214" s="5">
        <f>SUM(IF(BM214="lease",BV214,0),IF(CH214="lease",CQ214,0),IF(DC214="lease",DL214,0),IF(DX214="lease",EG214,0),IF(ES214="lease",FB214,0),IF(FN214="lease",FW214,0),IF(GI214="lease",GR214,0),IF(HD214="lease",HM214,0),IF(HY214="lease",IH214,0),IF(IT214="lease",JC214,0))</f>
        <v>2.0010972551559862</v>
      </c>
      <c r="T214" s="5">
        <f>SUM(IF(BM214="keep",BU214,0),IF(CH214="keep",CP214,0),IF(DC214="keep",DK214,0),IF(DX214="keep",EF214,0),IF(ES214="keep",FA214,0),IF(FN214="keep",FV214,0),IF(GI214="keep",GQ214,0),IF(HD214="keep",HL214,0),IF(HY214="keep",IG214,0),IF(IT214="keep",JB214,0))</f>
        <v>0</v>
      </c>
      <c r="U214" s="5">
        <f>SUM(IF(BM214="keep",BV214,0),IF(CH214="keep",CQ214,0),IF(DC214="keep",DL214,0),IF(DX214="keep",EG214,0),IF(ES214="keep",FB214,0),IF(FN214="keep",FW214,0),IF(GI214="keep",GR214,0),IF(HD214="keep",HM214,0),IF(HY214="keep",IH214,0),IF(IT214="keep",JC214,0))</f>
        <v>0</v>
      </c>
      <c r="V214" s="5">
        <f>R214/O214</f>
        <v>2.023726406215643</v>
      </c>
      <c r="W214" s="5">
        <f>S214/P214</f>
        <v>2.0385787854294595</v>
      </c>
      <c r="X214" s="5">
        <f>T214/O214</f>
        <v>0</v>
      </c>
      <c r="Y214" s="5">
        <f>U214/P214</f>
        <v>0</v>
      </c>
      <c r="Z214" s="5">
        <f>V214+X214</f>
        <v>2.023726406215643</v>
      </c>
      <c r="AA214" s="7">
        <f>IFERROR(W214/V214-1,0)</f>
        <v>0.007339124087228033</v>
      </c>
      <c r="AB214" s="7">
        <f>IFERROR((W214-V214)/Z214,0)</f>
        <v>0.007339124087228038</v>
      </c>
      <c r="AC214" s="7">
        <f>IFERROR(Y214/X214-1,0)</f>
        <v>0</v>
      </c>
      <c r="AD214" s="7">
        <f>IFERROR((Y214-X214)/Z214,0)</f>
        <v>0</v>
      </c>
      <c r="AE214" s="7">
        <f>AB214+AD214</f>
        <v>0.007339124087228038</v>
      </c>
      <c r="AF214" s="7">
        <f>(1+Q214)*(1+AE214)-1</f>
        <v>0.002125153465658558</v>
      </c>
      <c r="AG214" s="7">
        <f>G214-AF214</f>
        <v>-8.847089727481716e-17</v>
      </c>
      <c r="AH214" s="5">
        <f>SUM(IF(BM214="lease",BW214,0),IF(CH214="lease",CR214,0),IF(DC214="lease",DM214,0),IF(DX214="lease",EH214,0),IF(ES214="lease",FC214,0),IF(FN214="lease",FX214,0),IF(GI214="lease",GS214,0),IF(HD214="lease",HN214,0),IF(HY214="lease",II214,0),IF(IT214="lease",JD214,0))</f>
        <v>0.004243620422267077</v>
      </c>
      <c r="AI214" s="5">
        <f>SUM(IF(BM214="keep",BW214,0),IF(CH214="keep",CR214,0),IF(DC214="keep",DM214,0),IF(DX214="keep",EH214,0),IF(ES214="keep",FC214,0),IF(FN214="keep",FX214,0),IF(GI214="keep",GS214,0),IF(HD214="keep",HN214,0),IF(HY214="keep",II214,0),IF(IT214="keep",JD214,0))</f>
        <v>0</v>
      </c>
      <c r="AJ214" s="5">
        <f>SUM(IF(BM214="lease",BX214,0),IF(CH214="lease",CS214,0),IF(DC214="lease",DN214,0),IF(DX214="lease",EI214,0),IF(ES214="lease",FD214,0),IF(FN214="lease",FY214,0),IF(GI214="lease",GT214,0),IF(HD214="lease",HO214,0),IF(HY214="lease",IJ214,0),IF(IT214="lease",JE214,0))</f>
        <v>0</v>
      </c>
      <c r="AK214" s="5">
        <f>SUM(IF(BM214="keep",BX214,0),IF(CH214="keep",CS214,0),IF(DC214="keep",DN214,0),IF(DX214="keep",EI214,0),IF(ES214="keep",FD214,0),IF(FN214="keep",FY214,0),IF(GI214="keep",GT214,0),IF(HD214="keep",HO214,0),IF(HY214="keep",IJ214,0),IF(IT214="keep",JE214,0))</f>
        <v>0</v>
      </c>
      <c r="AL214" s="5">
        <f>R214-S213</f>
        <v>0</v>
      </c>
      <c r="AM214" s="5">
        <f>T214-U213</f>
        <v>0</v>
      </c>
      <c r="AN214" s="5">
        <f>AN213</f>
        <v>1</v>
      </c>
      <c r="AO214" s="5">
        <f>AO213+AH214</f>
        <v>1.001097255155987</v>
      </c>
      <c r="AP214" s="5">
        <f>AP213+AL214</f>
        <v>2.220446049250313e-16</v>
      </c>
      <c r="AQ214" s="5">
        <f>AN214+AO214+AP214</f>
        <v>2.0010972551559867</v>
      </c>
      <c r="AR214" s="5">
        <f>S214-AQ214</f>
        <v>-4.440892098500626e-16</v>
      </c>
      <c r="AS214" s="5">
        <f>AS213</f>
        <v>0</v>
      </c>
      <c r="AT214" s="5">
        <f>AT213+AI214</f>
        <v>0</v>
      </c>
      <c r="AU214" s="5">
        <f>AU213+AM214</f>
        <v>0</v>
      </c>
      <c r="AV214" s="5">
        <f>AS214+AT214+AU214</f>
        <v>0</v>
      </c>
      <c r="AW214" s="5">
        <f>U214-AV214</f>
        <v>0</v>
      </c>
      <c r="AX214" s="4">
        <v>1.9968536347337191</v>
      </c>
      <c r="AY214" s="4">
        <v>2.0010972551559862</v>
      </c>
      <c r="AZ214" s="5">
        <f>S214-AY214</f>
        <v>0</v>
      </c>
      <c r="BA214" s="4">
        <v>0</v>
      </c>
      <c r="BB214" s="4">
        <v>0</v>
      </c>
      <c r="BC214" s="5">
        <f>U214-BB214</f>
        <v>0</v>
      </c>
      <c r="BD214" s="7">
        <f>SUM(IF(BL214="direct",CE214,0),IF(CG214="direct",CZ214,0),IF(DB214="direct",DU214,0),IF(DW214="direct",EP214,0),IF(ER214="direct",FK214,0),IF(FM214="direct",GF214,0),IF(GH214="direct",HA214,0),IF(HC214="direct",HV214,0),IF(HX214="direct",IQ214,0),IF(IS214="direct",JL214,0))</f>
        <v>-0.0014179099507592914</v>
      </c>
      <c r="BE214" s="7">
        <f>SUM(IF(BL214="treasury",CE214,0),IF(CG214="treasury",CZ214,0),IF(DB214="treasury",DU214,0),IF(DW214="treasury",EP214,0),IF(ER214="treasury",FK214,0),IF(FM214="treasury",GF214,0),IF(GH214="treasury",HA214,0),IF(HC214="treasury",HV214,0),IF(HX214="treasury",IQ214,0),IF(IS214="treasury",JL214,0))</f>
        <v>0.00014329416726164198</v>
      </c>
      <c r="BF214" s="7">
        <f>SUM(IF(BL214="future",CE214,0),IF(CG214="future",CZ214,0),IF(DB214="future",DU214,0),IF(DW214="future",EP214,0),IF(ER214="future",FK214,0),IF(FM214="future",GF214,0),IF(GH214="future",HA214,0),IF(HC214="future",HV214,0),IF(HX214="future",IQ214,0),IF(IS214="future",JL214,0))</f>
        <v>0.0033997692491561193</v>
      </c>
      <c r="BG214" s="7">
        <f>SUM(IF(BL214="cash",CE214,0),IF(CG214="cash",CZ214,0),IF(DB214="cash",DU214,0),IF(DW214="cash",EP214,0),IF(ER214="cash",FK214,0),IF(FM214="cash",GF214,0),IF(GH214="cash",HA214,0),IF(HC214="cash",HV214,0),IF(HX214="cash",IQ214,0),IF(IS214="cash",JL214,0))</f>
        <v>0</v>
      </c>
      <c r="BH214" s="7">
        <f>SUM(BD214:BG214)</f>
        <v>0.00212515346565847</v>
      </c>
      <c r="BI214" s="7">
        <f>G214-BH214</f>
        <v>-4.336808689942018e-19</v>
      </c>
      <c r="BJ214" s="9">
        <f>COUNTA(BK214,CF214,DA214,DV214,EQ214,FL214,GG214,HB214,HW214,IR214)</f>
        <v>6</v>
      </c>
      <c r="BK214" t="inlineStr">
        <is>
          <t xml:space="preserve">Direct commodity holding</t>
        </is>
      </c>
      <c r="BL214" t="inlineStr">
        <is>
          <t xml:space="preserve">direct</t>
        </is>
      </c>
      <c r="BM214" t="inlineStr">
        <is>
          <t xml:space="preserve">lease</t>
        </is>
      </c>
      <c r="BN214" t="inlineStr">
        <is>
          <t xml:space="preserve">long</t>
        </is>
      </c>
      <c r="BO214"/>
      <c r="BP214" s="4">
        <v>1.932</v>
      </c>
      <c r="BQ214" s="4">
        <v>1.922</v>
      </c>
      <c r="BR214" s="4">
        <v>0.2827616888331507</v>
      </c>
      <c r="BS214" s="6">
        <v>0.2735781798541762</v>
      </c>
      <c r="BT214" s="4">
        <v>0.5462955828256472</v>
      </c>
      <c r="BU214" s="4">
        <v>0.5462955828256472</v>
      </c>
      <c r="BV214" s="4">
        <v>0.5434679659373157</v>
      </c>
      <c r="BW214" s="4">
        <v>-0.002831358638898801</v>
      </c>
      <c r="BX214" s="4">
        <v>0.000003741750567359814</v>
      </c>
      <c r="BY214" s="4">
        <v>1.932</v>
      </c>
      <c r="BZ214" s="4">
        <v>1.922</v>
      </c>
      <c r="CA214" s="6"/>
      <c r="CB214" s="6"/>
      <c r="CC214" s="6"/>
      <c r="CD214" s="9"/>
      <c r="CE214" s="7">
        <f>IFERROR(BW214/F214,0)</f>
        <v>-0.0014179099507592914</v>
      </c>
      <c r="CF214" t="inlineStr">
        <is>
          <t xml:space="preserve">Treasury collateral</t>
        </is>
      </c>
      <c r="CG214" t="inlineStr">
        <is>
          <t xml:space="preserve">treasury</t>
        </is>
      </c>
      <c r="CH214" t="inlineStr">
        <is>
          <t xml:space="preserve">lease</t>
        </is>
      </c>
      <c r="CI214" t="inlineStr">
        <is>
          <t xml:space="preserve">long</t>
        </is>
      </c>
      <c r="CJ214"/>
      <c r="CK214" s="4">
        <v>105.78386975170105</v>
      </c>
      <c r="CL214" s="4">
        <v>105.80473670683016</v>
      </c>
      <c r="CM214" s="4">
        <v>0.013712469162953338</v>
      </c>
      <c r="CN214" s="6">
        <v>0.7264218201458238</v>
      </c>
      <c r="CO214" s="4">
        <v>1.450558051908073</v>
      </c>
      <c r="CP214" s="4">
        <v>1.450558051908073</v>
      </c>
      <c r="CQ214" s="4">
        <v>1.4508441893868056</v>
      </c>
      <c r="CR214" s="4">
        <v>0.00028613747873255143</v>
      </c>
      <c r="CS214" s="4">
        <v>7.730361489821647e-17</v>
      </c>
      <c r="CT214" s="4">
        <v>1.932</v>
      </c>
      <c r="CU214" s="4">
        <v>1.922</v>
      </c>
      <c r="CV214" s="6"/>
      <c r="CW214" s="6"/>
      <c r="CX214" s="6"/>
      <c r="CY214" s="9">
        <v>46</v>
      </c>
      <c r="CZ214" s="7">
        <f>IFERROR(CR214/F214,0)</f>
        <v>0.00014329416726164198</v>
      </c>
      <c r="DA214" t="inlineStr">
        <is>
          <t xml:space="preserve">SI69Z</t>
        </is>
      </c>
      <c r="DB214" t="inlineStr">
        <is>
          <t xml:space="preserve">future</t>
        </is>
      </c>
      <c r="DC214" t="inlineStr">
        <is>
          <t xml:space="preserve">lease</t>
        </is>
      </c>
      <c r="DD214" t="inlineStr">
        <is>
          <t xml:space="preserve">long</t>
        </is>
      </c>
      <c r="DE214" t="inlineStr">
        <is>
          <t xml:space="preserve">regular</t>
        </is>
      </c>
      <c r="DF214" s="4">
        <v>1.923</v>
      </c>
      <c r="DG214" s="4">
        <v>1.932</v>
      </c>
      <c r="DH214" s="4">
        <v>0.7539111649517966</v>
      </c>
      <c r="DI214" s="6">
        <v>0.7260277593633604</v>
      </c>
      <c r="DJ214" s="4">
        <v>1.4497711702023048</v>
      </c>
      <c r="DK214" s="4">
        <v>0</v>
      </c>
      <c r="DL214" s="4">
        <v>0</v>
      </c>
      <c r="DM214" s="4">
        <v>0.006785200484566019</v>
      </c>
      <c r="DN214" s="4">
        <v>-0.006785200484566019</v>
      </c>
      <c r="DO214" s="4">
        <v>1.932</v>
      </c>
      <c r="DP214" s="4">
        <v>1.922</v>
      </c>
      <c r="DQ214" s="6">
        <v>-0.004658385093167627</v>
      </c>
      <c r="DR214" s="6">
        <v>0.07200000000000001</v>
      </c>
      <c r="DS214" s="6">
        <v>0.10896327302187357</v>
      </c>
      <c r="DT214" s="9">
        <v>46</v>
      </c>
      <c r="DU214" s="7">
        <f>IFERROR(DM214/F214,0)</f>
        <v>0.0033979458316537176</v>
      </c>
      <c r="DV214" t="inlineStr">
        <is>
          <t xml:space="preserve">SI70F</t>
        </is>
      </c>
      <c r="DW214" t="inlineStr">
        <is>
          <t xml:space="preserve">future</t>
        </is>
      </c>
      <c r="DX214" t="inlineStr">
        <is>
          <t xml:space="preserve">lease</t>
        </is>
      </c>
      <c r="DY214" t="inlineStr">
        <is>
          <t xml:space="preserve">long</t>
        </is>
      </c>
      <c r="DZ214" t="inlineStr">
        <is>
          <t xml:space="preserve">regular</t>
        </is>
      </c>
      <c r="EA214" s="4">
        <v>1.945</v>
      </c>
      <c r="EB214" s="4">
        <v>1.954</v>
      </c>
      <c r="EC214" s="4">
        <v>0.0004045664297007945</v>
      </c>
      <c r="ED214" s="6">
        <v>0.00039406078246339573</v>
      </c>
      <c r="EE214" s="4">
        <v>0.0007868817057680454</v>
      </c>
      <c r="EF214" s="4">
        <v>0</v>
      </c>
      <c r="EG214" s="4">
        <v>0</v>
      </c>
      <c r="EH214" s="4">
        <v>0.0000036410978673071695</v>
      </c>
      <c r="EI214" s="4">
        <v>-0.0000036410978673071695</v>
      </c>
      <c r="EJ214" s="4">
        <v>1.932</v>
      </c>
      <c r="EK214" s="4">
        <v>1.922</v>
      </c>
      <c r="EL214" s="6">
        <v>0.006728778467908869</v>
      </c>
      <c r="EM214" s="6">
        <v>0.07200000000000001</v>
      </c>
      <c r="EN214" s="6">
        <v>0.03968415604227978</v>
      </c>
      <c r="EO214" s="9">
        <v>76</v>
      </c>
      <c r="EP214" s="7">
        <f>IFERROR(EH214/F214,0)</f>
        <v>0.000001823417502401326</v>
      </c>
      <c r="EQ214" t="inlineStr">
        <is>
          <t xml:space="preserve">Lease cash / margin / financing</t>
        </is>
      </c>
      <c r="ER214" t="inlineStr">
        <is>
          <t xml:space="preserve">cash</t>
        </is>
      </c>
      <c r="ES214" t="inlineStr">
        <is>
          <t xml:space="preserve">lease</t>
        </is>
      </c>
      <c r="ET214" t="inlineStr">
        <is>
          <t xml:space="preserve">cash</t>
        </is>
      </c>
      <c r="EU214"/>
      <c r="EV214" s="4">
        <v>1</v>
      </c>
      <c r="EW214" s="4">
        <v>1</v>
      </c>
      <c r="EX214" s="4">
        <v>-8.881784197001252e-16</v>
      </c>
      <c r="EY214" s="6"/>
      <c r="EZ214" s="4">
        <v>-8.881784197001252e-16</v>
      </c>
      <c r="FA214" s="4">
        <v>-8.881784197001252e-16</v>
      </c>
      <c r="FB214" s="4">
        <v>0.0067850998318650015</v>
      </c>
      <c r="FC214" s="4">
        <v>0</v>
      </c>
      <c r="FD214" s="4">
        <v>0.00678509983186589</v>
      </c>
      <c r="FE214" s="4">
        <v>1.932</v>
      </c>
      <c r="FF214" s="4">
        <v>1.922</v>
      </c>
      <c r="FG214" s="6"/>
      <c r="FH214" s="6"/>
      <c r="FI214" s="6"/>
      <c r="FJ214" s="9"/>
      <c r="FK214" s="7">
        <f>IFERROR(FC214/F214,0)</f>
        <v>0</v>
      </c>
      <c r="FL214" t="inlineStr">
        <is>
          <t xml:space="preserve">Keep cash / margin / financing</t>
        </is>
      </c>
      <c r="FM214" t="inlineStr">
        <is>
          <t xml:space="preserve">cash</t>
        </is>
      </c>
      <c r="FN214" t="inlineStr">
        <is>
          <t xml:space="preserve">keep</t>
        </is>
      </c>
      <c r="FO214" t="inlineStr">
        <is>
          <t xml:space="preserve">cash</t>
        </is>
      </c>
      <c r="FP214"/>
      <c r="FQ214" s="4">
        <v>1</v>
      </c>
      <c r="FR214" s="4">
        <v>1</v>
      </c>
      <c r="FS214" s="4">
        <v>0</v>
      </c>
      <c r="FT214" s="6"/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1.932</v>
      </c>
      <c r="GA214" s="4">
        <v>1.922</v>
      </c>
      <c r="GB214" s="6"/>
      <c r="GC214" s="6"/>
      <c r="GD214" s="6"/>
      <c r="GE214" s="9"/>
      <c r="GF214" s="7">
        <f>IFERROR(FX214/F214,0)</f>
        <v>0</v>
      </c>
      <c r="GG214"/>
      <c r="GH214"/>
      <c r="GI214"/>
      <c r="GJ214"/>
      <c r="GK214"/>
      <c r="GL214" s="4"/>
      <c r="GM214" s="4"/>
      <c r="GN214" s="4"/>
      <c r="GO214" s="6"/>
      <c r="GP214" s="4"/>
      <c r="GQ214" s="4"/>
      <c r="GR214" s="4"/>
      <c r="GS214" s="4"/>
      <c r="GT214" s="4"/>
      <c r="GU214" s="4"/>
      <c r="GV214" s="4"/>
      <c r="GW214" s="6"/>
      <c r="GX214" s="6"/>
      <c r="GY214" s="6"/>
      <c r="GZ214" s="9"/>
      <c r="HA214"/>
      <c r="HB214"/>
      <c r="HC214"/>
      <c r="HD214"/>
      <c r="HE214"/>
      <c r="HF214"/>
      <c r="HG214" s="4"/>
      <c r="HH214" s="4"/>
      <c r="HI214" s="4"/>
      <c r="HJ214" s="6"/>
      <c r="HK214" s="4"/>
      <c r="HL214" s="4"/>
      <c r="HM214" s="4"/>
      <c r="HN214" s="4"/>
      <c r="HO214" s="4"/>
      <c r="HP214" s="4"/>
      <c r="HQ214" s="4"/>
      <c r="HR214" s="6"/>
      <c r="HS214" s="6"/>
      <c r="HT214" s="6"/>
      <c r="HU214" s="9"/>
      <c r="HV214"/>
      <c r="HW214"/>
      <c r="HX214"/>
      <c r="HY214"/>
      <c r="HZ214"/>
      <c r="IA214"/>
      <c r="IB214" s="4"/>
      <c r="IC214" s="4"/>
      <c r="ID214" s="4"/>
      <c r="IE214" s="6"/>
      <c r="IF214" s="4"/>
      <c r="IG214" s="4"/>
      <c r="IH214" s="4"/>
      <c r="II214" s="4"/>
      <c r="IJ214" s="4"/>
      <c r="IK214" s="4"/>
      <c r="IL214" s="4"/>
      <c r="IM214" s="6"/>
      <c r="IN214" s="6"/>
      <c r="IO214" s="6"/>
      <c r="IP214" s="9"/>
      <c r="IQ214"/>
      <c r="IR214"/>
      <c r="IS214"/>
      <c r="IT214"/>
      <c r="IU214"/>
      <c r="IV214"/>
      <c r="IW214" s="4"/>
      <c r="IX214" s="4"/>
      <c r="IY214" s="4"/>
      <c r="IZ214" s="6"/>
      <c r="JA214" s="4"/>
      <c r="JB214" s="4"/>
      <c r="JC214" s="4"/>
      <c r="JD214" s="4"/>
      <c r="JE214" s="4"/>
      <c r="JF214" s="4"/>
      <c r="JG214" s="4"/>
      <c r="JH214" s="6"/>
      <c r="JI214" s="6"/>
      <c r="JJ214" s="6"/>
      <c r="JK214" s="9"/>
      <c r="JL214"/>
    </row>
    <row r="215">
      <c r="A215" s="8">
        <v>25521</v>
      </c>
      <c r="B215" s="8">
        <v>25524</v>
      </c>
      <c r="C215" s="9">
        <f>B215-A215</f>
        <v>3</v>
      </c>
      <c r="D215" s="8">
        <v>25521</v>
      </c>
      <c r="E215" t="inlineStr">
        <is>
          <t xml:space="preserve">positive</t>
        </is>
      </c>
      <c r="F215" s="4">
        <v>2.001097255155987</v>
      </c>
      <c r="G215" s="6">
        <v>-0.005673435000605199</v>
      </c>
      <c r="H215" s="7">
        <f>SUM(CE215,CZ215,DU215,EP215,FK215,GF215,HA215,HV215,IQ215,JL215)</f>
        <v>-0.005673435000605199</v>
      </c>
      <c r="I215" s="7">
        <f>G215-H215</f>
        <v>0</v>
      </c>
      <c r="J215" s="5">
        <f>F215*(1+H215)</f>
        <v>1.98974415994897</v>
      </c>
      <c r="K215" s="4">
        <v>1.98974415994897</v>
      </c>
      <c r="L215" s="5">
        <f>K215-J215</f>
        <v>0</v>
      </c>
      <c r="M215" s="4">
        <v>1.922</v>
      </c>
      <c r="N215" s="4">
        <v>1.921</v>
      </c>
      <c r="O215" s="5">
        <f>M215/$M$3</f>
        <v>0.9816138917262512</v>
      </c>
      <c r="P215" s="5">
        <f>N215/$M$3</f>
        <v>0.9811031664964249</v>
      </c>
      <c r="Q215" s="7">
        <f>IFERROR(N215/M215-1,0)</f>
        <v>-0.0005202913631633388</v>
      </c>
      <c r="R215" s="5">
        <f>SUM(IF(BM215="lease",BU215,0),IF(CH215="lease",CP215,0),IF(DC215="lease",DK215,0),IF(DX215="lease",EF215,0),IF(ES215="lease",FA215,0),IF(FN215="lease",FV215,0),IF(GI215="lease",GQ215,0),IF(HD215="lease",HL215,0),IF(HY215="lease",IG215,0),IF(IT215="lease",JB215,0))</f>
        <v>2.0010972551559862</v>
      </c>
      <c r="S215" s="5">
        <f>SUM(IF(BM215="lease",BV215,0),IF(CH215="lease",CQ215,0),IF(DC215="lease",DL215,0),IF(DX215="lease",EG215,0),IF(ES215="lease",FB215,0),IF(FN215="lease",FW215,0),IF(GI215="lease",GR215,0),IF(HD215="lease",HM215,0),IF(HY215="lease",IH215,0),IF(IT215="lease",JC215,0))</f>
        <v>1.9897441599489694</v>
      </c>
      <c r="T215" s="5">
        <f>SUM(IF(BM215="keep",BU215,0),IF(CH215="keep",CP215,0),IF(DC215="keep",DK215,0),IF(DX215="keep",EF215,0),IF(ES215="keep",FA215,0),IF(FN215="keep",FV215,0),IF(GI215="keep",GQ215,0),IF(HD215="keep",HL215,0),IF(HY215="keep",IG215,0),IF(IT215="keep",JB215,0))</f>
        <v>0</v>
      </c>
      <c r="U215" s="5">
        <f>SUM(IF(BM215="keep",BV215,0),IF(CH215="keep",CQ215,0),IF(DC215="keep",DL215,0),IF(DX215="keep",EG215,0),IF(ES215="keep",FB215,0),IF(FN215="keep",FW215,0),IF(GI215="keep",GR215,0),IF(HD215="keep",HM215,0),IF(HY215="keep",IH215,0),IF(IT215="keep",JC215,0))</f>
        <v>0</v>
      </c>
      <c r="V215" s="5">
        <f>R215/O215</f>
        <v>2.0385787854294595</v>
      </c>
      <c r="W215" s="5">
        <f>S215/P215</f>
        <v>2.0280682275794284</v>
      </c>
      <c r="X215" s="5">
        <f>T215/O215</f>
        <v>0</v>
      </c>
      <c r="Y215" s="5">
        <f>U215/P215</f>
        <v>0</v>
      </c>
      <c r="Z215" s="5">
        <f>V215+X215</f>
        <v>2.0385787854294595</v>
      </c>
      <c r="AA215" s="7">
        <f>IFERROR(W215/V215-1,0)</f>
        <v>-0.0051558261692676854</v>
      </c>
      <c r="AB215" s="7">
        <f>IFERROR((W215-V215)/Z215,0)</f>
        <v>-0.005155826169267654</v>
      </c>
      <c r="AC215" s="7">
        <f>IFERROR(Y215/X215-1,0)</f>
        <v>0</v>
      </c>
      <c r="AD215" s="7">
        <f>IFERROR((Y215-X215)/Z215,0)</f>
        <v>0</v>
      </c>
      <c r="AE215" s="7">
        <f>AB215+AD215</f>
        <v>-0.005155826169267654</v>
      </c>
      <c r="AF215" s="7">
        <f>(1+Q215)*(1+AE215)-1</f>
        <v>-0.0056734350006051315</v>
      </c>
      <c r="AG215" s="7">
        <f>G215-AF215</f>
        <v>-6.765421556309548e-17</v>
      </c>
      <c r="AH215" s="5">
        <f>SUM(IF(BM215="lease",BW215,0),IF(CH215="lease",CR215,0),IF(DC215="lease",DM215,0),IF(DX215="lease",EH215,0),IF(ES215="lease",FC215,0),IF(FN215="lease",FX215,0),IF(GI215="lease",GS215,0),IF(HD215="lease",HN215,0),IF(HY215="lease",II215,0),IF(IT215="lease",JD215,0))</f>
        <v>-0.01135309520701697</v>
      </c>
      <c r="AI215" s="5">
        <f>SUM(IF(BM215="keep",BW215,0),IF(CH215="keep",CR215,0),IF(DC215="keep",DM215,0),IF(DX215="keep",EH215,0),IF(ES215="keep",FC215,0),IF(FN215="keep",FX215,0),IF(GI215="keep",GS215,0),IF(HD215="keep",HN215,0),IF(HY215="keep",II215,0),IF(IT215="keep",JD215,0))</f>
        <v>0</v>
      </c>
      <c r="AJ215" s="5">
        <f>SUM(IF(BM215="lease",BX215,0),IF(CH215="lease",CS215,0),IF(DC215="lease",DN215,0),IF(DX215="lease",EI215,0),IF(ES215="lease",FD215,0),IF(FN215="lease",FY215,0),IF(GI215="lease",GT215,0),IF(HD215="lease",HO215,0),IF(HY215="lease",IJ215,0),IF(IT215="lease",JE215,0))</f>
        <v>0</v>
      </c>
      <c r="AK215" s="5">
        <f>SUM(IF(BM215="keep",BX215,0),IF(CH215="keep",CS215,0),IF(DC215="keep",DN215,0),IF(DX215="keep",EI215,0),IF(ES215="keep",FD215,0),IF(FN215="keep",FY215,0),IF(GI215="keep",GT215,0),IF(HD215="keep",HO215,0),IF(HY215="keep",IJ215,0),IF(IT215="keep",JE215,0))</f>
        <v>0</v>
      </c>
      <c r="AL215" s="5">
        <f>R215-S214</f>
        <v>0</v>
      </c>
      <c r="AM215" s="5">
        <f>T215-U214</f>
        <v>0</v>
      </c>
      <c r="AN215" s="5">
        <f>AN214</f>
        <v>1</v>
      </c>
      <c r="AO215" s="5">
        <f>AO214+AH215</f>
        <v>0.9897441599489699</v>
      </c>
      <c r="AP215" s="5">
        <f>AP214+AL215</f>
        <v>2.220446049250313e-16</v>
      </c>
      <c r="AQ215" s="5">
        <f>AN215+AO215+AP215</f>
        <v>1.9897441599489702</v>
      </c>
      <c r="AR215" s="5">
        <f>S215-AQ215</f>
        <v>-8.881784197001252e-16</v>
      </c>
      <c r="AS215" s="5">
        <f>AS214</f>
        <v>0</v>
      </c>
      <c r="AT215" s="5">
        <f>AT214+AI215</f>
        <v>0</v>
      </c>
      <c r="AU215" s="5">
        <f>AU214+AM215</f>
        <v>0</v>
      </c>
      <c r="AV215" s="5">
        <f>AS215+AT215+AU215</f>
        <v>0</v>
      </c>
      <c r="AW215" s="5">
        <f>U215-AV215</f>
        <v>0</v>
      </c>
      <c r="AX215" s="4">
        <v>2.0010972551559862</v>
      </c>
      <c r="AY215" s="4">
        <v>1.9897441599489694</v>
      </c>
      <c r="AZ215" s="5">
        <f>S215-AY215</f>
        <v>0</v>
      </c>
      <c r="BA215" s="4">
        <v>0</v>
      </c>
      <c r="BB215" s="4">
        <v>0</v>
      </c>
      <c r="BC215" s="5">
        <f>U215-BB215</f>
        <v>0</v>
      </c>
      <c r="BD215" s="7">
        <f>SUM(IF(BL215="direct",CE215,0),IF(CG215="direct",CZ215,0),IF(DB215="direct",DU215,0),IF(DW215="direct",EP215,0),IF(ER215="direct",FK215,0),IF(FM215="direct",GF215,0),IF(GH215="direct",HA215,0),IF(HC215="direct",HV215,0),IF(HX215="direct",IQ215,0),IF(IS215="direct",JL215,0))</f>
        <v>-0.00043736380663729425</v>
      </c>
      <c r="BE215" s="7">
        <f>SUM(IF(BL215="treasury",CE215,0),IF(CG215="treasury",CZ215,0),IF(DB215="treasury",DU215,0),IF(DW215="treasury",EP215,0),IF(ER215="treasury",FK215,0),IF(FM215="treasury",GF215,0),IF(GH215="treasury",HA215,0),IF(HC215="treasury",HV215,0),IF(HX215="treasury",IQ215,0),IF(IS215="treasury",JL215,0))</f>
        <v>0.00011149205428769514</v>
      </c>
      <c r="BF215" s="7">
        <f>SUM(IF(BL215="future",CE215,0),IF(CG215="future",CZ215,0),IF(DB215="future",DU215,0),IF(DW215="future",EP215,0),IF(ER215="future",FK215,0),IF(FM215="future",GF215,0),IF(GH215="future",HA215,0),IF(HC215="future",HV215,0),IF(HX215="future",IQ215,0),IF(IS215="future",JL215,0))</f>
        <v>-0.0053475632482556</v>
      </c>
      <c r="BG215" s="7">
        <f>SUM(IF(BL215="cash",CE215,0),IF(CG215="cash",CZ215,0),IF(DB215="cash",DU215,0),IF(DW215="cash",EP215,0),IF(ER215="cash",FK215,0),IF(FM215="cash",GF215,0),IF(GH215="cash",HA215,0),IF(HC215="cash",HV215,0),IF(HX215="cash",IQ215,0),IF(IS215="cash",JL215,0))</f>
        <v>0</v>
      </c>
      <c r="BH215" s="7">
        <f>SUM(BD215:BG215)</f>
        <v>-0.005673435000605199</v>
      </c>
      <c r="BI215" s="7">
        <f>G215-BH215</f>
        <v>0</v>
      </c>
      <c r="BJ215" s="9">
        <f>COUNTA(BK215,CF215,DA215,DV215,EQ215,FL215,GG215,HB215,HW215,IR215)</f>
        <v>5</v>
      </c>
      <c r="BK215" t="inlineStr">
        <is>
          <t xml:space="preserve">Direct commodity holding</t>
        </is>
      </c>
      <c r="BL215" t="inlineStr">
        <is>
          <t xml:space="preserve">direct</t>
        </is>
      </c>
      <c r="BM215" t="inlineStr">
        <is>
          <t xml:space="preserve">lease</t>
        </is>
      </c>
      <c r="BN215" t="inlineStr">
        <is>
          <t xml:space="preserve">long</t>
        </is>
      </c>
      <c r="BO215"/>
      <c r="BP215" s="4">
        <v>1.922</v>
      </c>
      <c r="BQ215" s="4">
        <v>1.921</v>
      </c>
      <c r="BR215" s="4">
        <v>0.8419560171126035</v>
      </c>
      <c r="BS215" s="6">
        <v>0.8086760704512989</v>
      </c>
      <c r="BT215" s="4">
        <v>1.618239464890424</v>
      </c>
      <c r="BU215" s="4">
        <v>1.618239464890424</v>
      </c>
      <c r="BV215" s="4">
        <v>1.6173975088733112</v>
      </c>
      <c r="BW215" s="4">
        <v>-0.0008752075129664634</v>
      </c>
      <c r="BX215" s="4">
        <v>0.00003325149585378618</v>
      </c>
      <c r="BY215" s="4">
        <v>1.922</v>
      </c>
      <c r="BZ215" s="4">
        <v>1.921</v>
      </c>
      <c r="CA215" s="6"/>
      <c r="CB215" s="6"/>
      <c r="CC215" s="6"/>
      <c r="CD215" s="9"/>
      <c r="CE215" s="7">
        <f>IFERROR(BW215/F215,0)</f>
        <v>-0.00043736380663729425</v>
      </c>
      <c r="CF215" t="inlineStr">
        <is>
          <t xml:space="preserve">Treasury collateral</t>
        </is>
      </c>
      <c r="CG215" t="inlineStr">
        <is>
          <t xml:space="preserve">treasury</t>
        </is>
      </c>
      <c r="CH215" t="inlineStr">
        <is>
          <t xml:space="preserve">lease</t>
        </is>
      </c>
      <c r="CI215" t="inlineStr">
        <is>
          <t xml:space="preserve">long</t>
        </is>
      </c>
      <c r="CJ215"/>
      <c r="CK215" s="4">
        <v>105.80473670683016</v>
      </c>
      <c r="CL215" s="4">
        <v>105.8663933301111</v>
      </c>
      <c r="CM215" s="4">
        <v>0.0036185316667476583</v>
      </c>
      <c r="CN215" s="6">
        <v>0.19132392954870114</v>
      </c>
      <c r="CO215" s="4">
        <v>0.38285779026556327</v>
      </c>
      <c r="CP215" s="4">
        <v>0.38285779026556327</v>
      </c>
      <c r="CQ215" s="4">
        <v>0.38308089670937007</v>
      </c>
      <c r="CR215" s="4">
        <v>0.00022310644380680905</v>
      </c>
      <c r="CS215" s="4">
        <v>-1.1492543028346347e-17</v>
      </c>
      <c r="CT215" s="4">
        <v>1.922</v>
      </c>
      <c r="CU215" s="4">
        <v>1.921</v>
      </c>
      <c r="CV215" s="6"/>
      <c r="CW215" s="6"/>
      <c r="CX215" s="6"/>
      <c r="CY215" s="9">
        <v>45</v>
      </c>
      <c r="CZ215" s="7">
        <f>IFERROR(CR215/F215,0)</f>
        <v>0.00011149205428769514</v>
      </c>
      <c r="DA215" t="inlineStr">
        <is>
          <t xml:space="preserve">SI69Z</t>
        </is>
      </c>
      <c r="DB215" t="inlineStr">
        <is>
          <t xml:space="preserve">future</t>
        </is>
      </c>
      <c r="DC215" t="inlineStr">
        <is>
          <t xml:space="preserve">lease</t>
        </is>
      </c>
      <c r="DD215" t="inlineStr">
        <is>
          <t xml:space="preserve">long</t>
        </is>
      </c>
      <c r="DE215" t="inlineStr">
        <is>
          <t xml:space="preserve">regular</t>
        </is>
      </c>
      <c r="DF215" s="4">
        <v>1.932</v>
      </c>
      <c r="DG215" s="4">
        <v>1.8780000000000001</v>
      </c>
      <c r="DH215" s="4">
        <v>0.19816655810846961</v>
      </c>
      <c r="DI215" s="6">
        <v>0.19132392954870114</v>
      </c>
      <c r="DJ215" s="4">
        <v>0.38285779026556327</v>
      </c>
      <c r="DK215" s="4">
        <v>0</v>
      </c>
      <c r="DL215" s="4">
        <v>0</v>
      </c>
      <c r="DM215" s="4">
        <v>-0.010700994137857316</v>
      </c>
      <c r="DN215" s="4">
        <v>0.010700994137857316</v>
      </c>
      <c r="DO215" s="4">
        <v>1.922</v>
      </c>
      <c r="DP215" s="4">
        <v>1.921</v>
      </c>
      <c r="DQ215" s="6">
        <v>0.00520291363163361</v>
      </c>
      <c r="DR215" s="6">
        <v>0.0709</v>
      </c>
      <c r="DS215" s="6">
        <v>0.028698589432305167</v>
      </c>
      <c r="DT215" s="9">
        <v>45</v>
      </c>
      <c r="DU215" s="7">
        <f>IFERROR(DM215/F215,0)</f>
        <v>-0.0053475632482556</v>
      </c>
      <c r="DV215" t="inlineStr">
        <is>
          <t xml:space="preserve">Lease cash / margin / financing</t>
        </is>
      </c>
      <c r="DW215" t="inlineStr">
        <is>
          <t xml:space="preserve">cash</t>
        </is>
      </c>
      <c r="DX215" t="inlineStr">
        <is>
          <t xml:space="preserve">lease</t>
        </is>
      </c>
      <c r="DY215" t="inlineStr">
        <is>
          <t xml:space="preserve">cash</t>
        </is>
      </c>
      <c r="DZ215"/>
      <c r="EA215" s="4">
        <v>1</v>
      </c>
      <c r="EB215" s="4">
        <v>1</v>
      </c>
      <c r="EC215" s="4">
        <v>-8.881784197001252e-16</v>
      </c>
      <c r="ED215" s="6"/>
      <c r="EE215" s="4">
        <v>-8.881784197001252e-16</v>
      </c>
      <c r="EF215" s="4">
        <v>-8.881784197001252e-16</v>
      </c>
      <c r="EG215" s="4">
        <v>-0.010734245633711979</v>
      </c>
      <c r="EH215" s="4">
        <v>0</v>
      </c>
      <c r="EI215" s="4">
        <v>-0.01073424563371109</v>
      </c>
      <c r="EJ215" s="4">
        <v>1.922</v>
      </c>
      <c r="EK215" s="4">
        <v>1.921</v>
      </c>
      <c r="EL215" s="6"/>
      <c r="EM215" s="6"/>
      <c r="EN215" s="6"/>
      <c r="EO215" s="9"/>
      <c r="EP215" s="7">
        <f>IFERROR(EH215/F215,0)</f>
        <v>0</v>
      </c>
      <c r="EQ215" t="inlineStr">
        <is>
          <t xml:space="preserve">Keep cash / margin / financing</t>
        </is>
      </c>
      <c r="ER215" t="inlineStr">
        <is>
          <t xml:space="preserve">cash</t>
        </is>
      </c>
      <c r="ES215" t="inlineStr">
        <is>
          <t xml:space="preserve">keep</t>
        </is>
      </c>
      <c r="ET215" t="inlineStr">
        <is>
          <t xml:space="preserve">cash</t>
        </is>
      </c>
      <c r="EU215"/>
      <c r="EV215" s="4">
        <v>1</v>
      </c>
      <c r="EW215" s="4">
        <v>1</v>
      </c>
      <c r="EX215" s="4">
        <v>0</v>
      </c>
      <c r="EY215" s="6"/>
      <c r="EZ215" s="4">
        <v>0</v>
      </c>
      <c r="FA215" s="4">
        <v>0</v>
      </c>
      <c r="FB215" s="4">
        <v>0</v>
      </c>
      <c r="FC215" s="4">
        <v>0</v>
      </c>
      <c r="FD215" s="4">
        <v>0</v>
      </c>
      <c r="FE215" s="4">
        <v>1.922</v>
      </c>
      <c r="FF215" s="4">
        <v>1.921</v>
      </c>
      <c r="FG215" s="6"/>
      <c r="FH215" s="6"/>
      <c r="FI215" s="6"/>
      <c r="FJ215" s="9"/>
      <c r="FK215" s="7">
        <f>IFERROR(FC215/F215,0)</f>
        <v>0</v>
      </c>
      <c r="FL215"/>
      <c r="FM215"/>
      <c r="FN215"/>
      <c r="FO215"/>
      <c r="FP215"/>
      <c r="FQ215" s="4"/>
      <c r="FR215" s="4"/>
      <c r="FS215" s="4"/>
      <c r="FT215" s="6"/>
      <c r="FU215" s="4"/>
      <c r="FV215" s="4"/>
      <c r="FW215" s="4"/>
      <c r="FX215" s="4"/>
      <c r="FY215" s="4"/>
      <c r="FZ215" s="4"/>
      <c r="GA215" s="4"/>
      <c r="GB215" s="6"/>
      <c r="GC215" s="6"/>
      <c r="GD215" s="6"/>
      <c r="GE215" s="9"/>
      <c r="GF215"/>
      <c r="GG215"/>
      <c r="GH215"/>
      <c r="GI215"/>
      <c r="GJ215"/>
      <c r="GK215"/>
      <c r="GL215" s="4"/>
      <c r="GM215" s="4"/>
      <c r="GN215" s="4"/>
      <c r="GO215" s="6"/>
      <c r="GP215" s="4"/>
      <c r="GQ215" s="4"/>
      <c r="GR215" s="4"/>
      <c r="GS215" s="4"/>
      <c r="GT215" s="4"/>
      <c r="GU215" s="4"/>
      <c r="GV215" s="4"/>
      <c r="GW215" s="6"/>
      <c r="GX215" s="6"/>
      <c r="GY215" s="6"/>
      <c r="GZ215" s="9"/>
      <c r="HA215"/>
      <c r="HB215"/>
      <c r="HC215"/>
      <c r="HD215"/>
      <c r="HE215"/>
      <c r="HF215"/>
      <c r="HG215" s="4"/>
      <c r="HH215" s="4"/>
      <c r="HI215" s="4"/>
      <c r="HJ215" s="6"/>
      <c r="HK215" s="4"/>
      <c r="HL215" s="4"/>
      <c r="HM215" s="4"/>
      <c r="HN215" s="4"/>
      <c r="HO215" s="4"/>
      <c r="HP215" s="4"/>
      <c r="HQ215" s="4"/>
      <c r="HR215" s="6"/>
      <c r="HS215" s="6"/>
      <c r="HT215" s="6"/>
      <c r="HU215" s="9"/>
      <c r="HV215"/>
      <c r="HW215"/>
      <c r="HX215"/>
      <c r="HY215"/>
      <c r="HZ215"/>
      <c r="IA215"/>
      <c r="IB215" s="4"/>
      <c r="IC215" s="4"/>
      <c r="ID215" s="4"/>
      <c r="IE215" s="6"/>
      <c r="IF215" s="4"/>
      <c r="IG215" s="4"/>
      <c r="IH215" s="4"/>
      <c r="II215" s="4"/>
      <c r="IJ215" s="4"/>
      <c r="IK215" s="4"/>
      <c r="IL215" s="4"/>
      <c r="IM215" s="6"/>
      <c r="IN215" s="6"/>
      <c r="IO215" s="6"/>
      <c r="IP215" s="9"/>
      <c r="IQ215"/>
      <c r="IR215"/>
      <c r="IS215"/>
      <c r="IT215"/>
      <c r="IU215"/>
      <c r="IV215"/>
      <c r="IW215" s="4"/>
      <c r="IX215" s="4"/>
      <c r="IY215" s="4"/>
      <c r="IZ215" s="6"/>
      <c r="JA215" s="4"/>
      <c r="JB215" s="4"/>
      <c r="JC215" s="4"/>
      <c r="JD215" s="4"/>
      <c r="JE215" s="4"/>
      <c r="JF215" s="4"/>
      <c r="JG215" s="4"/>
      <c r="JH215" s="6"/>
      <c r="JI215" s="6"/>
      <c r="JJ215" s="6"/>
      <c r="JK215" s="9"/>
      <c r="JL215"/>
    </row>
    <row r="216">
      <c r="A216" s="8">
        <v>25524</v>
      </c>
      <c r="B216" s="8">
        <v>25525</v>
      </c>
      <c r="C216" s="9">
        <f>B216-A216</f>
        <v>1</v>
      </c>
      <c r="D216" s="8">
        <v>25524</v>
      </c>
      <c r="E216" t="inlineStr">
        <is>
          <t xml:space="preserve">positive</t>
        </is>
      </c>
      <c r="F216" s="4">
        <v>1.98974415994897</v>
      </c>
      <c r="G216" s="6">
        <v>-0.004066152275081313</v>
      </c>
      <c r="H216" s="7">
        <f>SUM(CE216,CZ216,DU216,EP216,FK216,GF216,HA216,HV216,IQ216,JL216)</f>
        <v>-0.004066152275081313</v>
      </c>
      <c r="I216" s="7">
        <f>G216-H216</f>
        <v>0</v>
      </c>
      <c r="J216" s="5">
        <f>F216*(1+H216)</f>
        <v>1.9816535572061638</v>
      </c>
      <c r="K216" s="4">
        <v>1.9816535572061638</v>
      </c>
      <c r="L216" s="5">
        <f>K216-J216</f>
        <v>0</v>
      </c>
      <c r="M216" s="4">
        <v>1.921</v>
      </c>
      <c r="N216" s="4">
        <v>1.897</v>
      </c>
      <c r="O216" s="5">
        <f>M216/$M$3</f>
        <v>0.9811031664964249</v>
      </c>
      <c r="P216" s="5">
        <f>N216/$M$3</f>
        <v>0.9688457609805925</v>
      </c>
      <c r="Q216" s="7">
        <f>IFERROR(N216/M216-1,0)</f>
        <v>-0.012493492972410203</v>
      </c>
      <c r="R216" s="5">
        <f>SUM(IF(BM216="lease",BU216,0),IF(CH216="lease",CP216,0),IF(DC216="lease",DK216,0),IF(DX216="lease",EF216,0),IF(ES216="lease",FA216,0),IF(FN216="lease",FV216,0),IF(GI216="lease",GQ216,0),IF(HD216="lease",HL216,0),IF(HY216="lease",IG216,0),IF(IT216="lease",JB216,0))</f>
        <v>1.9897441599489694</v>
      </c>
      <c r="S216" s="5">
        <f>SUM(IF(BM216="lease",BV216,0),IF(CH216="lease",CQ216,0),IF(DC216="lease",DL216,0),IF(DX216="lease",EG216,0),IF(ES216="lease",FB216,0),IF(FN216="lease",FW216,0),IF(GI216="lease",GR216,0),IF(HD216="lease",HM216,0),IF(HY216="lease",IH216,0),IF(IT216="lease",JC216,0))</f>
        <v>1.981653557206163</v>
      </c>
      <c r="T216" s="5">
        <f>SUM(IF(BM216="keep",BU216,0),IF(CH216="keep",CP216,0),IF(DC216="keep",DK216,0),IF(DX216="keep",EF216,0),IF(ES216="keep",FA216,0),IF(FN216="keep",FV216,0),IF(GI216="keep",GQ216,0),IF(HD216="keep",HL216,0),IF(HY216="keep",IG216,0),IF(IT216="keep",JB216,0))</f>
        <v>0</v>
      </c>
      <c r="U216" s="5">
        <f>SUM(IF(BM216="keep",BV216,0),IF(CH216="keep",CQ216,0),IF(DC216="keep",DL216,0),IF(DX216="keep",EG216,0),IF(ES216="keep",FB216,0),IF(FN216="keep",FW216,0),IF(GI216="keep",GR216,0),IF(HD216="keep",HM216,0),IF(HY216="keep",IH216,0),IF(IT216="keep",JC216,0))</f>
        <v>0</v>
      </c>
      <c r="V216" s="5">
        <f>R216/O216</f>
        <v>2.0280682275794284</v>
      </c>
      <c r="W216" s="5">
        <f>S216/P216</f>
        <v>2.045375680026182</v>
      </c>
      <c r="X216" s="5">
        <f>T216/O216</f>
        <v>0</v>
      </c>
      <c r="Y216" s="5">
        <f>U216/P216</f>
        <v>0</v>
      </c>
      <c r="Z216" s="5">
        <f>V216+X216</f>
        <v>2.0280682275794284</v>
      </c>
      <c r="AA216" s="7">
        <f>IFERROR(W216/V216-1,0)</f>
        <v>0.008533959662397894</v>
      </c>
      <c r="AB216" s="7">
        <f>IFERROR((W216-V216)/Z216,0)</f>
        <v>0.008533959662397866</v>
      </c>
      <c r="AC216" s="7">
        <f>IFERROR(Y216/X216-1,0)</f>
        <v>0</v>
      </c>
      <c r="AD216" s="7">
        <f>IFERROR((Y216-X216)/Z216,0)</f>
        <v>0</v>
      </c>
      <c r="AE216" s="7">
        <f>AB216+AD216</f>
        <v>0.008533959662397866</v>
      </c>
      <c r="AF216" s="7">
        <f>(1+Q216)*(1+AE216)-1</f>
        <v>-0.004066152275081336</v>
      </c>
      <c r="AG216" s="7">
        <f>G216-AF216</f>
        <v>2.3418766925686896e-17</v>
      </c>
      <c r="AH216" s="5">
        <f>SUM(IF(BM216="lease",BW216,0),IF(CH216="lease",CR216,0),IF(DC216="lease",DM216,0),IF(DX216="lease",EH216,0),IF(ES216="lease",FC216,0),IF(FN216="lease",FX216,0),IF(GI216="lease",GS216,0),IF(HD216="lease",HN216,0),IF(HY216="lease",II216,0),IF(IT216="lease",JD216,0))</f>
        <v>-0.00809060274280626</v>
      </c>
      <c r="AI216" s="5">
        <f>SUM(IF(BM216="keep",BW216,0),IF(CH216="keep",CR216,0),IF(DC216="keep",DM216,0),IF(DX216="keep",EH216,0),IF(ES216="keep",FC216,0),IF(FN216="keep",FX216,0),IF(GI216="keep",GS216,0),IF(HD216="keep",HN216,0),IF(HY216="keep",II216,0),IF(IT216="keep",JD216,0))</f>
        <v>0</v>
      </c>
      <c r="AJ216" s="5">
        <f>SUM(IF(BM216="lease",BX216,0),IF(CH216="lease",CS216,0),IF(DC216="lease",DN216,0),IF(DX216="lease",EI216,0),IF(ES216="lease",FD216,0),IF(FN216="lease",FY216,0),IF(GI216="lease",GT216,0),IF(HD216="lease",HO216,0),IF(HY216="lease",IJ216,0),IF(IT216="lease",JE216,0))</f>
        <v>0</v>
      </c>
      <c r="AK216" s="5">
        <f>SUM(IF(BM216="keep",BX216,0),IF(CH216="keep",CS216,0),IF(DC216="keep",DN216,0),IF(DX216="keep",EI216,0),IF(ES216="keep",FD216,0),IF(FN216="keep",FY216,0),IF(GI216="keep",GT216,0),IF(HD216="keep",HO216,0),IF(HY216="keep",IJ216,0),IF(IT216="keep",JE216,0))</f>
        <v>0</v>
      </c>
      <c r="AL216" s="5">
        <f>R216-S215</f>
        <v>0</v>
      </c>
      <c r="AM216" s="5">
        <f>T216-U215</f>
        <v>0</v>
      </c>
      <c r="AN216" s="5">
        <f>AN215</f>
        <v>1</v>
      </c>
      <c r="AO216" s="5">
        <f>AO215+AH216</f>
        <v>0.9816535572061637</v>
      </c>
      <c r="AP216" s="5">
        <f>AP215+AL216</f>
        <v>2.220446049250313e-16</v>
      </c>
      <c r="AQ216" s="5">
        <f>AN216+AO216+AP216</f>
        <v>1.9816535572061638</v>
      </c>
      <c r="AR216" s="5">
        <f>S216-AQ216</f>
        <v>-6.661338147750939e-16</v>
      </c>
      <c r="AS216" s="5">
        <f>AS215</f>
        <v>0</v>
      </c>
      <c r="AT216" s="5">
        <f>AT215+AI216</f>
        <v>0</v>
      </c>
      <c r="AU216" s="5">
        <f>AU215+AM216</f>
        <v>0</v>
      </c>
      <c r="AV216" s="5">
        <f>AS216+AT216+AU216</f>
        <v>0</v>
      </c>
      <c r="AW216" s="5">
        <f>U216-AV216</f>
        <v>0</v>
      </c>
      <c r="AX216" s="4">
        <v>1.9897441599489694</v>
      </c>
      <c r="AY216" s="4">
        <v>1.981653557206163</v>
      </c>
      <c r="AZ216" s="5">
        <f>S216-AY216</f>
        <v>0</v>
      </c>
      <c r="BA216" s="4">
        <v>0</v>
      </c>
      <c r="BB216" s="4">
        <v>0</v>
      </c>
      <c r="BC216" s="5">
        <f>U216-BB216</f>
        <v>0</v>
      </c>
      <c r="BD216" s="7">
        <f>SUM(IF(BL216="direct",CE216,0),IF(CG216="direct",CZ216,0),IF(DB216="direct",DU216,0),IF(DW216="direct",EP216,0),IF(ER216="direct",FK216,0),IF(FM216="direct",GF216,0),IF(GH216="direct",HA216,0),IF(HC216="direct",HV216,0),IF(HX216="direct",IQ216,0),IF(IS216="direct",JL216,0))</f>
        <v>0</v>
      </c>
      <c r="BE216" s="7">
        <f>SUM(IF(BL216="treasury",CE216,0),IF(CG216="treasury",CZ216,0),IF(DB216="treasury",DU216,0),IF(DW216="treasury",EP216,0),IF(ER216="treasury",FK216,0),IF(FM216="treasury",GF216,0),IF(GH216="treasury",HA216,0),IF(HC216="treasury",HV216,0),IF(HX216="treasury",IQ216,0),IF(IS216="treasury",JL216,0))</f>
        <v>0.0001936986301369863</v>
      </c>
      <c r="BF216" s="7">
        <f>SUM(IF(BL216="future",CE216,0),IF(CG216="future",CZ216,0),IF(DB216="future",DU216,0),IF(DW216="future",EP216,0),IF(ER216="future",FK216,0),IF(FM216="future",GF216,0),IF(GH216="future",HA216,0),IF(HC216="future",HV216,0),IF(HX216="future",IQ216,0),IF(IS216="future",JL216,0))</f>
        <v>-0.004259850905218299</v>
      </c>
      <c r="BG216" s="7">
        <f>SUM(IF(BL216="cash",CE216,0),IF(CG216="cash",CZ216,0),IF(DB216="cash",DU216,0),IF(DW216="cash",EP216,0),IF(ER216="cash",FK216,0),IF(FM216="cash",GF216,0),IF(GH216="cash",HA216,0),IF(HC216="cash",HV216,0),IF(HX216="cash",IQ216,0),IF(IS216="cash",JL216,0))</f>
        <v>0</v>
      </c>
      <c r="BH216" s="7">
        <f>SUM(BD216:BG216)</f>
        <v>-0.004066152275081313</v>
      </c>
      <c r="BI216" s="7">
        <f>G216-BH216</f>
        <v>0</v>
      </c>
      <c r="BJ216" s="9">
        <f>COUNTA(BK216,CF216,DA216,DV216,EQ216,FL216,GG216,HB216,HW216,IR216)</f>
        <v>4</v>
      </c>
      <c r="BK216" t="inlineStr">
        <is>
          <t xml:space="preserve">Treasury collateral</t>
        </is>
      </c>
      <c r="BL216" t="inlineStr">
        <is>
          <t xml:space="preserve">treasury</t>
        </is>
      </c>
      <c r="BM216" t="inlineStr">
        <is>
          <t xml:space="preserve">lease</t>
        </is>
      </c>
      <c r="BN216" t="inlineStr">
        <is>
          <t xml:space="preserve">long</t>
        </is>
      </c>
      <c r="BO216"/>
      <c r="BP216" s="4">
        <v>105.8663933301111</v>
      </c>
      <c r="BQ216" s="4">
        <v>105.88689950547668</v>
      </c>
      <c r="BR216" s="4">
        <v>0.018794861120323404</v>
      </c>
      <c r="BS216" s="6">
        <v>1</v>
      </c>
      <c r="BT216" s="4">
        <v>1.98974415994897</v>
      </c>
      <c r="BU216" s="4">
        <v>1.98974415994897</v>
      </c>
      <c r="BV216" s="4">
        <v>1.990129570667075</v>
      </c>
      <c r="BW216" s="4">
        <v>0.0003854107181051841</v>
      </c>
      <c r="BX216" s="4">
        <v>-2.4475864043860263e-16</v>
      </c>
      <c r="BY216" s="4">
        <v>1.921</v>
      </c>
      <c r="BZ216" s="4">
        <v>1.897</v>
      </c>
      <c r="CA216" s="6"/>
      <c r="CB216" s="6"/>
      <c r="CC216" s="6"/>
      <c r="CD216" s="9">
        <v>42</v>
      </c>
      <c r="CE216" s="7">
        <f>IFERROR(BW216/F216,0)</f>
        <v>0.0001936986301369863</v>
      </c>
      <c r="CF216" t="inlineStr">
        <is>
          <t xml:space="preserve">SI69Z</t>
        </is>
      </c>
      <c r="CG216" t="inlineStr">
        <is>
          <t xml:space="preserve">future</t>
        </is>
      </c>
      <c r="CH216" t="inlineStr">
        <is>
          <t xml:space="preserve">lease</t>
        </is>
      </c>
      <c r="CI216" t="inlineStr">
        <is>
          <t xml:space="preserve">long</t>
        </is>
      </c>
      <c r="CJ216" t="inlineStr">
        <is>
          <t xml:space="preserve">regular</t>
        </is>
      </c>
      <c r="CK216" s="4">
        <v>1.8780000000000001</v>
      </c>
      <c r="CL216" s="4">
        <v>1.87</v>
      </c>
      <c r="CM216" s="4">
        <v>1.059501682613935</v>
      </c>
      <c r="CN216" s="6">
        <v>1</v>
      </c>
      <c r="CO216" s="4">
        <v>1.98974415994897</v>
      </c>
      <c r="CP216" s="4">
        <v>0</v>
      </c>
      <c r="CQ216" s="4">
        <v>0</v>
      </c>
      <c r="CR216" s="4">
        <v>-0.008476013460911444</v>
      </c>
      <c r="CS216" s="4">
        <v>0.008476013460911444</v>
      </c>
      <c r="CT216" s="4">
        <v>1.921</v>
      </c>
      <c r="CU216" s="4">
        <v>1.897</v>
      </c>
      <c r="CV216" s="6">
        <v>-0.022384174908901544</v>
      </c>
      <c r="CW216" s="6">
        <v>0.0707</v>
      </c>
      <c r="CX216" s="6">
        <v>0.26522913908926343</v>
      </c>
      <c r="CY216" s="9">
        <v>42</v>
      </c>
      <c r="CZ216" s="7">
        <f>IFERROR(CR216/F216,0)</f>
        <v>-0.004259850905218299</v>
      </c>
      <c r="DA216" t="inlineStr">
        <is>
          <t xml:space="preserve">Lease cash / margin / financing</t>
        </is>
      </c>
      <c r="DB216" t="inlineStr">
        <is>
          <t xml:space="preserve">cash</t>
        </is>
      </c>
      <c r="DC216" t="inlineStr">
        <is>
          <t xml:space="preserve">lease</t>
        </is>
      </c>
      <c r="DD216" t="inlineStr">
        <is>
          <t xml:space="preserve">cash</t>
        </is>
      </c>
      <c r="DE216"/>
      <c r="DF216" s="4">
        <v>1</v>
      </c>
      <c r="DG216" s="4">
        <v>1</v>
      </c>
      <c r="DH216" s="4">
        <v>-6.661338147750939e-16</v>
      </c>
      <c r="DI216" s="6"/>
      <c r="DJ216" s="4">
        <v>-6.661338147750939e-16</v>
      </c>
      <c r="DK216" s="4">
        <v>-6.661338147750939e-16</v>
      </c>
      <c r="DL216" s="4">
        <v>-0.008476013460911865</v>
      </c>
      <c r="DM216" s="4">
        <v>0</v>
      </c>
      <c r="DN216" s="4">
        <v>-0.008476013460911199</v>
      </c>
      <c r="DO216" s="4">
        <v>1.921</v>
      </c>
      <c r="DP216" s="4">
        <v>1.897</v>
      </c>
      <c r="DQ216" s="6"/>
      <c r="DR216" s="6"/>
      <c r="DS216" s="6"/>
      <c r="DT216" s="9"/>
      <c r="DU216" s="7">
        <f>IFERROR(DM216/F216,0)</f>
        <v>0</v>
      </c>
      <c r="DV216" t="inlineStr">
        <is>
          <t xml:space="preserve">Keep cash / margin / financing</t>
        </is>
      </c>
      <c r="DW216" t="inlineStr">
        <is>
          <t xml:space="preserve">cash</t>
        </is>
      </c>
      <c r="DX216" t="inlineStr">
        <is>
          <t xml:space="preserve">keep</t>
        </is>
      </c>
      <c r="DY216" t="inlineStr">
        <is>
          <t xml:space="preserve">cash</t>
        </is>
      </c>
      <c r="DZ216"/>
      <c r="EA216" s="4">
        <v>1</v>
      </c>
      <c r="EB216" s="4">
        <v>1</v>
      </c>
      <c r="EC216" s="4">
        <v>0</v>
      </c>
      <c r="ED216" s="6"/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1.921</v>
      </c>
      <c r="EK216" s="4">
        <v>1.897</v>
      </c>
      <c r="EL216" s="6"/>
      <c r="EM216" s="6"/>
      <c r="EN216" s="6"/>
      <c r="EO216" s="9"/>
      <c r="EP216" s="7">
        <f>IFERROR(EH216/F216,0)</f>
        <v>0</v>
      </c>
      <c r="EQ216"/>
      <c r="ER216"/>
      <c r="ES216"/>
      <c r="ET216"/>
      <c r="EU216"/>
      <c r="EV216" s="4"/>
      <c r="EW216" s="4"/>
      <c r="EX216" s="4"/>
      <c r="EY216" s="6"/>
      <c r="EZ216" s="4"/>
      <c r="FA216" s="4"/>
      <c r="FB216" s="4"/>
      <c r="FC216" s="4"/>
      <c r="FD216" s="4"/>
      <c r="FE216" s="4"/>
      <c r="FF216" s="4"/>
      <c r="FG216" s="6"/>
      <c r="FH216" s="6"/>
      <c r="FI216" s="6"/>
      <c r="FJ216" s="9"/>
      <c r="FK216"/>
      <c r="FL216"/>
      <c r="FM216"/>
      <c r="FN216"/>
      <c r="FO216"/>
      <c r="FP216"/>
      <c r="FQ216" s="4"/>
      <c r="FR216" s="4"/>
      <c r="FS216" s="4"/>
      <c r="FT216" s="6"/>
      <c r="FU216" s="4"/>
      <c r="FV216" s="4"/>
      <c r="FW216" s="4"/>
      <c r="FX216" s="4"/>
      <c r="FY216" s="4"/>
      <c r="FZ216" s="4"/>
      <c r="GA216" s="4"/>
      <c r="GB216" s="6"/>
      <c r="GC216" s="6"/>
      <c r="GD216" s="6"/>
      <c r="GE216" s="9"/>
      <c r="GF216"/>
      <c r="GG216"/>
      <c r="GH216"/>
      <c r="GI216"/>
      <c r="GJ216"/>
      <c r="GK216"/>
      <c r="GL216" s="4"/>
      <c r="GM216" s="4"/>
      <c r="GN216" s="4"/>
      <c r="GO216" s="6"/>
      <c r="GP216" s="4"/>
      <c r="GQ216" s="4"/>
      <c r="GR216" s="4"/>
      <c r="GS216" s="4"/>
      <c r="GT216" s="4"/>
      <c r="GU216" s="4"/>
      <c r="GV216" s="4"/>
      <c r="GW216" s="6"/>
      <c r="GX216" s="6"/>
      <c r="GY216" s="6"/>
      <c r="GZ216" s="9"/>
      <c r="HA216"/>
      <c r="HB216"/>
      <c r="HC216"/>
      <c r="HD216"/>
      <c r="HE216"/>
      <c r="HF216"/>
      <c r="HG216" s="4"/>
      <c r="HH216" s="4"/>
      <c r="HI216" s="4"/>
      <c r="HJ216" s="6"/>
      <c r="HK216" s="4"/>
      <c r="HL216" s="4"/>
      <c r="HM216" s="4"/>
      <c r="HN216" s="4"/>
      <c r="HO216" s="4"/>
      <c r="HP216" s="4"/>
      <c r="HQ216" s="4"/>
      <c r="HR216" s="6"/>
      <c r="HS216" s="6"/>
      <c r="HT216" s="6"/>
      <c r="HU216" s="9"/>
      <c r="HV216"/>
      <c r="HW216"/>
      <c r="HX216"/>
      <c r="HY216"/>
      <c r="HZ216"/>
      <c r="IA216"/>
      <c r="IB216" s="4"/>
      <c r="IC216" s="4"/>
      <c r="ID216" s="4"/>
      <c r="IE216" s="6"/>
      <c r="IF216" s="4"/>
      <c r="IG216" s="4"/>
      <c r="IH216" s="4"/>
      <c r="II216" s="4"/>
      <c r="IJ216" s="4"/>
      <c r="IK216" s="4"/>
      <c r="IL216" s="4"/>
      <c r="IM216" s="6"/>
      <c r="IN216" s="6"/>
      <c r="IO216" s="6"/>
      <c r="IP216" s="9"/>
      <c r="IQ216"/>
      <c r="IR216"/>
      <c r="IS216"/>
      <c r="IT216"/>
      <c r="IU216"/>
      <c r="IV216"/>
      <c r="IW216" s="4"/>
      <c r="IX216" s="4"/>
      <c r="IY216" s="4"/>
      <c r="IZ216" s="6"/>
      <c r="JA216" s="4"/>
      <c r="JB216" s="4"/>
      <c r="JC216" s="4"/>
      <c r="JD216" s="4"/>
      <c r="JE216" s="4"/>
      <c r="JF216" s="4"/>
      <c r="JG216" s="4"/>
      <c r="JH216" s="6"/>
      <c r="JI216" s="6"/>
      <c r="JJ216" s="6"/>
      <c r="JK216" s="9"/>
      <c r="JL216"/>
    </row>
    <row r="217">
      <c r="A217" s="8">
        <v>25525</v>
      </c>
      <c r="B217" s="8">
        <v>25526</v>
      </c>
      <c r="C217" s="9">
        <f>B217-A217</f>
        <v>1</v>
      </c>
      <c r="D217" s="8">
        <v>25525</v>
      </c>
      <c r="E217" t="inlineStr">
        <is>
          <t xml:space="preserve">positive</t>
        </is>
      </c>
      <c r="F217" s="4">
        <v>1.9816535572061638</v>
      </c>
      <c r="G217" s="6">
        <v>0.010892447439747826</v>
      </c>
      <c r="H217" s="7">
        <f>SUM(CE217,CZ217,DU217,EP217,FK217,GF217,HA217,HV217,IQ217,JL217)</f>
        <v>0.010892447439747825</v>
      </c>
      <c r="I217" s="7">
        <f>G217-H217</f>
        <v>1.734723475976807e-18</v>
      </c>
      <c r="J217" s="5">
        <f>F217*(1+H217)</f>
        <v>2.003238614421821</v>
      </c>
      <c r="K217" s="4">
        <v>2.003238614421821</v>
      </c>
      <c r="L217" s="5">
        <f>K217-J217</f>
        <v>0</v>
      </c>
      <c r="M217" s="4">
        <v>1.897</v>
      </c>
      <c r="N217" s="4">
        <v>1.877</v>
      </c>
      <c r="O217" s="5">
        <f>M217/$M$3</f>
        <v>0.9688457609805925</v>
      </c>
      <c r="P217" s="5">
        <f>N217/$M$3</f>
        <v>0.9586312563840654</v>
      </c>
      <c r="Q217" s="7">
        <f>IFERROR(N217/M217-1,0)</f>
        <v>-0.010542962572482883</v>
      </c>
      <c r="R217" s="5">
        <f>SUM(IF(BM217="lease",BU217,0),IF(CH217="lease",CP217,0),IF(DC217="lease",DK217,0),IF(DX217="lease",EF217,0),IF(ES217="lease",FA217,0),IF(FN217="lease",FV217,0),IF(GI217="lease",GQ217,0),IF(HD217="lease",HL217,0),IF(HY217="lease",IG217,0),IF(IT217="lease",JB217,0))</f>
        <v>1.981653557206163</v>
      </c>
      <c r="S217" s="5">
        <f>SUM(IF(BM217="lease",BV217,0),IF(CH217="lease",CQ217,0),IF(DC217="lease",DL217,0),IF(DX217="lease",EG217,0),IF(ES217="lease",FB217,0),IF(FN217="lease",FW217,0),IF(GI217="lease",GR217,0),IF(HD217="lease",HM217,0),IF(HY217="lease",IH217,0),IF(IT217="lease",JC217,0))</f>
        <v>2.0032386144218206</v>
      </c>
      <c r="T217" s="5">
        <f>SUM(IF(BM217="keep",BU217,0),IF(CH217="keep",CP217,0),IF(DC217="keep",DK217,0),IF(DX217="keep",EF217,0),IF(ES217="keep",FA217,0),IF(FN217="keep",FV217,0),IF(GI217="keep",GQ217,0),IF(HD217="keep",HL217,0),IF(HY217="keep",IG217,0),IF(IT217="keep",JB217,0))</f>
        <v>0</v>
      </c>
      <c r="U217" s="5">
        <f>SUM(IF(BM217="keep",BV217,0),IF(CH217="keep",CQ217,0),IF(DC217="keep",DL217,0),IF(DX217="keep",EG217,0),IF(ES217="keep",FB217,0),IF(FN217="keep",FW217,0),IF(GI217="keep",GR217,0),IF(HD217="keep",HM217,0),IF(HY217="keep",IH217,0),IF(IT217="keep",JC217,0))</f>
        <v>0</v>
      </c>
      <c r="V217" s="5">
        <f>R217/O217</f>
        <v>2.045375680026182</v>
      </c>
      <c r="W217" s="5">
        <f>S217/P217</f>
        <v>2.0896863116877595</v>
      </c>
      <c r="X217" s="5">
        <f>T217/O217</f>
        <v>0</v>
      </c>
      <c r="Y217" s="5">
        <f>U217/P217</f>
        <v>0</v>
      </c>
      <c r="Z217" s="5">
        <f>V217+X217</f>
        <v>2.045375680026182</v>
      </c>
      <c r="AA217" s="7">
        <f>IFERROR(W217/V217-1,0)</f>
        <v>0.021663810758232094</v>
      </c>
      <c r="AB217" s="7">
        <f>IFERROR((W217-V217)/Z217,0)</f>
        <v>0.02166381075823213</v>
      </c>
      <c r="AC217" s="7">
        <f>IFERROR(Y217/X217-1,0)</f>
        <v>0</v>
      </c>
      <c r="AD217" s="7">
        <f>IFERROR((Y217-X217)/Z217,0)</f>
        <v>0</v>
      </c>
      <c r="AE217" s="7">
        <f>AB217+AD217</f>
        <v>0.02166381075823213</v>
      </c>
      <c r="AF217" s="7">
        <f>(1+Q217)*(1+AE217)-1</f>
        <v>0.010892447439747821</v>
      </c>
      <c r="AG217" s="7">
        <f>G217-AF217</f>
        <v>5.204170427930421e-18</v>
      </c>
      <c r="AH217" s="5">
        <f>SUM(IF(BM217="lease",BW217,0),IF(CH217="lease",CR217,0),IF(DC217="lease",DM217,0),IF(DX217="lease",EH217,0),IF(ES217="lease",FC217,0),IF(FN217="lease",FX217,0),IF(GI217="lease",GS217,0),IF(HD217="lease",HN217,0),IF(HY217="lease",II217,0),IF(IT217="lease",JD217,0))</f>
        <v>0.021585057215657448</v>
      </c>
      <c r="AI217" s="5">
        <f>SUM(IF(BM217="keep",BW217,0),IF(CH217="keep",CR217,0),IF(DC217="keep",DM217,0),IF(DX217="keep",EH217,0),IF(ES217="keep",FC217,0),IF(FN217="keep",FX217,0),IF(GI217="keep",GS217,0),IF(HD217="keep",HN217,0),IF(HY217="keep",II217,0),IF(IT217="keep",JD217,0))</f>
        <v>0</v>
      </c>
      <c r="AJ217" s="5">
        <f>SUM(IF(BM217="lease",BX217,0),IF(CH217="lease",CS217,0),IF(DC217="lease",DN217,0),IF(DX217="lease",EI217,0),IF(ES217="lease",FD217,0),IF(FN217="lease",FY217,0),IF(GI217="lease",GT217,0),IF(HD217="lease",HO217,0),IF(HY217="lease",IJ217,0),IF(IT217="lease",JE217,0))</f>
        <v>0</v>
      </c>
      <c r="AK217" s="5">
        <f>SUM(IF(BM217="keep",BX217,0),IF(CH217="keep",CS217,0),IF(DC217="keep",DN217,0),IF(DX217="keep",EI217,0),IF(ES217="keep",FD217,0),IF(FN217="keep",FY217,0),IF(GI217="keep",GT217,0),IF(HD217="keep",HO217,0),IF(HY217="keep",IJ217,0),IF(IT217="keep",JE217,0))</f>
        <v>0</v>
      </c>
      <c r="AL217" s="5">
        <f>R217-S216</f>
        <v>0</v>
      </c>
      <c r="AM217" s="5">
        <f>T217-U216</f>
        <v>0</v>
      </c>
      <c r="AN217" s="5">
        <f>AN216</f>
        <v>1</v>
      </c>
      <c r="AO217" s="5">
        <f>AO216+AH217</f>
        <v>1.003238614421821</v>
      </c>
      <c r="AP217" s="5">
        <f>AP216+AL217</f>
        <v>2.220446049250313e-16</v>
      </c>
      <c r="AQ217" s="5">
        <f>AN217+AO217+AP217</f>
        <v>2.0032386144218215</v>
      </c>
      <c r="AR217" s="5">
        <f>S217-AQ217</f>
        <v>-8.881784197001252e-16</v>
      </c>
      <c r="AS217" s="5">
        <f>AS216</f>
        <v>0</v>
      </c>
      <c r="AT217" s="5">
        <f>AT216+AI217</f>
        <v>0</v>
      </c>
      <c r="AU217" s="5">
        <f>AU216+AM217</f>
        <v>0</v>
      </c>
      <c r="AV217" s="5">
        <f>AS217+AT217+AU217</f>
        <v>0</v>
      </c>
      <c r="AW217" s="5">
        <f>U217-AV217</f>
        <v>0</v>
      </c>
      <c r="AX217" s="4">
        <v>1.981653557206163</v>
      </c>
      <c r="AY217" s="4">
        <v>2.0032386144218206</v>
      </c>
      <c r="AZ217" s="5">
        <f>S217-AY217</f>
        <v>0</v>
      </c>
      <c r="BA217" s="4">
        <v>0</v>
      </c>
      <c r="BB217" s="4">
        <v>0</v>
      </c>
      <c r="BC217" s="5">
        <f>U217-BB217</f>
        <v>0</v>
      </c>
      <c r="BD217" s="7">
        <f>SUM(IF(BL217="direct",CE217,0),IF(CG217="direct",CZ217,0),IF(DB217="direct",DU217,0),IF(DW217="direct",EP217,0),IF(ER217="direct",FK217,0),IF(FM217="direct",GF217,0),IF(GH217="direct",HA217,0),IF(HC217="direct",HV217,0),IF(HX217="direct",IQ217,0),IF(IS217="direct",JL217,0))</f>
        <v>0</v>
      </c>
      <c r="BE217" s="7">
        <f>SUM(IF(BL217="treasury",CE217,0),IF(CG217="treasury",CZ217,0),IF(DB217="treasury",DU217,0),IF(DW217="treasury",EP217,0),IF(ER217="treasury",FK217,0),IF(FM217="treasury",GF217,0),IF(GH217="treasury",HA217,0),IF(HC217="treasury",HV217,0),IF(HX217="treasury",IQ217,0),IF(IS217="treasury",JL217,0))</f>
        <v>0.00019726027397260276</v>
      </c>
      <c r="BF217" s="7">
        <f>SUM(IF(BL217="future",CE217,0),IF(CG217="future",CZ217,0),IF(DB217="future",DU217,0),IF(DW217="future",EP217,0),IF(ER217="future",FK217,0),IF(FM217="future",GF217,0),IF(GH217="future",HA217,0),IF(HC217="future",HV217,0),IF(HX217="future",IQ217,0),IF(IS217="future",JL217,0))</f>
        <v>0.010695187165775222</v>
      </c>
      <c r="BG217" s="7">
        <f>SUM(IF(BL217="cash",CE217,0),IF(CG217="cash",CZ217,0),IF(DB217="cash",DU217,0),IF(DW217="cash",EP217,0),IF(ER217="cash",FK217,0),IF(FM217="cash",GF217,0),IF(GH217="cash",HA217,0),IF(HC217="cash",HV217,0),IF(HX217="cash",IQ217,0),IF(IS217="cash",JL217,0))</f>
        <v>0</v>
      </c>
      <c r="BH217" s="7">
        <f>SUM(BD217:BG217)</f>
        <v>0.010892447439747825</v>
      </c>
      <c r="BI217" s="7">
        <f>G217-BH217</f>
        <v>1.734723475976807e-18</v>
      </c>
      <c r="BJ217" s="9">
        <f>COUNTA(BK217,CF217,DA217,DV217,EQ217,FL217,GG217,HB217,HW217,IR217)</f>
        <v>4</v>
      </c>
      <c r="BK217" t="inlineStr">
        <is>
          <t xml:space="preserve">Treasury collateral</t>
        </is>
      </c>
      <c r="BL217" t="inlineStr">
        <is>
          <t xml:space="preserve">treasury</t>
        </is>
      </c>
      <c r="BM217" t="inlineStr">
        <is>
          <t xml:space="preserve">lease</t>
        </is>
      </c>
      <c r="BN217" t="inlineStr">
        <is>
          <t xml:space="preserve">long</t>
        </is>
      </c>
      <c r="BO217"/>
      <c r="BP217" s="4">
        <v>105.88689950547668</v>
      </c>
      <c r="BQ217" s="4">
        <v>105.90778678428323</v>
      </c>
      <c r="BR217" s="4">
        <v>0.018714813319315945</v>
      </c>
      <c r="BS217" s="6">
        <v>1</v>
      </c>
      <c r="BT217" s="4">
        <v>1.9816535572061638</v>
      </c>
      <c r="BU217" s="4">
        <v>1.9816535572061638</v>
      </c>
      <c r="BV217" s="4">
        <v>1.9820444587297772</v>
      </c>
      <c r="BW217" s="4">
        <v>0.0003909015236132707</v>
      </c>
      <c r="BX217" s="4">
        <v>1.5872719805187785e-16</v>
      </c>
      <c r="BY217" s="4">
        <v>1.897</v>
      </c>
      <c r="BZ217" s="4">
        <v>1.877</v>
      </c>
      <c r="CA217" s="6"/>
      <c r="CB217" s="6"/>
      <c r="CC217" s="6"/>
      <c r="CD217" s="9">
        <v>41</v>
      </c>
      <c r="CE217" s="7">
        <f>IFERROR(BW217/F217,0)</f>
        <v>0.00019726027397260276</v>
      </c>
      <c r="CF217" t="inlineStr">
        <is>
          <t xml:space="preserve">SI69Z</t>
        </is>
      </c>
      <c r="CG217" t="inlineStr">
        <is>
          <t xml:space="preserve">future</t>
        </is>
      </c>
      <c r="CH217" t="inlineStr">
        <is>
          <t xml:space="preserve">lease</t>
        </is>
      </c>
      <c r="CI217" t="inlineStr">
        <is>
          <t xml:space="preserve">long</t>
        </is>
      </c>
      <c r="CJ217" t="inlineStr">
        <is>
          <t xml:space="preserve">regular</t>
        </is>
      </c>
      <c r="CK217" s="4">
        <v>1.87</v>
      </c>
      <c r="CL217" s="4">
        <v>1.89</v>
      </c>
      <c r="CM217" s="4">
        <v>1.0597077846022265</v>
      </c>
      <c r="CN217" s="6">
        <v>1</v>
      </c>
      <c r="CO217" s="4">
        <v>1.9816535572061638</v>
      </c>
      <c r="CP217" s="4">
        <v>0</v>
      </c>
      <c r="CQ217" s="4">
        <v>0</v>
      </c>
      <c r="CR217" s="4">
        <v>0.021194155692044178</v>
      </c>
      <c r="CS217" s="4">
        <v>-0.021194155692044178</v>
      </c>
      <c r="CT217" s="4">
        <v>1.897</v>
      </c>
      <c r="CU217" s="4">
        <v>1.877</v>
      </c>
      <c r="CV217" s="6">
        <v>-0.014232999472851837</v>
      </c>
      <c r="CW217" s="6">
        <v>0.07200000000000001</v>
      </c>
      <c r="CX217" s="6">
        <v>0.19870840994124198</v>
      </c>
      <c r="CY217" s="9">
        <v>41</v>
      </c>
      <c r="CZ217" s="7">
        <f>IFERROR(CR217/F217,0)</f>
        <v>0.010695187165775222</v>
      </c>
      <c r="DA217" t="inlineStr">
        <is>
          <t xml:space="preserve">Lease cash / margin / financing</t>
        </is>
      </c>
      <c r="DB217" t="inlineStr">
        <is>
          <t xml:space="preserve">cash</t>
        </is>
      </c>
      <c r="DC217" t="inlineStr">
        <is>
          <t xml:space="preserve">lease</t>
        </is>
      </c>
      <c r="DD217" t="inlineStr">
        <is>
          <t xml:space="preserve">cash</t>
        </is>
      </c>
      <c r="DE217"/>
      <c r="DF217" s="4">
        <v>1</v>
      </c>
      <c r="DG217" s="4">
        <v>1</v>
      </c>
      <c r="DH217" s="4">
        <v>-6.661338147750939e-16</v>
      </c>
      <c r="DI217" s="6"/>
      <c r="DJ217" s="4">
        <v>-6.661338147750939e-16</v>
      </c>
      <c r="DK217" s="4">
        <v>-6.661338147750939e-16</v>
      </c>
      <c r="DL217" s="4">
        <v>0.021194155692043352</v>
      </c>
      <c r="DM217" s="4">
        <v>0</v>
      </c>
      <c r="DN217" s="4">
        <v>0.02119415569204402</v>
      </c>
      <c r="DO217" s="4">
        <v>1.897</v>
      </c>
      <c r="DP217" s="4">
        <v>1.877</v>
      </c>
      <c r="DQ217" s="6"/>
      <c r="DR217" s="6"/>
      <c r="DS217" s="6"/>
      <c r="DT217" s="9"/>
      <c r="DU217" s="7">
        <f>IFERROR(DM217/F217,0)</f>
        <v>0</v>
      </c>
      <c r="DV217" t="inlineStr">
        <is>
          <t xml:space="preserve">Keep cash / margin / financing</t>
        </is>
      </c>
      <c r="DW217" t="inlineStr">
        <is>
          <t xml:space="preserve">cash</t>
        </is>
      </c>
      <c r="DX217" t="inlineStr">
        <is>
          <t xml:space="preserve">keep</t>
        </is>
      </c>
      <c r="DY217" t="inlineStr">
        <is>
          <t xml:space="preserve">cash</t>
        </is>
      </c>
      <c r="DZ217"/>
      <c r="EA217" s="4">
        <v>1</v>
      </c>
      <c r="EB217" s="4">
        <v>1</v>
      </c>
      <c r="EC217" s="4">
        <v>0</v>
      </c>
      <c r="ED217" s="6"/>
      <c r="EE217" s="4">
        <v>0</v>
      </c>
      <c r="EF217" s="4">
        <v>0</v>
      </c>
      <c r="EG217" s="4">
        <v>0</v>
      </c>
      <c r="EH217" s="4">
        <v>0</v>
      </c>
      <c r="EI217" s="4">
        <v>0</v>
      </c>
      <c r="EJ217" s="4">
        <v>1.897</v>
      </c>
      <c r="EK217" s="4">
        <v>1.877</v>
      </c>
      <c r="EL217" s="6"/>
      <c r="EM217" s="6"/>
      <c r="EN217" s="6"/>
      <c r="EO217" s="9"/>
      <c r="EP217" s="7">
        <f>IFERROR(EH217/F217,0)</f>
        <v>0</v>
      </c>
      <c r="EQ217"/>
      <c r="ER217"/>
      <c r="ES217"/>
      <c r="ET217"/>
      <c r="EU217"/>
      <c r="EV217" s="4"/>
      <c r="EW217" s="4"/>
      <c r="EX217" s="4"/>
      <c r="EY217" s="6"/>
      <c r="EZ217" s="4"/>
      <c r="FA217" s="4"/>
      <c r="FB217" s="4"/>
      <c r="FC217" s="4"/>
      <c r="FD217" s="4"/>
      <c r="FE217" s="4"/>
      <c r="FF217" s="4"/>
      <c r="FG217" s="6"/>
      <c r="FH217" s="6"/>
      <c r="FI217" s="6"/>
      <c r="FJ217" s="9"/>
      <c r="FK217"/>
      <c r="FL217"/>
      <c r="FM217"/>
      <c r="FN217"/>
      <c r="FO217"/>
      <c r="FP217"/>
      <c r="FQ217" s="4"/>
      <c r="FR217" s="4"/>
      <c r="FS217" s="4"/>
      <c r="FT217" s="6"/>
      <c r="FU217" s="4"/>
      <c r="FV217" s="4"/>
      <c r="FW217" s="4"/>
      <c r="FX217" s="4"/>
      <c r="FY217" s="4"/>
      <c r="FZ217" s="4"/>
      <c r="GA217" s="4"/>
      <c r="GB217" s="6"/>
      <c r="GC217" s="6"/>
      <c r="GD217" s="6"/>
      <c r="GE217" s="9"/>
      <c r="GF217"/>
      <c r="GG217"/>
      <c r="GH217"/>
      <c r="GI217"/>
      <c r="GJ217"/>
      <c r="GK217"/>
      <c r="GL217" s="4"/>
      <c r="GM217" s="4"/>
      <c r="GN217" s="4"/>
      <c r="GO217" s="6"/>
      <c r="GP217" s="4"/>
      <c r="GQ217" s="4"/>
      <c r="GR217" s="4"/>
      <c r="GS217" s="4"/>
      <c r="GT217" s="4"/>
      <c r="GU217" s="4"/>
      <c r="GV217" s="4"/>
      <c r="GW217" s="6"/>
      <c r="GX217" s="6"/>
      <c r="GY217" s="6"/>
      <c r="GZ217" s="9"/>
      <c r="HA217"/>
      <c r="HB217"/>
      <c r="HC217"/>
      <c r="HD217"/>
      <c r="HE217"/>
      <c r="HF217"/>
      <c r="HG217" s="4"/>
      <c r="HH217" s="4"/>
      <c r="HI217" s="4"/>
      <c r="HJ217" s="6"/>
      <c r="HK217" s="4"/>
      <c r="HL217" s="4"/>
      <c r="HM217" s="4"/>
      <c r="HN217" s="4"/>
      <c r="HO217" s="4"/>
      <c r="HP217" s="4"/>
      <c r="HQ217" s="4"/>
      <c r="HR217" s="6"/>
      <c r="HS217" s="6"/>
      <c r="HT217" s="6"/>
      <c r="HU217" s="9"/>
      <c r="HV217"/>
      <c r="HW217"/>
      <c r="HX217"/>
      <c r="HY217"/>
      <c r="HZ217"/>
      <c r="IA217"/>
      <c r="IB217" s="4"/>
      <c r="IC217" s="4"/>
      <c r="ID217" s="4"/>
      <c r="IE217" s="6"/>
      <c r="IF217" s="4"/>
      <c r="IG217" s="4"/>
      <c r="IH217" s="4"/>
      <c r="II217" s="4"/>
      <c r="IJ217" s="4"/>
      <c r="IK217" s="4"/>
      <c r="IL217" s="4"/>
      <c r="IM217" s="6"/>
      <c r="IN217" s="6"/>
      <c r="IO217" s="6"/>
      <c r="IP217" s="9"/>
      <c r="IQ217"/>
      <c r="IR217"/>
      <c r="IS217"/>
      <c r="IT217"/>
      <c r="IU217"/>
      <c r="IV217"/>
      <c r="IW217" s="4"/>
      <c r="IX217" s="4"/>
      <c r="IY217" s="4"/>
      <c r="IZ217" s="6"/>
      <c r="JA217" s="4"/>
      <c r="JB217" s="4"/>
      <c r="JC217" s="4"/>
      <c r="JD217" s="4"/>
      <c r="JE217" s="4"/>
      <c r="JF217" s="4"/>
      <c r="JG217" s="4"/>
      <c r="JH217" s="6"/>
      <c r="JI217" s="6"/>
      <c r="JJ217" s="6"/>
      <c r="JK217" s="9"/>
      <c r="JL217"/>
    </row>
    <row r="218">
      <c r="A218" s="8">
        <v>25526</v>
      </c>
      <c r="B218" s="8">
        <v>25527</v>
      </c>
      <c r="C218" s="9">
        <f>B218-A218</f>
        <v>1</v>
      </c>
      <c r="D218" s="8">
        <v>25526</v>
      </c>
      <c r="E218" t="inlineStr">
        <is>
          <t xml:space="preserve">positive</t>
        </is>
      </c>
      <c r="F218" s="4">
        <v>2.003238614421821</v>
      </c>
      <c r="G218" s="6">
        <v>0.01325494937476911</v>
      </c>
      <c r="H218" s="7">
        <f>SUM(CE218,CZ218,DU218,EP218,FK218,GF218,HA218,HV218,IQ218,JL218)</f>
        <v>0.01325494937476911</v>
      </c>
      <c r="I218" s="7">
        <f>G218-H218</f>
        <v>0</v>
      </c>
      <c r="J218" s="5">
        <f>F218*(1+H218)</f>
        <v>2.029791440841565</v>
      </c>
      <c r="K218" s="4">
        <v>2.029791440841565</v>
      </c>
      <c r="L218" s="5">
        <f>K218-J218</f>
        <v>0</v>
      </c>
      <c r="M218" s="4">
        <v>1.877</v>
      </c>
      <c r="N218" s="4">
        <v>1.902</v>
      </c>
      <c r="O218" s="5">
        <f>M218/$M$3</f>
        <v>0.9586312563840654</v>
      </c>
      <c r="P218" s="5">
        <f>N218/$M$3</f>
        <v>0.9713993871297242</v>
      </c>
      <c r="Q218" s="7">
        <f>IFERROR(N218/M218-1,0)</f>
        <v>0.01331912626531695</v>
      </c>
      <c r="R218" s="5">
        <f>SUM(IF(BM218="lease",BU218,0),IF(CH218="lease",CP218,0),IF(DC218="lease",DK218,0),IF(DX218="lease",EF218,0),IF(ES218="lease",FA218,0),IF(FN218="lease",FV218,0),IF(GI218="lease",GQ218,0),IF(HD218="lease",HL218,0),IF(HY218="lease",IG218,0),IF(IT218="lease",JB218,0))</f>
        <v>2.0032386144218206</v>
      </c>
      <c r="S218" s="5">
        <f>SUM(IF(BM218="lease",BV218,0),IF(CH218="lease",CQ218,0),IF(DC218="lease",DL218,0),IF(DX218="lease",EG218,0),IF(ES218="lease",FB218,0),IF(FN218="lease",FW218,0),IF(GI218="lease",GR218,0),IF(HD218="lease",HM218,0),IF(HY218="lease",IH218,0),IF(IT218="lease",JC218,0))</f>
        <v>2.0297914408415645</v>
      </c>
      <c r="T218" s="5">
        <f>SUM(IF(BM218="keep",BU218,0),IF(CH218="keep",CP218,0),IF(DC218="keep",DK218,0),IF(DX218="keep",EF218,0),IF(ES218="keep",FA218,0),IF(FN218="keep",FV218,0),IF(GI218="keep",GQ218,0),IF(HD218="keep",HL218,0),IF(HY218="keep",IG218,0),IF(IT218="keep",JB218,0))</f>
        <v>0</v>
      </c>
      <c r="U218" s="5">
        <f>SUM(IF(BM218="keep",BV218,0),IF(CH218="keep",CQ218,0),IF(DC218="keep",DL218,0),IF(DX218="keep",EG218,0),IF(ES218="keep",FB218,0),IF(FN218="keep",FW218,0),IF(GI218="keep",GR218,0),IF(HD218="keep",HM218,0),IF(HY218="keep",IH218,0),IF(IT218="keep",JC218,0))</f>
        <v>0</v>
      </c>
      <c r="V218" s="5">
        <f>R218/O218</f>
        <v>2.0896863116877595</v>
      </c>
      <c r="W218" s="5">
        <f>S218/P218</f>
        <v>2.0895539648621364</v>
      </c>
      <c r="X218" s="5">
        <f>T218/O218</f>
        <v>0</v>
      </c>
      <c r="Y218" s="5">
        <f>U218/P218</f>
        <v>0</v>
      </c>
      <c r="Z218" s="5">
        <f>V218+X218</f>
        <v>2.0896863116877595</v>
      </c>
      <c r="AA218" s="7">
        <f>IFERROR(W218/V218-1,0)</f>
        <v>-0.0000633333457193963</v>
      </c>
      <c r="AB218" s="7">
        <f>IFERROR((W218-V218)/Z218,0)</f>
        <v>-0.00006333334571935792</v>
      </c>
      <c r="AC218" s="7">
        <f>IFERROR(Y218/X218-1,0)</f>
        <v>0</v>
      </c>
      <c r="AD218" s="7">
        <f>IFERROR((Y218-X218)/Z218,0)</f>
        <v>0</v>
      </c>
      <c r="AE218" s="7">
        <f>AB218+AD218</f>
        <v>-0.00006333334571935792</v>
      </c>
      <c r="AF218" s="7">
        <f>(1+Q218)*(1+AE218)-1</f>
        <v>0.01325494937476912</v>
      </c>
      <c r="AG218" s="7">
        <f>G218-AF218</f>
        <v>-1.0408340855860843e-17</v>
      </c>
      <c r="AH218" s="5">
        <f>SUM(IF(BM218="lease",BW218,0),IF(CH218="lease",CR218,0),IF(DC218="lease",DM218,0),IF(DX218="lease",EH218,0),IF(ES218="lease",FC218,0),IF(FN218="lease",FX218,0),IF(GI218="lease",GS218,0),IF(HD218="lease",HN218,0),IF(HY218="lease",II218,0),IF(IT218="lease",JD218,0))</f>
        <v>0.026552826419743856</v>
      </c>
      <c r="AI218" s="5">
        <f>SUM(IF(BM218="keep",BW218,0),IF(CH218="keep",CR218,0),IF(DC218="keep",DM218,0),IF(DX218="keep",EH218,0),IF(ES218="keep",FC218,0),IF(FN218="keep",FX218,0),IF(GI218="keep",GS218,0),IF(HD218="keep",HN218,0),IF(HY218="keep",II218,0),IF(IT218="keep",JD218,0))</f>
        <v>0</v>
      </c>
      <c r="AJ218" s="5">
        <f>SUM(IF(BM218="lease",BX218,0),IF(CH218="lease",CS218,0),IF(DC218="lease",DN218,0),IF(DX218="lease",EI218,0),IF(ES218="lease",FD218,0),IF(FN218="lease",FY218,0),IF(GI218="lease",GT218,0),IF(HD218="lease",HO218,0),IF(HY218="lease",IJ218,0),IF(IT218="lease",JE218,0))</f>
        <v>0</v>
      </c>
      <c r="AK218" s="5">
        <f>SUM(IF(BM218="keep",BX218,0),IF(CH218="keep",CS218,0),IF(DC218="keep",DN218,0),IF(DX218="keep",EI218,0),IF(ES218="keep",FD218,0),IF(FN218="keep",FY218,0),IF(GI218="keep",GT218,0),IF(HD218="keep",HO218,0),IF(HY218="keep",IJ218,0),IF(IT218="keep",JE218,0))</f>
        <v>0</v>
      </c>
      <c r="AL218" s="5">
        <f>R218-S217</f>
        <v>0</v>
      </c>
      <c r="AM218" s="5">
        <f>T218-U217</f>
        <v>0</v>
      </c>
      <c r="AN218" s="5">
        <f>AN217</f>
        <v>1</v>
      </c>
      <c r="AO218" s="5">
        <f>AO217+AH218</f>
        <v>1.029791440841565</v>
      </c>
      <c r="AP218" s="5">
        <f>AP217+AL218</f>
        <v>2.220446049250313e-16</v>
      </c>
      <c r="AQ218" s="5">
        <f>AN218+AO218+AP218</f>
        <v>2.0297914408415654</v>
      </c>
      <c r="AR218" s="5">
        <f>S218-AQ218</f>
        <v>-8.881784197001252e-16</v>
      </c>
      <c r="AS218" s="5">
        <f>AS217</f>
        <v>0</v>
      </c>
      <c r="AT218" s="5">
        <f>AT217+AI218</f>
        <v>0</v>
      </c>
      <c r="AU218" s="5">
        <f>AU217+AM218</f>
        <v>0</v>
      </c>
      <c r="AV218" s="5">
        <f>AS218+AT218+AU218</f>
        <v>0</v>
      </c>
      <c r="AW218" s="5">
        <f>U218-AV218</f>
        <v>0</v>
      </c>
      <c r="AX218" s="4">
        <v>2.0032386144218206</v>
      </c>
      <c r="AY218" s="4">
        <v>2.0297914408415645</v>
      </c>
      <c r="AZ218" s="5">
        <f>S218-AY218</f>
        <v>0</v>
      </c>
      <c r="BA218" s="4">
        <v>0</v>
      </c>
      <c r="BB218" s="4">
        <v>0</v>
      </c>
      <c r="BC218" s="5">
        <f>U218-BB218</f>
        <v>0</v>
      </c>
      <c r="BD218" s="7">
        <f>SUM(IF(BL218="direct",CE218,0),IF(CG218="direct",CZ218,0),IF(DB218="direct",DU218,0),IF(DW218="direct",EP218,0),IF(ER218="direct",FK218,0),IF(FM218="direct",GF218,0),IF(GH218="direct",HA218,0),IF(HC218="direct",HV218,0),IF(HX218="direct",IQ218,0),IF(IS218="direct",JL218,0))</f>
        <v>0.012504599286984998</v>
      </c>
      <c r="BE218" s="7">
        <f>SUM(IF(BL218="treasury",CE218,0),IF(CG218="treasury",CZ218,0),IF(DB218="treasury",DU218,0),IF(DW218="treasury",EP218,0),IF(ER218="treasury",FK218,0),IF(FM218="treasury",GF218,0),IF(GH218="treasury",HA218,0),IF(HC218="treasury",HV218,0),IF(HX218="treasury",IQ218,0),IF(IS218="treasury",JL218,0))</f>
        <v>0.0000120179712598792</v>
      </c>
      <c r="BF218" s="7">
        <f>SUM(IF(BL218="future",CE218,0),IF(CG218="future",CZ218,0),IF(DB218="future",DU218,0),IF(DW218="future",EP218,0),IF(ER218="future",FK218,0),IF(FM218="future",GF218,0),IF(GH218="future",HA218,0),IF(HC218="future",HV218,0),IF(HX218="future",IQ218,0),IF(IS218="future",JL218,0))</f>
        <v>0.0007383321165242322</v>
      </c>
      <c r="BG218" s="7">
        <f>SUM(IF(BL218="cash",CE218,0),IF(CG218="cash",CZ218,0),IF(DB218="cash",DU218,0),IF(DW218="cash",EP218,0),IF(ER218="cash",FK218,0),IF(FM218="cash",GF218,0),IF(GH218="cash",HA218,0),IF(HC218="cash",HV218,0),IF(HX218="cash",IQ218,0),IF(IS218="cash",JL218,0))</f>
        <v>0</v>
      </c>
      <c r="BH218" s="7">
        <f>SUM(BD218:BG218)</f>
        <v>0.01325494937476911</v>
      </c>
      <c r="BI218" s="7">
        <f>G218-BH218</f>
        <v>0</v>
      </c>
      <c r="BJ218" s="9">
        <f>COUNTA(BK218,CF218,DA218,DV218,EQ218,FL218,GG218,HB218,HW218,IR218)</f>
        <v>5</v>
      </c>
      <c r="BK218" t="inlineStr">
        <is>
          <t xml:space="preserve">Direct commodity holding</t>
        </is>
      </c>
      <c r="BL218" t="inlineStr">
        <is>
          <t xml:space="preserve">direct</t>
        </is>
      </c>
      <c r="BM218" t="inlineStr">
        <is>
          <t xml:space="preserve">lease</t>
        </is>
      </c>
      <c r="BN218" t="inlineStr">
        <is>
          <t xml:space="preserve">long</t>
        </is>
      </c>
      <c r="BO218"/>
      <c r="BP218" s="4">
        <v>1.877</v>
      </c>
      <c r="BQ218" s="4">
        <v>1.902</v>
      </c>
      <c r="BR218" s="4">
        <v>1.0025033799122893</v>
      </c>
      <c r="BS218" s="6">
        <v>0.939328360859531</v>
      </c>
      <c r="BT218" s="4">
        <v>1.8816988440953673</v>
      </c>
      <c r="BU218" s="4">
        <v>1.8816988440953673</v>
      </c>
      <c r="BV218" s="4">
        <v>1.9067614285931742</v>
      </c>
      <c r="BW218" s="4">
        <v>0.02504969614955992</v>
      </c>
      <c r="BX218" s="4">
        <v>0.000012888348247041409</v>
      </c>
      <c r="BY218" s="4">
        <v>1.877</v>
      </c>
      <c r="BZ218" s="4">
        <v>1.902</v>
      </c>
      <c r="CA218" s="6"/>
      <c r="CB218" s="6"/>
      <c r="CC218" s="6"/>
      <c r="CD218" s="9"/>
      <c r="CE218" s="7">
        <f>IFERROR(BW218/F218,0)</f>
        <v>0.012504599286984998</v>
      </c>
      <c r="CF218" t="inlineStr">
        <is>
          <t xml:space="preserve">Treasury collateral</t>
        </is>
      </c>
      <c r="CG218" t="inlineStr">
        <is>
          <t xml:space="preserve">treasury</t>
        </is>
      </c>
      <c r="CH218" t="inlineStr">
        <is>
          <t xml:space="preserve">lease</t>
        </is>
      </c>
      <c r="CI218" t="inlineStr">
        <is>
          <t xml:space="preserve">long</t>
        </is>
      </c>
      <c r="CJ218"/>
      <c r="CK218" s="4">
        <v>105.90778678428323</v>
      </c>
      <c r="CL218" s="4">
        <v>105.92876523081611</v>
      </c>
      <c r="CM218" s="4">
        <v>0.0011475999453563351</v>
      </c>
      <c r="CN218" s="6">
        <v>0.060671639140469</v>
      </c>
      <c r="CO218" s="4">
        <v>0.12153977032645383</v>
      </c>
      <c r="CP218" s="4">
        <v>0.12153977032645383</v>
      </c>
      <c r="CQ218" s="4">
        <v>0.12156384519054862</v>
      </c>
      <c r="CR218" s="4">
        <v>0.000024074864094801676</v>
      </c>
      <c r="CS218" s="4">
        <v>-7.030373462210693e-18</v>
      </c>
      <c r="CT218" s="4">
        <v>1.877</v>
      </c>
      <c r="CU218" s="4">
        <v>1.902</v>
      </c>
      <c r="CV218" s="6"/>
      <c r="CW218" s="6"/>
      <c r="CX218" s="6"/>
      <c r="CY218" s="9">
        <v>40</v>
      </c>
      <c r="CZ218" s="7">
        <f>IFERROR(CR218/F218,0)</f>
        <v>0.0000120179712598792</v>
      </c>
      <c r="DA218" t="inlineStr">
        <is>
          <t xml:space="preserve">SI69Z</t>
        </is>
      </c>
      <c r="DB218" t="inlineStr">
        <is>
          <t xml:space="preserve">future</t>
        </is>
      </c>
      <c r="DC218" t="inlineStr">
        <is>
          <t xml:space="preserve">lease</t>
        </is>
      </c>
      <c r="DD218" t="inlineStr">
        <is>
          <t xml:space="preserve">long</t>
        </is>
      </c>
      <c r="DE218" t="inlineStr">
        <is>
          <t xml:space="preserve">regular</t>
        </is>
      </c>
      <c r="DF218" s="4">
        <v>1.89</v>
      </c>
      <c r="DG218" s="4">
        <v>1.913</v>
      </c>
      <c r="DH218" s="4">
        <v>0.06430675678648351</v>
      </c>
      <c r="DI218" s="6">
        <v>0.060671639140469</v>
      </c>
      <c r="DJ218" s="4">
        <v>0.12153977032645383</v>
      </c>
      <c r="DK218" s="4">
        <v>0</v>
      </c>
      <c r="DL218" s="4">
        <v>0</v>
      </c>
      <c r="DM218" s="4">
        <v>0.0014790554060891334</v>
      </c>
      <c r="DN218" s="4">
        <v>-0.0014790554060891334</v>
      </c>
      <c r="DO218" s="4">
        <v>1.877</v>
      </c>
      <c r="DP218" s="4">
        <v>1.902</v>
      </c>
      <c r="DQ218" s="6">
        <v>0.006925945657964894</v>
      </c>
      <c r="DR218" s="6">
        <v>0.0723</v>
      </c>
      <c r="DS218" s="6">
        <v>0.009100745871070348</v>
      </c>
      <c r="DT218" s="9">
        <v>40</v>
      </c>
      <c r="DU218" s="7">
        <f>IFERROR(DM218/F218,0)</f>
        <v>0.0007383321165242322</v>
      </c>
      <c r="DV218" t="inlineStr">
        <is>
          <t xml:space="preserve">Lease cash / margin / financing</t>
        </is>
      </c>
      <c r="DW218" t="inlineStr">
        <is>
          <t xml:space="preserve">cash</t>
        </is>
      </c>
      <c r="DX218" t="inlineStr">
        <is>
          <t xml:space="preserve">lease</t>
        </is>
      </c>
      <c r="DY218" t="inlineStr">
        <is>
          <t xml:space="preserve">cash</t>
        </is>
      </c>
      <c r="DZ218"/>
      <c r="EA218" s="4">
        <v>1</v>
      </c>
      <c r="EB218" s="4">
        <v>1</v>
      </c>
      <c r="EC218" s="4">
        <v>-4.440892098500626e-16</v>
      </c>
      <c r="ED218" s="6"/>
      <c r="EE218" s="4">
        <v>-4.440892098500626e-16</v>
      </c>
      <c r="EF218" s="4">
        <v>-4.440892098500626e-16</v>
      </c>
      <c r="EG218" s="4">
        <v>0.0014661670578416549</v>
      </c>
      <c r="EH218" s="4">
        <v>0</v>
      </c>
      <c r="EI218" s="4">
        <v>0.001466167057842099</v>
      </c>
      <c r="EJ218" s="4">
        <v>1.877</v>
      </c>
      <c r="EK218" s="4">
        <v>1.902</v>
      </c>
      <c r="EL218" s="6"/>
      <c r="EM218" s="6"/>
      <c r="EN218" s="6"/>
      <c r="EO218" s="9"/>
      <c r="EP218" s="7">
        <f>IFERROR(EH218/F218,0)</f>
        <v>0</v>
      </c>
      <c r="EQ218" t="inlineStr">
        <is>
          <t xml:space="preserve">Keep cash / margin / financing</t>
        </is>
      </c>
      <c r="ER218" t="inlineStr">
        <is>
          <t xml:space="preserve">cash</t>
        </is>
      </c>
      <c r="ES218" t="inlineStr">
        <is>
          <t xml:space="preserve">keep</t>
        </is>
      </c>
      <c r="ET218" t="inlineStr">
        <is>
          <t xml:space="preserve">cash</t>
        </is>
      </c>
      <c r="EU218"/>
      <c r="EV218" s="4">
        <v>1</v>
      </c>
      <c r="EW218" s="4">
        <v>1</v>
      </c>
      <c r="EX218" s="4">
        <v>0</v>
      </c>
      <c r="EY218" s="6"/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1.877</v>
      </c>
      <c r="FF218" s="4">
        <v>1.902</v>
      </c>
      <c r="FG218" s="6"/>
      <c r="FH218" s="6"/>
      <c r="FI218" s="6"/>
      <c r="FJ218" s="9"/>
      <c r="FK218" s="7">
        <f>IFERROR(FC218/F218,0)</f>
        <v>0</v>
      </c>
      <c r="FL218"/>
      <c r="FM218"/>
      <c r="FN218"/>
      <c r="FO218"/>
      <c r="FP218"/>
      <c r="FQ218" s="4"/>
      <c r="FR218" s="4"/>
      <c r="FS218" s="4"/>
      <c r="FT218" s="6"/>
      <c r="FU218" s="4"/>
      <c r="FV218" s="4"/>
      <c r="FW218" s="4"/>
      <c r="FX218" s="4"/>
      <c r="FY218" s="4"/>
      <c r="FZ218" s="4"/>
      <c r="GA218" s="4"/>
      <c r="GB218" s="6"/>
      <c r="GC218" s="6"/>
      <c r="GD218" s="6"/>
      <c r="GE218" s="9"/>
      <c r="GF218"/>
      <c r="GG218"/>
      <c r="GH218"/>
      <c r="GI218"/>
      <c r="GJ218"/>
      <c r="GK218"/>
      <c r="GL218" s="4"/>
      <c r="GM218" s="4"/>
      <c r="GN218" s="4"/>
      <c r="GO218" s="6"/>
      <c r="GP218" s="4"/>
      <c r="GQ218" s="4"/>
      <c r="GR218" s="4"/>
      <c r="GS218" s="4"/>
      <c r="GT218" s="4"/>
      <c r="GU218" s="4"/>
      <c r="GV218" s="4"/>
      <c r="GW218" s="6"/>
      <c r="GX218" s="6"/>
      <c r="GY218" s="6"/>
      <c r="GZ218" s="9"/>
      <c r="HA218"/>
      <c r="HB218"/>
      <c r="HC218"/>
      <c r="HD218"/>
      <c r="HE218"/>
      <c r="HF218"/>
      <c r="HG218" s="4"/>
      <c r="HH218" s="4"/>
      <c r="HI218" s="4"/>
      <c r="HJ218" s="6"/>
      <c r="HK218" s="4"/>
      <c r="HL218" s="4"/>
      <c r="HM218" s="4"/>
      <c r="HN218" s="4"/>
      <c r="HO218" s="4"/>
      <c r="HP218" s="4"/>
      <c r="HQ218" s="4"/>
      <c r="HR218" s="6"/>
      <c r="HS218" s="6"/>
      <c r="HT218" s="6"/>
      <c r="HU218" s="9"/>
      <c r="HV218"/>
      <c r="HW218"/>
      <c r="HX218"/>
      <c r="HY218"/>
      <c r="HZ218"/>
      <c r="IA218"/>
      <c r="IB218" s="4"/>
      <c r="IC218" s="4"/>
      <c r="ID218" s="4"/>
      <c r="IE218" s="6"/>
      <c r="IF218" s="4"/>
      <c r="IG218" s="4"/>
      <c r="IH218" s="4"/>
      <c r="II218" s="4"/>
      <c r="IJ218" s="4"/>
      <c r="IK218" s="4"/>
      <c r="IL218" s="4"/>
      <c r="IM218" s="6"/>
      <c r="IN218" s="6"/>
      <c r="IO218" s="6"/>
      <c r="IP218" s="9"/>
      <c r="IQ218"/>
      <c r="IR218"/>
      <c r="IS218"/>
      <c r="IT218"/>
      <c r="IU218"/>
      <c r="IV218"/>
      <c r="IW218" s="4"/>
      <c r="IX218" s="4"/>
      <c r="IY218" s="4"/>
      <c r="IZ218" s="6"/>
      <c r="JA218" s="4"/>
      <c r="JB218" s="4"/>
      <c r="JC218" s="4"/>
      <c r="JD218" s="4"/>
      <c r="JE218" s="4"/>
      <c r="JF218" s="4"/>
      <c r="JG218" s="4"/>
      <c r="JH218" s="6"/>
      <c r="JI218" s="6"/>
      <c r="JJ218" s="6"/>
      <c r="JK218" s="9"/>
      <c r="JL218"/>
    </row>
    <row r="219">
      <c r="A219" s="8">
        <v>25527</v>
      </c>
      <c r="B219" s="8">
        <v>25528</v>
      </c>
      <c r="C219" s="9">
        <f>B219-A219</f>
        <v>1</v>
      </c>
      <c r="D219" s="8">
        <v>25527</v>
      </c>
      <c r="E219" t="inlineStr">
        <is>
          <t xml:space="preserve">positive</t>
        </is>
      </c>
      <c r="F219" s="4">
        <v>2.029791440841565</v>
      </c>
      <c r="G219" s="6">
        <v>-0.0030646728074859514</v>
      </c>
      <c r="H219" s="7">
        <f>SUM(CE219,CZ219,DU219,EP219,FK219,GF219,HA219,HV219,IQ219,JL219)</f>
        <v>-0.0030646728074859523</v>
      </c>
      <c r="I219" s="7">
        <f>G219-H219</f>
        <v>8.673617379884035e-19</v>
      </c>
      <c r="J219" s="5">
        <f>F219*(1+H219)</f>
        <v>2.02357079420795</v>
      </c>
      <c r="K219" s="4">
        <v>2.02357079420795</v>
      </c>
      <c r="L219" s="5">
        <f>K219-J219</f>
        <v>0</v>
      </c>
      <c r="M219" s="4">
        <v>1.902</v>
      </c>
      <c r="N219" s="4">
        <v>1.896</v>
      </c>
      <c r="O219" s="5">
        <f>M219/$M$3</f>
        <v>0.9713993871297242</v>
      </c>
      <c r="P219" s="5">
        <f>N219/$M$3</f>
        <v>0.9683350357507661</v>
      </c>
      <c r="Q219" s="7">
        <f>IFERROR(N219/M219-1,0)</f>
        <v>-0.003154574132492094</v>
      </c>
      <c r="R219" s="5">
        <f>SUM(IF(BM219="lease",BU219,0),IF(CH219="lease",CP219,0),IF(DC219="lease",DK219,0),IF(DX219="lease",EF219,0),IF(ES219="lease",FA219,0),IF(FN219="lease",FV219,0),IF(GI219="lease",GQ219,0),IF(HD219="lease",HL219,0),IF(HY219="lease",IG219,0),IF(IT219="lease",JB219,0))</f>
        <v>2.0297914408415645</v>
      </c>
      <c r="S219" s="5">
        <f>SUM(IF(BM219="lease",BV219,0),IF(CH219="lease",CQ219,0),IF(DC219="lease",DL219,0),IF(DX219="lease",EG219,0),IF(ES219="lease",FB219,0),IF(FN219="lease",FW219,0),IF(GI219="lease",GR219,0),IF(HD219="lease",HM219,0),IF(HY219="lease",IH219,0),IF(IT219="lease",JC219,0))</f>
        <v>2.0235707942079495</v>
      </c>
      <c r="T219" s="5">
        <f>SUM(IF(BM219="keep",BU219,0),IF(CH219="keep",CP219,0),IF(DC219="keep",DK219,0),IF(DX219="keep",EF219,0),IF(ES219="keep",FA219,0),IF(FN219="keep",FV219,0),IF(GI219="keep",GQ219,0),IF(HD219="keep",HL219,0),IF(HY219="keep",IG219,0),IF(IT219="keep",JB219,0))</f>
        <v>0</v>
      </c>
      <c r="U219" s="5">
        <f>SUM(IF(BM219="keep",BV219,0),IF(CH219="keep",CQ219,0),IF(DC219="keep",DL219,0),IF(DX219="keep",EG219,0),IF(ES219="keep",FB219,0),IF(FN219="keep",FW219,0),IF(GI219="keep",GR219,0),IF(HD219="keep",HM219,0),IF(HY219="keep",IH219,0),IF(IT219="keep",JC219,0))</f>
        <v>0</v>
      </c>
      <c r="V219" s="5">
        <f>R219/O219</f>
        <v>2.0895539648621364</v>
      </c>
      <c r="W219" s="5">
        <f>S219/P219</f>
        <v>2.089742413005889</v>
      </c>
      <c r="X219" s="5">
        <f>T219/O219</f>
        <v>0</v>
      </c>
      <c r="Y219" s="5">
        <f>U219/P219</f>
        <v>0</v>
      </c>
      <c r="Z219" s="5">
        <f>V219+X219</f>
        <v>2.0895539648621364</v>
      </c>
      <c r="AA219" s="7">
        <f>IFERROR(W219/V219-1,0)</f>
        <v>0.00009018582287012578</v>
      </c>
      <c r="AB219" s="7">
        <f>IFERROR((W219-V219)/Z219,0)</f>
        <v>0.00009018582287002095</v>
      </c>
      <c r="AC219" s="7">
        <f>IFERROR(Y219/X219-1,0)</f>
        <v>0</v>
      </c>
      <c r="AD219" s="7">
        <f>IFERROR((Y219-X219)/Z219,0)</f>
        <v>0</v>
      </c>
      <c r="AE219" s="7">
        <f>AB219+AD219</f>
        <v>0.00009018582287002095</v>
      </c>
      <c r="AF219" s="7">
        <f>(1+Q219)*(1+AE219)-1</f>
        <v>-0.003064672807485902</v>
      </c>
      <c r="AG219" s="7">
        <f>G219-AF219</f>
        <v>-4.9439619065339e-17</v>
      </c>
      <c r="AH219" s="5">
        <f>SUM(IF(BM219="lease",BW219,0),IF(CH219="lease",CR219,0),IF(DC219="lease",DM219,0),IF(DX219="lease",EH219,0),IF(ES219="lease",FC219,0),IF(FN219="lease",FX219,0),IF(GI219="lease",GS219,0),IF(HD219="lease",HN219,0),IF(HY219="lease",II219,0),IF(IT219="lease",JD219,0))</f>
        <v>-0.006220646633614875</v>
      </c>
      <c r="AI219" s="5">
        <f>SUM(IF(BM219="keep",BW219,0),IF(CH219="keep",CR219,0),IF(DC219="keep",DM219,0),IF(DX219="keep",EH219,0),IF(ES219="keep",FC219,0),IF(FN219="keep",FX219,0),IF(GI219="keep",GS219,0),IF(HD219="keep",HN219,0),IF(HY219="keep",II219,0),IF(IT219="keep",JD219,0))</f>
        <v>0</v>
      </c>
      <c r="AJ219" s="5">
        <f>SUM(IF(BM219="lease",BX219,0),IF(CH219="lease",CS219,0),IF(DC219="lease",DN219,0),IF(DX219="lease",EI219,0),IF(ES219="lease",FD219,0),IF(FN219="lease",FY219,0),IF(GI219="lease",GT219,0),IF(HD219="lease",HO219,0),IF(HY219="lease",IJ219,0),IF(IT219="lease",JE219,0))</f>
        <v>0</v>
      </c>
      <c r="AK219" s="5">
        <f>SUM(IF(BM219="keep",BX219,0),IF(CH219="keep",CS219,0),IF(DC219="keep",DN219,0),IF(DX219="keep",EI219,0),IF(ES219="keep",FD219,0),IF(FN219="keep",FY219,0),IF(GI219="keep",GT219,0),IF(HD219="keep",HO219,0),IF(HY219="keep",IJ219,0),IF(IT219="keep",JE219,0))</f>
        <v>0</v>
      </c>
      <c r="AL219" s="5">
        <f>R219-S218</f>
        <v>0</v>
      </c>
      <c r="AM219" s="5">
        <f>T219-U218</f>
        <v>0</v>
      </c>
      <c r="AN219" s="5">
        <f>AN218</f>
        <v>1</v>
      </c>
      <c r="AO219" s="5">
        <f>AO218+AH219</f>
        <v>1.0235707942079502</v>
      </c>
      <c r="AP219" s="5">
        <f>AP218+AL219</f>
        <v>2.220446049250313e-16</v>
      </c>
      <c r="AQ219" s="5">
        <f>AN219+AO219+AP219</f>
        <v>2.0235707942079504</v>
      </c>
      <c r="AR219" s="5">
        <f>S219-AQ219</f>
        <v>-8.881784197001252e-16</v>
      </c>
      <c r="AS219" s="5">
        <f>AS218</f>
        <v>0</v>
      </c>
      <c r="AT219" s="5">
        <f>AT218+AI219</f>
        <v>0</v>
      </c>
      <c r="AU219" s="5">
        <f>AU218+AM219</f>
        <v>0</v>
      </c>
      <c r="AV219" s="5">
        <f>AS219+AT219+AU219</f>
        <v>0</v>
      </c>
      <c r="AW219" s="5">
        <f>U219-AV219</f>
        <v>0</v>
      </c>
      <c r="AX219" s="4">
        <v>2.0297914408415645</v>
      </c>
      <c r="AY219" s="4">
        <v>2.0235707942079495</v>
      </c>
      <c r="AZ219" s="5">
        <f>S219-AY219</f>
        <v>0</v>
      </c>
      <c r="BA219" s="4">
        <v>0</v>
      </c>
      <c r="BB219" s="4">
        <v>0</v>
      </c>
      <c r="BC219" s="5">
        <f>U219-BB219</f>
        <v>0</v>
      </c>
      <c r="BD219" s="7">
        <f>SUM(IF(BL219="direct",CE219,0),IF(CG219="direct",CZ219,0),IF(DB219="direct",DU219,0),IF(DW219="direct",EP219,0),IF(ER219="direct",FK219,0),IF(FM219="direct",GF219,0),IF(GH219="direct",HA219,0),IF(HC219="direct",HV219,0),IF(HX219="direct",IQ219,0),IF(IS219="direct",JL219,0))</f>
        <v>-0.0027531058069042574</v>
      </c>
      <c r="BE219" s="7">
        <f>SUM(IF(BL219="treasury",CE219,0),IF(CG219="treasury",CZ219,0),IF(DB219="treasury",DU219,0),IF(DW219="treasury",EP219,0),IF(ER219="treasury",FK219,0),IF(FM219="treasury",GF219,0),IF(GH219="treasury",HA219,0),IF(HC219="treasury",HV219,0),IF(HX219="treasury",IQ219,0),IF(IS219="treasury",JL219,0))</f>
        <v>0.000026008179141103836</v>
      </c>
      <c r="BF219" s="7">
        <f>SUM(IF(BL219="future",CE219,0),IF(CG219="future",CZ219,0),IF(DB219="future",DU219,0),IF(DW219="future",EP219,0),IF(ER219="future",FK219,0),IF(FM219="future",GF219,0),IF(GH219="future",HA219,0),IF(HC219="future",HV219,0),IF(HX219="future",IQ219,0),IF(IS219="future",JL219,0))</f>
        <v>-0.00033757517972279855</v>
      </c>
      <c r="BG219" s="7">
        <f>SUM(IF(BL219="cash",CE219,0),IF(CG219="cash",CZ219,0),IF(DB219="cash",DU219,0),IF(DW219="cash",EP219,0),IF(ER219="cash",FK219,0),IF(FM219="cash",GF219,0),IF(GH219="cash",HA219,0),IF(HC219="cash",HV219,0),IF(HX219="cash",IQ219,0),IF(IS219="cash",JL219,0))</f>
        <v>0</v>
      </c>
      <c r="BH219" s="7">
        <f>SUM(BD219:BG219)</f>
        <v>-0.003064672807485952</v>
      </c>
      <c r="BI219" s="7">
        <f>G219-BH219</f>
        <v>4.336808689942018e-19</v>
      </c>
      <c r="BJ219" s="9">
        <f>COUNTA(BK219,CF219,DA219,DV219,EQ219,FL219,GG219,HB219,HW219,IR219)</f>
        <v>5</v>
      </c>
      <c r="BK219" t="inlineStr">
        <is>
          <t xml:space="preserve">Direct commodity holding</t>
        </is>
      </c>
      <c r="BL219" t="inlineStr">
        <is>
          <t xml:space="preserve">direct</t>
        </is>
      </c>
      <c r="BM219" t="inlineStr">
        <is>
          <t xml:space="preserve">lease</t>
        </is>
      </c>
      <c r="BN219" t="inlineStr">
        <is>
          <t xml:space="preserve">long</t>
        </is>
      </c>
      <c r="BO219"/>
      <c r="BP219" s="4">
        <v>1.902</v>
      </c>
      <c r="BQ219" s="4">
        <v>1.896</v>
      </c>
      <c r="BR219" s="4">
        <v>0.9293539233052025</v>
      </c>
      <c r="BS219" s="6">
        <v>0.8708437362380558</v>
      </c>
      <c r="BT219" s="4">
        <v>1.767631162126495</v>
      </c>
      <c r="BU219" s="4">
        <v>1.767631162126495</v>
      </c>
      <c r="BV219" s="4">
        <v>1.7620550385866638</v>
      </c>
      <c r="BW219" s="4">
        <v>-0.0055882306025854716</v>
      </c>
      <c r="BX219" s="4">
        <v>0.000012107062754192384</v>
      </c>
      <c r="BY219" s="4">
        <v>1.902</v>
      </c>
      <c r="BZ219" s="4">
        <v>1.896</v>
      </c>
      <c r="CA219" s="6"/>
      <c r="CB219" s="6"/>
      <c r="CC219" s="6"/>
      <c r="CD219" s="9"/>
      <c r="CE219" s="7">
        <f>IFERROR(BW219/F219,0)</f>
        <v>-0.0027531058069042574</v>
      </c>
      <c r="CF219" t="inlineStr">
        <is>
          <t xml:space="preserve">Treasury collateral</t>
        </is>
      </c>
      <c r="CG219" t="inlineStr">
        <is>
          <t xml:space="preserve">treasury</t>
        </is>
      </c>
      <c r="CH219" t="inlineStr">
        <is>
          <t xml:space="preserve">lease</t>
        </is>
      </c>
      <c r="CI219" t="inlineStr">
        <is>
          <t xml:space="preserve">long</t>
        </is>
      </c>
      <c r="CJ219"/>
      <c r="CK219" s="4">
        <v>105.92876523081611</v>
      </c>
      <c r="CL219" s="4">
        <v>105.95009609175985</v>
      </c>
      <c r="CM219" s="4">
        <v>0.0024748733561070907</v>
      </c>
      <c r="CN219" s="6">
        <v>0.12915626376194422</v>
      </c>
      <c r="CO219" s="4">
        <v>0.26216027871506997</v>
      </c>
      <c r="CP219" s="4">
        <v>0.26216027871506997</v>
      </c>
      <c r="CQ219" s="4">
        <v>0.26221306989448245</v>
      </c>
      <c r="CR219" s="4">
        <v>0.00005279117941248669</v>
      </c>
      <c r="CS219" s="4">
        <v>-5.339695699491109e-18</v>
      </c>
      <c r="CT219" s="4">
        <v>1.902</v>
      </c>
      <c r="CU219" s="4">
        <v>1.896</v>
      </c>
      <c r="CV219" s="6"/>
      <c r="CW219" s="6"/>
      <c r="CX219" s="6"/>
      <c r="CY219" s="9">
        <v>39</v>
      </c>
      <c r="CZ219" s="7">
        <f>IFERROR(CR219/F219,0)</f>
        <v>0.000026008179141103836</v>
      </c>
      <c r="DA219" t="inlineStr">
        <is>
          <t xml:space="preserve">SI69Z</t>
        </is>
      </c>
      <c r="DB219" t="inlineStr">
        <is>
          <t xml:space="preserve">future</t>
        </is>
      </c>
      <c r="DC219" t="inlineStr">
        <is>
          <t xml:space="preserve">lease</t>
        </is>
      </c>
      <c r="DD219" t="inlineStr">
        <is>
          <t xml:space="preserve">long</t>
        </is>
      </c>
      <c r="DE219" t="inlineStr">
        <is>
          <t xml:space="preserve">regular</t>
        </is>
      </c>
      <c r="DF219" s="4">
        <v>1.913</v>
      </c>
      <c r="DG219" s="4">
        <v>1.9080000000000001</v>
      </c>
      <c r="DH219" s="4">
        <v>0.13704144208837948</v>
      </c>
      <c r="DI219" s="6">
        <v>0.12915626376194422</v>
      </c>
      <c r="DJ219" s="4">
        <v>0.26216027871506997</v>
      </c>
      <c r="DK219" s="4">
        <v>0</v>
      </c>
      <c r="DL219" s="4">
        <v>0</v>
      </c>
      <c r="DM219" s="4">
        <v>-0.0006852072104418895</v>
      </c>
      <c r="DN219" s="4">
        <v>0.0006852072104418895</v>
      </c>
      <c r="DO219" s="4">
        <v>1.902</v>
      </c>
      <c r="DP219" s="4">
        <v>1.896</v>
      </c>
      <c r="DQ219" s="6">
        <v>0.005783385909568839</v>
      </c>
      <c r="DR219" s="6">
        <v>0.0735</v>
      </c>
      <c r="DS219" s="6">
        <v>0.019373439564291633</v>
      </c>
      <c r="DT219" s="9">
        <v>39</v>
      </c>
      <c r="DU219" s="7">
        <f>IFERROR(DM219/F219,0)</f>
        <v>-0.00033757517972279855</v>
      </c>
      <c r="DV219" t="inlineStr">
        <is>
          <t xml:space="preserve">Lease cash / margin / financing</t>
        </is>
      </c>
      <c r="DW219" t="inlineStr">
        <is>
          <t xml:space="preserve">cash</t>
        </is>
      </c>
      <c r="DX219" t="inlineStr">
        <is>
          <t xml:space="preserve">lease</t>
        </is>
      </c>
      <c r="DY219" t="inlineStr">
        <is>
          <t xml:space="preserve">cash</t>
        </is>
      </c>
      <c r="DZ219"/>
      <c r="EA219" s="4">
        <v>1</v>
      </c>
      <c r="EB219" s="4">
        <v>1</v>
      </c>
      <c r="EC219" s="4">
        <v>-4.440892098500626e-16</v>
      </c>
      <c r="ED219" s="6"/>
      <c r="EE219" s="4">
        <v>-4.440892098500626e-16</v>
      </c>
      <c r="EF219" s="4">
        <v>-4.440892098500626e-16</v>
      </c>
      <c r="EG219" s="4">
        <v>-0.0006973142731965206</v>
      </c>
      <c r="EH219" s="4">
        <v>0</v>
      </c>
      <c r="EI219" s="4">
        <v>-0.0006973142731960765</v>
      </c>
      <c r="EJ219" s="4">
        <v>1.902</v>
      </c>
      <c r="EK219" s="4">
        <v>1.896</v>
      </c>
      <c r="EL219" s="6"/>
      <c r="EM219" s="6"/>
      <c r="EN219" s="6"/>
      <c r="EO219" s="9"/>
      <c r="EP219" s="7">
        <f>IFERROR(EH219/F219,0)</f>
        <v>0</v>
      </c>
      <c r="EQ219" t="inlineStr">
        <is>
          <t xml:space="preserve">Keep cash / margin / financing</t>
        </is>
      </c>
      <c r="ER219" t="inlineStr">
        <is>
          <t xml:space="preserve">cash</t>
        </is>
      </c>
      <c r="ES219" t="inlineStr">
        <is>
          <t xml:space="preserve">keep</t>
        </is>
      </c>
      <c r="ET219" t="inlineStr">
        <is>
          <t xml:space="preserve">cash</t>
        </is>
      </c>
      <c r="EU219"/>
      <c r="EV219" s="4">
        <v>1</v>
      </c>
      <c r="EW219" s="4">
        <v>1</v>
      </c>
      <c r="EX219" s="4">
        <v>0</v>
      </c>
      <c r="EY219" s="6"/>
      <c r="EZ219" s="4">
        <v>0</v>
      </c>
      <c r="FA219" s="4">
        <v>0</v>
      </c>
      <c r="FB219" s="4">
        <v>0</v>
      </c>
      <c r="FC219" s="4">
        <v>0</v>
      </c>
      <c r="FD219" s="4">
        <v>0</v>
      </c>
      <c r="FE219" s="4">
        <v>1.902</v>
      </c>
      <c r="FF219" s="4">
        <v>1.896</v>
      </c>
      <c r="FG219" s="6"/>
      <c r="FH219" s="6"/>
      <c r="FI219" s="6"/>
      <c r="FJ219" s="9"/>
      <c r="FK219" s="7">
        <f>IFERROR(FC219/F219,0)</f>
        <v>0</v>
      </c>
      <c r="FL219"/>
      <c r="FM219"/>
      <c r="FN219"/>
      <c r="FO219"/>
      <c r="FP219"/>
      <c r="FQ219" s="4"/>
      <c r="FR219" s="4"/>
      <c r="FS219" s="4"/>
      <c r="FT219" s="6"/>
      <c r="FU219" s="4"/>
      <c r="FV219" s="4"/>
      <c r="FW219" s="4"/>
      <c r="FX219" s="4"/>
      <c r="FY219" s="4"/>
      <c r="FZ219" s="4"/>
      <c r="GA219" s="4"/>
      <c r="GB219" s="6"/>
      <c r="GC219" s="6"/>
      <c r="GD219" s="6"/>
      <c r="GE219" s="9"/>
      <c r="GF219"/>
      <c r="GG219"/>
      <c r="GH219"/>
      <c r="GI219"/>
      <c r="GJ219"/>
      <c r="GK219"/>
      <c r="GL219" s="4"/>
      <c r="GM219" s="4"/>
      <c r="GN219" s="4"/>
      <c r="GO219" s="6"/>
      <c r="GP219" s="4"/>
      <c r="GQ219" s="4"/>
      <c r="GR219" s="4"/>
      <c r="GS219" s="4"/>
      <c r="GT219" s="4"/>
      <c r="GU219" s="4"/>
      <c r="GV219" s="4"/>
      <c r="GW219" s="6"/>
      <c r="GX219" s="6"/>
      <c r="GY219" s="6"/>
      <c r="GZ219" s="9"/>
      <c r="HA219"/>
      <c r="HB219"/>
      <c r="HC219"/>
      <c r="HD219"/>
      <c r="HE219"/>
      <c r="HF219"/>
      <c r="HG219" s="4"/>
      <c r="HH219" s="4"/>
      <c r="HI219" s="4"/>
      <c r="HJ219" s="6"/>
      <c r="HK219" s="4"/>
      <c r="HL219" s="4"/>
      <c r="HM219" s="4"/>
      <c r="HN219" s="4"/>
      <c r="HO219" s="4"/>
      <c r="HP219" s="4"/>
      <c r="HQ219" s="4"/>
      <c r="HR219" s="6"/>
      <c r="HS219" s="6"/>
      <c r="HT219" s="6"/>
      <c r="HU219" s="9"/>
      <c r="HV219"/>
      <c r="HW219"/>
      <c r="HX219"/>
      <c r="HY219"/>
      <c r="HZ219"/>
      <c r="IA219"/>
      <c r="IB219" s="4"/>
      <c r="IC219" s="4"/>
      <c r="ID219" s="4"/>
      <c r="IE219" s="6"/>
      <c r="IF219" s="4"/>
      <c r="IG219" s="4"/>
      <c r="IH219" s="4"/>
      <c r="II219" s="4"/>
      <c r="IJ219" s="4"/>
      <c r="IK219" s="4"/>
      <c r="IL219" s="4"/>
      <c r="IM219" s="6"/>
      <c r="IN219" s="6"/>
      <c r="IO219" s="6"/>
      <c r="IP219" s="9"/>
      <c r="IQ219"/>
      <c r="IR219"/>
      <c r="IS219"/>
      <c r="IT219"/>
      <c r="IU219"/>
      <c r="IV219"/>
      <c r="IW219" s="4"/>
      <c r="IX219" s="4"/>
      <c r="IY219" s="4"/>
      <c r="IZ219" s="6"/>
      <c r="JA219" s="4"/>
      <c r="JB219" s="4"/>
      <c r="JC219" s="4"/>
      <c r="JD219" s="4"/>
      <c r="JE219" s="4"/>
      <c r="JF219" s="4"/>
      <c r="JG219" s="4"/>
      <c r="JH219" s="6"/>
      <c r="JI219" s="6"/>
      <c r="JJ219" s="6"/>
      <c r="JK219" s="9"/>
      <c r="JL219"/>
    </row>
    <row r="220">
      <c r="A220" s="8">
        <v>25528</v>
      </c>
      <c r="B220" s="8">
        <v>25531</v>
      </c>
      <c r="C220" s="9">
        <f>B220-A220</f>
        <v>3</v>
      </c>
      <c r="D220" s="8">
        <v>25528</v>
      </c>
      <c r="E220" t="inlineStr">
        <is>
          <t xml:space="preserve">positive</t>
        </is>
      </c>
      <c r="F220" s="4">
        <v>2.02357079420795</v>
      </c>
      <c r="G220" s="6">
        <v>-0.0005297787850088799</v>
      </c>
      <c r="H220" s="7">
        <f>SUM(CE220,CZ220,DU220,EP220,FK220,GF220,HA220,HV220,IQ220,JL220)</f>
        <v>-0.0005297787850088799</v>
      </c>
      <c r="I220" s="7">
        <f>G220-H220</f>
        <v>0</v>
      </c>
      <c r="J220" s="5">
        <f>F220*(1+H220)</f>
        <v>2.022498749331215</v>
      </c>
      <c r="K220" s="4">
        <v>2.022498749331215</v>
      </c>
      <c r="L220" s="5">
        <f>K220-J220</f>
        <v>0</v>
      </c>
      <c r="M220" s="4">
        <v>1.896</v>
      </c>
      <c r="N220" s="4">
        <v>1.897</v>
      </c>
      <c r="O220" s="5">
        <f>M220/$M$3</f>
        <v>0.9683350357507661</v>
      </c>
      <c r="P220" s="5">
        <f>N220/$M$3</f>
        <v>0.9688457609805925</v>
      </c>
      <c r="Q220" s="7">
        <f>IFERROR(N220/M220-1,0)</f>
        <v>0.0005274261603376296</v>
      </c>
      <c r="R220" s="5">
        <f>SUM(IF(BM220="lease",BU220,0),IF(CH220="lease",CP220,0),IF(DC220="lease",DK220,0),IF(DX220="lease",EF220,0),IF(ES220="lease",FA220,0),IF(FN220="lease",FV220,0),IF(GI220="lease",GQ220,0),IF(HD220="lease",HL220,0),IF(HY220="lease",IG220,0),IF(IT220="lease",JB220,0))</f>
        <v>2.0235707942079495</v>
      </c>
      <c r="S220" s="5">
        <f>SUM(IF(BM220="lease",BV220,0),IF(CH220="lease",CQ220,0),IF(DC220="lease",DL220,0),IF(DX220="lease",EG220,0),IF(ES220="lease",FB220,0),IF(FN220="lease",FW220,0),IF(GI220="lease",GR220,0),IF(HD220="lease",HM220,0),IF(HY220="lease",IH220,0),IF(IT220="lease",JC220,0))</f>
        <v>2.0224987493312145</v>
      </c>
      <c r="T220" s="5">
        <f>SUM(IF(BM220="keep",BU220,0),IF(CH220="keep",CP220,0),IF(DC220="keep",DK220,0),IF(DX220="keep",EF220,0),IF(ES220="keep",FA220,0),IF(FN220="keep",FV220,0),IF(GI220="keep",GQ220,0),IF(HD220="keep",HL220,0),IF(HY220="keep",IG220,0),IF(IT220="keep",JB220,0))</f>
        <v>0</v>
      </c>
      <c r="U220" s="5">
        <f>SUM(IF(BM220="keep",BV220,0),IF(CH220="keep",CQ220,0),IF(DC220="keep",DL220,0),IF(DX220="keep",EG220,0),IF(ES220="keep",FB220,0),IF(FN220="keep",FW220,0),IF(GI220="keep",GR220,0),IF(HD220="keep",HM220,0),IF(HY220="keep",IH220,0),IF(IT220="keep",JC220,0))</f>
        <v>0</v>
      </c>
      <c r="V220" s="5">
        <f>R220/O220</f>
        <v>2.089742413005889</v>
      </c>
      <c r="W220" s="5">
        <f>S220/P220</f>
        <v>2.087534291613346</v>
      </c>
      <c r="X220" s="5">
        <f>T220/O220</f>
        <v>0</v>
      </c>
      <c r="Y220" s="5">
        <f>U220/P220</f>
        <v>0</v>
      </c>
      <c r="Z220" s="5">
        <f>V220+X220</f>
        <v>2.089742413005889</v>
      </c>
      <c r="AA220" s="7">
        <f>IFERROR(W220/V220-1,0)</f>
        <v>-0.0010566476417380732</v>
      </c>
      <c r="AB220" s="7">
        <f>IFERROR((W220-V220)/Z220,0)</f>
        <v>-0.0010566476417380585</v>
      </c>
      <c r="AC220" s="7">
        <f>IFERROR(Y220/X220-1,0)</f>
        <v>0</v>
      </c>
      <c r="AD220" s="7">
        <f>IFERROR((Y220-X220)/Z220,0)</f>
        <v>0</v>
      </c>
      <c r="AE220" s="7">
        <f>AB220+AD220</f>
        <v>-0.0010566476417380585</v>
      </c>
      <c r="AF220" s="7">
        <f>(1+Q220)*(1+AE220)-1</f>
        <v>-0.0005297787850089275</v>
      </c>
      <c r="AG220" s="7">
        <f>G220-AF220</f>
        <v>4.7596475372113645e-17</v>
      </c>
      <c r="AH220" s="5">
        <f>SUM(IF(BM220="lease",BW220,0),IF(CH220="lease",CR220,0),IF(DC220="lease",DM220,0),IF(DX220="lease",EH220,0),IF(ES220="lease",FC220,0),IF(FN220="lease",FX220,0),IF(GI220="lease",GS220,0),IF(HD220="lease",HN220,0),IF(HY220="lease",II220,0),IF(IT220="lease",JD220,0))</f>
        <v>-0.0010720448767349419</v>
      </c>
      <c r="AI220" s="5">
        <f>SUM(IF(BM220="keep",BW220,0),IF(CH220="keep",CR220,0),IF(DC220="keep",DM220,0),IF(DX220="keep",EH220,0),IF(ES220="keep",FC220,0),IF(FN220="keep",FX220,0),IF(GI220="keep",GS220,0),IF(HD220="keep",HN220,0),IF(HY220="keep",II220,0),IF(IT220="keep",JD220,0))</f>
        <v>0</v>
      </c>
      <c r="AJ220" s="5">
        <f>SUM(IF(BM220="lease",BX220,0),IF(CH220="lease",CS220,0),IF(DC220="lease",DN220,0),IF(DX220="lease",EI220,0),IF(ES220="lease",FD220,0),IF(FN220="lease",FY220,0),IF(GI220="lease",GT220,0),IF(HD220="lease",HO220,0),IF(HY220="lease",IJ220,0),IF(IT220="lease",JE220,0))</f>
        <v>0</v>
      </c>
      <c r="AK220" s="5">
        <f>SUM(IF(BM220="keep",BX220,0),IF(CH220="keep",CS220,0),IF(DC220="keep",DN220,0),IF(DX220="keep",EI220,0),IF(ES220="keep",FD220,0),IF(FN220="keep",FY220,0),IF(GI220="keep",GT220,0),IF(HD220="keep",HO220,0),IF(HY220="keep",IJ220,0),IF(IT220="keep",JE220,0))</f>
        <v>0</v>
      </c>
      <c r="AL220" s="5">
        <f>R220-S219</f>
        <v>0</v>
      </c>
      <c r="AM220" s="5">
        <f>T220-U219</f>
        <v>0</v>
      </c>
      <c r="AN220" s="5">
        <f>AN219</f>
        <v>1</v>
      </c>
      <c r="AO220" s="5">
        <f>AO219+AH220</f>
        <v>1.0224987493312152</v>
      </c>
      <c r="AP220" s="5">
        <f>AP219+AL220</f>
        <v>2.220446049250313e-16</v>
      </c>
      <c r="AQ220" s="5">
        <f>AN220+AO220+AP220</f>
        <v>2.0224987493312154</v>
      </c>
      <c r="AR220" s="5">
        <f>S220-AQ220</f>
        <v>-8.881784197001252e-16</v>
      </c>
      <c r="AS220" s="5">
        <f>AS219</f>
        <v>0</v>
      </c>
      <c r="AT220" s="5">
        <f>AT219+AI220</f>
        <v>0</v>
      </c>
      <c r="AU220" s="5">
        <f>AU219+AM220</f>
        <v>0</v>
      </c>
      <c r="AV220" s="5">
        <f>AS220+AT220+AU220</f>
        <v>0</v>
      </c>
      <c r="AW220" s="5">
        <f>U220-AV220</f>
        <v>0</v>
      </c>
      <c r="AX220" s="4">
        <v>2.0235707942079495</v>
      </c>
      <c r="AY220" s="4">
        <v>2.0224987493312145</v>
      </c>
      <c r="AZ220" s="5">
        <f>S220-AY220</f>
        <v>0</v>
      </c>
      <c r="BA220" s="4">
        <v>0</v>
      </c>
      <c r="BB220" s="4">
        <v>0</v>
      </c>
      <c r="BC220" s="5">
        <f>U220-BB220</f>
        <v>0</v>
      </c>
      <c r="BD220" s="7">
        <f>SUM(IF(BL220="direct",CE220,0),IF(CG220="direct",CZ220,0),IF(DB220="direct",DU220,0),IF(DW220="direct",EP220,0),IF(ER220="direct",FK220,0),IF(FM220="direct",GF220,0),IF(GH220="direct",HA220,0),IF(HC220="direct",HV220,0),IF(HX220="direct",IQ220,0),IF(IS220="direct",JL220,0))</f>
        <v>0.0004629244558756685</v>
      </c>
      <c r="BE220" s="7">
        <f>SUM(IF(BL220="treasury",CE220,0),IF(CG220="treasury",CZ220,0),IF(DB220="treasury",DU220,0),IF(DW220="treasury",EP220,0),IF(ER220="treasury",FK220,0),IF(FM220="treasury",GF220,0),IF(GH220="treasury",HA220,0),IF(HC220="treasury",HV220,0),IF(HX220="treasury",IQ220,0),IF(IS220="treasury",JL220,0))</f>
        <v>0.00005259895923265639</v>
      </c>
      <c r="BF220" s="7">
        <f>SUM(IF(BL220="future",CE220,0),IF(CG220="future",CZ220,0),IF(DB220="future",DU220,0),IF(DW220="future",EP220,0),IF(ER220="future",FK220,0),IF(FM220="future",GF220,0),IF(GH220="future",HA220,0),IF(HC220="future",HV220,0),IF(HX220="future",IQ220,0),IF(IS220="future",JL220,0))</f>
        <v>-0.0010453022001172048</v>
      </c>
      <c r="BG220" s="7">
        <f>SUM(IF(BL220="cash",CE220,0),IF(CG220="cash",CZ220,0),IF(DB220="cash",DU220,0),IF(DW220="cash",EP220,0),IF(ER220="cash",FK220,0),IF(FM220="cash",GF220,0),IF(GH220="cash",HA220,0),IF(HC220="cash",HV220,0),IF(HX220="cash",IQ220,0),IF(IS220="cash",JL220,0))</f>
        <v>0</v>
      </c>
      <c r="BH220" s="7">
        <f>SUM(BD220:BG220)</f>
        <v>-0.0005297787850088799</v>
      </c>
      <c r="BI220" s="7">
        <f>G220-BH220</f>
        <v>0</v>
      </c>
      <c r="BJ220" s="9">
        <f>COUNTA(BK220,CF220,DA220,DV220,EQ220,FL220,GG220,HB220,HW220,IR220)</f>
        <v>5</v>
      </c>
      <c r="BK220" t="inlineStr">
        <is>
          <t xml:space="preserve">Direct commodity holding</t>
        </is>
      </c>
      <c r="BL220" t="inlineStr">
        <is>
          <t xml:space="preserve">direct</t>
        </is>
      </c>
      <c r="BM220" t="inlineStr">
        <is>
          <t xml:space="preserve">lease</t>
        </is>
      </c>
      <c r="BN220" t="inlineStr">
        <is>
          <t xml:space="preserve">long</t>
        </is>
      </c>
      <c r="BO220"/>
      <c r="BP220" s="4">
        <v>1.896</v>
      </c>
      <c r="BQ220" s="4">
        <v>1.897</v>
      </c>
      <c r="BR220" s="4">
        <v>0.9747350168897334</v>
      </c>
      <c r="BS220" s="6">
        <v>0.9132853653120163</v>
      </c>
      <c r="BT220" s="4">
        <v>1.8480975920229346</v>
      </c>
      <c r="BU220" s="4">
        <v>1.8480975920229346</v>
      </c>
      <c r="BV220" s="4">
        <v>1.8490723270398244</v>
      </c>
      <c r="BW220" s="4">
        <v>0.0009367604088346096</v>
      </c>
      <c r="BX220" s="4">
        <v>0.000037974608055217586</v>
      </c>
      <c r="BY220" s="4">
        <v>1.896</v>
      </c>
      <c r="BZ220" s="4">
        <v>1.897</v>
      </c>
      <c r="CA220" s="6"/>
      <c r="CB220" s="6"/>
      <c r="CC220" s="6"/>
      <c r="CD220" s="9"/>
      <c r="CE220" s="7">
        <f>IFERROR(BW220/F220,0)</f>
        <v>0.0004629244558756685</v>
      </c>
      <c r="CF220" t="inlineStr">
        <is>
          <t xml:space="preserve">Treasury collateral</t>
        </is>
      </c>
      <c r="CG220" t="inlineStr">
        <is>
          <t xml:space="preserve">treasury</t>
        </is>
      </c>
      <c r="CH220" t="inlineStr">
        <is>
          <t xml:space="preserve">lease</t>
        </is>
      </c>
      <c r="CI220" t="inlineStr">
        <is>
          <t xml:space="preserve">long</t>
        </is>
      </c>
      <c r="CJ220"/>
      <c r="CK220" s="4">
        <v>105.95009609175985</v>
      </c>
      <c r="CL220" s="4">
        <v>106.01436280758098</v>
      </c>
      <c r="CM220" s="4">
        <v>0.0016561872868245805</v>
      </c>
      <c r="CN220" s="6">
        <v>0.08671463468798364</v>
      </c>
      <c r="CO220" s="4">
        <v>0.17547320218501533</v>
      </c>
      <c r="CP220" s="4">
        <v>0.17547320218501533</v>
      </c>
      <c r="CQ220" s="4">
        <v>0.17557963990272427</v>
      </c>
      <c r="CR220" s="4">
        <v>0.00010643771770893808</v>
      </c>
      <c r="CS220" s="4">
        <v>-3.2390539903004445e-18</v>
      </c>
      <c r="CT220" s="4">
        <v>1.896</v>
      </c>
      <c r="CU220" s="4">
        <v>1.897</v>
      </c>
      <c r="CV220" s="6"/>
      <c r="CW220" s="6"/>
      <c r="CX220" s="6"/>
      <c r="CY220" s="9">
        <v>38</v>
      </c>
      <c r="CZ220" s="7">
        <f>IFERROR(CR220/F220,0)</f>
        <v>0.00005259895923265639</v>
      </c>
      <c r="DA220" t="inlineStr">
        <is>
          <t xml:space="preserve">SI69Z</t>
        </is>
      </c>
      <c r="DB220" t="inlineStr">
        <is>
          <t xml:space="preserve">future</t>
        </is>
      </c>
      <c r="DC220" t="inlineStr">
        <is>
          <t xml:space="preserve">lease</t>
        </is>
      </c>
      <c r="DD220" t="inlineStr">
        <is>
          <t xml:space="preserve">long</t>
        </is>
      </c>
      <c r="DE220" t="inlineStr">
        <is>
          <t xml:space="preserve">regular</t>
        </is>
      </c>
      <c r="DF220" s="4">
        <v>1.9080000000000001</v>
      </c>
      <c r="DG220" s="4">
        <v>1.885</v>
      </c>
      <c r="DH220" s="4">
        <v>0.09196708709906463</v>
      </c>
      <c r="DI220" s="6">
        <v>0.08671463468798364</v>
      </c>
      <c r="DJ220" s="4">
        <v>0.17547320218501533</v>
      </c>
      <c r="DK220" s="4">
        <v>0</v>
      </c>
      <c r="DL220" s="4">
        <v>0</v>
      </c>
      <c r="DM220" s="4">
        <v>-0.0021152430032784896</v>
      </c>
      <c r="DN220" s="4">
        <v>0.0021152430032784896</v>
      </c>
      <c r="DO220" s="4">
        <v>1.896</v>
      </c>
      <c r="DP220" s="4">
        <v>1.897</v>
      </c>
      <c r="DQ220" s="6">
        <v>0.006329113924050667</v>
      </c>
      <c r="DR220" s="6">
        <v>0.0738</v>
      </c>
      <c r="DS220" s="6">
        <v>0.013007195203197548</v>
      </c>
      <c r="DT220" s="9">
        <v>38</v>
      </c>
      <c r="DU220" s="7">
        <f>IFERROR(DM220/F220,0)</f>
        <v>-0.0010453022001172048</v>
      </c>
      <c r="DV220" t="inlineStr">
        <is>
          <t xml:space="preserve">Lease cash / margin / financing</t>
        </is>
      </c>
      <c r="DW220" t="inlineStr">
        <is>
          <t xml:space="preserve">cash</t>
        </is>
      </c>
      <c r="DX220" t="inlineStr">
        <is>
          <t xml:space="preserve">lease</t>
        </is>
      </c>
      <c r="DY220" t="inlineStr">
        <is>
          <t xml:space="preserve">cash</t>
        </is>
      </c>
      <c r="DZ220"/>
      <c r="EA220" s="4">
        <v>1</v>
      </c>
      <c r="EB220" s="4">
        <v>1</v>
      </c>
      <c r="EC220" s="4">
        <v>-4.440892098500626e-16</v>
      </c>
      <c r="ED220" s="6"/>
      <c r="EE220" s="4">
        <v>-4.440892098500626e-16</v>
      </c>
      <c r="EF220" s="4">
        <v>-4.440892098500626e-16</v>
      </c>
      <c r="EG220" s="4">
        <v>-0.002153217611334148</v>
      </c>
      <c r="EH220" s="4">
        <v>0</v>
      </c>
      <c r="EI220" s="4">
        <v>-0.002153217611333704</v>
      </c>
      <c r="EJ220" s="4">
        <v>1.896</v>
      </c>
      <c r="EK220" s="4">
        <v>1.897</v>
      </c>
      <c r="EL220" s="6"/>
      <c r="EM220" s="6"/>
      <c r="EN220" s="6"/>
      <c r="EO220" s="9"/>
      <c r="EP220" s="7">
        <f>IFERROR(EH220/F220,0)</f>
        <v>0</v>
      </c>
      <c r="EQ220" t="inlineStr">
        <is>
          <t xml:space="preserve">Keep cash / margin / financing</t>
        </is>
      </c>
      <c r="ER220" t="inlineStr">
        <is>
          <t xml:space="preserve">cash</t>
        </is>
      </c>
      <c r="ES220" t="inlineStr">
        <is>
          <t xml:space="preserve">keep</t>
        </is>
      </c>
      <c r="ET220" t="inlineStr">
        <is>
          <t xml:space="preserve">cash</t>
        </is>
      </c>
      <c r="EU220"/>
      <c r="EV220" s="4">
        <v>1</v>
      </c>
      <c r="EW220" s="4">
        <v>1</v>
      </c>
      <c r="EX220" s="4">
        <v>0</v>
      </c>
      <c r="EY220" s="6"/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1.896</v>
      </c>
      <c r="FF220" s="4">
        <v>1.897</v>
      </c>
      <c r="FG220" s="6"/>
      <c r="FH220" s="6"/>
      <c r="FI220" s="6"/>
      <c r="FJ220" s="9"/>
      <c r="FK220" s="7">
        <f>IFERROR(FC220/F220,0)</f>
        <v>0</v>
      </c>
      <c r="FL220"/>
      <c r="FM220"/>
      <c r="FN220"/>
      <c r="FO220"/>
      <c r="FP220"/>
      <c r="FQ220" s="4"/>
      <c r="FR220" s="4"/>
      <c r="FS220" s="4"/>
      <c r="FT220" s="6"/>
      <c r="FU220" s="4"/>
      <c r="FV220" s="4"/>
      <c r="FW220" s="4"/>
      <c r="FX220" s="4"/>
      <c r="FY220" s="4"/>
      <c r="FZ220" s="4"/>
      <c r="GA220" s="4"/>
      <c r="GB220" s="6"/>
      <c r="GC220" s="6"/>
      <c r="GD220" s="6"/>
      <c r="GE220" s="9"/>
      <c r="GF220"/>
      <c r="GG220"/>
      <c r="GH220"/>
      <c r="GI220"/>
      <c r="GJ220"/>
      <c r="GK220"/>
      <c r="GL220" s="4"/>
      <c r="GM220" s="4"/>
      <c r="GN220" s="4"/>
      <c r="GO220" s="6"/>
      <c r="GP220" s="4"/>
      <c r="GQ220" s="4"/>
      <c r="GR220" s="4"/>
      <c r="GS220" s="4"/>
      <c r="GT220" s="4"/>
      <c r="GU220" s="4"/>
      <c r="GV220" s="4"/>
      <c r="GW220" s="6"/>
      <c r="GX220" s="6"/>
      <c r="GY220" s="6"/>
      <c r="GZ220" s="9"/>
      <c r="HA220"/>
      <c r="HB220"/>
      <c r="HC220"/>
      <c r="HD220"/>
      <c r="HE220"/>
      <c r="HF220"/>
      <c r="HG220" s="4"/>
      <c r="HH220" s="4"/>
      <c r="HI220" s="4"/>
      <c r="HJ220" s="6"/>
      <c r="HK220" s="4"/>
      <c r="HL220" s="4"/>
      <c r="HM220" s="4"/>
      <c r="HN220" s="4"/>
      <c r="HO220" s="4"/>
      <c r="HP220" s="4"/>
      <c r="HQ220" s="4"/>
      <c r="HR220" s="6"/>
      <c r="HS220" s="6"/>
      <c r="HT220" s="6"/>
      <c r="HU220" s="9"/>
      <c r="HV220"/>
      <c r="HW220"/>
      <c r="HX220"/>
      <c r="HY220"/>
      <c r="HZ220"/>
      <c r="IA220"/>
      <c r="IB220" s="4"/>
      <c r="IC220" s="4"/>
      <c r="ID220" s="4"/>
      <c r="IE220" s="6"/>
      <c r="IF220" s="4"/>
      <c r="IG220" s="4"/>
      <c r="IH220" s="4"/>
      <c r="II220" s="4"/>
      <c r="IJ220" s="4"/>
      <c r="IK220" s="4"/>
      <c r="IL220" s="4"/>
      <c r="IM220" s="6"/>
      <c r="IN220" s="6"/>
      <c r="IO220" s="6"/>
      <c r="IP220" s="9"/>
      <c r="IQ220"/>
      <c r="IR220"/>
      <c r="IS220"/>
      <c r="IT220"/>
      <c r="IU220"/>
      <c r="IV220"/>
      <c r="IW220" s="4"/>
      <c r="IX220" s="4"/>
      <c r="IY220" s="4"/>
      <c r="IZ220" s="6"/>
      <c r="JA220" s="4"/>
      <c r="JB220" s="4"/>
      <c r="JC220" s="4"/>
      <c r="JD220" s="4"/>
      <c r="JE220" s="4"/>
      <c r="JF220" s="4"/>
      <c r="JG220" s="4"/>
      <c r="JH220" s="6"/>
      <c r="JI220" s="6"/>
      <c r="JJ220" s="6"/>
      <c r="JK220" s="9"/>
      <c r="JL220"/>
    </row>
    <row r="221">
      <c r="A221" s="8">
        <v>25531</v>
      </c>
      <c r="B221" s="8">
        <v>25532</v>
      </c>
      <c r="C221" s="9">
        <f>B221-A221</f>
        <v>1</v>
      </c>
      <c r="D221" s="8">
        <v>25531</v>
      </c>
      <c r="E221" t="inlineStr">
        <is>
          <t xml:space="preserve">positive</t>
        </is>
      </c>
      <c r="F221" s="4">
        <v>2.022498749331215</v>
      </c>
      <c r="G221" s="6">
        <v>-0.0067612418229901165</v>
      </c>
      <c r="H221" s="7">
        <f>SUM(CE221,CZ221,DU221,EP221,FK221,GF221,HA221,HV221,IQ221,JL221)</f>
        <v>-0.0067612418229901165</v>
      </c>
      <c r="I221" s="7">
        <f>G221-H221</f>
        <v>0</v>
      </c>
      <c r="J221" s="5">
        <f>F221*(1+H221)</f>
        <v>2.0088241462002916</v>
      </c>
      <c r="K221" s="4">
        <v>2.0088241462002916</v>
      </c>
      <c r="L221" s="5">
        <f>K221-J221</f>
        <v>0</v>
      </c>
      <c r="M221" s="4">
        <v>1.897</v>
      </c>
      <c r="N221" s="4">
        <v>1.868</v>
      </c>
      <c r="O221" s="5">
        <f>M221/$M$3</f>
        <v>0.9688457609805925</v>
      </c>
      <c r="P221" s="5">
        <f>N221/$M$3</f>
        <v>0.9540347293156283</v>
      </c>
      <c r="Q221" s="7">
        <f>IFERROR(N221/M221-1,0)</f>
        <v>-0.015287295730100126</v>
      </c>
      <c r="R221" s="5">
        <f>SUM(IF(BM221="lease",BU221,0),IF(CH221="lease",CP221,0),IF(DC221="lease",DK221,0),IF(DX221="lease",EF221,0),IF(ES221="lease",FA221,0),IF(FN221="lease",FV221,0),IF(GI221="lease",GQ221,0),IF(HD221="lease",HL221,0),IF(HY221="lease",IG221,0),IF(IT221="lease",JB221,0))</f>
        <v>2.0224987493312145</v>
      </c>
      <c r="S221" s="5">
        <f>SUM(IF(BM221="lease",BV221,0),IF(CH221="lease",CQ221,0),IF(DC221="lease",DL221,0),IF(DX221="lease",EG221,0),IF(ES221="lease",FB221,0),IF(FN221="lease",FW221,0),IF(GI221="lease",GR221,0),IF(HD221="lease",HM221,0),IF(HY221="lease",IH221,0),IF(IT221="lease",JC221,0))</f>
        <v>2.008824146200291</v>
      </c>
      <c r="T221" s="5">
        <f>SUM(IF(BM221="keep",BU221,0),IF(CH221="keep",CP221,0),IF(DC221="keep",DK221,0),IF(DX221="keep",EF221,0),IF(ES221="keep",FA221,0),IF(FN221="keep",FV221,0),IF(GI221="keep",GQ221,0),IF(HD221="keep",HL221,0),IF(HY221="keep",IG221,0),IF(IT221="keep",JB221,0))</f>
        <v>0</v>
      </c>
      <c r="U221" s="5">
        <f>SUM(IF(BM221="keep",BV221,0),IF(CH221="keep",CQ221,0),IF(DC221="keep",DL221,0),IF(DX221="keep",EG221,0),IF(ES221="keep",FB221,0),IF(FN221="keep",FW221,0),IF(GI221="keep",GR221,0),IF(HD221="keep",HM221,0),IF(HY221="keep",IH221,0),IF(IT221="keep",JC221,0))</f>
        <v>0</v>
      </c>
      <c r="V221" s="5">
        <f>R221/O221</f>
        <v>2.087534291613346</v>
      </c>
      <c r="W221" s="5">
        <f>S221/P221</f>
        <v>2.105609035471183</v>
      </c>
      <c r="X221" s="5">
        <f>T221/O221</f>
        <v>0</v>
      </c>
      <c r="Y221" s="5">
        <f>U221/P221</f>
        <v>0</v>
      </c>
      <c r="Z221" s="5">
        <f>V221+X221</f>
        <v>2.087534291613346</v>
      </c>
      <c r="AA221" s="7">
        <f>IFERROR(W221/V221-1,0)</f>
        <v>0.008658417699030085</v>
      </c>
      <c r="AB221" s="7">
        <f>IFERROR((W221-V221)/Z221,0)</f>
        <v>0.00865841769902999</v>
      </c>
      <c r="AC221" s="7">
        <f>IFERROR(Y221/X221-1,0)</f>
        <v>0</v>
      </c>
      <c r="AD221" s="7">
        <f>IFERROR((Y221-X221)/Z221,0)</f>
        <v>0</v>
      </c>
      <c r="AE221" s="7">
        <f>AB221+AD221</f>
        <v>0.00865841769902999</v>
      </c>
      <c r="AF221" s="7">
        <f>(1+Q221)*(1+AE221)-1</f>
        <v>-0.006761241822989872</v>
      </c>
      <c r="AG221" s="7">
        <f>G221-AF221</f>
        <v>-2.445960101127298e-16</v>
      </c>
      <c r="AH221" s="5">
        <f>SUM(IF(BM221="lease",BW221,0),IF(CH221="lease",CR221,0),IF(DC221="lease",DM221,0),IF(DX221="lease",EH221,0),IF(ES221="lease",FC221,0),IF(FN221="lease",FX221,0),IF(GI221="lease",GS221,0),IF(HD221="lease",HN221,0),IF(HY221="lease",II221,0),IF(IT221="lease",JD221,0))</f>
        <v>-0.013674603130923415</v>
      </c>
      <c r="AI221" s="5">
        <f>SUM(IF(BM221="keep",BW221,0),IF(CH221="keep",CR221,0),IF(DC221="keep",DM221,0),IF(DX221="keep",EH221,0),IF(ES221="keep",FC221,0),IF(FN221="keep",FX221,0),IF(GI221="keep",GS221,0),IF(HD221="keep",HN221,0),IF(HY221="keep",II221,0),IF(IT221="keep",JD221,0))</f>
        <v>0</v>
      </c>
      <c r="AJ221" s="5">
        <f>SUM(IF(BM221="lease",BX221,0),IF(CH221="lease",CS221,0),IF(DC221="lease",DN221,0),IF(DX221="lease",EI221,0),IF(ES221="lease",FD221,0),IF(FN221="lease",FY221,0),IF(GI221="lease",GT221,0),IF(HD221="lease",HO221,0),IF(HY221="lease",IJ221,0),IF(IT221="lease",JE221,0))</f>
        <v>0</v>
      </c>
      <c r="AK221" s="5">
        <f>SUM(IF(BM221="keep",BX221,0),IF(CH221="keep",CS221,0),IF(DC221="keep",DN221,0),IF(DX221="keep",EI221,0),IF(ES221="keep",FD221,0),IF(FN221="keep",FY221,0),IF(GI221="keep",GT221,0),IF(HD221="keep",HO221,0),IF(HY221="keep",IJ221,0),IF(IT221="keep",JE221,0))</f>
        <v>0</v>
      </c>
      <c r="AL221" s="5">
        <f>R221-S220</f>
        <v>0</v>
      </c>
      <c r="AM221" s="5">
        <f>T221-U220</f>
        <v>0</v>
      </c>
      <c r="AN221" s="5">
        <f>AN220</f>
        <v>1</v>
      </c>
      <c r="AO221" s="5">
        <f>AO220+AH221</f>
        <v>1.0088241462002918</v>
      </c>
      <c r="AP221" s="5">
        <f>AP220+AL221</f>
        <v>2.220446049250313e-16</v>
      </c>
      <c r="AQ221" s="5">
        <f>AN221+AO221+AP221</f>
        <v>2.0088241462002916</v>
      </c>
      <c r="AR221" s="5">
        <f>S221-AQ221</f>
        <v>-4.440892098500626e-16</v>
      </c>
      <c r="AS221" s="5">
        <f>AS220</f>
        <v>0</v>
      </c>
      <c r="AT221" s="5">
        <f>AT220+AI221</f>
        <v>0</v>
      </c>
      <c r="AU221" s="5">
        <f>AU220+AM221</f>
        <v>0</v>
      </c>
      <c r="AV221" s="5">
        <f>AS221+AT221+AU221</f>
        <v>0</v>
      </c>
      <c r="AW221" s="5">
        <f>U221-AV221</f>
        <v>0</v>
      </c>
      <c r="AX221" s="4">
        <v>2.0224987493312145</v>
      </c>
      <c r="AY221" s="4">
        <v>2.008824146200291</v>
      </c>
      <c r="AZ221" s="5">
        <f>S221-AY221</f>
        <v>0</v>
      </c>
      <c r="BA221" s="4">
        <v>0</v>
      </c>
      <c r="BB221" s="4">
        <v>0</v>
      </c>
      <c r="BC221" s="5">
        <f>U221-BB221</f>
        <v>0</v>
      </c>
      <c r="BD221" s="7">
        <f>SUM(IF(BL221="direct",CE221,0),IF(CG221="direct",CZ221,0),IF(DB221="direct",DU221,0),IF(DW221="direct",EP221,0),IF(ER221="direct",FK221,0),IF(FM221="direct",GF221,0),IF(GH221="direct",HA221,0),IF(HC221="direct",HV221,0),IF(HX221="direct",IQ221,0),IF(IS221="direct",JL221,0))</f>
        <v>-0.0010023963180890443</v>
      </c>
      <c r="BE221" s="7">
        <f>SUM(IF(BL221="treasury",CE221,0),IF(CG221="treasury",CZ221,0),IF(DB221="treasury",DU221,0),IF(DW221="treasury",EP221,0),IF(ER221="treasury",FK221,0),IF(FM221="treasury",GF221,0),IF(GH221="treasury",HA221,0),IF(HC221="treasury",HV221,0),IF(HX221="treasury",IQ221,0),IF(IS221="treasury",JL221,0))</f>
        <v>0.0001899639573178512</v>
      </c>
      <c r="BF221" s="7">
        <f>SUM(IF(BL221="future",CE221,0),IF(CG221="future",CZ221,0),IF(DB221="future",DU221,0),IF(DW221="future",EP221,0),IF(ER221="future",FK221,0),IF(FM221="future",GF221,0),IF(GH221="future",HA221,0),IF(HC221="future",HV221,0),IF(HX221="future",IQ221,0),IF(IS221="future",JL221,0))</f>
        <v>-0.005948809462218924</v>
      </c>
      <c r="BG221" s="7">
        <f>SUM(IF(BL221="cash",CE221,0),IF(CG221="cash",CZ221,0),IF(DB221="cash",DU221,0),IF(DW221="cash",EP221,0),IF(ER221="cash",FK221,0),IF(FM221="cash",GF221,0),IF(GH221="cash",HA221,0),IF(HC221="cash",HV221,0),IF(HX221="cash",IQ221,0),IF(IS221="cash",JL221,0))</f>
        <v>0</v>
      </c>
      <c r="BH221" s="7">
        <f>SUM(BD221:BG221)</f>
        <v>-0.006761241822990117</v>
      </c>
      <c r="BI221" s="7">
        <f>G221-BH221</f>
        <v>8.673617379884035e-19</v>
      </c>
      <c r="BJ221" s="9">
        <f>COUNTA(BK221,CF221,DA221,DV221,EQ221,FL221,GG221,HB221,HW221,IR221)</f>
        <v>5</v>
      </c>
      <c r="BK221" t="inlineStr">
        <is>
          <t xml:space="preserve">Direct commodity holding</t>
        </is>
      </c>
      <c r="BL221" t="inlineStr">
        <is>
          <t xml:space="preserve">direct</t>
        </is>
      </c>
      <c r="BM221" t="inlineStr">
        <is>
          <t xml:space="preserve">lease</t>
        </is>
      </c>
      <c r="BN221" t="inlineStr">
        <is>
          <t xml:space="preserve">long</t>
        </is>
      </c>
      <c r="BO221"/>
      <c r="BP221" s="4">
        <v>1.897</v>
      </c>
      <c r="BQ221" s="4">
        <v>1.868</v>
      </c>
      <c r="BR221" s="4">
        <v>0.0698771508730546</v>
      </c>
      <c r="BS221" s="6">
        <v>0.06554118030976164</v>
      </c>
      <c r="BT221" s="4">
        <v>0.13255695520618457</v>
      </c>
      <c r="BU221" s="4">
        <v>0.13255695520618457</v>
      </c>
      <c r="BV221" s="4">
        <v>0.130530517830866</v>
      </c>
      <c r="BW221" s="4">
        <v>-0.0020273452996693066</v>
      </c>
      <c r="BX221" s="4">
        <v>9.079243507327528e-7</v>
      </c>
      <c r="BY221" s="4">
        <v>1.897</v>
      </c>
      <c r="BZ221" s="4">
        <v>1.868</v>
      </c>
      <c r="CA221" s="6"/>
      <c r="CB221" s="6"/>
      <c r="CC221" s="6"/>
      <c r="CD221" s="9"/>
      <c r="CE221" s="7">
        <f>IFERROR(BW221/F221,0)</f>
        <v>-0.0010023963180890443</v>
      </c>
      <c r="CF221" t="inlineStr">
        <is>
          <t xml:space="preserve">Treasury collateral</t>
        </is>
      </c>
      <c r="CG221" t="inlineStr">
        <is>
          <t xml:space="preserve">treasury</t>
        </is>
      </c>
      <c r="CH221" t="inlineStr">
        <is>
          <t xml:space="preserve">lease</t>
        </is>
      </c>
      <c r="CI221" t="inlineStr">
        <is>
          <t xml:space="preserve">long</t>
        </is>
      </c>
      <c r="CJ221"/>
      <c r="CK221" s="4">
        <v>106.01436280758098</v>
      </c>
      <c r="CL221" s="4">
        <v>106.03591422051338</v>
      </c>
      <c r="CM221" s="4">
        <v>0.017827224010725107</v>
      </c>
      <c r="CN221" s="6">
        <v>0.9344588196902383</v>
      </c>
      <c r="CO221" s="4">
        <v>1.8899417941250305</v>
      </c>
      <c r="CP221" s="4">
        <v>1.8899417941250305</v>
      </c>
      <c r="CQ221" s="4">
        <v>1.8903259959911238</v>
      </c>
      <c r="CR221" s="4">
        <v>0.00038420186609336237</v>
      </c>
      <c r="CS221" s="4">
        <v>-2.574980159653073e-17</v>
      </c>
      <c r="CT221" s="4">
        <v>1.897</v>
      </c>
      <c r="CU221" s="4">
        <v>1.868</v>
      </c>
      <c r="CV221" s="6"/>
      <c r="CW221" s="6"/>
      <c r="CX221" s="6"/>
      <c r="CY221" s="9">
        <v>35</v>
      </c>
      <c r="CZ221" s="7">
        <f>IFERROR(CR221/F221,0)</f>
        <v>0.0001899639573178512</v>
      </c>
      <c r="DA221" t="inlineStr">
        <is>
          <t xml:space="preserve">SI69Z</t>
        </is>
      </c>
      <c r="DB221" t="inlineStr">
        <is>
          <t xml:space="preserve">future</t>
        </is>
      </c>
      <c r="DC221" t="inlineStr">
        <is>
          <t xml:space="preserve">lease</t>
        </is>
      </c>
      <c r="DD221" t="inlineStr">
        <is>
          <t xml:space="preserve">long</t>
        </is>
      </c>
      <c r="DE221" t="inlineStr">
        <is>
          <t xml:space="preserve">regular</t>
        </is>
      </c>
      <c r="DF221" s="4">
        <v>1.885</v>
      </c>
      <c r="DG221" s="4">
        <v>1.8730000000000002</v>
      </c>
      <c r="DH221" s="4">
        <v>1.0026216414456395</v>
      </c>
      <c r="DI221" s="6">
        <v>0.9344588196902383</v>
      </c>
      <c r="DJ221" s="4">
        <v>1.8899417941250305</v>
      </c>
      <c r="DK221" s="4">
        <v>0</v>
      </c>
      <c r="DL221" s="4">
        <v>0</v>
      </c>
      <c r="DM221" s="4">
        <v>-0.012031459697347471</v>
      </c>
      <c r="DN221" s="4">
        <v>0.012031459697347471</v>
      </c>
      <c r="DO221" s="4">
        <v>1.897</v>
      </c>
      <c r="DP221" s="4">
        <v>1.868</v>
      </c>
      <c r="DQ221" s="6">
        <v>-0.00632577754348973</v>
      </c>
      <c r="DR221" s="6">
        <v>0.0742</v>
      </c>
      <c r="DS221" s="6">
        <v>0.14016882295353575</v>
      </c>
      <c r="DT221" s="9">
        <v>35</v>
      </c>
      <c r="DU221" s="7">
        <f>IFERROR(DM221/F221,0)</f>
        <v>-0.005948809462218924</v>
      </c>
      <c r="DV221" t="inlineStr">
        <is>
          <t xml:space="preserve">Lease cash / margin / financing</t>
        </is>
      </c>
      <c r="DW221" t="inlineStr">
        <is>
          <t xml:space="preserve">cash</t>
        </is>
      </c>
      <c r="DX221" t="inlineStr">
        <is>
          <t xml:space="preserve">lease</t>
        </is>
      </c>
      <c r="DY221" t="inlineStr">
        <is>
          <t xml:space="preserve">cash</t>
        </is>
      </c>
      <c r="DZ221"/>
      <c r="EA221" s="4">
        <v>1</v>
      </c>
      <c r="EB221" s="4">
        <v>1</v>
      </c>
      <c r="EC221" s="4">
        <v>-4.440892098500626e-16</v>
      </c>
      <c r="ED221" s="6"/>
      <c r="EE221" s="4">
        <v>-4.440892098500626e-16</v>
      </c>
      <c r="EF221" s="4">
        <v>-4.440892098500626e-16</v>
      </c>
      <c r="EG221" s="4">
        <v>-0.012032367621698622</v>
      </c>
      <c r="EH221" s="4">
        <v>0</v>
      </c>
      <c r="EI221" s="4">
        <v>-0.012032367621698178</v>
      </c>
      <c r="EJ221" s="4">
        <v>1.897</v>
      </c>
      <c r="EK221" s="4">
        <v>1.868</v>
      </c>
      <c r="EL221" s="6"/>
      <c r="EM221" s="6"/>
      <c r="EN221" s="6"/>
      <c r="EO221" s="9"/>
      <c r="EP221" s="7">
        <f>IFERROR(EH221/F221,0)</f>
        <v>0</v>
      </c>
      <c r="EQ221" t="inlineStr">
        <is>
          <t xml:space="preserve">Keep cash / margin / financing</t>
        </is>
      </c>
      <c r="ER221" t="inlineStr">
        <is>
          <t xml:space="preserve">cash</t>
        </is>
      </c>
      <c r="ES221" t="inlineStr">
        <is>
          <t xml:space="preserve">keep</t>
        </is>
      </c>
      <c r="ET221" t="inlineStr">
        <is>
          <t xml:space="preserve">cash</t>
        </is>
      </c>
      <c r="EU221"/>
      <c r="EV221" s="4">
        <v>1</v>
      </c>
      <c r="EW221" s="4">
        <v>1</v>
      </c>
      <c r="EX221" s="4">
        <v>0</v>
      </c>
      <c r="EY221" s="6"/>
      <c r="EZ221" s="4">
        <v>0</v>
      </c>
      <c r="FA221" s="4">
        <v>0</v>
      </c>
      <c r="FB221" s="4">
        <v>0</v>
      </c>
      <c r="FC221" s="4">
        <v>0</v>
      </c>
      <c r="FD221" s="4">
        <v>0</v>
      </c>
      <c r="FE221" s="4">
        <v>1.897</v>
      </c>
      <c r="FF221" s="4">
        <v>1.868</v>
      </c>
      <c r="FG221" s="6"/>
      <c r="FH221" s="6"/>
      <c r="FI221" s="6"/>
      <c r="FJ221" s="9"/>
      <c r="FK221" s="7">
        <f>IFERROR(FC221/F221,0)</f>
        <v>0</v>
      </c>
      <c r="FL221"/>
      <c r="FM221"/>
      <c r="FN221"/>
      <c r="FO221"/>
      <c r="FP221"/>
      <c r="FQ221" s="4"/>
      <c r="FR221" s="4"/>
      <c r="FS221" s="4"/>
      <c r="FT221" s="6"/>
      <c r="FU221" s="4"/>
      <c r="FV221" s="4"/>
      <c r="FW221" s="4"/>
      <c r="FX221" s="4"/>
      <c r="FY221" s="4"/>
      <c r="FZ221" s="4"/>
      <c r="GA221" s="4"/>
      <c r="GB221" s="6"/>
      <c r="GC221" s="6"/>
      <c r="GD221" s="6"/>
      <c r="GE221" s="9"/>
      <c r="GF221"/>
      <c r="GG221"/>
      <c r="GH221"/>
      <c r="GI221"/>
      <c r="GJ221"/>
      <c r="GK221"/>
      <c r="GL221" s="4"/>
      <c r="GM221" s="4"/>
      <c r="GN221" s="4"/>
      <c r="GO221" s="6"/>
      <c r="GP221" s="4"/>
      <c r="GQ221" s="4"/>
      <c r="GR221" s="4"/>
      <c r="GS221" s="4"/>
      <c r="GT221" s="4"/>
      <c r="GU221" s="4"/>
      <c r="GV221" s="4"/>
      <c r="GW221" s="6"/>
      <c r="GX221" s="6"/>
      <c r="GY221" s="6"/>
      <c r="GZ221" s="9"/>
      <c r="HA221"/>
      <c r="HB221"/>
      <c r="HC221"/>
      <c r="HD221"/>
      <c r="HE221"/>
      <c r="HF221"/>
      <c r="HG221" s="4"/>
      <c r="HH221" s="4"/>
      <c r="HI221" s="4"/>
      <c r="HJ221" s="6"/>
      <c r="HK221" s="4"/>
      <c r="HL221" s="4"/>
      <c r="HM221" s="4"/>
      <c r="HN221" s="4"/>
      <c r="HO221" s="4"/>
      <c r="HP221" s="4"/>
      <c r="HQ221" s="4"/>
      <c r="HR221" s="6"/>
      <c r="HS221" s="6"/>
      <c r="HT221" s="6"/>
      <c r="HU221" s="9"/>
      <c r="HV221"/>
      <c r="HW221"/>
      <c r="HX221"/>
      <c r="HY221"/>
      <c r="HZ221"/>
      <c r="IA221"/>
      <c r="IB221" s="4"/>
      <c r="IC221" s="4"/>
      <c r="ID221" s="4"/>
      <c r="IE221" s="6"/>
      <c r="IF221" s="4"/>
      <c r="IG221" s="4"/>
      <c r="IH221" s="4"/>
      <c r="II221" s="4"/>
      <c r="IJ221" s="4"/>
      <c r="IK221" s="4"/>
      <c r="IL221" s="4"/>
      <c r="IM221" s="6"/>
      <c r="IN221" s="6"/>
      <c r="IO221" s="6"/>
      <c r="IP221" s="9"/>
      <c r="IQ221"/>
      <c r="IR221"/>
      <c r="IS221"/>
      <c r="IT221"/>
      <c r="IU221"/>
      <c r="IV221"/>
      <c r="IW221" s="4"/>
      <c r="IX221" s="4"/>
      <c r="IY221" s="4"/>
      <c r="IZ221" s="6"/>
      <c r="JA221" s="4"/>
      <c r="JB221" s="4"/>
      <c r="JC221" s="4"/>
      <c r="JD221" s="4"/>
      <c r="JE221" s="4"/>
      <c r="JF221" s="4"/>
      <c r="JG221" s="4"/>
      <c r="JH221" s="6"/>
      <c r="JI221" s="6"/>
      <c r="JJ221" s="6"/>
      <c r="JK221" s="9"/>
      <c r="JL221"/>
    </row>
    <row r="222">
      <c r="A222" s="8">
        <v>25532</v>
      </c>
      <c r="B222" s="8">
        <v>25533</v>
      </c>
      <c r="C222" s="9">
        <f>B222-A222</f>
        <v>1</v>
      </c>
      <c r="D222" s="8">
        <v>25532</v>
      </c>
      <c r="E222" t="inlineStr">
        <is>
          <t xml:space="preserve">positive</t>
        </is>
      </c>
      <c r="F222" s="4">
        <v>2.0088241462002916</v>
      </c>
      <c r="G222" s="6">
        <v>0.0007206382636418458</v>
      </c>
      <c r="H222" s="7">
        <f>SUM(CE222,CZ222,DU222,EP222,FK222,GF222,HA222,HV222,IQ222,JL222)</f>
        <v>0.0007206382636418459</v>
      </c>
      <c r="I222" s="7">
        <f>G222-H222</f>
        <v>-1.0842021724855044e-19</v>
      </c>
      <c r="J222" s="5">
        <f>F222*(1+H222)</f>
        <v>2.010271781744971</v>
      </c>
      <c r="K222" s="4">
        <v>2.010271781744971</v>
      </c>
      <c r="L222" s="5">
        <f>K222-J222</f>
        <v>0</v>
      </c>
      <c r="M222" s="4">
        <v>1.868</v>
      </c>
      <c r="N222" s="4">
        <v>1.868</v>
      </c>
      <c r="O222" s="5">
        <f>M222/$M$3</f>
        <v>0.9540347293156283</v>
      </c>
      <c r="P222" s="5">
        <f>N222/$M$3</f>
        <v>0.9540347293156283</v>
      </c>
      <c r="Q222" s="7">
        <f>IFERROR(N222/M222-1,0)</f>
        <v>0</v>
      </c>
      <c r="R222" s="5">
        <f>SUM(IF(BM222="lease",BU222,0),IF(CH222="lease",CP222,0),IF(DC222="lease",DK222,0),IF(DX222="lease",EF222,0),IF(ES222="lease",FA222,0),IF(FN222="lease",FV222,0),IF(GI222="lease",GQ222,0),IF(HD222="lease",HL222,0),IF(HY222="lease",IG222,0),IF(IT222="lease",JB222,0))</f>
        <v>2.008824146200291</v>
      </c>
      <c r="S222" s="5">
        <f>SUM(IF(BM222="lease",BV222,0),IF(CH222="lease",CQ222,0),IF(DC222="lease",DL222,0),IF(DX222="lease",EG222,0),IF(ES222="lease",FB222,0),IF(FN222="lease",FW222,0),IF(GI222="lease",GR222,0),IF(HD222="lease",HM222,0),IF(HY222="lease",IH222,0),IF(IT222="lease",JC222,0))</f>
        <v>2.0102717817449705</v>
      </c>
      <c r="T222" s="5">
        <f>SUM(IF(BM222="keep",BU222,0),IF(CH222="keep",CP222,0),IF(DC222="keep",DK222,0),IF(DX222="keep",EF222,0),IF(ES222="keep",FA222,0),IF(FN222="keep",FV222,0),IF(GI222="keep",GQ222,0),IF(HD222="keep",HL222,0),IF(HY222="keep",IG222,0),IF(IT222="keep",JB222,0))</f>
        <v>0</v>
      </c>
      <c r="U222" s="5">
        <f>SUM(IF(BM222="keep",BV222,0),IF(CH222="keep",CQ222,0),IF(DC222="keep",DL222,0),IF(DX222="keep",EG222,0),IF(ES222="keep",FB222,0),IF(FN222="keep",FW222,0),IF(GI222="keep",GR222,0),IF(HD222="keep",HM222,0),IF(HY222="keep",IH222,0),IF(IT222="keep",JC222,0))</f>
        <v>0</v>
      </c>
      <c r="V222" s="5">
        <f>R222/O222</f>
        <v>2.105609035471183</v>
      </c>
      <c r="W222" s="5">
        <f>S222/P222</f>
        <v>2.107126417910413</v>
      </c>
      <c r="X222" s="5">
        <f>T222/O222</f>
        <v>0</v>
      </c>
      <c r="Y222" s="5">
        <f>U222/P222</f>
        <v>0</v>
      </c>
      <c r="Z222" s="5">
        <f>V222+X222</f>
        <v>2.105609035471183</v>
      </c>
      <c r="AA222" s="7">
        <f>IFERROR(W222/V222-1,0)</f>
        <v>0.0007206382636415487</v>
      </c>
      <c r="AB222" s="7">
        <f>IFERROR((W222-V222)/Z222,0)</f>
        <v>0.0007206382636415113</v>
      </c>
      <c r="AC222" s="7">
        <f>IFERROR(Y222/X222-1,0)</f>
        <v>0</v>
      </c>
      <c r="AD222" s="7">
        <f>IFERROR((Y222-X222)/Z222,0)</f>
        <v>0</v>
      </c>
      <c r="AE222" s="7">
        <f>AB222+AD222</f>
        <v>0.0007206382636415113</v>
      </c>
      <c r="AF222" s="7">
        <f>(1+Q222)*(1+AE222)-1</f>
        <v>0.0007206382636415487</v>
      </c>
      <c r="AG222" s="7">
        <f>G222-AF222</f>
        <v>2.970713952610282e-16</v>
      </c>
      <c r="AH222" s="5">
        <f>SUM(IF(BM222="lease",BW222,0),IF(CH222="lease",CR222,0),IF(DC222="lease",DM222,0),IF(DX222="lease",EH222,0),IF(ES222="lease",FC222,0),IF(FN222="lease",FX222,0),IF(GI222="lease",GS222,0),IF(HD222="lease",HN222,0),IF(HY222="lease",II222,0),IF(IT222="lease",JD222,0))</f>
        <v>0.0014476355446795916</v>
      </c>
      <c r="AI222" s="5">
        <f>SUM(IF(BM222="keep",BW222,0),IF(CH222="keep",CR222,0),IF(DC222="keep",DM222,0),IF(DX222="keep",EH222,0),IF(ES222="keep",FC222,0),IF(FN222="keep",FX222,0),IF(GI222="keep",GS222,0),IF(HD222="keep",HN222,0),IF(HY222="keep",II222,0),IF(IT222="keep",JD222,0))</f>
        <v>0</v>
      </c>
      <c r="AJ222" s="5">
        <f>SUM(IF(BM222="lease",BX222,0),IF(CH222="lease",CS222,0),IF(DC222="lease",DN222,0),IF(DX222="lease",EI222,0),IF(ES222="lease",FD222,0),IF(FN222="lease",FY222,0),IF(GI222="lease",GT222,0),IF(HD222="lease",HO222,0),IF(HY222="lease",IJ222,0),IF(IT222="lease",JE222,0))</f>
        <v>0</v>
      </c>
      <c r="AK222" s="5">
        <f>SUM(IF(BM222="keep",BX222,0),IF(CH222="keep",CS222,0),IF(DC222="keep",DN222,0),IF(DX222="keep",EI222,0),IF(ES222="keep",FD222,0),IF(FN222="keep",FY222,0),IF(GI222="keep",GT222,0),IF(HD222="keep",HO222,0),IF(HY222="keep",IJ222,0),IF(IT222="keep",JE222,0))</f>
        <v>0</v>
      </c>
      <c r="AL222" s="5">
        <f>R222-S221</f>
        <v>0</v>
      </c>
      <c r="AM222" s="5">
        <f>T222-U221</f>
        <v>0</v>
      </c>
      <c r="AN222" s="5">
        <f>AN221</f>
        <v>1</v>
      </c>
      <c r="AO222" s="5">
        <f>AO221+AH222</f>
        <v>1.0102717817449713</v>
      </c>
      <c r="AP222" s="5">
        <f>AP221+AL222</f>
        <v>2.220446049250313e-16</v>
      </c>
      <c r="AQ222" s="5">
        <f>AN222+AO222+AP222</f>
        <v>2.0102717817449713</v>
      </c>
      <c r="AR222" s="5">
        <f>S222-AQ222</f>
        <v>-8.881784197001252e-16</v>
      </c>
      <c r="AS222" s="5">
        <f>AS221</f>
        <v>0</v>
      </c>
      <c r="AT222" s="5">
        <f>AT221+AI222</f>
        <v>0</v>
      </c>
      <c r="AU222" s="5">
        <f>AU221+AM222</f>
        <v>0</v>
      </c>
      <c r="AV222" s="5">
        <f>AS222+AT222+AU222</f>
        <v>0</v>
      </c>
      <c r="AW222" s="5">
        <f>U222-AV222</f>
        <v>0</v>
      </c>
      <c r="AX222" s="4">
        <v>2.008824146200291</v>
      </c>
      <c r="AY222" s="4">
        <v>2.010271781744971</v>
      </c>
      <c r="AZ222" s="5">
        <f>S222-AY222</f>
        <v>-4.440892098500626e-16</v>
      </c>
      <c r="BA222" s="4">
        <v>0</v>
      </c>
      <c r="BB222" s="4">
        <v>0</v>
      </c>
      <c r="BC222" s="5">
        <f>U222-BB222</f>
        <v>0</v>
      </c>
      <c r="BD222" s="7">
        <f>SUM(IF(BL222="direct",CE222,0),IF(CG222="direct",CZ222,0),IF(DB222="direct",DU222,0),IF(DW222="direct",EP222,0),IF(ER222="direct",FK222,0),IF(FM222="direct",GF222,0),IF(GH222="direct",HA222,0),IF(HC222="direct",HV222,0),IF(HX222="direct",IQ222,0),IF(IS222="direct",JL222,0))</f>
        <v>-0.000004727613118521945</v>
      </c>
      <c r="BE222" s="7">
        <f>SUM(IF(BL222="treasury",CE222,0),IF(CG222="treasury",CZ222,0),IF(DB222="treasury",DU222,0),IF(DW222="treasury",EP222,0),IF(ER222="treasury",FK222,0),IF(FM222="treasury",GF222,0),IF(GH222="treasury",HA222,0),IF(HC222="treasury",HV222,0),IF(HX222="treasury",IQ222,0),IF(IS222="treasury",JL222,0))</f>
        <v>0.00006382079465513387</v>
      </c>
      <c r="BF222" s="7">
        <f>SUM(IF(BL222="future",CE222,0),IF(CG222="future",CZ222,0),IF(DB222="future",DU222,0),IF(DW222="future",EP222,0),IF(ER222="future",FK222,0),IF(FM222="future",GF222,0),IF(GH222="future",HA222,0),IF(HC222="future",HV222,0),IF(HX222="future",IQ222,0),IF(IS222="future",JL222,0))</f>
        <v>0.000661545082105234</v>
      </c>
      <c r="BG222" s="7">
        <f>SUM(IF(BL222="cash",CE222,0),IF(CG222="cash",CZ222,0),IF(DB222="cash",DU222,0),IF(DW222="cash",EP222,0),IF(ER222="cash",FK222,0),IF(FM222="cash",GF222,0),IF(GH222="cash",HA222,0),IF(HC222="cash",HV222,0),IF(HX222="cash",IQ222,0),IF(IS222="cash",JL222,0))</f>
        <v>0</v>
      </c>
      <c r="BH222" s="7">
        <f>SUM(BD222:BG222)</f>
        <v>0.0007206382636418459</v>
      </c>
      <c r="BI222" s="7">
        <f>G222-BH222</f>
        <v>-1.0842021724855044e-19</v>
      </c>
      <c r="BJ222" s="9">
        <f>COUNTA(BK222,CF222,DA222,DV222,EQ222,FL222,GG222,HB222,HW222,IR222)</f>
        <v>5</v>
      </c>
      <c r="BK222" t="inlineStr">
        <is>
          <t xml:space="preserve">Direct commodity holding</t>
        </is>
      </c>
      <c r="BL222" t="inlineStr">
        <is>
          <t xml:space="preserve">direct</t>
        </is>
      </c>
      <c r="BM222" t="inlineStr">
        <is>
          <t xml:space="preserve">lease</t>
        </is>
      </c>
      <c r="BN222" t="inlineStr">
        <is>
          <t xml:space="preserve">long</t>
        </is>
      </c>
      <c r="BO222"/>
      <c r="BP222" s="4">
        <v>1.868</v>
      </c>
      <c r="BQ222" s="4">
        <v>1.868</v>
      </c>
      <c r="BR222" s="4">
        <v>0.7422664531110817</v>
      </c>
      <c r="BS222" s="6">
        <v>0.6902315153042039</v>
      </c>
      <c r="BT222" s="4">
        <v>1.3865537344115009</v>
      </c>
      <c r="BU222" s="4">
        <v>1.3865537344115009</v>
      </c>
      <c r="BV222" s="4">
        <v>1.3865537344115009</v>
      </c>
      <c r="BW222" s="4">
        <v>-0.000009496943386380143</v>
      </c>
      <c r="BX222" s="4">
        <v>0.000009496943386380143</v>
      </c>
      <c r="BY222" s="4">
        <v>1.868</v>
      </c>
      <c r="BZ222" s="4">
        <v>1.868</v>
      </c>
      <c r="CA222" s="6"/>
      <c r="CB222" s="6"/>
      <c r="CC222" s="6"/>
      <c r="CD222" s="9"/>
      <c r="CE222" s="7">
        <f>IFERROR(BW222/F222,0)</f>
        <v>-0.000004727613118521945</v>
      </c>
      <c r="CF222" t="inlineStr">
        <is>
          <t xml:space="preserve">Treasury collateral</t>
        </is>
      </c>
      <c r="CG222" t="inlineStr">
        <is>
          <t xml:space="preserve">treasury</t>
        </is>
      </c>
      <c r="CH222" t="inlineStr">
        <is>
          <t xml:space="preserve">lease</t>
        </is>
      </c>
      <c r="CI222" t="inlineStr">
        <is>
          <t xml:space="preserve">long</t>
        </is>
      </c>
      <c r="CJ222"/>
      <c r="CK222" s="4">
        <v>106.03591422051338</v>
      </c>
      <c r="CL222" s="4">
        <v>106.05776052393632</v>
      </c>
      <c r="CM222" s="4">
        <v>0.0058684872607851594</v>
      </c>
      <c r="CN222" s="6">
        <v>0.3097684846957961</v>
      </c>
      <c r="CO222" s="4">
        <v>0.6222704117887907</v>
      </c>
      <c r="CP222" s="4">
        <v>0.6222704117887907</v>
      </c>
      <c r="CQ222" s="4">
        <v>0.6223986165421235</v>
      </c>
      <c r="CR222" s="4">
        <v>0.00012820475333292345</v>
      </c>
      <c r="CS222" s="4">
        <v>-1.7328261221749575e-16</v>
      </c>
      <c r="CT222" s="4">
        <v>1.868</v>
      </c>
      <c r="CU222" s="4">
        <v>1.868</v>
      </c>
      <c r="CV222" s="6"/>
      <c r="CW222" s="6"/>
      <c r="CX222" s="6"/>
      <c r="CY222" s="9">
        <v>34</v>
      </c>
      <c r="CZ222" s="7">
        <f>IFERROR(CR222/F222,0)</f>
        <v>0.00006382079465513387</v>
      </c>
      <c r="DA222" t="inlineStr">
        <is>
          <t xml:space="preserve">SI69Z</t>
        </is>
      </c>
      <c r="DB222" t="inlineStr">
        <is>
          <t xml:space="preserve">future</t>
        </is>
      </c>
      <c r="DC222" t="inlineStr">
        <is>
          <t xml:space="preserve">lease</t>
        </is>
      </c>
      <c r="DD222" t="inlineStr">
        <is>
          <t xml:space="preserve">long</t>
        </is>
      </c>
      <c r="DE222" t="inlineStr">
        <is>
          <t xml:space="preserve">regular</t>
        </is>
      </c>
      <c r="DF222" s="4">
        <v>1.8730000000000002</v>
      </c>
      <c r="DG222" s="4">
        <v>1.8769999999999998</v>
      </c>
      <c r="DH222" s="4">
        <v>0.33223193368328385</v>
      </c>
      <c r="DI222" s="6">
        <v>0.3097684846957961</v>
      </c>
      <c r="DJ222" s="4">
        <v>0.6222704117887907</v>
      </c>
      <c r="DK222" s="4">
        <v>0</v>
      </c>
      <c r="DL222" s="4">
        <v>0</v>
      </c>
      <c r="DM222" s="4">
        <v>0.0013289277347330484</v>
      </c>
      <c r="DN222" s="4">
        <v>-0.0013289277347330484</v>
      </c>
      <c r="DO222" s="4">
        <v>1.868</v>
      </c>
      <c r="DP222" s="4">
        <v>1.868</v>
      </c>
      <c r="DQ222" s="6">
        <v>0.002676659528908054</v>
      </c>
      <c r="DR222" s="6">
        <v>0.07519999999999999</v>
      </c>
      <c r="DS222" s="6">
        <v>0.04646527270436941</v>
      </c>
      <c r="DT222" s="9">
        <v>34</v>
      </c>
      <c r="DU222" s="7">
        <f>IFERROR(DM222/F222,0)</f>
        <v>0.000661545082105234</v>
      </c>
      <c r="DV222" t="inlineStr">
        <is>
          <t xml:space="preserve">Lease cash / margin / financing</t>
        </is>
      </c>
      <c r="DW222" t="inlineStr">
        <is>
          <t xml:space="preserve">cash</t>
        </is>
      </c>
      <c r="DX222" t="inlineStr">
        <is>
          <t xml:space="preserve">lease</t>
        </is>
      </c>
      <c r="DY222" t="inlineStr">
        <is>
          <t xml:space="preserve">cash</t>
        </is>
      </c>
      <c r="DZ222"/>
      <c r="EA222" s="4">
        <v>1</v>
      </c>
      <c r="EB222" s="4">
        <v>1</v>
      </c>
      <c r="EC222" s="4">
        <v>-4.440892098500626e-16</v>
      </c>
      <c r="ED222" s="6"/>
      <c r="EE222" s="4">
        <v>-4.440892098500626e-16</v>
      </c>
      <c r="EF222" s="4">
        <v>-4.440892098500626e-16</v>
      </c>
      <c r="EG222" s="4">
        <v>0.0013194307913463974</v>
      </c>
      <c r="EH222" s="4">
        <v>0</v>
      </c>
      <c r="EI222" s="4">
        <v>0.0013194307913468415</v>
      </c>
      <c r="EJ222" s="4">
        <v>1.868</v>
      </c>
      <c r="EK222" s="4">
        <v>1.868</v>
      </c>
      <c r="EL222" s="6"/>
      <c r="EM222" s="6"/>
      <c r="EN222" s="6"/>
      <c r="EO222" s="9"/>
      <c r="EP222" s="7">
        <f>IFERROR(EH222/F222,0)</f>
        <v>0</v>
      </c>
      <c r="EQ222" t="inlineStr">
        <is>
          <t xml:space="preserve">Keep cash / margin / financing</t>
        </is>
      </c>
      <c r="ER222" t="inlineStr">
        <is>
          <t xml:space="preserve">cash</t>
        </is>
      </c>
      <c r="ES222" t="inlineStr">
        <is>
          <t xml:space="preserve">keep</t>
        </is>
      </c>
      <c r="ET222" t="inlineStr">
        <is>
          <t xml:space="preserve">cash</t>
        </is>
      </c>
      <c r="EU222"/>
      <c r="EV222" s="4">
        <v>1</v>
      </c>
      <c r="EW222" s="4">
        <v>1</v>
      </c>
      <c r="EX222" s="4">
        <v>0</v>
      </c>
      <c r="EY222" s="6"/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1.868</v>
      </c>
      <c r="FF222" s="4">
        <v>1.868</v>
      </c>
      <c r="FG222" s="6"/>
      <c r="FH222" s="6"/>
      <c r="FI222" s="6"/>
      <c r="FJ222" s="9"/>
      <c r="FK222" s="7">
        <f>IFERROR(FC222/F222,0)</f>
        <v>0</v>
      </c>
      <c r="FL222"/>
      <c r="FM222"/>
      <c r="FN222"/>
      <c r="FO222"/>
      <c r="FP222"/>
      <c r="FQ222" s="4"/>
      <c r="FR222" s="4"/>
      <c r="FS222" s="4"/>
      <c r="FT222" s="6"/>
      <c r="FU222" s="4"/>
      <c r="FV222" s="4"/>
      <c r="FW222" s="4"/>
      <c r="FX222" s="4"/>
      <c r="FY222" s="4"/>
      <c r="FZ222" s="4"/>
      <c r="GA222" s="4"/>
      <c r="GB222" s="6"/>
      <c r="GC222" s="6"/>
      <c r="GD222" s="6"/>
      <c r="GE222" s="9"/>
      <c r="GF222"/>
      <c r="GG222"/>
      <c r="GH222"/>
      <c r="GI222"/>
      <c r="GJ222"/>
      <c r="GK222"/>
      <c r="GL222" s="4"/>
      <c r="GM222" s="4"/>
      <c r="GN222" s="4"/>
      <c r="GO222" s="6"/>
      <c r="GP222" s="4"/>
      <c r="GQ222" s="4"/>
      <c r="GR222" s="4"/>
      <c r="GS222" s="4"/>
      <c r="GT222" s="4"/>
      <c r="GU222" s="4"/>
      <c r="GV222" s="4"/>
      <c r="GW222" s="6"/>
      <c r="GX222" s="6"/>
      <c r="GY222" s="6"/>
      <c r="GZ222" s="9"/>
      <c r="HA222"/>
      <c r="HB222"/>
      <c r="HC222"/>
      <c r="HD222"/>
      <c r="HE222"/>
      <c r="HF222"/>
      <c r="HG222" s="4"/>
      <c r="HH222" s="4"/>
      <c r="HI222" s="4"/>
      <c r="HJ222" s="6"/>
      <c r="HK222" s="4"/>
      <c r="HL222" s="4"/>
      <c r="HM222" s="4"/>
      <c r="HN222" s="4"/>
      <c r="HO222" s="4"/>
      <c r="HP222" s="4"/>
      <c r="HQ222" s="4"/>
      <c r="HR222" s="6"/>
      <c r="HS222" s="6"/>
      <c r="HT222" s="6"/>
      <c r="HU222" s="9"/>
      <c r="HV222"/>
      <c r="HW222"/>
      <c r="HX222"/>
      <c r="HY222"/>
      <c r="HZ222"/>
      <c r="IA222"/>
      <c r="IB222" s="4"/>
      <c r="IC222" s="4"/>
      <c r="ID222" s="4"/>
      <c r="IE222" s="6"/>
      <c r="IF222" s="4"/>
      <c r="IG222" s="4"/>
      <c r="IH222" s="4"/>
      <c r="II222" s="4"/>
      <c r="IJ222" s="4"/>
      <c r="IK222" s="4"/>
      <c r="IL222" s="4"/>
      <c r="IM222" s="6"/>
      <c r="IN222" s="6"/>
      <c r="IO222" s="6"/>
      <c r="IP222" s="9"/>
      <c r="IQ222"/>
      <c r="IR222"/>
      <c r="IS222"/>
      <c r="IT222"/>
      <c r="IU222"/>
      <c r="IV222"/>
      <c r="IW222" s="4"/>
      <c r="IX222" s="4"/>
      <c r="IY222" s="4"/>
      <c r="IZ222" s="6"/>
      <c r="JA222" s="4"/>
      <c r="JB222" s="4"/>
      <c r="JC222" s="4"/>
      <c r="JD222" s="4"/>
      <c r="JE222" s="4"/>
      <c r="JF222" s="4"/>
      <c r="JG222" s="4"/>
      <c r="JH222" s="6"/>
      <c r="JI222" s="6"/>
      <c r="JJ222" s="6"/>
      <c r="JK222" s="9"/>
      <c r="JL222"/>
    </row>
    <row r="223">
      <c r="A223" s="8">
        <v>25533</v>
      </c>
      <c r="B223" s="8">
        <v>25535</v>
      </c>
      <c r="C223" s="9">
        <f>B223-A223</f>
        <v>2</v>
      </c>
      <c r="D223" s="8">
        <v>25533</v>
      </c>
      <c r="E223" t="inlineStr">
        <is>
          <t xml:space="preserve">positive</t>
        </is>
      </c>
      <c r="F223" s="4">
        <v>2.010271781744971</v>
      </c>
      <c r="G223" s="6">
        <v>0.011475833976227652</v>
      </c>
      <c r="H223" s="7">
        <f>SUM(CE223,CZ223,DU223,EP223,FK223,GF223,HA223,HV223,IQ223,JL223)</f>
        <v>0.011475833976227652</v>
      </c>
      <c r="I223" s="7">
        <f>G223-H223</f>
        <v>0</v>
      </c>
      <c r="J223" s="5">
        <f>F223*(1+H223)</f>
        <v>2.0333413269593716</v>
      </c>
      <c r="K223" s="4">
        <v>2.0333413269593716</v>
      </c>
      <c r="L223" s="5">
        <f>K223-J223</f>
        <v>0</v>
      </c>
      <c r="M223" s="4">
        <v>1.868</v>
      </c>
      <c r="N223" s="4">
        <v>1.887</v>
      </c>
      <c r="O223" s="5">
        <f>M223/$M$3</f>
        <v>0.9540347293156283</v>
      </c>
      <c r="P223" s="5">
        <f>N223/$M$3</f>
        <v>0.9637385086823289</v>
      </c>
      <c r="Q223" s="7">
        <f>IFERROR(N223/M223-1,0)</f>
        <v>0.010171306209850073</v>
      </c>
      <c r="R223" s="5">
        <f>SUM(IF(BM223="lease",BU223,0),IF(CH223="lease",CP223,0),IF(DC223="lease",DK223,0),IF(DX223="lease",EF223,0),IF(ES223="lease",FA223,0),IF(FN223="lease",FV223,0),IF(GI223="lease",GQ223,0),IF(HD223="lease",HL223,0),IF(HY223="lease",IG223,0),IF(IT223="lease",JB223,0))</f>
        <v>2.010271781744971</v>
      </c>
      <c r="S223" s="5">
        <f>SUM(IF(BM223="lease",BV223,0),IF(CH223="lease",CQ223,0),IF(DC223="lease",DL223,0),IF(DX223="lease",EG223,0),IF(ES223="lease",FB223,0),IF(FN223="lease",FW223,0),IF(GI223="lease",GR223,0),IF(HD223="lease",HM223,0),IF(HY223="lease",IH223,0),IF(IT223="lease",JC223,0))</f>
        <v>2.0333413269593716</v>
      </c>
      <c r="T223" s="5">
        <f>SUM(IF(BM223="keep",BU223,0),IF(CH223="keep",CP223,0),IF(DC223="keep",DK223,0),IF(DX223="keep",EF223,0),IF(ES223="keep",FA223,0),IF(FN223="keep",FV223,0),IF(GI223="keep",GQ223,0),IF(HD223="keep",HL223,0),IF(HY223="keep",IG223,0),IF(IT223="keep",JB223,0))</f>
        <v>0</v>
      </c>
      <c r="U223" s="5">
        <f>SUM(IF(BM223="keep",BV223,0),IF(CH223="keep",CQ223,0),IF(DC223="keep",DL223,0),IF(DX223="keep",EG223,0),IF(ES223="keep",FB223,0),IF(FN223="keep",FW223,0),IF(GI223="keep",GR223,0),IF(HD223="keep",HM223,0),IF(HY223="keep",IH223,0),IF(IT223="keep",JC223,0))</f>
        <v>0</v>
      </c>
      <c r="V223" s="5">
        <f>R223/O223</f>
        <v>2.1071264179104134</v>
      </c>
      <c r="W223" s="5">
        <f>S223/P223</f>
        <v>2.1098475454088232</v>
      </c>
      <c r="X223" s="5">
        <f>T223/O223</f>
        <v>0</v>
      </c>
      <c r="Y223" s="5">
        <f>U223/P223</f>
        <v>0</v>
      </c>
      <c r="Z223" s="5">
        <f>V223+X223</f>
        <v>2.1071264179104134</v>
      </c>
      <c r="AA223" s="7">
        <f>IFERROR(W223/V223-1,0)</f>
        <v>0.0012913926166366885</v>
      </c>
      <c r="AB223" s="7">
        <f>IFERROR((W223-V223)/Z223,0)</f>
        <v>0.001291392616636775</v>
      </c>
      <c r="AC223" s="7">
        <f>IFERROR(Y223/X223-1,0)</f>
        <v>0</v>
      </c>
      <c r="AD223" s="7">
        <f>IFERROR((Y223-X223)/Z223,0)</f>
        <v>0</v>
      </c>
      <c r="AE223" s="7">
        <f>AB223+AD223</f>
        <v>0.001291392616636775</v>
      </c>
      <c r="AF223" s="7">
        <f>(1+Q223)*(1+AE223)-1</f>
        <v>0.011475833976227756</v>
      </c>
      <c r="AG223" s="7">
        <f>G223-AF223</f>
        <v>-1.0408340855860843e-16</v>
      </c>
      <c r="AH223" s="5">
        <f>SUM(IF(BM223="lease",BW223,0),IF(CH223="lease",CR223,0),IF(DC223="lease",DM223,0),IF(DX223="lease",EH223,0),IF(ES223="lease",FC223,0),IF(FN223="lease",FX223,0),IF(GI223="lease",GS223,0),IF(HD223="lease",HN223,0),IF(HY223="lease",II223,0),IF(IT223="lease",JD223,0))</f>
        <v>0.023069545214400636</v>
      </c>
      <c r="AI223" s="5">
        <f>SUM(IF(BM223="keep",BW223,0),IF(CH223="keep",CR223,0),IF(DC223="keep",DM223,0),IF(DX223="keep",EH223,0),IF(ES223="keep",FC223,0),IF(FN223="keep",FX223,0),IF(GI223="keep",GS223,0),IF(HD223="keep",HN223,0),IF(HY223="keep",II223,0),IF(IT223="keep",JD223,0))</f>
        <v>0</v>
      </c>
      <c r="AJ223" s="5">
        <f>SUM(IF(BM223="lease",BX223,0),IF(CH223="lease",CS223,0),IF(DC223="lease",DN223,0),IF(DX223="lease",EI223,0),IF(ES223="lease",FD223,0),IF(FN223="lease",FY223,0),IF(GI223="lease",GT223,0),IF(HD223="lease",HO223,0),IF(HY223="lease",IJ223,0),IF(IT223="lease",JE223,0))</f>
        <v>0</v>
      </c>
      <c r="AK223" s="5">
        <f>SUM(IF(BM223="keep",BX223,0),IF(CH223="keep",CS223,0),IF(DC223="keep",DN223,0),IF(DX223="keep",EI223,0),IF(ES223="keep",FD223,0),IF(FN223="keep",FY223,0),IF(GI223="keep",GT223,0),IF(HD223="keep",HO223,0),IF(HY223="keep",IJ223,0),IF(IT223="keep",JE223,0))</f>
        <v>0</v>
      </c>
      <c r="AL223" s="5">
        <f>R223-S222</f>
        <v>4.440892098500626e-16</v>
      </c>
      <c r="AM223" s="5">
        <f>T223-U222</f>
        <v>0</v>
      </c>
      <c r="AN223" s="5">
        <f>AN222</f>
        <v>1</v>
      </c>
      <c r="AO223" s="5">
        <f>AO222+AH223</f>
        <v>1.033341326959372</v>
      </c>
      <c r="AP223" s="5">
        <f>AP222+AL223</f>
        <v>6.661338147750939e-16</v>
      </c>
      <c r="AQ223" s="5">
        <f>AN223+AO223+AP223</f>
        <v>2.0333413269593725</v>
      </c>
      <c r="AR223" s="5">
        <f>S223-AQ223</f>
        <v>-8.881784197001252e-16</v>
      </c>
      <c r="AS223" s="5">
        <f>AS222</f>
        <v>0</v>
      </c>
      <c r="AT223" s="5">
        <f>AT222+AI223</f>
        <v>0</v>
      </c>
      <c r="AU223" s="5">
        <f>AU222+AM223</f>
        <v>0</v>
      </c>
      <c r="AV223" s="5">
        <f>AS223+AT223+AU223</f>
        <v>0</v>
      </c>
      <c r="AW223" s="5">
        <f>U223-AV223</f>
        <v>0</v>
      </c>
      <c r="AX223" s="4">
        <v>2.010271781744971</v>
      </c>
      <c r="AY223" s="4">
        <v>2.0333413269593716</v>
      </c>
      <c r="AZ223" s="5">
        <f>S223-AY223</f>
        <v>0</v>
      </c>
      <c r="BA223" s="4">
        <v>0</v>
      </c>
      <c r="BB223" s="4">
        <v>0</v>
      </c>
      <c r="BC223" s="5">
        <f>U223-BB223</f>
        <v>0</v>
      </c>
      <c r="BD223" s="7">
        <f>SUM(IF(BL223="direct",CE223,0),IF(CG223="direct",CZ223,0),IF(DB223="direct",DU223,0),IF(DW223="direct",EP223,0),IF(ER223="direct",FK223,0),IF(FM223="direct",GF223,0),IF(GH223="direct",HA223,0),IF(HC223="direct",HV223,0),IF(HX223="direct",IQ223,0),IF(IS223="direct",JL223,0))</f>
        <v>0.008653594861010814</v>
      </c>
      <c r="BE223" s="7">
        <f>SUM(IF(BL223="treasury",CE223,0),IF(CG223="treasury",CZ223,0),IF(DB223="treasury",DU223,0),IF(DW223="treasury",EP223,0),IF(ER223="treasury",FK223,0),IF(FM223="treasury",GF223,0),IF(GH223="treasury",HA223,0),IF(HC223="treasury",HV223,0),IF(HX223="treasury",IQ223,0),IF(IS223="treasury",JL223,0))</f>
        <v>0.00006125536909679579</v>
      </c>
      <c r="BF223" s="7">
        <f>SUM(IF(BL223="future",CE223,0),IF(CG223="future",CZ223,0),IF(DB223="future",DU223,0),IF(DW223="future",EP223,0),IF(ER223="future",FK223,0),IF(FM223="future",GF223,0),IF(GH223="future",HA223,0),IF(HC223="future",HV223,0),IF(HX223="future",IQ223,0),IF(IS223="future",JL223,0))</f>
        <v>0.002760983746120043</v>
      </c>
      <c r="BG223" s="7">
        <f>SUM(IF(BL223="cash",CE223,0),IF(CG223="cash",CZ223,0),IF(DB223="cash",DU223,0),IF(DW223="cash",EP223,0),IF(ER223="cash",FK223,0),IF(FM223="cash",GF223,0),IF(GH223="cash",HA223,0),IF(HC223="cash",HV223,0),IF(HX223="cash",IQ223,0),IF(IS223="cash",JL223,0))</f>
        <v>0</v>
      </c>
      <c r="BH223" s="7">
        <f>SUM(BD223:BG223)</f>
        <v>0.011475833976227652</v>
      </c>
      <c r="BI223" s="7">
        <f>G223-BH223</f>
        <v>0</v>
      </c>
      <c r="BJ223" s="9">
        <f>COUNTA(BK223,CF223,DA223,DV223,EQ223,FL223,GG223,HB223,HW223,IR223)</f>
        <v>5</v>
      </c>
      <c r="BK223" t="inlineStr">
        <is>
          <t xml:space="preserve">Direct commodity holding</t>
        </is>
      </c>
      <c r="BL223" t="inlineStr">
        <is>
          <t xml:space="preserve">direct</t>
        </is>
      </c>
      <c r="BM223" t="inlineStr">
        <is>
          <t xml:space="preserve">lease</t>
        </is>
      </c>
      <c r="BN223" t="inlineStr">
        <is>
          <t xml:space="preserve">long</t>
        </is>
      </c>
      <c r="BO223"/>
      <c r="BP223" s="4">
        <v>1.868</v>
      </c>
      <c r="BQ223" s="4">
        <v>1.887</v>
      </c>
      <c r="BR223" s="4">
        <v>0.9168177919947464</v>
      </c>
      <c r="BS223" s="6">
        <v>0.8519323859580764</v>
      </c>
      <c r="BT223" s="4">
        <v>1.7126156354461866</v>
      </c>
      <c r="BU223" s="4">
        <v>1.7126156354461866</v>
      </c>
      <c r="BV223" s="4">
        <v>1.7300351734940866</v>
      </c>
      <c r="BW223" s="4">
        <v>0.01739607755974333</v>
      </c>
      <c r="BX223" s="4">
        <v>0.000023460488156754056</v>
      </c>
      <c r="BY223" s="4">
        <v>1.868</v>
      </c>
      <c r="BZ223" s="4">
        <v>1.887</v>
      </c>
      <c r="CA223" s="6"/>
      <c r="CB223" s="6"/>
      <c r="CC223" s="6"/>
      <c r="CD223" s="9"/>
      <c r="CE223" s="7">
        <f>IFERROR(BW223/F223,0)</f>
        <v>0.008653594861010814</v>
      </c>
      <c r="CF223" t="inlineStr">
        <is>
          <t xml:space="preserve">Treasury collateral</t>
        </is>
      </c>
      <c r="CG223" t="inlineStr">
        <is>
          <t xml:space="preserve">treasury</t>
        </is>
      </c>
      <c r="CH223" t="inlineStr">
        <is>
          <t xml:space="preserve">lease</t>
        </is>
      </c>
      <c r="CI223" t="inlineStr">
        <is>
          <t xml:space="preserve">long</t>
        </is>
      </c>
      <c r="CJ223"/>
      <c r="CK223" s="4">
        <v>106.05776052393632</v>
      </c>
      <c r="CL223" s="4">
        <v>106.10163647418047</v>
      </c>
      <c r="CM223" s="4">
        <v>0.0028065475343655405</v>
      </c>
      <c r="CN223" s="6">
        <v>0.14806761404192362</v>
      </c>
      <c r="CO223" s="4">
        <v>0.29765614629878445</v>
      </c>
      <c r="CP223" s="4">
        <v>0.29765614629878445</v>
      </c>
      <c r="CQ223" s="4">
        <v>0.2977792862387601</v>
      </c>
      <c r="CR223" s="4">
        <v>0.00012313993997566152</v>
      </c>
      <c r="CS223" s="4">
        <v>-1.431146867680866e-17</v>
      </c>
      <c r="CT223" s="4">
        <v>1.868</v>
      </c>
      <c r="CU223" s="4">
        <v>1.887</v>
      </c>
      <c r="CV223" s="6"/>
      <c r="CW223" s="6"/>
      <c r="CX223" s="6"/>
      <c r="CY223" s="9">
        <v>33</v>
      </c>
      <c r="CZ223" s="7">
        <f>IFERROR(CR223/F223,0)</f>
        <v>0.00006125536909679579</v>
      </c>
      <c r="DA223" t="inlineStr">
        <is>
          <t xml:space="preserve">SI69Z</t>
        </is>
      </c>
      <c r="DB223" t="inlineStr">
        <is>
          <t xml:space="preserve">future</t>
        </is>
      </c>
      <c r="DC223" t="inlineStr">
        <is>
          <t xml:space="preserve">lease</t>
        </is>
      </c>
      <c r="DD223" t="inlineStr">
        <is>
          <t xml:space="preserve">long</t>
        </is>
      </c>
      <c r="DE223" t="inlineStr">
        <is>
          <t xml:space="preserve">regular</t>
        </is>
      </c>
      <c r="DF223" s="4">
        <v>1.8769999999999998</v>
      </c>
      <c r="DG223" s="4">
        <v>1.912</v>
      </c>
      <c r="DH223" s="4">
        <v>0.15858079184804713</v>
      </c>
      <c r="DI223" s="6">
        <v>0.14806761404192362</v>
      </c>
      <c r="DJ223" s="4">
        <v>0.29765614629878445</v>
      </c>
      <c r="DK223" s="4">
        <v>0</v>
      </c>
      <c r="DL223" s="4">
        <v>0</v>
      </c>
      <c r="DM223" s="4">
        <v>0.005550327714681644</v>
      </c>
      <c r="DN223" s="4">
        <v>-0.005550327714681644</v>
      </c>
      <c r="DO223" s="4">
        <v>1.868</v>
      </c>
      <c r="DP223" s="4">
        <v>1.887</v>
      </c>
      <c r="DQ223" s="6">
        <v>0.004817987152034187</v>
      </c>
      <c r="DR223" s="6">
        <v>0.0755</v>
      </c>
      <c r="DS223" s="6">
        <v>0.022210142106288543</v>
      </c>
      <c r="DT223" s="9">
        <v>33</v>
      </c>
      <c r="DU223" s="7">
        <f>IFERROR(DM223/F223,0)</f>
        <v>0.002760983746120043</v>
      </c>
      <c r="DV223" t="inlineStr">
        <is>
          <t xml:space="preserve">Lease cash / margin / financing</t>
        </is>
      </c>
      <c r="DW223" t="inlineStr">
        <is>
          <t xml:space="preserve">cash</t>
        </is>
      </c>
      <c r="DX223" t="inlineStr">
        <is>
          <t xml:space="preserve">lease</t>
        </is>
      </c>
      <c r="DY223" t="inlineStr">
        <is>
          <t xml:space="preserve">cash</t>
        </is>
      </c>
      <c r="DZ223"/>
      <c r="EA223" s="4">
        <v>1</v>
      </c>
      <c r="EB223" s="4">
        <v>1</v>
      </c>
      <c r="EC223" s="4">
        <v>0</v>
      </c>
      <c r="ED223" s="6"/>
      <c r="EE223" s="4">
        <v>0</v>
      </c>
      <c r="EF223" s="4">
        <v>0</v>
      </c>
      <c r="EG223" s="4">
        <v>0.005526867226524904</v>
      </c>
      <c r="EH223" s="4">
        <v>0</v>
      </c>
      <c r="EI223" s="4">
        <v>0.005526867226524904</v>
      </c>
      <c r="EJ223" s="4">
        <v>1.868</v>
      </c>
      <c r="EK223" s="4">
        <v>1.887</v>
      </c>
      <c r="EL223" s="6"/>
      <c r="EM223" s="6"/>
      <c r="EN223" s="6"/>
      <c r="EO223" s="9"/>
      <c r="EP223" s="7">
        <f>IFERROR(EH223/F223,0)</f>
        <v>0</v>
      </c>
      <c r="EQ223" t="inlineStr">
        <is>
          <t xml:space="preserve">Keep cash / margin / financing</t>
        </is>
      </c>
      <c r="ER223" t="inlineStr">
        <is>
          <t xml:space="preserve">cash</t>
        </is>
      </c>
      <c r="ES223" t="inlineStr">
        <is>
          <t xml:space="preserve">keep</t>
        </is>
      </c>
      <c r="ET223" t="inlineStr">
        <is>
          <t xml:space="preserve">cash</t>
        </is>
      </c>
      <c r="EU223"/>
      <c r="EV223" s="4">
        <v>1</v>
      </c>
      <c r="EW223" s="4">
        <v>1</v>
      </c>
      <c r="EX223" s="4">
        <v>0</v>
      </c>
      <c r="EY223" s="6"/>
      <c r="EZ223" s="4">
        <v>0</v>
      </c>
      <c r="FA223" s="4">
        <v>0</v>
      </c>
      <c r="FB223" s="4">
        <v>0</v>
      </c>
      <c r="FC223" s="4">
        <v>0</v>
      </c>
      <c r="FD223" s="4">
        <v>0</v>
      </c>
      <c r="FE223" s="4">
        <v>1.868</v>
      </c>
      <c r="FF223" s="4">
        <v>1.887</v>
      </c>
      <c r="FG223" s="6"/>
      <c r="FH223" s="6"/>
      <c r="FI223" s="6"/>
      <c r="FJ223" s="9"/>
      <c r="FK223" s="7">
        <f>IFERROR(FC223/F223,0)</f>
        <v>0</v>
      </c>
      <c r="FL223"/>
      <c r="FM223"/>
      <c r="FN223"/>
      <c r="FO223"/>
      <c r="FP223"/>
      <c r="FQ223" s="4"/>
      <c r="FR223" s="4"/>
      <c r="FS223" s="4"/>
      <c r="FT223" s="6"/>
      <c r="FU223" s="4"/>
      <c r="FV223" s="4"/>
      <c r="FW223" s="4"/>
      <c r="FX223" s="4"/>
      <c r="FY223" s="4"/>
      <c r="FZ223" s="4"/>
      <c r="GA223" s="4"/>
      <c r="GB223" s="6"/>
      <c r="GC223" s="6"/>
      <c r="GD223" s="6"/>
      <c r="GE223" s="9"/>
      <c r="GF223"/>
      <c r="GG223"/>
      <c r="GH223"/>
      <c r="GI223"/>
      <c r="GJ223"/>
      <c r="GK223"/>
      <c r="GL223" s="4"/>
      <c r="GM223" s="4"/>
      <c r="GN223" s="4"/>
      <c r="GO223" s="6"/>
      <c r="GP223" s="4"/>
      <c r="GQ223" s="4"/>
      <c r="GR223" s="4"/>
      <c r="GS223" s="4"/>
      <c r="GT223" s="4"/>
      <c r="GU223" s="4"/>
      <c r="GV223" s="4"/>
      <c r="GW223" s="6"/>
      <c r="GX223" s="6"/>
      <c r="GY223" s="6"/>
      <c r="GZ223" s="9"/>
      <c r="HA223"/>
      <c r="HB223"/>
      <c r="HC223"/>
      <c r="HD223"/>
      <c r="HE223"/>
      <c r="HF223"/>
      <c r="HG223" s="4"/>
      <c r="HH223" s="4"/>
      <c r="HI223" s="4"/>
      <c r="HJ223" s="6"/>
      <c r="HK223" s="4"/>
      <c r="HL223" s="4"/>
      <c r="HM223" s="4"/>
      <c r="HN223" s="4"/>
      <c r="HO223" s="4"/>
      <c r="HP223" s="4"/>
      <c r="HQ223" s="4"/>
      <c r="HR223" s="6"/>
      <c r="HS223" s="6"/>
      <c r="HT223" s="6"/>
      <c r="HU223" s="9"/>
      <c r="HV223"/>
      <c r="HW223"/>
      <c r="HX223"/>
      <c r="HY223"/>
      <c r="HZ223"/>
      <c r="IA223"/>
      <c r="IB223" s="4"/>
      <c r="IC223" s="4"/>
      <c r="ID223" s="4"/>
      <c r="IE223" s="6"/>
      <c r="IF223" s="4"/>
      <c r="IG223" s="4"/>
      <c r="IH223" s="4"/>
      <c r="II223" s="4"/>
      <c r="IJ223" s="4"/>
      <c r="IK223" s="4"/>
      <c r="IL223" s="4"/>
      <c r="IM223" s="6"/>
      <c r="IN223" s="6"/>
      <c r="IO223" s="6"/>
      <c r="IP223" s="9"/>
      <c r="IQ223"/>
      <c r="IR223"/>
      <c r="IS223"/>
      <c r="IT223"/>
      <c r="IU223"/>
      <c r="IV223"/>
      <c r="IW223" s="4"/>
      <c r="IX223" s="4"/>
      <c r="IY223" s="4"/>
      <c r="IZ223" s="6"/>
      <c r="JA223" s="4"/>
      <c r="JB223" s="4"/>
      <c r="JC223" s="4"/>
      <c r="JD223" s="4"/>
      <c r="JE223" s="4"/>
      <c r="JF223" s="4"/>
      <c r="JG223" s="4"/>
      <c r="JH223" s="6"/>
      <c r="JI223" s="6"/>
      <c r="JJ223" s="6"/>
      <c r="JK223" s="9"/>
      <c r="JL223"/>
    </row>
    <row r="224">
      <c r="A224" s="8">
        <v>25535</v>
      </c>
      <c r="B224" s="8">
        <v>25538</v>
      </c>
      <c r="C224" s="9">
        <f>B224-A224</f>
        <v>3</v>
      </c>
      <c r="D224" s="8">
        <v>25535</v>
      </c>
      <c r="E224" t="inlineStr">
        <is>
          <t xml:space="preserve">neutral</t>
        </is>
      </c>
      <c r="F224" s="4">
        <v>2.0333413269593716</v>
      </c>
      <c r="G224" s="6">
        <v>0.010578286183040438</v>
      </c>
      <c r="H224" s="7">
        <f>SUM(CE224,CZ224,DU224,EP224,FK224,GF224,HA224,HV224,IQ224,JL224)</f>
        <v>0.010578286183040436</v>
      </c>
      <c r="I224" s="7">
        <f>G224-H224</f>
        <v>1.734723475976807e-18</v>
      </c>
      <c r="J224" s="5">
        <f>F224*(1+H224)</f>
        <v>2.054850593423751</v>
      </c>
      <c r="K224" s="4">
        <v>2.054850593423751</v>
      </c>
      <c r="L224" s="5">
        <f>K224-J224</f>
        <v>0</v>
      </c>
      <c r="M224" s="4">
        <v>1.887</v>
      </c>
      <c r="N224" s="4">
        <v>1.907</v>
      </c>
      <c r="O224" s="5">
        <f>M224/$M$3</f>
        <v>0.9637385086823289</v>
      </c>
      <c r="P224" s="5">
        <f>N224/$M$3</f>
        <v>0.973953013278856</v>
      </c>
      <c r="Q224" s="7">
        <f>IFERROR(N224/M224-1,0)</f>
        <v>0.010598834128245915</v>
      </c>
      <c r="R224" s="5">
        <f>SUM(IF(BM224="lease",BU224,0),IF(CH224="lease",CP224,0),IF(DC224="lease",DK224,0),IF(DX224="lease",EF224,0),IF(ES224="lease",FA224,0),IF(FN224="lease",FV224,0),IF(GI224="lease",GQ224,0),IF(HD224="lease",HL224,0),IF(HY224="lease",IG224,0),IF(IT224="lease",JB224,0))</f>
        <v>2.0333413269593716</v>
      </c>
      <c r="S224" s="5">
        <f>SUM(IF(BM224="lease",BV224,0),IF(CH224="lease",CQ224,0),IF(DC224="lease",DL224,0),IF(DX224="lease",EG224,0),IF(ES224="lease",FB224,0),IF(FN224="lease",FW224,0),IF(GI224="lease",GR224,0),IF(HD224="lease",HM224,0),IF(HY224="lease",IH224,0),IF(IT224="lease",JC224,0))</f>
        <v>2.054850593423751</v>
      </c>
      <c r="T224" s="5">
        <f>SUM(IF(BM224="keep",BU224,0),IF(CH224="keep",CP224,0),IF(DC224="keep",DK224,0),IF(DX224="keep",EF224,0),IF(ES224="keep",FA224,0),IF(FN224="keep",FV224,0),IF(GI224="keep",GQ224,0),IF(HD224="keep",HL224,0),IF(HY224="keep",IG224,0),IF(IT224="keep",JB224,0))</f>
        <v>0</v>
      </c>
      <c r="U224" s="5">
        <f>SUM(IF(BM224="keep",BV224,0),IF(CH224="keep",CQ224,0),IF(DC224="keep",DL224,0),IF(DX224="keep",EG224,0),IF(ES224="keep",FB224,0),IF(FN224="keep",FW224,0),IF(GI224="keep",GR224,0),IF(HD224="keep",HM224,0),IF(HY224="keep",IH224,0),IF(IT224="keep",JC224,0))</f>
        <v>0</v>
      </c>
      <c r="V224" s="5">
        <f>R224/O224</f>
        <v>2.1098475454088232</v>
      </c>
      <c r="W224" s="5">
        <f>S224/P224</f>
        <v>2.1098046470496614</v>
      </c>
      <c r="X224" s="5">
        <f>T224/O224</f>
        <v>0</v>
      </c>
      <c r="Y224" s="5">
        <f>U224/P224</f>
        <v>0</v>
      </c>
      <c r="Z224" s="5">
        <f>V224+X224</f>
        <v>2.1098475454088232</v>
      </c>
      <c r="AA224" s="7">
        <f>IFERROR(W224/V224-1,0)</f>
        <v>-0.0000203324449935538</v>
      </c>
      <c r="AB224" s="7">
        <f>IFERROR((W224-V224)/Z224,0)</f>
        <v>-0.00002033244499356111</v>
      </c>
      <c r="AC224" s="7">
        <f>IFERROR(Y224/X224-1,0)</f>
        <v>0</v>
      </c>
      <c r="AD224" s="7">
        <f>IFERROR((Y224-X224)/Z224,0)</f>
        <v>0</v>
      </c>
      <c r="AE224" s="7">
        <f>AB224+AD224</f>
        <v>-0.00002033244499356111</v>
      </c>
      <c r="AF224" s="7">
        <f>(1+Q224)*(1+AE224)-1</f>
        <v>0.010578286183040353</v>
      </c>
      <c r="AG224" s="7">
        <f>G224-AF224</f>
        <v>8.500145032286355e-17</v>
      </c>
      <c r="AH224" s="5">
        <f>SUM(IF(BM224="lease",BW224,0),IF(CH224="lease",CR224,0),IF(DC224="lease",DM224,0),IF(DX224="lease",EH224,0),IF(ES224="lease",FC224,0),IF(FN224="lease",FX224,0),IF(GI224="lease",GS224,0),IF(HD224="lease",HN224,0),IF(HY224="lease",II224,0),IF(IT224="lease",JD224,0))</f>
        <v>0.021509266464379426</v>
      </c>
      <c r="AI224" s="5">
        <f>SUM(IF(BM224="keep",BW224,0),IF(CH224="keep",CR224,0),IF(DC224="keep",DM224,0),IF(DX224="keep",EH224,0),IF(ES224="keep",FC224,0),IF(FN224="keep",FX224,0),IF(GI224="keep",GS224,0),IF(HD224="keep",HN224,0),IF(HY224="keep",II224,0),IF(IT224="keep",JD224,0))</f>
        <v>0</v>
      </c>
      <c r="AJ224" s="5">
        <f>SUM(IF(BM224="lease",BX224,0),IF(CH224="lease",CS224,0),IF(DC224="lease",DN224,0),IF(DX224="lease",EI224,0),IF(ES224="lease",FD224,0),IF(FN224="lease",FY224,0),IF(GI224="lease",GT224,0),IF(HD224="lease",HO224,0),IF(HY224="lease",IJ224,0),IF(IT224="lease",JE224,0))</f>
        <v>0</v>
      </c>
      <c r="AK224" s="5">
        <f>SUM(IF(BM224="keep",BX224,0),IF(CH224="keep",CS224,0),IF(DC224="keep",DN224,0),IF(DX224="keep",EI224,0),IF(ES224="keep",FD224,0),IF(FN224="keep",FY224,0),IF(GI224="keep",GT224,0),IF(HD224="keep",HO224,0),IF(HY224="keep",IJ224,0),IF(IT224="keep",JE224,0))</f>
        <v>0</v>
      </c>
      <c r="AL224" s="5">
        <f>R224-S223</f>
        <v>0</v>
      </c>
      <c r="AM224" s="5">
        <f>T224-U223</f>
        <v>0</v>
      </c>
      <c r="AN224" s="5">
        <f>AN223</f>
        <v>1</v>
      </c>
      <c r="AO224" s="5">
        <f>AO223+AH224</f>
        <v>1.0548505934237515</v>
      </c>
      <c r="AP224" s="5">
        <f>AP223+AL224</f>
        <v>6.661338147750939e-16</v>
      </c>
      <c r="AQ224" s="5">
        <f>AN224+AO224+AP224</f>
        <v>2.054850593423752</v>
      </c>
      <c r="AR224" s="5">
        <f>S224-AQ224</f>
        <v>-8.881784197001252e-16</v>
      </c>
      <c r="AS224" s="5">
        <f>AS223</f>
        <v>0</v>
      </c>
      <c r="AT224" s="5">
        <f>AT223+AI224</f>
        <v>0</v>
      </c>
      <c r="AU224" s="5">
        <f>AU223+AM224</f>
        <v>0</v>
      </c>
      <c r="AV224" s="5">
        <f>AS224+AT224+AU224</f>
        <v>0</v>
      </c>
      <c r="AW224" s="5">
        <f>U224-AV224</f>
        <v>0</v>
      </c>
      <c r="AX224" s="4">
        <v>2.0333413269593716</v>
      </c>
      <c r="AY224" s="4">
        <v>2.054850593423751</v>
      </c>
      <c r="AZ224" s="5">
        <f>S224-AY224</f>
        <v>0</v>
      </c>
      <c r="BA224" s="4">
        <v>0</v>
      </c>
      <c r="BB224" s="4">
        <v>0</v>
      </c>
      <c r="BC224" s="5">
        <f>U224-BB224</f>
        <v>0</v>
      </c>
      <c r="BD224" s="7">
        <f>SUM(IF(BL224="direct",CE224,0),IF(CG224="direct",CZ224,0),IF(DB224="direct",DU224,0),IF(DW224="direct",EP224,0),IF(ER224="direct",FK224,0),IF(FM224="direct",GF224,0),IF(GH224="direct",HA224,0),IF(HC224="direct",HV224,0),IF(HX224="direct",IQ224,0),IF(IS224="direct",JL224,0))</f>
        <v>0.010578286183040436</v>
      </c>
      <c r="BE224" s="7">
        <f>SUM(IF(BL224="treasury",CE224,0),IF(CG224="treasury",CZ224,0),IF(DB224="treasury",DU224,0),IF(DW224="treasury",EP224,0),IF(ER224="treasury",FK224,0),IF(FM224="treasury",GF224,0),IF(GH224="treasury",HA224,0),IF(HC224="treasury",HV224,0),IF(HX224="treasury",IQ224,0),IF(IS224="treasury",JL224,0))</f>
        <v>0</v>
      </c>
      <c r="BF224" s="7">
        <f>SUM(IF(BL224="future",CE224,0),IF(CG224="future",CZ224,0),IF(DB224="future",DU224,0),IF(DW224="future",EP224,0),IF(ER224="future",FK224,0),IF(FM224="future",GF224,0),IF(GH224="future",HA224,0),IF(HC224="future",HV224,0),IF(HX224="future",IQ224,0),IF(IS224="future",JL224,0))</f>
        <v>0</v>
      </c>
      <c r="BG224" s="7">
        <f>SUM(IF(BL224="cash",CE224,0),IF(CG224="cash",CZ224,0),IF(DB224="cash",DU224,0),IF(DW224="cash",EP224,0),IF(ER224="cash",FK224,0),IF(FM224="cash",GF224,0),IF(GH224="cash",HA224,0),IF(HC224="cash",HV224,0),IF(HX224="cash",IQ224,0),IF(IS224="cash",JL224,0))</f>
        <v>0</v>
      </c>
      <c r="BH224" s="7">
        <f>SUM(BD224:BG224)</f>
        <v>0.010578286183040436</v>
      </c>
      <c r="BI224" s="7">
        <f>G224-BH224</f>
        <v>1.734723475976807e-18</v>
      </c>
      <c r="BJ224" s="9">
        <f>COUNTA(BK224,CF224,DA224,DV224,EQ224,FL224,GG224,HB224,HW224,IR224)</f>
        <v>3</v>
      </c>
      <c r="BK224" t="inlineStr">
        <is>
          <t xml:space="preserve">Direct commodity holding</t>
        </is>
      </c>
      <c r="BL224" t="inlineStr">
        <is>
          <t xml:space="preserve">direct</t>
        </is>
      </c>
      <c r="BM224" t="inlineStr">
        <is>
          <t xml:space="preserve">lease</t>
        </is>
      </c>
      <c r="BN224" t="inlineStr">
        <is>
          <t xml:space="preserve">long</t>
        </is>
      </c>
      <c r="BO224"/>
      <c r="BP224" s="4">
        <v>1.887</v>
      </c>
      <c r="BQ224" s="4">
        <v>1.907</v>
      </c>
      <c r="BR224" s="4">
        <v>1.077552372527489</v>
      </c>
      <c r="BS224" s="6">
        <v>1</v>
      </c>
      <c r="BT224" s="4">
        <v>2.0333413269593716</v>
      </c>
      <c r="BU224" s="4">
        <v>2.0333413269593716</v>
      </c>
      <c r="BV224" s="4">
        <v>2.0548923744099215</v>
      </c>
      <c r="BW224" s="4">
        <v>0.021509266464379426</v>
      </c>
      <c r="BX224" s="4">
        <v>0.000041780986170383144</v>
      </c>
      <c r="BY224" s="4">
        <v>1.887</v>
      </c>
      <c r="BZ224" s="4">
        <v>1.907</v>
      </c>
      <c r="CA224" s="6"/>
      <c r="CB224" s="6"/>
      <c r="CC224" s="6"/>
      <c r="CD224" s="9"/>
      <c r="CE224" s="7">
        <f>IFERROR(BW224/F224,0)</f>
        <v>0.010578286183040436</v>
      </c>
      <c r="CF224" t="inlineStr">
        <is>
          <t xml:space="preserve">Lease cash / margin / financing</t>
        </is>
      </c>
      <c r="CG224" t="inlineStr">
        <is>
          <t xml:space="preserve">cash</t>
        </is>
      </c>
      <c r="CH224" t="inlineStr">
        <is>
          <t xml:space="preserve">lease</t>
        </is>
      </c>
      <c r="CI224" t="inlineStr">
        <is>
          <t xml:space="preserve">cash</t>
        </is>
      </c>
      <c r="CJ224"/>
      <c r="CK224" s="4">
        <v>1</v>
      </c>
      <c r="CL224" s="4">
        <v>1</v>
      </c>
      <c r="CM224" s="4">
        <v>0</v>
      </c>
      <c r="CN224" s="6"/>
      <c r="CO224" s="4">
        <v>0</v>
      </c>
      <c r="CP224" s="4">
        <v>0</v>
      </c>
      <c r="CQ224" s="4">
        <v>-0.000041780986170383144</v>
      </c>
      <c r="CR224" s="4">
        <v>0</v>
      </c>
      <c r="CS224" s="4">
        <v>-0.000041780986170383144</v>
      </c>
      <c r="CT224" s="4">
        <v>1.887</v>
      </c>
      <c r="CU224" s="4">
        <v>1.907</v>
      </c>
      <c r="CV224" s="6"/>
      <c r="CW224" s="6"/>
      <c r="CX224" s="6"/>
      <c r="CY224" s="9"/>
      <c r="CZ224" s="7">
        <f>IFERROR(CR224/F224,0)</f>
        <v>0</v>
      </c>
      <c r="DA224" t="inlineStr">
        <is>
          <t xml:space="preserve">Keep cash / margin / financing</t>
        </is>
      </c>
      <c r="DB224" t="inlineStr">
        <is>
          <t xml:space="preserve">cash</t>
        </is>
      </c>
      <c r="DC224" t="inlineStr">
        <is>
          <t xml:space="preserve">keep</t>
        </is>
      </c>
      <c r="DD224" t="inlineStr">
        <is>
          <t xml:space="preserve">cash</t>
        </is>
      </c>
      <c r="DE224"/>
      <c r="DF224" s="4">
        <v>1</v>
      </c>
      <c r="DG224" s="4">
        <v>1</v>
      </c>
      <c r="DH224" s="4">
        <v>0</v>
      </c>
      <c r="DI224" s="6"/>
      <c r="DJ224" s="4">
        <v>0</v>
      </c>
      <c r="DK224" s="4">
        <v>0</v>
      </c>
      <c r="DL224" s="4">
        <v>0</v>
      </c>
      <c r="DM224" s="4">
        <v>0</v>
      </c>
      <c r="DN224" s="4">
        <v>0</v>
      </c>
      <c r="DO224" s="4">
        <v>1.887</v>
      </c>
      <c r="DP224" s="4">
        <v>1.907</v>
      </c>
      <c r="DQ224" s="6"/>
      <c r="DR224" s="6"/>
      <c r="DS224" s="6"/>
      <c r="DT224" s="9"/>
      <c r="DU224" s="7">
        <f>IFERROR(DM224/F224,0)</f>
        <v>0</v>
      </c>
      <c r="DV224"/>
      <c r="DW224"/>
      <c r="DX224"/>
      <c r="DY224"/>
      <c r="DZ224"/>
      <c r="EA224" s="4"/>
      <c r="EB224" s="4"/>
      <c r="EC224" s="4"/>
      <c r="ED224" s="6"/>
      <c r="EE224" s="4"/>
      <c r="EF224" s="4"/>
      <c r="EG224" s="4"/>
      <c r="EH224" s="4"/>
      <c r="EI224" s="4"/>
      <c r="EJ224" s="4"/>
      <c r="EK224" s="4"/>
      <c r="EL224" s="6"/>
      <c r="EM224" s="6"/>
      <c r="EN224" s="6"/>
      <c r="EO224" s="9"/>
      <c r="EP224"/>
      <c r="EQ224"/>
      <c r="ER224"/>
      <c r="ES224"/>
      <c r="ET224"/>
      <c r="EU224"/>
      <c r="EV224" s="4"/>
      <c r="EW224" s="4"/>
      <c r="EX224" s="4"/>
      <c r="EY224" s="6"/>
      <c r="EZ224" s="4"/>
      <c r="FA224" s="4"/>
      <c r="FB224" s="4"/>
      <c r="FC224" s="4"/>
      <c r="FD224" s="4"/>
      <c r="FE224" s="4"/>
      <c r="FF224" s="4"/>
      <c r="FG224" s="6"/>
      <c r="FH224" s="6"/>
      <c r="FI224" s="6"/>
      <c r="FJ224" s="9"/>
      <c r="FK224"/>
      <c r="FL224"/>
      <c r="FM224"/>
      <c r="FN224"/>
      <c r="FO224"/>
      <c r="FP224"/>
      <c r="FQ224" s="4"/>
      <c r="FR224" s="4"/>
      <c r="FS224" s="4"/>
      <c r="FT224" s="6"/>
      <c r="FU224" s="4"/>
      <c r="FV224" s="4"/>
      <c r="FW224" s="4"/>
      <c r="FX224" s="4"/>
      <c r="FY224" s="4"/>
      <c r="FZ224" s="4"/>
      <c r="GA224" s="4"/>
      <c r="GB224" s="6"/>
      <c r="GC224" s="6"/>
      <c r="GD224" s="6"/>
      <c r="GE224" s="9"/>
      <c r="GF224"/>
      <c r="GG224"/>
      <c r="GH224"/>
      <c r="GI224"/>
      <c r="GJ224"/>
      <c r="GK224"/>
      <c r="GL224" s="4"/>
      <c r="GM224" s="4"/>
      <c r="GN224" s="4"/>
      <c r="GO224" s="6"/>
      <c r="GP224" s="4"/>
      <c r="GQ224" s="4"/>
      <c r="GR224" s="4"/>
      <c r="GS224" s="4"/>
      <c r="GT224" s="4"/>
      <c r="GU224" s="4"/>
      <c r="GV224" s="4"/>
      <c r="GW224" s="6"/>
      <c r="GX224" s="6"/>
      <c r="GY224" s="6"/>
      <c r="GZ224" s="9"/>
      <c r="HA224"/>
      <c r="HB224"/>
      <c r="HC224"/>
      <c r="HD224"/>
      <c r="HE224"/>
      <c r="HF224"/>
      <c r="HG224" s="4"/>
      <c r="HH224" s="4"/>
      <c r="HI224" s="4"/>
      <c r="HJ224" s="6"/>
      <c r="HK224" s="4"/>
      <c r="HL224" s="4"/>
      <c r="HM224" s="4"/>
      <c r="HN224" s="4"/>
      <c r="HO224" s="4"/>
      <c r="HP224" s="4"/>
      <c r="HQ224" s="4"/>
      <c r="HR224" s="6"/>
      <c r="HS224" s="6"/>
      <c r="HT224" s="6"/>
      <c r="HU224" s="9"/>
      <c r="HV224"/>
      <c r="HW224"/>
      <c r="HX224"/>
      <c r="HY224"/>
      <c r="HZ224"/>
      <c r="IA224"/>
      <c r="IB224" s="4"/>
      <c r="IC224" s="4"/>
      <c r="ID224" s="4"/>
      <c r="IE224" s="6"/>
      <c r="IF224" s="4"/>
      <c r="IG224" s="4"/>
      <c r="IH224" s="4"/>
      <c r="II224" s="4"/>
      <c r="IJ224" s="4"/>
      <c r="IK224" s="4"/>
      <c r="IL224" s="4"/>
      <c r="IM224" s="6"/>
      <c r="IN224" s="6"/>
      <c r="IO224" s="6"/>
      <c r="IP224" s="9"/>
      <c r="IQ224"/>
      <c r="IR224"/>
      <c r="IS224"/>
      <c r="IT224"/>
      <c r="IU224"/>
      <c r="IV224"/>
      <c r="IW224" s="4"/>
      <c r="IX224" s="4"/>
      <c r="IY224" s="4"/>
      <c r="IZ224" s="6"/>
      <c r="JA224" s="4"/>
      <c r="JB224" s="4"/>
      <c r="JC224" s="4"/>
      <c r="JD224" s="4"/>
      <c r="JE224" s="4"/>
      <c r="JF224" s="4"/>
      <c r="JG224" s="4"/>
      <c r="JH224" s="6"/>
      <c r="JI224" s="6"/>
      <c r="JJ224" s="6"/>
      <c r="JK224" s="9"/>
      <c r="JL224"/>
    </row>
    <row r="225">
      <c r="A225" s="8">
        <v>25538</v>
      </c>
      <c r="B225" s="8">
        <v>25539</v>
      </c>
      <c r="C225" s="9">
        <f>B225-A225</f>
        <v>1</v>
      </c>
      <c r="D225" s="8">
        <v>25538</v>
      </c>
      <c r="E225" t="inlineStr">
        <is>
          <t xml:space="preserve">neutral</t>
        </is>
      </c>
      <c r="F225" s="4">
        <v>2.054850593423751</v>
      </c>
      <c r="G225" s="6">
        <v>0.0078589084195932</v>
      </c>
      <c r="H225" s="7">
        <f>SUM(CE225,CZ225,DU225,EP225,FK225,GF225,HA225,HV225,IQ225,JL225)</f>
        <v>0.0078589084195932</v>
      </c>
      <c r="I225" s="7">
        <f>G225-H225</f>
        <v>0</v>
      </c>
      <c r="J225" s="5">
        <f>F225*(1+H225)</f>
        <v>2.0709994760534154</v>
      </c>
      <c r="K225" s="4">
        <v>2.0709994760534154</v>
      </c>
      <c r="L225" s="5">
        <f>K225-J225</f>
        <v>0</v>
      </c>
      <c r="M225" s="4">
        <v>1.907</v>
      </c>
      <c r="N225" s="4">
        <v>1.922</v>
      </c>
      <c r="O225" s="5">
        <f>M225/$M$3</f>
        <v>0.973953013278856</v>
      </c>
      <c r="P225" s="5">
        <f>N225/$M$3</f>
        <v>0.9816138917262512</v>
      </c>
      <c r="Q225" s="7">
        <f>IFERROR(N225/M225-1,0)</f>
        <v>0.007865757734661694</v>
      </c>
      <c r="R225" s="5">
        <f>SUM(IF(BM225="lease",BU225,0),IF(CH225="lease",CP225,0),IF(DC225="lease",DK225,0),IF(DX225="lease",EF225,0),IF(ES225="lease",FA225,0),IF(FN225="lease",FV225,0),IF(GI225="lease",GQ225,0),IF(HD225="lease",HL225,0),IF(HY225="lease",IG225,0),IF(IT225="lease",JB225,0))</f>
        <v>2.054850593423751</v>
      </c>
      <c r="S225" s="5">
        <f>SUM(IF(BM225="lease",BV225,0),IF(CH225="lease",CQ225,0),IF(DC225="lease",DL225,0),IF(DX225="lease",EG225,0),IF(ES225="lease",FB225,0),IF(FN225="lease",FW225,0),IF(GI225="lease",GR225,0),IF(HD225="lease",HM225,0),IF(HY225="lease",IH225,0),IF(IT225="lease",JC225,0))</f>
        <v>2.070999476053415</v>
      </c>
      <c r="T225" s="5">
        <f>SUM(IF(BM225="keep",BU225,0),IF(CH225="keep",CP225,0),IF(DC225="keep",DK225,0),IF(DX225="keep",EF225,0),IF(ES225="keep",FA225,0),IF(FN225="keep",FV225,0),IF(GI225="keep",GQ225,0),IF(HD225="keep",HL225,0),IF(HY225="keep",IG225,0),IF(IT225="keep",JB225,0))</f>
        <v>0</v>
      </c>
      <c r="U225" s="5">
        <f>SUM(IF(BM225="keep",BV225,0),IF(CH225="keep",CQ225,0),IF(DC225="keep",DL225,0),IF(DX225="keep",EG225,0),IF(ES225="keep",FB225,0),IF(FN225="keep",FW225,0),IF(GI225="keep",GR225,0),IF(HD225="keep",HM225,0),IF(HY225="keep",IH225,0),IF(IT225="keep",JC225,0))</f>
        <v>0</v>
      </c>
      <c r="V225" s="5">
        <f>R225/O225</f>
        <v>2.1098046470496614</v>
      </c>
      <c r="W225" s="5">
        <f>S225/P225</f>
        <v>2.1097903091116477</v>
      </c>
      <c r="X225" s="5">
        <f>T225/O225</f>
        <v>0</v>
      </c>
      <c r="Y225" s="5">
        <f>U225/P225</f>
        <v>0</v>
      </c>
      <c r="Z225" s="5">
        <f>V225+X225</f>
        <v>2.1098046470496614</v>
      </c>
      <c r="AA225" s="7">
        <f>IFERROR(W225/V225-1,0)</f>
        <v>-0.0000067958604763607156</v>
      </c>
      <c r="AB225" s="7">
        <f>IFERROR((W225-V225)/Z225,0)</f>
        <v>-0.000006795860476373132</v>
      </c>
      <c r="AC225" s="7">
        <f>IFERROR(Y225/X225-1,0)</f>
        <v>0</v>
      </c>
      <c r="AD225" s="7">
        <f>IFERROR((Y225-X225)/Z225,0)</f>
        <v>0</v>
      </c>
      <c r="AE225" s="7">
        <f>AB225+AD225</f>
        <v>-0.000006795860476373132</v>
      </c>
      <c r="AF225" s="7">
        <f>(1+Q225)*(1+AE225)-1</f>
        <v>0.007858908419593247</v>
      </c>
      <c r="AG225" s="7">
        <f>G225-AF225</f>
        <v>-4.683753385137379e-17</v>
      </c>
      <c r="AH225" s="5">
        <f>SUM(IF(BM225="lease",BW225,0),IF(CH225="lease",CR225,0),IF(DC225="lease",DM225,0),IF(DX225="lease",EH225,0),IF(ES225="lease",FC225,0),IF(FN225="lease",FX225,0),IF(GI225="lease",GS225,0),IF(HD225="lease",HN225,0),IF(HY225="lease",II225,0),IF(IT225="lease",JD225,0))</f>
        <v>0.016148882629664</v>
      </c>
      <c r="AI225" s="5">
        <f>SUM(IF(BM225="keep",BW225,0),IF(CH225="keep",CR225,0),IF(DC225="keep",DM225,0),IF(DX225="keep",EH225,0),IF(ES225="keep",FC225,0),IF(FN225="keep",FX225,0),IF(GI225="keep",GS225,0),IF(HD225="keep",HN225,0),IF(HY225="keep",II225,0),IF(IT225="keep",JD225,0))</f>
        <v>0</v>
      </c>
      <c r="AJ225" s="5">
        <f>SUM(IF(BM225="lease",BX225,0),IF(CH225="lease",CS225,0),IF(DC225="lease",DN225,0),IF(DX225="lease",EI225,0),IF(ES225="lease",FD225,0),IF(FN225="lease",FY225,0),IF(GI225="lease",GT225,0),IF(HD225="lease",HO225,0),IF(HY225="lease",IJ225,0),IF(IT225="lease",JE225,0))</f>
        <v>0</v>
      </c>
      <c r="AK225" s="5">
        <f>SUM(IF(BM225="keep",BX225,0),IF(CH225="keep",CS225,0),IF(DC225="keep",DN225,0),IF(DX225="keep",EI225,0),IF(ES225="keep",FD225,0),IF(FN225="keep",FY225,0),IF(GI225="keep",GT225,0),IF(HD225="keep",HO225,0),IF(HY225="keep",IJ225,0),IF(IT225="keep",JE225,0))</f>
        <v>0</v>
      </c>
      <c r="AL225" s="5">
        <f>R225-S224</f>
        <v>0</v>
      </c>
      <c r="AM225" s="5">
        <f>T225-U224</f>
        <v>0</v>
      </c>
      <c r="AN225" s="5">
        <f>AN224</f>
        <v>1</v>
      </c>
      <c r="AO225" s="5">
        <f>AO224+AH225</f>
        <v>1.0709994760534156</v>
      </c>
      <c r="AP225" s="5">
        <f>AP224+AL225</f>
        <v>6.661338147750939e-16</v>
      </c>
      <c r="AQ225" s="5">
        <f>AN225+AO225+AP225</f>
        <v>2.0709994760534167</v>
      </c>
      <c r="AR225" s="5">
        <f>S225-AQ225</f>
        <v>-1.7763568394002505e-15</v>
      </c>
      <c r="AS225" s="5">
        <f>AS224</f>
        <v>0</v>
      </c>
      <c r="AT225" s="5">
        <f>AT224+AI225</f>
        <v>0</v>
      </c>
      <c r="AU225" s="5">
        <f>AU224+AM225</f>
        <v>0</v>
      </c>
      <c r="AV225" s="5">
        <f>AS225+AT225+AU225</f>
        <v>0</v>
      </c>
      <c r="AW225" s="5">
        <f>U225-AV225</f>
        <v>0</v>
      </c>
      <c r="AX225" s="4">
        <v>2.054850593423751</v>
      </c>
      <c r="AY225" s="4">
        <v>2.070999476053415</v>
      </c>
      <c r="AZ225" s="5">
        <f>S225-AY225</f>
        <v>0</v>
      </c>
      <c r="BA225" s="4">
        <v>0</v>
      </c>
      <c r="BB225" s="4">
        <v>0</v>
      </c>
      <c r="BC225" s="5">
        <f>U225-BB225</f>
        <v>0</v>
      </c>
      <c r="BD225" s="7">
        <f>SUM(IF(BL225="direct",CE225,0),IF(CG225="direct",CZ225,0),IF(DB225="direct",DU225,0),IF(DW225="direct",EP225,0),IF(ER225="direct",FK225,0),IF(FM225="direct",GF225,0),IF(GH225="direct",HA225,0),IF(HC225="direct",HV225,0),IF(HX225="direct",IQ225,0),IF(IS225="direct",JL225,0))</f>
        <v>0.0078589084195932</v>
      </c>
      <c r="BE225" s="7">
        <f>SUM(IF(BL225="treasury",CE225,0),IF(CG225="treasury",CZ225,0),IF(DB225="treasury",DU225,0),IF(DW225="treasury",EP225,0),IF(ER225="treasury",FK225,0),IF(FM225="treasury",GF225,0),IF(GH225="treasury",HA225,0),IF(HC225="treasury",HV225,0),IF(HX225="treasury",IQ225,0),IF(IS225="treasury",JL225,0))</f>
        <v>0</v>
      </c>
      <c r="BF225" s="7">
        <f>SUM(IF(BL225="future",CE225,0),IF(CG225="future",CZ225,0),IF(DB225="future",DU225,0),IF(DW225="future",EP225,0),IF(ER225="future",FK225,0),IF(FM225="future",GF225,0),IF(GH225="future",HA225,0),IF(HC225="future",HV225,0),IF(HX225="future",IQ225,0),IF(IS225="future",JL225,0))</f>
        <v>0</v>
      </c>
      <c r="BG225" s="7">
        <f>SUM(IF(BL225="cash",CE225,0),IF(CG225="cash",CZ225,0),IF(DB225="cash",DU225,0),IF(DW225="cash",EP225,0),IF(ER225="cash",FK225,0),IF(FM225="cash",GF225,0),IF(GH225="cash",HA225,0),IF(HC225="cash",HV225,0),IF(HX225="cash",IQ225,0),IF(IS225="cash",JL225,0))</f>
        <v>0</v>
      </c>
      <c r="BH225" s="7">
        <f>SUM(BD225:BG225)</f>
        <v>0.0078589084195932</v>
      </c>
      <c r="BI225" s="7">
        <f>G225-BH225</f>
        <v>0</v>
      </c>
      <c r="BJ225" s="9">
        <f>COUNTA(BK225,CF225,DA225,DV225,EQ225,FL225,GG225,HB225,HW225,IR225)</f>
        <v>3</v>
      </c>
      <c r="BK225" t="inlineStr">
        <is>
          <t xml:space="preserve">Direct commodity holding</t>
        </is>
      </c>
      <c r="BL225" t="inlineStr">
        <is>
          <t xml:space="preserve">direct</t>
        </is>
      </c>
      <c r="BM225" t="inlineStr">
        <is>
          <t xml:space="preserve">lease</t>
        </is>
      </c>
      <c r="BN225" t="inlineStr">
        <is>
          <t xml:space="preserve">long</t>
        </is>
      </c>
      <c r="BO225"/>
      <c r="BP225" s="4">
        <v>1.907</v>
      </c>
      <c r="BQ225" s="4">
        <v>1.922</v>
      </c>
      <c r="BR225" s="4">
        <v>1.0775304632531468</v>
      </c>
      <c r="BS225" s="6">
        <v>1</v>
      </c>
      <c r="BT225" s="4">
        <v>2.054850593423751</v>
      </c>
      <c r="BU225" s="4">
        <v>2.054850593423751</v>
      </c>
      <c r="BV225" s="4">
        <v>2.071013550372548</v>
      </c>
      <c r="BW225" s="4">
        <v>0.016148882629664</v>
      </c>
      <c r="BX225" s="4">
        <v>0.000014074319133101226</v>
      </c>
      <c r="BY225" s="4">
        <v>1.907</v>
      </c>
      <c r="BZ225" s="4">
        <v>1.922</v>
      </c>
      <c r="CA225" s="6"/>
      <c r="CB225" s="6"/>
      <c r="CC225" s="6"/>
      <c r="CD225" s="9"/>
      <c r="CE225" s="7">
        <f>IFERROR(BW225/F225,0)</f>
        <v>0.0078589084195932</v>
      </c>
      <c r="CF225" t="inlineStr">
        <is>
          <t xml:space="preserve">Lease cash / margin / financing</t>
        </is>
      </c>
      <c r="CG225" t="inlineStr">
        <is>
          <t xml:space="preserve">cash</t>
        </is>
      </c>
      <c r="CH225" t="inlineStr">
        <is>
          <t xml:space="preserve">lease</t>
        </is>
      </c>
      <c r="CI225" t="inlineStr">
        <is>
          <t xml:space="preserve">cash</t>
        </is>
      </c>
      <c r="CJ225"/>
      <c r="CK225" s="4">
        <v>1</v>
      </c>
      <c r="CL225" s="4">
        <v>1</v>
      </c>
      <c r="CM225" s="4">
        <v>0</v>
      </c>
      <c r="CN225" s="6"/>
      <c r="CO225" s="4">
        <v>0</v>
      </c>
      <c r="CP225" s="4">
        <v>0</v>
      </c>
      <c r="CQ225" s="4">
        <v>-0.000014074319133101226</v>
      </c>
      <c r="CR225" s="4">
        <v>0</v>
      </c>
      <c r="CS225" s="4">
        <v>-0.000014074319133101226</v>
      </c>
      <c r="CT225" s="4">
        <v>1.907</v>
      </c>
      <c r="CU225" s="4">
        <v>1.922</v>
      </c>
      <c r="CV225" s="6"/>
      <c r="CW225" s="6"/>
      <c r="CX225" s="6"/>
      <c r="CY225" s="9"/>
      <c r="CZ225" s="7">
        <f>IFERROR(CR225/F225,0)</f>
        <v>0</v>
      </c>
      <c r="DA225" t="inlineStr">
        <is>
          <t xml:space="preserve">Keep cash / margin / financing</t>
        </is>
      </c>
      <c r="DB225" t="inlineStr">
        <is>
          <t xml:space="preserve">cash</t>
        </is>
      </c>
      <c r="DC225" t="inlineStr">
        <is>
          <t xml:space="preserve">keep</t>
        </is>
      </c>
      <c r="DD225" t="inlineStr">
        <is>
          <t xml:space="preserve">cash</t>
        </is>
      </c>
      <c r="DE225"/>
      <c r="DF225" s="4">
        <v>1</v>
      </c>
      <c r="DG225" s="4">
        <v>1</v>
      </c>
      <c r="DH225" s="4">
        <v>0</v>
      </c>
      <c r="DI225" s="6"/>
      <c r="DJ225" s="4">
        <v>0</v>
      </c>
      <c r="DK225" s="4">
        <v>0</v>
      </c>
      <c r="DL225" s="4">
        <v>0</v>
      </c>
      <c r="DM225" s="4">
        <v>0</v>
      </c>
      <c r="DN225" s="4">
        <v>0</v>
      </c>
      <c r="DO225" s="4">
        <v>1.907</v>
      </c>
      <c r="DP225" s="4">
        <v>1.922</v>
      </c>
      <c r="DQ225" s="6"/>
      <c r="DR225" s="6"/>
      <c r="DS225" s="6"/>
      <c r="DT225" s="9"/>
      <c r="DU225" s="7">
        <f>IFERROR(DM225/F225,0)</f>
        <v>0</v>
      </c>
      <c r="DV225"/>
      <c r="DW225"/>
      <c r="DX225"/>
      <c r="DY225"/>
      <c r="DZ225"/>
      <c r="EA225" s="4"/>
      <c r="EB225" s="4"/>
      <c r="EC225" s="4"/>
      <c r="ED225" s="6"/>
      <c r="EE225" s="4"/>
      <c r="EF225" s="4"/>
      <c r="EG225" s="4"/>
      <c r="EH225" s="4"/>
      <c r="EI225" s="4"/>
      <c r="EJ225" s="4"/>
      <c r="EK225" s="4"/>
      <c r="EL225" s="6"/>
      <c r="EM225" s="6"/>
      <c r="EN225" s="6"/>
      <c r="EO225" s="9"/>
      <c r="EP225"/>
      <c r="EQ225"/>
      <c r="ER225"/>
      <c r="ES225"/>
      <c r="ET225"/>
      <c r="EU225"/>
      <c r="EV225" s="4"/>
      <c r="EW225" s="4"/>
      <c r="EX225" s="4"/>
      <c r="EY225" s="6"/>
      <c r="EZ225" s="4"/>
      <c r="FA225" s="4"/>
      <c r="FB225" s="4"/>
      <c r="FC225" s="4"/>
      <c r="FD225" s="4"/>
      <c r="FE225" s="4"/>
      <c r="FF225" s="4"/>
      <c r="FG225" s="6"/>
      <c r="FH225" s="6"/>
      <c r="FI225" s="6"/>
      <c r="FJ225" s="9"/>
      <c r="FK225"/>
      <c r="FL225"/>
      <c r="FM225"/>
      <c r="FN225"/>
      <c r="FO225"/>
      <c r="FP225"/>
      <c r="FQ225" s="4"/>
      <c r="FR225" s="4"/>
      <c r="FS225" s="4"/>
      <c r="FT225" s="6"/>
      <c r="FU225" s="4"/>
      <c r="FV225" s="4"/>
      <c r="FW225" s="4"/>
      <c r="FX225" s="4"/>
      <c r="FY225" s="4"/>
      <c r="FZ225" s="4"/>
      <c r="GA225" s="4"/>
      <c r="GB225" s="6"/>
      <c r="GC225" s="6"/>
      <c r="GD225" s="6"/>
      <c r="GE225" s="9"/>
      <c r="GF225"/>
      <c r="GG225"/>
      <c r="GH225"/>
      <c r="GI225"/>
      <c r="GJ225"/>
      <c r="GK225"/>
      <c r="GL225" s="4"/>
      <c r="GM225" s="4"/>
      <c r="GN225" s="4"/>
      <c r="GO225" s="6"/>
      <c r="GP225" s="4"/>
      <c r="GQ225" s="4"/>
      <c r="GR225" s="4"/>
      <c r="GS225" s="4"/>
      <c r="GT225" s="4"/>
      <c r="GU225" s="4"/>
      <c r="GV225" s="4"/>
      <c r="GW225" s="6"/>
      <c r="GX225" s="6"/>
      <c r="GY225" s="6"/>
      <c r="GZ225" s="9"/>
      <c r="HA225"/>
      <c r="HB225"/>
      <c r="HC225"/>
      <c r="HD225"/>
      <c r="HE225"/>
      <c r="HF225"/>
      <c r="HG225" s="4"/>
      <c r="HH225" s="4"/>
      <c r="HI225" s="4"/>
      <c r="HJ225" s="6"/>
      <c r="HK225" s="4"/>
      <c r="HL225" s="4"/>
      <c r="HM225" s="4"/>
      <c r="HN225" s="4"/>
      <c r="HO225" s="4"/>
      <c r="HP225" s="4"/>
      <c r="HQ225" s="4"/>
      <c r="HR225" s="6"/>
      <c r="HS225" s="6"/>
      <c r="HT225" s="6"/>
      <c r="HU225" s="9"/>
      <c r="HV225"/>
      <c r="HW225"/>
      <c r="HX225"/>
      <c r="HY225"/>
      <c r="HZ225"/>
      <c r="IA225"/>
      <c r="IB225" s="4"/>
      <c r="IC225" s="4"/>
      <c r="ID225" s="4"/>
      <c r="IE225" s="6"/>
      <c r="IF225" s="4"/>
      <c r="IG225" s="4"/>
      <c r="IH225" s="4"/>
      <c r="II225" s="4"/>
      <c r="IJ225" s="4"/>
      <c r="IK225" s="4"/>
      <c r="IL225" s="4"/>
      <c r="IM225" s="6"/>
      <c r="IN225" s="6"/>
      <c r="IO225" s="6"/>
      <c r="IP225" s="9"/>
      <c r="IQ225"/>
      <c r="IR225"/>
      <c r="IS225"/>
      <c r="IT225"/>
      <c r="IU225"/>
      <c r="IV225"/>
      <c r="IW225" s="4"/>
      <c r="IX225" s="4"/>
      <c r="IY225" s="4"/>
      <c r="IZ225" s="6"/>
      <c r="JA225" s="4"/>
      <c r="JB225" s="4"/>
      <c r="JC225" s="4"/>
      <c r="JD225" s="4"/>
      <c r="JE225" s="4"/>
      <c r="JF225" s="4"/>
      <c r="JG225" s="4"/>
      <c r="JH225" s="6"/>
      <c r="JI225" s="6"/>
      <c r="JJ225" s="6"/>
      <c r="JK225" s="9"/>
      <c r="JL225"/>
    </row>
    <row r="226">
      <c r="A226" s="8">
        <v>25539</v>
      </c>
      <c r="B226" s="8">
        <v>25540</v>
      </c>
      <c r="C226" s="9">
        <f>B226-A226</f>
        <v>1</v>
      </c>
      <c r="D226" s="8">
        <v>25539</v>
      </c>
      <c r="E226" t="inlineStr">
        <is>
          <t xml:space="preserve">positive</t>
        </is>
      </c>
      <c r="F226" s="4">
        <v>2.0709994760534154</v>
      </c>
      <c r="G226" s="6">
        <v>-0.00975327438357818</v>
      </c>
      <c r="H226" s="7">
        <f>SUM(CE226,CZ226,DU226,EP226,FK226,GF226,HA226,HV226,IQ226,JL226)</f>
        <v>-0.00975327438357818</v>
      </c>
      <c r="I226" s="7">
        <f>G226-H226</f>
        <v>0</v>
      </c>
      <c r="J226" s="5">
        <f>F226*(1+H226)</f>
        <v>2.05080044991522</v>
      </c>
      <c r="K226" s="4">
        <v>2.05080044991522</v>
      </c>
      <c r="L226" s="5">
        <f>K226-J226</f>
        <v>0</v>
      </c>
      <c r="M226" s="4">
        <v>1.922</v>
      </c>
      <c r="N226" s="4">
        <v>1.908</v>
      </c>
      <c r="O226" s="5">
        <f>M226/$M$3</f>
        <v>0.9816138917262512</v>
      </c>
      <c r="P226" s="5">
        <f>N226/$M$3</f>
        <v>0.9744637385086823</v>
      </c>
      <c r="Q226" s="7">
        <f>IFERROR(N226/M226-1,0)</f>
        <v>-0.007284079084287187</v>
      </c>
      <c r="R226" s="5">
        <f>SUM(IF(BM226="lease",BU226,0),IF(CH226="lease",CP226,0),IF(DC226="lease",DK226,0),IF(DX226="lease",EF226,0),IF(ES226="lease",FA226,0),IF(FN226="lease",FV226,0),IF(GI226="lease",GQ226,0),IF(HD226="lease",HL226,0),IF(HY226="lease",IG226,0),IF(IT226="lease",JB226,0))</f>
        <v>2.070999476053415</v>
      </c>
      <c r="S226" s="5">
        <f>SUM(IF(BM226="lease",BV226,0),IF(CH226="lease",CQ226,0),IF(DC226="lease",DL226,0),IF(DX226="lease",EG226,0),IF(ES226="lease",FB226,0),IF(FN226="lease",FW226,0),IF(GI226="lease",GR226,0),IF(HD226="lease",HM226,0),IF(HY226="lease",IH226,0),IF(IT226="lease",JC226,0))</f>
        <v>2.0508004499152195</v>
      </c>
      <c r="T226" s="5">
        <f>SUM(IF(BM226="keep",BU226,0),IF(CH226="keep",CP226,0),IF(DC226="keep",DK226,0),IF(DX226="keep",EF226,0),IF(ES226="keep",FA226,0),IF(FN226="keep",FV226,0),IF(GI226="keep",GQ226,0),IF(HD226="keep",HL226,0),IF(HY226="keep",IG226,0),IF(IT226="keep",JB226,0))</f>
        <v>0</v>
      </c>
      <c r="U226" s="5">
        <f>SUM(IF(BM226="keep",BV226,0),IF(CH226="keep",CQ226,0),IF(DC226="keep",DL226,0),IF(DX226="keep",EG226,0),IF(ES226="keep",FB226,0),IF(FN226="keep",FW226,0),IF(GI226="keep",GR226,0),IF(HD226="keep",HM226,0),IF(HY226="keep",IH226,0),IF(IT226="keep",JC226,0))</f>
        <v>0</v>
      </c>
      <c r="V226" s="5">
        <f>R226/O226</f>
        <v>2.1097903091116477</v>
      </c>
      <c r="W226" s="5">
        <f>S226/P226</f>
        <v>2.1045426000702308</v>
      </c>
      <c r="X226" s="5">
        <f>T226/O226</f>
        <v>0</v>
      </c>
      <c r="Y226" s="5">
        <f>U226/P226</f>
        <v>0</v>
      </c>
      <c r="Z226" s="5">
        <f>V226+X226</f>
        <v>2.1097903091116477</v>
      </c>
      <c r="AA226" s="7">
        <f>IFERROR(W226/V226-1,0)</f>
        <v>-0.0024873130845057823</v>
      </c>
      <c r="AB226" s="7">
        <f>IFERROR((W226-V226)/Z226,0)</f>
        <v>-0.002487313084505789</v>
      </c>
      <c r="AC226" s="7">
        <f>IFERROR(Y226/X226-1,0)</f>
        <v>0</v>
      </c>
      <c r="AD226" s="7">
        <f>IFERROR((Y226-X226)/Z226,0)</f>
        <v>0</v>
      </c>
      <c r="AE226" s="7">
        <f>AB226+AD226</f>
        <v>-0.002487313084505789</v>
      </c>
      <c r="AF226" s="7">
        <f>(1+Q226)*(1+AE226)-1</f>
        <v>-0.009753274383578092</v>
      </c>
      <c r="AG226" s="7">
        <f>G226-AF226</f>
        <v>-8.847089727481716e-17</v>
      </c>
      <c r="AH226" s="5">
        <f>SUM(IF(BM226="lease",BW226,0),IF(CH226="lease",CR226,0),IF(DC226="lease",DM226,0),IF(DX226="lease",EH226,0),IF(ES226="lease",FC226,0),IF(FN226="lease",FX226,0),IF(GI226="lease",GS226,0),IF(HD226="lease",HN226,0),IF(HY226="lease",II226,0),IF(IT226="lease",JD226,0))</f>
        <v>-0.02019902613819561</v>
      </c>
      <c r="AI226" s="5">
        <f>SUM(IF(BM226="keep",BW226,0),IF(CH226="keep",CR226,0),IF(DC226="keep",DM226,0),IF(DX226="keep",EH226,0),IF(ES226="keep",FC226,0),IF(FN226="keep",FX226,0),IF(GI226="keep",GS226,0),IF(HD226="keep",HN226,0),IF(HY226="keep",II226,0),IF(IT226="keep",JD226,0))</f>
        <v>0</v>
      </c>
      <c r="AJ226" s="5">
        <f>SUM(IF(BM226="lease",BX226,0),IF(CH226="lease",CS226,0),IF(DC226="lease",DN226,0),IF(DX226="lease",EI226,0),IF(ES226="lease",FD226,0),IF(FN226="lease",FY226,0),IF(GI226="lease",GT226,0),IF(HD226="lease",HO226,0),IF(HY226="lease",IJ226,0),IF(IT226="lease",JE226,0))</f>
        <v>0</v>
      </c>
      <c r="AK226" s="5">
        <f>SUM(IF(BM226="keep",BX226,0),IF(CH226="keep",CS226,0),IF(DC226="keep",DN226,0),IF(DX226="keep",EI226,0),IF(ES226="keep",FD226,0),IF(FN226="keep",FY226,0),IF(GI226="keep",GT226,0),IF(HD226="keep",HO226,0),IF(HY226="keep",IJ226,0),IF(IT226="keep",JE226,0))</f>
        <v>0</v>
      </c>
      <c r="AL226" s="5">
        <f>R226-S225</f>
        <v>0</v>
      </c>
      <c r="AM226" s="5">
        <f>T226-U225</f>
        <v>0</v>
      </c>
      <c r="AN226" s="5">
        <f>AN225</f>
        <v>1</v>
      </c>
      <c r="AO226" s="5">
        <f>AO225+AH226</f>
        <v>1.05080044991522</v>
      </c>
      <c r="AP226" s="5">
        <f>AP225+AL226</f>
        <v>6.661338147750939e-16</v>
      </c>
      <c r="AQ226" s="5">
        <f>AN226+AO226+AP226</f>
        <v>2.0508004499152204</v>
      </c>
      <c r="AR226" s="5">
        <f>S226-AQ226</f>
        <v>-8.881784197001252e-16</v>
      </c>
      <c r="AS226" s="5">
        <f>AS225</f>
        <v>0</v>
      </c>
      <c r="AT226" s="5">
        <f>AT225+AI226</f>
        <v>0</v>
      </c>
      <c r="AU226" s="5">
        <f>AU225+AM226</f>
        <v>0</v>
      </c>
      <c r="AV226" s="5">
        <f>AS226+AT226+AU226</f>
        <v>0</v>
      </c>
      <c r="AW226" s="5">
        <f>U226-AV226</f>
        <v>0</v>
      </c>
      <c r="AX226" s="4">
        <v>2.070999476053415</v>
      </c>
      <c r="AY226" s="4">
        <v>2.0508004499152195</v>
      </c>
      <c r="AZ226" s="5">
        <f>S226-AY226</f>
        <v>0</v>
      </c>
      <c r="BA226" s="4">
        <v>0</v>
      </c>
      <c r="BB226" s="4">
        <v>0</v>
      </c>
      <c r="BC226" s="5">
        <f>U226-BB226</f>
        <v>0</v>
      </c>
      <c r="BD226" s="7">
        <f>SUM(IF(BL226="direct",CE226,0),IF(CG226="direct",CZ226,0),IF(DB226="direct",DU226,0),IF(DW226="direct",EP226,0),IF(ER226="direct",FK226,0),IF(FM226="direct",GF226,0),IF(GH226="direct",HA226,0),IF(HC226="direct",HV226,0),IF(HX226="direct",IQ226,0),IF(IS226="direct",JL226,0))</f>
        <v>-0.0032792861463456966</v>
      </c>
      <c r="BE226" s="7">
        <f>SUM(IF(BL226="treasury",CE226,0),IF(CG226="treasury",CZ226,0),IF(DB226="treasury",DU226,0),IF(DW226="treasury",EP226,0),IF(ER226="treasury",FK226,0),IF(FM226="treasury",GF226,0),IF(GH226="treasury",HA226,0),IF(HC226="treasury",HV226,0),IF(HX226="treasury",IQ226,0),IF(IS226="treasury",JL226,0))</f>
        <v>0.0001138134139965322</v>
      </c>
      <c r="BF226" s="7">
        <f>SUM(IF(BL226="future",CE226,0),IF(CG226="future",CZ226,0),IF(DB226="future",DU226,0),IF(DW226="future",EP226,0),IF(ER226="future",FK226,0),IF(FM226="future",GF226,0),IF(GH226="future",HA226,0),IF(HC226="future",HV226,0),IF(HX226="future",IQ226,0),IF(IS226="future",JL226,0))</f>
        <v>-0.006587801651229015</v>
      </c>
      <c r="BG226" s="7">
        <f>SUM(IF(BL226="cash",CE226,0),IF(CG226="cash",CZ226,0),IF(DB226="cash",DU226,0),IF(DW226="cash",EP226,0),IF(ER226="cash",FK226,0),IF(FM226="cash",GF226,0),IF(GH226="cash",HA226,0),IF(HC226="cash",HV226,0),IF(HX226="cash",IQ226,0),IF(IS226="cash",JL226,0))</f>
        <v>0</v>
      </c>
      <c r="BH226" s="7">
        <f>SUM(BD226:BG226)</f>
        <v>-0.009753274383578179</v>
      </c>
      <c r="BI226" s="7">
        <f>G226-BH226</f>
        <v>-1.734723475976807e-18</v>
      </c>
      <c r="BJ226" s="9">
        <f>COUNTA(BK226,CF226,DA226,DV226,EQ226,FL226,GG226,HB226,HW226,IR226)</f>
        <v>6</v>
      </c>
      <c r="BK226" t="inlineStr">
        <is>
          <t xml:space="preserve">Direct commodity holding</t>
        </is>
      </c>
      <c r="BL226" t="inlineStr">
        <is>
          <t xml:space="preserve">direct</t>
        </is>
      </c>
      <c r="BM226" t="inlineStr">
        <is>
          <t xml:space="preserve">lease</t>
        </is>
      </c>
      <c r="BN226" t="inlineStr">
        <is>
          <t xml:space="preserve">long</t>
        </is>
      </c>
      <c r="BO226"/>
      <c r="BP226" s="4">
        <v>1.922</v>
      </c>
      <c r="BQ226" s="4">
        <v>1.908</v>
      </c>
      <c r="BR226" s="4">
        <v>0.48464427484187156</v>
      </c>
      <c r="BS226" s="6">
        <v>0.4497762104803411</v>
      </c>
      <c r="BT226" s="4">
        <v>0.9314862962460772</v>
      </c>
      <c r="BU226" s="4">
        <v>0.9314862962460772</v>
      </c>
      <c r="BV226" s="4">
        <v>0.9247012763982909</v>
      </c>
      <c r="BW226" s="4">
        <v>-0.006791399890911162</v>
      </c>
      <c r="BX226" s="4">
        <v>0.000006380043124928382</v>
      </c>
      <c r="BY226" s="4">
        <v>1.922</v>
      </c>
      <c r="BZ226" s="4">
        <v>1.908</v>
      </c>
      <c r="CA226" s="6"/>
      <c r="CB226" s="6"/>
      <c r="CC226" s="6"/>
      <c r="CD226" s="9"/>
      <c r="CE226" s="7">
        <f>IFERROR(BW226/F226,0)</f>
        <v>-0.0032792861463456966</v>
      </c>
      <c r="CF226" t="inlineStr">
        <is>
          <t xml:space="preserve">Treasury collateral</t>
        </is>
      </c>
      <c r="CG226" t="inlineStr">
        <is>
          <t xml:space="preserve">treasury</t>
        </is>
      </c>
      <c r="CH226" t="inlineStr">
        <is>
          <t xml:space="preserve">lease</t>
        </is>
      </c>
      <c r="CI226" t="inlineStr">
        <is>
          <t xml:space="preserve">long</t>
        </is>
      </c>
      <c r="CJ226"/>
      <c r="CK226" s="4">
        <v>106.1889439628314</v>
      </c>
      <c r="CL226" s="4">
        <v>106.21090907315795</v>
      </c>
      <c r="CM226" s="4">
        <v>0.010730996441646453</v>
      </c>
      <c r="CN226" s="6">
        <v>0.5502237895196589</v>
      </c>
      <c r="CO226" s="4">
        <v>1.1395131798073384</v>
      </c>
      <c r="CP226" s="4">
        <v>1.1395131798073384</v>
      </c>
      <c r="CQ226" s="4">
        <v>1.139748887328093</v>
      </c>
      <c r="CR226" s="4">
        <v>0.00023570752075466862</v>
      </c>
      <c r="CS226" s="4">
        <v>-3.309527131512002e-17</v>
      </c>
      <c r="CT226" s="4">
        <v>1.922</v>
      </c>
      <c r="CU226" s="4">
        <v>1.908</v>
      </c>
      <c r="CV226" s="6"/>
      <c r="CW226" s="6"/>
      <c r="CX226" s="6"/>
      <c r="CY226" s="9">
        <v>27</v>
      </c>
      <c r="CZ226" s="7">
        <f>IFERROR(CR226/F226,0)</f>
        <v>0.0001138134139965322</v>
      </c>
      <c r="DA226" t="inlineStr">
        <is>
          <t xml:space="preserve">SI69Z</t>
        </is>
      </c>
      <c r="DB226" t="inlineStr">
        <is>
          <t xml:space="preserve">future</t>
        </is>
      </c>
      <c r="DC226" t="inlineStr">
        <is>
          <t xml:space="preserve">lease</t>
        </is>
      </c>
      <c r="DD226" t="inlineStr">
        <is>
          <t xml:space="preserve">long</t>
        </is>
      </c>
      <c r="DE226" t="inlineStr">
        <is>
          <t xml:space="preserve">regular</t>
        </is>
      </c>
      <c r="DF226" s="4">
        <v>1.921</v>
      </c>
      <c r="DG226" s="4">
        <v>1.8980000000000001</v>
      </c>
      <c r="DH226" s="4">
        <v>0.5931796012346897</v>
      </c>
      <c r="DI226" s="6">
        <v>0.5502164665648852</v>
      </c>
      <c r="DJ226" s="4">
        <v>1.139498013971839</v>
      </c>
      <c r="DK226" s="4">
        <v>0</v>
      </c>
      <c r="DL226" s="4">
        <v>0</v>
      </c>
      <c r="DM226" s="4">
        <v>-0.013643130828397847</v>
      </c>
      <c r="DN226" s="4">
        <v>0.013643130828397847</v>
      </c>
      <c r="DO226" s="4">
        <v>1.922</v>
      </c>
      <c r="DP226" s="4">
        <v>1.908</v>
      </c>
      <c r="DQ226" s="6">
        <v>-0.0005202913631633388</v>
      </c>
      <c r="DR226" s="6">
        <v>0.0755</v>
      </c>
      <c r="DS226" s="6">
        <v>0.08253356842794883</v>
      </c>
      <c r="DT226" s="9">
        <v>27</v>
      </c>
      <c r="DU226" s="7">
        <f>IFERROR(DM226/F226,0)</f>
        <v>-0.006587703660068894</v>
      </c>
      <c r="DV226" t="inlineStr">
        <is>
          <t xml:space="preserve">SI70F</t>
        </is>
      </c>
      <c r="DW226" t="inlineStr">
        <is>
          <t xml:space="preserve">future</t>
        </is>
      </c>
      <c r="DX226" t="inlineStr">
        <is>
          <t xml:space="preserve">lease</t>
        </is>
      </c>
      <c r="DY226" t="inlineStr">
        <is>
          <t xml:space="preserve">long</t>
        </is>
      </c>
      <c r="DZ226" t="inlineStr">
        <is>
          <t xml:space="preserve">regular</t>
        </is>
      </c>
      <c r="EA226" s="4">
        <v>1.943</v>
      </c>
      <c r="EB226" s="4">
        <v>1.9169999999999998</v>
      </c>
      <c r="EC226" s="4">
        <v>0.000007805370818034926</v>
      </c>
      <c r="ED226" s="6">
        <v>0.000007322954773674073</v>
      </c>
      <c r="EE226" s="4">
        <v>0.000015165835499441863</v>
      </c>
      <c r="EF226" s="4">
        <v>0</v>
      </c>
      <c r="EG226" s="4">
        <v>0</v>
      </c>
      <c r="EH226" s="4">
        <v>-2.0293964126890997e-7</v>
      </c>
      <c r="EI226" s="4">
        <v>2.0293964126890997e-7</v>
      </c>
      <c r="EJ226" s="4">
        <v>1.922</v>
      </c>
      <c r="EK226" s="4">
        <v>1.908</v>
      </c>
      <c r="EL226" s="6">
        <v>0.010926118626430892</v>
      </c>
      <c r="EM226" s="6">
        <v>0.0755</v>
      </c>
      <c r="EN226" s="6">
        <v>0.005534503532503941</v>
      </c>
      <c r="EO226" s="9">
        <v>57</v>
      </c>
      <c r="EP226" s="7">
        <f>IFERROR(EH226/F226,0)</f>
        <v>-9.799116012121856e-8</v>
      </c>
      <c r="EQ226" t="inlineStr">
        <is>
          <t xml:space="preserve">Lease cash / margin / financing</t>
        </is>
      </c>
      <c r="ER226" t="inlineStr">
        <is>
          <t xml:space="preserve">cash</t>
        </is>
      </c>
      <c r="ES226" t="inlineStr">
        <is>
          <t xml:space="preserve">lease</t>
        </is>
      </c>
      <c r="ET226" t="inlineStr">
        <is>
          <t xml:space="preserve">cash</t>
        </is>
      </c>
      <c r="EU226"/>
      <c r="EV226" s="4">
        <v>1</v>
      </c>
      <c r="EW226" s="4">
        <v>1</v>
      </c>
      <c r="EX226" s="4">
        <v>-4.440892098500626e-16</v>
      </c>
      <c r="EY226" s="6"/>
      <c r="EZ226" s="4">
        <v>-4.440892098500626e-16</v>
      </c>
      <c r="FA226" s="4">
        <v>-4.440892098500626e-16</v>
      </c>
      <c r="FB226" s="4">
        <v>-0.013649713811164454</v>
      </c>
      <c r="FC226" s="4">
        <v>0</v>
      </c>
      <c r="FD226" s="4">
        <v>-0.01364971381116401</v>
      </c>
      <c r="FE226" s="4">
        <v>1.922</v>
      </c>
      <c r="FF226" s="4">
        <v>1.908</v>
      </c>
      <c r="FG226" s="6"/>
      <c r="FH226" s="6"/>
      <c r="FI226" s="6"/>
      <c r="FJ226" s="9"/>
      <c r="FK226" s="7">
        <f>IFERROR(FC226/F226,0)</f>
        <v>0</v>
      </c>
      <c r="FL226" t="inlineStr">
        <is>
          <t xml:space="preserve">Keep cash / margin / financing</t>
        </is>
      </c>
      <c r="FM226" t="inlineStr">
        <is>
          <t xml:space="preserve">cash</t>
        </is>
      </c>
      <c r="FN226" t="inlineStr">
        <is>
          <t xml:space="preserve">keep</t>
        </is>
      </c>
      <c r="FO226" t="inlineStr">
        <is>
          <t xml:space="preserve">cash</t>
        </is>
      </c>
      <c r="FP226"/>
      <c r="FQ226" s="4">
        <v>1</v>
      </c>
      <c r="FR226" s="4">
        <v>1</v>
      </c>
      <c r="FS226" s="4">
        <v>0</v>
      </c>
      <c r="FT226" s="6"/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1.922</v>
      </c>
      <c r="GA226" s="4">
        <v>1.908</v>
      </c>
      <c r="GB226" s="6"/>
      <c r="GC226" s="6"/>
      <c r="GD226" s="6"/>
      <c r="GE226" s="9"/>
      <c r="GF226" s="7">
        <f>IFERROR(FX226/F226,0)</f>
        <v>0</v>
      </c>
      <c r="GG226"/>
      <c r="GH226"/>
      <c r="GI226"/>
      <c r="GJ226"/>
      <c r="GK226"/>
      <c r="GL226" s="4"/>
      <c r="GM226" s="4"/>
      <c r="GN226" s="4"/>
      <c r="GO226" s="6"/>
      <c r="GP226" s="4"/>
      <c r="GQ226" s="4"/>
      <c r="GR226" s="4"/>
      <c r="GS226" s="4"/>
      <c r="GT226" s="4"/>
      <c r="GU226" s="4"/>
      <c r="GV226" s="4"/>
      <c r="GW226" s="6"/>
      <c r="GX226" s="6"/>
      <c r="GY226" s="6"/>
      <c r="GZ226" s="9"/>
      <c r="HA226"/>
      <c r="HB226"/>
      <c r="HC226"/>
      <c r="HD226"/>
      <c r="HE226"/>
      <c r="HF226"/>
      <c r="HG226" s="4"/>
      <c r="HH226" s="4"/>
      <c r="HI226" s="4"/>
      <c r="HJ226" s="6"/>
      <c r="HK226" s="4"/>
      <c r="HL226" s="4"/>
      <c r="HM226" s="4"/>
      <c r="HN226" s="4"/>
      <c r="HO226" s="4"/>
      <c r="HP226" s="4"/>
      <c r="HQ226" s="4"/>
      <c r="HR226" s="6"/>
      <c r="HS226" s="6"/>
      <c r="HT226" s="6"/>
      <c r="HU226" s="9"/>
      <c r="HV226"/>
      <c r="HW226"/>
      <c r="HX226"/>
      <c r="HY226"/>
      <c r="HZ226"/>
      <c r="IA226"/>
      <c r="IB226" s="4"/>
      <c r="IC226" s="4"/>
      <c r="ID226" s="4"/>
      <c r="IE226" s="6"/>
      <c r="IF226" s="4"/>
      <c r="IG226" s="4"/>
      <c r="IH226" s="4"/>
      <c r="II226" s="4"/>
      <c r="IJ226" s="4"/>
      <c r="IK226" s="4"/>
      <c r="IL226" s="4"/>
      <c r="IM226" s="6"/>
      <c r="IN226" s="6"/>
      <c r="IO226" s="6"/>
      <c r="IP226" s="9"/>
      <c r="IQ226"/>
      <c r="IR226"/>
      <c r="IS226"/>
      <c r="IT226"/>
      <c r="IU226"/>
      <c r="IV226"/>
      <c r="IW226" s="4"/>
      <c r="IX226" s="4"/>
      <c r="IY226" s="4"/>
      <c r="IZ226" s="6"/>
      <c r="JA226" s="4"/>
      <c r="JB226" s="4"/>
      <c r="JC226" s="4"/>
      <c r="JD226" s="4"/>
      <c r="JE226" s="4"/>
      <c r="JF226" s="4"/>
      <c r="JG226" s="4"/>
      <c r="JH226" s="6"/>
      <c r="JI226" s="6"/>
      <c r="JJ226" s="6"/>
      <c r="JK226" s="9"/>
      <c r="JL226"/>
    </row>
    <row r="227">
      <c r="A227" s="8">
        <v>25540</v>
      </c>
      <c r="B227" s="8">
        <v>25541</v>
      </c>
      <c r="C227" s="9">
        <f>B227-A227</f>
        <v>1</v>
      </c>
      <c r="D227" s="8">
        <v>25540</v>
      </c>
      <c r="E227" t="inlineStr">
        <is>
          <t xml:space="preserve">positive</t>
        </is>
      </c>
      <c r="F227" s="4">
        <v>2.05080044991522</v>
      </c>
      <c r="G227" s="6">
        <v>-0.027172215518384567</v>
      </c>
      <c r="H227" s="7">
        <f>SUM(CE227,CZ227,DU227,EP227,FK227,GF227,HA227,HV227,IQ227,JL227)</f>
        <v>-0.02717221551838456</v>
      </c>
      <c r="I227" s="7">
        <f>G227-H227</f>
        <v>-6.938893903907228e-18</v>
      </c>
      <c r="J227" s="5">
        <f>F227*(1+H227)</f>
        <v>1.9950756581049236</v>
      </c>
      <c r="K227" s="4">
        <v>1.9950756581049236</v>
      </c>
      <c r="L227" s="5">
        <f>K227-J227</f>
        <v>0</v>
      </c>
      <c r="M227" s="4">
        <v>1.908</v>
      </c>
      <c r="N227" s="4">
        <v>1.877</v>
      </c>
      <c r="O227" s="5">
        <f>M227/$M$3</f>
        <v>0.9744637385086823</v>
      </c>
      <c r="P227" s="5">
        <f>N227/$M$3</f>
        <v>0.9586312563840654</v>
      </c>
      <c r="Q227" s="7">
        <f>IFERROR(N227/M227-1,0)</f>
        <v>-0.016247379454926603</v>
      </c>
      <c r="R227" s="5">
        <f>SUM(IF(BM227="lease",BU227,0),IF(CH227="lease",CP227,0),IF(DC227="lease",DK227,0),IF(DX227="lease",EF227,0),IF(ES227="lease",FA227,0),IF(FN227="lease",FV227,0),IF(GI227="lease",GQ227,0),IF(HD227="lease",HL227,0),IF(HY227="lease",IG227,0),IF(IT227="lease",JB227,0))</f>
        <v>2.0508004499152195</v>
      </c>
      <c r="S227" s="5">
        <f>SUM(IF(BM227="lease",BV227,0),IF(CH227="lease",CQ227,0),IF(DC227="lease",DL227,0),IF(DX227="lease",EG227,0),IF(ES227="lease",FB227,0),IF(FN227="lease",FW227,0),IF(GI227="lease",GR227,0),IF(HD227="lease",HM227,0),IF(HY227="lease",IH227,0),IF(IT227="lease",JC227,0))</f>
        <v>1.995075658104923</v>
      </c>
      <c r="T227" s="5">
        <f>SUM(IF(BM227="keep",BU227,0),IF(CH227="keep",CP227,0),IF(DC227="keep",DK227,0),IF(DX227="keep",EF227,0),IF(ES227="keep",FA227,0),IF(FN227="keep",FV227,0),IF(GI227="keep",GQ227,0),IF(HD227="keep",HL227,0),IF(HY227="keep",IG227,0),IF(IT227="keep",JB227,0))</f>
        <v>0</v>
      </c>
      <c r="U227" s="5">
        <f>SUM(IF(BM227="keep",BV227,0),IF(CH227="keep",CQ227,0),IF(DC227="keep",DL227,0),IF(DX227="keep",EG227,0),IF(ES227="keep",FB227,0),IF(FN227="keep",FW227,0),IF(GI227="keep",GR227,0),IF(HD227="keep",HM227,0),IF(HY227="keep",IH227,0),IF(IT227="keep",JC227,0))</f>
        <v>0</v>
      </c>
      <c r="V227" s="5">
        <f>R227/O227</f>
        <v>2.1045426000702308</v>
      </c>
      <c r="W227" s="5">
        <f>S227/P227</f>
        <v>2.0811710914062007</v>
      </c>
      <c r="X227" s="5">
        <f>T227/O227</f>
        <v>0</v>
      </c>
      <c r="Y227" s="5">
        <f>U227/P227</f>
        <v>0</v>
      </c>
      <c r="Z227" s="5">
        <f>V227+X227</f>
        <v>2.1045426000702308</v>
      </c>
      <c r="AA227" s="7">
        <f>IFERROR(W227/V227-1,0)</f>
        <v>-0.011105267559445076</v>
      </c>
      <c r="AB227" s="7">
        <f>IFERROR((W227-V227)/Z227,0)</f>
        <v>-0.011105267559445034</v>
      </c>
      <c r="AC227" s="7">
        <f>IFERROR(Y227/X227-1,0)</f>
        <v>0</v>
      </c>
      <c r="AD227" s="7">
        <f>IFERROR((Y227-X227)/Z227,0)</f>
        <v>0</v>
      </c>
      <c r="AE227" s="7">
        <f>AB227+AD227</f>
        <v>-0.011105267559445034</v>
      </c>
      <c r="AF227" s="7">
        <f>(1+Q227)*(1+AE227)-1</f>
        <v>-0.02717221551838489</v>
      </c>
      <c r="AG227" s="7">
        <f>G227-AF227</f>
        <v>3.226585665316861e-16</v>
      </c>
      <c r="AH227" s="5">
        <f>SUM(IF(BM227="lease",BW227,0),IF(CH227="lease",CR227,0),IF(DC227="lease",DM227,0),IF(DX227="lease",EH227,0),IF(ES227="lease",FC227,0),IF(FN227="lease",FX227,0),IF(GI227="lease",GS227,0),IF(HD227="lease",HN227,0),IF(HY227="lease",II227,0),IF(IT227="lease",JD227,0))</f>
        <v>-0.055724791810296374</v>
      </c>
      <c r="AI227" s="5">
        <f>SUM(IF(BM227="keep",BW227,0),IF(CH227="keep",CR227,0),IF(DC227="keep",DM227,0),IF(DX227="keep",EH227,0),IF(ES227="keep",FC227,0),IF(FN227="keep",FX227,0),IF(GI227="keep",GS227,0),IF(HD227="keep",HN227,0),IF(HY227="keep",II227,0),IF(IT227="keep",JD227,0))</f>
        <v>0</v>
      </c>
      <c r="AJ227" s="5">
        <f>SUM(IF(BM227="lease",BX227,0),IF(CH227="lease",CS227,0),IF(DC227="lease",DN227,0),IF(DX227="lease",EI227,0),IF(ES227="lease",FD227,0),IF(FN227="lease",FY227,0),IF(GI227="lease",GT227,0),IF(HD227="lease",HO227,0),IF(HY227="lease",IJ227,0),IF(IT227="lease",JE227,0))</f>
        <v>0</v>
      </c>
      <c r="AK227" s="5">
        <f>SUM(IF(BM227="keep",BX227,0),IF(CH227="keep",CS227,0),IF(DC227="keep",DN227,0),IF(DX227="keep",EI227,0),IF(ES227="keep",FD227,0),IF(FN227="keep",FY227,0),IF(GI227="keep",GT227,0),IF(HD227="keep",HO227,0),IF(HY227="keep",IJ227,0),IF(IT227="keep",JE227,0))</f>
        <v>0</v>
      </c>
      <c r="AL227" s="5">
        <f>R227-S226</f>
        <v>0</v>
      </c>
      <c r="AM227" s="5">
        <f>T227-U226</f>
        <v>0</v>
      </c>
      <c r="AN227" s="5">
        <f>AN226</f>
        <v>1</v>
      </c>
      <c r="AO227" s="5">
        <f>AO226+AH227</f>
        <v>0.9950756581049236</v>
      </c>
      <c r="AP227" s="5">
        <f>AP226+AL227</f>
        <v>6.661338147750939e-16</v>
      </c>
      <c r="AQ227" s="5">
        <f>AN227+AO227+AP227</f>
        <v>1.9950756581049243</v>
      </c>
      <c r="AR227" s="5">
        <f>S227-AQ227</f>
        <v>-1.3322676295501878e-15</v>
      </c>
      <c r="AS227" s="5">
        <f>AS226</f>
        <v>0</v>
      </c>
      <c r="AT227" s="5">
        <f>AT226+AI227</f>
        <v>0</v>
      </c>
      <c r="AU227" s="5">
        <f>AU226+AM227</f>
        <v>0</v>
      </c>
      <c r="AV227" s="5">
        <f>AS227+AT227+AU227</f>
        <v>0</v>
      </c>
      <c r="AW227" s="5">
        <f>U227-AV227</f>
        <v>0</v>
      </c>
      <c r="AX227" s="4">
        <v>2.0508004499152195</v>
      </c>
      <c r="AY227" s="4">
        <v>1.9950756581049232</v>
      </c>
      <c r="AZ227" s="5">
        <f>S227-AY227</f>
        <v>-2.220446049250313e-16</v>
      </c>
      <c r="BA227" s="4">
        <v>0</v>
      </c>
      <c r="BB227" s="4">
        <v>0</v>
      </c>
      <c r="BC227" s="5">
        <f>U227-BB227</f>
        <v>0</v>
      </c>
      <c r="BD227" s="7">
        <f>SUM(IF(BL227="direct",CE227,0),IF(CG227="direct",CZ227,0),IF(DB227="direct",DU227,0),IF(DW227="direct",EP227,0),IF(ER227="direct",FK227,0),IF(FM227="direct",GF227,0),IF(GH227="direct",HA227,0),IF(HC227="direct",HV227,0),IF(HX227="direct",IQ227,0),IF(IS227="direct",JL227,0))</f>
        <v>-0.00002418169303018456</v>
      </c>
      <c r="BE227" s="7">
        <f>SUM(IF(BL227="treasury",CE227,0),IF(CG227="treasury",CZ227,0),IF(DB227="treasury",DU227,0),IF(DW227="treasury",EP227,0),IF(ER227="treasury",FK227,0),IF(FM227="treasury",GF227,0),IF(GH227="treasury",HA227,0),IF(HC227="treasury",HV227,0),IF(HX227="treasury",IQ227,0),IF(IS227="treasury",JL227,0))</f>
        <v>0.00020845653688203038</v>
      </c>
      <c r="BF227" s="7">
        <f>SUM(IF(BL227="future",CE227,0),IF(CG227="future",CZ227,0),IF(DB227="future",DU227,0),IF(DW227="future",EP227,0),IF(ER227="future",FK227,0),IF(FM227="future",GF227,0),IF(GH227="future",HA227,0),IF(HC227="future",HV227,0),IF(HX227="future",IQ227,0),IF(IS227="future",JL227,0))</f>
        <v>-0.027356490362236405</v>
      </c>
      <c r="BG227" s="7">
        <f>SUM(IF(BL227="cash",CE227,0),IF(CG227="cash",CZ227,0),IF(DB227="cash",DU227,0),IF(DW227="cash",EP227,0),IF(ER227="cash",FK227,0),IF(FM227="cash",GF227,0),IF(GH227="cash",HA227,0),IF(HC227="cash",HV227,0),IF(HX227="cash",IQ227,0),IF(IS227="cash",JL227,0))</f>
        <v>0</v>
      </c>
      <c r="BH227" s="7">
        <f>SUM(BD227:BG227)</f>
        <v>-0.02717221551838456</v>
      </c>
      <c r="BI227" s="7">
        <f>G227-BH227</f>
        <v>-6.938893903907228e-18</v>
      </c>
      <c r="BJ227" s="9">
        <f>COUNTA(BK227,CF227,DA227,DV227,EQ227,FL227,GG227,HB227,HW227,IR227)</f>
        <v>6</v>
      </c>
      <c r="BK227" t="inlineStr">
        <is>
          <t xml:space="preserve">Direct commodity holding</t>
        </is>
      </c>
      <c r="BL227" t="inlineStr">
        <is>
          <t xml:space="preserve">direct</t>
        </is>
      </c>
      <c r="BM227" t="inlineStr">
        <is>
          <t xml:space="preserve">lease</t>
        </is>
      </c>
      <c r="BN227" t="inlineStr">
        <is>
          <t xml:space="preserve">long</t>
        </is>
      </c>
      <c r="BO227"/>
      <c r="BP227" s="4">
        <v>1.908</v>
      </c>
      <c r="BQ227" s="4">
        <v>1.877</v>
      </c>
      <c r="BR227" s="4">
        <v>0.0015990622455487366</v>
      </c>
      <c r="BS227" s="6">
        <v>0.0014877170348939206</v>
      </c>
      <c r="BT227" s="4">
        <v>0.0030510107645069892</v>
      </c>
      <c r="BU227" s="4">
        <v>0.0030510107645069892</v>
      </c>
      <c r="BV227" s="4">
        <v>0.0030014398348949785</v>
      </c>
      <c r="BW227" s="4">
        <v>-0.000049591826946014235</v>
      </c>
      <c r="BX227" s="4">
        <v>2.0897334003519368e-8</v>
      </c>
      <c r="BY227" s="4">
        <v>1.908</v>
      </c>
      <c r="BZ227" s="4">
        <v>1.877</v>
      </c>
      <c r="CA227" s="6"/>
      <c r="CB227" s="6"/>
      <c r="CC227" s="6"/>
      <c r="CD227" s="9"/>
      <c r="CE227" s="7">
        <f>IFERROR(BW227/F227,0)</f>
        <v>-0.00002418169303018456</v>
      </c>
      <c r="CF227" t="inlineStr">
        <is>
          <t xml:space="preserve">Treasury collateral</t>
        </is>
      </c>
      <c r="CG227" t="inlineStr">
        <is>
          <t xml:space="preserve">treasury</t>
        </is>
      </c>
      <c r="CH227" t="inlineStr">
        <is>
          <t xml:space="preserve">lease</t>
        </is>
      </c>
      <c r="CI227" t="inlineStr">
        <is>
          <t xml:space="preserve">long</t>
        </is>
      </c>
      <c r="CJ227"/>
      <c r="CK227" s="4">
        <v>106.21090907315795</v>
      </c>
      <c r="CL227" s="4">
        <v>106.23308241910694</v>
      </c>
      <c r="CM227" s="4">
        <v>0.019280029302265224</v>
      </c>
      <c r="CN227" s="6">
        <v>0.9985122829651061</v>
      </c>
      <c r="CO227" s="4">
        <v>2.0477494391507127</v>
      </c>
      <c r="CP227" s="4">
        <v>2.0477494391507127</v>
      </c>
      <c r="CQ227" s="4">
        <v>2.0481769419103384</v>
      </c>
      <c r="CR227" s="4">
        <v>0.0004275027596254365</v>
      </c>
      <c r="CS227" s="4">
        <v>2.2768245622195593e-16</v>
      </c>
      <c r="CT227" s="4">
        <v>1.908</v>
      </c>
      <c r="CU227" s="4">
        <v>1.877</v>
      </c>
      <c r="CV227" s="6"/>
      <c r="CW227" s="6"/>
      <c r="CX227" s="6"/>
      <c r="CY227" s="9">
        <v>26</v>
      </c>
      <c r="CZ227" s="7">
        <f>IFERROR(CR227/F227,0)</f>
        <v>0.00020845653688203038</v>
      </c>
      <c r="DA227" t="inlineStr">
        <is>
          <t xml:space="preserve">SI69Z</t>
        </is>
      </c>
      <c r="DB227" t="inlineStr">
        <is>
          <t xml:space="preserve">future</t>
        </is>
      </c>
      <c r="DC227" t="inlineStr">
        <is>
          <t xml:space="preserve">lease</t>
        </is>
      </c>
      <c r="DD227" t="inlineStr">
        <is>
          <t xml:space="preserve">long</t>
        </is>
      </c>
      <c r="DE227" t="inlineStr">
        <is>
          <t xml:space="preserve">regular</t>
        </is>
      </c>
      <c r="DF227" s="4">
        <v>1.8980000000000001</v>
      </c>
      <c r="DG227" s="4">
        <v>1.8459999999999999</v>
      </c>
      <c r="DH227" s="4">
        <v>1.0788841862778333</v>
      </c>
      <c r="DI227" s="6">
        <v>0.9984989937172974</v>
      </c>
      <c r="DJ227" s="4">
        <v>2.047722185555328</v>
      </c>
      <c r="DK227" s="4">
        <v>0</v>
      </c>
      <c r="DL227" s="4">
        <v>0</v>
      </c>
      <c r="DM227" s="4">
        <v>-0.05610197768644756</v>
      </c>
      <c r="DN227" s="4">
        <v>0.05610197768644756</v>
      </c>
      <c r="DO227" s="4">
        <v>1.908</v>
      </c>
      <c r="DP227" s="4">
        <v>1.877</v>
      </c>
      <c r="DQ227" s="6">
        <v>-0.005241090146750449</v>
      </c>
      <c r="DR227" s="6">
        <v>0.0762</v>
      </c>
      <c r="DS227" s="6">
        <v>0.1497768424447659</v>
      </c>
      <c r="DT227" s="9">
        <v>26</v>
      </c>
      <c r="DU227" s="7">
        <f>IFERROR(DM227/F227,0)</f>
        <v>-0.027356136814172642</v>
      </c>
      <c r="DV227" t="inlineStr">
        <is>
          <t xml:space="preserve">SI70F</t>
        </is>
      </c>
      <c r="DW227" t="inlineStr">
        <is>
          <t xml:space="preserve">future</t>
        </is>
      </c>
      <c r="DX227" t="inlineStr">
        <is>
          <t xml:space="preserve">lease</t>
        </is>
      </c>
      <c r="DY227" t="inlineStr">
        <is>
          <t xml:space="preserve">long</t>
        </is>
      </c>
      <c r="DZ227" t="inlineStr">
        <is>
          <t xml:space="preserve">regular</t>
        </is>
      </c>
      <c r="EA227" s="4">
        <v>1.9169999999999998</v>
      </c>
      <c r="EB227" s="4">
        <v>1.8659999999999999</v>
      </c>
      <c r="EC227" s="4">
        <v>0.000014216794671311191</v>
      </c>
      <c r="ED227" s="6">
        <v>0.000013289247808596012</v>
      </c>
      <c r="EE227" s="4">
        <v>0.00002725359538490355</v>
      </c>
      <c r="EF227" s="4">
        <v>0</v>
      </c>
      <c r="EG227" s="4">
        <v>0</v>
      </c>
      <c r="EH227" s="4">
        <v>-7.250565282368691e-7</v>
      </c>
      <c r="EI227" s="4">
        <v>7.250565282368691e-7</v>
      </c>
      <c r="EJ227" s="4">
        <v>1.908</v>
      </c>
      <c r="EK227" s="4">
        <v>1.877</v>
      </c>
      <c r="EL227" s="6">
        <v>0.004716981132075526</v>
      </c>
      <c r="EM227" s="6">
        <v>0.0762</v>
      </c>
      <c r="EN227" s="6">
        <v>0.04545539083557916</v>
      </c>
      <c r="EO227" s="9">
        <v>56</v>
      </c>
      <c r="EP227" s="7">
        <f>IFERROR(EH227/F227,0)</f>
        <v>-3.535480637654643e-7</v>
      </c>
      <c r="EQ227" t="inlineStr">
        <is>
          <t xml:space="preserve">Lease cash / margin / financing</t>
        </is>
      </c>
      <c r="ER227" t="inlineStr">
        <is>
          <t xml:space="preserve">cash</t>
        </is>
      </c>
      <c r="ES227" t="inlineStr">
        <is>
          <t xml:space="preserve">lease</t>
        </is>
      </c>
      <c r="ET227" t="inlineStr">
        <is>
          <t xml:space="preserve">cash</t>
        </is>
      </c>
      <c r="EU227"/>
      <c r="EV227" s="4">
        <v>1</v>
      </c>
      <c r="EW227" s="4">
        <v>1</v>
      </c>
      <c r="EX227" s="4">
        <v>-4.440892098500626e-16</v>
      </c>
      <c r="EY227" s="6"/>
      <c r="EZ227" s="4">
        <v>-4.440892098500626e-16</v>
      </c>
      <c r="FA227" s="4">
        <v>-4.440892098500626e-16</v>
      </c>
      <c r="FB227" s="4">
        <v>-0.05610272364031047</v>
      </c>
      <c r="FC227" s="4">
        <v>0</v>
      </c>
      <c r="FD227" s="4">
        <v>-0.05610272364031003</v>
      </c>
      <c r="FE227" s="4">
        <v>1.908</v>
      </c>
      <c r="FF227" s="4">
        <v>1.877</v>
      </c>
      <c r="FG227" s="6"/>
      <c r="FH227" s="6"/>
      <c r="FI227" s="6"/>
      <c r="FJ227" s="9"/>
      <c r="FK227" s="7">
        <f>IFERROR(FC227/F227,0)</f>
        <v>0</v>
      </c>
      <c r="FL227" t="inlineStr">
        <is>
          <t xml:space="preserve">Keep cash / margin / financing</t>
        </is>
      </c>
      <c r="FM227" t="inlineStr">
        <is>
          <t xml:space="preserve">cash</t>
        </is>
      </c>
      <c r="FN227" t="inlineStr">
        <is>
          <t xml:space="preserve">keep</t>
        </is>
      </c>
      <c r="FO227" t="inlineStr">
        <is>
          <t xml:space="preserve">cash</t>
        </is>
      </c>
      <c r="FP227"/>
      <c r="FQ227" s="4">
        <v>1</v>
      </c>
      <c r="FR227" s="4">
        <v>1</v>
      </c>
      <c r="FS227" s="4">
        <v>0</v>
      </c>
      <c r="FT227" s="6"/>
      <c r="FU227" s="4">
        <v>0</v>
      </c>
      <c r="FV227" s="4">
        <v>0</v>
      </c>
      <c r="FW227" s="4">
        <v>0</v>
      </c>
      <c r="FX227" s="4">
        <v>0</v>
      </c>
      <c r="FY227" s="4">
        <v>0</v>
      </c>
      <c r="FZ227" s="4">
        <v>1.908</v>
      </c>
      <c r="GA227" s="4">
        <v>1.877</v>
      </c>
      <c r="GB227" s="6"/>
      <c r="GC227" s="6"/>
      <c r="GD227" s="6"/>
      <c r="GE227" s="9"/>
      <c r="GF227" s="7">
        <f>IFERROR(FX227/F227,0)</f>
        <v>0</v>
      </c>
      <c r="GG227"/>
      <c r="GH227"/>
      <c r="GI227"/>
      <c r="GJ227"/>
      <c r="GK227"/>
      <c r="GL227" s="4"/>
      <c r="GM227" s="4"/>
      <c r="GN227" s="4"/>
      <c r="GO227" s="6"/>
      <c r="GP227" s="4"/>
      <c r="GQ227" s="4"/>
      <c r="GR227" s="4"/>
      <c r="GS227" s="4"/>
      <c r="GT227" s="4"/>
      <c r="GU227" s="4"/>
      <c r="GV227" s="4"/>
      <c r="GW227" s="6"/>
      <c r="GX227" s="6"/>
      <c r="GY227" s="6"/>
      <c r="GZ227" s="9"/>
      <c r="HA227"/>
      <c r="HB227"/>
      <c r="HC227"/>
      <c r="HD227"/>
      <c r="HE227"/>
      <c r="HF227"/>
      <c r="HG227" s="4"/>
      <c r="HH227" s="4"/>
      <c r="HI227" s="4"/>
      <c r="HJ227" s="6"/>
      <c r="HK227" s="4"/>
      <c r="HL227" s="4"/>
      <c r="HM227" s="4"/>
      <c r="HN227" s="4"/>
      <c r="HO227" s="4"/>
      <c r="HP227" s="4"/>
      <c r="HQ227" s="4"/>
      <c r="HR227" s="6"/>
      <c r="HS227" s="6"/>
      <c r="HT227" s="6"/>
      <c r="HU227" s="9"/>
      <c r="HV227"/>
      <c r="HW227"/>
      <c r="HX227"/>
      <c r="HY227"/>
      <c r="HZ227"/>
      <c r="IA227"/>
      <c r="IB227" s="4"/>
      <c r="IC227" s="4"/>
      <c r="ID227" s="4"/>
      <c r="IE227" s="6"/>
      <c r="IF227" s="4"/>
      <c r="IG227" s="4"/>
      <c r="IH227" s="4"/>
      <c r="II227" s="4"/>
      <c r="IJ227" s="4"/>
      <c r="IK227" s="4"/>
      <c r="IL227" s="4"/>
      <c r="IM227" s="6"/>
      <c r="IN227" s="6"/>
      <c r="IO227" s="6"/>
      <c r="IP227" s="9"/>
      <c r="IQ227"/>
      <c r="IR227"/>
      <c r="IS227"/>
      <c r="IT227"/>
      <c r="IU227"/>
      <c r="IV227"/>
      <c r="IW227" s="4"/>
      <c r="IX227" s="4"/>
      <c r="IY227" s="4"/>
      <c r="IZ227" s="6"/>
      <c r="JA227" s="4"/>
      <c r="JB227" s="4"/>
      <c r="JC227" s="4"/>
      <c r="JD227" s="4"/>
      <c r="JE227" s="4"/>
      <c r="JF227" s="4"/>
      <c r="JG227" s="4"/>
      <c r="JH227" s="6"/>
      <c r="JI227" s="6"/>
      <c r="JJ227" s="6"/>
      <c r="JK227" s="9"/>
      <c r="JL227"/>
    </row>
    <row r="228">
      <c r="A228" s="8">
        <v>25541</v>
      </c>
      <c r="B228" s="8">
        <v>25542</v>
      </c>
      <c r="C228" s="9">
        <f>B228-A228</f>
        <v>1</v>
      </c>
      <c r="D228" s="8">
        <v>25541</v>
      </c>
      <c r="E228" t="inlineStr">
        <is>
          <t xml:space="preserve">positive</t>
        </is>
      </c>
      <c r="F228" s="4">
        <v>1.9950756581049236</v>
      </c>
      <c r="G228" s="6">
        <v>0.0018344504946505712</v>
      </c>
      <c r="H228" s="7">
        <f>SUM(CE228,CZ228,DU228,EP228,FK228,GF228,HA228,HV228,IQ228,JL228)</f>
        <v>0.0018344504946505714</v>
      </c>
      <c r="I228" s="7">
        <f>G228-H228</f>
        <v>-2.168404344971009e-19</v>
      </c>
      <c r="J228" s="5">
        <f>F228*(1+H228)</f>
        <v>1.9987355256327994</v>
      </c>
      <c r="K228" s="4">
        <v>1.9987355256327994</v>
      </c>
      <c r="L228" s="5">
        <f>K228-J228</f>
        <v>0</v>
      </c>
      <c r="M228" s="4">
        <v>1.877</v>
      </c>
      <c r="N228" s="4">
        <v>1.852</v>
      </c>
      <c r="O228" s="5">
        <f>M228/$M$3</f>
        <v>0.9586312563840654</v>
      </c>
      <c r="P228" s="5">
        <f>N228/$M$3</f>
        <v>0.9458631256384066</v>
      </c>
      <c r="Q228" s="7">
        <f>IFERROR(N228/M228-1,0)</f>
        <v>-0.01331912626531695</v>
      </c>
      <c r="R228" s="5">
        <f>SUM(IF(BM228="lease",BU228,0),IF(CH228="lease",CP228,0),IF(DC228="lease",DK228,0),IF(DX228="lease",EF228,0),IF(ES228="lease",FA228,0),IF(FN228="lease",FV228,0),IF(GI228="lease",GQ228,0),IF(HD228="lease",HL228,0),IF(HY228="lease",IG228,0),IF(IT228="lease",JB228,0))</f>
        <v>1.9950756581049232</v>
      </c>
      <c r="S228" s="5">
        <f>SUM(IF(BM228="lease",BV228,0),IF(CH228="lease",CQ228,0),IF(DC228="lease",DL228,0),IF(DX228="lease",EG228,0),IF(ES228="lease",FB228,0),IF(FN228="lease",FW228,0),IF(GI228="lease",GR228,0),IF(HD228="lease",HM228,0),IF(HY228="lease",IH228,0),IF(IT228="lease",JC228,0))</f>
        <v>1.998735525632799</v>
      </c>
      <c r="T228" s="5">
        <f>SUM(IF(BM228="keep",BU228,0),IF(CH228="keep",CP228,0),IF(DC228="keep",DK228,0),IF(DX228="keep",EF228,0),IF(ES228="keep",FA228,0),IF(FN228="keep",FV228,0),IF(GI228="keep",GQ228,0),IF(HD228="keep",HL228,0),IF(HY228="keep",IG228,0),IF(IT228="keep",JB228,0))</f>
        <v>0</v>
      </c>
      <c r="U228" s="5">
        <f>SUM(IF(BM228="keep",BV228,0),IF(CH228="keep",CQ228,0),IF(DC228="keep",DL228,0),IF(DX228="keep",EG228,0),IF(ES228="keep",FB228,0),IF(FN228="keep",FW228,0),IF(GI228="keep",GR228,0),IF(HD228="keep",HM228,0),IF(HY228="keep",IH228,0),IF(IT228="keep",JC228,0))</f>
        <v>0</v>
      </c>
      <c r="V228" s="5">
        <f>R228/O228</f>
        <v>2.081171091406201</v>
      </c>
      <c r="W228" s="5">
        <f>S228/P228</f>
        <v>2.1131339952424515</v>
      </c>
      <c r="X228" s="5">
        <f>T228/O228</f>
        <v>0</v>
      </c>
      <c r="Y228" s="5">
        <f>U228/P228</f>
        <v>0</v>
      </c>
      <c r="Z228" s="5">
        <f>V228+X228</f>
        <v>2.081171091406201</v>
      </c>
      <c r="AA228" s="7">
        <f>IFERROR(W228/V228-1,0)</f>
        <v>0.01535813368167327</v>
      </c>
      <c r="AB228" s="7">
        <f>IFERROR((W228-V228)/Z228,0)</f>
        <v>0.015358133681673287</v>
      </c>
      <c r="AC228" s="7">
        <f>IFERROR(Y228/X228-1,0)</f>
        <v>0</v>
      </c>
      <c r="AD228" s="7">
        <f>IFERROR((Y228-X228)/Z228,0)</f>
        <v>0</v>
      </c>
      <c r="AE228" s="7">
        <f>AB228+AD228</f>
        <v>0.015358133681673287</v>
      </c>
      <c r="AF228" s="7">
        <f>(1+Q228)*(1+AE228)-1</f>
        <v>0.0018344504946505857</v>
      </c>
      <c r="AG228" s="7">
        <f>G228-AF228</f>
        <v>-1.452830911130576e-17</v>
      </c>
      <c r="AH228" s="5">
        <f>SUM(IF(BM228="lease",BW228,0),IF(CH228="lease",CR228,0),IF(DC228="lease",DM228,0),IF(DX228="lease",EH228,0),IF(ES228="lease",FC228,0),IF(FN228="lease",FX228,0),IF(GI228="lease",GS228,0),IF(HD228="lease",HN228,0),IF(HY228="lease",II228,0),IF(IT228="lease",JD228,0))</f>
        <v>0.0036598675278758912</v>
      </c>
      <c r="AI228" s="5">
        <f>SUM(IF(BM228="keep",BW228,0),IF(CH228="keep",CR228,0),IF(DC228="keep",DM228,0),IF(DX228="keep",EH228,0),IF(ES228="keep",FC228,0),IF(FN228="keep",FX228,0),IF(GI228="keep",GS228,0),IF(HD228="keep",HN228,0),IF(HY228="keep",II228,0),IF(IT228="keep",JD228,0))</f>
        <v>0</v>
      </c>
      <c r="AJ228" s="5">
        <f>SUM(IF(BM228="lease",BX228,0),IF(CH228="lease",CS228,0),IF(DC228="lease",DN228,0),IF(DX228="lease",EI228,0),IF(ES228="lease",FD228,0),IF(FN228="lease",FY228,0),IF(GI228="lease",GT228,0),IF(HD228="lease",HO228,0),IF(HY228="lease",IJ228,0),IF(IT228="lease",JE228,0))</f>
        <v>0</v>
      </c>
      <c r="AK228" s="5">
        <f>SUM(IF(BM228="keep",BX228,0),IF(CH228="keep",CS228,0),IF(DC228="keep",DN228,0),IF(DX228="keep",EI228,0),IF(ES228="keep",FD228,0),IF(FN228="keep",FY228,0),IF(GI228="keep",GT228,0),IF(HD228="keep",HO228,0),IF(HY228="keep",IJ228,0),IF(IT228="keep",JE228,0))</f>
        <v>0</v>
      </c>
      <c r="AL228" s="5">
        <f>R228-S227</f>
        <v>2.220446049250313e-16</v>
      </c>
      <c r="AM228" s="5">
        <f>T228-U227</f>
        <v>0</v>
      </c>
      <c r="AN228" s="5">
        <f>AN227</f>
        <v>1</v>
      </c>
      <c r="AO228" s="5">
        <f>AO227+AH228</f>
        <v>0.9987355256327994</v>
      </c>
      <c r="AP228" s="5">
        <f>AP227+AL228</f>
        <v>8.881784197001252e-16</v>
      </c>
      <c r="AQ228" s="5">
        <f>AN228+AO228+AP228</f>
        <v>1.9987355256328003</v>
      </c>
      <c r="AR228" s="5">
        <f>S228-AQ228</f>
        <v>-1.3322676295501878e-15</v>
      </c>
      <c r="AS228" s="5">
        <f>AS227</f>
        <v>0</v>
      </c>
      <c r="AT228" s="5">
        <f>AT227+AI228</f>
        <v>0</v>
      </c>
      <c r="AU228" s="5">
        <f>AU227+AM228</f>
        <v>0</v>
      </c>
      <c r="AV228" s="5">
        <f>AS228+AT228+AU228</f>
        <v>0</v>
      </c>
      <c r="AW228" s="5">
        <f>U228-AV228</f>
        <v>0</v>
      </c>
      <c r="AX228" s="4">
        <v>1.9950756581049232</v>
      </c>
      <c r="AY228" s="4">
        <v>1.998735525632799</v>
      </c>
      <c r="AZ228" s="5">
        <f>S228-AY228</f>
        <v>0</v>
      </c>
      <c r="BA228" s="4">
        <v>0</v>
      </c>
      <c r="BB228" s="4">
        <v>0</v>
      </c>
      <c r="BC228" s="5">
        <f>U228-BB228</f>
        <v>0</v>
      </c>
      <c r="BD228" s="7">
        <f>SUM(IF(BL228="direct",CE228,0),IF(CG228="direct",CZ228,0),IF(DB228="direct",DU228,0),IF(DW228="direct",EP228,0),IF(ER228="direct",FK228,0),IF(FM228="direct",GF228,0),IF(GH228="direct",HA228,0),IF(HC228="direct",HV228,0),IF(HX228="direct",IQ228,0),IF(IS228="direct",JL228,0))</f>
        <v>0</v>
      </c>
      <c r="BE228" s="7">
        <f>SUM(IF(BL228="treasury",CE228,0),IF(CG228="treasury",CZ228,0),IF(DB228="treasury",DU228,0),IF(DW228="treasury",EP228,0),IF(ER228="treasury",FK228,0),IF(FM228="treasury",GF228,0),IF(GH228="treasury",HA228,0),IF(HC228="treasury",HV228,0),IF(HX228="treasury",IQ228,0),IF(IS228="treasury",JL228,0))</f>
        <v>0.00020931506849315067</v>
      </c>
      <c r="BF228" s="7">
        <f>SUM(IF(BL228="future",CE228,0),IF(CG228="future",CZ228,0),IF(DB228="future",DU228,0),IF(DW228="future",EP228,0),IF(ER228="future",FK228,0),IF(FM228="future",GF228,0),IF(GH228="future",HA228,0),IF(HC228="future",HV228,0),IF(HX228="future",IQ228,0),IF(IS228="future",JL228,0))</f>
        <v>0.0016251354261574208</v>
      </c>
      <c r="BG228" s="7">
        <f>SUM(IF(BL228="cash",CE228,0),IF(CG228="cash",CZ228,0),IF(DB228="cash",DU228,0),IF(DW228="cash",EP228,0),IF(ER228="cash",FK228,0),IF(FM228="cash",GF228,0),IF(GH228="cash",HA228,0),IF(HC228="cash",HV228,0),IF(HX228="cash",IQ228,0),IF(IS228="cash",JL228,0))</f>
        <v>0</v>
      </c>
      <c r="BH228" s="7">
        <f>SUM(BD228:BG228)</f>
        <v>0.0018344504946505714</v>
      </c>
      <c r="BI228" s="7">
        <f>G228-BH228</f>
        <v>-2.168404344971009e-19</v>
      </c>
      <c r="BJ228" s="9">
        <f>COUNTA(BK228,CF228,DA228,DV228,EQ228,FL228,GG228,HB228,HW228,IR228)</f>
        <v>6</v>
      </c>
      <c r="BK228" t="inlineStr">
        <is>
          <t xml:space="preserve">Treasury collateral</t>
        </is>
      </c>
      <c r="BL228" t="inlineStr">
        <is>
          <t xml:space="preserve">treasury</t>
        </is>
      </c>
      <c r="BM228" t="inlineStr">
        <is>
          <t xml:space="preserve">lease</t>
        </is>
      </c>
      <c r="BN228" t="inlineStr">
        <is>
          <t xml:space="preserve">long</t>
        </is>
      </c>
      <c r="BO228"/>
      <c r="BP228" s="4">
        <v>106.23308241910694</v>
      </c>
      <c r="BQ228" s="4">
        <v>106.25531860402975</v>
      </c>
      <c r="BR228" s="4">
        <v>0.018780172924231106</v>
      </c>
      <c r="BS228" s="6">
        <v>1</v>
      </c>
      <c r="BT228" s="4">
        <v>1.9950756581049236</v>
      </c>
      <c r="BU228" s="4">
        <v>1.9950756581049236</v>
      </c>
      <c r="BV228" s="4">
        <v>1.9954932575029494</v>
      </c>
      <c r="BW228" s="4">
        <v>0.00041759939802524975</v>
      </c>
      <c r="BX228" s="4">
        <v>5.199833619240479e-16</v>
      </c>
      <c r="BY228" s="4">
        <v>1.877</v>
      </c>
      <c r="BZ228" s="4">
        <v>1.852</v>
      </c>
      <c r="CA228" s="6"/>
      <c r="CB228" s="6"/>
      <c r="CC228" s="6"/>
      <c r="CD228" s="9">
        <v>25</v>
      </c>
      <c r="CE228" s="7">
        <f>IFERROR(BW228/F228,0)</f>
        <v>0.00020931506849315067</v>
      </c>
      <c r="CF228" t="inlineStr">
        <is>
          <t xml:space="preserve">SI69Z</t>
        </is>
      </c>
      <c r="CG228" t="inlineStr">
        <is>
          <t xml:space="preserve">future</t>
        </is>
      </c>
      <c r="CH228" t="inlineStr">
        <is>
          <t xml:space="preserve">lease</t>
        </is>
      </c>
      <c r="CI228" t="inlineStr">
        <is>
          <t xml:space="preserve">long</t>
        </is>
      </c>
      <c r="CJ228" t="inlineStr">
        <is>
          <t xml:space="preserve">regular</t>
        </is>
      </c>
      <c r="CK228" s="4">
        <v>1.8459999999999999</v>
      </c>
      <c r="CL228" s="4">
        <v>1.849</v>
      </c>
      <c r="CM228" s="4">
        <v>1.08075604269621</v>
      </c>
      <c r="CN228" s="6">
        <v>0.9999999983520824</v>
      </c>
      <c r="CO228" s="4">
        <v>1.9950756548172033</v>
      </c>
      <c r="CP228" s="4">
        <v>0</v>
      </c>
      <c r="CQ228" s="4">
        <v>0</v>
      </c>
      <c r="CR228" s="4">
        <v>0.0032422681280887614</v>
      </c>
      <c r="CS228" s="4">
        <v>-0.0032422681280887614</v>
      </c>
      <c r="CT228" s="4">
        <v>1.877</v>
      </c>
      <c r="CU228" s="4">
        <v>1.852</v>
      </c>
      <c r="CV228" s="6">
        <v>-0.0165157165689932</v>
      </c>
      <c r="CW228" s="6">
        <v>0.0764</v>
      </c>
      <c r="CX228" s="6">
        <v>0.3175294619073007</v>
      </c>
      <c r="CY228" s="9">
        <v>25</v>
      </c>
      <c r="CZ228" s="7">
        <f>IFERROR(CR228/F228,0)</f>
        <v>0.0016251354252743062</v>
      </c>
      <c r="DA228" t="inlineStr">
        <is>
          <t xml:space="preserve">SI70F</t>
        </is>
      </c>
      <c r="DB228" t="inlineStr">
        <is>
          <t xml:space="preserve">future</t>
        </is>
      </c>
      <c r="DC228" t="inlineStr">
        <is>
          <t xml:space="preserve">lease</t>
        </is>
      </c>
      <c r="DD228" t="inlineStr">
        <is>
          <t xml:space="preserve">long</t>
        </is>
      </c>
      <c r="DE228" t="inlineStr">
        <is>
          <t xml:space="preserve">regular</t>
        </is>
      </c>
      <c r="DF228" s="4">
        <v>1.8659999999999999</v>
      </c>
      <c r="DG228" s="4">
        <v>1.867</v>
      </c>
      <c r="DH228" s="4">
        <v>1.7618940322544516e-9</v>
      </c>
      <c r="DI228" s="6">
        <v>1.6479045548125784e-9</v>
      </c>
      <c r="DJ228" s="4">
        <v>3.2876942641868063e-9</v>
      </c>
      <c r="DK228" s="4">
        <v>0</v>
      </c>
      <c r="DL228" s="4">
        <v>0</v>
      </c>
      <c r="DM228" s="4">
        <v>1.7618940322545557e-12</v>
      </c>
      <c r="DN228" s="4">
        <v>-1.7618940322545557e-12</v>
      </c>
      <c r="DO228" s="4">
        <v>1.877</v>
      </c>
      <c r="DP228" s="4">
        <v>1.852</v>
      </c>
      <c r="DQ228" s="6">
        <v>-0.005860415556739551</v>
      </c>
      <c r="DR228" s="6">
        <v>0.0764</v>
      </c>
      <c r="DS228" s="6">
        <v>0.11529184869472613</v>
      </c>
      <c r="DT228" s="9">
        <v>55</v>
      </c>
      <c r="DU228" s="7">
        <f>IFERROR(DM228/F228,0)</f>
        <v>8.831214120110804e-13</v>
      </c>
      <c r="DV228" t="inlineStr">
        <is>
          <t xml:space="preserve">SI70H</t>
        </is>
      </c>
      <c r="DW228" t="inlineStr">
        <is>
          <t xml:space="preserve">future</t>
        </is>
      </c>
      <c r="DX228" t="inlineStr">
        <is>
          <t xml:space="preserve">lease</t>
        </is>
      </c>
      <c r="DY228" t="inlineStr">
        <is>
          <t xml:space="preserve">long</t>
        </is>
      </c>
      <c r="DZ228" t="inlineStr">
        <is>
          <t xml:space="preserve">regular</t>
        </is>
      </c>
      <c r="EA228" s="4">
        <v>1.91</v>
      </c>
      <c r="EB228" s="4">
        <v>1.909</v>
      </c>
      <c r="EC228" s="4">
        <v>1.3668036567640729e-14</v>
      </c>
      <c r="ED228" s="6">
        <v>1.3085192903907831e-14</v>
      </c>
      <c r="EE228" s="4">
        <v>2.6105949844193792e-14</v>
      </c>
      <c r="EF228" s="4">
        <v>0</v>
      </c>
      <c r="EG228" s="4">
        <v>0</v>
      </c>
      <c r="EH228" s="4">
        <v>-1.3668036567638858e-17</v>
      </c>
      <c r="EI228" s="4">
        <v>1.3668036567638858e-17</v>
      </c>
      <c r="EJ228" s="4">
        <v>1.877</v>
      </c>
      <c r="EK228" s="4">
        <v>1.852</v>
      </c>
      <c r="EL228" s="6">
        <v>0.01758124667021832</v>
      </c>
      <c r="EM228" s="6">
        <v>0.07695604395604395</v>
      </c>
      <c r="EN228" s="6">
        <v>0.020167061348701595</v>
      </c>
      <c r="EO228" s="9">
        <v>113</v>
      </c>
      <c r="EP228" s="7">
        <f>IFERROR(EH228/F228,0)</f>
        <v>-6.8508863371235814e-18</v>
      </c>
      <c r="EQ228" t="inlineStr">
        <is>
          <t xml:space="preserve">Lease cash / margin / financing</t>
        </is>
      </c>
      <c r="ER228" t="inlineStr">
        <is>
          <t xml:space="preserve">cash</t>
        </is>
      </c>
      <c r="ES228" t="inlineStr">
        <is>
          <t xml:space="preserve">lease</t>
        </is>
      </c>
      <c r="ET228" t="inlineStr">
        <is>
          <t xml:space="preserve">cash</t>
        </is>
      </c>
      <c r="EU228"/>
      <c r="EV228" s="4">
        <v>1</v>
      </c>
      <c r="EW228" s="4">
        <v>1</v>
      </c>
      <c r="EX228" s="4">
        <v>-4.440892098500626e-16</v>
      </c>
      <c r="EY228" s="6"/>
      <c r="EZ228" s="4">
        <v>-4.440892098500626e-16</v>
      </c>
      <c r="FA228" s="4">
        <v>-4.440892098500626e-16</v>
      </c>
      <c r="FB228" s="4">
        <v>0.0032422681298496774</v>
      </c>
      <c r="FC228" s="4">
        <v>0</v>
      </c>
      <c r="FD228" s="4">
        <v>0.0032422681298501215</v>
      </c>
      <c r="FE228" s="4">
        <v>1.877</v>
      </c>
      <c r="FF228" s="4">
        <v>1.852</v>
      </c>
      <c r="FG228" s="6"/>
      <c r="FH228" s="6"/>
      <c r="FI228" s="6"/>
      <c r="FJ228" s="9"/>
      <c r="FK228" s="7">
        <f>IFERROR(FC228/F228,0)</f>
        <v>0</v>
      </c>
      <c r="FL228" t="inlineStr">
        <is>
          <t xml:space="preserve">Keep cash / margin / financing</t>
        </is>
      </c>
      <c r="FM228" t="inlineStr">
        <is>
          <t xml:space="preserve">cash</t>
        </is>
      </c>
      <c r="FN228" t="inlineStr">
        <is>
          <t xml:space="preserve">keep</t>
        </is>
      </c>
      <c r="FO228" t="inlineStr">
        <is>
          <t xml:space="preserve">cash</t>
        </is>
      </c>
      <c r="FP228"/>
      <c r="FQ228" s="4">
        <v>1</v>
      </c>
      <c r="FR228" s="4">
        <v>1</v>
      </c>
      <c r="FS228" s="4">
        <v>0</v>
      </c>
      <c r="FT228" s="6"/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1.877</v>
      </c>
      <c r="GA228" s="4">
        <v>1.852</v>
      </c>
      <c r="GB228" s="6"/>
      <c r="GC228" s="6"/>
      <c r="GD228" s="6"/>
      <c r="GE228" s="9"/>
      <c r="GF228" s="7">
        <f>IFERROR(FX228/F228,0)</f>
        <v>0</v>
      </c>
      <c r="GG228"/>
      <c r="GH228"/>
      <c r="GI228"/>
      <c r="GJ228"/>
      <c r="GK228"/>
      <c r="GL228" s="4"/>
      <c r="GM228" s="4"/>
      <c r="GN228" s="4"/>
      <c r="GO228" s="6"/>
      <c r="GP228" s="4"/>
      <c r="GQ228" s="4"/>
      <c r="GR228" s="4"/>
      <c r="GS228" s="4"/>
      <c r="GT228" s="4"/>
      <c r="GU228" s="4"/>
      <c r="GV228" s="4"/>
      <c r="GW228" s="6"/>
      <c r="GX228" s="6"/>
      <c r="GY228" s="6"/>
      <c r="GZ228" s="9"/>
      <c r="HA228"/>
      <c r="HB228"/>
      <c r="HC228"/>
      <c r="HD228"/>
      <c r="HE228"/>
      <c r="HF228"/>
      <c r="HG228" s="4"/>
      <c r="HH228" s="4"/>
      <c r="HI228" s="4"/>
      <c r="HJ228" s="6"/>
      <c r="HK228" s="4"/>
      <c r="HL228" s="4"/>
      <c r="HM228" s="4"/>
      <c r="HN228" s="4"/>
      <c r="HO228" s="4"/>
      <c r="HP228" s="4"/>
      <c r="HQ228" s="4"/>
      <c r="HR228" s="6"/>
      <c r="HS228" s="6"/>
      <c r="HT228" s="6"/>
      <c r="HU228" s="9"/>
      <c r="HV228"/>
      <c r="HW228"/>
      <c r="HX228"/>
      <c r="HY228"/>
      <c r="HZ228"/>
      <c r="IA228"/>
      <c r="IB228" s="4"/>
      <c r="IC228" s="4"/>
      <c r="ID228" s="4"/>
      <c r="IE228" s="6"/>
      <c r="IF228" s="4"/>
      <c r="IG228" s="4"/>
      <c r="IH228" s="4"/>
      <c r="II228" s="4"/>
      <c r="IJ228" s="4"/>
      <c r="IK228" s="4"/>
      <c r="IL228" s="4"/>
      <c r="IM228" s="6"/>
      <c r="IN228" s="6"/>
      <c r="IO228" s="6"/>
      <c r="IP228" s="9"/>
      <c r="IQ228"/>
      <c r="IR228"/>
      <c r="IS228"/>
      <c r="IT228"/>
      <c r="IU228"/>
      <c r="IV228"/>
      <c r="IW228" s="4"/>
      <c r="IX228" s="4"/>
      <c r="IY228" s="4"/>
      <c r="IZ228" s="6"/>
      <c r="JA228" s="4"/>
      <c r="JB228" s="4"/>
      <c r="JC228" s="4"/>
      <c r="JD228" s="4"/>
      <c r="JE228" s="4"/>
      <c r="JF228" s="4"/>
      <c r="JG228" s="4"/>
      <c r="JH228" s="6"/>
      <c r="JI228" s="6"/>
      <c r="JJ228" s="6"/>
      <c r="JK228" s="9"/>
      <c r="JL228"/>
    </row>
    <row r="229">
      <c r="A229" s="8">
        <v>25542</v>
      </c>
      <c r="B229" s="8">
        <v>25545</v>
      </c>
      <c r="C229" s="9">
        <f>B229-A229</f>
        <v>3</v>
      </c>
      <c r="D229" s="8">
        <v>25542</v>
      </c>
      <c r="E229" t="inlineStr">
        <is>
          <t xml:space="preserve">positive</t>
        </is>
      </c>
      <c r="F229" s="4">
        <v>1.9987355256327994</v>
      </c>
      <c r="G229" s="6">
        <v>-0.01938586266899968</v>
      </c>
      <c r="H229" s="7">
        <f>SUM(CE229,CZ229,DU229,EP229,FK229,GF229,HA229,HV229,IQ229,JL229)</f>
        <v>-0.01938586266899968</v>
      </c>
      <c r="I229" s="7">
        <f>G229-H229</f>
        <v>0</v>
      </c>
      <c r="J229" s="5">
        <f>F229*(1+H229)</f>
        <v>1.9599883132212312</v>
      </c>
      <c r="K229" s="4">
        <v>1.9599883132212312</v>
      </c>
      <c r="L229" s="5">
        <f>K229-J229</f>
        <v>0</v>
      </c>
      <c r="M229" s="4">
        <v>1.852</v>
      </c>
      <c r="N229" s="4">
        <v>1.862</v>
      </c>
      <c r="O229" s="5">
        <f>M229/$M$3</f>
        <v>0.9458631256384066</v>
      </c>
      <c r="P229" s="5">
        <f>N229/$M$3</f>
        <v>0.9509703779366702</v>
      </c>
      <c r="Q229" s="7">
        <f>IFERROR(N229/M229-1,0)</f>
        <v>0.005399568034557323</v>
      </c>
      <c r="R229" s="5">
        <f>SUM(IF(BM229="lease",BU229,0),IF(CH229="lease",CP229,0),IF(DC229="lease",DK229,0),IF(DX229="lease",EF229,0),IF(ES229="lease",FA229,0),IF(FN229="lease",FV229,0),IF(GI229="lease",GQ229,0),IF(HD229="lease",HL229,0),IF(HY229="lease",IG229,0),IF(IT229="lease",JB229,0))</f>
        <v>1.998735525632799</v>
      </c>
      <c r="S229" s="5">
        <f>SUM(IF(BM229="lease",BV229,0),IF(CH229="lease",CQ229,0),IF(DC229="lease",DL229,0),IF(DX229="lease",EG229,0),IF(ES229="lease",FB229,0),IF(FN229="lease",FW229,0),IF(GI229="lease",GR229,0),IF(HD229="lease",HM229,0),IF(HY229="lease",IH229,0),IF(IT229="lease",JC229,0))</f>
        <v>1.9599883132212308</v>
      </c>
      <c r="T229" s="5">
        <f>SUM(IF(BM229="keep",BU229,0),IF(CH229="keep",CP229,0),IF(DC229="keep",DK229,0),IF(DX229="keep",EF229,0),IF(ES229="keep",FA229,0),IF(FN229="keep",FV229,0),IF(GI229="keep",GQ229,0),IF(HD229="keep",HL229,0),IF(HY229="keep",IG229,0),IF(IT229="keep",JB229,0))</f>
        <v>0</v>
      </c>
      <c r="U229" s="5">
        <f>SUM(IF(BM229="keep",BV229,0),IF(CH229="keep",CQ229,0),IF(DC229="keep",DL229,0),IF(DX229="keep",EG229,0),IF(ES229="keep",FB229,0),IF(FN229="keep",FW229,0),IF(GI229="keep",GR229,0),IF(HD229="keep",HM229,0),IF(HY229="keep",IH229,0),IF(IT229="keep",JC229,0))</f>
        <v>0</v>
      </c>
      <c r="V229" s="5">
        <f>R229/O229</f>
        <v>2.1131339952424515</v>
      </c>
      <c r="W229" s="5">
        <f>S229/P229</f>
        <v>2.0610403422594894</v>
      </c>
      <c r="X229" s="5">
        <f>T229/O229</f>
        <v>0</v>
      </c>
      <c r="Y229" s="5">
        <f>U229/P229</f>
        <v>0</v>
      </c>
      <c r="Z229" s="5">
        <f>V229+X229</f>
        <v>2.1131339952424515</v>
      </c>
      <c r="AA229" s="7">
        <f>IFERROR(W229/V229-1,0)</f>
        <v>-0.024652318830820308</v>
      </c>
      <c r="AB229" s="7">
        <f>IFERROR((W229-V229)/Z229,0)</f>
        <v>-0.024652318830820332</v>
      </c>
      <c r="AC229" s="7">
        <f>IFERROR(Y229/X229-1,0)</f>
        <v>0</v>
      </c>
      <c r="AD229" s="7">
        <f>IFERROR((Y229-X229)/Z229,0)</f>
        <v>0</v>
      </c>
      <c r="AE229" s="7">
        <f>AB229+AD229</f>
        <v>-0.024652318830820332</v>
      </c>
      <c r="AF229" s="7">
        <f>(1+Q229)*(1+AE229)-1</f>
        <v>-0.019385862668999554</v>
      </c>
      <c r="AG229" s="7">
        <f>G229-AF229</f>
        <v>-1.249000902703301e-16</v>
      </c>
      <c r="AH229" s="5">
        <f>SUM(IF(BM229="lease",BW229,0),IF(CH229="lease",CR229,0),IF(DC229="lease",DM229,0),IF(DX229="lease",EH229,0),IF(ES229="lease",FC229,0),IF(FN229="lease",FX229,0),IF(GI229="lease",GS229,0),IF(HD229="lease",HN229,0),IF(HY229="lease",II229,0),IF(IT229="lease",JD229,0))</f>
        <v>-0.03874721241156834</v>
      </c>
      <c r="AI229" s="5">
        <f>SUM(IF(BM229="keep",BW229,0),IF(CH229="keep",CR229,0),IF(DC229="keep",DM229,0),IF(DX229="keep",EH229,0),IF(ES229="keep",FC229,0),IF(FN229="keep",FX229,0),IF(GI229="keep",GS229,0),IF(HD229="keep",HN229,0),IF(HY229="keep",II229,0),IF(IT229="keep",JD229,0))</f>
        <v>0</v>
      </c>
      <c r="AJ229" s="5">
        <f>SUM(IF(BM229="lease",BX229,0),IF(CH229="lease",CS229,0),IF(DC229="lease",DN229,0),IF(DX229="lease",EI229,0),IF(ES229="lease",FD229,0),IF(FN229="lease",FY229,0),IF(GI229="lease",GT229,0),IF(HD229="lease",HO229,0),IF(HY229="lease",IJ229,0),IF(IT229="lease",JE229,0))</f>
        <v>0</v>
      </c>
      <c r="AK229" s="5">
        <f>SUM(IF(BM229="keep",BX229,0),IF(CH229="keep",CS229,0),IF(DC229="keep",DN229,0),IF(DX229="keep",EI229,0),IF(ES229="keep",FD229,0),IF(FN229="keep",FY229,0),IF(GI229="keep",GT229,0),IF(HD229="keep",HO229,0),IF(HY229="keep",IJ229,0),IF(IT229="keep",JE229,0))</f>
        <v>0</v>
      </c>
      <c r="AL229" s="5">
        <f>R229-S228</f>
        <v>0</v>
      </c>
      <c r="AM229" s="5">
        <f>T229-U228</f>
        <v>0</v>
      </c>
      <c r="AN229" s="5">
        <f>AN228</f>
        <v>1</v>
      </c>
      <c r="AO229" s="5">
        <f>AO228+AH229</f>
        <v>0.9599883132212311</v>
      </c>
      <c r="AP229" s="5">
        <f>AP228+AL229</f>
        <v>8.881784197001252e-16</v>
      </c>
      <c r="AQ229" s="5">
        <f>AN229+AO229+AP229</f>
        <v>1.9599883132212321</v>
      </c>
      <c r="AR229" s="5">
        <f>S229-AQ229</f>
        <v>-1.3322676295501878e-15</v>
      </c>
      <c r="AS229" s="5">
        <f>AS228</f>
        <v>0</v>
      </c>
      <c r="AT229" s="5">
        <f>AT228+AI229</f>
        <v>0</v>
      </c>
      <c r="AU229" s="5">
        <f>AU228+AM229</f>
        <v>0</v>
      </c>
      <c r="AV229" s="5">
        <f>AS229+AT229+AU229</f>
        <v>0</v>
      </c>
      <c r="AW229" s="5">
        <f>U229-AV229</f>
        <v>0</v>
      </c>
      <c r="AX229" s="4">
        <v>1.998735525632799</v>
      </c>
      <c r="AY229" s="4">
        <v>1.9599883132212306</v>
      </c>
      <c r="AZ229" s="5">
        <f>S229-AY229</f>
        <v>2.220446049250313e-16</v>
      </c>
      <c r="BA229" s="4">
        <v>0</v>
      </c>
      <c r="BB229" s="4">
        <v>0</v>
      </c>
      <c r="BC229" s="5">
        <f>U229-BB229</f>
        <v>0</v>
      </c>
      <c r="BD229" s="7">
        <f>SUM(IF(BL229="direct",CE229,0),IF(CG229="direct",CZ229,0),IF(DB229="direct",DU229,0),IF(DW229="direct",EP229,0),IF(ER229="direct",FK229,0),IF(FM229="direct",GF229,0),IF(GH229="direct",HA229,0),IF(HC229="direct",HV229,0),IF(HX229="direct",IQ229,0),IF(IS229="direct",JL229,0))</f>
        <v>0.00174511444199051</v>
      </c>
      <c r="BE229" s="7">
        <f>SUM(IF(BL229="treasury",CE229,0),IF(CG229="treasury",CZ229,0),IF(DB229="treasury",DU229,0),IF(DW229="treasury",EP229,0),IF(ER229="treasury",FK229,0),IF(FM229="treasury",GF229,0),IF(GH229="treasury",HA229,0),IF(HC229="treasury",HV229,0),IF(HX229="treasury",IQ229,0),IF(IS229="treasury",JL229,0))</f>
        <v>0.0004258868540489424</v>
      </c>
      <c r="BF229" s="7">
        <f>SUM(IF(BL229="future",CE229,0),IF(CG229="future",CZ229,0),IF(DB229="future",DU229,0),IF(DW229="future",EP229,0),IF(ER229="future",FK229,0),IF(FM229="future",GF229,0),IF(GH229="future",HA229,0),IF(HC229="future",HV229,0),IF(HX229="future",IQ229,0),IF(IS229="future",JL229,0))</f>
        <v>-0.02155686396503913</v>
      </c>
      <c r="BG229" s="7">
        <f>SUM(IF(BL229="cash",CE229,0),IF(CG229="cash",CZ229,0),IF(DB229="cash",DU229,0),IF(DW229="cash",EP229,0),IF(ER229="cash",FK229,0),IF(FM229="cash",GF229,0),IF(GH229="cash",HA229,0),IF(HC229="cash",HV229,0),IF(HX229="cash",IQ229,0),IF(IS229="cash",JL229,0))</f>
        <v>0</v>
      </c>
      <c r="BH229" s="7">
        <f>SUM(BD229:BG229)</f>
        <v>-0.01938586266899968</v>
      </c>
      <c r="BI229" s="7">
        <f>G229-BH229</f>
        <v>0</v>
      </c>
      <c r="BJ229" s="9">
        <f>COUNTA(BK229,CF229,DA229,DV229,EQ229,FL229,GG229,HB229,HW229,IR229)</f>
        <v>6</v>
      </c>
      <c r="BK229" t="inlineStr">
        <is>
          <t xml:space="preserve">Direct commodity holding</t>
        </is>
      </c>
      <c r="BL229" t="inlineStr">
        <is>
          <t xml:space="preserve">direct</t>
        </is>
      </c>
      <c r="BM229" t="inlineStr">
        <is>
          <t xml:space="preserve">lease</t>
        </is>
      </c>
      <c r="BN229" t="inlineStr">
        <is>
          <t xml:space="preserve">long</t>
        </is>
      </c>
      <c r="BO229"/>
      <c r="BP229" s="4">
        <v>1.852</v>
      </c>
      <c r="BQ229" s="4">
        <v>1.862</v>
      </c>
      <c r="BR229" s="4">
        <v>0.3501346533790096</v>
      </c>
      <c r="BS229" s="6">
        <v>0.32442980561554124</v>
      </c>
      <c r="BT229" s="4">
        <v>0.6484493780579258</v>
      </c>
      <c r="BU229" s="4">
        <v>0.6484493780579258</v>
      </c>
      <c r="BV229" s="4">
        <v>0.651950724591716</v>
      </c>
      <c r="BW229" s="4">
        <v>0.0034880222315012916</v>
      </c>
      <c r="BX229" s="4">
        <v>0.000013324302288903432</v>
      </c>
      <c r="BY229" s="4">
        <v>1.852</v>
      </c>
      <c r="BZ229" s="4">
        <v>1.862</v>
      </c>
      <c r="CA229" s="6"/>
      <c r="CB229" s="6"/>
      <c r="CC229" s="6"/>
      <c r="CD229" s="9"/>
      <c r="CE229" s="7">
        <f>IFERROR(BW229/F229,0)</f>
        <v>0.00174511444199051</v>
      </c>
      <c r="CF229" t="inlineStr">
        <is>
          <t xml:space="preserve">Treasury collateral</t>
        </is>
      </c>
      <c r="CG229" t="inlineStr">
        <is>
          <t xml:space="preserve">treasury</t>
        </is>
      </c>
      <c r="CH229" t="inlineStr">
        <is>
          <t xml:space="preserve">lease</t>
        </is>
      </c>
      <c r="CI229" t="inlineStr">
        <is>
          <t xml:space="preserve">long</t>
        </is>
      </c>
      <c r="CJ229"/>
      <c r="CK229" s="4">
        <v>106.25531860402975</v>
      </c>
      <c r="CL229" s="4">
        <v>106.32230312131958</v>
      </c>
      <c r="CM229" s="4">
        <v>0.01270793937955087</v>
      </c>
      <c r="CN229" s="6">
        <v>0.6755701943844588</v>
      </c>
      <c r="CO229" s="4">
        <v>1.3502861475748738</v>
      </c>
      <c r="CP229" s="4">
        <v>1.3502861475748738</v>
      </c>
      <c r="CQ229" s="4">
        <v>1.3511373827599613</v>
      </c>
      <c r="CR229" s="4">
        <v>0.0008512351850876122</v>
      </c>
      <c r="CS229" s="4">
        <v>-5.0090140368830305e-17</v>
      </c>
      <c r="CT229" s="4">
        <v>1.852</v>
      </c>
      <c r="CU229" s="4">
        <v>1.862</v>
      </c>
      <c r="CV229" s="6"/>
      <c r="CW229" s="6"/>
      <c r="CX229" s="6"/>
      <c r="CY229" s="9">
        <v>24</v>
      </c>
      <c r="CZ229" s="7">
        <f>IFERROR(CR229/F229,0)</f>
        <v>0.0004258868540489424</v>
      </c>
      <c r="DA229" t="inlineStr">
        <is>
          <t xml:space="preserve">SI69Z</t>
        </is>
      </c>
      <c r="DB229" t="inlineStr">
        <is>
          <t xml:space="preserve">future</t>
        </is>
      </c>
      <c r="DC229" t="inlineStr">
        <is>
          <t xml:space="preserve">lease</t>
        </is>
      </c>
      <c r="DD229" t="inlineStr">
        <is>
          <t xml:space="preserve">long</t>
        </is>
      </c>
      <c r="DE229" t="inlineStr">
        <is>
          <t xml:space="preserve">regular</t>
        </is>
      </c>
      <c r="DF229" s="4">
        <v>1.849</v>
      </c>
      <c r="DG229" s="4">
        <v>1.79</v>
      </c>
      <c r="DH229" s="4">
        <v>0.7302791483773557</v>
      </c>
      <c r="DI229" s="6">
        <v>0.6755701932711835</v>
      </c>
      <c r="DJ229" s="4">
        <v>1.3502861453497308</v>
      </c>
      <c r="DK229" s="4">
        <v>0</v>
      </c>
      <c r="DL229" s="4">
        <v>0</v>
      </c>
      <c r="DM229" s="4">
        <v>-0.04308646975426391</v>
      </c>
      <c r="DN229" s="4">
        <v>0.04308646975426391</v>
      </c>
      <c r="DO229" s="4">
        <v>1.852</v>
      </c>
      <c r="DP229" s="4">
        <v>1.862</v>
      </c>
      <c r="DQ229" s="6">
        <v>-0.0016198704103672634</v>
      </c>
      <c r="DR229" s="6">
        <v>0.07670000000000002</v>
      </c>
      <c r="DS229" s="6">
        <v>0.1013355291576688</v>
      </c>
      <c r="DT229" s="9">
        <v>24</v>
      </c>
      <c r="DU229" s="7">
        <f>IFERROR(DM229/F229,0)</f>
        <v>-0.021556863928069093</v>
      </c>
      <c r="DV229" t="inlineStr">
        <is>
          <t xml:space="preserve">SI70F</t>
        </is>
      </c>
      <c r="DW229" t="inlineStr">
        <is>
          <t xml:space="preserve">future</t>
        </is>
      </c>
      <c r="DX229" t="inlineStr">
        <is>
          <t xml:space="preserve">lease</t>
        </is>
      </c>
      <c r="DY229" t="inlineStr">
        <is>
          <t xml:space="preserve">long</t>
        </is>
      </c>
      <c r="DZ229" t="inlineStr">
        <is>
          <t xml:space="preserve">regular</t>
        </is>
      </c>
      <c r="EA229" s="4">
        <v>1.867</v>
      </c>
      <c r="EB229" s="4">
        <v>1.805</v>
      </c>
      <c r="EC229" s="4">
        <v>1.1918279019223315e-9</v>
      </c>
      <c r="ED229" s="6">
        <v>1.1132752004217831e-9</v>
      </c>
      <c r="EE229" s="4">
        <v>2.225142692888993e-9</v>
      </c>
      <c r="EF229" s="4">
        <v>0</v>
      </c>
      <c r="EG229" s="4">
        <v>0</v>
      </c>
      <c r="EH229" s="4">
        <v>-7.389332991918449e-11</v>
      </c>
      <c r="EI229" s="4">
        <v>7.389332991918449e-11</v>
      </c>
      <c r="EJ229" s="4">
        <v>1.852</v>
      </c>
      <c r="EK229" s="4">
        <v>1.862</v>
      </c>
      <c r="EL229" s="6">
        <v>0.008099352051835762</v>
      </c>
      <c r="EM229" s="6">
        <v>0.07670000000000002</v>
      </c>
      <c r="EN229" s="6">
        <v>0.021954379649628653</v>
      </c>
      <c r="EO229" s="9">
        <v>54</v>
      </c>
      <c r="EP229" s="7">
        <f>IFERROR(EH229/F229,0)</f>
        <v>-3.69700387927962e-11</v>
      </c>
      <c r="EQ229" t="inlineStr">
        <is>
          <t xml:space="preserve">Lease cash / margin / financing</t>
        </is>
      </c>
      <c r="ER229" t="inlineStr">
        <is>
          <t xml:space="preserve">cash</t>
        </is>
      </c>
      <c r="ES229" t="inlineStr">
        <is>
          <t xml:space="preserve">lease</t>
        </is>
      </c>
      <c r="ET229" t="inlineStr">
        <is>
          <t xml:space="preserve">cash</t>
        </is>
      </c>
      <c r="EU229"/>
      <c r="EV229" s="4">
        <v>1</v>
      </c>
      <c r="EW229" s="4">
        <v>1</v>
      </c>
      <c r="EX229" s="4">
        <v>-4.440892098500626e-16</v>
      </c>
      <c r="EY229" s="6"/>
      <c r="EZ229" s="4">
        <v>-4.440892098500626e-16</v>
      </c>
      <c r="FA229" s="4">
        <v>-4.440892098500626e-16</v>
      </c>
      <c r="FB229" s="4">
        <v>-0.04309979413044654</v>
      </c>
      <c r="FC229" s="4">
        <v>0</v>
      </c>
      <c r="FD229" s="4">
        <v>-0.043099794130446095</v>
      </c>
      <c r="FE229" s="4">
        <v>1.852</v>
      </c>
      <c r="FF229" s="4">
        <v>1.862</v>
      </c>
      <c r="FG229" s="6"/>
      <c r="FH229" s="6"/>
      <c r="FI229" s="6"/>
      <c r="FJ229" s="9"/>
      <c r="FK229" s="7">
        <f>IFERROR(FC229/F229,0)</f>
        <v>0</v>
      </c>
      <c r="FL229" t="inlineStr">
        <is>
          <t xml:space="preserve">Keep cash / margin / financing</t>
        </is>
      </c>
      <c r="FM229" t="inlineStr">
        <is>
          <t xml:space="preserve">cash</t>
        </is>
      </c>
      <c r="FN229" t="inlineStr">
        <is>
          <t xml:space="preserve">keep</t>
        </is>
      </c>
      <c r="FO229" t="inlineStr">
        <is>
          <t xml:space="preserve">cash</t>
        </is>
      </c>
      <c r="FP229"/>
      <c r="FQ229" s="4">
        <v>1</v>
      </c>
      <c r="FR229" s="4">
        <v>1</v>
      </c>
      <c r="FS229" s="4">
        <v>0</v>
      </c>
      <c r="FT229" s="6"/>
      <c r="FU229" s="4">
        <v>0</v>
      </c>
      <c r="FV229" s="4">
        <v>0</v>
      </c>
      <c r="FW229" s="4">
        <v>0</v>
      </c>
      <c r="FX229" s="4">
        <v>0</v>
      </c>
      <c r="FY229" s="4">
        <v>0</v>
      </c>
      <c r="FZ229" s="4">
        <v>1.852</v>
      </c>
      <c r="GA229" s="4">
        <v>1.862</v>
      </c>
      <c r="GB229" s="6"/>
      <c r="GC229" s="6"/>
      <c r="GD229" s="6"/>
      <c r="GE229" s="9"/>
      <c r="GF229" s="7">
        <f>IFERROR(FX229/F229,0)</f>
        <v>0</v>
      </c>
      <c r="GG229"/>
      <c r="GH229"/>
      <c r="GI229"/>
      <c r="GJ229"/>
      <c r="GK229"/>
      <c r="GL229" s="4"/>
      <c r="GM229" s="4"/>
      <c r="GN229" s="4"/>
      <c r="GO229" s="6"/>
      <c r="GP229" s="4"/>
      <c r="GQ229" s="4"/>
      <c r="GR229" s="4"/>
      <c r="GS229" s="4"/>
      <c r="GT229" s="4"/>
      <c r="GU229" s="4"/>
      <c r="GV229" s="4"/>
      <c r="GW229" s="6"/>
      <c r="GX229" s="6"/>
      <c r="GY229" s="6"/>
      <c r="GZ229" s="9"/>
      <c r="HA229"/>
      <c r="HB229"/>
      <c r="HC229"/>
      <c r="HD229"/>
      <c r="HE229"/>
      <c r="HF229"/>
      <c r="HG229" s="4"/>
      <c r="HH229" s="4"/>
      <c r="HI229" s="4"/>
      <c r="HJ229" s="6"/>
      <c r="HK229" s="4"/>
      <c r="HL229" s="4"/>
      <c r="HM229" s="4"/>
      <c r="HN229" s="4"/>
      <c r="HO229" s="4"/>
      <c r="HP229" s="4"/>
      <c r="HQ229" s="4"/>
      <c r="HR229" s="6"/>
      <c r="HS229" s="6"/>
      <c r="HT229" s="6"/>
      <c r="HU229" s="9"/>
      <c r="HV229"/>
      <c r="HW229"/>
      <c r="HX229"/>
      <c r="HY229"/>
      <c r="HZ229"/>
      <c r="IA229"/>
      <c r="IB229" s="4"/>
      <c r="IC229" s="4"/>
      <c r="ID229" s="4"/>
      <c r="IE229" s="6"/>
      <c r="IF229" s="4"/>
      <c r="IG229" s="4"/>
      <c r="IH229" s="4"/>
      <c r="II229" s="4"/>
      <c r="IJ229" s="4"/>
      <c r="IK229" s="4"/>
      <c r="IL229" s="4"/>
      <c r="IM229" s="6"/>
      <c r="IN229" s="6"/>
      <c r="IO229" s="6"/>
      <c r="IP229" s="9"/>
      <c r="IQ229"/>
      <c r="IR229"/>
      <c r="IS229"/>
      <c r="IT229"/>
      <c r="IU229"/>
      <c r="IV229"/>
      <c r="IW229" s="4"/>
      <c r="IX229" s="4"/>
      <c r="IY229" s="4"/>
      <c r="IZ229" s="6"/>
      <c r="JA229" s="4"/>
      <c r="JB229" s="4"/>
      <c r="JC229" s="4"/>
      <c r="JD229" s="4"/>
      <c r="JE229" s="4"/>
      <c r="JF229" s="4"/>
      <c r="JG229" s="4"/>
      <c r="JH229" s="6"/>
      <c r="JI229" s="6"/>
      <c r="JJ229" s="6"/>
      <c r="JK229" s="9"/>
      <c r="JL229"/>
    </row>
    <row r="230">
      <c r="A230" s="8">
        <v>25545</v>
      </c>
      <c r="B230" s="8">
        <v>25546</v>
      </c>
      <c r="C230" s="9">
        <f>B230-A230</f>
        <v>1</v>
      </c>
      <c r="D230" s="8">
        <v>25545</v>
      </c>
      <c r="E230" t="inlineStr">
        <is>
          <t xml:space="preserve">positive</t>
        </is>
      </c>
      <c r="F230" s="4">
        <v>1.9599883132212312</v>
      </c>
      <c r="G230" s="6">
        <v>-0.027163890717073653</v>
      </c>
      <c r="H230" s="7">
        <f>SUM(CE230,CZ230,DU230,EP230,FK230,GF230,HA230,HV230,IQ230,JL230)</f>
        <v>-0.027163890717073653</v>
      </c>
      <c r="I230" s="7">
        <f>G230-H230</f>
        <v>0</v>
      </c>
      <c r="J230" s="5">
        <f>F230*(1+H230)</f>
        <v>1.9067474048741482</v>
      </c>
      <c r="K230" s="4">
        <v>1.9067474048741482</v>
      </c>
      <c r="L230" s="5">
        <f>K230-J230</f>
        <v>0</v>
      </c>
      <c r="M230" s="4">
        <v>1.862</v>
      </c>
      <c r="N230" s="4">
        <v>1.812</v>
      </c>
      <c r="O230" s="5">
        <f>M230/$M$3</f>
        <v>0.9509703779366702</v>
      </c>
      <c r="P230" s="5">
        <f>N230/$M$3</f>
        <v>0.9254341164453525</v>
      </c>
      <c r="Q230" s="7">
        <f>IFERROR(N230/M230-1,0)</f>
        <v>-0.02685284640171859</v>
      </c>
      <c r="R230" s="5">
        <f>SUM(IF(BM230="lease",BU230,0),IF(CH230="lease",CP230,0),IF(DC230="lease",DK230,0),IF(DX230="lease",EF230,0),IF(ES230="lease",FA230,0),IF(FN230="lease",FV230,0),IF(GI230="lease",GQ230,0),IF(HD230="lease",HL230,0),IF(HY230="lease",IG230,0),IF(IT230="lease",JB230,0))</f>
        <v>1.9599883132212306</v>
      </c>
      <c r="S230" s="5">
        <f>SUM(IF(BM230="lease",BV230,0),IF(CH230="lease",CQ230,0),IF(DC230="lease",DL230,0),IF(DX230="lease",EG230,0),IF(ES230="lease",FB230,0),IF(FN230="lease",FW230,0),IF(GI230="lease",GR230,0),IF(HD230="lease",HM230,0),IF(HY230="lease",IH230,0),IF(IT230="lease",JC230,0))</f>
        <v>1.9067474048741475</v>
      </c>
      <c r="T230" s="5">
        <f>SUM(IF(BM230="keep",BU230,0),IF(CH230="keep",CP230,0),IF(DC230="keep",DK230,0),IF(DX230="keep",EF230,0),IF(ES230="keep",FA230,0),IF(FN230="keep",FV230,0),IF(GI230="keep",GQ230,0),IF(HD230="keep",HL230,0),IF(HY230="keep",IG230,0),IF(IT230="keep",JB230,0))</f>
        <v>0</v>
      </c>
      <c r="U230" s="5">
        <f>SUM(IF(BM230="keep",BV230,0),IF(CH230="keep",CQ230,0),IF(DC230="keep",DL230,0),IF(DX230="keep",EG230,0),IF(ES230="keep",FB230,0),IF(FN230="keep",FW230,0),IF(GI230="keep",GR230,0),IF(HD230="keep",HM230,0),IF(HY230="keep",IH230,0),IF(IT230="keep",JC230,0))</f>
        <v>0</v>
      </c>
      <c r="V230" s="5">
        <f>R230/O230</f>
        <v>2.0610403422594894</v>
      </c>
      <c r="W230" s="5">
        <f>S230/P230</f>
        <v>2.060381577673058</v>
      </c>
      <c r="X230" s="5">
        <f>T230/O230</f>
        <v>0</v>
      </c>
      <c r="Y230" s="5">
        <f>U230/P230</f>
        <v>0</v>
      </c>
      <c r="Z230" s="5">
        <f>V230+X230</f>
        <v>2.0610403422594894</v>
      </c>
      <c r="AA230" s="7">
        <f>IFERROR(W230/V230-1,0)</f>
        <v>-0.0003196272158890734</v>
      </c>
      <c r="AB230" s="7">
        <f>IFERROR((W230-V230)/Z230,0)</f>
        <v>-0.00031962721588911454</v>
      </c>
      <c r="AC230" s="7">
        <f>IFERROR(Y230/X230-1,0)</f>
        <v>0</v>
      </c>
      <c r="AD230" s="7">
        <f>IFERROR((Y230-X230)/Z230,0)</f>
        <v>0</v>
      </c>
      <c r="AE230" s="7">
        <f>AB230+AD230</f>
        <v>-0.00031962721588911454</v>
      </c>
      <c r="AF230" s="7">
        <f>(1+Q230)*(1+AE230)-1</f>
        <v>-0.02716389071707359</v>
      </c>
      <c r="AG230" s="7">
        <f>G230-AF230</f>
        <v>-6.245004513516506e-17</v>
      </c>
      <c r="AH230" s="5">
        <f>SUM(IF(BM230="lease",BW230,0),IF(CH230="lease",CR230,0),IF(DC230="lease",DM230,0),IF(DX230="lease",EH230,0),IF(ES230="lease",FC230,0),IF(FN230="lease",FX230,0),IF(GI230="lease",GS230,0),IF(HD230="lease",HN230,0),IF(HY230="lease",II230,0),IF(IT230="lease",JD230,0))</f>
        <v>-0.05324090834708305</v>
      </c>
      <c r="AI230" s="5">
        <f>SUM(IF(BM230="keep",BW230,0),IF(CH230="keep",CR230,0),IF(DC230="keep",DM230,0),IF(DX230="keep",EH230,0),IF(ES230="keep",FC230,0),IF(FN230="keep",FX230,0),IF(GI230="keep",GS230,0),IF(HD230="keep",HN230,0),IF(HY230="keep",II230,0),IF(IT230="keep",JD230,0))</f>
        <v>0</v>
      </c>
      <c r="AJ230" s="5">
        <f>SUM(IF(BM230="lease",BX230,0),IF(CH230="lease",CS230,0),IF(DC230="lease",DN230,0),IF(DX230="lease",EI230,0),IF(ES230="lease",FD230,0),IF(FN230="lease",FY230,0),IF(GI230="lease",GT230,0),IF(HD230="lease",HO230,0),IF(HY230="lease",IJ230,0),IF(IT230="lease",JE230,0))</f>
        <v>0</v>
      </c>
      <c r="AK230" s="5">
        <f>SUM(IF(BM230="keep",BX230,0),IF(CH230="keep",CS230,0),IF(DC230="keep",DN230,0),IF(DX230="keep",EI230,0),IF(ES230="keep",FD230,0),IF(FN230="keep",FY230,0),IF(GI230="keep",GT230,0),IF(HD230="keep",HO230,0),IF(HY230="keep",IJ230,0),IF(IT230="keep",JE230,0))</f>
        <v>0</v>
      </c>
      <c r="AL230" s="5">
        <f>R230-S229</f>
        <v>-2.220446049250313e-16</v>
      </c>
      <c r="AM230" s="5">
        <f>T230-U229</f>
        <v>0</v>
      </c>
      <c r="AN230" s="5">
        <f>AN229</f>
        <v>1</v>
      </c>
      <c r="AO230" s="5">
        <f>AO229+AH230</f>
        <v>0.9067474048741481</v>
      </c>
      <c r="AP230" s="5">
        <f>AP229+AL230</f>
        <v>6.661338147750939e-16</v>
      </c>
      <c r="AQ230" s="5">
        <f>AN230+AO230+AP230</f>
        <v>1.9067474048741488</v>
      </c>
      <c r="AR230" s="5">
        <f>S230-AQ230</f>
        <v>-1.3322676295501878e-15</v>
      </c>
      <c r="AS230" s="5">
        <f>AS229</f>
        <v>0</v>
      </c>
      <c r="AT230" s="5">
        <f>AT229+AI230</f>
        <v>0</v>
      </c>
      <c r="AU230" s="5">
        <f>AU229+AM230</f>
        <v>0</v>
      </c>
      <c r="AV230" s="5">
        <f>AS230+AT230+AU230</f>
        <v>0</v>
      </c>
      <c r="AW230" s="5">
        <f>U230-AV230</f>
        <v>0</v>
      </c>
      <c r="AX230" s="4">
        <v>1.9599883132212306</v>
      </c>
      <c r="AY230" s="4">
        <v>1.9067474048741475</v>
      </c>
      <c r="AZ230" s="5">
        <f>S230-AY230</f>
        <v>0</v>
      </c>
      <c r="BA230" s="4">
        <v>0</v>
      </c>
      <c r="BB230" s="4">
        <v>0</v>
      </c>
      <c r="BC230" s="5">
        <f>U230-BB230</f>
        <v>0</v>
      </c>
      <c r="BD230" s="7">
        <f>SUM(IF(BL230="direct",CE230,0),IF(CG230="direct",CZ230,0),IF(DB230="direct",DU230,0),IF(DW230="direct",EP230,0),IF(ER230="direct",FK230,0),IF(FM230="direct",GF230,0),IF(GH230="direct",HA230,0),IF(HC230="direct",HV230,0),IF(HX230="direct",IQ230,0),IF(IS230="direct",JL230,0))</f>
        <v>0</v>
      </c>
      <c r="BE230" s="7">
        <f>SUM(IF(BL230="treasury",CE230,0),IF(CG230="treasury",CZ230,0),IF(DB230="treasury",DU230,0),IF(DW230="treasury",EP230,0),IF(ER230="treasury",FK230,0),IF(FM230="treasury",GF230,0),IF(GH230="treasury",HA230,0),IF(HC230="treasury",HV230,0),IF(HX230="treasury",IQ230,0),IF(IS230="treasury",JL230,0))</f>
        <v>0.00021041095890410956</v>
      </c>
      <c r="BF230" s="7">
        <f>SUM(IF(BL230="future",CE230,0),IF(CG230="future",CZ230,0),IF(DB230="future",DU230,0),IF(DW230="future",EP230,0),IF(ER230="future",FK230,0),IF(FM230="future",GF230,0),IF(GH230="future",HA230,0),IF(HC230="future",HV230,0),IF(HX230="future",IQ230,0),IF(IS230="future",JL230,0))</f>
        <v>-0.027374301675977764</v>
      </c>
      <c r="BG230" s="7">
        <f>SUM(IF(BL230="cash",CE230,0),IF(CG230="cash",CZ230,0),IF(DB230="cash",DU230,0),IF(DW230="cash",EP230,0),IF(ER230="cash",FK230,0),IF(FM230="cash",GF230,0),IF(GH230="cash",HA230,0),IF(HC230="cash",HV230,0),IF(HX230="cash",IQ230,0),IF(IS230="cash",JL230,0))</f>
        <v>0</v>
      </c>
      <c r="BH230" s="7">
        <f>SUM(BD230:BG230)</f>
        <v>-0.027163890717073653</v>
      </c>
      <c r="BI230" s="7">
        <f>G230-BH230</f>
        <v>0</v>
      </c>
      <c r="BJ230" s="9">
        <f>COUNTA(BK230,CF230,DA230,DV230,EQ230,FL230,GG230,HB230,HW230,IR230)</f>
        <v>4</v>
      </c>
      <c r="BK230" t="inlineStr">
        <is>
          <t xml:space="preserve">Treasury collateral</t>
        </is>
      </c>
      <c r="BL230" t="inlineStr">
        <is>
          <t xml:space="preserve">treasury</t>
        </is>
      </c>
      <c r="BM230" t="inlineStr">
        <is>
          <t xml:space="preserve">lease</t>
        </is>
      </c>
      <c r="BN230" t="inlineStr">
        <is>
          <t xml:space="preserve">long</t>
        </is>
      </c>
      <c r="BO230"/>
      <c r="BP230" s="4">
        <v>106.32230312131958</v>
      </c>
      <c r="BQ230" s="4">
        <v>106.34467449907223</v>
      </c>
      <c r="BR230" s="4">
        <v>0.018434404218885075</v>
      </c>
      <c r="BS230" s="6">
        <v>1</v>
      </c>
      <c r="BT230" s="4">
        <v>1.9599883132212312</v>
      </c>
      <c r="BU230" s="4">
        <v>1.9599883132212312</v>
      </c>
      <c r="BV230" s="4">
        <v>1.960400716241657</v>
      </c>
      <c r="BW230" s="4">
        <v>0.0004124030204257275</v>
      </c>
      <c r="BX230" s="4">
        <v>5.0306980803327406e-17</v>
      </c>
      <c r="BY230" s="4">
        <v>1.862</v>
      </c>
      <c r="BZ230" s="4">
        <v>1.812</v>
      </c>
      <c r="CA230" s="6"/>
      <c r="CB230" s="6"/>
      <c r="CC230" s="6"/>
      <c r="CD230" s="9">
        <v>21</v>
      </c>
      <c r="CE230" s="7">
        <f>IFERROR(BW230/F230,0)</f>
        <v>0.00021041095890410956</v>
      </c>
      <c r="CF230" t="inlineStr">
        <is>
          <t xml:space="preserve">SI69Z</t>
        </is>
      </c>
      <c r="CG230" t="inlineStr">
        <is>
          <t xml:space="preserve">future</t>
        </is>
      </c>
      <c r="CH230" t="inlineStr">
        <is>
          <t xml:space="preserve">lease</t>
        </is>
      </c>
      <c r="CI230" t="inlineStr">
        <is>
          <t xml:space="preserve">long</t>
        </is>
      </c>
      <c r="CJ230" t="inlineStr">
        <is>
          <t xml:space="preserve">regular</t>
        </is>
      </c>
      <c r="CK230" s="4">
        <v>1.79</v>
      </c>
      <c r="CL230" s="4">
        <v>1.7409999999999999</v>
      </c>
      <c r="CM230" s="4">
        <v>1.0949655381124197</v>
      </c>
      <c r="CN230" s="6">
        <v>1</v>
      </c>
      <c r="CO230" s="4">
        <v>1.9599883132212312</v>
      </c>
      <c r="CP230" s="4">
        <v>0</v>
      </c>
      <c r="CQ230" s="4">
        <v>0</v>
      </c>
      <c r="CR230" s="4">
        <v>-0.05365331136750878</v>
      </c>
      <c r="CS230" s="4">
        <v>0.05365331136750878</v>
      </c>
      <c r="CT230" s="4">
        <v>1.862</v>
      </c>
      <c r="CU230" s="4">
        <v>1.812</v>
      </c>
      <c r="CV230" s="6">
        <v>-0.03866809881847477</v>
      </c>
      <c r="CW230" s="6">
        <v>0.0768</v>
      </c>
      <c r="CX230" s="6">
        <v>0.748888384225871</v>
      </c>
      <c r="CY230" s="9">
        <v>21</v>
      </c>
      <c r="CZ230" s="7">
        <f>IFERROR(CR230/F230,0)</f>
        <v>-0.027374301675977764</v>
      </c>
      <c r="DA230" t="inlineStr">
        <is>
          <t xml:space="preserve">Lease cash / margin / financing</t>
        </is>
      </c>
      <c r="DB230" t="inlineStr">
        <is>
          <t xml:space="preserve">cash</t>
        </is>
      </c>
      <c r="DC230" t="inlineStr">
        <is>
          <t xml:space="preserve">lease</t>
        </is>
      </c>
      <c r="DD230" t="inlineStr">
        <is>
          <t xml:space="preserve">cash</t>
        </is>
      </c>
      <c r="DE230"/>
      <c r="DF230" s="4">
        <v>1</v>
      </c>
      <c r="DG230" s="4">
        <v>1</v>
      </c>
      <c r="DH230" s="4">
        <v>-6.661338147750939e-16</v>
      </c>
      <c r="DI230" s="6"/>
      <c r="DJ230" s="4">
        <v>-6.661338147750939e-16</v>
      </c>
      <c r="DK230" s="4">
        <v>-6.661338147750939e-16</v>
      </c>
      <c r="DL230" s="4">
        <v>-0.0536533113675095</v>
      </c>
      <c r="DM230" s="4">
        <v>0</v>
      </c>
      <c r="DN230" s="4">
        <v>-0.05365331136750883</v>
      </c>
      <c r="DO230" s="4">
        <v>1.862</v>
      </c>
      <c r="DP230" s="4">
        <v>1.812</v>
      </c>
      <c r="DQ230" s="6"/>
      <c r="DR230" s="6"/>
      <c r="DS230" s="6"/>
      <c r="DT230" s="9"/>
      <c r="DU230" s="7">
        <f>IFERROR(DM230/F230,0)</f>
        <v>0</v>
      </c>
      <c r="DV230" t="inlineStr">
        <is>
          <t xml:space="preserve">Keep cash / margin / financing</t>
        </is>
      </c>
      <c r="DW230" t="inlineStr">
        <is>
          <t xml:space="preserve">cash</t>
        </is>
      </c>
      <c r="DX230" t="inlineStr">
        <is>
          <t xml:space="preserve">keep</t>
        </is>
      </c>
      <c r="DY230" t="inlineStr">
        <is>
          <t xml:space="preserve">cash</t>
        </is>
      </c>
      <c r="DZ230"/>
      <c r="EA230" s="4">
        <v>1</v>
      </c>
      <c r="EB230" s="4">
        <v>1</v>
      </c>
      <c r="EC230" s="4">
        <v>0</v>
      </c>
      <c r="ED230" s="6"/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1.862</v>
      </c>
      <c r="EK230" s="4">
        <v>1.812</v>
      </c>
      <c r="EL230" s="6"/>
      <c r="EM230" s="6"/>
      <c r="EN230" s="6"/>
      <c r="EO230" s="9"/>
      <c r="EP230" s="7">
        <f>IFERROR(EH230/F230,0)</f>
        <v>0</v>
      </c>
      <c r="EQ230"/>
      <c r="ER230"/>
      <c r="ES230"/>
      <c r="ET230"/>
      <c r="EU230"/>
      <c r="EV230" s="4"/>
      <c r="EW230" s="4"/>
      <c r="EX230" s="4"/>
      <c r="EY230" s="6"/>
      <c r="EZ230" s="4"/>
      <c r="FA230" s="4"/>
      <c r="FB230" s="4"/>
      <c r="FC230" s="4"/>
      <c r="FD230" s="4"/>
      <c r="FE230" s="4"/>
      <c r="FF230" s="4"/>
      <c r="FG230" s="6"/>
      <c r="FH230" s="6"/>
      <c r="FI230" s="6"/>
      <c r="FJ230" s="9"/>
      <c r="FK230"/>
      <c r="FL230"/>
      <c r="FM230"/>
      <c r="FN230"/>
      <c r="FO230"/>
      <c r="FP230"/>
      <c r="FQ230" s="4"/>
      <c r="FR230" s="4"/>
      <c r="FS230" s="4"/>
      <c r="FT230" s="6"/>
      <c r="FU230" s="4"/>
      <c r="FV230" s="4"/>
      <c r="FW230" s="4"/>
      <c r="FX230" s="4"/>
      <c r="FY230" s="4"/>
      <c r="FZ230" s="4"/>
      <c r="GA230" s="4"/>
      <c r="GB230" s="6"/>
      <c r="GC230" s="6"/>
      <c r="GD230" s="6"/>
      <c r="GE230" s="9"/>
      <c r="GF230"/>
      <c r="GG230"/>
      <c r="GH230"/>
      <c r="GI230"/>
      <c r="GJ230"/>
      <c r="GK230"/>
      <c r="GL230" s="4"/>
      <c r="GM230" s="4"/>
      <c r="GN230" s="4"/>
      <c r="GO230" s="6"/>
      <c r="GP230" s="4"/>
      <c r="GQ230" s="4"/>
      <c r="GR230" s="4"/>
      <c r="GS230" s="4"/>
      <c r="GT230" s="4"/>
      <c r="GU230" s="4"/>
      <c r="GV230" s="4"/>
      <c r="GW230" s="6"/>
      <c r="GX230" s="6"/>
      <c r="GY230" s="6"/>
      <c r="GZ230" s="9"/>
      <c r="HA230"/>
      <c r="HB230"/>
      <c r="HC230"/>
      <c r="HD230"/>
      <c r="HE230"/>
      <c r="HF230"/>
      <c r="HG230" s="4"/>
      <c r="HH230" s="4"/>
      <c r="HI230" s="4"/>
      <c r="HJ230" s="6"/>
      <c r="HK230" s="4"/>
      <c r="HL230" s="4"/>
      <c r="HM230" s="4"/>
      <c r="HN230" s="4"/>
      <c r="HO230" s="4"/>
      <c r="HP230" s="4"/>
      <c r="HQ230" s="4"/>
      <c r="HR230" s="6"/>
      <c r="HS230" s="6"/>
      <c r="HT230" s="6"/>
      <c r="HU230" s="9"/>
      <c r="HV230"/>
      <c r="HW230"/>
      <c r="HX230"/>
      <c r="HY230"/>
      <c r="HZ230"/>
      <c r="IA230"/>
      <c r="IB230" s="4"/>
      <c r="IC230" s="4"/>
      <c r="ID230" s="4"/>
      <c r="IE230" s="6"/>
      <c r="IF230" s="4"/>
      <c r="IG230" s="4"/>
      <c r="IH230" s="4"/>
      <c r="II230" s="4"/>
      <c r="IJ230" s="4"/>
      <c r="IK230" s="4"/>
      <c r="IL230" s="4"/>
      <c r="IM230" s="6"/>
      <c r="IN230" s="6"/>
      <c r="IO230" s="6"/>
      <c r="IP230" s="9"/>
      <c r="IQ230"/>
      <c r="IR230"/>
      <c r="IS230"/>
      <c r="IT230"/>
      <c r="IU230"/>
      <c r="IV230"/>
      <c r="IW230" s="4"/>
      <c r="IX230" s="4"/>
      <c r="IY230" s="4"/>
      <c r="IZ230" s="6"/>
      <c r="JA230" s="4"/>
      <c r="JB230" s="4"/>
      <c r="JC230" s="4"/>
      <c r="JD230" s="4"/>
      <c r="JE230" s="4"/>
      <c r="JF230" s="4"/>
      <c r="JG230" s="4"/>
      <c r="JH230" s="6"/>
      <c r="JI230" s="6"/>
      <c r="JJ230" s="6"/>
      <c r="JK230" s="9"/>
      <c r="JL230"/>
    </row>
    <row r="231">
      <c r="A231" s="8">
        <v>25546</v>
      </c>
      <c r="B231" s="8">
        <v>25547</v>
      </c>
      <c r="C231" s="9">
        <f>B231-A231</f>
        <v>1</v>
      </c>
      <c r="D231" s="8">
        <v>25546</v>
      </c>
      <c r="E231" t="inlineStr">
        <is>
          <t xml:space="preserve">positive</t>
        </is>
      </c>
      <c r="F231" s="4">
        <v>1.9067474048741482</v>
      </c>
      <c r="G231" s="6">
        <v>-0.0015083530957643698</v>
      </c>
      <c r="H231" s="7">
        <f>SUM(CE231,CZ231,DU231,EP231,FK231,GF231,HA231,HV231,IQ231,JL231)</f>
        <v>-0.0015083530957643698</v>
      </c>
      <c r="I231" s="7">
        <f>G231-H231</f>
        <v>0</v>
      </c>
      <c r="J231" s="5">
        <f>F231*(1+H231)</f>
        <v>1.9038713565231655</v>
      </c>
      <c r="K231" s="4">
        <v>1.9038713565231655</v>
      </c>
      <c r="L231" s="5">
        <f>K231-J231</f>
        <v>0</v>
      </c>
      <c r="M231" s="4">
        <v>1.812</v>
      </c>
      <c r="N231" s="4">
        <v>1.758</v>
      </c>
      <c r="O231" s="5">
        <f>M231/$M$3</f>
        <v>0.9254341164453525</v>
      </c>
      <c r="P231" s="5">
        <f>N231/$M$3</f>
        <v>0.8978549540347294</v>
      </c>
      <c r="Q231" s="7">
        <f>IFERROR(N231/M231-1,0)</f>
        <v>-0.0298013245033113</v>
      </c>
      <c r="R231" s="5">
        <f>SUM(IF(BM231="lease",BU231,0),IF(CH231="lease",CP231,0),IF(DC231="lease",DK231,0),IF(DX231="lease",EF231,0),IF(ES231="lease",FA231,0),IF(FN231="lease",FV231,0),IF(GI231="lease",GQ231,0),IF(HD231="lease",HL231,0),IF(HY231="lease",IG231,0),IF(IT231="lease",JB231,0))</f>
        <v>1.9067474048741475</v>
      </c>
      <c r="S231" s="5">
        <f>SUM(IF(BM231="lease",BV231,0),IF(CH231="lease",CQ231,0),IF(DC231="lease",DL231,0),IF(DX231="lease",EG231,0),IF(ES231="lease",FB231,0),IF(FN231="lease",FW231,0),IF(GI231="lease",GR231,0),IF(HD231="lease",HM231,0),IF(HY231="lease",IH231,0),IF(IT231="lease",JC231,0))</f>
        <v>1.9038713565231649</v>
      </c>
      <c r="T231" s="5">
        <f>SUM(IF(BM231="keep",BU231,0),IF(CH231="keep",CP231,0),IF(DC231="keep",DK231,0),IF(DX231="keep",EF231,0),IF(ES231="keep",FA231,0),IF(FN231="keep",FV231,0),IF(GI231="keep",GQ231,0),IF(HD231="keep",HL231,0),IF(HY231="keep",IG231,0),IF(IT231="keep",JB231,0))</f>
        <v>0</v>
      </c>
      <c r="U231" s="5">
        <f>SUM(IF(BM231="keep",BV231,0),IF(CH231="keep",CQ231,0),IF(DC231="keep",DL231,0),IF(DX231="keep",EG231,0),IF(ES231="keep",FB231,0),IF(FN231="keep",FW231,0),IF(GI231="keep",GR231,0),IF(HD231="keep",HM231,0),IF(HY231="keep",IH231,0),IF(IT231="keep",JC231,0))</f>
        <v>0</v>
      </c>
      <c r="V231" s="5">
        <f>R231/O231</f>
        <v>2.060381577673058</v>
      </c>
      <c r="W231" s="5">
        <f>S231/P231</f>
        <v>2.1204665051606124</v>
      </c>
      <c r="X231" s="5">
        <f>T231/O231</f>
        <v>0</v>
      </c>
      <c r="Y231" s="5">
        <f>U231/P231</f>
        <v>0</v>
      </c>
      <c r="Z231" s="5">
        <f>V231+X231</f>
        <v>2.060381577673058</v>
      </c>
      <c r="AA231" s="7">
        <f>IFERROR(W231/V231-1,0)</f>
        <v>0.029162038788665967</v>
      </c>
      <c r="AB231" s="7">
        <f>IFERROR((W231-V231)/Z231,0)</f>
        <v>0.029162038788666002</v>
      </c>
      <c r="AC231" s="7">
        <f>IFERROR(Y231/X231-1,0)</f>
        <v>0</v>
      </c>
      <c r="AD231" s="7">
        <f>IFERROR((Y231-X231)/Z231,0)</f>
        <v>0</v>
      </c>
      <c r="AE231" s="7">
        <f>AB231+AD231</f>
        <v>0.029162038788666002</v>
      </c>
      <c r="AF231" s="7">
        <f>(1+Q231)*(1+AE231)-1</f>
        <v>-0.0015083530957644697</v>
      </c>
      <c r="AG231" s="7">
        <f>G231-AF231</f>
        <v>9.996344030316351e-17</v>
      </c>
      <c r="AH231" s="5">
        <f>SUM(IF(BM231="lease",BW231,0),IF(CH231="lease",CR231,0),IF(DC231="lease",DM231,0),IF(DX231="lease",EH231,0),IF(ES231="lease",FC231,0),IF(FN231="lease",FX231,0),IF(GI231="lease",GS231,0),IF(HD231="lease",HN231,0),IF(HY231="lease",II231,0),IF(IT231="lease",JD231,0))</f>
        <v>-0.0028760483509825997</v>
      </c>
      <c r="AI231" s="5">
        <f>SUM(IF(BM231="keep",BW231,0),IF(CH231="keep",CR231,0),IF(DC231="keep",DM231,0),IF(DX231="keep",EH231,0),IF(ES231="keep",FC231,0),IF(FN231="keep",FX231,0),IF(GI231="keep",GS231,0),IF(HD231="keep",HN231,0),IF(HY231="keep",II231,0),IF(IT231="keep",JD231,0))</f>
        <v>0</v>
      </c>
      <c r="AJ231" s="5">
        <f>SUM(IF(BM231="lease",BX231,0),IF(CH231="lease",CS231,0),IF(DC231="lease",DN231,0),IF(DX231="lease",EI231,0),IF(ES231="lease",FD231,0),IF(FN231="lease",FY231,0),IF(GI231="lease",GT231,0),IF(HD231="lease",HO231,0),IF(HY231="lease",IJ231,0),IF(IT231="lease",JE231,0))</f>
        <v>0</v>
      </c>
      <c r="AK231" s="5">
        <f>SUM(IF(BM231="keep",BX231,0),IF(CH231="keep",CS231,0),IF(DC231="keep",DN231,0),IF(DX231="keep",EI231,0),IF(ES231="keep",FD231,0),IF(FN231="keep",FY231,0),IF(GI231="keep",GT231,0),IF(HD231="keep",HO231,0),IF(HY231="keep",IJ231,0),IF(IT231="keep",JE231,0))</f>
        <v>0</v>
      </c>
      <c r="AL231" s="5">
        <f>R231-S230</f>
        <v>0</v>
      </c>
      <c r="AM231" s="5">
        <f>T231-U230</f>
        <v>0</v>
      </c>
      <c r="AN231" s="5">
        <f>AN230</f>
        <v>1</v>
      </c>
      <c r="AO231" s="5">
        <f>AO230+AH231</f>
        <v>0.9038713565231654</v>
      </c>
      <c r="AP231" s="5">
        <f>AP230+AL231</f>
        <v>6.661338147750939e-16</v>
      </c>
      <c r="AQ231" s="5">
        <f>AN231+AO231+AP231</f>
        <v>1.903871356523166</v>
      </c>
      <c r="AR231" s="5">
        <f>S231-AQ231</f>
        <v>-1.1102230246251565e-15</v>
      </c>
      <c r="AS231" s="5">
        <f>AS230</f>
        <v>0</v>
      </c>
      <c r="AT231" s="5">
        <f>AT230+AI231</f>
        <v>0</v>
      </c>
      <c r="AU231" s="5">
        <f>AU230+AM231</f>
        <v>0</v>
      </c>
      <c r="AV231" s="5">
        <f>AS231+AT231+AU231</f>
        <v>0</v>
      </c>
      <c r="AW231" s="5">
        <f>U231-AV231</f>
        <v>0</v>
      </c>
      <c r="AX231" s="4">
        <v>1.9067474048741475</v>
      </c>
      <c r="AY231" s="4">
        <v>1.9038713565231649</v>
      </c>
      <c r="AZ231" s="5">
        <f>S231-AY231</f>
        <v>0</v>
      </c>
      <c r="BA231" s="4">
        <v>0</v>
      </c>
      <c r="BB231" s="4">
        <v>0</v>
      </c>
      <c r="BC231" s="5">
        <f>U231-BB231</f>
        <v>0</v>
      </c>
      <c r="BD231" s="7">
        <f>SUM(IF(BL231="direct",CE231,0),IF(CG231="direct",CZ231,0),IF(DB231="direct",DU231,0),IF(DW231="direct",EP231,0),IF(ER231="direct",FK231,0),IF(FM231="direct",GF231,0),IF(GH231="direct",HA231,0),IF(HC231="direct",HV231,0),IF(HX231="direct",IQ231,0),IF(IS231="direct",JL231,0))</f>
        <v>0</v>
      </c>
      <c r="BE231" s="7">
        <f>SUM(IF(BL231="treasury",CE231,0),IF(CG231="treasury",CZ231,0),IF(DB231="treasury",DU231,0),IF(DW231="treasury",EP231,0),IF(ER231="treasury",FK231,0),IF(FM231="treasury",GF231,0),IF(GH231="treasury",HA231,0),IF(HC231="treasury",HV231,0),IF(HX231="treasury",IQ231,0),IF(IS231="treasury",JL231,0))</f>
        <v>0.0002147945205479452</v>
      </c>
      <c r="BF231" s="7">
        <f>SUM(IF(BL231="future",CE231,0),IF(CG231="future",CZ231,0),IF(DB231="future",DU231,0),IF(DW231="future",EP231,0),IF(ER231="future",FK231,0),IF(FM231="future",GF231,0),IF(GH231="future",HA231,0),IF(HC231="future",HV231,0),IF(HX231="future",IQ231,0),IF(IS231="future",JL231,0))</f>
        <v>-0.001723147616312315</v>
      </c>
      <c r="BG231" s="7">
        <f>SUM(IF(BL231="cash",CE231,0),IF(CG231="cash",CZ231,0),IF(DB231="cash",DU231,0),IF(DW231="cash",EP231,0),IF(ER231="cash",FK231,0),IF(FM231="cash",GF231,0),IF(GH231="cash",HA231,0),IF(HC231="cash",HV231,0),IF(HX231="cash",IQ231,0),IF(IS231="cash",JL231,0))</f>
        <v>0</v>
      </c>
      <c r="BH231" s="7">
        <f>SUM(BD231:BG231)</f>
        <v>-0.0015083530957643698</v>
      </c>
      <c r="BI231" s="7">
        <f>G231-BH231</f>
        <v>0</v>
      </c>
      <c r="BJ231" s="9">
        <f>COUNTA(BK231,CF231,DA231,DV231,EQ231,FL231,GG231,HB231,HW231,IR231)</f>
        <v>4</v>
      </c>
      <c r="BK231" t="inlineStr">
        <is>
          <t xml:space="preserve">Treasury collateral</t>
        </is>
      </c>
      <c r="BL231" t="inlineStr">
        <is>
          <t xml:space="preserve">treasury</t>
        </is>
      </c>
      <c r="BM231" t="inlineStr">
        <is>
          <t xml:space="preserve">lease</t>
        </is>
      </c>
      <c r="BN231" t="inlineStr">
        <is>
          <t xml:space="preserve">long</t>
        </is>
      </c>
      <c r="BO231"/>
      <c r="BP231" s="4">
        <v>106.34467449907223</v>
      </c>
      <c r="BQ231" s="4">
        <v>106.36751675244409</v>
      </c>
      <c r="BR231" s="4">
        <v>0.017929881433703415</v>
      </c>
      <c r="BS231" s="6">
        <v>1</v>
      </c>
      <c r="BT231" s="4">
        <v>1.9067474048741482</v>
      </c>
      <c r="BU231" s="4">
        <v>1.9067474048741482</v>
      </c>
      <c r="BV231" s="4">
        <v>1.9071569637687842</v>
      </c>
      <c r="BW231" s="4">
        <v>0.00040955889463598137</v>
      </c>
      <c r="BX231" s="4">
        <v>2.710505431213761e-17</v>
      </c>
      <c r="BY231" s="4">
        <v>1.812</v>
      </c>
      <c r="BZ231" s="4">
        <v>1.758</v>
      </c>
      <c r="CA231" s="6"/>
      <c r="CB231" s="6"/>
      <c r="CC231" s="6"/>
      <c r="CD231" s="9">
        <v>20</v>
      </c>
      <c r="CE231" s="7">
        <f>IFERROR(BW231/F231,0)</f>
        <v>0.0002147945205479452</v>
      </c>
      <c r="CF231" t="inlineStr">
        <is>
          <t xml:space="preserve">SI69Z</t>
        </is>
      </c>
      <c r="CG231" t="inlineStr">
        <is>
          <t xml:space="preserve">future</t>
        </is>
      </c>
      <c r="CH231" t="inlineStr">
        <is>
          <t xml:space="preserve">lease</t>
        </is>
      </c>
      <c r="CI231" t="inlineStr">
        <is>
          <t xml:space="preserve">long</t>
        </is>
      </c>
      <c r="CJ231" t="inlineStr">
        <is>
          <t xml:space="preserve">regular</t>
        </is>
      </c>
      <c r="CK231" s="4">
        <v>1.7409999999999999</v>
      </c>
      <c r="CL231" s="4">
        <v>1.7380000000000002</v>
      </c>
      <c r="CM231" s="4">
        <v>1.0952024152062885</v>
      </c>
      <c r="CN231" s="6">
        <v>1</v>
      </c>
      <c r="CO231" s="4">
        <v>1.9067474048741482</v>
      </c>
      <c r="CP231" s="4">
        <v>0</v>
      </c>
      <c r="CQ231" s="4">
        <v>0</v>
      </c>
      <c r="CR231" s="4">
        <v>-0.003285607245618581</v>
      </c>
      <c r="CS231" s="4">
        <v>0.003285607245618581</v>
      </c>
      <c r="CT231" s="4">
        <v>1.812</v>
      </c>
      <c r="CU231" s="4">
        <v>1.758</v>
      </c>
      <c r="CV231" s="6">
        <v>-0.03918322295805754</v>
      </c>
      <c r="CW231" s="6">
        <v>0.0784</v>
      </c>
      <c r="CX231" s="6">
        <v>0.7934938189845502</v>
      </c>
      <c r="CY231" s="9">
        <v>20</v>
      </c>
      <c r="CZ231" s="7">
        <f>IFERROR(CR231/F231,0)</f>
        <v>-0.001723147616312315</v>
      </c>
      <c r="DA231" t="inlineStr">
        <is>
          <t xml:space="preserve">Lease cash / margin / financing</t>
        </is>
      </c>
      <c r="DB231" t="inlineStr">
        <is>
          <t xml:space="preserve">cash</t>
        </is>
      </c>
      <c r="DC231" t="inlineStr">
        <is>
          <t xml:space="preserve">lease</t>
        </is>
      </c>
      <c r="DD231" t="inlineStr">
        <is>
          <t xml:space="preserve">cash</t>
        </is>
      </c>
      <c r="DE231"/>
      <c r="DF231" s="4">
        <v>1</v>
      </c>
      <c r="DG231" s="4">
        <v>1</v>
      </c>
      <c r="DH231" s="4">
        <v>-6.661338147750939e-16</v>
      </c>
      <c r="DI231" s="6"/>
      <c r="DJ231" s="4">
        <v>-6.661338147750939e-16</v>
      </c>
      <c r="DK231" s="4">
        <v>-6.661338147750939e-16</v>
      </c>
      <c r="DL231" s="4">
        <v>-0.0032856072456192743</v>
      </c>
      <c r="DM231" s="4">
        <v>0</v>
      </c>
      <c r="DN231" s="4">
        <v>-0.003285607245618608</v>
      </c>
      <c r="DO231" s="4">
        <v>1.812</v>
      </c>
      <c r="DP231" s="4">
        <v>1.758</v>
      </c>
      <c r="DQ231" s="6"/>
      <c r="DR231" s="6"/>
      <c r="DS231" s="6"/>
      <c r="DT231" s="9"/>
      <c r="DU231" s="7">
        <f>IFERROR(DM231/F231,0)</f>
        <v>0</v>
      </c>
      <c r="DV231" t="inlineStr">
        <is>
          <t xml:space="preserve">Keep cash / margin / financing</t>
        </is>
      </c>
      <c r="DW231" t="inlineStr">
        <is>
          <t xml:space="preserve">cash</t>
        </is>
      </c>
      <c r="DX231" t="inlineStr">
        <is>
          <t xml:space="preserve">keep</t>
        </is>
      </c>
      <c r="DY231" t="inlineStr">
        <is>
          <t xml:space="preserve">cash</t>
        </is>
      </c>
      <c r="DZ231"/>
      <c r="EA231" s="4">
        <v>1</v>
      </c>
      <c r="EB231" s="4">
        <v>1</v>
      </c>
      <c r="EC231" s="4">
        <v>0</v>
      </c>
      <c r="ED231" s="6"/>
      <c r="EE231" s="4">
        <v>0</v>
      </c>
      <c r="EF231" s="4">
        <v>0</v>
      </c>
      <c r="EG231" s="4">
        <v>0</v>
      </c>
      <c r="EH231" s="4">
        <v>0</v>
      </c>
      <c r="EI231" s="4">
        <v>0</v>
      </c>
      <c r="EJ231" s="4">
        <v>1.812</v>
      </c>
      <c r="EK231" s="4">
        <v>1.758</v>
      </c>
      <c r="EL231" s="6"/>
      <c r="EM231" s="6"/>
      <c r="EN231" s="6"/>
      <c r="EO231" s="9"/>
      <c r="EP231" s="7">
        <f>IFERROR(EH231/F231,0)</f>
        <v>0</v>
      </c>
      <c r="EQ231"/>
      <c r="ER231"/>
      <c r="ES231"/>
      <c r="ET231"/>
      <c r="EU231"/>
      <c r="EV231" s="4"/>
      <c r="EW231" s="4"/>
      <c r="EX231" s="4"/>
      <c r="EY231" s="6"/>
      <c r="EZ231" s="4"/>
      <c r="FA231" s="4"/>
      <c r="FB231" s="4"/>
      <c r="FC231" s="4"/>
      <c r="FD231" s="4"/>
      <c r="FE231" s="4"/>
      <c r="FF231" s="4"/>
      <c r="FG231" s="6"/>
      <c r="FH231" s="6"/>
      <c r="FI231" s="6"/>
      <c r="FJ231" s="9"/>
      <c r="FK231"/>
      <c r="FL231"/>
      <c r="FM231"/>
      <c r="FN231"/>
      <c r="FO231"/>
      <c r="FP231"/>
      <c r="FQ231" s="4"/>
      <c r="FR231" s="4"/>
      <c r="FS231" s="4"/>
      <c r="FT231" s="6"/>
      <c r="FU231" s="4"/>
      <c r="FV231" s="4"/>
      <c r="FW231" s="4"/>
      <c r="FX231" s="4"/>
      <c r="FY231" s="4"/>
      <c r="FZ231" s="4"/>
      <c r="GA231" s="4"/>
      <c r="GB231" s="6"/>
      <c r="GC231" s="6"/>
      <c r="GD231" s="6"/>
      <c r="GE231" s="9"/>
      <c r="GF231"/>
      <c r="GG231"/>
      <c r="GH231"/>
      <c r="GI231"/>
      <c r="GJ231"/>
      <c r="GK231"/>
      <c r="GL231" s="4"/>
      <c r="GM231" s="4"/>
      <c r="GN231" s="4"/>
      <c r="GO231" s="6"/>
      <c r="GP231" s="4"/>
      <c r="GQ231" s="4"/>
      <c r="GR231" s="4"/>
      <c r="GS231" s="4"/>
      <c r="GT231" s="4"/>
      <c r="GU231" s="4"/>
      <c r="GV231" s="4"/>
      <c r="GW231" s="6"/>
      <c r="GX231" s="6"/>
      <c r="GY231" s="6"/>
      <c r="GZ231" s="9"/>
      <c r="HA231"/>
      <c r="HB231"/>
      <c r="HC231"/>
      <c r="HD231"/>
      <c r="HE231"/>
      <c r="HF231"/>
      <c r="HG231" s="4"/>
      <c r="HH231" s="4"/>
      <c r="HI231" s="4"/>
      <c r="HJ231" s="6"/>
      <c r="HK231" s="4"/>
      <c r="HL231" s="4"/>
      <c r="HM231" s="4"/>
      <c r="HN231" s="4"/>
      <c r="HO231" s="4"/>
      <c r="HP231" s="4"/>
      <c r="HQ231" s="4"/>
      <c r="HR231" s="6"/>
      <c r="HS231" s="6"/>
      <c r="HT231" s="6"/>
      <c r="HU231" s="9"/>
      <c r="HV231"/>
      <c r="HW231"/>
      <c r="HX231"/>
      <c r="HY231"/>
      <c r="HZ231"/>
      <c r="IA231"/>
      <c r="IB231" s="4"/>
      <c r="IC231" s="4"/>
      <c r="ID231" s="4"/>
      <c r="IE231" s="6"/>
      <c r="IF231" s="4"/>
      <c r="IG231" s="4"/>
      <c r="IH231" s="4"/>
      <c r="II231" s="4"/>
      <c r="IJ231" s="4"/>
      <c r="IK231" s="4"/>
      <c r="IL231" s="4"/>
      <c r="IM231" s="6"/>
      <c r="IN231" s="6"/>
      <c r="IO231" s="6"/>
      <c r="IP231" s="9"/>
      <c r="IQ231"/>
      <c r="IR231"/>
      <c r="IS231"/>
      <c r="IT231"/>
      <c r="IU231"/>
      <c r="IV231"/>
      <c r="IW231" s="4"/>
      <c r="IX231" s="4"/>
      <c r="IY231" s="4"/>
      <c r="IZ231" s="6"/>
      <c r="JA231" s="4"/>
      <c r="JB231" s="4"/>
      <c r="JC231" s="4"/>
      <c r="JD231" s="4"/>
      <c r="JE231" s="4"/>
      <c r="JF231" s="4"/>
      <c r="JG231" s="4"/>
      <c r="JH231" s="6"/>
      <c r="JI231" s="6"/>
      <c r="JJ231" s="6"/>
      <c r="JK231" s="9"/>
      <c r="JL231"/>
    </row>
    <row r="232">
      <c r="A232" s="8">
        <v>25547</v>
      </c>
      <c r="B232" s="8">
        <v>25548</v>
      </c>
      <c r="C232" s="9">
        <f>B232-A232</f>
        <v>1</v>
      </c>
      <c r="D232" s="8">
        <v>25547</v>
      </c>
      <c r="E232" t="inlineStr">
        <is>
          <t xml:space="preserve">positive</t>
        </is>
      </c>
      <c r="F232" s="4">
        <v>1.9038713565231655</v>
      </c>
      <c r="G232" s="6">
        <v>0.017477932121632334</v>
      </c>
      <c r="H232" s="7">
        <f>SUM(CE232,CZ232,DU232,EP232,FK232,GF232,HA232,HV232,IQ232,JL232)</f>
        <v>0.017477932121632334</v>
      </c>
      <c r="I232" s="7">
        <f>G232-H232</f>
        <v>0</v>
      </c>
      <c r="J232" s="5">
        <f>F232*(1+H232)</f>
        <v>1.9371470908607975</v>
      </c>
      <c r="K232" s="4">
        <v>1.9371470908607975</v>
      </c>
      <c r="L232" s="5">
        <f>K232-J232</f>
        <v>0</v>
      </c>
      <c r="M232" s="4">
        <v>1.758</v>
      </c>
      <c r="N232" s="4">
        <v>1.767</v>
      </c>
      <c r="O232" s="5">
        <f>M232/$M$3</f>
        <v>0.8978549540347294</v>
      </c>
      <c r="P232" s="5">
        <f>N232/$M$3</f>
        <v>0.9024514811031664</v>
      </c>
      <c r="Q232" s="7">
        <f>IFERROR(N232/M232-1,0)</f>
        <v>0.005119453924914641</v>
      </c>
      <c r="R232" s="5">
        <f>SUM(IF(BM232="lease",BU232,0),IF(CH232="lease",CP232,0),IF(DC232="lease",DK232,0),IF(DX232="lease",EF232,0),IF(ES232="lease",FA232,0),IF(FN232="lease",FV232,0),IF(GI232="lease",GQ232,0),IF(HD232="lease",HL232,0),IF(HY232="lease",IG232,0),IF(IT232="lease",JB232,0))</f>
        <v>1.9038713565231649</v>
      </c>
      <c r="S232" s="5">
        <f>SUM(IF(BM232="lease",BV232,0),IF(CH232="lease",CQ232,0),IF(DC232="lease",DL232,0),IF(DX232="lease",EG232,0),IF(ES232="lease",FB232,0),IF(FN232="lease",FW232,0),IF(GI232="lease",GR232,0),IF(HD232="lease",HM232,0),IF(HY232="lease",IH232,0),IF(IT232="lease",JC232,0))</f>
        <v>1.9371470908607968</v>
      </c>
      <c r="T232" s="5">
        <f>SUM(IF(BM232="keep",BU232,0),IF(CH232="keep",CP232,0),IF(DC232="keep",DK232,0),IF(DX232="keep",EF232,0),IF(ES232="keep",FA232,0),IF(FN232="keep",FV232,0),IF(GI232="keep",GQ232,0),IF(HD232="keep",HL232,0),IF(HY232="keep",IG232,0),IF(IT232="keep",JB232,0))</f>
        <v>0</v>
      </c>
      <c r="U232" s="5">
        <f>SUM(IF(BM232="keep",BV232,0),IF(CH232="keep",CQ232,0),IF(DC232="keep",DL232,0),IF(DX232="keep",EG232,0),IF(ES232="keep",FB232,0),IF(FN232="keep",FW232,0),IF(GI232="keep",GR232,0),IF(HD232="keep",HM232,0),IF(HY232="keep",IH232,0),IF(IT232="keep",JC232,0))</f>
        <v>0</v>
      </c>
      <c r="V232" s="5">
        <f>R232/O232</f>
        <v>2.1204665051606124</v>
      </c>
      <c r="W232" s="5">
        <f>S232/P232</f>
        <v>2.146538768480725</v>
      </c>
      <c r="X232" s="5">
        <f>T232/O232</f>
        <v>0</v>
      </c>
      <c r="Y232" s="5">
        <f>U232/P232</f>
        <v>0</v>
      </c>
      <c r="Z232" s="5">
        <f>V232+X232</f>
        <v>2.1204665051606124</v>
      </c>
      <c r="AA232" s="7">
        <f>IFERROR(W232/V232-1,0)</f>
        <v>0.012295531788245606</v>
      </c>
      <c r="AB232" s="7">
        <f>IFERROR((W232-V232)/Z232,0)</f>
        <v>0.012295531788245653</v>
      </c>
      <c r="AC232" s="7">
        <f>IFERROR(Y232/X232-1,0)</f>
        <v>0</v>
      </c>
      <c r="AD232" s="7">
        <f>IFERROR((Y232-X232)/Z232,0)</f>
        <v>0</v>
      </c>
      <c r="AE232" s="7">
        <f>AB232+AD232</f>
        <v>0.012295531788245653</v>
      </c>
      <c r="AF232" s="7">
        <f>(1+Q232)*(1+AE232)-1</f>
        <v>0.01747793212163251</v>
      </c>
      <c r="AG232" s="7">
        <f>G232-AF232</f>
        <v>-1.7694179454963432e-16</v>
      </c>
      <c r="AH232" s="5">
        <f>SUM(IF(BM232="lease",BW232,0),IF(CH232="lease",CR232,0),IF(DC232="lease",DM232,0),IF(DX232="lease",EH232,0),IF(ES232="lease",FC232,0),IF(FN232="lease",FX232,0),IF(GI232="lease",GS232,0),IF(HD232="lease",HN232,0),IF(HY232="lease",II232,0),IF(IT232="lease",JD232,0))</f>
        <v>0.03327573433763196</v>
      </c>
      <c r="AI232" s="5">
        <f>SUM(IF(BM232="keep",BW232,0),IF(CH232="keep",CR232,0),IF(DC232="keep",DM232,0),IF(DX232="keep",EH232,0),IF(ES232="keep",FC232,0),IF(FN232="keep",FX232,0),IF(GI232="keep",GS232,0),IF(HD232="keep",HN232,0),IF(HY232="keep",II232,0),IF(IT232="keep",JD232,0))</f>
        <v>0</v>
      </c>
      <c r="AJ232" s="5">
        <f>SUM(IF(BM232="lease",BX232,0),IF(CH232="lease",CS232,0),IF(DC232="lease",DN232,0),IF(DX232="lease",EI232,0),IF(ES232="lease",FD232,0),IF(FN232="lease",FY232,0),IF(GI232="lease",GT232,0),IF(HD232="lease",HO232,0),IF(HY232="lease",IJ232,0),IF(IT232="lease",JE232,0))</f>
        <v>0</v>
      </c>
      <c r="AK232" s="5">
        <f>SUM(IF(BM232="keep",BX232,0),IF(CH232="keep",CS232,0),IF(DC232="keep",DN232,0),IF(DX232="keep",EI232,0),IF(ES232="keep",FD232,0),IF(FN232="keep",FY232,0),IF(GI232="keep",GT232,0),IF(HD232="keep",HO232,0),IF(HY232="keep",IJ232,0),IF(IT232="keep",JE232,0))</f>
        <v>0</v>
      </c>
      <c r="AL232" s="5">
        <f>R232-S231</f>
        <v>0</v>
      </c>
      <c r="AM232" s="5">
        <f>T232-U231</f>
        <v>0</v>
      </c>
      <c r="AN232" s="5">
        <f>AN231</f>
        <v>1</v>
      </c>
      <c r="AO232" s="5">
        <f>AO231+AH232</f>
        <v>0.9371470908607974</v>
      </c>
      <c r="AP232" s="5">
        <f>AP231+AL232</f>
        <v>6.661338147750939e-16</v>
      </c>
      <c r="AQ232" s="5">
        <f>AN232+AO232+AP232</f>
        <v>1.9371470908607982</v>
      </c>
      <c r="AR232" s="5">
        <f>S232-AQ232</f>
        <v>-1.3322676295501878e-15</v>
      </c>
      <c r="AS232" s="5">
        <f>AS231</f>
        <v>0</v>
      </c>
      <c r="AT232" s="5">
        <f>AT231+AI232</f>
        <v>0</v>
      </c>
      <c r="AU232" s="5">
        <f>AU231+AM232</f>
        <v>0</v>
      </c>
      <c r="AV232" s="5">
        <f>AS232+AT232+AU232</f>
        <v>0</v>
      </c>
      <c r="AW232" s="5">
        <f>U232-AV232</f>
        <v>0</v>
      </c>
      <c r="AX232" s="4">
        <v>1.9038713565231649</v>
      </c>
      <c r="AY232" s="4">
        <v>1.9371470908607968</v>
      </c>
      <c r="AZ232" s="5">
        <f>S232-AY232</f>
        <v>0</v>
      </c>
      <c r="BA232" s="4">
        <v>0</v>
      </c>
      <c r="BB232" s="4">
        <v>0</v>
      </c>
      <c r="BC232" s="5">
        <f>U232-BB232</f>
        <v>0</v>
      </c>
      <c r="BD232" s="7">
        <f>SUM(IF(BL232="direct",CE232,0),IF(CG232="direct",CZ232,0),IF(DB232="direct",DU232,0),IF(DW232="direct",EP232,0),IF(ER232="direct",FK232,0),IF(FM232="direct",GF232,0),IF(GH232="direct",HA232,0),IF(HC232="direct",HV232,0),IF(HX232="direct",IQ232,0),IF(IS232="direct",JL232,0))</f>
        <v>0</v>
      </c>
      <c r="BE232" s="7">
        <f>SUM(IF(BL232="treasury",CE232,0),IF(CG232="treasury",CZ232,0),IF(DB232="treasury",DU232,0),IF(DW232="treasury",EP232,0),IF(ER232="treasury",FK232,0),IF(FM232="treasury",GF232,0),IF(GH232="treasury",HA232,0),IF(HC232="treasury",HV232,0),IF(HX232="treasury",IQ232,0),IF(IS232="treasury",JL232,0))</f>
        <v>0.0002167123287671233</v>
      </c>
      <c r="BF232" s="7">
        <f>SUM(IF(BL232="future",CE232,0),IF(CG232="future",CZ232,0),IF(DB232="future",DU232,0),IF(DW232="future",EP232,0),IF(ER232="future",FK232,0),IF(FM232="future",GF232,0),IF(GH232="future",HA232,0),IF(HC232="future",HV232,0),IF(HX232="future",IQ232,0),IF(IS232="future",JL232,0))</f>
        <v>0.017261219792865212</v>
      </c>
      <c r="BG232" s="7">
        <f>SUM(IF(BL232="cash",CE232,0),IF(CG232="cash",CZ232,0),IF(DB232="cash",DU232,0),IF(DW232="cash",EP232,0),IF(ER232="cash",FK232,0),IF(FM232="cash",GF232,0),IF(GH232="cash",HA232,0),IF(HC232="cash",HV232,0),IF(HX232="cash",IQ232,0),IF(IS232="cash",JL232,0))</f>
        <v>0</v>
      </c>
      <c r="BH232" s="7">
        <f>SUM(BD232:BG232)</f>
        <v>0.017477932121632334</v>
      </c>
      <c r="BI232" s="7">
        <f>G232-BH232</f>
        <v>0</v>
      </c>
      <c r="BJ232" s="9">
        <f>COUNTA(BK232,CF232,DA232,DV232,EQ232,FL232,GG232,HB232,HW232,IR232)</f>
        <v>4</v>
      </c>
      <c r="BK232" t="inlineStr">
        <is>
          <t xml:space="preserve">Treasury collateral</t>
        </is>
      </c>
      <c r="BL232" t="inlineStr">
        <is>
          <t xml:space="preserve">treasury</t>
        </is>
      </c>
      <c r="BM232" t="inlineStr">
        <is>
          <t xml:space="preserve">lease</t>
        </is>
      </c>
      <c r="BN232" t="inlineStr">
        <is>
          <t xml:space="preserve">long</t>
        </is>
      </c>
      <c r="BO232"/>
      <c r="BP232" s="4">
        <v>106.36751675244409</v>
      </c>
      <c r="BQ232" s="4">
        <v>106.3905679047047</v>
      </c>
      <c r="BR232" s="4">
        <v>0.01789899223608056</v>
      </c>
      <c r="BS232" s="6">
        <v>1</v>
      </c>
      <c r="BT232" s="4">
        <v>1.9038713565231655</v>
      </c>
      <c r="BU232" s="4">
        <v>1.9038713565231655</v>
      </c>
      <c r="BV232" s="4">
        <v>1.904283948918511</v>
      </c>
      <c r="BW232" s="4">
        <v>0.00041259239534515726</v>
      </c>
      <c r="BX232" s="4">
        <v>3.662434938656034e-16</v>
      </c>
      <c r="BY232" s="4">
        <v>1.758</v>
      </c>
      <c r="BZ232" s="4">
        <v>1.767</v>
      </c>
      <c r="CA232" s="6"/>
      <c r="CB232" s="6"/>
      <c r="CC232" s="6"/>
      <c r="CD232" s="9">
        <v>19</v>
      </c>
      <c r="CE232" s="7">
        <f>IFERROR(BW232/F232,0)</f>
        <v>0.0002167123287671233</v>
      </c>
      <c r="CF232" t="inlineStr">
        <is>
          <t xml:space="preserve">SI69Z</t>
        </is>
      </c>
      <c r="CG232" t="inlineStr">
        <is>
          <t xml:space="preserve">future</t>
        </is>
      </c>
      <c r="CH232" t="inlineStr">
        <is>
          <t xml:space="preserve">lease</t>
        </is>
      </c>
      <c r="CI232" t="inlineStr">
        <is>
          <t xml:space="preserve">long</t>
        </is>
      </c>
      <c r="CJ232" t="inlineStr">
        <is>
          <t xml:space="preserve">regular</t>
        </is>
      </c>
      <c r="CK232" s="4">
        <v>1.7380000000000002</v>
      </c>
      <c r="CL232" s="4">
        <v>1.768</v>
      </c>
      <c r="CM232" s="4">
        <v>1.095438064742903</v>
      </c>
      <c r="CN232" s="6">
        <v>1</v>
      </c>
      <c r="CO232" s="4">
        <v>1.9038713565231655</v>
      </c>
      <c r="CP232" s="4">
        <v>0</v>
      </c>
      <c r="CQ232" s="4">
        <v>0</v>
      </c>
      <c r="CR232" s="4">
        <v>0.0328631419422868</v>
      </c>
      <c r="CS232" s="4">
        <v>-0.0328631419422868</v>
      </c>
      <c r="CT232" s="4">
        <v>1.758</v>
      </c>
      <c r="CU232" s="4">
        <v>1.767</v>
      </c>
      <c r="CV232" s="6">
        <v>-0.011376564277588042</v>
      </c>
      <c r="CW232" s="6">
        <v>0.0791</v>
      </c>
      <c r="CX232" s="6">
        <v>0.29764978743787557</v>
      </c>
      <c r="CY232" s="9">
        <v>19</v>
      </c>
      <c r="CZ232" s="7">
        <f>IFERROR(CR232/F232,0)</f>
        <v>0.017261219792865212</v>
      </c>
      <c r="DA232" t="inlineStr">
        <is>
          <t xml:space="preserve">Lease cash / margin / financing</t>
        </is>
      </c>
      <c r="DB232" t="inlineStr">
        <is>
          <t xml:space="preserve">cash</t>
        </is>
      </c>
      <c r="DC232" t="inlineStr">
        <is>
          <t xml:space="preserve">lease</t>
        </is>
      </c>
      <c r="DD232" t="inlineStr">
        <is>
          <t xml:space="preserve">cash</t>
        </is>
      </c>
      <c r="DE232"/>
      <c r="DF232" s="4">
        <v>1</v>
      </c>
      <c r="DG232" s="4">
        <v>1</v>
      </c>
      <c r="DH232" s="4">
        <v>-6.661338147750939e-16</v>
      </c>
      <c r="DI232" s="6"/>
      <c r="DJ232" s="4">
        <v>-6.661338147750939e-16</v>
      </c>
      <c r="DK232" s="4">
        <v>-6.661338147750939e-16</v>
      </c>
      <c r="DL232" s="4">
        <v>0.03286314194228577</v>
      </c>
      <c r="DM232" s="4">
        <v>0</v>
      </c>
      <c r="DN232" s="4">
        <v>0.032863141942286435</v>
      </c>
      <c r="DO232" s="4">
        <v>1.758</v>
      </c>
      <c r="DP232" s="4">
        <v>1.767</v>
      </c>
      <c r="DQ232" s="6"/>
      <c r="DR232" s="6"/>
      <c r="DS232" s="6"/>
      <c r="DT232" s="9"/>
      <c r="DU232" s="7">
        <f>IFERROR(DM232/F232,0)</f>
        <v>0</v>
      </c>
      <c r="DV232" t="inlineStr">
        <is>
          <t xml:space="preserve">Keep cash / margin / financing</t>
        </is>
      </c>
      <c r="DW232" t="inlineStr">
        <is>
          <t xml:space="preserve">cash</t>
        </is>
      </c>
      <c r="DX232" t="inlineStr">
        <is>
          <t xml:space="preserve">keep</t>
        </is>
      </c>
      <c r="DY232" t="inlineStr">
        <is>
          <t xml:space="preserve">cash</t>
        </is>
      </c>
      <c r="DZ232"/>
      <c r="EA232" s="4">
        <v>1</v>
      </c>
      <c r="EB232" s="4">
        <v>1</v>
      </c>
      <c r="EC232" s="4">
        <v>0</v>
      </c>
      <c r="ED232" s="6"/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1.758</v>
      </c>
      <c r="EK232" s="4">
        <v>1.767</v>
      </c>
      <c r="EL232" s="6"/>
      <c r="EM232" s="6"/>
      <c r="EN232" s="6"/>
      <c r="EO232" s="9"/>
      <c r="EP232" s="7">
        <f>IFERROR(EH232/F232,0)</f>
        <v>0</v>
      </c>
      <c r="EQ232"/>
      <c r="ER232"/>
      <c r="ES232"/>
      <c r="ET232"/>
      <c r="EU232"/>
      <c r="EV232" s="4"/>
      <c r="EW232" s="4"/>
      <c r="EX232" s="4"/>
      <c r="EY232" s="6"/>
      <c r="EZ232" s="4"/>
      <c r="FA232" s="4"/>
      <c r="FB232" s="4"/>
      <c r="FC232" s="4"/>
      <c r="FD232" s="4"/>
      <c r="FE232" s="4"/>
      <c r="FF232" s="4"/>
      <c r="FG232" s="6"/>
      <c r="FH232" s="6"/>
      <c r="FI232" s="6"/>
      <c r="FJ232" s="9"/>
      <c r="FK232"/>
      <c r="FL232"/>
      <c r="FM232"/>
      <c r="FN232"/>
      <c r="FO232"/>
      <c r="FP232"/>
      <c r="FQ232" s="4"/>
      <c r="FR232" s="4"/>
      <c r="FS232" s="4"/>
      <c r="FT232" s="6"/>
      <c r="FU232" s="4"/>
      <c r="FV232" s="4"/>
      <c r="FW232" s="4"/>
      <c r="FX232" s="4"/>
      <c r="FY232" s="4"/>
      <c r="FZ232" s="4"/>
      <c r="GA232" s="4"/>
      <c r="GB232" s="6"/>
      <c r="GC232" s="6"/>
      <c r="GD232" s="6"/>
      <c r="GE232" s="9"/>
      <c r="GF232"/>
      <c r="GG232"/>
      <c r="GH232"/>
      <c r="GI232"/>
      <c r="GJ232"/>
      <c r="GK232"/>
      <c r="GL232" s="4"/>
      <c r="GM232" s="4"/>
      <c r="GN232" s="4"/>
      <c r="GO232" s="6"/>
      <c r="GP232" s="4"/>
      <c r="GQ232" s="4"/>
      <c r="GR232" s="4"/>
      <c r="GS232" s="4"/>
      <c r="GT232" s="4"/>
      <c r="GU232" s="4"/>
      <c r="GV232" s="4"/>
      <c r="GW232" s="6"/>
      <c r="GX232" s="6"/>
      <c r="GY232" s="6"/>
      <c r="GZ232" s="9"/>
      <c r="HA232"/>
      <c r="HB232"/>
      <c r="HC232"/>
      <c r="HD232"/>
      <c r="HE232"/>
      <c r="HF232"/>
      <c r="HG232" s="4"/>
      <c r="HH232" s="4"/>
      <c r="HI232" s="4"/>
      <c r="HJ232" s="6"/>
      <c r="HK232" s="4"/>
      <c r="HL232" s="4"/>
      <c r="HM232" s="4"/>
      <c r="HN232" s="4"/>
      <c r="HO232" s="4"/>
      <c r="HP232" s="4"/>
      <c r="HQ232" s="4"/>
      <c r="HR232" s="6"/>
      <c r="HS232" s="6"/>
      <c r="HT232" s="6"/>
      <c r="HU232" s="9"/>
      <c r="HV232"/>
      <c r="HW232"/>
      <c r="HX232"/>
      <c r="HY232"/>
      <c r="HZ232"/>
      <c r="IA232"/>
      <c r="IB232" s="4"/>
      <c r="IC232" s="4"/>
      <c r="ID232" s="4"/>
      <c r="IE232" s="6"/>
      <c r="IF232" s="4"/>
      <c r="IG232" s="4"/>
      <c r="IH232" s="4"/>
      <c r="II232" s="4"/>
      <c r="IJ232" s="4"/>
      <c r="IK232" s="4"/>
      <c r="IL232" s="4"/>
      <c r="IM232" s="6"/>
      <c r="IN232" s="6"/>
      <c r="IO232" s="6"/>
      <c r="IP232" s="9"/>
      <c r="IQ232"/>
      <c r="IR232"/>
      <c r="IS232"/>
      <c r="IT232"/>
      <c r="IU232"/>
      <c r="IV232"/>
      <c r="IW232" s="4"/>
      <c r="IX232" s="4"/>
      <c r="IY232" s="4"/>
      <c r="IZ232" s="6"/>
      <c r="JA232" s="4"/>
      <c r="JB232" s="4"/>
      <c r="JC232" s="4"/>
      <c r="JD232" s="4"/>
      <c r="JE232" s="4"/>
      <c r="JF232" s="4"/>
      <c r="JG232" s="4"/>
      <c r="JH232" s="6"/>
      <c r="JI232" s="6"/>
      <c r="JJ232" s="6"/>
      <c r="JK232" s="9"/>
      <c r="JL232"/>
    </row>
    <row r="233">
      <c r="A233" s="8">
        <v>25548</v>
      </c>
      <c r="B233" s="8">
        <v>25549</v>
      </c>
      <c r="C233" s="9">
        <f>B233-A233</f>
        <v>1</v>
      </c>
      <c r="D233" s="8">
        <v>25548</v>
      </c>
      <c r="E233" t="inlineStr">
        <is>
          <t xml:space="preserve">positive</t>
        </is>
      </c>
      <c r="F233" s="4">
        <v>1.9371470908607975</v>
      </c>
      <c r="G233" s="6">
        <v>-0.00813035403898632</v>
      </c>
      <c r="H233" s="7">
        <f>SUM(CE233,CZ233,DU233,EP233,FK233,GF233,HA233,HV233,IQ233,JL233)</f>
        <v>-0.00813035403898632</v>
      </c>
      <c r="I233" s="7">
        <f>G233-H233</f>
        <v>0</v>
      </c>
      <c r="J233" s="5">
        <f>F233*(1+H233)</f>
        <v>1.9213973991865068</v>
      </c>
      <c r="K233" s="4">
        <v>1.9213973991865068</v>
      </c>
      <c r="L233" s="5">
        <f>K233-J233</f>
        <v>0</v>
      </c>
      <c r="M233" s="4">
        <v>1.767</v>
      </c>
      <c r="N233" s="4">
        <v>1.748</v>
      </c>
      <c r="O233" s="5">
        <f>M233/$M$3</f>
        <v>0.9024514811031664</v>
      </c>
      <c r="P233" s="5">
        <f>N233/$M$3</f>
        <v>0.8927477017364658</v>
      </c>
      <c r="Q233" s="7">
        <f>IFERROR(N233/M233-1,0)</f>
        <v>-0.010752688172043001</v>
      </c>
      <c r="R233" s="5">
        <f>SUM(IF(BM233="lease",BU233,0),IF(CH233="lease",CP233,0),IF(DC233="lease",DK233,0),IF(DX233="lease",EF233,0),IF(ES233="lease",FA233,0),IF(FN233="lease",FV233,0),IF(GI233="lease",GQ233,0),IF(HD233="lease",HL233,0),IF(HY233="lease",IG233,0),IF(IT233="lease",JB233,0))</f>
        <v>1.9371470908607968</v>
      </c>
      <c r="S233" s="5">
        <f>SUM(IF(BM233="lease",BV233,0),IF(CH233="lease",CQ233,0),IF(DC233="lease",DL233,0),IF(DX233="lease",EG233,0),IF(ES233="lease",FB233,0),IF(FN233="lease",FW233,0),IF(GI233="lease",GR233,0),IF(HD233="lease",HM233,0),IF(HY233="lease",IH233,0),IF(IT233="lease",JC233,0))</f>
        <v>1.9213973991865063</v>
      </c>
      <c r="T233" s="5">
        <f>SUM(IF(BM233="keep",BU233,0),IF(CH233="keep",CP233,0),IF(DC233="keep",DK233,0),IF(DX233="keep",EF233,0),IF(ES233="keep",FA233,0),IF(FN233="keep",FV233,0),IF(GI233="keep",GQ233,0),IF(HD233="keep",HL233,0),IF(HY233="keep",IG233,0),IF(IT233="keep",JB233,0))</f>
        <v>0</v>
      </c>
      <c r="U233" s="5">
        <f>SUM(IF(BM233="keep",BV233,0),IF(CH233="keep",CQ233,0),IF(DC233="keep",DL233,0),IF(DX233="keep",EG233,0),IF(ES233="keep",FB233,0),IF(FN233="keep",FW233,0),IF(GI233="keep",GR233,0),IF(HD233="keep",HM233,0),IF(HY233="keep",IH233,0),IF(IT233="keep",JC233,0))</f>
        <v>0</v>
      </c>
      <c r="V233" s="5">
        <f>R233/O233</f>
        <v>2.146538768480725</v>
      </c>
      <c r="W233" s="5">
        <f>S233/P233</f>
        <v>2.1522288945121164</v>
      </c>
      <c r="X233" s="5">
        <f>T233/O233</f>
        <v>0</v>
      </c>
      <c r="Y233" s="5">
        <f>U233/P233</f>
        <v>0</v>
      </c>
      <c r="Z233" s="5">
        <f>V233+X233</f>
        <v>2.146538768480725</v>
      </c>
      <c r="AA233" s="7">
        <f>IFERROR(W233/V233-1,0)</f>
        <v>0.0026508377649376857</v>
      </c>
      <c r="AB233" s="7">
        <f>IFERROR((W233-V233)/Z233,0)</f>
        <v>0.0026508377649376766</v>
      </c>
      <c r="AC233" s="7">
        <f>IFERROR(Y233/X233-1,0)</f>
        <v>0</v>
      </c>
      <c r="AD233" s="7">
        <f>IFERROR((Y233-X233)/Z233,0)</f>
        <v>0</v>
      </c>
      <c r="AE233" s="7">
        <f>AB233+AD233</f>
        <v>0.0026508377649376766</v>
      </c>
      <c r="AF233" s="7">
        <f>(1+Q233)*(1+AE233)-1</f>
        <v>-0.00813035403898632</v>
      </c>
      <c r="AG233" s="7">
        <f>G233-AF233</f>
        <v>0</v>
      </c>
      <c r="AH233" s="5">
        <f>SUM(IF(BM233="lease",BW233,0),IF(CH233="lease",CR233,0),IF(DC233="lease",DM233,0),IF(DX233="lease",EH233,0),IF(ES233="lease",FC233,0),IF(FN233="lease",FX233,0),IF(GI233="lease",GS233,0),IF(HD233="lease",HN233,0),IF(HY233="lease",II233,0),IF(IT233="lease",JD233,0))</f>
        <v>-0.015749691674290685</v>
      </c>
      <c r="AI233" s="5">
        <f>SUM(IF(BM233="keep",BW233,0),IF(CH233="keep",CR233,0),IF(DC233="keep",DM233,0),IF(DX233="keep",EH233,0),IF(ES233="keep",FC233,0),IF(FN233="keep",FX233,0),IF(GI233="keep",GS233,0),IF(HD233="keep",HN233,0),IF(HY233="keep",II233,0),IF(IT233="keep",JD233,0))</f>
        <v>0</v>
      </c>
      <c r="AJ233" s="5">
        <f>SUM(IF(BM233="lease",BX233,0),IF(CH233="lease",CS233,0),IF(DC233="lease",DN233,0),IF(DX233="lease",EI233,0),IF(ES233="lease",FD233,0),IF(FN233="lease",FY233,0),IF(GI233="lease",GT233,0),IF(HD233="lease",HO233,0),IF(HY233="lease",IJ233,0),IF(IT233="lease",JE233,0))</f>
        <v>0</v>
      </c>
      <c r="AK233" s="5">
        <f>SUM(IF(BM233="keep",BX233,0),IF(CH233="keep",CS233,0),IF(DC233="keep",DN233,0),IF(DX233="keep",EI233,0),IF(ES233="keep",FD233,0),IF(FN233="keep",FY233,0),IF(GI233="keep",GT233,0),IF(HD233="keep",HO233,0),IF(HY233="keep",IJ233,0),IF(IT233="keep",JE233,0))</f>
        <v>0</v>
      </c>
      <c r="AL233" s="5">
        <f>R233-S232</f>
        <v>0</v>
      </c>
      <c r="AM233" s="5">
        <f>T233-U232</f>
        <v>0</v>
      </c>
      <c r="AN233" s="5">
        <f>AN232</f>
        <v>1</v>
      </c>
      <c r="AO233" s="5">
        <f>AO232+AH233</f>
        <v>0.9213973991865068</v>
      </c>
      <c r="AP233" s="5">
        <f>AP232+AL233</f>
        <v>6.661338147750939e-16</v>
      </c>
      <c r="AQ233" s="5">
        <f>AN233+AO233+AP233</f>
        <v>1.9213973991865074</v>
      </c>
      <c r="AR233" s="5">
        <f>S233-AQ233</f>
        <v>-1.1102230246251565e-15</v>
      </c>
      <c r="AS233" s="5">
        <f>AS232</f>
        <v>0</v>
      </c>
      <c r="AT233" s="5">
        <f>AT232+AI233</f>
        <v>0</v>
      </c>
      <c r="AU233" s="5">
        <f>AU232+AM233</f>
        <v>0</v>
      </c>
      <c r="AV233" s="5">
        <f>AS233+AT233+AU233</f>
        <v>0</v>
      </c>
      <c r="AW233" s="5">
        <f>U233-AV233</f>
        <v>0</v>
      </c>
      <c r="AX233" s="4">
        <v>1.9371470908607968</v>
      </c>
      <c r="AY233" s="4">
        <v>1.921397399186506</v>
      </c>
      <c r="AZ233" s="5">
        <f>S233-AY233</f>
        <v>2.220446049250313e-16</v>
      </c>
      <c r="BA233" s="4">
        <v>0</v>
      </c>
      <c r="BB233" s="4">
        <v>0</v>
      </c>
      <c r="BC233" s="5">
        <f>U233-BB233</f>
        <v>0</v>
      </c>
      <c r="BD233" s="7">
        <f>SUM(IF(BL233="direct",CE233,0),IF(CG233="direct",CZ233,0),IF(DB233="direct",DU233,0),IF(DW233="direct",EP233,0),IF(ER233="direct",FK233,0),IF(FM233="direct",GF233,0),IF(GH233="direct",HA233,0),IF(HC233="direct",HV233,0),IF(HX233="direct",IQ233,0),IF(IS233="direct",JL233,0))</f>
        <v>-0.005951876461217773</v>
      </c>
      <c r="BE233" s="7">
        <f>SUM(IF(BL233="treasury",CE233,0),IF(CG233="treasury",CZ233,0),IF(DB233="treasury",DU233,0),IF(DW233="treasury",EP233,0),IF(ER233="treasury",FK233,0),IF(FM233="treasury",GF233,0),IF(GH233="treasury",HA233,0),IF(HC233="treasury",HV233,0),IF(HX233="treasury",IQ233,0),IF(IS233="treasury",JL233,0))</f>
        <v>0.00009609859286765865</v>
      </c>
      <c r="BF233" s="7">
        <f>SUM(IF(BL233="future",CE233,0),IF(CG233="future",CZ233,0),IF(DB233="future",DU233,0),IF(DW233="future",EP233,0),IF(ER233="future",FK233,0),IF(FM233="future",GF233,0),IF(GH233="future",HA233,0),IF(HC233="future",HV233,0),IF(HX233="future",IQ233,0),IF(IS233="future",JL233,0))</f>
        <v>-0.0022745761706362048</v>
      </c>
      <c r="BG233" s="7">
        <f>SUM(IF(BL233="cash",CE233,0),IF(CG233="cash",CZ233,0),IF(DB233="cash",DU233,0),IF(DW233="cash",EP233,0),IF(ER233="cash",FK233,0),IF(FM233="cash",GF233,0),IF(GH233="cash",HA233,0),IF(HC233="cash",HV233,0),IF(HX233="cash",IQ233,0),IF(IS233="cash",JL233,0))</f>
        <v>0</v>
      </c>
      <c r="BH233" s="7">
        <f>SUM(BD233:BG233)</f>
        <v>-0.008130354038986319</v>
      </c>
      <c r="BI233" s="7">
        <f>G233-BH233</f>
        <v>-1.734723475976807e-18</v>
      </c>
      <c r="BJ233" s="9">
        <f>COUNTA(BK233,CF233,DA233,DV233,EQ233,FL233,GG233,HB233,HW233,IR233)</f>
        <v>5</v>
      </c>
      <c r="BK233" t="inlineStr">
        <is>
          <t xml:space="preserve">Direct commodity holding</t>
        </is>
      </c>
      <c r="BL233" t="inlineStr">
        <is>
          <t xml:space="preserve">direct</t>
        </is>
      </c>
      <c r="BM233" t="inlineStr">
        <is>
          <t xml:space="preserve">lease</t>
        </is>
      </c>
      <c r="BN233" t="inlineStr">
        <is>
          <t xml:space="preserve">long</t>
        </is>
      </c>
      <c r="BO233"/>
      <c r="BP233" s="4">
        <v>1.767</v>
      </c>
      <c r="BQ233" s="4">
        <v>1.748</v>
      </c>
      <c r="BR233" s="4">
        <v>0.606437926927436</v>
      </c>
      <c r="BS233" s="6">
        <v>0.5531721478127973</v>
      </c>
      <c r="BT233" s="4">
        <v>1.0715758168807794</v>
      </c>
      <c r="BU233" s="4">
        <v>1.0715758168807794</v>
      </c>
      <c r="BV233" s="4">
        <v>1.0600534962691581</v>
      </c>
      <c r="BW233" s="4">
        <v>-0.011529660172010868</v>
      </c>
      <c r="BX233" s="4">
        <v>0.000007339560389583999</v>
      </c>
      <c r="BY233" s="4">
        <v>1.767</v>
      </c>
      <c r="BZ233" s="4">
        <v>1.748</v>
      </c>
      <c r="CA233" s="6"/>
      <c r="CB233" s="6"/>
      <c r="CC233" s="6"/>
      <c r="CD233" s="9"/>
      <c r="CE233" s="7">
        <f>IFERROR(BW233/F233,0)</f>
        <v>-0.005951876461217773</v>
      </c>
      <c r="CF233" t="inlineStr">
        <is>
          <t xml:space="preserve">Treasury collateral</t>
        </is>
      </c>
      <c r="CG233" t="inlineStr">
        <is>
          <t xml:space="preserve">treasury</t>
        </is>
      </c>
      <c r="CH233" t="inlineStr">
        <is>
          <t xml:space="preserve">lease</t>
        </is>
      </c>
      <c r="CI233" t="inlineStr">
        <is>
          <t xml:space="preserve">long</t>
        </is>
      </c>
      <c r="CJ233"/>
      <c r="CK233" s="4">
        <v>106.3905679047047</v>
      </c>
      <c r="CL233" s="4">
        <v>106.41344916382943</v>
      </c>
      <c r="CM233" s="4">
        <v>0.008135789581979868</v>
      </c>
      <c r="CN233" s="6">
        <v>0.44682785218720267</v>
      </c>
      <c r="CO233" s="4">
        <v>0.8655712739800181</v>
      </c>
      <c r="CP233" s="4">
        <v>0.8655712739800181</v>
      </c>
      <c r="CQ233" s="4">
        <v>0.8657574310896278</v>
      </c>
      <c r="CR233" s="4">
        <v>0.00018615710960940115</v>
      </c>
      <c r="CS233" s="4">
        <v>2.736526283353413e-16</v>
      </c>
      <c r="CT233" s="4">
        <v>1.767</v>
      </c>
      <c r="CU233" s="4">
        <v>1.748</v>
      </c>
      <c r="CV233" s="6"/>
      <c r="CW233" s="6"/>
      <c r="CX233" s="6"/>
      <c r="CY233" s="9">
        <v>18</v>
      </c>
      <c r="CZ233" s="7">
        <f>IFERROR(CR233/F233,0)</f>
        <v>0.00009609859286765865</v>
      </c>
      <c r="DA233" t="inlineStr">
        <is>
          <t xml:space="preserve">SI69Z</t>
        </is>
      </c>
      <c r="DB233" t="inlineStr">
        <is>
          <t xml:space="preserve">future</t>
        </is>
      </c>
      <c r="DC233" t="inlineStr">
        <is>
          <t xml:space="preserve">lease</t>
        </is>
      </c>
      <c r="DD233" t="inlineStr">
        <is>
          <t xml:space="preserve">long</t>
        </is>
      </c>
      <c r="DE233" t="inlineStr">
        <is>
          <t xml:space="preserve">regular</t>
        </is>
      </c>
      <c r="DF233" s="4">
        <v>1.768</v>
      </c>
      <c r="DG233" s="4">
        <v>1.7590000000000001</v>
      </c>
      <c r="DH233" s="4">
        <v>0.4895765124321369</v>
      </c>
      <c r="DI233" s="6">
        <v>0.44682785218720267</v>
      </c>
      <c r="DJ233" s="4">
        <v>0.8655712739800181</v>
      </c>
      <c r="DK233" s="4">
        <v>0</v>
      </c>
      <c r="DL233" s="4">
        <v>0</v>
      </c>
      <c r="DM233" s="4">
        <v>-0.004406188611889217</v>
      </c>
      <c r="DN233" s="4">
        <v>0.004406188611889217</v>
      </c>
      <c r="DO233" s="4">
        <v>1.767</v>
      </c>
      <c r="DP233" s="4">
        <v>1.748</v>
      </c>
      <c r="DQ233" s="6">
        <v>0.0005659309564234327</v>
      </c>
      <c r="DR233" s="6">
        <v>0.0785</v>
      </c>
      <c r="DS233" s="6">
        <v>0.0670241778280804</v>
      </c>
      <c r="DT233" s="9">
        <v>18</v>
      </c>
      <c r="DU233" s="7">
        <f>IFERROR(DM233/F233,0)</f>
        <v>-0.0022745761706362048</v>
      </c>
      <c r="DV233" t="inlineStr">
        <is>
          <t xml:space="preserve">Lease cash / margin / financing</t>
        </is>
      </c>
      <c r="DW233" t="inlineStr">
        <is>
          <t xml:space="preserve">cash</t>
        </is>
      </c>
      <c r="DX233" t="inlineStr">
        <is>
          <t xml:space="preserve">lease</t>
        </is>
      </c>
      <c r="DY233" t="inlineStr">
        <is>
          <t xml:space="preserve">cash</t>
        </is>
      </c>
      <c r="DZ233"/>
      <c r="EA233" s="4">
        <v>1</v>
      </c>
      <c r="EB233" s="4">
        <v>1</v>
      </c>
      <c r="EC233" s="4">
        <v>-6.661338147750939e-16</v>
      </c>
      <c r="ED233" s="6"/>
      <c r="EE233" s="4">
        <v>-6.661338147750939e-16</v>
      </c>
      <c r="EF233" s="4">
        <v>-6.661338147750939e-16</v>
      </c>
      <c r="EG233" s="4">
        <v>-0.004413528172279741</v>
      </c>
      <c r="EH233" s="4">
        <v>0</v>
      </c>
      <c r="EI233" s="4">
        <v>-0.004413528172279075</v>
      </c>
      <c r="EJ233" s="4">
        <v>1.767</v>
      </c>
      <c r="EK233" s="4">
        <v>1.748</v>
      </c>
      <c r="EL233" s="6"/>
      <c r="EM233" s="6"/>
      <c r="EN233" s="6"/>
      <c r="EO233" s="9"/>
      <c r="EP233" s="7">
        <f>IFERROR(EH233/F233,0)</f>
        <v>0</v>
      </c>
      <c r="EQ233" t="inlineStr">
        <is>
          <t xml:space="preserve">Keep cash / margin / financing</t>
        </is>
      </c>
      <c r="ER233" t="inlineStr">
        <is>
          <t xml:space="preserve">cash</t>
        </is>
      </c>
      <c r="ES233" t="inlineStr">
        <is>
          <t xml:space="preserve">keep</t>
        </is>
      </c>
      <c r="ET233" t="inlineStr">
        <is>
          <t xml:space="preserve">cash</t>
        </is>
      </c>
      <c r="EU233"/>
      <c r="EV233" s="4">
        <v>1</v>
      </c>
      <c r="EW233" s="4">
        <v>1</v>
      </c>
      <c r="EX233" s="4">
        <v>0</v>
      </c>
      <c r="EY233" s="6"/>
      <c r="EZ233" s="4">
        <v>0</v>
      </c>
      <c r="FA233" s="4">
        <v>0</v>
      </c>
      <c r="FB233" s="4">
        <v>0</v>
      </c>
      <c r="FC233" s="4">
        <v>0</v>
      </c>
      <c r="FD233" s="4">
        <v>0</v>
      </c>
      <c r="FE233" s="4">
        <v>1.767</v>
      </c>
      <c r="FF233" s="4">
        <v>1.748</v>
      </c>
      <c r="FG233" s="6"/>
      <c r="FH233" s="6"/>
      <c r="FI233" s="6"/>
      <c r="FJ233" s="9"/>
      <c r="FK233" s="7">
        <f>IFERROR(FC233/F233,0)</f>
        <v>0</v>
      </c>
      <c r="FL233"/>
      <c r="FM233"/>
      <c r="FN233"/>
      <c r="FO233"/>
      <c r="FP233"/>
      <c r="FQ233" s="4"/>
      <c r="FR233" s="4"/>
      <c r="FS233" s="4"/>
      <c r="FT233" s="6"/>
      <c r="FU233" s="4"/>
      <c r="FV233" s="4"/>
      <c r="FW233" s="4"/>
      <c r="FX233" s="4"/>
      <c r="FY233" s="4"/>
      <c r="FZ233" s="4"/>
      <c r="GA233" s="4"/>
      <c r="GB233" s="6"/>
      <c r="GC233" s="6"/>
      <c r="GD233" s="6"/>
      <c r="GE233" s="9"/>
      <c r="GF233"/>
      <c r="GG233"/>
      <c r="GH233"/>
      <c r="GI233"/>
      <c r="GJ233"/>
      <c r="GK233"/>
      <c r="GL233" s="4"/>
      <c r="GM233" s="4"/>
      <c r="GN233" s="4"/>
      <c r="GO233" s="6"/>
      <c r="GP233" s="4"/>
      <c r="GQ233" s="4"/>
      <c r="GR233" s="4"/>
      <c r="GS233" s="4"/>
      <c r="GT233" s="4"/>
      <c r="GU233" s="4"/>
      <c r="GV233" s="4"/>
      <c r="GW233" s="6"/>
      <c r="GX233" s="6"/>
      <c r="GY233" s="6"/>
      <c r="GZ233" s="9"/>
      <c r="HA233"/>
      <c r="HB233"/>
      <c r="HC233"/>
      <c r="HD233"/>
      <c r="HE233"/>
      <c r="HF233"/>
      <c r="HG233" s="4"/>
      <c r="HH233" s="4"/>
      <c r="HI233" s="4"/>
      <c r="HJ233" s="6"/>
      <c r="HK233" s="4"/>
      <c r="HL233" s="4"/>
      <c r="HM233" s="4"/>
      <c r="HN233" s="4"/>
      <c r="HO233" s="4"/>
      <c r="HP233" s="4"/>
      <c r="HQ233" s="4"/>
      <c r="HR233" s="6"/>
      <c r="HS233" s="6"/>
      <c r="HT233" s="6"/>
      <c r="HU233" s="9"/>
      <c r="HV233"/>
      <c r="HW233"/>
      <c r="HX233"/>
      <c r="HY233"/>
      <c r="HZ233"/>
      <c r="IA233"/>
      <c r="IB233" s="4"/>
      <c r="IC233" s="4"/>
      <c r="ID233" s="4"/>
      <c r="IE233" s="6"/>
      <c r="IF233" s="4"/>
      <c r="IG233" s="4"/>
      <c r="IH233" s="4"/>
      <c r="II233" s="4"/>
      <c r="IJ233" s="4"/>
      <c r="IK233" s="4"/>
      <c r="IL233" s="4"/>
      <c r="IM233" s="6"/>
      <c r="IN233" s="6"/>
      <c r="IO233" s="6"/>
      <c r="IP233" s="9"/>
      <c r="IQ233"/>
      <c r="IR233"/>
      <c r="IS233"/>
      <c r="IT233"/>
      <c r="IU233"/>
      <c r="IV233"/>
      <c r="IW233" s="4"/>
      <c r="IX233" s="4"/>
      <c r="IY233" s="4"/>
      <c r="IZ233" s="6"/>
      <c r="JA233" s="4"/>
      <c r="JB233" s="4"/>
      <c r="JC233" s="4"/>
      <c r="JD233" s="4"/>
      <c r="JE233" s="4"/>
      <c r="JF233" s="4"/>
      <c r="JG233" s="4"/>
      <c r="JH233" s="6"/>
      <c r="JI233" s="6"/>
      <c r="JJ233" s="6"/>
      <c r="JK233" s="9"/>
      <c r="JL233"/>
    </row>
    <row r="234">
      <c r="A234" s="8">
        <v>25549</v>
      </c>
      <c r="B234" s="8">
        <v>25552</v>
      </c>
      <c r="C234" s="9">
        <f>B234-A234</f>
        <v>3</v>
      </c>
      <c r="D234" s="8">
        <v>25549</v>
      </c>
      <c r="E234" t="inlineStr">
        <is>
          <t xml:space="preserve">neutral</t>
        </is>
      </c>
      <c r="F234" s="4">
        <v>1.9213973991865068</v>
      </c>
      <c r="G234" s="6">
        <v>0.00570027585342156</v>
      </c>
      <c r="H234" s="7">
        <f>SUM(CE234,CZ234,DU234,EP234,FK234,GF234,HA234,HV234,IQ234,JL234)</f>
        <v>0.00570027585342156</v>
      </c>
      <c r="I234" s="7">
        <f>G234-H234</f>
        <v>0</v>
      </c>
      <c r="J234" s="5">
        <f>F234*(1+H234)</f>
        <v>1.9323498943859165</v>
      </c>
      <c r="K234" s="4">
        <v>1.9323498943859165</v>
      </c>
      <c r="L234" s="5">
        <f>K234-J234</f>
        <v>0</v>
      </c>
      <c r="M234" s="4">
        <v>1.748</v>
      </c>
      <c r="N234" s="4">
        <v>1.758</v>
      </c>
      <c r="O234" s="5">
        <f>M234/$M$3</f>
        <v>0.8927477017364658</v>
      </c>
      <c r="P234" s="5">
        <f>N234/$M$3</f>
        <v>0.8978549540347294</v>
      </c>
      <c r="Q234" s="7">
        <f>IFERROR(N234/M234-1,0)</f>
        <v>0.005720823798627039</v>
      </c>
      <c r="R234" s="5">
        <f>SUM(IF(BM234="lease",BU234,0),IF(CH234="lease",CP234,0),IF(DC234="lease",DK234,0),IF(DX234="lease",EF234,0),IF(ES234="lease",FA234,0),IF(FN234="lease",FV234,0),IF(GI234="lease",GQ234,0),IF(HD234="lease",HL234,0),IF(HY234="lease",IG234,0),IF(IT234="lease",JB234,0))</f>
        <v>1.921397399186506</v>
      </c>
      <c r="S234" s="5">
        <f>SUM(IF(BM234="lease",BV234,0),IF(CH234="lease",CQ234,0),IF(DC234="lease",DL234,0),IF(DX234="lease",EG234,0),IF(ES234="lease",FB234,0),IF(FN234="lease",FW234,0),IF(GI234="lease",GR234,0),IF(HD234="lease",HM234,0),IF(HY234="lease",IH234,0),IF(IT234="lease",JC234,0))</f>
        <v>1.9323498943859159</v>
      </c>
      <c r="T234" s="5">
        <f>SUM(IF(BM234="keep",BU234,0),IF(CH234="keep",CP234,0),IF(DC234="keep",DK234,0),IF(DX234="keep",EF234,0),IF(ES234="keep",FA234,0),IF(FN234="keep",FV234,0),IF(GI234="keep",GQ234,0),IF(HD234="keep",HL234,0),IF(HY234="keep",IG234,0),IF(IT234="keep",JB234,0))</f>
        <v>0</v>
      </c>
      <c r="U234" s="5">
        <f>SUM(IF(BM234="keep",BV234,0),IF(CH234="keep",CQ234,0),IF(DC234="keep",DL234,0),IF(DX234="keep",EG234,0),IF(ES234="keep",FB234,0),IF(FN234="keep",FW234,0),IF(GI234="keep",GR234,0),IF(HD234="keep",HM234,0),IF(HY234="keep",IH234,0),IF(IT234="keep",JC234,0))</f>
        <v>0</v>
      </c>
      <c r="V234" s="5">
        <f>R234/O234</f>
        <v>2.152228894512116</v>
      </c>
      <c r="W234" s="5">
        <f>S234/P234</f>
        <v>2.1521849221886367</v>
      </c>
      <c r="X234" s="5">
        <f>T234/O234</f>
        <v>0</v>
      </c>
      <c r="Y234" s="5">
        <f>U234/P234</f>
        <v>0</v>
      </c>
      <c r="Z234" s="5">
        <f>V234+X234</f>
        <v>2.152228894512116</v>
      </c>
      <c r="AA234" s="7">
        <f>IFERROR(W234/V234-1,0)</f>
        <v>-0.00002043106269566941</v>
      </c>
      <c r="AB234" s="7">
        <f>IFERROR((W234-V234)/Z234,0)</f>
        <v>-0.000020431062695713006</v>
      </c>
      <c r="AC234" s="7">
        <f>IFERROR(Y234/X234-1,0)</f>
        <v>0</v>
      </c>
      <c r="AD234" s="7">
        <f>IFERROR((Y234-X234)/Z234,0)</f>
        <v>0</v>
      </c>
      <c r="AE234" s="7">
        <f>AB234+AD234</f>
        <v>-0.000020431062695713006</v>
      </c>
      <c r="AF234" s="7">
        <f>(1+Q234)*(1+AE234)-1</f>
        <v>0.005700275853421699</v>
      </c>
      <c r="AG234" s="7">
        <f>G234-AF234</f>
        <v>-1.3877787807814457e-16</v>
      </c>
      <c r="AH234" s="5">
        <f>SUM(IF(BM234="lease",BW234,0),IF(CH234="lease",CR234,0),IF(DC234="lease",DM234,0),IF(DX234="lease",EH234,0),IF(ES234="lease",FC234,0),IF(FN234="lease",FX234,0),IF(GI234="lease",GS234,0),IF(HD234="lease",HN234,0),IF(HY234="lease",II234,0),IF(IT234="lease",JD234,0))</f>
        <v>0.010952495199409832</v>
      </c>
      <c r="AI234" s="5">
        <f>SUM(IF(BM234="keep",BW234,0),IF(CH234="keep",CR234,0),IF(DC234="keep",DM234,0),IF(DX234="keep",EH234,0),IF(ES234="keep",FC234,0),IF(FN234="keep",FX234,0),IF(GI234="keep",GS234,0),IF(HD234="keep",HN234,0),IF(HY234="keep",II234,0),IF(IT234="keep",JD234,0))</f>
        <v>0</v>
      </c>
      <c r="AJ234" s="5">
        <f>SUM(IF(BM234="lease",BX234,0),IF(CH234="lease",CS234,0),IF(DC234="lease",DN234,0),IF(DX234="lease",EI234,0),IF(ES234="lease",FD234,0),IF(FN234="lease",FY234,0),IF(GI234="lease",GT234,0),IF(HD234="lease",HO234,0),IF(HY234="lease",IJ234,0),IF(IT234="lease",JE234,0))</f>
        <v>0</v>
      </c>
      <c r="AK234" s="5">
        <f>SUM(IF(BM234="keep",BX234,0),IF(CH234="keep",CS234,0),IF(DC234="keep",DN234,0),IF(DX234="keep",EI234,0),IF(ES234="keep",FD234,0),IF(FN234="keep",FY234,0),IF(GI234="keep",GT234,0),IF(HD234="keep",HO234,0),IF(HY234="keep",IJ234,0),IF(IT234="keep",JE234,0))</f>
        <v>0</v>
      </c>
      <c r="AL234" s="5">
        <f>R234-S233</f>
        <v>-2.220446049250313e-16</v>
      </c>
      <c r="AM234" s="5">
        <f>T234-U233</f>
        <v>0</v>
      </c>
      <c r="AN234" s="5">
        <f>AN233</f>
        <v>1</v>
      </c>
      <c r="AO234" s="5">
        <f>AO233+AH234</f>
        <v>0.9323498943859166</v>
      </c>
      <c r="AP234" s="5">
        <f>AP233+AL234</f>
        <v>4.440892098500626e-16</v>
      </c>
      <c r="AQ234" s="5">
        <f>AN234+AO234+AP234</f>
        <v>1.9323498943859172</v>
      </c>
      <c r="AR234" s="5">
        <f>S234-AQ234</f>
        <v>-1.3322676295501878e-15</v>
      </c>
      <c r="AS234" s="5">
        <f>AS233</f>
        <v>0</v>
      </c>
      <c r="AT234" s="5">
        <f>AT233+AI234</f>
        <v>0</v>
      </c>
      <c r="AU234" s="5">
        <f>AU233+AM234</f>
        <v>0</v>
      </c>
      <c r="AV234" s="5">
        <f>AS234+AT234+AU234</f>
        <v>0</v>
      </c>
      <c r="AW234" s="5">
        <f>U234-AV234</f>
        <v>0</v>
      </c>
      <c r="AX234" s="4">
        <v>1.921397399186506</v>
      </c>
      <c r="AY234" s="4">
        <v>1.9323498943859159</v>
      </c>
      <c r="AZ234" s="5">
        <f>S234-AY234</f>
        <v>0</v>
      </c>
      <c r="BA234" s="4">
        <v>0</v>
      </c>
      <c r="BB234" s="4">
        <v>0</v>
      </c>
      <c r="BC234" s="5">
        <f>U234-BB234</f>
        <v>0</v>
      </c>
      <c r="BD234" s="7">
        <f>SUM(IF(BL234="direct",CE234,0),IF(CG234="direct",CZ234,0),IF(DB234="direct",DU234,0),IF(DW234="direct",EP234,0),IF(ER234="direct",FK234,0),IF(FM234="direct",GF234,0),IF(GH234="direct",HA234,0),IF(HC234="direct",HV234,0),IF(HX234="direct",IQ234,0),IF(IS234="direct",JL234,0))</f>
        <v>0.00570027585342156</v>
      </c>
      <c r="BE234" s="7">
        <f>SUM(IF(BL234="treasury",CE234,0),IF(CG234="treasury",CZ234,0),IF(DB234="treasury",DU234,0),IF(DW234="treasury",EP234,0),IF(ER234="treasury",FK234,0),IF(FM234="treasury",GF234,0),IF(GH234="treasury",HA234,0),IF(HC234="treasury",HV234,0),IF(HX234="treasury",IQ234,0),IF(IS234="treasury",JL234,0))</f>
        <v>0</v>
      </c>
      <c r="BF234" s="7">
        <f>SUM(IF(BL234="future",CE234,0),IF(CG234="future",CZ234,0),IF(DB234="future",DU234,0),IF(DW234="future",EP234,0),IF(ER234="future",FK234,0),IF(FM234="future",GF234,0),IF(GH234="future",HA234,0),IF(HC234="future",HV234,0),IF(HX234="future",IQ234,0),IF(IS234="future",JL234,0))</f>
        <v>0</v>
      </c>
      <c r="BG234" s="7">
        <f>SUM(IF(BL234="cash",CE234,0),IF(CG234="cash",CZ234,0),IF(DB234="cash",DU234,0),IF(DW234="cash",EP234,0),IF(ER234="cash",FK234,0),IF(FM234="cash",GF234,0),IF(GH234="cash",HA234,0),IF(HC234="cash",HV234,0),IF(HX234="cash",IQ234,0),IF(IS234="cash",JL234,0))</f>
        <v>0</v>
      </c>
      <c r="BH234" s="7">
        <f>SUM(BD234:BG234)</f>
        <v>0.00570027585342156</v>
      </c>
      <c r="BI234" s="7">
        <f>G234-BH234</f>
        <v>0</v>
      </c>
      <c r="BJ234" s="9">
        <f>COUNTA(BK234,CF234,DA234,DV234,EQ234,FL234,GG234,HB234,HW234,IR234)</f>
        <v>3</v>
      </c>
      <c r="BK234" t="inlineStr">
        <is>
          <t xml:space="preserve">Direct commodity holding</t>
        </is>
      </c>
      <c r="BL234" t="inlineStr">
        <is>
          <t xml:space="preserve">direct</t>
        </is>
      </c>
      <c r="BM234" t="inlineStr">
        <is>
          <t xml:space="preserve">lease</t>
        </is>
      </c>
      <c r="BN234" t="inlineStr">
        <is>
          <t xml:space="preserve">long</t>
        </is>
      </c>
      <c r="BO234"/>
      <c r="BP234" s="4">
        <v>1.748</v>
      </c>
      <c r="BQ234" s="4">
        <v>1.758</v>
      </c>
      <c r="BR234" s="4">
        <v>1.0991975967886194</v>
      </c>
      <c r="BS234" s="6">
        <v>1</v>
      </c>
      <c r="BT234" s="4">
        <v>1.9213973991865068</v>
      </c>
      <c r="BU234" s="4">
        <v>1.9213973991865068</v>
      </c>
      <c r="BV234" s="4">
        <v>1.9323893751543928</v>
      </c>
      <c r="BW234" s="4">
        <v>0.010952495199409832</v>
      </c>
      <c r="BX234" s="4">
        <v>0.00003948076847620427</v>
      </c>
      <c r="BY234" s="4">
        <v>1.748</v>
      </c>
      <c r="BZ234" s="4">
        <v>1.758</v>
      </c>
      <c r="CA234" s="6"/>
      <c r="CB234" s="6"/>
      <c r="CC234" s="6"/>
      <c r="CD234" s="9"/>
      <c r="CE234" s="7">
        <f>IFERROR(BW234/F234,0)</f>
        <v>0.00570027585342156</v>
      </c>
      <c r="CF234" t="inlineStr">
        <is>
          <t xml:space="preserve">Lease cash / margin / financing</t>
        </is>
      </c>
      <c r="CG234" t="inlineStr">
        <is>
          <t xml:space="preserve">cash</t>
        </is>
      </c>
      <c r="CH234" t="inlineStr">
        <is>
          <t xml:space="preserve">lease</t>
        </is>
      </c>
      <c r="CI234" t="inlineStr">
        <is>
          <t xml:space="preserve">cash</t>
        </is>
      </c>
      <c r="CJ234"/>
      <c r="CK234" s="4">
        <v>1</v>
      </c>
      <c r="CL234" s="4">
        <v>1</v>
      </c>
      <c r="CM234" s="4">
        <v>-6.661338147750939e-16</v>
      </c>
      <c r="CN234" s="6"/>
      <c r="CO234" s="4">
        <v>-6.661338147750939e-16</v>
      </c>
      <c r="CP234" s="4">
        <v>-6.661338147750939e-16</v>
      </c>
      <c r="CQ234" s="4">
        <v>-0.000039480768476870404</v>
      </c>
      <c r="CR234" s="4">
        <v>0</v>
      </c>
      <c r="CS234" s="4">
        <v>-0.00003948076847620427</v>
      </c>
      <c r="CT234" s="4">
        <v>1.748</v>
      </c>
      <c r="CU234" s="4">
        <v>1.758</v>
      </c>
      <c r="CV234" s="6"/>
      <c r="CW234" s="6"/>
      <c r="CX234" s="6"/>
      <c r="CY234" s="9"/>
      <c r="CZ234" s="7">
        <f>IFERROR(CR234/F234,0)</f>
        <v>0</v>
      </c>
      <c r="DA234" t="inlineStr">
        <is>
          <t xml:space="preserve">Keep cash / margin / financing</t>
        </is>
      </c>
      <c r="DB234" t="inlineStr">
        <is>
          <t xml:space="preserve">cash</t>
        </is>
      </c>
      <c r="DC234" t="inlineStr">
        <is>
          <t xml:space="preserve">keep</t>
        </is>
      </c>
      <c r="DD234" t="inlineStr">
        <is>
          <t xml:space="preserve">cash</t>
        </is>
      </c>
      <c r="DE234"/>
      <c r="DF234" s="4">
        <v>1</v>
      </c>
      <c r="DG234" s="4">
        <v>1</v>
      </c>
      <c r="DH234" s="4">
        <v>0</v>
      </c>
      <c r="DI234" s="6"/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1.748</v>
      </c>
      <c r="DP234" s="4">
        <v>1.758</v>
      </c>
      <c r="DQ234" s="6"/>
      <c r="DR234" s="6"/>
      <c r="DS234" s="6"/>
      <c r="DT234" s="9"/>
      <c r="DU234" s="7">
        <f>IFERROR(DM234/F234,0)</f>
        <v>0</v>
      </c>
      <c r="DV234"/>
      <c r="DW234"/>
      <c r="DX234"/>
      <c r="DY234"/>
      <c r="DZ234"/>
      <c r="EA234" s="4"/>
      <c r="EB234" s="4"/>
      <c r="EC234" s="4"/>
      <c r="ED234" s="6"/>
      <c r="EE234" s="4"/>
      <c r="EF234" s="4"/>
      <c r="EG234" s="4"/>
      <c r="EH234" s="4"/>
      <c r="EI234" s="4"/>
      <c r="EJ234" s="4"/>
      <c r="EK234" s="4"/>
      <c r="EL234" s="6"/>
      <c r="EM234" s="6"/>
      <c r="EN234" s="6"/>
      <c r="EO234" s="9"/>
      <c r="EP234"/>
      <c r="EQ234"/>
      <c r="ER234"/>
      <c r="ES234"/>
      <c r="ET234"/>
      <c r="EU234"/>
      <c r="EV234" s="4"/>
      <c r="EW234" s="4"/>
      <c r="EX234" s="4"/>
      <c r="EY234" s="6"/>
      <c r="EZ234" s="4"/>
      <c r="FA234" s="4"/>
      <c r="FB234" s="4"/>
      <c r="FC234" s="4"/>
      <c r="FD234" s="4"/>
      <c r="FE234" s="4"/>
      <c r="FF234" s="4"/>
      <c r="FG234" s="6"/>
      <c r="FH234" s="6"/>
      <c r="FI234" s="6"/>
      <c r="FJ234" s="9"/>
      <c r="FK234"/>
      <c r="FL234"/>
      <c r="FM234"/>
      <c r="FN234"/>
      <c r="FO234"/>
      <c r="FP234"/>
      <c r="FQ234" s="4"/>
      <c r="FR234" s="4"/>
      <c r="FS234" s="4"/>
      <c r="FT234" s="6"/>
      <c r="FU234" s="4"/>
      <c r="FV234" s="4"/>
      <c r="FW234" s="4"/>
      <c r="FX234" s="4"/>
      <c r="FY234" s="4"/>
      <c r="FZ234" s="4"/>
      <c r="GA234" s="4"/>
      <c r="GB234" s="6"/>
      <c r="GC234" s="6"/>
      <c r="GD234" s="6"/>
      <c r="GE234" s="9"/>
      <c r="GF234"/>
      <c r="GG234"/>
      <c r="GH234"/>
      <c r="GI234"/>
      <c r="GJ234"/>
      <c r="GK234"/>
      <c r="GL234" s="4"/>
      <c r="GM234" s="4"/>
      <c r="GN234" s="4"/>
      <c r="GO234" s="6"/>
      <c r="GP234" s="4"/>
      <c r="GQ234" s="4"/>
      <c r="GR234" s="4"/>
      <c r="GS234" s="4"/>
      <c r="GT234" s="4"/>
      <c r="GU234" s="4"/>
      <c r="GV234" s="4"/>
      <c r="GW234" s="6"/>
      <c r="GX234" s="6"/>
      <c r="GY234" s="6"/>
      <c r="GZ234" s="9"/>
      <c r="HA234"/>
      <c r="HB234"/>
      <c r="HC234"/>
      <c r="HD234"/>
      <c r="HE234"/>
      <c r="HF234"/>
      <c r="HG234" s="4"/>
      <c r="HH234" s="4"/>
      <c r="HI234" s="4"/>
      <c r="HJ234" s="6"/>
      <c r="HK234" s="4"/>
      <c r="HL234" s="4"/>
      <c r="HM234" s="4"/>
      <c r="HN234" s="4"/>
      <c r="HO234" s="4"/>
      <c r="HP234" s="4"/>
      <c r="HQ234" s="4"/>
      <c r="HR234" s="6"/>
      <c r="HS234" s="6"/>
      <c r="HT234" s="6"/>
      <c r="HU234" s="9"/>
      <c r="HV234"/>
      <c r="HW234"/>
      <c r="HX234"/>
      <c r="HY234"/>
      <c r="HZ234"/>
      <c r="IA234"/>
      <c r="IB234" s="4"/>
      <c r="IC234" s="4"/>
      <c r="ID234" s="4"/>
      <c r="IE234" s="6"/>
      <c r="IF234" s="4"/>
      <c r="IG234" s="4"/>
      <c r="IH234" s="4"/>
      <c r="II234" s="4"/>
      <c r="IJ234" s="4"/>
      <c r="IK234" s="4"/>
      <c r="IL234" s="4"/>
      <c r="IM234" s="6"/>
      <c r="IN234" s="6"/>
      <c r="IO234" s="6"/>
      <c r="IP234" s="9"/>
      <c r="IQ234"/>
      <c r="IR234"/>
      <c r="IS234"/>
      <c r="IT234"/>
      <c r="IU234"/>
      <c r="IV234"/>
      <c r="IW234" s="4"/>
      <c r="IX234" s="4"/>
      <c r="IY234" s="4"/>
      <c r="IZ234" s="6"/>
      <c r="JA234" s="4"/>
      <c r="JB234" s="4"/>
      <c r="JC234" s="4"/>
      <c r="JD234" s="4"/>
      <c r="JE234" s="4"/>
      <c r="JF234" s="4"/>
      <c r="JG234" s="4"/>
      <c r="JH234" s="6"/>
      <c r="JI234" s="6"/>
      <c r="JJ234" s="6"/>
      <c r="JK234" s="9"/>
      <c r="JL234"/>
    </row>
    <row r="235">
      <c r="A235" s="8">
        <v>25552</v>
      </c>
      <c r="B235" s="8">
        <v>25553</v>
      </c>
      <c r="C235" s="9">
        <f>B235-A235</f>
        <v>1</v>
      </c>
      <c r="D235" s="8">
        <v>25552</v>
      </c>
      <c r="E235" t="inlineStr">
        <is>
          <t xml:space="preserve">positive</t>
        </is>
      </c>
      <c r="F235" s="4">
        <v>1.9323498943859165</v>
      </c>
      <c r="G235" s="6">
        <v>-0.01748718516905793</v>
      </c>
      <c r="H235" s="7">
        <f>SUM(CE235,CZ235,DU235,EP235,FK235,GF235,HA235,HV235,IQ235,JL235)</f>
        <v>-0.017487185169057926</v>
      </c>
      <c r="I235" s="7">
        <f>G235-H235</f>
        <v>-3.469446951953614e-18</v>
      </c>
      <c r="J235" s="5">
        <f>F235*(1+H235)</f>
        <v>1.8985585339713806</v>
      </c>
      <c r="K235" s="4">
        <v>1.8985585339713806</v>
      </c>
      <c r="L235" s="5">
        <f>K235-J235</f>
        <v>0</v>
      </c>
      <c r="M235" s="4">
        <v>1.758</v>
      </c>
      <c r="N235" s="4">
        <v>1.758</v>
      </c>
      <c r="O235" s="5">
        <f>M235/$M$3</f>
        <v>0.8978549540347294</v>
      </c>
      <c r="P235" s="5">
        <f>N235/$M$3</f>
        <v>0.8978549540347294</v>
      </c>
      <c r="Q235" s="7">
        <f>IFERROR(N235/M235-1,0)</f>
        <v>0</v>
      </c>
      <c r="R235" s="5">
        <f>SUM(IF(BM235="lease",BU235,0),IF(CH235="lease",CP235,0),IF(DC235="lease",DK235,0),IF(DX235="lease",EF235,0),IF(ES235="lease",FA235,0),IF(FN235="lease",FV235,0),IF(GI235="lease",GQ235,0),IF(HD235="lease",HL235,0),IF(HY235="lease",IG235,0),IF(IT235="lease",JB235,0))</f>
        <v>1.9323498943859159</v>
      </c>
      <c r="S235" s="5">
        <f>SUM(IF(BM235="lease",BV235,0),IF(CH235="lease",CQ235,0),IF(DC235="lease",DL235,0),IF(DX235="lease",EG235,0),IF(ES235="lease",FB235,0),IF(FN235="lease",FW235,0),IF(GI235="lease",GR235,0),IF(HD235="lease",HM235,0),IF(HY235="lease",IH235,0),IF(IT235="lease",JC235,0))</f>
        <v>1.8985585339713797</v>
      </c>
      <c r="T235" s="5">
        <f>SUM(IF(BM235="keep",BU235,0),IF(CH235="keep",CP235,0),IF(DC235="keep",DK235,0),IF(DX235="keep",EF235,0),IF(ES235="keep",FA235,0),IF(FN235="keep",FV235,0),IF(GI235="keep",GQ235,0),IF(HD235="keep",HL235,0),IF(HY235="keep",IG235,0),IF(IT235="keep",JB235,0))</f>
        <v>0</v>
      </c>
      <c r="U235" s="5">
        <f>SUM(IF(BM235="keep",BV235,0),IF(CH235="keep",CQ235,0),IF(DC235="keep",DL235,0),IF(DX235="keep",EG235,0),IF(ES235="keep",FB235,0),IF(FN235="keep",FW235,0),IF(GI235="keep",GR235,0),IF(HD235="keep",HM235,0),IF(HY235="keep",IH235,0),IF(IT235="keep",JC235,0))</f>
        <v>0</v>
      </c>
      <c r="V235" s="5">
        <f>R235/O235</f>
        <v>2.1521849221886367</v>
      </c>
      <c r="W235" s="5">
        <f>S235/P235</f>
        <v>2.1145492659362692</v>
      </c>
      <c r="X235" s="5">
        <f>T235/O235</f>
        <v>0</v>
      </c>
      <c r="Y235" s="5">
        <f>U235/P235</f>
        <v>0</v>
      </c>
      <c r="Z235" s="5">
        <f>V235+X235</f>
        <v>2.1521849221886367</v>
      </c>
      <c r="AA235" s="7">
        <f>IFERROR(W235/V235-1,0)</f>
        <v>-0.017487185169058006</v>
      </c>
      <c r="AB235" s="7">
        <f>IFERROR((W235-V235)/Z235,0)</f>
        <v>-0.017487185169058023</v>
      </c>
      <c r="AC235" s="7">
        <f>IFERROR(Y235/X235-1,0)</f>
        <v>0</v>
      </c>
      <c r="AD235" s="7">
        <f>IFERROR((Y235-X235)/Z235,0)</f>
        <v>0</v>
      </c>
      <c r="AE235" s="7">
        <f>AB235+AD235</f>
        <v>-0.017487185169058023</v>
      </c>
      <c r="AF235" s="7">
        <f>(1+Q235)*(1+AE235)-1</f>
        <v>-0.017487185169058006</v>
      </c>
      <c r="AG235" s="7">
        <f>G235-AF235</f>
        <v>7.632783294297951e-17</v>
      </c>
      <c r="AH235" s="5">
        <f>SUM(IF(BM235="lease",BW235,0),IF(CH235="lease",CR235,0),IF(DC235="lease",DM235,0),IF(DX235="lease",EH235,0),IF(ES235="lease",FC235,0),IF(FN235="lease",FX235,0),IF(GI235="lease",GS235,0),IF(HD235="lease",HN235,0),IF(HY235="lease",II235,0),IF(IT235="lease",JD235,0))</f>
        <v>-0.03379136041453605</v>
      </c>
      <c r="AI235" s="5">
        <f>SUM(IF(BM235="keep",BW235,0),IF(CH235="keep",CR235,0),IF(DC235="keep",DM235,0),IF(DX235="keep",EH235,0),IF(ES235="keep",FC235,0),IF(FN235="keep",FX235,0),IF(GI235="keep",GS235,0),IF(HD235="keep",HN235,0),IF(HY235="keep",II235,0),IF(IT235="keep",JD235,0))</f>
        <v>0</v>
      </c>
      <c r="AJ235" s="5">
        <f>SUM(IF(BM235="lease",BX235,0),IF(CH235="lease",CS235,0),IF(DC235="lease",DN235,0),IF(DX235="lease",EI235,0),IF(ES235="lease",FD235,0),IF(FN235="lease",FY235,0),IF(GI235="lease",GT235,0),IF(HD235="lease",HO235,0),IF(HY235="lease",IJ235,0),IF(IT235="lease",JE235,0))</f>
        <v>0</v>
      </c>
      <c r="AK235" s="5">
        <f>SUM(IF(BM235="keep",BX235,0),IF(CH235="keep",CS235,0),IF(DC235="keep",DN235,0),IF(DX235="keep",EI235,0),IF(ES235="keep",FD235,0),IF(FN235="keep",FY235,0),IF(GI235="keep",GT235,0),IF(HD235="keep",HO235,0),IF(HY235="keep",IJ235,0),IF(IT235="keep",JE235,0))</f>
        <v>0</v>
      </c>
      <c r="AL235" s="5">
        <f>R235-S234</f>
        <v>0</v>
      </c>
      <c r="AM235" s="5">
        <f>T235-U234</f>
        <v>0</v>
      </c>
      <c r="AN235" s="5">
        <f>AN234</f>
        <v>1</v>
      </c>
      <c r="AO235" s="5">
        <f>AO234+AH235</f>
        <v>0.8985585339713806</v>
      </c>
      <c r="AP235" s="5">
        <f>AP234+AL235</f>
        <v>4.440892098500626e-16</v>
      </c>
      <c r="AQ235" s="5">
        <f>AN235+AO235+AP235</f>
        <v>1.898558533971381</v>
      </c>
      <c r="AR235" s="5">
        <f>S235-AQ235</f>
        <v>-1.3322676295501878e-15</v>
      </c>
      <c r="AS235" s="5">
        <f>AS234</f>
        <v>0</v>
      </c>
      <c r="AT235" s="5">
        <f>AT234+AI235</f>
        <v>0</v>
      </c>
      <c r="AU235" s="5">
        <f>AU234+AM235</f>
        <v>0</v>
      </c>
      <c r="AV235" s="5">
        <f>AS235+AT235+AU235</f>
        <v>0</v>
      </c>
      <c r="AW235" s="5">
        <f>U235-AV235</f>
        <v>0</v>
      </c>
      <c r="AX235" s="4">
        <v>1.9323498943859159</v>
      </c>
      <c r="AY235" s="4">
        <v>1.8985585339713797</v>
      </c>
      <c r="AZ235" s="5">
        <f>S235-AY235</f>
        <v>0</v>
      </c>
      <c r="BA235" s="4">
        <v>0</v>
      </c>
      <c r="BB235" s="4">
        <v>0</v>
      </c>
      <c r="BC235" s="5">
        <f>U235-BB235</f>
        <v>0</v>
      </c>
      <c r="BD235" s="7">
        <f>SUM(IF(BL235="direct",CE235,0),IF(CG235="direct",CZ235,0),IF(DB235="direct",DU235,0),IF(DW235="direct",EP235,0),IF(ER235="direct",FK235,0),IF(FM235="direct",GF235,0),IF(GH235="direct",HA235,0),IF(HC235="direct",HV235,0),IF(HX235="direct",IQ235,0),IF(IS235="direct",JL235,0))</f>
        <v>0</v>
      </c>
      <c r="BE235" s="7">
        <f>SUM(IF(BL235="treasury",CE235,0),IF(CG235="treasury",CZ235,0),IF(DB235="treasury",DU235,0),IF(DW235="treasury",EP235,0),IF(ER235="treasury",FK235,0),IF(FM235="treasury",GF235,0),IF(GH235="treasury",HA235,0),IF(HC235="treasury",HV235,0),IF(HX235="treasury",IQ235,0),IF(IS235="treasury",JL235,0))</f>
        <v>0.000216986301369863</v>
      </c>
      <c r="BF235" s="7">
        <f>SUM(IF(BL235="future",CE235,0),IF(CG235="future",CZ235,0),IF(DB235="future",DU235,0),IF(DW235="future",EP235,0),IF(ER235="future",FK235,0),IF(FM235="future",GF235,0),IF(GH235="future",HA235,0),IF(HC235="future",HV235,0),IF(HX235="future",IQ235,0),IF(IS235="future",JL235,0))</f>
        <v>-0.01770417147042779</v>
      </c>
      <c r="BG235" s="7">
        <f>SUM(IF(BL235="cash",CE235,0),IF(CG235="cash",CZ235,0),IF(DB235="cash",DU235,0),IF(DW235="cash",EP235,0),IF(ER235="cash",FK235,0),IF(FM235="cash",GF235,0),IF(GH235="cash",HA235,0),IF(HC235="cash",HV235,0),IF(HX235="cash",IQ235,0),IF(IS235="cash",JL235,0))</f>
        <v>0</v>
      </c>
      <c r="BH235" s="7">
        <f>SUM(BD235:BG235)</f>
        <v>-0.01748718516905793</v>
      </c>
      <c r="BI235" s="7">
        <f>G235-BH235</f>
        <v>0</v>
      </c>
      <c r="BJ235" s="9">
        <f>COUNTA(BK235,CF235,DA235,DV235,EQ235,FL235,GG235,HB235,HW235,IR235)</f>
        <v>5</v>
      </c>
      <c r="BK235" t="inlineStr">
        <is>
          <t xml:space="preserve">Treasury collateral</t>
        </is>
      </c>
      <c r="BL235" t="inlineStr">
        <is>
          <t xml:space="preserve">treasury</t>
        </is>
      </c>
      <c r="BM235" t="inlineStr">
        <is>
          <t xml:space="preserve">lease</t>
        </is>
      </c>
      <c r="BN235" t="inlineStr">
        <is>
          <t xml:space="preserve">long</t>
        </is>
      </c>
      <c r="BO235"/>
      <c r="BP235" s="4">
        <v>106.4817578518817</v>
      </c>
      <c r="BQ235" s="4">
        <v>106.50486293468133</v>
      </c>
      <c r="BR235" s="4">
        <v>0.018147238863898685</v>
      </c>
      <c r="BS235" s="6">
        <v>1</v>
      </c>
      <c r="BT235" s="4">
        <v>1.9323498943859165</v>
      </c>
      <c r="BU235" s="4">
        <v>1.9323498943859165</v>
      </c>
      <c r="BV235" s="4">
        <v>1.9327691878424516</v>
      </c>
      <c r="BW235" s="4">
        <v>0.0004192934565352454</v>
      </c>
      <c r="BX235" s="4">
        <v>-2.2616457318047622e-16</v>
      </c>
      <c r="BY235" s="4">
        <v>1.758</v>
      </c>
      <c r="BZ235" s="4">
        <v>1.758</v>
      </c>
      <c r="CA235" s="6"/>
      <c r="CB235" s="6"/>
      <c r="CC235" s="6"/>
      <c r="CD235" s="9">
        <v>14</v>
      </c>
      <c r="CE235" s="7">
        <f>IFERROR(BW235/F235,0)</f>
        <v>0.000216986301369863</v>
      </c>
      <c r="CF235" t="inlineStr">
        <is>
          <t xml:space="preserve">SI69Z</t>
        </is>
      </c>
      <c r="CG235" t="inlineStr">
        <is>
          <t xml:space="preserve">future</t>
        </is>
      </c>
      <c r="CH235" t="inlineStr">
        <is>
          <t xml:space="preserve">lease</t>
        </is>
      </c>
      <c r="CI235" t="inlineStr">
        <is>
          <t xml:space="preserve">long</t>
        </is>
      </c>
      <c r="CJ235" t="inlineStr">
        <is>
          <t xml:space="preserve">regular</t>
        </is>
      </c>
      <c r="CK235" s="4">
        <v>1.751</v>
      </c>
      <c r="CL235" s="4">
        <v>1.72</v>
      </c>
      <c r="CM235" s="4">
        <v>1.103568070177503</v>
      </c>
      <c r="CN235" s="6">
        <v>0.9999988596759235</v>
      </c>
      <c r="CO235" s="4">
        <v>1.9323476908808077</v>
      </c>
      <c r="CP235" s="4">
        <v>0</v>
      </c>
      <c r="CQ235" s="4">
        <v>0</v>
      </c>
      <c r="CR235" s="4">
        <v>-0.034210610175502566</v>
      </c>
      <c r="CS235" s="4">
        <v>0.034210610175502566</v>
      </c>
      <c r="CT235" s="4">
        <v>1.758</v>
      </c>
      <c r="CU235" s="4">
        <v>1.758</v>
      </c>
      <c r="CV235" s="6">
        <v>-0.003981797497155881</v>
      </c>
      <c r="CW235" s="6">
        <v>0.07919999999999999</v>
      </c>
      <c r="CX235" s="6">
        <v>0.18301114903299256</v>
      </c>
      <c r="CY235" s="9">
        <v>14</v>
      </c>
      <c r="CZ235" s="7">
        <f>IFERROR(CR235/F235,0)</f>
        <v>-0.01770414885776905</v>
      </c>
      <c r="DA235" t="inlineStr">
        <is>
          <t xml:space="preserve">SI70F</t>
        </is>
      </c>
      <c r="DB235" t="inlineStr">
        <is>
          <t xml:space="preserve">future</t>
        </is>
      </c>
      <c r="DC235" t="inlineStr">
        <is>
          <t xml:space="preserve">lease</t>
        </is>
      </c>
      <c r="DD235" t="inlineStr">
        <is>
          <t xml:space="preserve">long</t>
        </is>
      </c>
      <c r="DE235" t="inlineStr">
        <is>
          <t xml:space="preserve">regular</t>
        </is>
      </c>
      <c r="DF235" s="4">
        <v>1.765</v>
      </c>
      <c r="DG235" s="4">
        <v>1.73</v>
      </c>
      <c r="DH235" s="4">
        <v>0.0000012484448208637065</v>
      </c>
      <c r="DI235" s="6">
        <v>0.0000011403240765175687</v>
      </c>
      <c r="DJ235" s="4">
        <v>0.000002203505108824442</v>
      </c>
      <c r="DK235" s="4">
        <v>0</v>
      </c>
      <c r="DL235" s="4">
        <v>0</v>
      </c>
      <c r="DM235" s="4">
        <v>-4.369556873022952e-8</v>
      </c>
      <c r="DN235" s="4">
        <v>4.369556873022952e-8</v>
      </c>
      <c r="DO235" s="4">
        <v>1.758</v>
      </c>
      <c r="DP235" s="4">
        <v>1.758</v>
      </c>
      <c r="DQ235" s="6">
        <v>0.003981797497155881</v>
      </c>
      <c r="DR235" s="6">
        <v>0.07919999999999999</v>
      </c>
      <c r="DS235" s="6">
        <v>0.0461691798531387</v>
      </c>
      <c r="DT235" s="9">
        <v>44</v>
      </c>
      <c r="DU235" s="7">
        <f>IFERROR(DM235/F235,0)</f>
        <v>-2.2612658741141483e-8</v>
      </c>
      <c r="DV235" t="inlineStr">
        <is>
          <t xml:space="preserve">Lease cash / margin / financing</t>
        </is>
      </c>
      <c r="DW235" t="inlineStr">
        <is>
          <t xml:space="preserve">cash</t>
        </is>
      </c>
      <c r="DX235" t="inlineStr">
        <is>
          <t xml:space="preserve">lease</t>
        </is>
      </c>
      <c r="DY235" t="inlineStr">
        <is>
          <t xml:space="preserve">cash</t>
        </is>
      </c>
      <c r="DZ235"/>
      <c r="EA235" s="4">
        <v>1</v>
      </c>
      <c r="EB235" s="4">
        <v>1</v>
      </c>
      <c r="EC235" s="4">
        <v>-6.661338147750939e-16</v>
      </c>
      <c r="ED235" s="6"/>
      <c r="EE235" s="4">
        <v>-6.661338147750939e-16</v>
      </c>
      <c r="EF235" s="4">
        <v>-6.661338147750939e-16</v>
      </c>
      <c r="EG235" s="4">
        <v>-0.034210653871071736</v>
      </c>
      <c r="EH235" s="4">
        <v>0</v>
      </c>
      <c r="EI235" s="4">
        <v>-0.03421065387107107</v>
      </c>
      <c r="EJ235" s="4">
        <v>1.758</v>
      </c>
      <c r="EK235" s="4">
        <v>1.758</v>
      </c>
      <c r="EL235" s="6"/>
      <c r="EM235" s="6"/>
      <c r="EN235" s="6"/>
      <c r="EO235" s="9"/>
      <c r="EP235" s="7">
        <f>IFERROR(EH235/F235,0)</f>
        <v>0</v>
      </c>
      <c r="EQ235" t="inlineStr">
        <is>
          <t xml:space="preserve">Keep cash / margin / financing</t>
        </is>
      </c>
      <c r="ER235" t="inlineStr">
        <is>
          <t xml:space="preserve">cash</t>
        </is>
      </c>
      <c r="ES235" t="inlineStr">
        <is>
          <t xml:space="preserve">keep</t>
        </is>
      </c>
      <c r="ET235" t="inlineStr">
        <is>
          <t xml:space="preserve">cash</t>
        </is>
      </c>
      <c r="EU235"/>
      <c r="EV235" s="4">
        <v>1</v>
      </c>
      <c r="EW235" s="4">
        <v>1</v>
      </c>
      <c r="EX235" s="4">
        <v>0</v>
      </c>
      <c r="EY235" s="6"/>
      <c r="EZ235" s="4">
        <v>0</v>
      </c>
      <c r="FA235" s="4">
        <v>0</v>
      </c>
      <c r="FB235" s="4">
        <v>0</v>
      </c>
      <c r="FC235" s="4">
        <v>0</v>
      </c>
      <c r="FD235" s="4">
        <v>0</v>
      </c>
      <c r="FE235" s="4">
        <v>1.758</v>
      </c>
      <c r="FF235" s="4">
        <v>1.758</v>
      </c>
      <c r="FG235" s="6"/>
      <c r="FH235" s="6"/>
      <c r="FI235" s="6"/>
      <c r="FJ235" s="9"/>
      <c r="FK235" s="7">
        <f>IFERROR(FC235/F235,0)</f>
        <v>0</v>
      </c>
      <c r="FL235"/>
      <c r="FM235"/>
      <c r="FN235"/>
      <c r="FO235"/>
      <c r="FP235"/>
      <c r="FQ235" s="4"/>
      <c r="FR235" s="4"/>
      <c r="FS235" s="4"/>
      <c r="FT235" s="6"/>
      <c r="FU235" s="4"/>
      <c r="FV235" s="4"/>
      <c r="FW235" s="4"/>
      <c r="FX235" s="4"/>
      <c r="FY235" s="4"/>
      <c r="FZ235" s="4"/>
      <c r="GA235" s="4"/>
      <c r="GB235" s="6"/>
      <c r="GC235" s="6"/>
      <c r="GD235" s="6"/>
      <c r="GE235" s="9"/>
      <c r="GF235"/>
      <c r="GG235"/>
      <c r="GH235"/>
      <c r="GI235"/>
      <c r="GJ235"/>
      <c r="GK235"/>
      <c r="GL235" s="4"/>
      <c r="GM235" s="4"/>
      <c r="GN235" s="4"/>
      <c r="GO235" s="6"/>
      <c r="GP235" s="4"/>
      <c r="GQ235" s="4"/>
      <c r="GR235" s="4"/>
      <c r="GS235" s="4"/>
      <c r="GT235" s="4"/>
      <c r="GU235" s="4"/>
      <c r="GV235" s="4"/>
      <c r="GW235" s="6"/>
      <c r="GX235" s="6"/>
      <c r="GY235" s="6"/>
      <c r="GZ235" s="9"/>
      <c r="HA235"/>
      <c r="HB235"/>
      <c r="HC235"/>
      <c r="HD235"/>
      <c r="HE235"/>
      <c r="HF235"/>
      <c r="HG235" s="4"/>
      <c r="HH235" s="4"/>
      <c r="HI235" s="4"/>
      <c r="HJ235" s="6"/>
      <c r="HK235" s="4"/>
      <c r="HL235" s="4"/>
      <c r="HM235" s="4"/>
      <c r="HN235" s="4"/>
      <c r="HO235" s="4"/>
      <c r="HP235" s="4"/>
      <c r="HQ235" s="4"/>
      <c r="HR235" s="6"/>
      <c r="HS235" s="6"/>
      <c r="HT235" s="6"/>
      <c r="HU235" s="9"/>
      <c r="HV235"/>
      <c r="HW235"/>
      <c r="HX235"/>
      <c r="HY235"/>
      <c r="HZ235"/>
      <c r="IA235"/>
      <c r="IB235" s="4"/>
      <c r="IC235" s="4"/>
      <c r="ID235" s="4"/>
      <c r="IE235" s="6"/>
      <c r="IF235" s="4"/>
      <c r="IG235" s="4"/>
      <c r="IH235" s="4"/>
      <c r="II235" s="4"/>
      <c r="IJ235" s="4"/>
      <c r="IK235" s="4"/>
      <c r="IL235" s="4"/>
      <c r="IM235" s="6"/>
      <c r="IN235" s="6"/>
      <c r="IO235" s="6"/>
      <c r="IP235" s="9"/>
      <c r="IQ235"/>
      <c r="IR235"/>
      <c r="IS235"/>
      <c r="IT235"/>
      <c r="IU235"/>
      <c r="IV235"/>
      <c r="IW235" s="4"/>
      <c r="IX235" s="4"/>
      <c r="IY235" s="4"/>
      <c r="IZ235" s="6"/>
      <c r="JA235" s="4"/>
      <c r="JB235" s="4"/>
      <c r="JC235" s="4"/>
      <c r="JD235" s="4"/>
      <c r="JE235" s="4"/>
      <c r="JF235" s="4"/>
      <c r="JG235" s="4"/>
      <c r="JH235" s="6"/>
      <c r="JI235" s="6"/>
      <c r="JJ235" s="6"/>
      <c r="JK235" s="9"/>
      <c r="JL235"/>
    </row>
    <row r="236">
      <c r="A236" s="8">
        <v>25553</v>
      </c>
      <c r="B236" s="8">
        <v>25554</v>
      </c>
      <c r="C236" s="9">
        <f>B236-A236</f>
        <v>1</v>
      </c>
      <c r="D236" s="8">
        <v>25553</v>
      </c>
      <c r="E236" t="inlineStr">
        <is>
          <t xml:space="preserve">positive</t>
        </is>
      </c>
      <c r="F236" s="4">
        <v>1.8985585339713806</v>
      </c>
      <c r="G236" s="6">
        <v>0.006030665817139225</v>
      </c>
      <c r="H236" s="7">
        <f>SUM(CE236,CZ236,DU236,EP236,FK236,GF236,HA236,HV236,IQ236,JL236)</f>
        <v>0.006030665817139227</v>
      </c>
      <c r="I236" s="7">
        <f>G236-H236</f>
        <v>-1.734723475976807e-18</v>
      </c>
      <c r="J236" s="5">
        <f>F236*(1+H236)</f>
        <v>1.9100081060240397</v>
      </c>
      <c r="K236" s="4">
        <v>1.9100081060240397</v>
      </c>
      <c r="L236" s="5">
        <f>K236-J236</f>
        <v>0</v>
      </c>
      <c r="M236" s="4">
        <v>1.758</v>
      </c>
      <c r="N236" s="4">
        <v>1.733</v>
      </c>
      <c r="O236" s="5">
        <f>M236/$M$3</f>
        <v>0.8978549540347294</v>
      </c>
      <c r="P236" s="5">
        <f>N236/$M$3</f>
        <v>0.8850868232890705</v>
      </c>
      <c r="Q236" s="7">
        <f>IFERROR(N236/M236-1,0)</f>
        <v>-0.014220705346985163</v>
      </c>
      <c r="R236" s="5">
        <f>SUM(IF(BM236="lease",BU236,0),IF(CH236="lease",CP236,0),IF(DC236="lease",DK236,0),IF(DX236="lease",EF236,0),IF(ES236="lease",FA236,0),IF(FN236="lease",FV236,0),IF(GI236="lease",GQ236,0),IF(HD236="lease",HL236,0),IF(HY236="lease",IG236,0),IF(IT236="lease",JB236,0))</f>
        <v>1.8985585339713797</v>
      </c>
      <c r="S236" s="5">
        <f>SUM(IF(BM236="lease",BV236,0),IF(CH236="lease",CQ236,0),IF(DC236="lease",DL236,0),IF(DX236="lease",EG236,0),IF(ES236="lease",FB236,0),IF(FN236="lease",FW236,0),IF(GI236="lease",GR236,0),IF(HD236="lease",HM236,0),IF(HY236="lease",IH236,0),IF(IT236="lease",JC236,0))</f>
        <v>1.9100081060240388</v>
      </c>
      <c r="T236" s="5">
        <f>SUM(IF(BM236="keep",BU236,0),IF(CH236="keep",CP236,0),IF(DC236="keep",DK236,0),IF(DX236="keep",EF236,0),IF(ES236="keep",FA236,0),IF(FN236="keep",FV236,0),IF(GI236="keep",GQ236,0),IF(HD236="keep",HL236,0),IF(HY236="keep",IG236,0),IF(IT236="keep",JB236,0))</f>
        <v>0</v>
      </c>
      <c r="U236" s="5">
        <f>SUM(IF(BM236="keep",BV236,0),IF(CH236="keep",CQ236,0),IF(DC236="keep",DL236,0),IF(DX236="keep",EG236,0),IF(ES236="keep",FB236,0),IF(FN236="keep",FW236,0),IF(GI236="keep",GR236,0),IF(HD236="keep",HM236,0),IF(HY236="keep",IH236,0),IF(IT236="keep",JC236,0))</f>
        <v>0</v>
      </c>
      <c r="V236" s="5">
        <f>R236/O236</f>
        <v>2.1145492659362692</v>
      </c>
      <c r="W236" s="5">
        <f>S236/P236</f>
        <v>2.1579895392931725</v>
      </c>
      <c r="X236" s="5">
        <f>T236/O236</f>
        <v>0</v>
      </c>
      <c r="Y236" s="5">
        <f>U236/P236</f>
        <v>0</v>
      </c>
      <c r="Z236" s="5">
        <f>V236+X236</f>
        <v>2.1145492659362692</v>
      </c>
      <c r="AA236" s="7">
        <f>IFERROR(W236/V236-1,0)</f>
        <v>0.020543514429619547</v>
      </c>
      <c r="AB236" s="7">
        <f>IFERROR((W236-V236)/Z236,0)</f>
        <v>0.02054351442961959</v>
      </c>
      <c r="AC236" s="7">
        <f>IFERROR(Y236/X236-1,0)</f>
        <v>0</v>
      </c>
      <c r="AD236" s="7">
        <f>IFERROR((Y236-X236)/Z236,0)</f>
        <v>0</v>
      </c>
      <c r="AE236" s="7">
        <f>AB236+AD236</f>
        <v>0.02054351442961959</v>
      </c>
      <c r="AF236" s="7">
        <f>(1+Q236)*(1+AE236)-1</f>
        <v>0.00603066581713918</v>
      </c>
      <c r="AG236" s="7">
        <f>G236-AF236</f>
        <v>4.5102810375396984e-17</v>
      </c>
      <c r="AH236" s="5">
        <f>SUM(IF(BM236="lease",BW236,0),IF(CH236="lease",CR236,0),IF(DC236="lease",DM236,0),IF(DX236="lease",EH236,0),IF(ES236="lease",FC236,0),IF(FN236="lease",FX236,0),IF(GI236="lease",GS236,0),IF(HD236="lease",HN236,0),IF(HY236="lease",II236,0),IF(IT236="lease",JD236,0))</f>
        <v>0.011449572052659169</v>
      </c>
      <c r="AI236" s="5">
        <f>SUM(IF(BM236="keep",BW236,0),IF(CH236="keep",CR236,0),IF(DC236="keep",DM236,0),IF(DX236="keep",EH236,0),IF(ES236="keep",FC236,0),IF(FN236="keep",FX236,0),IF(GI236="keep",GS236,0),IF(HD236="keep",HN236,0),IF(HY236="keep",II236,0),IF(IT236="keep",JD236,0))</f>
        <v>0</v>
      </c>
      <c r="AJ236" s="5">
        <f>SUM(IF(BM236="lease",BX236,0),IF(CH236="lease",CS236,0),IF(DC236="lease",DN236,0),IF(DX236="lease",EI236,0),IF(ES236="lease",FD236,0),IF(FN236="lease",FY236,0),IF(GI236="lease",GT236,0),IF(HD236="lease",HO236,0),IF(HY236="lease",IJ236,0),IF(IT236="lease",JE236,0))</f>
        <v>0</v>
      </c>
      <c r="AK236" s="5">
        <f>SUM(IF(BM236="keep",BX236,0),IF(CH236="keep",CS236,0),IF(DC236="keep",DN236,0),IF(DX236="keep",EI236,0),IF(ES236="keep",FD236,0),IF(FN236="keep",FY236,0),IF(GI236="keep",GT236,0),IF(HD236="keep",HO236,0),IF(HY236="keep",IJ236,0),IF(IT236="keep",JE236,0))</f>
        <v>0</v>
      </c>
      <c r="AL236" s="5">
        <f>R236-S235</f>
        <v>0</v>
      </c>
      <c r="AM236" s="5">
        <f>T236-U235</f>
        <v>0</v>
      </c>
      <c r="AN236" s="5">
        <f>AN235</f>
        <v>1</v>
      </c>
      <c r="AO236" s="5">
        <f>AO235+AH236</f>
        <v>0.9100081060240398</v>
      </c>
      <c r="AP236" s="5">
        <f>AP235+AL236</f>
        <v>4.440892098500626e-16</v>
      </c>
      <c r="AQ236" s="5">
        <f>AN236+AO236+AP236</f>
        <v>1.9100081060240401</v>
      </c>
      <c r="AR236" s="5">
        <f>S236-AQ236</f>
        <v>-1.3322676295501878e-15</v>
      </c>
      <c r="AS236" s="5">
        <f>AS235</f>
        <v>0</v>
      </c>
      <c r="AT236" s="5">
        <f>AT235+AI236</f>
        <v>0</v>
      </c>
      <c r="AU236" s="5">
        <f>AU235+AM236</f>
        <v>0</v>
      </c>
      <c r="AV236" s="5">
        <f>AS236+AT236+AU236</f>
        <v>0</v>
      </c>
      <c r="AW236" s="5">
        <f>U236-AV236</f>
        <v>0</v>
      </c>
      <c r="AX236" s="4">
        <v>1.8985585339713797</v>
      </c>
      <c r="AY236" s="4">
        <v>1.9100081060240388</v>
      </c>
      <c r="AZ236" s="5">
        <f>S236-AY236</f>
        <v>0</v>
      </c>
      <c r="BA236" s="4">
        <v>0</v>
      </c>
      <c r="BB236" s="4">
        <v>0</v>
      </c>
      <c r="BC236" s="5">
        <f>U236-BB236</f>
        <v>0</v>
      </c>
      <c r="BD236" s="7">
        <f>SUM(IF(BL236="direct",CE236,0),IF(CG236="direct",CZ236,0),IF(DB236="direct",DU236,0),IF(DW236="direct",EP236,0),IF(ER236="direct",FK236,0),IF(FM236="direct",GF236,0),IF(GH236="direct",HA236,0),IF(HC236="direct",HV236,0),IF(HX236="direct",IQ236,0),IF(IS236="direct",JL236,0))</f>
        <v>0</v>
      </c>
      <c r="BE236" s="7">
        <f>SUM(IF(BL236="treasury",CE236,0),IF(CG236="treasury",CZ236,0),IF(DB236="treasury",DU236,0),IF(DW236="treasury",EP236,0),IF(ER236="treasury",FK236,0),IF(FM236="treasury",GF236,0),IF(GH236="treasury",HA236,0),IF(HC236="treasury",HV236,0),IF(HX236="treasury",IQ236,0),IF(IS236="treasury",JL236,0))</f>
        <v>0.0002167123287671233</v>
      </c>
      <c r="BF236" s="7">
        <f>SUM(IF(BL236="future",CE236,0),IF(CG236="future",CZ236,0),IF(DB236="future",DU236,0),IF(DW236="future",EP236,0),IF(ER236="future",FK236,0),IF(FM236="future",GF236,0),IF(GH236="future",HA236,0),IF(HC236="future",HV236,0),IF(HX236="future",IQ236,0),IF(IS236="future",JL236,0))</f>
        <v>0.005813953488372103</v>
      </c>
      <c r="BG236" s="7">
        <f>SUM(IF(BL236="cash",CE236,0),IF(CG236="cash",CZ236,0),IF(DB236="cash",DU236,0),IF(DW236="cash",EP236,0),IF(ER236="cash",FK236,0),IF(FM236="cash",GF236,0),IF(GH236="cash",HA236,0),IF(HC236="cash",HV236,0),IF(HX236="cash",IQ236,0),IF(IS236="cash",JL236,0))</f>
        <v>0</v>
      </c>
      <c r="BH236" s="7">
        <f>SUM(BD236:BG236)</f>
        <v>0.006030665817139226</v>
      </c>
      <c r="BI236" s="7">
        <f>G236-BH236</f>
        <v>-8.673617379884035e-19</v>
      </c>
      <c r="BJ236" s="9">
        <f>COUNTA(BK236,CF236,DA236,DV236,EQ236,FL236,GG236,HB236,HW236,IR236)</f>
        <v>4</v>
      </c>
      <c r="BK236" t="inlineStr">
        <is>
          <t xml:space="preserve">Treasury collateral</t>
        </is>
      </c>
      <c r="BL236" t="inlineStr">
        <is>
          <t xml:space="preserve">treasury</t>
        </is>
      </c>
      <c r="BM236" t="inlineStr">
        <is>
          <t xml:space="preserve">lease</t>
        </is>
      </c>
      <c r="BN236" t="inlineStr">
        <is>
          <t xml:space="preserve">long</t>
        </is>
      </c>
      <c r="BO236"/>
      <c r="BP236" s="4">
        <v>106.50486293468133</v>
      </c>
      <c r="BQ236" s="4">
        <v>106.52794385155293</v>
      </c>
      <c r="BR236" s="4">
        <v>0.017826026733969443</v>
      </c>
      <c r="BS236" s="6">
        <v>1</v>
      </c>
      <c r="BT236" s="4">
        <v>1.8985585339713806</v>
      </c>
      <c r="BU236" s="4">
        <v>1.8985585339713806</v>
      </c>
      <c r="BV236" s="4">
        <v>1.8989699750125784</v>
      </c>
      <c r="BW236" s="4">
        <v>0.00041144104119763343</v>
      </c>
      <c r="BX236" s="4">
        <v>9.085614205428527e-17</v>
      </c>
      <c r="BY236" s="4">
        <v>1.758</v>
      </c>
      <c r="BZ236" s="4">
        <v>1.733</v>
      </c>
      <c r="CA236" s="6"/>
      <c r="CB236" s="6"/>
      <c r="CC236" s="6"/>
      <c r="CD236" s="9">
        <v>13</v>
      </c>
      <c r="CE236" s="7">
        <f>IFERROR(BW236/F236,0)</f>
        <v>0.0002167123287671233</v>
      </c>
      <c r="CF236" t="inlineStr">
        <is>
          <t xml:space="preserve">SI69Z</t>
        </is>
      </c>
      <c r="CG236" t="inlineStr">
        <is>
          <t xml:space="preserve">future</t>
        </is>
      </c>
      <c r="CH236" t="inlineStr">
        <is>
          <t xml:space="preserve">lease</t>
        </is>
      </c>
      <c r="CI236" t="inlineStr">
        <is>
          <t xml:space="preserve">long</t>
        </is>
      </c>
      <c r="CJ236" t="inlineStr">
        <is>
          <t xml:space="preserve">regular</t>
        </is>
      </c>
      <c r="CK236" s="4">
        <v>1.72</v>
      </c>
      <c r="CL236" s="4">
        <v>1.73</v>
      </c>
      <c r="CM236" s="4">
        <v>1.1038131011461516</v>
      </c>
      <c r="CN236" s="6">
        <v>1</v>
      </c>
      <c r="CO236" s="4">
        <v>1.8985585339713806</v>
      </c>
      <c r="CP236" s="4">
        <v>0</v>
      </c>
      <c r="CQ236" s="4">
        <v>0</v>
      </c>
      <c r="CR236" s="4">
        <v>0.011038131011461534</v>
      </c>
      <c r="CS236" s="4">
        <v>-0.011038131011461534</v>
      </c>
      <c r="CT236" s="4">
        <v>1.758</v>
      </c>
      <c r="CU236" s="4">
        <v>1.733</v>
      </c>
      <c r="CV236" s="6">
        <v>-0.021615472127417545</v>
      </c>
      <c r="CW236" s="6">
        <v>0.0791</v>
      </c>
      <c r="CX236" s="6">
        <v>0.6859959481928771</v>
      </c>
      <c r="CY236" s="9">
        <v>13</v>
      </c>
      <c r="CZ236" s="7">
        <f>IFERROR(CR236/F236,0)</f>
        <v>0.005813953488372103</v>
      </c>
      <c r="DA236" t="inlineStr">
        <is>
          <t xml:space="preserve">Lease cash / margin / financing</t>
        </is>
      </c>
      <c r="DB236" t="inlineStr">
        <is>
          <t xml:space="preserve">cash</t>
        </is>
      </c>
      <c r="DC236" t="inlineStr">
        <is>
          <t xml:space="preserve">lease</t>
        </is>
      </c>
      <c r="DD236" t="inlineStr">
        <is>
          <t xml:space="preserve">cash</t>
        </is>
      </c>
      <c r="DE236"/>
      <c r="DF236" s="4">
        <v>1</v>
      </c>
      <c r="DG236" s="4">
        <v>1</v>
      </c>
      <c r="DH236" s="4">
        <v>-8.881784197001252e-16</v>
      </c>
      <c r="DI236" s="6"/>
      <c r="DJ236" s="4">
        <v>-8.881784197001252e-16</v>
      </c>
      <c r="DK236" s="4">
        <v>-8.881784197001252e-16</v>
      </c>
      <c r="DL236" s="4">
        <v>0.011038131011460556</v>
      </c>
      <c r="DM236" s="4">
        <v>0</v>
      </c>
      <c r="DN236" s="4">
        <v>0.011038131011461444</v>
      </c>
      <c r="DO236" s="4">
        <v>1.758</v>
      </c>
      <c r="DP236" s="4">
        <v>1.733</v>
      </c>
      <c r="DQ236" s="6"/>
      <c r="DR236" s="6"/>
      <c r="DS236" s="6"/>
      <c r="DT236" s="9"/>
      <c r="DU236" s="7">
        <f>IFERROR(DM236/F236,0)</f>
        <v>0</v>
      </c>
      <c r="DV236" t="inlineStr">
        <is>
          <t xml:space="preserve">Keep cash / margin / financing</t>
        </is>
      </c>
      <c r="DW236" t="inlineStr">
        <is>
          <t xml:space="preserve">cash</t>
        </is>
      </c>
      <c r="DX236" t="inlineStr">
        <is>
          <t xml:space="preserve">keep</t>
        </is>
      </c>
      <c r="DY236" t="inlineStr">
        <is>
          <t xml:space="preserve">cash</t>
        </is>
      </c>
      <c r="DZ236"/>
      <c r="EA236" s="4">
        <v>1</v>
      </c>
      <c r="EB236" s="4">
        <v>1</v>
      </c>
      <c r="EC236" s="4">
        <v>0</v>
      </c>
      <c r="ED236" s="6"/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1.758</v>
      </c>
      <c r="EK236" s="4">
        <v>1.733</v>
      </c>
      <c r="EL236" s="6"/>
      <c r="EM236" s="6"/>
      <c r="EN236" s="6"/>
      <c r="EO236" s="9"/>
      <c r="EP236" s="7">
        <f>IFERROR(EH236/F236,0)</f>
        <v>0</v>
      </c>
      <c r="EQ236"/>
      <c r="ER236"/>
      <c r="ES236"/>
      <c r="ET236"/>
      <c r="EU236"/>
      <c r="EV236" s="4"/>
      <c r="EW236" s="4"/>
      <c r="EX236" s="4"/>
      <c r="EY236" s="6"/>
      <c r="EZ236" s="4"/>
      <c r="FA236" s="4"/>
      <c r="FB236" s="4"/>
      <c r="FC236" s="4"/>
      <c r="FD236" s="4"/>
      <c r="FE236" s="4"/>
      <c r="FF236" s="4"/>
      <c r="FG236" s="6"/>
      <c r="FH236" s="6"/>
      <c r="FI236" s="6"/>
      <c r="FJ236" s="9"/>
      <c r="FK236"/>
      <c r="FL236"/>
      <c r="FM236"/>
      <c r="FN236"/>
      <c r="FO236"/>
      <c r="FP236"/>
      <c r="FQ236" s="4"/>
      <c r="FR236" s="4"/>
      <c r="FS236" s="4"/>
      <c r="FT236" s="6"/>
      <c r="FU236" s="4"/>
      <c r="FV236" s="4"/>
      <c r="FW236" s="4"/>
      <c r="FX236" s="4"/>
      <c r="FY236" s="4"/>
      <c r="FZ236" s="4"/>
      <c r="GA236" s="4"/>
      <c r="GB236" s="6"/>
      <c r="GC236" s="6"/>
      <c r="GD236" s="6"/>
      <c r="GE236" s="9"/>
      <c r="GF236"/>
      <c r="GG236"/>
      <c r="GH236"/>
      <c r="GI236"/>
      <c r="GJ236"/>
      <c r="GK236"/>
      <c r="GL236" s="4"/>
      <c r="GM236" s="4"/>
      <c r="GN236" s="4"/>
      <c r="GO236" s="6"/>
      <c r="GP236" s="4"/>
      <c r="GQ236" s="4"/>
      <c r="GR236" s="4"/>
      <c r="GS236" s="4"/>
      <c r="GT236" s="4"/>
      <c r="GU236" s="4"/>
      <c r="GV236" s="4"/>
      <c r="GW236" s="6"/>
      <c r="GX236" s="6"/>
      <c r="GY236" s="6"/>
      <c r="GZ236" s="9"/>
      <c r="HA236"/>
      <c r="HB236"/>
      <c r="HC236"/>
      <c r="HD236"/>
      <c r="HE236"/>
      <c r="HF236"/>
      <c r="HG236" s="4"/>
      <c r="HH236" s="4"/>
      <c r="HI236" s="4"/>
      <c r="HJ236" s="6"/>
      <c r="HK236" s="4"/>
      <c r="HL236" s="4"/>
      <c r="HM236" s="4"/>
      <c r="HN236" s="4"/>
      <c r="HO236" s="4"/>
      <c r="HP236" s="4"/>
      <c r="HQ236" s="4"/>
      <c r="HR236" s="6"/>
      <c r="HS236" s="6"/>
      <c r="HT236" s="6"/>
      <c r="HU236" s="9"/>
      <c r="HV236"/>
      <c r="HW236"/>
      <c r="HX236"/>
      <c r="HY236"/>
      <c r="HZ236"/>
      <c r="IA236"/>
      <c r="IB236" s="4"/>
      <c r="IC236" s="4"/>
      <c r="ID236" s="4"/>
      <c r="IE236" s="6"/>
      <c r="IF236" s="4"/>
      <c r="IG236" s="4"/>
      <c r="IH236" s="4"/>
      <c r="II236" s="4"/>
      <c r="IJ236" s="4"/>
      <c r="IK236" s="4"/>
      <c r="IL236" s="4"/>
      <c r="IM236" s="6"/>
      <c r="IN236" s="6"/>
      <c r="IO236" s="6"/>
      <c r="IP236" s="9"/>
      <c r="IQ236"/>
      <c r="IR236"/>
      <c r="IS236"/>
      <c r="IT236"/>
      <c r="IU236"/>
      <c r="IV236"/>
      <c r="IW236" s="4"/>
      <c r="IX236" s="4"/>
      <c r="IY236" s="4"/>
      <c r="IZ236" s="6"/>
      <c r="JA236" s="4"/>
      <c r="JB236" s="4"/>
      <c r="JC236" s="4"/>
      <c r="JD236" s="4"/>
      <c r="JE236" s="4"/>
      <c r="JF236" s="4"/>
      <c r="JG236" s="4"/>
      <c r="JH236" s="6"/>
      <c r="JI236" s="6"/>
      <c r="JJ236" s="6"/>
      <c r="JK236" s="9"/>
      <c r="JL236"/>
    </row>
    <row r="237">
      <c r="A237" s="8">
        <v>25554</v>
      </c>
      <c r="B237" s="8">
        <v>25555</v>
      </c>
      <c r="C237" s="9">
        <f>B237-A237</f>
        <v>1</v>
      </c>
      <c r="D237" s="8">
        <v>25554</v>
      </c>
      <c r="E237" t="inlineStr">
        <is>
          <t xml:space="preserve">positive</t>
        </is>
      </c>
      <c r="F237" s="4">
        <v>1.9100081060240397</v>
      </c>
      <c r="G237" s="6">
        <v>0.006535590568627261</v>
      </c>
      <c r="H237" s="7">
        <f>SUM(CE237,CZ237,DU237,EP237,FK237,GF237,HA237,HV237,IQ237,JL237)</f>
        <v>0.006535590568627261</v>
      </c>
      <c r="I237" s="7">
        <f>G237-H237</f>
        <v>0</v>
      </c>
      <c r="J237" s="5">
        <f>F237*(1+H237)</f>
        <v>1.9224911369877722</v>
      </c>
      <c r="K237" s="4">
        <v>1.9224911369877722</v>
      </c>
      <c r="L237" s="5">
        <f>K237-J237</f>
        <v>0</v>
      </c>
      <c r="M237" s="4">
        <v>1.733</v>
      </c>
      <c r="N237" s="4">
        <v>1.722</v>
      </c>
      <c r="O237" s="5">
        <f>M237/$M$3</f>
        <v>0.8850868232890705</v>
      </c>
      <c r="P237" s="5">
        <f>N237/$M$3</f>
        <v>0.8794688457609806</v>
      </c>
      <c r="Q237" s="7">
        <f>IFERROR(N237/M237-1,0)</f>
        <v>-0.006347374495095259</v>
      </c>
      <c r="R237" s="5">
        <f>SUM(IF(BM237="lease",BU237,0),IF(CH237="lease",CP237,0),IF(DC237="lease",DK237,0),IF(DX237="lease",EF237,0),IF(ES237="lease",FA237,0),IF(FN237="lease",FV237,0),IF(GI237="lease",GQ237,0),IF(HD237="lease",HL237,0),IF(HY237="lease",IG237,0),IF(IT237="lease",JB237,0))</f>
        <v>1.9100081060240388</v>
      </c>
      <c r="S237" s="5">
        <f>SUM(IF(BM237="lease",BV237,0),IF(CH237="lease",CQ237,0),IF(DC237="lease",DL237,0),IF(DX237="lease",EG237,0),IF(ES237="lease",FB237,0),IF(FN237="lease",FW237,0),IF(GI237="lease",GR237,0),IF(HD237="lease",HM237,0),IF(HY237="lease",IH237,0),IF(IT237="lease",JC237,0))</f>
        <v>1.922491136987771</v>
      </c>
      <c r="T237" s="5">
        <f>SUM(IF(BM237="keep",BU237,0),IF(CH237="keep",CP237,0),IF(DC237="keep",DK237,0),IF(DX237="keep",EF237,0),IF(ES237="keep",FA237,0),IF(FN237="keep",FV237,0),IF(GI237="keep",GQ237,0),IF(HD237="keep",HL237,0),IF(HY237="keep",IG237,0),IF(IT237="keep",JB237,0))</f>
        <v>0</v>
      </c>
      <c r="U237" s="5">
        <f>SUM(IF(BM237="keep",BV237,0),IF(CH237="keep",CQ237,0),IF(DC237="keep",DL237,0),IF(DX237="keep",EG237,0),IF(ES237="keep",FB237,0),IF(FN237="keep",FW237,0),IF(GI237="keep",GR237,0),IF(HD237="keep",HM237,0),IF(HY237="keep",IH237,0),IF(IT237="keep",JC237,0))</f>
        <v>0</v>
      </c>
      <c r="V237" s="5">
        <f>R237/O237</f>
        <v>2.1579895392931725</v>
      </c>
      <c r="W237" s="5">
        <f>S237/P237</f>
        <v>2.185968435669022</v>
      </c>
      <c r="X237" s="5">
        <f>T237/O237</f>
        <v>0</v>
      </c>
      <c r="Y237" s="5">
        <f>U237/P237</f>
        <v>0</v>
      </c>
      <c r="Z237" s="5">
        <f>V237+X237</f>
        <v>2.1579895392931725</v>
      </c>
      <c r="AA237" s="7">
        <f>IFERROR(W237/V237-1,0)</f>
        <v>0.012965260427079572</v>
      </c>
      <c r="AB237" s="7">
        <f>IFERROR((W237-V237)/Z237,0)</f>
        <v>0.012965260427079645</v>
      </c>
      <c r="AC237" s="7">
        <f>IFERROR(Y237/X237-1,0)</f>
        <v>0</v>
      </c>
      <c r="AD237" s="7">
        <f>IFERROR((Y237-X237)/Z237,0)</f>
        <v>0</v>
      </c>
      <c r="AE237" s="7">
        <f>AB237+AD237</f>
        <v>0.012965260427079645</v>
      </c>
      <c r="AF237" s="7">
        <f>(1+Q237)*(1+AE237)-1</f>
        <v>0.006535590568627292</v>
      </c>
      <c r="AG237" s="7">
        <f>G237-AF237</f>
        <v>-3.122502256758253e-17</v>
      </c>
      <c r="AH237" s="5">
        <f>SUM(IF(BM237="lease",BW237,0),IF(CH237="lease",CR237,0),IF(DC237="lease",DM237,0),IF(DX237="lease",EH237,0),IF(ES237="lease",FC237,0),IF(FN237="lease",FX237,0),IF(GI237="lease",GS237,0),IF(HD237="lease",HN237,0),IF(HY237="lease",II237,0),IF(IT237="lease",JD237,0))</f>
        <v>0.012483030963732331</v>
      </c>
      <c r="AI237" s="5">
        <f>SUM(IF(BM237="keep",BW237,0),IF(CH237="keep",CR237,0),IF(DC237="keep",DM237,0),IF(DX237="keep",EH237,0),IF(ES237="keep",FC237,0),IF(FN237="keep",FX237,0),IF(GI237="keep",GS237,0),IF(HD237="keep",HN237,0),IF(HY237="keep",II237,0),IF(IT237="keep",JD237,0))</f>
        <v>0</v>
      </c>
      <c r="AJ237" s="5">
        <f>SUM(IF(BM237="lease",BX237,0),IF(CH237="lease",CS237,0),IF(DC237="lease",DN237,0),IF(DX237="lease",EI237,0),IF(ES237="lease",FD237,0),IF(FN237="lease",FY237,0),IF(GI237="lease",GT237,0),IF(HD237="lease",HO237,0),IF(HY237="lease",IJ237,0),IF(IT237="lease",JE237,0))</f>
        <v>0</v>
      </c>
      <c r="AK237" s="5">
        <f>SUM(IF(BM237="keep",BX237,0),IF(CH237="keep",CS237,0),IF(DC237="keep",DN237,0),IF(DX237="keep",EI237,0),IF(ES237="keep",FD237,0),IF(FN237="keep",FY237,0),IF(GI237="keep",GT237,0),IF(HD237="keep",HO237,0),IF(HY237="keep",IJ237,0),IF(IT237="keep",JE237,0))</f>
        <v>0</v>
      </c>
      <c r="AL237" s="5">
        <f>R237-S236</f>
        <v>0</v>
      </c>
      <c r="AM237" s="5">
        <f>T237-U236</f>
        <v>0</v>
      </c>
      <c r="AN237" s="5">
        <f>AN236</f>
        <v>1</v>
      </c>
      <c r="AO237" s="5">
        <f>AO236+AH237</f>
        <v>0.9224911369877722</v>
      </c>
      <c r="AP237" s="5">
        <f>AP236+AL237</f>
        <v>4.440892098500626e-16</v>
      </c>
      <c r="AQ237" s="5">
        <f>AN237+AO237+AP237</f>
        <v>1.9224911369877726</v>
      </c>
      <c r="AR237" s="5">
        <f>S237-AQ237</f>
        <v>-1.5543122344752192e-15</v>
      </c>
      <c r="AS237" s="5">
        <f>AS236</f>
        <v>0</v>
      </c>
      <c r="AT237" s="5">
        <f>AT236+AI237</f>
        <v>0</v>
      </c>
      <c r="AU237" s="5">
        <f>AU236+AM237</f>
        <v>0</v>
      </c>
      <c r="AV237" s="5">
        <f>AS237+AT237+AU237</f>
        <v>0</v>
      </c>
      <c r="AW237" s="5">
        <f>U237-AV237</f>
        <v>0</v>
      </c>
      <c r="AX237" s="4">
        <v>1.9100081060240388</v>
      </c>
      <c r="AY237" s="4">
        <v>1.922491136987771</v>
      </c>
      <c r="AZ237" s="5">
        <f>S237-AY237</f>
        <v>0</v>
      </c>
      <c r="BA237" s="4">
        <v>0</v>
      </c>
      <c r="BB237" s="4">
        <v>0</v>
      </c>
      <c r="BC237" s="5">
        <f>U237-BB237</f>
        <v>0</v>
      </c>
      <c r="BD237" s="7">
        <f>SUM(IF(BL237="direct",CE237,0),IF(CG237="direct",CZ237,0),IF(DB237="direct",DU237,0),IF(DW237="direct",EP237,0),IF(ER237="direct",FK237,0),IF(FM237="direct",GF237,0),IF(GH237="direct",HA237,0),IF(HC237="direct",HV237,0),IF(HX237="direct",IQ237,0),IF(IS237="direct",JL237,0))</f>
        <v>-0.0007686765286551723</v>
      </c>
      <c r="BE237" s="7">
        <f>SUM(IF(BL237="treasury",CE237,0),IF(CG237="treasury",CZ237,0),IF(DB237="treasury",DU237,0),IF(DW237="treasury",EP237,0),IF(ER237="treasury",FK237,0),IF(FM237="treasury",GF237,0),IF(GH237="treasury",HA237,0),IF(HC237="treasury",HV237,0),IF(HX237="treasury",IQ237,0),IF(IS237="treasury",JL237,0))</f>
        <v>0.000190737261064433</v>
      </c>
      <c r="BF237" s="7">
        <f>SUM(IF(BL237="future",CE237,0),IF(CG237="future",CZ237,0),IF(DB237="future",DU237,0),IF(DW237="future",EP237,0),IF(ER237="future",FK237,0),IF(FM237="future",GF237,0),IF(GH237="future",HA237,0),IF(HC237="future",HV237,0),IF(HX237="future",IQ237,0),IF(IS237="future",JL237,0))</f>
        <v>0.007113529836218</v>
      </c>
      <c r="BG237" s="7">
        <f>SUM(IF(BL237="cash",CE237,0),IF(CG237="cash",CZ237,0),IF(DB237="cash",DU237,0),IF(DW237="cash",EP237,0),IF(ER237="cash",FK237,0),IF(FM237="cash",GF237,0),IF(GH237="cash",HA237,0),IF(HC237="cash",HV237,0),IF(HX237="cash",IQ237,0),IF(IS237="cash",JL237,0))</f>
        <v>0</v>
      </c>
      <c r="BH237" s="7">
        <f>SUM(BD237:BG237)</f>
        <v>0.006535590568627261</v>
      </c>
      <c r="BI237" s="7">
        <f>G237-BH237</f>
        <v>0</v>
      </c>
      <c r="BJ237" s="9">
        <f>COUNTA(BK237,CF237,DA237,DV237,EQ237,FL237,GG237,HB237,HW237,IR237)</f>
        <v>5</v>
      </c>
      <c r="BK237" t="inlineStr">
        <is>
          <t xml:space="preserve">Direct commodity holding</t>
        </is>
      </c>
      <c r="BL237" t="inlineStr">
        <is>
          <t xml:space="preserve">direct</t>
        </is>
      </c>
      <c r="BM237" t="inlineStr">
        <is>
          <t xml:space="preserve">lease</t>
        </is>
      </c>
      <c r="BN237" t="inlineStr">
        <is>
          <t xml:space="preserve">long</t>
        </is>
      </c>
      <c r="BO237"/>
      <c r="BP237" s="4">
        <v>1.733</v>
      </c>
      <c r="BQ237" s="4">
        <v>1.722</v>
      </c>
      <c r="BR237" s="4">
        <v>0.133326893516337</v>
      </c>
      <c r="BS237" s="6">
        <v>0.12097095595305497</v>
      </c>
      <c r="BT237" s="4">
        <v>0.23105550646381204</v>
      </c>
      <c r="BU237" s="4">
        <v>0.23105550646381204</v>
      </c>
      <c r="BV237" s="4">
        <v>0.22958891063513232</v>
      </c>
      <c r="BW237" s="4">
        <v>-0.0014681784006417991</v>
      </c>
      <c r="BX237" s="4">
        <v>0.000001582571962075981</v>
      </c>
      <c r="BY237" s="4">
        <v>1.733</v>
      </c>
      <c r="BZ237" s="4">
        <v>1.722</v>
      </c>
      <c r="CA237" s="6"/>
      <c r="CB237" s="6"/>
      <c r="CC237" s="6"/>
      <c r="CD237" s="9"/>
      <c r="CE237" s="7">
        <f>IFERROR(BW237/F237,0)</f>
        <v>-0.0007686765286551723</v>
      </c>
      <c r="CF237" t="inlineStr">
        <is>
          <t xml:space="preserve">Treasury collateral</t>
        </is>
      </c>
      <c r="CG237" t="inlineStr">
        <is>
          <t xml:space="preserve">treasury</t>
        </is>
      </c>
      <c r="CH237" t="inlineStr">
        <is>
          <t xml:space="preserve">lease</t>
        </is>
      </c>
      <c r="CI237" t="inlineStr">
        <is>
          <t xml:space="preserve">long</t>
        </is>
      </c>
      <c r="CJ237"/>
      <c r="CK237" s="4">
        <v>106.52794385155293</v>
      </c>
      <c r="CL237" s="4">
        <v>106.55105895608182</v>
      </c>
      <c r="CM237" s="4">
        <v>0.015760677798304774</v>
      </c>
      <c r="CN237" s="6">
        <v>0.8790290440469452</v>
      </c>
      <c r="CO237" s="4">
        <v>1.6789525995602277</v>
      </c>
      <c r="CP237" s="4">
        <v>1.6789525995602277</v>
      </c>
      <c r="CQ237" s="4">
        <v>1.6793169092749818</v>
      </c>
      <c r="CR237" s="4">
        <v>0.00036430971475389046</v>
      </c>
      <c r="CS237" s="4">
        <v>2.058899925549973e-16</v>
      </c>
      <c r="CT237" s="4">
        <v>1.733</v>
      </c>
      <c r="CU237" s="4">
        <v>1.722</v>
      </c>
      <c r="CV237" s="6"/>
      <c r="CW237" s="6"/>
      <c r="CX237" s="6"/>
      <c r="CY237" s="9">
        <v>12</v>
      </c>
      <c r="CZ237" s="7">
        <f>IFERROR(CR237/F237,0)</f>
        <v>0.000190737261064433</v>
      </c>
      <c r="DA237" t="inlineStr">
        <is>
          <t xml:space="preserve">SI69Z</t>
        </is>
      </c>
      <c r="DB237" t="inlineStr">
        <is>
          <t xml:space="preserve">future</t>
        </is>
      </c>
      <c r="DC237" t="inlineStr">
        <is>
          <t xml:space="preserve">lease</t>
        </is>
      </c>
      <c r="DD237" t="inlineStr">
        <is>
          <t xml:space="preserve">long</t>
        </is>
      </c>
      <c r="DE237" t="inlineStr">
        <is>
          <t xml:space="preserve">regular</t>
        </is>
      </c>
      <c r="DF237" s="4">
        <v>1.73</v>
      </c>
      <c r="DG237" s="4">
        <v>1.744</v>
      </c>
      <c r="DH237" s="4">
        <v>0.9704928321157386</v>
      </c>
      <c r="DI237" s="6">
        <v>0.8790290440469452</v>
      </c>
      <c r="DJ237" s="4">
        <v>1.6789525995602277</v>
      </c>
      <c r="DK237" s="4">
        <v>0</v>
      </c>
      <c r="DL237" s="4">
        <v>0</v>
      </c>
      <c r="DM237" s="4">
        <v>0.013586899649620239</v>
      </c>
      <c r="DN237" s="4">
        <v>-0.013586899649620239</v>
      </c>
      <c r="DO237" s="4">
        <v>1.733</v>
      </c>
      <c r="DP237" s="4">
        <v>1.722</v>
      </c>
      <c r="DQ237" s="6">
        <v>-0.0017311021350260303</v>
      </c>
      <c r="DR237" s="6">
        <v>0.07919999999999999</v>
      </c>
      <c r="DS237" s="6">
        <v>0.13185435660704176</v>
      </c>
      <c r="DT237" s="9">
        <v>12</v>
      </c>
      <c r="DU237" s="7">
        <f>IFERROR(DM237/F237,0)</f>
        <v>0.007113529836218</v>
      </c>
      <c r="DV237" t="inlineStr">
        <is>
          <t xml:space="preserve">Lease cash / margin / financing</t>
        </is>
      </c>
      <c r="DW237" t="inlineStr">
        <is>
          <t xml:space="preserve">cash</t>
        </is>
      </c>
      <c r="DX237" t="inlineStr">
        <is>
          <t xml:space="preserve">lease</t>
        </is>
      </c>
      <c r="DY237" t="inlineStr">
        <is>
          <t xml:space="preserve">cash</t>
        </is>
      </c>
      <c r="DZ237"/>
      <c r="EA237" s="4">
        <v>1</v>
      </c>
      <c r="EB237" s="4">
        <v>1</v>
      </c>
      <c r="EC237" s="4">
        <v>-8.881784197001252e-16</v>
      </c>
      <c r="ED237" s="6"/>
      <c r="EE237" s="4">
        <v>-8.881784197001252e-16</v>
      </c>
      <c r="EF237" s="4">
        <v>-8.881784197001252e-16</v>
      </c>
      <c r="EG237" s="4">
        <v>0.01358531707765707</v>
      </c>
      <c r="EH237" s="4">
        <v>0</v>
      </c>
      <c r="EI237" s="4">
        <v>0.013585317077657958</v>
      </c>
      <c r="EJ237" s="4">
        <v>1.733</v>
      </c>
      <c r="EK237" s="4">
        <v>1.722</v>
      </c>
      <c r="EL237" s="6"/>
      <c r="EM237" s="6"/>
      <c r="EN237" s="6"/>
      <c r="EO237" s="9"/>
      <c r="EP237" s="7">
        <f>IFERROR(EH237/F237,0)</f>
        <v>0</v>
      </c>
      <c r="EQ237" t="inlineStr">
        <is>
          <t xml:space="preserve">Keep cash / margin / financing</t>
        </is>
      </c>
      <c r="ER237" t="inlineStr">
        <is>
          <t xml:space="preserve">cash</t>
        </is>
      </c>
      <c r="ES237" t="inlineStr">
        <is>
          <t xml:space="preserve">keep</t>
        </is>
      </c>
      <c r="ET237" t="inlineStr">
        <is>
          <t xml:space="preserve">cash</t>
        </is>
      </c>
      <c r="EU237"/>
      <c r="EV237" s="4">
        <v>1</v>
      </c>
      <c r="EW237" s="4">
        <v>1</v>
      </c>
      <c r="EX237" s="4">
        <v>0</v>
      </c>
      <c r="EY237" s="6"/>
      <c r="EZ237" s="4">
        <v>0</v>
      </c>
      <c r="FA237" s="4">
        <v>0</v>
      </c>
      <c r="FB237" s="4">
        <v>0</v>
      </c>
      <c r="FC237" s="4">
        <v>0</v>
      </c>
      <c r="FD237" s="4">
        <v>0</v>
      </c>
      <c r="FE237" s="4">
        <v>1.733</v>
      </c>
      <c r="FF237" s="4">
        <v>1.722</v>
      </c>
      <c r="FG237" s="6"/>
      <c r="FH237" s="6"/>
      <c r="FI237" s="6"/>
      <c r="FJ237" s="9"/>
      <c r="FK237" s="7">
        <f>IFERROR(FC237/F237,0)</f>
        <v>0</v>
      </c>
      <c r="FL237"/>
      <c r="FM237"/>
      <c r="FN237"/>
      <c r="FO237"/>
      <c r="FP237"/>
      <c r="FQ237" s="4"/>
      <c r="FR237" s="4"/>
      <c r="FS237" s="4"/>
      <c r="FT237" s="6"/>
      <c r="FU237" s="4"/>
      <c r="FV237" s="4"/>
      <c r="FW237" s="4"/>
      <c r="FX237" s="4"/>
      <c r="FY237" s="4"/>
      <c r="FZ237" s="4"/>
      <c r="GA237" s="4"/>
      <c r="GB237" s="6"/>
      <c r="GC237" s="6"/>
      <c r="GD237" s="6"/>
      <c r="GE237" s="9"/>
      <c r="GF237"/>
      <c r="GG237"/>
      <c r="GH237"/>
      <c r="GI237"/>
      <c r="GJ237"/>
      <c r="GK237"/>
      <c r="GL237" s="4"/>
      <c r="GM237" s="4"/>
      <c r="GN237" s="4"/>
      <c r="GO237" s="6"/>
      <c r="GP237" s="4"/>
      <c r="GQ237" s="4"/>
      <c r="GR237" s="4"/>
      <c r="GS237" s="4"/>
      <c r="GT237" s="4"/>
      <c r="GU237" s="4"/>
      <c r="GV237" s="4"/>
      <c r="GW237" s="6"/>
      <c r="GX237" s="6"/>
      <c r="GY237" s="6"/>
      <c r="GZ237" s="9"/>
      <c r="HA237"/>
      <c r="HB237"/>
      <c r="HC237"/>
      <c r="HD237"/>
      <c r="HE237"/>
      <c r="HF237"/>
      <c r="HG237" s="4"/>
      <c r="HH237" s="4"/>
      <c r="HI237" s="4"/>
      <c r="HJ237" s="6"/>
      <c r="HK237" s="4"/>
      <c r="HL237" s="4"/>
      <c r="HM237" s="4"/>
      <c r="HN237" s="4"/>
      <c r="HO237" s="4"/>
      <c r="HP237" s="4"/>
      <c r="HQ237" s="4"/>
      <c r="HR237" s="6"/>
      <c r="HS237" s="6"/>
      <c r="HT237" s="6"/>
      <c r="HU237" s="9"/>
      <c r="HV237"/>
      <c r="HW237"/>
      <c r="HX237"/>
      <c r="HY237"/>
      <c r="HZ237"/>
      <c r="IA237"/>
      <c r="IB237" s="4"/>
      <c r="IC237" s="4"/>
      <c r="ID237" s="4"/>
      <c r="IE237" s="6"/>
      <c r="IF237" s="4"/>
      <c r="IG237" s="4"/>
      <c r="IH237" s="4"/>
      <c r="II237" s="4"/>
      <c r="IJ237" s="4"/>
      <c r="IK237" s="4"/>
      <c r="IL237" s="4"/>
      <c r="IM237" s="6"/>
      <c r="IN237" s="6"/>
      <c r="IO237" s="6"/>
      <c r="IP237" s="9"/>
      <c r="IQ237"/>
      <c r="IR237"/>
      <c r="IS237"/>
      <c r="IT237"/>
      <c r="IU237"/>
      <c r="IV237"/>
      <c r="IW237" s="4"/>
      <c r="IX237" s="4"/>
      <c r="IY237" s="4"/>
      <c r="IZ237" s="6"/>
      <c r="JA237" s="4"/>
      <c r="JB237" s="4"/>
      <c r="JC237" s="4"/>
      <c r="JD237" s="4"/>
      <c r="JE237" s="4"/>
      <c r="JF237" s="4"/>
      <c r="JG237" s="4"/>
      <c r="JH237" s="6"/>
      <c r="JI237" s="6"/>
      <c r="JJ237" s="6"/>
      <c r="JK237" s="9"/>
      <c r="JL237"/>
    </row>
    <row r="238">
      <c r="A238" s="8">
        <v>25555</v>
      </c>
      <c r="B238" s="8">
        <v>25556</v>
      </c>
      <c r="C238" s="9">
        <f>B238-A238</f>
        <v>1</v>
      </c>
      <c r="D238" s="8">
        <v>25555</v>
      </c>
      <c r="E238" t="inlineStr">
        <is>
          <t xml:space="preserve">neutral</t>
        </is>
      </c>
      <c r="F238" s="4">
        <v>1.9224911369877722</v>
      </c>
      <c r="G238" s="6">
        <v>0.009284672171574868</v>
      </c>
      <c r="H238" s="7">
        <f>SUM(CE238,CZ238,DU238,EP238,FK238,GF238,HA238,HV238,IQ238,JL238)</f>
        <v>0.009284672171574868</v>
      </c>
      <c r="I238" s="7">
        <f>G238-H238</f>
        <v>0</v>
      </c>
      <c r="J238" s="5">
        <f>F238*(1+H238)</f>
        <v>1.940340836947462</v>
      </c>
      <c r="K238" s="4">
        <v>1.940340836947462</v>
      </c>
      <c r="L238" s="5">
        <f>K238-J238</f>
        <v>0</v>
      </c>
      <c r="M238" s="4">
        <v>1.722</v>
      </c>
      <c r="N238" s="4">
        <v>1.738</v>
      </c>
      <c r="O238" s="5">
        <f>M238/$M$3</f>
        <v>0.8794688457609806</v>
      </c>
      <c r="P238" s="5">
        <f>N238/$M$3</f>
        <v>0.8876404494382023</v>
      </c>
      <c r="Q238" s="7">
        <f>IFERROR(N238/M238-1,0)</f>
        <v>0.009291521486643362</v>
      </c>
      <c r="R238" s="5">
        <f>SUM(IF(BM238="lease",BU238,0),IF(CH238="lease",CP238,0),IF(DC238="lease",DK238,0),IF(DX238="lease",EF238,0),IF(ES238="lease",FA238,0),IF(FN238="lease",FV238,0),IF(GI238="lease",GQ238,0),IF(HD238="lease",HL238,0),IF(HY238="lease",IG238,0),IF(IT238="lease",JB238,0))</f>
        <v>1.922491136987771</v>
      </c>
      <c r="S238" s="5">
        <f>SUM(IF(BM238="lease",BV238,0),IF(CH238="lease",CQ238,0),IF(DC238="lease",DL238,0),IF(DX238="lease",EG238,0),IF(ES238="lease",FB238,0),IF(FN238="lease",FW238,0),IF(GI238="lease",GR238,0),IF(HD238="lease",HM238,0),IF(HY238="lease",IH238,0),IF(IT238="lease",JC238,0))</f>
        <v>1.9403408369474608</v>
      </c>
      <c r="T238" s="5">
        <f>SUM(IF(BM238="keep",BU238,0),IF(CH238="keep",CP238,0),IF(DC238="keep",DK238,0),IF(DX238="keep",EF238,0),IF(ES238="keep",FA238,0),IF(FN238="keep",FV238,0),IF(GI238="keep",GQ238,0),IF(HD238="keep",HL238,0),IF(HY238="keep",IG238,0),IF(IT238="keep",JB238,0))</f>
        <v>0</v>
      </c>
      <c r="U238" s="5">
        <f>SUM(IF(BM238="keep",BV238,0),IF(CH238="keep",CQ238,0),IF(DC238="keep",DL238,0),IF(DX238="keep",EG238,0),IF(ES238="keep",FB238,0),IF(FN238="keep",FW238,0),IF(GI238="keep",GR238,0),IF(HD238="keep",HM238,0),IF(HY238="keep",IH238,0),IF(IT238="keep",JC238,0))</f>
        <v>0</v>
      </c>
      <c r="V238" s="5">
        <f>R238/O238</f>
        <v>2.185968435669022</v>
      </c>
      <c r="W238" s="5">
        <f>S238/P238</f>
        <v>2.185953601118025</v>
      </c>
      <c r="X238" s="5">
        <f>T238/O238</f>
        <v>0</v>
      </c>
      <c r="Y238" s="5">
        <f>U238/P238</f>
        <v>0</v>
      </c>
      <c r="Z238" s="5">
        <f>V238+X238</f>
        <v>2.185968435669022</v>
      </c>
      <c r="AA238" s="7">
        <f>IFERROR(W238/V238-1,0)</f>
        <v>-0.000006786260384639142</v>
      </c>
      <c r="AB238" s="7">
        <f>IFERROR((W238-V238)/Z238,0)</f>
        <v>-0.000006786260384584974</v>
      </c>
      <c r="AC238" s="7">
        <f>IFERROR(Y238/X238-1,0)</f>
        <v>0</v>
      </c>
      <c r="AD238" s="7">
        <f>IFERROR((Y238-X238)/Z238,0)</f>
        <v>0</v>
      </c>
      <c r="AE238" s="7">
        <f>AB238+AD238</f>
        <v>-0.000006786260384584974</v>
      </c>
      <c r="AF238" s="7">
        <f>(1+Q238)*(1+AE238)-1</f>
        <v>0.00928467217157447</v>
      </c>
      <c r="AG238" s="7">
        <f>G238-AF238</f>
        <v>3.972516759986888e-16</v>
      </c>
      <c r="AH238" s="5">
        <f>SUM(IF(BM238="lease",BW238,0),IF(CH238="lease",CR238,0),IF(DC238="lease",DM238,0),IF(DX238="lease",EH238,0),IF(ES238="lease",FC238,0),IF(FN238="lease",FX238,0),IF(GI238="lease",GS238,0),IF(HD238="lease",HN238,0),IF(HY238="lease",II238,0),IF(IT238="lease",JD238,0))</f>
        <v>0.017849699959689696</v>
      </c>
      <c r="AI238" s="5">
        <f>SUM(IF(BM238="keep",BW238,0),IF(CH238="keep",CR238,0),IF(DC238="keep",DM238,0),IF(DX238="keep",EH238,0),IF(ES238="keep",FC238,0),IF(FN238="keep",FX238,0),IF(GI238="keep",GS238,0),IF(HD238="keep",HN238,0),IF(HY238="keep",II238,0),IF(IT238="keep",JD238,0))</f>
        <v>0</v>
      </c>
      <c r="AJ238" s="5">
        <f>SUM(IF(BM238="lease",BX238,0),IF(CH238="lease",CS238,0),IF(DC238="lease",DN238,0),IF(DX238="lease",EI238,0),IF(ES238="lease",FD238,0),IF(FN238="lease",FY238,0),IF(GI238="lease",GT238,0),IF(HD238="lease",HO238,0),IF(HY238="lease",IJ238,0),IF(IT238="lease",JE238,0))</f>
        <v>0</v>
      </c>
      <c r="AK238" s="5">
        <f>SUM(IF(BM238="keep",BX238,0),IF(CH238="keep",CS238,0),IF(DC238="keep",DN238,0),IF(DX238="keep",EI238,0),IF(ES238="keep",FD238,0),IF(FN238="keep",FY238,0),IF(GI238="keep",GT238,0),IF(HD238="keep",HO238,0),IF(HY238="keep",IJ238,0),IF(IT238="keep",JE238,0))</f>
        <v>0</v>
      </c>
      <c r="AL238" s="5">
        <f>R238-S237</f>
        <v>0</v>
      </c>
      <c r="AM238" s="5">
        <f>T238-U237</f>
        <v>0</v>
      </c>
      <c r="AN238" s="5">
        <f>AN237</f>
        <v>1</v>
      </c>
      <c r="AO238" s="5">
        <f>AO237+AH238</f>
        <v>0.9403408369474618</v>
      </c>
      <c r="AP238" s="5">
        <f>AP237+AL238</f>
        <v>4.440892098500626e-16</v>
      </c>
      <c r="AQ238" s="5">
        <f>AN238+AO238+AP238</f>
        <v>1.9403408369474624</v>
      </c>
      <c r="AR238" s="5">
        <f>S238-AQ238</f>
        <v>-1.5543122344752192e-15</v>
      </c>
      <c r="AS238" s="5">
        <f>AS237</f>
        <v>0</v>
      </c>
      <c r="AT238" s="5">
        <f>AT237+AI238</f>
        <v>0</v>
      </c>
      <c r="AU238" s="5">
        <f>AU237+AM238</f>
        <v>0</v>
      </c>
      <c r="AV238" s="5">
        <f>AS238+AT238+AU238</f>
        <v>0</v>
      </c>
      <c r="AW238" s="5">
        <f>U238-AV238</f>
        <v>0</v>
      </c>
      <c r="AX238" s="4">
        <v>1.922491136987771</v>
      </c>
      <c r="AY238" s="4">
        <v>1.9403408369474608</v>
      </c>
      <c r="AZ238" s="5">
        <f>S238-AY238</f>
        <v>0</v>
      </c>
      <c r="BA238" s="4">
        <v>0</v>
      </c>
      <c r="BB238" s="4">
        <v>0</v>
      </c>
      <c r="BC238" s="5">
        <f>U238-BB238</f>
        <v>0</v>
      </c>
      <c r="BD238" s="7">
        <f>SUM(IF(BL238="direct",CE238,0),IF(CG238="direct",CZ238,0),IF(DB238="direct",DU238,0),IF(DW238="direct",EP238,0),IF(ER238="direct",FK238,0),IF(FM238="direct",GF238,0),IF(GH238="direct",HA238,0),IF(HC238="direct",HV238,0),IF(HX238="direct",IQ238,0),IF(IS238="direct",JL238,0))</f>
        <v>0.009284672171574868</v>
      </c>
      <c r="BE238" s="7">
        <f>SUM(IF(BL238="treasury",CE238,0),IF(CG238="treasury",CZ238,0),IF(DB238="treasury",DU238,0),IF(DW238="treasury",EP238,0),IF(ER238="treasury",FK238,0),IF(FM238="treasury",GF238,0),IF(GH238="treasury",HA238,0),IF(HC238="treasury",HV238,0),IF(HX238="treasury",IQ238,0),IF(IS238="treasury",JL238,0))</f>
        <v>0</v>
      </c>
      <c r="BF238" s="7">
        <f>SUM(IF(BL238="future",CE238,0),IF(CG238="future",CZ238,0),IF(DB238="future",DU238,0),IF(DW238="future",EP238,0),IF(ER238="future",FK238,0),IF(FM238="future",GF238,0),IF(GH238="future",HA238,0),IF(HC238="future",HV238,0),IF(HX238="future",IQ238,0),IF(IS238="future",JL238,0))</f>
        <v>0</v>
      </c>
      <c r="BG238" s="7">
        <f>SUM(IF(BL238="cash",CE238,0),IF(CG238="cash",CZ238,0),IF(DB238="cash",DU238,0),IF(DW238="cash",EP238,0),IF(ER238="cash",FK238,0),IF(FM238="cash",GF238,0),IF(GH238="cash",HA238,0),IF(HC238="cash",HV238,0),IF(HX238="cash",IQ238,0),IF(IS238="cash",JL238,0))</f>
        <v>0</v>
      </c>
      <c r="BH238" s="7">
        <f>SUM(BD238:BG238)</f>
        <v>0.009284672171574868</v>
      </c>
      <c r="BI238" s="7">
        <f>G238-BH238</f>
        <v>0</v>
      </c>
      <c r="BJ238" s="9">
        <f>COUNTA(BK238,CF238,DA238,DV238,EQ238,FL238,GG238,HB238,HW238,IR238)</f>
        <v>3</v>
      </c>
      <c r="BK238" t="inlineStr">
        <is>
          <t xml:space="preserve">Direct commodity holding</t>
        </is>
      </c>
      <c r="BL238" t="inlineStr">
        <is>
          <t xml:space="preserve">direct</t>
        </is>
      </c>
      <c r="BM238" t="inlineStr">
        <is>
          <t xml:space="preserve">lease</t>
        </is>
      </c>
      <c r="BN238" t="inlineStr">
        <is>
          <t xml:space="preserve">long</t>
        </is>
      </c>
      <c r="BO238"/>
      <c r="BP238" s="4">
        <v>1.722</v>
      </c>
      <c r="BQ238" s="4">
        <v>1.738</v>
      </c>
      <c r="BR238" s="4">
        <v>1.1164292317002162</v>
      </c>
      <c r="BS238" s="6">
        <v>1</v>
      </c>
      <c r="BT238" s="4">
        <v>1.9224911369877722</v>
      </c>
      <c r="BU238" s="4">
        <v>1.9224911369877722</v>
      </c>
      <c r="BV238" s="4">
        <v>1.9403540046949759</v>
      </c>
      <c r="BW238" s="4">
        <v>0.017849699959689696</v>
      </c>
      <c r="BX238" s="4">
        <v>0.000013167747513993106</v>
      </c>
      <c r="BY238" s="4">
        <v>1.722</v>
      </c>
      <c r="BZ238" s="4">
        <v>1.738</v>
      </c>
      <c r="CA238" s="6"/>
      <c r="CB238" s="6"/>
      <c r="CC238" s="6"/>
      <c r="CD238" s="9"/>
      <c r="CE238" s="7">
        <f>IFERROR(BW238/F238,0)</f>
        <v>0.009284672171574868</v>
      </c>
      <c r="CF238" t="inlineStr">
        <is>
          <t xml:space="preserve">Lease cash / margin / financing</t>
        </is>
      </c>
      <c r="CG238" t="inlineStr">
        <is>
          <t xml:space="preserve">cash</t>
        </is>
      </c>
      <c r="CH238" t="inlineStr">
        <is>
          <t xml:space="preserve">lease</t>
        </is>
      </c>
      <c r="CI238" t="inlineStr">
        <is>
          <t xml:space="preserve">cash</t>
        </is>
      </c>
      <c r="CJ238"/>
      <c r="CK238" s="4">
        <v>1</v>
      </c>
      <c r="CL238" s="4">
        <v>1</v>
      </c>
      <c r="CM238" s="4">
        <v>-1.1102230246251565e-15</v>
      </c>
      <c r="CN238" s="6"/>
      <c r="CO238" s="4">
        <v>-1.1102230246251565e-15</v>
      </c>
      <c r="CP238" s="4">
        <v>-1.1102230246251565e-15</v>
      </c>
      <c r="CQ238" s="4">
        <v>-0.000013167747515103329</v>
      </c>
      <c r="CR238" s="4">
        <v>0</v>
      </c>
      <c r="CS238" s="4">
        <v>-0.000013167747513993106</v>
      </c>
      <c r="CT238" s="4">
        <v>1.722</v>
      </c>
      <c r="CU238" s="4">
        <v>1.738</v>
      </c>
      <c r="CV238" s="6"/>
      <c r="CW238" s="6"/>
      <c r="CX238" s="6"/>
      <c r="CY238" s="9"/>
      <c r="CZ238" s="7">
        <f>IFERROR(CR238/F238,0)</f>
        <v>0</v>
      </c>
      <c r="DA238" t="inlineStr">
        <is>
          <t xml:space="preserve">Keep cash / margin / financing</t>
        </is>
      </c>
      <c r="DB238" t="inlineStr">
        <is>
          <t xml:space="preserve">cash</t>
        </is>
      </c>
      <c r="DC238" t="inlineStr">
        <is>
          <t xml:space="preserve">keep</t>
        </is>
      </c>
      <c r="DD238" t="inlineStr">
        <is>
          <t xml:space="preserve">cash</t>
        </is>
      </c>
      <c r="DE238"/>
      <c r="DF238" s="4">
        <v>1</v>
      </c>
      <c r="DG238" s="4">
        <v>1</v>
      </c>
      <c r="DH238" s="4">
        <v>0</v>
      </c>
      <c r="DI238" s="6"/>
      <c r="DJ238" s="4">
        <v>0</v>
      </c>
      <c r="DK238" s="4">
        <v>0</v>
      </c>
      <c r="DL238" s="4">
        <v>0</v>
      </c>
      <c r="DM238" s="4">
        <v>0</v>
      </c>
      <c r="DN238" s="4">
        <v>0</v>
      </c>
      <c r="DO238" s="4">
        <v>1.722</v>
      </c>
      <c r="DP238" s="4">
        <v>1.738</v>
      </c>
      <c r="DQ238" s="6"/>
      <c r="DR238" s="6"/>
      <c r="DS238" s="6"/>
      <c r="DT238" s="9"/>
      <c r="DU238" s="7">
        <f>IFERROR(DM238/F238,0)</f>
        <v>0</v>
      </c>
      <c r="DV238"/>
      <c r="DW238"/>
      <c r="DX238"/>
      <c r="DY238"/>
      <c r="DZ238"/>
      <c r="EA238" s="4"/>
      <c r="EB238" s="4"/>
      <c r="EC238" s="4"/>
      <c r="ED238" s="6"/>
      <c r="EE238" s="4"/>
      <c r="EF238" s="4"/>
      <c r="EG238" s="4"/>
      <c r="EH238" s="4"/>
      <c r="EI238" s="4"/>
      <c r="EJ238" s="4"/>
      <c r="EK238" s="4"/>
      <c r="EL238" s="6"/>
      <c r="EM238" s="6"/>
      <c r="EN238" s="6"/>
      <c r="EO238" s="9"/>
      <c r="EP238"/>
      <c r="EQ238"/>
      <c r="ER238"/>
      <c r="ES238"/>
      <c r="ET238"/>
      <c r="EU238"/>
      <c r="EV238" s="4"/>
      <c r="EW238" s="4"/>
      <c r="EX238" s="4"/>
      <c r="EY238" s="6"/>
      <c r="EZ238" s="4"/>
      <c r="FA238" s="4"/>
      <c r="FB238" s="4"/>
      <c r="FC238" s="4"/>
      <c r="FD238" s="4"/>
      <c r="FE238" s="4"/>
      <c r="FF238" s="4"/>
      <c r="FG238" s="6"/>
      <c r="FH238" s="6"/>
      <c r="FI238" s="6"/>
      <c r="FJ238" s="9"/>
      <c r="FK238"/>
      <c r="FL238"/>
      <c r="FM238"/>
      <c r="FN238"/>
      <c r="FO238"/>
      <c r="FP238"/>
      <c r="FQ238" s="4"/>
      <c r="FR238" s="4"/>
      <c r="FS238" s="4"/>
      <c r="FT238" s="6"/>
      <c r="FU238" s="4"/>
      <c r="FV238" s="4"/>
      <c r="FW238" s="4"/>
      <c r="FX238" s="4"/>
      <c r="FY238" s="4"/>
      <c r="FZ238" s="4"/>
      <c r="GA238" s="4"/>
      <c r="GB238" s="6"/>
      <c r="GC238" s="6"/>
      <c r="GD238" s="6"/>
      <c r="GE238" s="9"/>
      <c r="GF238"/>
      <c r="GG238"/>
      <c r="GH238"/>
      <c r="GI238"/>
      <c r="GJ238"/>
      <c r="GK238"/>
      <c r="GL238" s="4"/>
      <c r="GM238" s="4"/>
      <c r="GN238" s="4"/>
      <c r="GO238" s="6"/>
      <c r="GP238" s="4"/>
      <c r="GQ238" s="4"/>
      <c r="GR238" s="4"/>
      <c r="GS238" s="4"/>
      <c r="GT238" s="4"/>
      <c r="GU238" s="4"/>
      <c r="GV238" s="4"/>
      <c r="GW238" s="6"/>
      <c r="GX238" s="6"/>
      <c r="GY238" s="6"/>
      <c r="GZ238" s="9"/>
      <c r="HA238"/>
      <c r="HB238"/>
      <c r="HC238"/>
      <c r="HD238"/>
      <c r="HE238"/>
      <c r="HF238"/>
      <c r="HG238" s="4"/>
      <c r="HH238" s="4"/>
      <c r="HI238" s="4"/>
      <c r="HJ238" s="6"/>
      <c r="HK238" s="4"/>
      <c r="HL238" s="4"/>
      <c r="HM238" s="4"/>
      <c r="HN238" s="4"/>
      <c r="HO238" s="4"/>
      <c r="HP238" s="4"/>
      <c r="HQ238" s="4"/>
      <c r="HR238" s="6"/>
      <c r="HS238" s="6"/>
      <c r="HT238" s="6"/>
      <c r="HU238" s="9"/>
      <c r="HV238"/>
      <c r="HW238"/>
      <c r="HX238"/>
      <c r="HY238"/>
      <c r="HZ238"/>
      <c r="IA238"/>
      <c r="IB238" s="4"/>
      <c r="IC238" s="4"/>
      <c r="ID238" s="4"/>
      <c r="IE238" s="6"/>
      <c r="IF238" s="4"/>
      <c r="IG238" s="4"/>
      <c r="IH238" s="4"/>
      <c r="II238" s="4"/>
      <c r="IJ238" s="4"/>
      <c r="IK238" s="4"/>
      <c r="IL238" s="4"/>
      <c r="IM238" s="6"/>
      <c r="IN238" s="6"/>
      <c r="IO238" s="6"/>
      <c r="IP238" s="9"/>
      <c r="IQ238"/>
      <c r="IR238"/>
      <c r="IS238"/>
      <c r="IT238"/>
      <c r="IU238"/>
      <c r="IV238"/>
      <c r="IW238" s="4"/>
      <c r="IX238" s="4"/>
      <c r="IY238" s="4"/>
      <c r="IZ238" s="6"/>
      <c r="JA238" s="4"/>
      <c r="JB238" s="4"/>
      <c r="JC238" s="4"/>
      <c r="JD238" s="4"/>
      <c r="JE238" s="4"/>
      <c r="JF238" s="4"/>
      <c r="JG238" s="4"/>
      <c r="JH238" s="6"/>
      <c r="JI238" s="6"/>
      <c r="JJ238" s="6"/>
      <c r="JK238" s="9"/>
      <c r="JL238"/>
    </row>
    <row r="239">
      <c r="A239" s="8">
        <v>25556</v>
      </c>
      <c r="B239" s="8">
        <v>25559</v>
      </c>
      <c r="C239" s="9">
        <f>B239-A239</f>
        <v>3</v>
      </c>
      <c r="D239" s="8">
        <v>25556</v>
      </c>
      <c r="E239" t="inlineStr">
        <is>
          <t xml:space="preserve">positive</t>
        </is>
      </c>
      <c r="F239" s="4">
        <v>1.940340836947462</v>
      </c>
      <c r="G239" s="6">
        <v>0.01028126007937327</v>
      </c>
      <c r="H239" s="7">
        <f>SUM(CE239,CZ239,DU239,EP239,FK239,GF239,HA239,HV239,IQ239,JL239)</f>
        <v>0.010281260079373272</v>
      </c>
      <c r="I239" s="7">
        <f>G239-H239</f>
        <v>-1.734723475976807e-18</v>
      </c>
      <c r="J239" s="5">
        <f>F239*(1+H239)</f>
        <v>1.9602899857347478</v>
      </c>
      <c r="K239" s="4">
        <v>1.9602899857347478</v>
      </c>
      <c r="L239" s="5">
        <f>K239-J239</f>
        <v>0</v>
      </c>
      <c r="M239" s="4">
        <v>1.738</v>
      </c>
      <c r="N239" s="4">
        <v>1.756</v>
      </c>
      <c r="O239" s="5">
        <f>M239/$M$3</f>
        <v>0.8876404494382023</v>
      </c>
      <c r="P239" s="5">
        <f>N239/$M$3</f>
        <v>0.8968335035750766</v>
      </c>
      <c r="Q239" s="7">
        <f>IFERROR(N239/M239-1,0)</f>
        <v>0.010356731875719172</v>
      </c>
      <c r="R239" s="5">
        <f>SUM(IF(BM239="lease",BU239,0),IF(CH239="lease",CP239,0),IF(DC239="lease",DK239,0),IF(DX239="lease",EF239,0),IF(ES239="lease",FA239,0),IF(FN239="lease",FV239,0),IF(GI239="lease",GQ239,0),IF(HD239="lease",HL239,0),IF(HY239="lease",IG239,0),IF(IT239="lease",JB239,0))</f>
        <v>1.9403408369474608</v>
      </c>
      <c r="S239" s="5">
        <f>SUM(IF(BM239="lease",BV239,0),IF(CH239="lease",CQ239,0),IF(DC239="lease",DL239,0),IF(DX239="lease",EG239,0),IF(ES239="lease",FB239,0),IF(FN239="lease",FW239,0),IF(GI239="lease",GR239,0),IF(HD239="lease",HM239,0),IF(HY239="lease",IH239,0),IF(IT239="lease",JC239,0))</f>
        <v>1.9602899857347464</v>
      </c>
      <c r="T239" s="5">
        <f>SUM(IF(BM239="keep",BU239,0),IF(CH239="keep",CP239,0),IF(DC239="keep",DK239,0),IF(DX239="keep",EF239,0),IF(ES239="keep",FA239,0),IF(FN239="keep",FV239,0),IF(GI239="keep",GQ239,0),IF(HD239="keep",HL239,0),IF(HY239="keep",IG239,0),IF(IT239="keep",JB239,0))</f>
        <v>0</v>
      </c>
      <c r="U239" s="5">
        <f>SUM(IF(BM239="keep",BV239,0),IF(CH239="keep",CQ239,0),IF(DC239="keep",DL239,0),IF(DX239="keep",EG239,0),IF(ES239="keep",FB239,0),IF(FN239="keep",FW239,0),IF(GI239="keep",GR239,0),IF(HD239="keep",HM239,0),IF(HY239="keep",IH239,0),IF(IT239="keep",JC239,0))</f>
        <v>0</v>
      </c>
      <c r="V239" s="5">
        <f>R239/O239</f>
        <v>2.185953601118025</v>
      </c>
      <c r="W239" s="5">
        <f>S239/P239</f>
        <v>2.1857903143898825</v>
      </c>
      <c r="X239" s="5">
        <f>T239/O239</f>
        <v>0</v>
      </c>
      <c r="Y239" s="5">
        <f>U239/P239</f>
        <v>0</v>
      </c>
      <c r="Z239" s="5">
        <f>V239+X239</f>
        <v>2.185953601118025</v>
      </c>
      <c r="AA239" s="7">
        <f>IFERROR(W239/V239-1,0)</f>
        <v>-0.00007469816745386826</v>
      </c>
      <c r="AB239" s="7">
        <f>IFERROR((W239-V239)/Z239,0)</f>
        <v>-0.00007469816745386685</v>
      </c>
      <c r="AC239" s="7">
        <f>IFERROR(Y239/X239-1,0)</f>
        <v>0</v>
      </c>
      <c r="AD239" s="7">
        <f>IFERROR((Y239-X239)/Z239,0)</f>
        <v>0</v>
      </c>
      <c r="AE239" s="7">
        <f>AB239+AD239</f>
        <v>-0.00007469816745386685</v>
      </c>
      <c r="AF239" s="7">
        <f>(1+Q239)*(1+AE239)-1</f>
        <v>0.010281260079373356</v>
      </c>
      <c r="AG239" s="7">
        <f>G239-AF239</f>
        <v>-8.500145032286355e-17</v>
      </c>
      <c r="AH239" s="5">
        <f>SUM(IF(BM239="lease",BW239,0),IF(CH239="lease",CR239,0),IF(DC239="lease",DM239,0),IF(DX239="lease",EH239,0),IF(ES239="lease",FC239,0),IF(FN239="lease",FX239,0),IF(GI239="lease",GS239,0),IF(HD239="lease",HN239,0),IF(HY239="lease",II239,0),IF(IT239="lease",JD239,0))</f>
        <v>0.019949148787285664</v>
      </c>
      <c r="AI239" s="5">
        <f>SUM(IF(BM239="keep",BW239,0),IF(CH239="keep",CR239,0),IF(DC239="keep",DM239,0),IF(DX239="keep",EH239,0),IF(ES239="keep",FC239,0),IF(FN239="keep",FX239,0),IF(GI239="keep",GS239,0),IF(HD239="keep",HN239,0),IF(HY239="keep",II239,0),IF(IT239="keep",JD239,0))</f>
        <v>0</v>
      </c>
      <c r="AJ239" s="5">
        <f>SUM(IF(BM239="lease",BX239,0),IF(CH239="lease",CS239,0),IF(DC239="lease",DN239,0),IF(DX239="lease",EI239,0),IF(ES239="lease",FD239,0),IF(FN239="lease",FY239,0),IF(GI239="lease",GT239,0),IF(HD239="lease",HO239,0),IF(HY239="lease",IJ239,0),IF(IT239="lease",JE239,0))</f>
        <v>0</v>
      </c>
      <c r="AK239" s="5">
        <f>SUM(IF(BM239="keep",BX239,0),IF(CH239="keep",CS239,0),IF(DC239="keep",DN239,0),IF(DX239="keep",EI239,0),IF(ES239="keep",FD239,0),IF(FN239="keep",FY239,0),IF(GI239="keep",GT239,0),IF(HD239="keep",HO239,0),IF(HY239="keep",IJ239,0),IF(IT239="keep",JE239,0))</f>
        <v>0</v>
      </c>
      <c r="AL239" s="5">
        <f>R239-S238</f>
        <v>0</v>
      </c>
      <c r="AM239" s="5">
        <f>T239-U238</f>
        <v>0</v>
      </c>
      <c r="AN239" s="5">
        <f>AN238</f>
        <v>1</v>
      </c>
      <c r="AO239" s="5">
        <f>AO238+AH239</f>
        <v>0.9602899857347476</v>
      </c>
      <c r="AP239" s="5">
        <f>AP238+AL239</f>
        <v>4.440892098500626e-16</v>
      </c>
      <c r="AQ239" s="5">
        <f>AN239+AO239+AP239</f>
        <v>1.960289985734748</v>
      </c>
      <c r="AR239" s="5">
        <f>S239-AQ239</f>
        <v>-1.5543122344752192e-15</v>
      </c>
      <c r="AS239" s="5">
        <f>AS238</f>
        <v>0</v>
      </c>
      <c r="AT239" s="5">
        <f>AT238+AI239</f>
        <v>0</v>
      </c>
      <c r="AU239" s="5">
        <f>AU238+AM239</f>
        <v>0</v>
      </c>
      <c r="AV239" s="5">
        <f>AS239+AT239+AU239</f>
        <v>0</v>
      </c>
      <c r="AW239" s="5">
        <f>U239-AV239</f>
        <v>0</v>
      </c>
      <c r="AX239" s="4">
        <v>1.9403408369474608</v>
      </c>
      <c r="AY239" s="4">
        <v>1.9602899857347464</v>
      </c>
      <c r="AZ239" s="5">
        <f>S239-AY239</f>
        <v>0</v>
      </c>
      <c r="BA239" s="4">
        <v>0</v>
      </c>
      <c r="BB239" s="4">
        <v>0</v>
      </c>
      <c r="BC239" s="5">
        <f>U239-BB239</f>
        <v>0</v>
      </c>
      <c r="BD239" s="7">
        <f>SUM(IF(BL239="direct",CE239,0),IF(CG239="direct",CZ239,0),IF(DB239="direct",DU239,0),IF(DW239="direct",EP239,0),IF(ER239="direct",FK239,0),IF(FM239="direct",GF239,0),IF(GH239="direct",HA239,0),IF(HC239="direct",HV239,0),IF(HX239="direct",IQ239,0),IF(IS239="direct",JL239,0))</f>
        <v>0.009309694213606126</v>
      </c>
      <c r="BE239" s="7">
        <f>SUM(IF(BL239="treasury",CE239,0),IF(CG239="treasury",CZ239,0),IF(DB239="treasury",DU239,0),IF(DW239="treasury",EP239,0),IF(ER239="treasury",FK239,0),IF(FM239="treasury",GF239,0),IF(GH239="treasury",HA239,0),IF(HC239="treasury",HV239,0),IF(HX239="treasury",IQ239,0),IF(IS239="treasury",JL239,0))</f>
        <v>0.00006358581206551787</v>
      </c>
      <c r="BF239" s="7">
        <f>SUM(IF(BL239="future",CE239,0),IF(CG239="future",CZ239,0),IF(DB239="future",DU239,0),IF(DW239="future",EP239,0),IF(ER239="future",FK239,0),IF(FM239="future",GF239,0),IF(GH239="future",HA239,0),IF(HC239="future",HV239,0),IF(HX239="future",IQ239,0),IF(IS239="future",JL239,0))</f>
        <v>0.0009079800537016283</v>
      </c>
      <c r="BG239" s="7">
        <f>SUM(IF(BL239="cash",CE239,0),IF(CG239="cash",CZ239,0),IF(DB239="cash",DU239,0),IF(DW239="cash",EP239,0),IF(ER239="cash",FK239,0),IF(FM239="cash",GF239,0),IF(GH239="cash",HA239,0),IF(HC239="cash",HV239,0),IF(HX239="cash",IQ239,0),IF(IS239="cash",JL239,0))</f>
        <v>0</v>
      </c>
      <c r="BH239" s="7">
        <f>SUM(BD239:BG239)</f>
        <v>0.010281260079373272</v>
      </c>
      <c r="BI239" s="7">
        <f>G239-BH239</f>
        <v>-1.734723475976807e-18</v>
      </c>
      <c r="BJ239" s="9">
        <f>COUNTA(BK239,CF239,DA239,DV239,EQ239,FL239,GG239,HB239,HW239,IR239)</f>
        <v>5</v>
      </c>
      <c r="BK239" t="inlineStr">
        <is>
          <t xml:space="preserve">Direct commodity holding</t>
        </is>
      </c>
      <c r="BL239" t="inlineStr">
        <is>
          <t xml:space="preserve">direct</t>
        </is>
      </c>
      <c r="BM239" t="inlineStr">
        <is>
          <t xml:space="preserve">lease</t>
        </is>
      </c>
      <c r="BN239" t="inlineStr">
        <is>
          <t xml:space="preserve">long</t>
        </is>
      </c>
      <c r="BO239"/>
      <c r="BP239" s="4">
        <v>1.738</v>
      </c>
      <c r="BQ239" s="4">
        <v>1.756</v>
      </c>
      <c r="BR239" s="4">
        <v>1.0055494652916463</v>
      </c>
      <c r="BS239" s="6">
        <v>0.9006896816263841</v>
      </c>
      <c r="BT239" s="4">
        <v>1.7476449706768813</v>
      </c>
      <c r="BU239" s="4">
        <v>1.7476449706768813</v>
      </c>
      <c r="BV239" s="4">
        <v>1.765744861052131</v>
      </c>
      <c r="BW239" s="4">
        <v>0.018063979862153454</v>
      </c>
      <c r="BX239" s="4">
        <v>0.00003591051309616289</v>
      </c>
      <c r="BY239" s="4">
        <v>1.738</v>
      </c>
      <c r="BZ239" s="4">
        <v>1.756</v>
      </c>
      <c r="CA239" s="6"/>
      <c r="CB239" s="6"/>
      <c r="CC239" s="6"/>
      <c r="CD239" s="9"/>
      <c r="CE239" s="7">
        <f>IFERROR(BW239/F239,0)</f>
        <v>0.009309694213606126</v>
      </c>
      <c r="CF239" t="inlineStr">
        <is>
          <t xml:space="preserve">Treasury collateral</t>
        </is>
      </c>
      <c r="CG239" t="inlineStr">
        <is>
          <t xml:space="preserve">treasury</t>
        </is>
      </c>
      <c r="CH239" t="inlineStr">
        <is>
          <t xml:space="preserve">lease</t>
        </is>
      </c>
      <c r="CI239" t="inlineStr">
        <is>
          <t xml:space="preserve">long</t>
        </is>
      </c>
      <c r="CJ239"/>
      <c r="CK239" s="4">
        <v>106.57406230798794</v>
      </c>
      <c r="CL239" s="4">
        <v>106.64229890623828</v>
      </c>
      <c r="CM239" s="4">
        <v>0.001808093471314903</v>
      </c>
      <c r="CN239" s="6">
        <v>0.09931031837361586</v>
      </c>
      <c r="CO239" s="4">
        <v>0.1926958662705807</v>
      </c>
      <c r="CP239" s="4">
        <v>0.1926958662705807</v>
      </c>
      <c r="CQ239" s="4">
        <v>0.19281924441838186</v>
      </c>
      <c r="CR239" s="4">
        <v>0.00012337814780119096</v>
      </c>
      <c r="CS239" s="4">
        <v>-2.3445871979999033e-17</v>
      </c>
      <c r="CT239" s="4">
        <v>1.738</v>
      </c>
      <c r="CU239" s="4">
        <v>1.756</v>
      </c>
      <c r="CV239" s="6"/>
      <c r="CW239" s="6"/>
      <c r="CX239" s="6"/>
      <c r="CY239" s="9">
        <v>40</v>
      </c>
      <c r="CZ239" s="7">
        <f>IFERROR(CR239/F239,0)</f>
        <v>0.00006358581206551787</v>
      </c>
      <c r="DA239" t="inlineStr">
        <is>
          <t xml:space="preserve">SI70F</t>
        </is>
      </c>
      <c r="DB239" t="inlineStr">
        <is>
          <t xml:space="preserve">future</t>
        </is>
      </c>
      <c r="DC239" t="inlineStr">
        <is>
          <t xml:space="preserve">lease</t>
        </is>
      </c>
      <c r="DD239" t="inlineStr">
        <is>
          <t xml:space="preserve">long</t>
        </is>
      </c>
      <c r="DE239" t="inlineStr">
        <is>
          <t xml:space="preserve">regular</t>
        </is>
      </c>
      <c r="DF239" s="4">
        <v>1.75</v>
      </c>
      <c r="DG239" s="4">
        <v>1.766</v>
      </c>
      <c r="DH239" s="4">
        <v>0.11011192358318897</v>
      </c>
      <c r="DI239" s="6">
        <v>0.09931031837361586</v>
      </c>
      <c r="DJ239" s="4">
        <v>0.1926958662705807</v>
      </c>
      <c r="DK239" s="4">
        <v>0</v>
      </c>
      <c r="DL239" s="4">
        <v>0</v>
      </c>
      <c r="DM239" s="4">
        <v>0.0017617907773310188</v>
      </c>
      <c r="DN239" s="4">
        <v>-0.0017617907773310188</v>
      </c>
      <c r="DO239" s="4">
        <v>1.738</v>
      </c>
      <c r="DP239" s="4">
        <v>1.756</v>
      </c>
      <c r="DQ239" s="6">
        <v>0.0069044879171460405</v>
      </c>
      <c r="DR239" s="6">
        <v>0.0779</v>
      </c>
      <c r="DS239" s="6">
        <v>0.014896547756042378</v>
      </c>
      <c r="DT239" s="9">
        <v>40</v>
      </c>
      <c r="DU239" s="7">
        <f>IFERROR(DM239/F239,0)</f>
        <v>0.0009079800537016283</v>
      </c>
      <c r="DV239" t="inlineStr">
        <is>
          <t xml:space="preserve">Lease cash / margin / financing</t>
        </is>
      </c>
      <c r="DW239" t="inlineStr">
        <is>
          <t xml:space="preserve">cash</t>
        </is>
      </c>
      <c r="DX239" t="inlineStr">
        <is>
          <t xml:space="preserve">lease</t>
        </is>
      </c>
      <c r="DY239" t="inlineStr">
        <is>
          <t xml:space="preserve">cash</t>
        </is>
      </c>
      <c r="DZ239"/>
      <c r="EA239" s="4">
        <v>1</v>
      </c>
      <c r="EB239" s="4">
        <v>1</v>
      </c>
      <c r="EC239" s="4">
        <v>-1.1102230246251565e-15</v>
      </c>
      <c r="ED239" s="6"/>
      <c r="EE239" s="4">
        <v>-1.1102230246251565e-15</v>
      </c>
      <c r="EF239" s="4">
        <v>-1.1102230246251565e-15</v>
      </c>
      <c r="EG239" s="4">
        <v>0.0017258802642337691</v>
      </c>
      <c r="EH239" s="4">
        <v>0</v>
      </c>
      <c r="EI239" s="4">
        <v>0.0017258802642348794</v>
      </c>
      <c r="EJ239" s="4">
        <v>1.738</v>
      </c>
      <c r="EK239" s="4">
        <v>1.756</v>
      </c>
      <c r="EL239" s="6"/>
      <c r="EM239" s="6"/>
      <c r="EN239" s="6"/>
      <c r="EO239" s="9"/>
      <c r="EP239" s="7">
        <f>IFERROR(EH239/F239,0)</f>
        <v>0</v>
      </c>
      <c r="EQ239" t="inlineStr">
        <is>
          <t xml:space="preserve">Keep cash / margin / financing</t>
        </is>
      </c>
      <c r="ER239" t="inlineStr">
        <is>
          <t xml:space="preserve">cash</t>
        </is>
      </c>
      <c r="ES239" t="inlineStr">
        <is>
          <t xml:space="preserve">keep</t>
        </is>
      </c>
      <c r="ET239" t="inlineStr">
        <is>
          <t xml:space="preserve">cash</t>
        </is>
      </c>
      <c r="EU239"/>
      <c r="EV239" s="4">
        <v>1</v>
      </c>
      <c r="EW239" s="4">
        <v>1</v>
      </c>
      <c r="EX239" s="4">
        <v>0</v>
      </c>
      <c r="EY239" s="6"/>
      <c r="EZ239" s="4">
        <v>0</v>
      </c>
      <c r="FA239" s="4">
        <v>0</v>
      </c>
      <c r="FB239" s="4">
        <v>0</v>
      </c>
      <c r="FC239" s="4">
        <v>0</v>
      </c>
      <c r="FD239" s="4">
        <v>0</v>
      </c>
      <c r="FE239" s="4">
        <v>1.738</v>
      </c>
      <c r="FF239" s="4">
        <v>1.756</v>
      </c>
      <c r="FG239" s="6"/>
      <c r="FH239" s="6"/>
      <c r="FI239" s="6"/>
      <c r="FJ239" s="9"/>
      <c r="FK239" s="7">
        <f>IFERROR(FC239/F239,0)</f>
        <v>0</v>
      </c>
      <c r="FL239"/>
      <c r="FM239"/>
      <c r="FN239"/>
      <c r="FO239"/>
      <c r="FP239"/>
      <c r="FQ239" s="4"/>
      <c r="FR239" s="4"/>
      <c r="FS239" s="4"/>
      <c r="FT239" s="6"/>
      <c r="FU239" s="4"/>
      <c r="FV239" s="4"/>
      <c r="FW239" s="4"/>
      <c r="FX239" s="4"/>
      <c r="FY239" s="4"/>
      <c r="FZ239" s="4"/>
      <c r="GA239" s="4"/>
      <c r="GB239" s="6"/>
      <c r="GC239" s="6"/>
      <c r="GD239" s="6"/>
      <c r="GE239" s="9"/>
      <c r="GF239"/>
      <c r="GG239"/>
      <c r="GH239"/>
      <c r="GI239"/>
      <c r="GJ239"/>
      <c r="GK239"/>
      <c r="GL239" s="4"/>
      <c r="GM239" s="4"/>
      <c r="GN239" s="4"/>
      <c r="GO239" s="6"/>
      <c r="GP239" s="4"/>
      <c r="GQ239" s="4"/>
      <c r="GR239" s="4"/>
      <c r="GS239" s="4"/>
      <c r="GT239" s="4"/>
      <c r="GU239" s="4"/>
      <c r="GV239" s="4"/>
      <c r="GW239" s="6"/>
      <c r="GX239" s="6"/>
      <c r="GY239" s="6"/>
      <c r="GZ239" s="9"/>
      <c r="HA239"/>
      <c r="HB239"/>
      <c r="HC239"/>
      <c r="HD239"/>
      <c r="HE239"/>
      <c r="HF239"/>
      <c r="HG239" s="4"/>
      <c r="HH239" s="4"/>
      <c r="HI239" s="4"/>
      <c r="HJ239" s="6"/>
      <c r="HK239" s="4"/>
      <c r="HL239" s="4"/>
      <c r="HM239" s="4"/>
      <c r="HN239" s="4"/>
      <c r="HO239" s="4"/>
      <c r="HP239" s="4"/>
      <c r="HQ239" s="4"/>
      <c r="HR239" s="6"/>
      <c r="HS239" s="6"/>
      <c r="HT239" s="6"/>
      <c r="HU239" s="9"/>
      <c r="HV239"/>
      <c r="HW239"/>
      <c r="HX239"/>
      <c r="HY239"/>
      <c r="HZ239"/>
      <c r="IA239"/>
      <c r="IB239" s="4"/>
      <c r="IC239" s="4"/>
      <c r="ID239" s="4"/>
      <c r="IE239" s="6"/>
      <c r="IF239" s="4"/>
      <c r="IG239" s="4"/>
      <c r="IH239" s="4"/>
      <c r="II239" s="4"/>
      <c r="IJ239" s="4"/>
      <c r="IK239" s="4"/>
      <c r="IL239" s="4"/>
      <c r="IM239" s="6"/>
      <c r="IN239" s="6"/>
      <c r="IO239" s="6"/>
      <c r="IP239" s="9"/>
      <c r="IQ239"/>
      <c r="IR239"/>
      <c r="IS239"/>
      <c r="IT239"/>
      <c r="IU239"/>
      <c r="IV239"/>
      <c r="IW239" s="4"/>
      <c r="IX239" s="4"/>
      <c r="IY239" s="4"/>
      <c r="IZ239" s="6"/>
      <c r="JA239" s="4"/>
      <c r="JB239" s="4"/>
      <c r="JC239" s="4"/>
      <c r="JD239" s="4"/>
      <c r="JE239" s="4"/>
      <c r="JF239" s="4"/>
      <c r="JG239" s="4"/>
      <c r="JH239" s="6"/>
      <c r="JI239" s="6"/>
      <c r="JJ239" s="6"/>
      <c r="JK239" s="9"/>
      <c r="JL239"/>
    </row>
    <row r="240">
      <c r="A240" s="8">
        <v>25559</v>
      </c>
      <c r="B240" s="8">
        <v>25560</v>
      </c>
      <c r="C240" s="9">
        <f>B240-A240</f>
        <v>1</v>
      </c>
      <c r="D240" s="8">
        <v>25559</v>
      </c>
      <c r="E240" t="inlineStr">
        <is>
          <t xml:space="preserve">positive</t>
        </is>
      </c>
      <c r="F240" s="4">
        <v>1.9602899857347478</v>
      </c>
      <c r="G240" s="6">
        <v>0.010517057556764802</v>
      </c>
      <c r="H240" s="7">
        <f>SUM(CE240,CZ240,DU240,EP240,FK240,GF240,HA240,HV240,IQ240,JL240)</f>
        <v>0.010517057556764802</v>
      </c>
      <c r="I240" s="7">
        <f>G240-H240</f>
        <v>0</v>
      </c>
      <c r="J240" s="5">
        <f>F240*(1+H240)</f>
        <v>1.9809064683426698</v>
      </c>
      <c r="K240" s="4">
        <v>1.9809064683426698</v>
      </c>
      <c r="L240" s="5">
        <f>K240-J240</f>
        <v>0</v>
      </c>
      <c r="M240" s="4">
        <v>1.756</v>
      </c>
      <c r="N240" s="4">
        <v>1.774</v>
      </c>
      <c r="O240" s="5">
        <f>M240/$M$3</f>
        <v>0.8968335035750766</v>
      </c>
      <c r="P240" s="5">
        <f>N240/$M$3</f>
        <v>0.906026557711951</v>
      </c>
      <c r="Q240" s="7">
        <f>IFERROR(N240/M240-1,0)</f>
        <v>0.010250569476081939</v>
      </c>
      <c r="R240" s="5">
        <f>SUM(IF(BM240="lease",BU240,0),IF(CH240="lease",CP240,0),IF(DC240="lease",DK240,0),IF(DX240="lease",EF240,0),IF(ES240="lease",FA240,0),IF(FN240="lease",FV240,0),IF(GI240="lease",GQ240,0),IF(HD240="lease",HL240,0),IF(HY240="lease",IG240,0),IF(IT240="lease",JB240,0))</f>
        <v>1.9602899857347464</v>
      </c>
      <c r="S240" s="5">
        <f>SUM(IF(BM240="lease",BV240,0),IF(CH240="lease",CQ240,0),IF(DC240="lease",DL240,0),IF(DX240="lease",EG240,0),IF(ES240="lease",FB240,0),IF(FN240="lease",FW240,0),IF(GI240="lease",GR240,0),IF(HD240="lease",HM240,0),IF(HY240="lease",IH240,0),IF(IT240="lease",JC240,0))</f>
        <v>1.9809064683426685</v>
      </c>
      <c r="T240" s="5">
        <f>SUM(IF(BM240="keep",BU240,0),IF(CH240="keep",CP240,0),IF(DC240="keep",DK240,0),IF(DX240="keep",EF240,0),IF(ES240="keep",FA240,0),IF(FN240="keep",FV240,0),IF(GI240="keep",GQ240,0),IF(HD240="keep",HL240,0),IF(HY240="keep",IG240,0),IF(IT240="keep",JB240,0))</f>
        <v>0</v>
      </c>
      <c r="U240" s="5">
        <f>SUM(IF(BM240="keep",BV240,0),IF(CH240="keep",CQ240,0),IF(DC240="keep",DL240,0),IF(DX240="keep",EG240,0),IF(ES240="keep",FB240,0),IF(FN240="keep",FW240,0),IF(GI240="keep",GR240,0),IF(HD240="keep",HM240,0),IF(HY240="keep",IH240,0),IF(IT240="keep",JC240,0))</f>
        <v>0</v>
      </c>
      <c r="V240" s="5">
        <f>R240/O240</f>
        <v>2.1857903143898825</v>
      </c>
      <c r="W240" s="5">
        <f>S240/P240</f>
        <v>2.186366891214738</v>
      </c>
      <c r="X240" s="5">
        <f>T240/O240</f>
        <v>0</v>
      </c>
      <c r="Y240" s="5">
        <f>U240/P240</f>
        <v>0</v>
      </c>
      <c r="Z240" s="5">
        <f>V240+X240</f>
        <v>2.1857903143898825</v>
      </c>
      <c r="AA240" s="7">
        <f>IFERROR(W240/V240-1,0)</f>
        <v>0.00026378414299843556</v>
      </c>
      <c r="AB240" s="7">
        <f>IFERROR((W240-V240)/Z240,0)</f>
        <v>0.00026378414299841355</v>
      </c>
      <c r="AC240" s="7">
        <f>IFERROR(Y240/X240-1,0)</f>
        <v>0</v>
      </c>
      <c r="AD240" s="7">
        <f>IFERROR((Y240-X240)/Z240,0)</f>
        <v>0</v>
      </c>
      <c r="AE240" s="7">
        <f>AB240+AD240</f>
        <v>0.00026378414299841355</v>
      </c>
      <c r="AF240" s="7">
        <f>(1+Q240)*(1+AE240)-1</f>
        <v>0.010517057556764797</v>
      </c>
      <c r="AG240" s="7">
        <f>G240-AF240</f>
        <v>5.204170427930421e-18</v>
      </c>
      <c r="AH240" s="5">
        <f>SUM(IF(BM240="lease",BW240,0),IF(CH240="lease",CR240,0),IF(DC240="lease",DM240,0),IF(DX240="lease",EH240,0),IF(ES240="lease",FC240,0),IF(FN240="lease",FX240,0),IF(GI240="lease",GS240,0),IF(HD240="lease",HN240,0),IF(HY240="lease",II240,0),IF(IT240="lease",JD240,0))</f>
        <v>0.020616482607921996</v>
      </c>
      <c r="AI240" s="5">
        <f>SUM(IF(BM240="keep",BW240,0),IF(CH240="keep",CR240,0),IF(DC240="keep",DM240,0),IF(DX240="keep",EH240,0),IF(ES240="keep",FC240,0),IF(FN240="keep",FX240,0),IF(GI240="keep",GS240,0),IF(HD240="keep",HN240,0),IF(HY240="keep",II240,0),IF(IT240="keep",JD240,0))</f>
        <v>0</v>
      </c>
      <c r="AJ240" s="5">
        <f>SUM(IF(BM240="lease",BX240,0),IF(CH240="lease",CS240,0),IF(DC240="lease",DN240,0),IF(DX240="lease",EI240,0),IF(ES240="lease",FD240,0),IF(FN240="lease",FY240,0),IF(GI240="lease",GT240,0),IF(HD240="lease",HO240,0),IF(HY240="lease",IJ240,0),IF(IT240="lease",JE240,0))</f>
        <v>0</v>
      </c>
      <c r="AK240" s="5">
        <f>SUM(IF(BM240="keep",BX240,0),IF(CH240="keep",CS240,0),IF(DC240="keep",DN240,0),IF(DX240="keep",EI240,0),IF(ES240="keep",FD240,0),IF(FN240="keep",FY240,0),IF(GI240="keep",GT240,0),IF(HD240="keep",HO240,0),IF(HY240="keep",IJ240,0),IF(IT240="keep",JE240,0))</f>
        <v>0</v>
      </c>
      <c r="AL240" s="5">
        <f>R240-S239</f>
        <v>0</v>
      </c>
      <c r="AM240" s="5">
        <f>T240-U239</f>
        <v>0</v>
      </c>
      <c r="AN240" s="5">
        <f>AN239</f>
        <v>1</v>
      </c>
      <c r="AO240" s="5">
        <f>AO239+AH240</f>
        <v>0.9809064683426696</v>
      </c>
      <c r="AP240" s="5">
        <f>AP239+AL240</f>
        <v>4.440892098500626e-16</v>
      </c>
      <c r="AQ240" s="5">
        <f>AN240+AO240+AP240</f>
        <v>1.98090646834267</v>
      </c>
      <c r="AR240" s="5">
        <f>S240-AQ240</f>
        <v>-1.5543122344752192e-15</v>
      </c>
      <c r="AS240" s="5">
        <f>AS239</f>
        <v>0</v>
      </c>
      <c r="AT240" s="5">
        <f>AT239+AI240</f>
        <v>0</v>
      </c>
      <c r="AU240" s="5">
        <f>AU239+AM240</f>
        <v>0</v>
      </c>
      <c r="AV240" s="5">
        <f>AS240+AT240+AU240</f>
        <v>0</v>
      </c>
      <c r="AW240" s="5">
        <f>U240-AV240</f>
        <v>0</v>
      </c>
      <c r="AX240" s="4">
        <v>1.9602899857347464</v>
      </c>
      <c r="AY240" s="4">
        <v>1.9809064683426685</v>
      </c>
      <c r="AZ240" s="5">
        <f>S240-AY240</f>
        <v>0</v>
      </c>
      <c r="BA240" s="4">
        <v>0</v>
      </c>
      <c r="BB240" s="4">
        <v>0</v>
      </c>
      <c r="BC240" s="5">
        <f>U240-BB240</f>
        <v>0</v>
      </c>
      <c r="BD240" s="7">
        <f>SUM(IF(BL240="direct",CE240,0),IF(CG240="direct",CZ240,0),IF(DB240="direct",DU240,0),IF(DW240="direct",EP240,0),IF(ER240="direct",FK240,0),IF(FM240="direct",GF240,0),IF(GH240="direct",HA240,0),IF(HC240="direct",HV240,0),IF(HX240="direct",IQ240,0),IF(IS240="direct",JL240,0))</f>
        <v>0.008739808594895926</v>
      </c>
      <c r="BE240" s="7">
        <f>SUM(IF(BL240="treasury",CE240,0),IF(CG240="treasury",CZ240,0),IF(DB240="treasury",DU240,0),IF(DW240="treasury",EP240,0),IF(ER240="treasury",FK240,0),IF(FM240="treasury",GF240,0),IF(GH240="treasury",HA240,0),IF(HC240="treasury",HV240,0),IF(HX240="treasury",IQ240,0),IF(IS240="treasury",JL240,0))</f>
        <v>0.000031454188282582465</v>
      </c>
      <c r="BF240" s="7">
        <f>SUM(IF(BL240="future",CE240,0),IF(CG240="future",CZ240,0),IF(DB240="future",DU240,0),IF(DW240="future",EP240,0),IF(ER240="future",FK240,0),IF(FM240="future",GF240,0),IF(GH240="future",HA240,0),IF(HC240="future",HV240,0),IF(HX240="future",IQ240,0),IF(IS240="future",JL240,0))</f>
        <v>0.0017457947735862937</v>
      </c>
      <c r="BG240" s="7">
        <f>SUM(IF(BL240="cash",CE240,0),IF(CG240="cash",CZ240,0),IF(DB240="cash",DU240,0),IF(DW240="cash",EP240,0),IF(ER240="cash",FK240,0),IF(FM240="cash",GF240,0),IF(GH240="cash",HA240,0),IF(HC240="cash",HV240,0),IF(HX240="cash",IQ240,0),IF(IS240="cash",JL240,0))</f>
        <v>0</v>
      </c>
      <c r="BH240" s="7">
        <f>SUM(BD240:BG240)</f>
        <v>0.010517057556764802</v>
      </c>
      <c r="BI240" s="7">
        <f>G240-BH240</f>
        <v>0</v>
      </c>
      <c r="BJ240" s="9">
        <f>COUNTA(BK240,CF240,DA240,DV240,EQ240,FL240,GG240,HB240,HW240,IR240)</f>
        <v>5</v>
      </c>
      <c r="BK240" t="inlineStr">
        <is>
          <t xml:space="preserve">Direct commodity holding</t>
        </is>
      </c>
      <c r="BL240" t="inlineStr">
        <is>
          <t xml:space="preserve">direct</t>
        </is>
      </c>
      <c r="BM240" t="inlineStr">
        <is>
          <t xml:space="preserve">lease</t>
        </is>
      </c>
      <c r="BN240" t="inlineStr">
        <is>
          <t xml:space="preserve">long</t>
        </is>
      </c>
      <c r="BO240"/>
      <c r="BP240" s="4">
        <v>1.756</v>
      </c>
      <c r="BQ240" s="4">
        <v>1.774</v>
      </c>
      <c r="BR240" s="4">
        <v>0.9524452612966305</v>
      </c>
      <c r="BS240" s="6">
        <v>0.853186972849839</v>
      </c>
      <c r="BT240" s="4">
        <v>1.6724938788368833</v>
      </c>
      <c r="BU240" s="4">
        <v>1.6724938788368833</v>
      </c>
      <c r="BV240" s="4">
        <v>1.6896378935402225</v>
      </c>
      <c r="BW240" s="4">
        <v>0.01713255926581296</v>
      </c>
      <c r="BX240" s="4">
        <v>0.000011455437526300405</v>
      </c>
      <c r="BY240" s="4">
        <v>1.756</v>
      </c>
      <c r="BZ240" s="4">
        <v>1.774</v>
      </c>
      <c r="CA240" s="6"/>
      <c r="CB240" s="6"/>
      <c r="CC240" s="6"/>
      <c r="CD240" s="9"/>
      <c r="CE240" s="7">
        <f>IFERROR(BW240/F240,0)</f>
        <v>0.008739808594895926</v>
      </c>
      <c r="CF240" t="inlineStr">
        <is>
          <t xml:space="preserve">Treasury collateral</t>
        </is>
      </c>
      <c r="CG240" t="inlineStr">
        <is>
          <t xml:space="preserve">treasury</t>
        </is>
      </c>
      <c r="CH240" t="inlineStr">
        <is>
          <t xml:space="preserve">lease</t>
        </is>
      </c>
      <c r="CI240" t="inlineStr">
        <is>
          <t xml:space="preserve">long</t>
        </is>
      </c>
      <c r="CJ240"/>
      <c r="CK240" s="4">
        <v>106.64229890623828</v>
      </c>
      <c r="CL240" s="4">
        <v>106.66514665356561</v>
      </c>
      <c r="CM240" s="4">
        <v>0.002698705015266969</v>
      </c>
      <c r="CN240" s="6">
        <v>0.1468130271501611</v>
      </c>
      <c r="CO240" s="4">
        <v>0.28779610689786445</v>
      </c>
      <c r="CP240" s="4">
        <v>0.28779610689786445</v>
      </c>
      <c r="CQ240" s="4">
        <v>0.2878577662281643</v>
      </c>
      <c r="CR240" s="4">
        <v>0.00006165933029976165</v>
      </c>
      <c r="CS240" s="4">
        <v>7.3075226425523e-17</v>
      </c>
      <c r="CT240" s="4">
        <v>1.756</v>
      </c>
      <c r="CU240" s="4">
        <v>1.774</v>
      </c>
      <c r="CV240" s="6"/>
      <c r="CW240" s="6"/>
      <c r="CX240" s="6"/>
      <c r="CY240" s="9">
        <v>37</v>
      </c>
      <c r="CZ240" s="7">
        <f>IFERROR(CR240/F240,0)</f>
        <v>0.000031454188282582465</v>
      </c>
      <c r="DA240" t="inlineStr">
        <is>
          <t xml:space="preserve">SI70F</t>
        </is>
      </c>
      <c r="DB240" t="inlineStr">
        <is>
          <t xml:space="preserve">future</t>
        </is>
      </c>
      <c r="DC240" t="inlineStr">
        <is>
          <t xml:space="preserve">lease</t>
        </is>
      </c>
      <c r="DD240" t="inlineStr">
        <is>
          <t xml:space="preserve">long</t>
        </is>
      </c>
      <c r="DE240" t="inlineStr">
        <is>
          <t xml:space="preserve">regular</t>
        </is>
      </c>
      <c r="DF240" s="4">
        <v>1.766</v>
      </c>
      <c r="DG240" s="4">
        <v>1.787</v>
      </c>
      <c r="DH240" s="4">
        <v>0.1629649529432981</v>
      </c>
      <c r="DI240" s="6">
        <v>0.1468130271501611</v>
      </c>
      <c r="DJ240" s="4">
        <v>0.28779610689786445</v>
      </c>
      <c r="DK240" s="4">
        <v>0</v>
      </c>
      <c r="DL240" s="4">
        <v>0</v>
      </c>
      <c r="DM240" s="4">
        <v>0.003422264011809273</v>
      </c>
      <c r="DN240" s="4">
        <v>-0.003422264011809273</v>
      </c>
      <c r="DO240" s="4">
        <v>1.756</v>
      </c>
      <c r="DP240" s="4">
        <v>1.774</v>
      </c>
      <c r="DQ240" s="6">
        <v>0.005694760820045497</v>
      </c>
      <c r="DR240" s="6">
        <v>0.0782</v>
      </c>
      <c r="DS240" s="6">
        <v>0.022021954072524164</v>
      </c>
      <c r="DT240" s="9">
        <v>37</v>
      </c>
      <c r="DU240" s="7">
        <f>IFERROR(DM240/F240,0)</f>
        <v>0.0017457947735862937</v>
      </c>
      <c r="DV240" t="inlineStr">
        <is>
          <t xml:space="preserve">Lease cash / margin / financing</t>
        </is>
      </c>
      <c r="DW240" t="inlineStr">
        <is>
          <t xml:space="preserve">cash</t>
        </is>
      </c>
      <c r="DX240" t="inlineStr">
        <is>
          <t xml:space="preserve">lease</t>
        </is>
      </c>
      <c r="DY240" t="inlineStr">
        <is>
          <t xml:space="preserve">cash</t>
        </is>
      </c>
      <c r="DZ240"/>
      <c r="EA240" s="4">
        <v>1</v>
      </c>
      <c r="EB240" s="4">
        <v>1</v>
      </c>
      <c r="EC240" s="4">
        <v>-1.3322676295501878e-15</v>
      </c>
      <c r="ED240" s="6"/>
      <c r="EE240" s="4">
        <v>-1.3322676295501878e-15</v>
      </c>
      <c r="EF240" s="4">
        <v>-1.3322676295501878e-15</v>
      </c>
      <c r="EG240" s="4">
        <v>0.003410808574281567</v>
      </c>
      <c r="EH240" s="4">
        <v>0</v>
      </c>
      <c r="EI240" s="4">
        <v>0.0034108085742828994</v>
      </c>
      <c r="EJ240" s="4">
        <v>1.756</v>
      </c>
      <c r="EK240" s="4">
        <v>1.774</v>
      </c>
      <c r="EL240" s="6"/>
      <c r="EM240" s="6"/>
      <c r="EN240" s="6"/>
      <c r="EO240" s="9"/>
      <c r="EP240" s="7">
        <f>IFERROR(EH240/F240,0)</f>
        <v>0</v>
      </c>
      <c r="EQ240" t="inlineStr">
        <is>
          <t xml:space="preserve">Keep cash / margin / financing</t>
        </is>
      </c>
      <c r="ER240" t="inlineStr">
        <is>
          <t xml:space="preserve">cash</t>
        </is>
      </c>
      <c r="ES240" t="inlineStr">
        <is>
          <t xml:space="preserve">keep</t>
        </is>
      </c>
      <c r="ET240" t="inlineStr">
        <is>
          <t xml:space="preserve">cash</t>
        </is>
      </c>
      <c r="EU240"/>
      <c r="EV240" s="4">
        <v>1</v>
      </c>
      <c r="EW240" s="4">
        <v>1</v>
      </c>
      <c r="EX240" s="4">
        <v>0</v>
      </c>
      <c r="EY240" s="6"/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1.756</v>
      </c>
      <c r="FF240" s="4">
        <v>1.774</v>
      </c>
      <c r="FG240" s="6"/>
      <c r="FH240" s="6"/>
      <c r="FI240" s="6"/>
      <c r="FJ240" s="9"/>
      <c r="FK240" s="7">
        <f>IFERROR(FC240/F240,0)</f>
        <v>0</v>
      </c>
      <c r="FL240"/>
      <c r="FM240"/>
      <c r="FN240"/>
      <c r="FO240"/>
      <c r="FP240"/>
      <c r="FQ240" s="4"/>
      <c r="FR240" s="4"/>
      <c r="FS240" s="4"/>
      <c r="FT240" s="6"/>
      <c r="FU240" s="4"/>
      <c r="FV240" s="4"/>
      <c r="FW240" s="4"/>
      <c r="FX240" s="4"/>
      <c r="FY240" s="4"/>
      <c r="FZ240" s="4"/>
      <c r="GA240" s="4"/>
      <c r="GB240" s="6"/>
      <c r="GC240" s="6"/>
      <c r="GD240" s="6"/>
      <c r="GE240" s="9"/>
      <c r="GF240"/>
      <c r="GG240"/>
      <c r="GH240"/>
      <c r="GI240"/>
      <c r="GJ240"/>
      <c r="GK240"/>
      <c r="GL240" s="4"/>
      <c r="GM240" s="4"/>
      <c r="GN240" s="4"/>
      <c r="GO240" s="6"/>
      <c r="GP240" s="4"/>
      <c r="GQ240" s="4"/>
      <c r="GR240" s="4"/>
      <c r="GS240" s="4"/>
      <c r="GT240" s="4"/>
      <c r="GU240" s="4"/>
      <c r="GV240" s="4"/>
      <c r="GW240" s="6"/>
      <c r="GX240" s="6"/>
      <c r="GY240" s="6"/>
      <c r="GZ240" s="9"/>
      <c r="HA240"/>
      <c r="HB240"/>
      <c r="HC240"/>
      <c r="HD240"/>
      <c r="HE240"/>
      <c r="HF240"/>
      <c r="HG240" s="4"/>
      <c r="HH240" s="4"/>
      <c r="HI240" s="4"/>
      <c r="HJ240" s="6"/>
      <c r="HK240" s="4"/>
      <c r="HL240" s="4"/>
      <c r="HM240" s="4"/>
      <c r="HN240" s="4"/>
      <c r="HO240" s="4"/>
      <c r="HP240" s="4"/>
      <c r="HQ240" s="4"/>
      <c r="HR240" s="6"/>
      <c r="HS240" s="6"/>
      <c r="HT240" s="6"/>
      <c r="HU240" s="9"/>
      <c r="HV240"/>
      <c r="HW240"/>
      <c r="HX240"/>
      <c r="HY240"/>
      <c r="HZ240"/>
      <c r="IA240"/>
      <c r="IB240" s="4"/>
      <c r="IC240" s="4"/>
      <c r="ID240" s="4"/>
      <c r="IE240" s="6"/>
      <c r="IF240" s="4"/>
      <c r="IG240" s="4"/>
      <c r="IH240" s="4"/>
      <c r="II240" s="4"/>
      <c r="IJ240" s="4"/>
      <c r="IK240" s="4"/>
      <c r="IL240" s="4"/>
      <c r="IM240" s="6"/>
      <c r="IN240" s="6"/>
      <c r="IO240" s="6"/>
      <c r="IP240" s="9"/>
      <c r="IQ240"/>
      <c r="IR240"/>
      <c r="IS240"/>
      <c r="IT240"/>
      <c r="IU240"/>
      <c r="IV240"/>
      <c r="IW240" s="4"/>
      <c r="IX240" s="4"/>
      <c r="IY240" s="4"/>
      <c r="IZ240" s="6"/>
      <c r="JA240" s="4"/>
      <c r="JB240" s="4"/>
      <c r="JC240" s="4"/>
      <c r="JD240" s="4"/>
      <c r="JE240" s="4"/>
      <c r="JF240" s="4"/>
      <c r="JG240" s="4"/>
      <c r="JH240" s="6"/>
      <c r="JI240" s="6"/>
      <c r="JJ240" s="6"/>
      <c r="JK240" s="9"/>
      <c r="JL240"/>
    </row>
    <row r="241">
      <c r="A241" s="8">
        <v>25560</v>
      </c>
      <c r="B241" s="8">
        <v>25561</v>
      </c>
      <c r="C241" s="9">
        <f>B241-A241</f>
        <v>1</v>
      </c>
      <c r="D241" s="8">
        <v>25560</v>
      </c>
      <c r="E241" t="inlineStr">
        <is>
          <t xml:space="preserve">positive</t>
        </is>
      </c>
      <c r="F241" s="4">
        <v>1.9809064683426698</v>
      </c>
      <c r="G241" s="6">
        <v>0.014146901648061877</v>
      </c>
      <c r="H241" s="7">
        <f>SUM(CE241,CZ241,DU241,EP241,FK241,GF241,HA241,HV241,IQ241,JL241)</f>
        <v>0.014146901648061878</v>
      </c>
      <c r="I241" s="7">
        <f>G241-H241</f>
        <v>-1.734723475976807e-18</v>
      </c>
      <c r="J241" s="5">
        <f>F241*(1+H241)</f>
        <v>2.0089301573243232</v>
      </c>
      <c r="K241" s="4">
        <v>2.0089301573243232</v>
      </c>
      <c r="L241" s="5">
        <f>K241-J241</f>
        <v>0</v>
      </c>
      <c r="M241" s="4">
        <v>1.774</v>
      </c>
      <c r="N241" s="4">
        <v>1.799</v>
      </c>
      <c r="O241" s="5">
        <f>M241/$M$3</f>
        <v>0.906026557711951</v>
      </c>
      <c r="P241" s="5">
        <f>N241/$M$3</f>
        <v>0.9187946884576098</v>
      </c>
      <c r="Q241" s="7">
        <f>IFERROR(N241/M241-1,0)</f>
        <v>0.014092446448703555</v>
      </c>
      <c r="R241" s="5">
        <f>SUM(IF(BM241="lease",BU241,0),IF(CH241="lease",CP241,0),IF(DC241="lease",DK241,0),IF(DX241="lease",EF241,0),IF(ES241="lease",FA241,0),IF(FN241="lease",FV241,0),IF(GI241="lease",GQ241,0),IF(HD241="lease",HL241,0),IF(HY241="lease",IG241,0),IF(IT241="lease",JB241,0))</f>
        <v>1.9809064683426685</v>
      </c>
      <c r="S241" s="5">
        <f>SUM(IF(BM241="lease",BV241,0),IF(CH241="lease",CQ241,0),IF(DC241="lease",DL241,0),IF(DX241="lease",EG241,0),IF(ES241="lease",FB241,0),IF(FN241="lease",FW241,0),IF(GI241="lease",GR241,0),IF(HD241="lease",HM241,0),IF(HY241="lease",IH241,0),IF(IT241="lease",JC241,0))</f>
        <v>2.0089301573243215</v>
      </c>
      <c r="T241" s="5">
        <f>SUM(IF(BM241="keep",BU241,0),IF(CH241="keep",CP241,0),IF(DC241="keep",DK241,0),IF(DX241="keep",EF241,0),IF(ES241="keep",FA241,0),IF(FN241="keep",FV241,0),IF(GI241="keep",GQ241,0),IF(HD241="keep",HL241,0),IF(HY241="keep",IG241,0),IF(IT241="keep",JB241,0))</f>
        <v>0</v>
      </c>
      <c r="U241" s="5">
        <f>SUM(IF(BM241="keep",BV241,0),IF(CH241="keep",CQ241,0),IF(DC241="keep",DL241,0),IF(DX241="keep",EG241,0),IF(ES241="keep",FB241,0),IF(FN241="keep",FW241,0),IF(GI241="keep",GR241,0),IF(HD241="keep",HM241,0),IF(HY241="keep",IH241,0),IF(IT241="keep",JC241,0))</f>
        <v>0</v>
      </c>
      <c r="V241" s="5">
        <f>R241/O241</f>
        <v>2.186366891214738</v>
      </c>
      <c r="W241" s="5">
        <f>S241/P241</f>
        <v>2.1864842957426465</v>
      </c>
      <c r="X241" s="5">
        <f>T241/O241</f>
        <v>0</v>
      </c>
      <c r="Y241" s="5">
        <f>U241/P241</f>
        <v>0</v>
      </c>
      <c r="Z241" s="5">
        <f>V241+X241</f>
        <v>2.186366891214738</v>
      </c>
      <c r="AA241" s="7">
        <f>IFERROR(W241/V241-1,0)</f>
        <v>0.00005369845673208751</v>
      </c>
      <c r="AB241" s="7">
        <f>IFERROR((W241-V241)/Z241,0)</f>
        <v>0.000053698456732116564</v>
      </c>
      <c r="AC241" s="7">
        <f>IFERROR(Y241/X241-1,0)</f>
        <v>0</v>
      </c>
      <c r="AD241" s="7">
        <f>IFERROR((Y241-X241)/Z241,0)</f>
        <v>0</v>
      </c>
      <c r="AE241" s="7">
        <f>AB241+AD241</f>
        <v>0.000053698456732116564</v>
      </c>
      <c r="AF241" s="7">
        <f>(1+Q241)*(1+AE241)-1</f>
        <v>0.014146901648061538</v>
      </c>
      <c r="AG241" s="7">
        <f>G241-AF241</f>
        <v>3.382710778154774e-16</v>
      </c>
      <c r="AH241" s="5">
        <f>SUM(IF(BM241="lease",BW241,0),IF(CH241="lease",CR241,0),IF(DC241="lease",DM241,0),IF(DX241="lease",EH241,0),IF(ES241="lease",FC241,0),IF(FN241="lease",FX241,0),IF(GI241="lease",GS241,0),IF(HD241="lease",HN241,0),IF(HY241="lease",II241,0),IF(IT241="lease",JD241,0))</f>
        <v>0.02802368898165335</v>
      </c>
      <c r="AI241" s="5">
        <f>SUM(IF(BM241="keep",BW241,0),IF(CH241="keep",CR241,0),IF(DC241="keep",DM241,0),IF(DX241="keep",EH241,0),IF(ES241="keep",FC241,0),IF(FN241="keep",FX241,0),IF(GI241="keep",GS241,0),IF(HD241="keep",HN241,0),IF(HY241="keep",II241,0),IF(IT241="keep",JD241,0))</f>
        <v>0</v>
      </c>
      <c r="AJ241" s="5">
        <f>SUM(IF(BM241="lease",BX241,0),IF(CH241="lease",CS241,0),IF(DC241="lease",DN241,0),IF(DX241="lease",EI241,0),IF(ES241="lease",FD241,0),IF(FN241="lease",FY241,0),IF(GI241="lease",GT241,0),IF(HD241="lease",HO241,0),IF(HY241="lease",IJ241,0),IF(IT241="lease",JE241,0))</f>
        <v>0</v>
      </c>
      <c r="AK241" s="5">
        <f>SUM(IF(BM241="keep",BX241,0),IF(CH241="keep",CS241,0),IF(DC241="keep",DN241,0),IF(DX241="keep",EI241,0),IF(ES241="keep",FD241,0),IF(FN241="keep",FY241,0),IF(GI241="keep",GT241,0),IF(HD241="keep",HO241,0),IF(HY241="keep",IJ241,0),IF(IT241="keep",JE241,0))</f>
        <v>0</v>
      </c>
      <c r="AL241" s="5">
        <f>R241-S240</f>
        <v>0</v>
      </c>
      <c r="AM241" s="5">
        <f>T241-U240</f>
        <v>0</v>
      </c>
      <c r="AN241" s="5">
        <f>AN240</f>
        <v>1</v>
      </c>
      <c r="AO241" s="5">
        <f>AO240+AH241</f>
        <v>1.008930157324323</v>
      </c>
      <c r="AP241" s="5">
        <f>AP240+AL241</f>
        <v>4.440892098500626e-16</v>
      </c>
      <c r="AQ241" s="5">
        <f>AN241+AO241+AP241</f>
        <v>2.0089301573243232</v>
      </c>
      <c r="AR241" s="5">
        <f>S241-AQ241</f>
        <v>-1.7763568394002505e-15</v>
      </c>
      <c r="AS241" s="5">
        <f>AS240</f>
        <v>0</v>
      </c>
      <c r="AT241" s="5">
        <f>AT240+AI241</f>
        <v>0</v>
      </c>
      <c r="AU241" s="5">
        <f>AU240+AM241</f>
        <v>0</v>
      </c>
      <c r="AV241" s="5">
        <f>AS241+AT241+AU241</f>
        <v>0</v>
      </c>
      <c r="AW241" s="5">
        <f>U241-AV241</f>
        <v>0</v>
      </c>
      <c r="AX241" s="4">
        <v>1.9809064683426685</v>
      </c>
      <c r="AY241" s="4">
        <v>2.008930157324322</v>
      </c>
      <c r="AZ241" s="5">
        <f>S241-AY241</f>
        <v>-4.440892098500626e-16</v>
      </c>
      <c r="BA241" s="4">
        <v>0</v>
      </c>
      <c r="BB241" s="4">
        <v>0</v>
      </c>
      <c r="BC241" s="5">
        <f>U241-BB241</f>
        <v>0</v>
      </c>
      <c r="BD241" s="7">
        <f>SUM(IF(BL241="direct",CE241,0),IF(CG241="direct",CZ241,0),IF(DB241="direct",DU241,0),IF(DW241="direct",EP241,0),IF(ER241="direct",FK241,0),IF(FM241="direct",GF241,0),IF(GH241="direct",HA241,0),IF(HC241="direct",HV241,0),IF(HX241="direct",IQ241,0),IF(IS241="direct",JL241,0))</f>
        <v>0.013719231628532209</v>
      </c>
      <c r="BE241" s="7">
        <f>SUM(IF(BL241="treasury",CE241,0),IF(CG241="treasury",CZ241,0),IF(DB241="treasury",DU241,0),IF(DW241="treasury",EP241,0),IF(ER241="treasury",FK241,0),IF(FM241="treasury",GF241,0),IF(GH241="treasury",HA241,0),IF(HC241="treasury",HV241,0),IF(HX241="treasury",IQ241,0),IF(IS241="treasury",JL241,0))</f>
        <v>0.000005572540095191708</v>
      </c>
      <c r="BF241" s="7">
        <f>SUM(IF(BL241="future",CE241,0),IF(CG241="future",CZ241,0),IF(DB241="future",DU241,0),IF(DW241="future",EP241,0),IF(ER241="future",FK241,0),IF(FM241="future",GF241,0),IF(GH241="future",HA241,0),IF(HC241="future",HV241,0),IF(HX241="future",IQ241,0),IF(IS241="future",JL241,0))</f>
        <v>0.00042209747943447706</v>
      </c>
      <c r="BG241" s="7">
        <f>SUM(IF(BL241="cash",CE241,0),IF(CG241="cash",CZ241,0),IF(DB241="cash",DU241,0),IF(DW241="cash",EP241,0),IF(ER241="cash",FK241,0),IF(FM241="cash",GF241,0),IF(GH241="cash",HA241,0),IF(HC241="cash",HV241,0),IF(HX241="cash",IQ241,0),IF(IS241="cash",JL241,0))</f>
        <v>0</v>
      </c>
      <c r="BH241" s="7">
        <f>SUM(BD241:BG241)</f>
        <v>0.014146901648061877</v>
      </c>
      <c r="BI241" s="7">
        <f>G241-BH241</f>
        <v>0</v>
      </c>
      <c r="BJ241" s="9">
        <f>COUNTA(BK241,CF241,DA241,DV241,EQ241,FL241,GG241,HB241,HW241,IR241)</f>
        <v>5</v>
      </c>
      <c r="BK241" t="inlineStr">
        <is>
          <t xml:space="preserve">Direct commodity holding</t>
        </is>
      </c>
      <c r="BL241" t="inlineStr">
        <is>
          <t xml:space="preserve">direct</t>
        </is>
      </c>
      <c r="BM241" t="inlineStr">
        <is>
          <t xml:space="preserve">lease</t>
        </is>
      </c>
      <c r="BN241" t="inlineStr">
        <is>
          <t xml:space="preserve">long</t>
        </is>
      </c>
      <c r="BO241"/>
      <c r="BP241" s="4">
        <v>1.774</v>
      </c>
      <c r="BQ241" s="4">
        <v>1.799</v>
      </c>
      <c r="BR241" s="4">
        <v>1.0875891850869435</v>
      </c>
      <c r="BS241" s="6">
        <v>0.9739900622155375</v>
      </c>
      <c r="BT241" s="4">
        <v>1.9293832143442375</v>
      </c>
      <c r="BU241" s="4">
        <v>1.9293832143442375</v>
      </c>
      <c r="BV241" s="4">
        <v>1.9565729439714112</v>
      </c>
      <c r="BW241" s="4">
        <v>0.027176514673650794</v>
      </c>
      <c r="BX241" s="4">
        <v>0.000013214953522903972</v>
      </c>
      <c r="BY241" s="4">
        <v>1.774</v>
      </c>
      <c r="BZ241" s="4">
        <v>1.799</v>
      </c>
      <c r="CA241" s="6"/>
      <c r="CB241" s="6"/>
      <c r="CC241" s="6"/>
      <c r="CD241" s="9"/>
      <c r="CE241" s="7">
        <f>IFERROR(BW241/F241,0)</f>
        <v>0.013719231628532209</v>
      </c>
      <c r="CF241" t="inlineStr">
        <is>
          <t xml:space="preserve">Treasury collateral</t>
        </is>
      </c>
      <c r="CG241" t="inlineStr">
        <is>
          <t xml:space="preserve">treasury</t>
        </is>
      </c>
      <c r="CH241" t="inlineStr">
        <is>
          <t xml:space="preserve">lease</t>
        </is>
      </c>
      <c r="CI241" t="inlineStr">
        <is>
          <t xml:space="preserve">long</t>
        </is>
      </c>
      <c r="CJ241"/>
      <c r="CK241" s="4">
        <v>106.66514665356561</v>
      </c>
      <c r="CL241" s="4">
        <v>106.68799929594455</v>
      </c>
      <c r="CM241" s="4">
        <v>0.0004830373895774323</v>
      </c>
      <c r="CN241" s="6">
        <v>0.02600993778446257</v>
      </c>
      <c r="CO241" s="4">
        <v>0.05152325399843232</v>
      </c>
      <c r="CP241" s="4">
        <v>0.05152325399843232</v>
      </c>
      <c r="CQ241" s="4">
        <v>0.05153429267915199</v>
      </c>
      <c r="CR241" s="4">
        <v>0.00001103868071966413</v>
      </c>
      <c r="CS241" s="4">
        <v>1.9413995151068564e-18</v>
      </c>
      <c r="CT241" s="4">
        <v>1.774</v>
      </c>
      <c r="CU241" s="4">
        <v>1.799</v>
      </c>
      <c r="CV241" s="6"/>
      <c r="CW241" s="6"/>
      <c r="CX241" s="6"/>
      <c r="CY241" s="9">
        <v>36</v>
      </c>
      <c r="CZ241" s="7">
        <f>IFERROR(CR241/F241,0)</f>
        <v>0.000005572540095191708</v>
      </c>
      <c r="DA241" t="inlineStr">
        <is>
          <t xml:space="preserve">SI70F</t>
        </is>
      </c>
      <c r="DB241" t="inlineStr">
        <is>
          <t xml:space="preserve">future</t>
        </is>
      </c>
      <c r="DC241" t="inlineStr">
        <is>
          <t xml:space="preserve">lease</t>
        </is>
      </c>
      <c r="DD241" t="inlineStr">
        <is>
          <t xml:space="preserve">long</t>
        </is>
      </c>
      <c r="DE241" t="inlineStr">
        <is>
          <t xml:space="preserve">regular</t>
        </is>
      </c>
      <c r="DF241" s="4">
        <v>1.787</v>
      </c>
      <c r="DG241" s="4">
        <v>1.8159999999999998</v>
      </c>
      <c r="DH241" s="4">
        <v>0.02883226300975508</v>
      </c>
      <c r="DI241" s="6">
        <v>0.02600993778446257</v>
      </c>
      <c r="DJ241" s="4">
        <v>0.05152325399843232</v>
      </c>
      <c r="DK241" s="4">
        <v>0</v>
      </c>
      <c r="DL241" s="4">
        <v>0</v>
      </c>
      <c r="DM241" s="4">
        <v>0.0008361356272828926</v>
      </c>
      <c r="DN241" s="4">
        <v>-0.0008361356272828926</v>
      </c>
      <c r="DO241" s="4">
        <v>1.774</v>
      </c>
      <c r="DP241" s="4">
        <v>1.799</v>
      </c>
      <c r="DQ241" s="6">
        <v>0.00732807215332576</v>
      </c>
      <c r="DR241" s="6">
        <v>0.0782</v>
      </c>
      <c r="DS241" s="6">
        <v>0.0039014906676693856</v>
      </c>
      <c r="DT241" s="9">
        <v>36</v>
      </c>
      <c r="DU241" s="7">
        <f>IFERROR(DM241/F241,0)</f>
        <v>0.00042209747943447706</v>
      </c>
      <c r="DV241" t="inlineStr">
        <is>
          <t xml:space="preserve">Lease cash / margin / financing</t>
        </is>
      </c>
      <c r="DW241" t="inlineStr">
        <is>
          <t xml:space="preserve">cash</t>
        </is>
      </c>
      <c r="DX241" t="inlineStr">
        <is>
          <t xml:space="preserve">lease</t>
        </is>
      </c>
      <c r="DY241" t="inlineStr">
        <is>
          <t xml:space="preserve">cash</t>
        </is>
      </c>
      <c r="DZ241"/>
      <c r="EA241" s="4">
        <v>1</v>
      </c>
      <c r="EB241" s="4">
        <v>1</v>
      </c>
      <c r="EC241" s="4">
        <v>-1.3322676295501878e-15</v>
      </c>
      <c r="ED241" s="6"/>
      <c r="EE241" s="4">
        <v>-1.3322676295501878e-15</v>
      </c>
      <c r="EF241" s="4">
        <v>-1.3322676295501878e-15</v>
      </c>
      <c r="EG241" s="4">
        <v>0.0008229206737586544</v>
      </c>
      <c r="EH241" s="4">
        <v>0</v>
      </c>
      <c r="EI241" s="4">
        <v>0.0008229206737599867</v>
      </c>
      <c r="EJ241" s="4">
        <v>1.774</v>
      </c>
      <c r="EK241" s="4">
        <v>1.799</v>
      </c>
      <c r="EL241" s="6"/>
      <c r="EM241" s="6"/>
      <c r="EN241" s="6"/>
      <c r="EO241" s="9"/>
      <c r="EP241" s="7">
        <f>IFERROR(EH241/F241,0)</f>
        <v>0</v>
      </c>
      <c r="EQ241" t="inlineStr">
        <is>
          <t xml:space="preserve">Keep cash / margin / financing</t>
        </is>
      </c>
      <c r="ER241" t="inlineStr">
        <is>
          <t xml:space="preserve">cash</t>
        </is>
      </c>
      <c r="ES241" t="inlineStr">
        <is>
          <t xml:space="preserve">keep</t>
        </is>
      </c>
      <c r="ET241" t="inlineStr">
        <is>
          <t xml:space="preserve">cash</t>
        </is>
      </c>
      <c r="EU241"/>
      <c r="EV241" s="4">
        <v>1</v>
      </c>
      <c r="EW241" s="4">
        <v>1</v>
      </c>
      <c r="EX241" s="4">
        <v>0</v>
      </c>
      <c r="EY241" s="6"/>
      <c r="EZ241" s="4">
        <v>0</v>
      </c>
      <c r="FA241" s="4">
        <v>0</v>
      </c>
      <c r="FB241" s="4">
        <v>0</v>
      </c>
      <c r="FC241" s="4">
        <v>0</v>
      </c>
      <c r="FD241" s="4">
        <v>0</v>
      </c>
      <c r="FE241" s="4">
        <v>1.774</v>
      </c>
      <c r="FF241" s="4">
        <v>1.799</v>
      </c>
      <c r="FG241" s="6"/>
      <c r="FH241" s="6"/>
      <c r="FI241" s="6"/>
      <c r="FJ241" s="9"/>
      <c r="FK241" s="7">
        <f>IFERROR(FC241/F241,0)</f>
        <v>0</v>
      </c>
      <c r="FL241"/>
      <c r="FM241"/>
      <c r="FN241"/>
      <c r="FO241"/>
      <c r="FP241"/>
      <c r="FQ241" s="4"/>
      <c r="FR241" s="4"/>
      <c r="FS241" s="4"/>
      <c r="FT241" s="6"/>
      <c r="FU241" s="4"/>
      <c r="FV241" s="4"/>
      <c r="FW241" s="4"/>
      <c r="FX241" s="4"/>
      <c r="FY241" s="4"/>
      <c r="FZ241" s="4"/>
      <c r="GA241" s="4"/>
      <c r="GB241" s="6"/>
      <c r="GC241" s="6"/>
      <c r="GD241" s="6"/>
      <c r="GE241" s="9"/>
      <c r="GF241"/>
      <c r="GG241"/>
      <c r="GH241"/>
      <c r="GI241"/>
      <c r="GJ241"/>
      <c r="GK241"/>
      <c r="GL241" s="4"/>
      <c r="GM241" s="4"/>
      <c r="GN241" s="4"/>
      <c r="GO241" s="6"/>
      <c r="GP241" s="4"/>
      <c r="GQ241" s="4"/>
      <c r="GR241" s="4"/>
      <c r="GS241" s="4"/>
      <c r="GT241" s="4"/>
      <c r="GU241" s="4"/>
      <c r="GV241" s="4"/>
      <c r="GW241" s="6"/>
      <c r="GX241" s="6"/>
      <c r="GY241" s="6"/>
      <c r="GZ241" s="9"/>
      <c r="HA241"/>
      <c r="HB241"/>
      <c r="HC241"/>
      <c r="HD241"/>
      <c r="HE241"/>
      <c r="HF241"/>
      <c r="HG241" s="4"/>
      <c r="HH241" s="4"/>
      <c r="HI241" s="4"/>
      <c r="HJ241" s="6"/>
      <c r="HK241" s="4"/>
      <c r="HL241" s="4"/>
      <c r="HM241" s="4"/>
      <c r="HN241" s="4"/>
      <c r="HO241" s="4"/>
      <c r="HP241" s="4"/>
      <c r="HQ241" s="4"/>
      <c r="HR241" s="6"/>
      <c r="HS241" s="6"/>
      <c r="HT241" s="6"/>
      <c r="HU241" s="9"/>
      <c r="HV241"/>
      <c r="HW241"/>
      <c r="HX241"/>
      <c r="HY241"/>
      <c r="HZ241"/>
      <c r="IA241"/>
      <c r="IB241" s="4"/>
      <c r="IC241" s="4"/>
      <c r="ID241" s="4"/>
      <c r="IE241" s="6"/>
      <c r="IF241" s="4"/>
      <c r="IG241" s="4"/>
      <c r="IH241" s="4"/>
      <c r="II241" s="4"/>
      <c r="IJ241" s="4"/>
      <c r="IK241" s="4"/>
      <c r="IL241" s="4"/>
      <c r="IM241" s="6"/>
      <c r="IN241" s="6"/>
      <c r="IO241" s="6"/>
      <c r="IP241" s="9"/>
      <c r="IQ241"/>
      <c r="IR241"/>
      <c r="IS241"/>
      <c r="IT241"/>
      <c r="IU241"/>
      <c r="IV241"/>
      <c r="IW241" s="4"/>
      <c r="IX241" s="4"/>
      <c r="IY241" s="4"/>
      <c r="IZ241" s="6"/>
      <c r="JA241" s="4"/>
      <c r="JB241" s="4"/>
      <c r="JC241" s="4"/>
      <c r="JD241" s="4"/>
      <c r="JE241" s="4"/>
      <c r="JF241" s="4"/>
      <c r="JG241" s="4"/>
      <c r="JH241" s="6"/>
      <c r="JI241" s="6"/>
      <c r="JJ241" s="6"/>
      <c r="JK241" s="9"/>
      <c r="JL241"/>
    </row>
    <row r="242">
      <c r="A242" s="8">
        <v>25561</v>
      </c>
      <c r="B242" s="8">
        <v>25566</v>
      </c>
      <c r="C242" s="9">
        <f>B242-A242</f>
        <v>5</v>
      </c>
      <c r="D242" s="8">
        <v>25561</v>
      </c>
      <c r="E242" t="inlineStr">
        <is>
          <t xml:space="preserve">neutral</t>
        </is>
      </c>
      <c r="F242" s="4">
        <v>2.0089301573243232</v>
      </c>
      <c r="G242" s="6">
        <v>0.013862362652006233</v>
      </c>
      <c r="H242" s="7">
        <f>SUM(CE242,CZ242,DU242,EP242,FK242,GF242,HA242,HV242,IQ242,JL242)</f>
        <v>0.013862362652006233</v>
      </c>
      <c r="I242" s="7">
        <f>G242-H242</f>
        <v>0</v>
      </c>
      <c r="J242" s="5">
        <f>F242*(1+H242)</f>
        <v>2.036778675707705</v>
      </c>
      <c r="K242" s="4">
        <v>2.036778675707705</v>
      </c>
      <c r="L242" s="5">
        <f>K242-J242</f>
        <v>0</v>
      </c>
      <c r="M242" s="4">
        <v>1.799</v>
      </c>
      <c r="N242" s="4">
        <v>1.824</v>
      </c>
      <c r="O242" s="5">
        <f>M242/$M$3</f>
        <v>0.9187946884576098</v>
      </c>
      <c r="P242" s="5">
        <f>N242/$M$3</f>
        <v>0.9315628192032687</v>
      </c>
      <c r="Q242" s="7">
        <f>IFERROR(N242/M242-1,0)</f>
        <v>0.0138966092273487</v>
      </c>
      <c r="R242" s="5">
        <f>SUM(IF(BM242="lease",BU242,0),IF(CH242="lease",CP242,0),IF(DC242="lease",DK242,0),IF(DX242="lease",EF242,0),IF(ES242="lease",FA242,0),IF(FN242="lease",FV242,0),IF(GI242="lease",GQ242,0),IF(HD242="lease",HL242,0),IF(HY242="lease",IG242,0),IF(IT242="lease",JB242,0))</f>
        <v>2.008930157324322</v>
      </c>
      <c r="S242" s="5">
        <f>SUM(IF(BM242="lease",BV242,0),IF(CH242="lease",CQ242,0),IF(DC242="lease",DL242,0),IF(DX242="lease",EG242,0),IF(ES242="lease",FB242,0),IF(FN242="lease",FW242,0),IF(GI242="lease",GR242,0),IF(HD242="lease",HM242,0),IF(HY242="lease",IH242,0),IF(IT242="lease",JC242,0))</f>
        <v>2.0367786757077035</v>
      </c>
      <c r="T242" s="5">
        <f>SUM(IF(BM242="keep",BU242,0),IF(CH242="keep",CP242,0),IF(DC242="keep",DK242,0),IF(DX242="keep",EF242,0),IF(ES242="keep",FA242,0),IF(FN242="keep",FV242,0),IF(GI242="keep",GQ242,0),IF(HD242="keep",HL242,0),IF(HY242="keep",IG242,0),IF(IT242="keep",JB242,0))</f>
        <v>0</v>
      </c>
      <c r="U242" s="5">
        <f>SUM(IF(BM242="keep",BV242,0),IF(CH242="keep",CQ242,0),IF(DC242="keep",DL242,0),IF(DX242="keep",EG242,0),IF(ES242="keep",FB242,0),IF(FN242="keep",FW242,0),IF(GI242="keep",GR242,0),IF(HD242="keep",HM242,0),IF(HY242="keep",IH242,0),IF(IT242="keep",JC242,0))</f>
        <v>0</v>
      </c>
      <c r="V242" s="5">
        <f>R242/O242</f>
        <v>2.1864842957426474</v>
      </c>
      <c r="W242" s="5">
        <f>S242/P242</f>
        <v>2.186410442453774</v>
      </c>
      <c r="X242" s="5">
        <f>T242/O242</f>
        <v>0</v>
      </c>
      <c r="Y242" s="5">
        <f>U242/P242</f>
        <v>0</v>
      </c>
      <c r="Z242" s="5">
        <f>V242+X242</f>
        <v>2.1864842957426474</v>
      </c>
      <c r="AA242" s="7">
        <f>IFERROR(W242/V242-1,0)</f>
        <v>-0.00003377718697417098</v>
      </c>
      <c r="AB242" s="7">
        <f>IFERROR((W242-V242)/Z242,0)</f>
        <v>-0.000033777186974142995</v>
      </c>
      <c r="AC242" s="7">
        <f>IFERROR(Y242/X242-1,0)</f>
        <v>0</v>
      </c>
      <c r="AD242" s="7">
        <f>IFERROR((Y242-X242)/Z242,0)</f>
        <v>0</v>
      </c>
      <c r="AE242" s="7">
        <f>AB242+AD242</f>
        <v>-0.000033777186974142995</v>
      </c>
      <c r="AF242" s="7">
        <f>(1+Q242)*(1+AE242)-1</f>
        <v>0.013862362652006244</v>
      </c>
      <c r="AG242" s="7">
        <f>G242-AF242</f>
        <v>-1.0408340855860843e-17</v>
      </c>
      <c r="AH242" s="5">
        <f>SUM(IF(BM242="lease",BW242,0),IF(CH242="lease",CR242,0),IF(DC242="lease",DM242,0),IF(DX242="lease",EH242,0),IF(ES242="lease",FC242,0),IF(FN242="lease",FX242,0),IF(GI242="lease",GS242,0),IF(HD242="lease",HN242,0),IF(HY242="lease",II242,0),IF(IT242="lease",JD242,0))</f>
        <v>0.027848518383381704</v>
      </c>
      <c r="AI242" s="5">
        <f>SUM(IF(BM242="keep",BW242,0),IF(CH242="keep",CR242,0),IF(DC242="keep",DM242,0),IF(DX242="keep",EH242,0),IF(ES242="keep",FC242,0),IF(FN242="keep",FX242,0),IF(GI242="keep",GS242,0),IF(HD242="keep",HN242,0),IF(HY242="keep",II242,0),IF(IT242="keep",JD242,0))</f>
        <v>0</v>
      </c>
      <c r="AJ242" s="5">
        <f>SUM(IF(BM242="lease",BX242,0),IF(CH242="lease",CS242,0),IF(DC242="lease",DN242,0),IF(DX242="lease",EI242,0),IF(ES242="lease",FD242,0),IF(FN242="lease",FY242,0),IF(GI242="lease",GT242,0),IF(HD242="lease",HO242,0),IF(HY242="lease",IJ242,0),IF(IT242="lease",JE242,0))</f>
        <v>0</v>
      </c>
      <c r="AK242" s="5">
        <f>SUM(IF(BM242="keep",BX242,0),IF(CH242="keep",CS242,0),IF(DC242="keep",DN242,0),IF(DX242="keep",EI242,0),IF(ES242="keep",FD242,0),IF(FN242="keep",FY242,0),IF(GI242="keep",GT242,0),IF(HD242="keep",HO242,0),IF(HY242="keep",IJ242,0),IF(IT242="keep",JE242,0))</f>
        <v>0</v>
      </c>
      <c r="AL242" s="5">
        <f>R242-S241</f>
        <v>4.440892098500626e-16</v>
      </c>
      <c r="AM242" s="5">
        <f>T242-U241</f>
        <v>0</v>
      </c>
      <c r="AN242" s="5">
        <f>AN241</f>
        <v>1</v>
      </c>
      <c r="AO242" s="5">
        <f>AO241+AH242</f>
        <v>1.0367786757077047</v>
      </c>
      <c r="AP242" s="5">
        <f>AP241+AL242</f>
        <v>8.881784197001252e-16</v>
      </c>
      <c r="AQ242" s="5">
        <f>AN242+AO242+AP242</f>
        <v>2.0367786757077058</v>
      </c>
      <c r="AR242" s="5">
        <f>S242-AQ242</f>
        <v>-2.220446049250313e-15</v>
      </c>
      <c r="AS242" s="5">
        <f>AS241</f>
        <v>0</v>
      </c>
      <c r="AT242" s="5">
        <f>AT241+AI242</f>
        <v>0</v>
      </c>
      <c r="AU242" s="5">
        <f>AU241+AM242</f>
        <v>0</v>
      </c>
      <c r="AV242" s="5">
        <f>AS242+AT242+AU242</f>
        <v>0</v>
      </c>
      <c r="AW242" s="5">
        <f>U242-AV242</f>
        <v>0</v>
      </c>
      <c r="AX242" s="4">
        <v>2.008930157324322</v>
      </c>
      <c r="AY242" s="4">
        <v>2.0367786757077035</v>
      </c>
      <c r="AZ242" s="5">
        <f>S242-AY242</f>
        <v>0</v>
      </c>
      <c r="BA242" s="4">
        <v>0</v>
      </c>
      <c r="BB242" s="4">
        <v>0</v>
      </c>
      <c r="BC242" s="5">
        <f>U242-BB242</f>
        <v>0</v>
      </c>
      <c r="BD242" s="7">
        <f>SUM(IF(BL242="direct",CE242,0),IF(CG242="direct",CZ242,0),IF(DB242="direct",DU242,0),IF(DW242="direct",EP242,0),IF(ER242="direct",FK242,0),IF(FM242="direct",GF242,0),IF(GH242="direct",HA242,0),IF(HC242="direct",HV242,0),IF(HX242="direct",IQ242,0),IF(IS242="direct",JL242,0))</f>
        <v>0.013862362652006233</v>
      </c>
      <c r="BE242" s="7">
        <f>SUM(IF(BL242="treasury",CE242,0),IF(CG242="treasury",CZ242,0),IF(DB242="treasury",DU242,0),IF(DW242="treasury",EP242,0),IF(ER242="treasury",FK242,0),IF(FM242="treasury",GF242,0),IF(GH242="treasury",HA242,0),IF(HC242="treasury",HV242,0),IF(HX242="treasury",IQ242,0),IF(IS242="treasury",JL242,0))</f>
        <v>0</v>
      </c>
      <c r="BF242" s="7">
        <f>SUM(IF(BL242="future",CE242,0),IF(CG242="future",CZ242,0),IF(DB242="future",DU242,0),IF(DW242="future",EP242,0),IF(ER242="future",FK242,0),IF(FM242="future",GF242,0),IF(GH242="future",HA242,0),IF(HC242="future",HV242,0),IF(HX242="future",IQ242,0),IF(IS242="future",JL242,0))</f>
        <v>0</v>
      </c>
      <c r="BG242" s="7">
        <f>SUM(IF(BL242="cash",CE242,0),IF(CG242="cash",CZ242,0),IF(DB242="cash",DU242,0),IF(DW242="cash",EP242,0),IF(ER242="cash",FK242,0),IF(FM242="cash",GF242,0),IF(GH242="cash",HA242,0),IF(HC242="cash",HV242,0),IF(HX242="cash",IQ242,0),IF(IS242="cash",JL242,0))</f>
        <v>0</v>
      </c>
      <c r="BH242" s="7">
        <f>SUM(BD242:BG242)</f>
        <v>0.013862362652006233</v>
      </c>
      <c r="BI242" s="7">
        <f>G242-BH242</f>
        <v>0</v>
      </c>
      <c r="BJ242" s="9">
        <f>COUNTA(BK242,CF242,DA242,DV242,EQ242,FL242,GG242,HB242,HW242,IR242)</f>
        <v>3</v>
      </c>
      <c r="BK242" t="inlineStr">
        <is>
          <t xml:space="preserve">Direct commodity holding</t>
        </is>
      </c>
      <c r="BL242" t="inlineStr">
        <is>
          <t xml:space="preserve">direct</t>
        </is>
      </c>
      <c r="BM242" t="inlineStr">
        <is>
          <t xml:space="preserve">lease</t>
        </is>
      </c>
      <c r="BN242" t="inlineStr">
        <is>
          <t xml:space="preserve">long</t>
        </is>
      </c>
      <c r="BO242"/>
      <c r="BP242" s="4">
        <v>1.799</v>
      </c>
      <c r="BQ242" s="4">
        <v>1.824</v>
      </c>
      <c r="BR242" s="4">
        <v>1.1166926944548767</v>
      </c>
      <c r="BS242" s="6">
        <v>1</v>
      </c>
      <c r="BT242" s="4">
        <v>2.0089301573243232</v>
      </c>
      <c r="BU242" s="4">
        <v>2.0089301573243232</v>
      </c>
      <c r="BV242" s="4">
        <v>2.036847474685695</v>
      </c>
      <c r="BW242" s="4">
        <v>0.027848518383381704</v>
      </c>
      <c r="BX242" s="4">
        <v>0.00006879897799011436</v>
      </c>
      <c r="BY242" s="4">
        <v>1.799</v>
      </c>
      <c r="BZ242" s="4">
        <v>1.824</v>
      </c>
      <c r="CA242" s="6"/>
      <c r="CB242" s="6"/>
      <c r="CC242" s="6"/>
      <c r="CD242" s="9"/>
      <c r="CE242" s="7">
        <f>IFERROR(BW242/F242,0)</f>
        <v>0.013862362652006233</v>
      </c>
      <c r="CF242" t="inlineStr">
        <is>
          <t xml:space="preserve">Lease cash / margin / financing</t>
        </is>
      </c>
      <c r="CG242" t="inlineStr">
        <is>
          <t xml:space="preserve">cash</t>
        </is>
      </c>
      <c r="CH242" t="inlineStr">
        <is>
          <t xml:space="preserve">lease</t>
        </is>
      </c>
      <c r="CI242" t="inlineStr">
        <is>
          <t xml:space="preserve">cash</t>
        </is>
      </c>
      <c r="CJ242"/>
      <c r="CK242" s="4">
        <v>1</v>
      </c>
      <c r="CL242" s="4">
        <v>1</v>
      </c>
      <c r="CM242" s="4">
        <v>-1.3322676295501878e-15</v>
      </c>
      <c r="CN242" s="6"/>
      <c r="CO242" s="4">
        <v>-1.3322676295501878e-15</v>
      </c>
      <c r="CP242" s="4">
        <v>-1.3322676295501878e-15</v>
      </c>
      <c r="CQ242" s="4">
        <v>-0.00006879897799144663</v>
      </c>
      <c r="CR242" s="4">
        <v>0</v>
      </c>
      <c r="CS242" s="4">
        <v>-0.00006879897799011436</v>
      </c>
      <c r="CT242" s="4">
        <v>1.799</v>
      </c>
      <c r="CU242" s="4">
        <v>1.824</v>
      </c>
      <c r="CV242" s="6"/>
      <c r="CW242" s="6"/>
      <c r="CX242" s="6"/>
      <c r="CY242" s="9"/>
      <c r="CZ242" s="7">
        <f>IFERROR(CR242/F242,0)</f>
        <v>0</v>
      </c>
      <c r="DA242" t="inlineStr">
        <is>
          <t xml:space="preserve">Keep cash / margin / financing</t>
        </is>
      </c>
      <c r="DB242" t="inlineStr">
        <is>
          <t xml:space="preserve">cash</t>
        </is>
      </c>
      <c r="DC242" t="inlineStr">
        <is>
          <t xml:space="preserve">keep</t>
        </is>
      </c>
      <c r="DD242" t="inlineStr">
        <is>
          <t xml:space="preserve">cash</t>
        </is>
      </c>
      <c r="DE242"/>
      <c r="DF242" s="4">
        <v>1</v>
      </c>
      <c r="DG242" s="4">
        <v>1</v>
      </c>
      <c r="DH242" s="4">
        <v>0</v>
      </c>
      <c r="DI242" s="6"/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1.799</v>
      </c>
      <c r="DP242" s="4">
        <v>1.824</v>
      </c>
      <c r="DQ242" s="6"/>
      <c r="DR242" s="6"/>
      <c r="DS242" s="6"/>
      <c r="DT242" s="9"/>
      <c r="DU242" s="7">
        <f>IFERROR(DM242/F242,0)</f>
        <v>0</v>
      </c>
      <c r="DV242"/>
      <c r="DW242"/>
      <c r="DX242"/>
      <c r="DY242"/>
      <c r="DZ242"/>
      <c r="EA242" s="4"/>
      <c r="EB242" s="4"/>
      <c r="EC242" s="4"/>
      <c r="ED242" s="6"/>
      <c r="EE242" s="4"/>
      <c r="EF242" s="4"/>
      <c r="EG242" s="4"/>
      <c r="EH242" s="4"/>
      <c r="EI242" s="4"/>
      <c r="EJ242" s="4"/>
      <c r="EK242" s="4"/>
      <c r="EL242" s="6"/>
      <c r="EM242" s="6"/>
      <c r="EN242" s="6"/>
      <c r="EO242" s="9"/>
      <c r="EP242"/>
      <c r="EQ242"/>
      <c r="ER242"/>
      <c r="ES242"/>
      <c r="ET242"/>
      <c r="EU242"/>
      <c r="EV242" s="4"/>
      <c r="EW242" s="4"/>
      <c r="EX242" s="4"/>
      <c r="EY242" s="6"/>
      <c r="EZ242" s="4"/>
      <c r="FA242" s="4"/>
      <c r="FB242" s="4"/>
      <c r="FC242" s="4"/>
      <c r="FD242" s="4"/>
      <c r="FE242" s="4"/>
      <c r="FF242" s="4"/>
      <c r="FG242" s="6"/>
      <c r="FH242" s="6"/>
      <c r="FI242" s="6"/>
      <c r="FJ242" s="9"/>
      <c r="FK242"/>
      <c r="FL242"/>
      <c r="FM242"/>
      <c r="FN242"/>
      <c r="FO242"/>
      <c r="FP242"/>
      <c r="FQ242" s="4"/>
      <c r="FR242" s="4"/>
      <c r="FS242" s="4"/>
      <c r="FT242" s="6"/>
      <c r="FU242" s="4"/>
      <c r="FV242" s="4"/>
      <c r="FW242" s="4"/>
      <c r="FX242" s="4"/>
      <c r="FY242" s="4"/>
      <c r="FZ242" s="4"/>
      <c r="GA242" s="4"/>
      <c r="GB242" s="6"/>
      <c r="GC242" s="6"/>
      <c r="GD242" s="6"/>
      <c r="GE242" s="9"/>
      <c r="GF242"/>
      <c r="GG242"/>
      <c r="GH242"/>
      <c r="GI242"/>
      <c r="GJ242"/>
      <c r="GK242"/>
      <c r="GL242" s="4"/>
      <c r="GM242" s="4"/>
      <c r="GN242" s="4"/>
      <c r="GO242" s="6"/>
      <c r="GP242" s="4"/>
      <c r="GQ242" s="4"/>
      <c r="GR242" s="4"/>
      <c r="GS242" s="4"/>
      <c r="GT242" s="4"/>
      <c r="GU242" s="4"/>
      <c r="GV242" s="4"/>
      <c r="GW242" s="6"/>
      <c r="GX242" s="6"/>
      <c r="GY242" s="6"/>
      <c r="GZ242" s="9"/>
      <c r="HA242"/>
      <c r="HB242"/>
      <c r="HC242"/>
      <c r="HD242"/>
      <c r="HE242"/>
      <c r="HF242"/>
      <c r="HG242" s="4"/>
      <c r="HH242" s="4"/>
      <c r="HI242" s="4"/>
      <c r="HJ242" s="6"/>
      <c r="HK242" s="4"/>
      <c r="HL242" s="4"/>
      <c r="HM242" s="4"/>
      <c r="HN242" s="4"/>
      <c r="HO242" s="4"/>
      <c r="HP242" s="4"/>
      <c r="HQ242" s="4"/>
      <c r="HR242" s="6"/>
      <c r="HS242" s="6"/>
      <c r="HT242" s="6"/>
      <c r="HU242" s="9"/>
      <c r="HV242"/>
      <c r="HW242"/>
      <c r="HX242"/>
      <c r="HY242"/>
      <c r="HZ242"/>
      <c r="IA242"/>
      <c r="IB242" s="4"/>
      <c r="IC242" s="4"/>
      <c r="ID242" s="4"/>
      <c r="IE242" s="6"/>
      <c r="IF242" s="4"/>
      <c r="IG242" s="4"/>
      <c r="IH242" s="4"/>
      <c r="II242" s="4"/>
      <c r="IJ242" s="4"/>
      <c r="IK242" s="4"/>
      <c r="IL242" s="4"/>
      <c r="IM242" s="6"/>
      <c r="IN242" s="6"/>
      <c r="IO242" s="6"/>
      <c r="IP242" s="9"/>
      <c r="IQ242"/>
      <c r="IR242"/>
      <c r="IS242"/>
      <c r="IT242"/>
      <c r="IU242"/>
      <c r="IV242"/>
      <c r="IW242" s="4"/>
      <c r="IX242" s="4"/>
      <c r="IY242" s="4"/>
      <c r="IZ242" s="6"/>
      <c r="JA242" s="4"/>
      <c r="JB242" s="4"/>
      <c r="JC242" s="4"/>
      <c r="JD242" s="4"/>
      <c r="JE242" s="4"/>
      <c r="JF242" s="4"/>
      <c r="JG242" s="4"/>
      <c r="JH242" s="6"/>
      <c r="JI242" s="6"/>
      <c r="JJ242" s="6"/>
      <c r="JK242" s="9"/>
      <c r="JL242"/>
    </row>
    <row r="243">
      <c r="A243" s="8">
        <v>25566</v>
      </c>
      <c r="B243" s="8">
        <v>25567</v>
      </c>
      <c r="C243" s="9">
        <f>B243-A243</f>
        <v>1</v>
      </c>
      <c r="D243" s="8">
        <v>25566</v>
      </c>
      <c r="E243" t="inlineStr">
        <is>
          <t xml:space="preserve">positive</t>
        </is>
      </c>
      <c r="F243" s="4">
        <v>2.036778675707705</v>
      </c>
      <c r="G243" s="6">
        <v>-0.005365222315756247</v>
      </c>
      <c r="H243" s="7">
        <f>SUM(CE243,CZ243,DU243,EP243,FK243,GF243,HA243,HV243,IQ243,JL243)</f>
        <v>-0.005365222315756248</v>
      </c>
      <c r="I243" s="7">
        <f>G243-H243</f>
        <v>8.673617379884035e-19</v>
      </c>
      <c r="J243" s="5">
        <f>F243*(1+H243)</f>
        <v>2.0258509053045417</v>
      </c>
      <c r="K243" s="4">
        <v>2.0258509053045417</v>
      </c>
      <c r="L243" s="5">
        <f>K243-J243</f>
        <v>0</v>
      </c>
      <c r="M243" s="4">
        <v>1.824</v>
      </c>
      <c r="N243" s="4">
        <v>1.8</v>
      </c>
      <c r="O243" s="5">
        <f>M243/$M$3</f>
        <v>0.9315628192032687</v>
      </c>
      <c r="P243" s="5">
        <f>N243/$M$3</f>
        <v>0.9193054136874362</v>
      </c>
      <c r="Q243" s="7">
        <f>IFERROR(N243/M243-1,0)</f>
        <v>-0.013157894736842146</v>
      </c>
      <c r="R243" s="5">
        <f>SUM(IF(BM243="lease",BU243,0),IF(CH243="lease",CP243,0),IF(DC243="lease",DK243,0),IF(DX243="lease",EF243,0),IF(ES243="lease",FA243,0),IF(FN243="lease",FV243,0),IF(GI243="lease",GQ243,0),IF(HD243="lease",HL243,0),IF(HY243="lease",IG243,0),IF(IT243="lease",JB243,0))</f>
        <v>2.0367786757077035</v>
      </c>
      <c r="S243" s="5">
        <f>SUM(IF(BM243="lease",BV243,0),IF(CH243="lease",CQ243,0),IF(DC243="lease",DL243,0),IF(DX243="lease",EG243,0),IF(ES243="lease",FB243,0),IF(FN243="lease",FW243,0),IF(GI243="lease",GR243,0),IF(HD243="lease",HM243,0),IF(HY243="lease",IH243,0),IF(IT243="lease",JC243,0))</f>
        <v>2.02585090530454</v>
      </c>
      <c r="T243" s="5">
        <f>SUM(IF(BM243="keep",BU243,0),IF(CH243="keep",CP243,0),IF(DC243="keep",DK243,0),IF(DX243="keep",EF243,0),IF(ES243="keep",FA243,0),IF(FN243="keep",FV243,0),IF(GI243="keep",GQ243,0),IF(HD243="keep",HL243,0),IF(HY243="keep",IG243,0),IF(IT243="keep",JB243,0))</f>
        <v>0</v>
      </c>
      <c r="U243" s="5">
        <f>SUM(IF(BM243="keep",BV243,0),IF(CH243="keep",CQ243,0),IF(DC243="keep",DL243,0),IF(DX243="keep",EG243,0),IF(ES243="keep",FB243,0),IF(FN243="keep",FW243,0),IF(GI243="keep",GR243,0),IF(HD243="keep",HM243,0),IF(HY243="keep",IH243,0),IF(IT243="keep",JC243,0))</f>
        <v>0</v>
      </c>
      <c r="V243" s="5">
        <f>R243/O243</f>
        <v>2.186410442453774</v>
      </c>
      <c r="W243" s="5">
        <f>S243/P243</f>
        <v>2.2036755958812715</v>
      </c>
      <c r="X243" s="5">
        <f>T243/O243</f>
        <v>0</v>
      </c>
      <c r="Y243" s="5">
        <f>U243/P243</f>
        <v>0</v>
      </c>
      <c r="Z243" s="5">
        <f>V243+X243</f>
        <v>2.186410442453774</v>
      </c>
      <c r="AA243" s="7">
        <f>IFERROR(W243/V243-1,0)</f>
        <v>0.007896574720033467</v>
      </c>
      <c r="AB243" s="7">
        <f>IFERROR((W243-V243)/Z243,0)</f>
        <v>0.007896574720033375</v>
      </c>
      <c r="AC243" s="7">
        <f>IFERROR(Y243/X243-1,0)</f>
        <v>0</v>
      </c>
      <c r="AD243" s="7">
        <f>IFERROR((Y243-X243)/Z243,0)</f>
        <v>0</v>
      </c>
      <c r="AE243" s="7">
        <f>AB243+AD243</f>
        <v>0.007896574720033375</v>
      </c>
      <c r="AF243" s="7">
        <f>(1+Q243)*(1+AE243)-1</f>
        <v>-0.005365222315756535</v>
      </c>
      <c r="AG243" s="7">
        <f>G243-AF243</f>
        <v>2.8796409701215e-16</v>
      </c>
      <c r="AH243" s="5">
        <f>SUM(IF(BM243="lease",BW243,0),IF(CH243="lease",CR243,0),IF(DC243="lease",DM243,0),IF(DX243="lease",EH243,0),IF(ES243="lease",FC243,0),IF(FN243="lease",FX243,0),IF(GI243="lease",GS243,0),IF(HD243="lease",HN243,0),IF(HY243="lease",II243,0),IF(IT243="lease",JD243,0))</f>
        <v>-0.010927770403163437</v>
      </c>
      <c r="AI243" s="5">
        <f>SUM(IF(BM243="keep",BW243,0),IF(CH243="keep",CR243,0),IF(DC243="keep",DM243,0),IF(DX243="keep",EH243,0),IF(ES243="keep",FC243,0),IF(FN243="keep",FX243,0),IF(GI243="keep",GS243,0),IF(HD243="keep",HN243,0),IF(HY243="keep",II243,0),IF(IT243="keep",JD243,0))</f>
        <v>0</v>
      </c>
      <c r="AJ243" s="5">
        <f>SUM(IF(BM243="lease",BX243,0),IF(CH243="lease",CS243,0),IF(DC243="lease",DN243,0),IF(DX243="lease",EI243,0),IF(ES243="lease",FD243,0),IF(FN243="lease",FY243,0),IF(GI243="lease",GT243,0),IF(HD243="lease",HO243,0),IF(HY243="lease",IJ243,0),IF(IT243="lease",JE243,0))</f>
        <v>0</v>
      </c>
      <c r="AK243" s="5">
        <f>SUM(IF(BM243="keep",BX243,0),IF(CH243="keep",CS243,0),IF(DC243="keep",DN243,0),IF(DX243="keep",EI243,0),IF(ES243="keep",FD243,0),IF(FN243="keep",FY243,0),IF(GI243="keep",GT243,0),IF(HD243="keep",HO243,0),IF(HY243="keep",IJ243,0),IF(IT243="keep",JE243,0))</f>
        <v>0</v>
      </c>
      <c r="AL243" s="5">
        <f>R243-S242</f>
        <v>0</v>
      </c>
      <c r="AM243" s="5">
        <f>T243-U242</f>
        <v>0</v>
      </c>
      <c r="AN243" s="5">
        <f>AN242</f>
        <v>1</v>
      </c>
      <c r="AO243" s="5">
        <f>AO242+AH243</f>
        <v>1.0258509053045413</v>
      </c>
      <c r="AP243" s="5">
        <f>AP242+AL243</f>
        <v>8.881784197001252e-16</v>
      </c>
      <c r="AQ243" s="5">
        <f>AN243+AO243+AP243</f>
        <v>2.025850905304542</v>
      </c>
      <c r="AR243" s="5">
        <f>S243-AQ243</f>
        <v>-2.220446049250313e-15</v>
      </c>
      <c r="AS243" s="5">
        <f>AS242</f>
        <v>0</v>
      </c>
      <c r="AT243" s="5">
        <f>AT242+AI243</f>
        <v>0</v>
      </c>
      <c r="AU243" s="5">
        <f>AU242+AM243</f>
        <v>0</v>
      </c>
      <c r="AV243" s="5">
        <f>AS243+AT243+AU243</f>
        <v>0</v>
      </c>
      <c r="AW243" s="5">
        <f>U243-AV243</f>
        <v>0</v>
      </c>
      <c r="AX243" s="4">
        <v>2.0367786757077035</v>
      </c>
      <c r="AY243" s="4">
        <v>2.02585090530454</v>
      </c>
      <c r="AZ243" s="5">
        <f>S243-AY243</f>
        <v>0</v>
      </c>
      <c r="BA243" s="4">
        <v>0</v>
      </c>
      <c r="BB243" s="4">
        <v>0</v>
      </c>
      <c r="BC243" s="5">
        <f>U243-BB243</f>
        <v>0</v>
      </c>
      <c r="BD243" s="7">
        <f>SUM(IF(BL243="direct",CE243,0),IF(CG243="direct",CZ243,0),IF(DB243="direct",DU243,0),IF(DW243="direct",EP243,0),IF(ER243="direct",FK243,0),IF(FM243="direct",GF243,0),IF(GH243="direct",HA243,0),IF(HC243="direct",HV243,0),IF(HX243="direct",IQ243,0),IF(IS243="direct",JL243,0))</f>
        <v>0</v>
      </c>
      <c r="BE243" s="7">
        <f>SUM(IF(BL243="treasury",CE243,0),IF(CG243="treasury",CZ243,0),IF(DB243="treasury",DU243,0),IF(DW243="treasury",EP243,0),IF(ER243="treasury",FK243,0),IF(FM243="treasury",GF243,0),IF(GH243="treasury",HA243,0),IF(HC243="treasury",HV243,0),IF(HX243="treasury",IQ243,0),IF(IS243="treasury",JL243,0))</f>
        <v>0.00022136986301369863</v>
      </c>
      <c r="BF243" s="7">
        <f>SUM(IF(BL243="future",CE243,0),IF(CG243="future",CZ243,0),IF(DB243="future",DU243,0),IF(DW243="future",EP243,0),IF(ER243="future",FK243,0),IF(FM243="future",GF243,0),IF(GH243="future",HA243,0),IF(HC243="future",HV243,0),IF(HX243="future",IQ243,0),IF(IS243="future",JL243,0))</f>
        <v>-0.005586592178769946</v>
      </c>
      <c r="BG243" s="7">
        <f>SUM(IF(BL243="cash",CE243,0),IF(CG243="cash",CZ243,0),IF(DB243="cash",DU243,0),IF(DW243="cash",EP243,0),IF(ER243="cash",FK243,0),IF(FM243="cash",GF243,0),IF(GH243="cash",HA243,0),IF(HC243="cash",HV243,0),IF(HX243="cash",IQ243,0),IF(IS243="cash",JL243,0))</f>
        <v>0</v>
      </c>
      <c r="BH243" s="7">
        <f>SUM(BD243:BG243)</f>
        <v>-0.005365222315756248</v>
      </c>
      <c r="BI243" s="7">
        <f>G243-BH243</f>
        <v>8.673617379884035e-19</v>
      </c>
      <c r="BJ243" s="9">
        <f>COUNTA(BK243,CF243,DA243,DV243,EQ243,FL243,GG243,HB243,HW243,IR243)</f>
        <v>6</v>
      </c>
      <c r="BK243" t="inlineStr">
        <is>
          <t xml:space="preserve">Treasury collateral</t>
        </is>
      </c>
      <c r="BL243" t="inlineStr">
        <is>
          <t xml:space="preserve">treasury</t>
        </is>
      </c>
      <c r="BM243" t="inlineStr">
        <is>
          <t xml:space="preserve">lease</t>
        </is>
      </c>
      <c r="BN243" t="inlineStr">
        <is>
          <t xml:space="preserve">long</t>
        </is>
      </c>
      <c r="BO243"/>
      <c r="BP243" s="4">
        <v>106.80272543217374</v>
      </c>
      <c r="BQ243" s="4">
        <v>106.82636833687218</v>
      </c>
      <c r="BR243" s="4">
        <v>0.019070474723055487</v>
      </c>
      <c r="BS243" s="6">
        <v>1</v>
      </c>
      <c r="BT243" s="4">
        <v>2.036778675707705</v>
      </c>
      <c r="BU243" s="4">
        <v>2.036778675707705</v>
      </c>
      <c r="BV243" s="4">
        <v>2.037229557124136</v>
      </c>
      <c r="BW243" s="4">
        <v>0.00045088141643063713</v>
      </c>
      <c r="BX243" s="4">
        <v>5.997806418189811e-16</v>
      </c>
      <c r="BY243" s="4">
        <v>1.824</v>
      </c>
      <c r="BZ243" s="4">
        <v>1.8</v>
      </c>
      <c r="CA243" s="6"/>
      <c r="CB243" s="6"/>
      <c r="CC243" s="6"/>
      <c r="CD243" s="9">
        <v>30</v>
      </c>
      <c r="CE243" s="7">
        <f>IFERROR(BW243/F243,0)</f>
        <v>0.00022136986301369863</v>
      </c>
      <c r="CF243" t="inlineStr">
        <is>
          <t xml:space="preserve">SI70F</t>
        </is>
      </c>
      <c r="CG243" t="inlineStr">
        <is>
          <t xml:space="preserve">future</t>
        </is>
      </c>
      <c r="CH243" t="inlineStr">
        <is>
          <t xml:space="preserve">lease</t>
        </is>
      </c>
      <c r="CI243" t="inlineStr">
        <is>
          <t xml:space="preserve">long</t>
        </is>
      </c>
      <c r="CJ243" t="inlineStr">
        <is>
          <t xml:space="preserve">regular</t>
        </is>
      </c>
      <c r="CK243" s="4">
        <v>1.79</v>
      </c>
      <c r="CL243" s="4">
        <v>1.78</v>
      </c>
      <c r="CM243" s="4">
        <v>1.1378651819512366</v>
      </c>
      <c r="CN243" s="6">
        <v>0.9999999999926399</v>
      </c>
      <c r="CO243" s="4">
        <v>2.0367786756927138</v>
      </c>
      <c r="CP243" s="4">
        <v>0</v>
      </c>
      <c r="CQ243" s="4">
        <v>0</v>
      </c>
      <c r="CR243" s="4">
        <v>-0.011378651819512468</v>
      </c>
      <c r="CS243" s="4">
        <v>0.011378651819512468</v>
      </c>
      <c r="CT243" s="4">
        <v>1.824</v>
      </c>
      <c r="CU243" s="4">
        <v>1.8</v>
      </c>
      <c r="CV243" s="6">
        <v>-0.018640350877192957</v>
      </c>
      <c r="CW243" s="6">
        <v>0.0808</v>
      </c>
      <c r="CX243" s="6">
        <v>0.30759093567251433</v>
      </c>
      <c r="CY243" s="9">
        <v>30</v>
      </c>
      <c r="CZ243" s="7">
        <f>IFERROR(CR243/F243,0)</f>
        <v>-0.005586592178729881</v>
      </c>
      <c r="DA243" t="inlineStr">
        <is>
          <t xml:space="preserve">SI70H</t>
        </is>
      </c>
      <c r="DB243" t="inlineStr">
        <is>
          <t xml:space="preserve">future</t>
        </is>
      </c>
      <c r="DC243" t="inlineStr">
        <is>
          <t xml:space="preserve">lease</t>
        </is>
      </c>
      <c r="DD243" t="inlineStr">
        <is>
          <t xml:space="preserve">long</t>
        </is>
      </c>
      <c r="DE243" t="inlineStr">
        <is>
          <t xml:space="preserve">regular</t>
        </is>
      </c>
      <c r="DF243" s="4">
        <v>1.837</v>
      </c>
      <c r="DG243" s="4">
        <v>1.827</v>
      </c>
      <c r="DH243" s="4">
        <v>8.157991105076522e-12</v>
      </c>
      <c r="DI243" s="6">
        <v>7.357809583713562e-12</v>
      </c>
      <c r="DJ243" s="4">
        <v>1.498622966002557e-11</v>
      </c>
      <c r="DK243" s="4">
        <v>0</v>
      </c>
      <c r="DL243" s="4">
        <v>0</v>
      </c>
      <c r="DM243" s="4">
        <v>-8.1579911050766e-14</v>
      </c>
      <c r="DN243" s="4">
        <v>8.1579911050766e-14</v>
      </c>
      <c r="DO243" s="4">
        <v>1.824</v>
      </c>
      <c r="DP243" s="4">
        <v>1.8</v>
      </c>
      <c r="DQ243" s="6">
        <v>0.007127192982456121</v>
      </c>
      <c r="DR243" s="6">
        <v>0.0808</v>
      </c>
      <c r="DS243" s="6">
        <v>0.05123834728867631</v>
      </c>
      <c r="DT243" s="9">
        <v>88</v>
      </c>
      <c r="DU243" s="7">
        <f>IFERROR(DM243/F243,0)</f>
        <v>-4.005340002021575e-14</v>
      </c>
      <c r="DV243" t="inlineStr">
        <is>
          <t xml:space="preserve">SI70K</t>
        </is>
      </c>
      <c r="DW243" t="inlineStr">
        <is>
          <t xml:space="preserve">future</t>
        </is>
      </c>
      <c r="DX243" t="inlineStr">
        <is>
          <t xml:space="preserve">lease</t>
        </is>
      </c>
      <c r="DY243" t="inlineStr">
        <is>
          <t xml:space="preserve">long</t>
        </is>
      </c>
      <c r="DZ243" t="inlineStr">
        <is>
          <t xml:space="preserve">regular</t>
        </is>
      </c>
      <c r="EA243" s="4">
        <v>1.879</v>
      </c>
      <c r="EB243" s="4">
        <v>1.869</v>
      </c>
      <c r="EC243" s="4">
        <v>2.471043141068051e-15</v>
      </c>
      <c r="ED243" s="6">
        <v>2.279624250510953e-15</v>
      </c>
      <c r="EE243" s="4">
        <v>4.643090062066868e-15</v>
      </c>
      <c r="EF243" s="4">
        <v>0</v>
      </c>
      <c r="EG243" s="4">
        <v>0</v>
      </c>
      <c r="EH243" s="4">
        <v>-2.4710431410680558e-17</v>
      </c>
      <c r="EI243" s="4">
        <v>2.4710431410680558e-17</v>
      </c>
      <c r="EJ243" s="4">
        <v>1.824</v>
      </c>
      <c r="EK243" s="4">
        <v>1.8</v>
      </c>
      <c r="EL243" s="6">
        <v>0.030153508771929793</v>
      </c>
      <c r="EM243" s="6">
        <v>0.08086373626373627</v>
      </c>
      <c r="EN243" s="6">
        <v>0.006997758399612947</v>
      </c>
      <c r="EO243" s="9">
        <v>149</v>
      </c>
      <c r="EP243" s="7">
        <f>IFERROR(EH243/F243,0)</f>
        <v>-1.213211415918551e-17</v>
      </c>
      <c r="EQ243" t="inlineStr">
        <is>
          <t xml:space="preserve">Lease cash / margin / financing</t>
        </is>
      </c>
      <c r="ER243" t="inlineStr">
        <is>
          <t xml:space="preserve">cash</t>
        </is>
      </c>
      <c r="ES243" t="inlineStr">
        <is>
          <t xml:space="preserve">lease</t>
        </is>
      </c>
      <c r="ET243" t="inlineStr">
        <is>
          <t xml:space="preserve">cash</t>
        </is>
      </c>
      <c r="EU243"/>
      <c r="EV243" s="4">
        <v>1</v>
      </c>
      <c r="EW243" s="4">
        <v>1</v>
      </c>
      <c r="EX243" s="4">
        <v>-1.3322676295501878e-15</v>
      </c>
      <c r="EY243" s="6"/>
      <c r="EZ243" s="4">
        <v>-1.3322676295501878e-15</v>
      </c>
      <c r="FA243" s="4">
        <v>-1.3322676295501878e-15</v>
      </c>
      <c r="FB243" s="4">
        <v>-0.011378651819596006</v>
      </c>
      <c r="FC243" s="4">
        <v>0</v>
      </c>
      <c r="FD243" s="4">
        <v>-0.011378651819594673</v>
      </c>
      <c r="FE243" s="4">
        <v>1.824</v>
      </c>
      <c r="FF243" s="4">
        <v>1.8</v>
      </c>
      <c r="FG243" s="6"/>
      <c r="FH243" s="6"/>
      <c r="FI243" s="6"/>
      <c r="FJ243" s="9"/>
      <c r="FK243" s="7">
        <f>IFERROR(FC243/F243,0)</f>
        <v>0</v>
      </c>
      <c r="FL243" t="inlineStr">
        <is>
          <t xml:space="preserve">Keep cash / margin / financing</t>
        </is>
      </c>
      <c r="FM243" t="inlineStr">
        <is>
          <t xml:space="preserve">cash</t>
        </is>
      </c>
      <c r="FN243" t="inlineStr">
        <is>
          <t xml:space="preserve">keep</t>
        </is>
      </c>
      <c r="FO243" t="inlineStr">
        <is>
          <t xml:space="preserve">cash</t>
        </is>
      </c>
      <c r="FP243"/>
      <c r="FQ243" s="4">
        <v>1</v>
      </c>
      <c r="FR243" s="4">
        <v>1</v>
      </c>
      <c r="FS243" s="4">
        <v>0</v>
      </c>
      <c r="FT243" s="6"/>
      <c r="FU243" s="4">
        <v>0</v>
      </c>
      <c r="FV243" s="4">
        <v>0</v>
      </c>
      <c r="FW243" s="4">
        <v>0</v>
      </c>
      <c r="FX243" s="4">
        <v>0</v>
      </c>
      <c r="FY243" s="4">
        <v>0</v>
      </c>
      <c r="FZ243" s="4">
        <v>1.824</v>
      </c>
      <c r="GA243" s="4">
        <v>1.8</v>
      </c>
      <c r="GB243" s="6"/>
      <c r="GC243" s="6"/>
      <c r="GD243" s="6"/>
      <c r="GE243" s="9"/>
      <c r="GF243" s="7">
        <f>IFERROR(FX243/F243,0)</f>
        <v>0</v>
      </c>
      <c r="GG243"/>
      <c r="GH243"/>
      <c r="GI243"/>
      <c r="GJ243"/>
      <c r="GK243"/>
      <c r="GL243" s="4"/>
      <c r="GM243" s="4"/>
      <c r="GN243" s="4"/>
      <c r="GO243" s="6"/>
      <c r="GP243" s="4"/>
      <c r="GQ243" s="4"/>
      <c r="GR243" s="4"/>
      <c r="GS243" s="4"/>
      <c r="GT243" s="4"/>
      <c r="GU243" s="4"/>
      <c r="GV243" s="4"/>
      <c r="GW243" s="6"/>
      <c r="GX243" s="6"/>
      <c r="GY243" s="6"/>
      <c r="GZ243" s="9"/>
      <c r="HA243"/>
      <c r="HB243"/>
      <c r="HC243"/>
      <c r="HD243"/>
      <c r="HE243"/>
      <c r="HF243"/>
      <c r="HG243" s="4"/>
      <c r="HH243" s="4"/>
      <c r="HI243" s="4"/>
      <c r="HJ243" s="6"/>
      <c r="HK243" s="4"/>
      <c r="HL243" s="4"/>
      <c r="HM243" s="4"/>
      <c r="HN243" s="4"/>
      <c r="HO243" s="4"/>
      <c r="HP243" s="4"/>
      <c r="HQ243" s="4"/>
      <c r="HR243" s="6"/>
      <c r="HS243" s="6"/>
      <c r="HT243" s="6"/>
      <c r="HU243" s="9"/>
      <c r="HV243"/>
      <c r="HW243"/>
      <c r="HX243"/>
      <c r="HY243"/>
      <c r="HZ243"/>
      <c r="IA243"/>
      <c r="IB243" s="4"/>
      <c r="IC243" s="4"/>
      <c r="ID243" s="4"/>
      <c r="IE243" s="6"/>
      <c r="IF243" s="4"/>
      <c r="IG243" s="4"/>
      <c r="IH243" s="4"/>
      <c r="II243" s="4"/>
      <c r="IJ243" s="4"/>
      <c r="IK243" s="4"/>
      <c r="IL243" s="4"/>
      <c r="IM243" s="6"/>
      <c r="IN243" s="6"/>
      <c r="IO243" s="6"/>
      <c r="IP243" s="9"/>
      <c r="IQ243"/>
      <c r="IR243"/>
      <c r="IS243"/>
      <c r="IT243"/>
      <c r="IU243"/>
      <c r="IV243"/>
      <c r="IW243" s="4"/>
      <c r="IX243" s="4"/>
      <c r="IY243" s="4"/>
      <c r="IZ243" s="6"/>
      <c r="JA243" s="4"/>
      <c r="JB243" s="4"/>
      <c r="JC243" s="4"/>
      <c r="JD243" s="4"/>
      <c r="JE243" s="4"/>
      <c r="JF243" s="4"/>
      <c r="JG243" s="4"/>
      <c r="JH243" s="6"/>
      <c r="JI243" s="6"/>
      <c r="JJ243" s="6"/>
      <c r="JK243" s="9"/>
      <c r="JL243"/>
    </row>
    <row r="244">
      <c r="A244" s="8">
        <v>25567</v>
      </c>
      <c r="B244" s="8">
        <v>25568</v>
      </c>
      <c r="C244" s="9">
        <f>B244-A244</f>
        <v>1</v>
      </c>
      <c r="D244" s="8">
        <v>25567</v>
      </c>
      <c r="E244" t="inlineStr">
        <is>
          <t xml:space="preserve">positive</t>
        </is>
      </c>
      <c r="F244" s="4">
        <v>2.0258509053045417</v>
      </c>
      <c r="G244" s="6">
        <v>0.008647514237334654</v>
      </c>
      <c r="H244" s="7">
        <f>SUM(CE244,CZ244,DU244,EP244,FK244,GF244,HA244,HV244,IQ244,JL244)</f>
        <v>0.008647514237334652</v>
      </c>
      <c r="I244" s="7">
        <f>G244-H244</f>
        <v>1.734723475976807e-18</v>
      </c>
      <c r="J244" s="5">
        <f>F244*(1+H244)</f>
        <v>2.0433694798508797</v>
      </c>
      <c r="K244" s="4">
        <v>2.0433694798508797</v>
      </c>
      <c r="L244" s="5">
        <f>K244-J244</f>
        <v>0</v>
      </c>
      <c r="M244" s="4">
        <v>1.8</v>
      </c>
      <c r="N244" s="4">
        <v>1.791</v>
      </c>
      <c r="O244" s="5">
        <f>M244/$M$3</f>
        <v>0.9193054136874362</v>
      </c>
      <c r="P244" s="5">
        <f>N244/$M$3</f>
        <v>0.914708886618999</v>
      </c>
      <c r="Q244" s="7">
        <f>IFERROR(N244/M244-1,0)</f>
        <v>-0.0050000000000001155</v>
      </c>
      <c r="R244" s="5">
        <f>SUM(IF(BM244="lease",BU244,0),IF(CH244="lease",CP244,0),IF(DC244="lease",DK244,0),IF(DX244="lease",EF244,0),IF(ES244="lease",FA244,0),IF(FN244="lease",FV244,0),IF(GI244="lease",GQ244,0),IF(HD244="lease",HL244,0),IF(HY244="lease",IG244,0),IF(IT244="lease",JB244,0))</f>
        <v>2.02585090530454</v>
      </c>
      <c r="S244" s="5">
        <f>SUM(IF(BM244="lease",BV244,0),IF(CH244="lease",CQ244,0),IF(DC244="lease",DL244,0),IF(DX244="lease",EG244,0),IF(ES244="lease",FB244,0),IF(FN244="lease",FW244,0),IF(GI244="lease",GR244,0),IF(HD244="lease",HM244,0),IF(HY244="lease",IH244,0),IF(IT244="lease",JC244,0))</f>
        <v>2.0433694798508784</v>
      </c>
      <c r="T244" s="5">
        <f>SUM(IF(BM244="keep",BU244,0),IF(CH244="keep",CP244,0),IF(DC244="keep",DK244,0),IF(DX244="keep",EF244,0),IF(ES244="keep",FA244,0),IF(FN244="keep",FV244,0),IF(GI244="keep",GQ244,0),IF(HD244="keep",HL244,0),IF(HY244="keep",IG244,0),IF(IT244="keep",JB244,0))</f>
        <v>0</v>
      </c>
      <c r="U244" s="5">
        <f>SUM(IF(BM244="keep",BV244,0),IF(CH244="keep",CQ244,0),IF(DC244="keep",DL244,0),IF(DX244="keep",EG244,0),IF(ES244="keep",FB244,0),IF(FN244="keep",FW244,0),IF(GI244="keep",GR244,0),IF(HD244="keep",HM244,0),IF(HY244="keep",IH244,0),IF(IT244="keep",JC244,0))</f>
        <v>0</v>
      </c>
      <c r="V244" s="5">
        <f>R244/O244</f>
        <v>2.2036755958812715</v>
      </c>
      <c r="W244" s="5">
        <f>S244/P244</f>
        <v>2.2339014190664543</v>
      </c>
      <c r="X244" s="5">
        <f>T244/O244</f>
        <v>0</v>
      </c>
      <c r="Y244" s="5">
        <f>U244/P244</f>
        <v>0</v>
      </c>
      <c r="Z244" s="5">
        <f>V244+X244</f>
        <v>2.2036755958812715</v>
      </c>
      <c r="AA244" s="7">
        <f>IFERROR(W244/V244-1,0)</f>
        <v>0.013716094710889193</v>
      </c>
      <c r="AB244" s="7">
        <f>IFERROR((W244-V244)/Z244,0)</f>
        <v>0.013716094710889264</v>
      </c>
      <c r="AC244" s="7">
        <f>IFERROR(Y244/X244-1,0)</f>
        <v>0</v>
      </c>
      <c r="AD244" s="7">
        <f>IFERROR((Y244-X244)/Z244,0)</f>
        <v>0</v>
      </c>
      <c r="AE244" s="7">
        <f>AB244+AD244</f>
        <v>0.013716094710889264</v>
      </c>
      <c r="AF244" s="7">
        <f>(1+Q244)*(1+AE244)-1</f>
        <v>0.008647514237334564</v>
      </c>
      <c r="AG244" s="7">
        <f>G244-AF244</f>
        <v>9.020562075079397e-17</v>
      </c>
      <c r="AH244" s="5">
        <f>SUM(IF(BM244="lease",BW244,0),IF(CH244="lease",CR244,0),IF(DC244="lease",DM244,0),IF(DX244="lease",EH244,0),IF(ES244="lease",FC244,0),IF(FN244="lease",FX244,0),IF(GI244="lease",GS244,0),IF(HD244="lease",HN244,0),IF(HY244="lease",II244,0),IF(IT244="lease",JD244,0))</f>
        <v>0.01751857454633832</v>
      </c>
      <c r="AI244" s="5">
        <f>SUM(IF(BM244="keep",BW244,0),IF(CH244="keep",CR244,0),IF(DC244="keep",DM244,0),IF(DX244="keep",EH244,0),IF(ES244="keep",FC244,0),IF(FN244="keep",FX244,0),IF(GI244="keep",GS244,0),IF(HD244="keep",HN244,0),IF(HY244="keep",II244,0),IF(IT244="keep",JD244,0))</f>
        <v>0</v>
      </c>
      <c r="AJ244" s="5">
        <f>SUM(IF(BM244="lease",BX244,0),IF(CH244="lease",CS244,0),IF(DC244="lease",DN244,0),IF(DX244="lease",EI244,0),IF(ES244="lease",FD244,0),IF(FN244="lease",FY244,0),IF(GI244="lease",GT244,0),IF(HD244="lease",HO244,0),IF(HY244="lease",IJ244,0),IF(IT244="lease",JE244,0))</f>
        <v>0</v>
      </c>
      <c r="AK244" s="5">
        <f>SUM(IF(BM244="keep",BX244,0),IF(CH244="keep",CS244,0),IF(DC244="keep",DN244,0),IF(DX244="keep",EI244,0),IF(ES244="keep",FD244,0),IF(FN244="keep",FY244,0),IF(GI244="keep",GT244,0),IF(HD244="keep",HO244,0),IF(HY244="keep",IJ244,0),IF(IT244="keep",JE244,0))</f>
        <v>0</v>
      </c>
      <c r="AL244" s="5">
        <f>R244-S243</f>
        <v>0</v>
      </c>
      <c r="AM244" s="5">
        <f>T244-U243</f>
        <v>0</v>
      </c>
      <c r="AN244" s="5">
        <f>AN243</f>
        <v>1</v>
      </c>
      <c r="AO244" s="5">
        <f>AO243+AH244</f>
        <v>1.0433694798508797</v>
      </c>
      <c r="AP244" s="5">
        <f>AP243+AL244</f>
        <v>8.881784197001252e-16</v>
      </c>
      <c r="AQ244" s="5">
        <f>AN244+AO244+AP244</f>
        <v>2.0433694798508806</v>
      </c>
      <c r="AR244" s="5">
        <f>S244-AQ244</f>
        <v>-2.220446049250313e-15</v>
      </c>
      <c r="AS244" s="5">
        <f>AS243</f>
        <v>0</v>
      </c>
      <c r="AT244" s="5">
        <f>AT243+AI244</f>
        <v>0</v>
      </c>
      <c r="AU244" s="5">
        <f>AU243+AM244</f>
        <v>0</v>
      </c>
      <c r="AV244" s="5">
        <f>AS244+AT244+AU244</f>
        <v>0</v>
      </c>
      <c r="AW244" s="5">
        <f>U244-AV244</f>
        <v>0</v>
      </c>
      <c r="AX244" s="4">
        <v>2.02585090530454</v>
      </c>
      <c r="AY244" s="4">
        <v>2.0433694798508784</v>
      </c>
      <c r="AZ244" s="5">
        <f>S244-AY244</f>
        <v>0</v>
      </c>
      <c r="BA244" s="4">
        <v>0</v>
      </c>
      <c r="BB244" s="4">
        <v>0</v>
      </c>
      <c r="BC244" s="5">
        <f>U244-BB244</f>
        <v>0</v>
      </c>
      <c r="BD244" s="7">
        <f>SUM(IF(BL244="direct",CE244,0),IF(CG244="direct",CZ244,0),IF(DB244="direct",DU244,0),IF(DW244="direct",EP244,0),IF(ER244="direct",FK244,0),IF(FM244="direct",GF244,0),IF(GH244="direct",HA244,0),IF(HC244="direct",HV244,0),IF(HX244="direct",IQ244,0),IF(IS244="direct",JL244,0))</f>
        <v>0</v>
      </c>
      <c r="BE244" s="7">
        <f>SUM(IF(BL244="treasury",CE244,0),IF(CG244="treasury",CZ244,0),IF(DB244="treasury",DU244,0),IF(DW244="treasury",EP244,0),IF(ER244="treasury",FK244,0),IF(FM244="treasury",GF244,0),IF(GH244="treasury",HA244,0),IF(HC244="treasury",HV244,0),IF(HX244="treasury",IQ244,0),IF(IS244="treasury",JL244,0))</f>
        <v>0.00022054794520547945</v>
      </c>
      <c r="BF244" s="7">
        <f>SUM(IF(BL244="future",CE244,0),IF(CG244="future",CZ244,0),IF(DB244="future",DU244,0),IF(DW244="future",EP244,0),IF(ER244="future",FK244,0),IF(FM244="future",GF244,0),IF(GH244="future",HA244,0),IF(HC244="future",HV244,0),IF(HX244="future",IQ244,0),IF(IS244="future",JL244,0))</f>
        <v>0.008426966292129174</v>
      </c>
      <c r="BG244" s="7">
        <f>SUM(IF(BL244="cash",CE244,0),IF(CG244="cash",CZ244,0),IF(DB244="cash",DU244,0),IF(DW244="cash",EP244,0),IF(ER244="cash",FK244,0),IF(FM244="cash",GF244,0),IF(GH244="cash",HA244,0),IF(HC244="cash",HV244,0),IF(HX244="cash",IQ244,0),IF(IS244="cash",JL244,0))</f>
        <v>0</v>
      </c>
      <c r="BH244" s="7">
        <f>SUM(BD244:BG244)</f>
        <v>0.008647514237334654</v>
      </c>
      <c r="BI244" s="7">
        <f>G244-BH244</f>
        <v>0</v>
      </c>
      <c r="BJ244" s="9">
        <f>COUNTA(BK244,CF244,DA244,DV244,EQ244,FL244,GG244,HB244,HW244,IR244)</f>
        <v>5</v>
      </c>
      <c r="BK244" t="inlineStr">
        <is>
          <t xml:space="preserve">Treasury collateral</t>
        </is>
      </c>
      <c r="BL244" t="inlineStr">
        <is>
          <t xml:space="preserve">treasury</t>
        </is>
      </c>
      <c r="BM244" t="inlineStr">
        <is>
          <t xml:space="preserve">lease</t>
        </is>
      </c>
      <c r="BN244" t="inlineStr">
        <is>
          <t xml:space="preserve">long</t>
        </is>
      </c>
      <c r="BO244"/>
      <c r="BP244" s="4">
        <v>106.82636833687218</v>
      </c>
      <c r="BQ244" s="4">
        <v>106.84992867290264</v>
      </c>
      <c r="BR244" s="4">
        <v>0.01896395933741856</v>
      </c>
      <c r="BS244" s="6">
        <v>1</v>
      </c>
      <c r="BT244" s="4">
        <v>2.0258509053045417</v>
      </c>
      <c r="BU244" s="4">
        <v>2.0258509053045417</v>
      </c>
      <c r="BV244" s="4">
        <v>2.026297702558999</v>
      </c>
      <c r="BW244" s="4">
        <v>0.000446797254457577</v>
      </c>
      <c r="BX244" s="4">
        <v>-2.896446103795025e-16</v>
      </c>
      <c r="BY244" s="4">
        <v>1.8</v>
      </c>
      <c r="BZ244" s="4">
        <v>1.791</v>
      </c>
      <c r="CA244" s="6"/>
      <c r="CB244" s="6"/>
      <c r="CC244" s="6"/>
      <c r="CD244" s="9">
        <v>29</v>
      </c>
      <c r="CE244" s="7">
        <f>IFERROR(BW244/F244,0)</f>
        <v>0.00022054794520547945</v>
      </c>
      <c r="CF244" t="inlineStr">
        <is>
          <t xml:space="preserve">SI70F</t>
        </is>
      </c>
      <c r="CG244" t="inlineStr">
        <is>
          <t xml:space="preserve">future</t>
        </is>
      </c>
      <c r="CH244" t="inlineStr">
        <is>
          <t xml:space="preserve">lease</t>
        </is>
      </c>
      <c r="CI244" t="inlineStr">
        <is>
          <t xml:space="preserve">long</t>
        </is>
      </c>
      <c r="CJ244" t="inlineStr">
        <is>
          <t xml:space="preserve">regular</t>
        </is>
      </c>
      <c r="CK244" s="4">
        <v>1.78</v>
      </c>
      <c r="CL244" s="4">
        <v>1.795</v>
      </c>
      <c r="CM244" s="4">
        <v>1.1381184861177729</v>
      </c>
      <c r="CN244" s="6">
        <v>0.9999999999926422</v>
      </c>
      <c r="CO244" s="4">
        <v>2.025850905289636</v>
      </c>
      <c r="CP244" s="4">
        <v>0</v>
      </c>
      <c r="CQ244" s="4">
        <v>0</v>
      </c>
      <c r="CR244" s="4">
        <v>0.017071777291766524</v>
      </c>
      <c r="CS244" s="4">
        <v>-0.017071777291766524</v>
      </c>
      <c r="CT244" s="4">
        <v>1.8</v>
      </c>
      <c r="CU244" s="4">
        <v>1.791</v>
      </c>
      <c r="CV244" s="6">
        <v>-0.011111111111111072</v>
      </c>
      <c r="CW244" s="6">
        <v>0.0805</v>
      </c>
      <c r="CX244" s="6">
        <v>0.2203467432950187</v>
      </c>
      <c r="CY244" s="9">
        <v>29</v>
      </c>
      <c r="CZ244" s="7">
        <f>IFERROR(CR244/F244,0)</f>
        <v>0.008426966292072792</v>
      </c>
      <c r="DA244" t="inlineStr">
        <is>
          <t xml:space="preserve">SI70H</t>
        </is>
      </c>
      <c r="DB244" t="inlineStr">
        <is>
          <t xml:space="preserve">future</t>
        </is>
      </c>
      <c r="DC244" t="inlineStr">
        <is>
          <t xml:space="preserve">lease</t>
        </is>
      </c>
      <c r="DD244" t="inlineStr">
        <is>
          <t xml:space="preserve">long</t>
        </is>
      </c>
      <c r="DE244" t="inlineStr">
        <is>
          <t xml:space="preserve">regular</t>
        </is>
      </c>
      <c r="DF244" s="4">
        <v>1.827</v>
      </c>
      <c r="DG244" s="4">
        <v>1.841</v>
      </c>
      <c r="DH244" s="4">
        <v>8.158634486165622e-12</v>
      </c>
      <c r="DI244" s="6">
        <v>7.35780958371358e-12</v>
      </c>
      <c r="DJ244" s="4">
        <v>1.490582520622459e-11</v>
      </c>
      <c r="DK244" s="4">
        <v>0</v>
      </c>
      <c r="DL244" s="4">
        <v>0</v>
      </c>
      <c r="DM244" s="4">
        <v>1.1422088280631964e-13</v>
      </c>
      <c r="DN244" s="4">
        <v>-1.1422088280631964e-13</v>
      </c>
      <c r="DO244" s="4">
        <v>1.8</v>
      </c>
      <c r="DP244" s="4">
        <v>1.791</v>
      </c>
      <c r="DQ244" s="6">
        <v>0.014999999999999902</v>
      </c>
      <c r="DR244" s="6">
        <v>0.0805</v>
      </c>
      <c r="DS244" s="6">
        <v>0.017568965517241797</v>
      </c>
      <c r="DT244" s="9">
        <v>87</v>
      </c>
      <c r="DU244" s="7">
        <f>IFERROR(DM244/F244,0)</f>
        <v>5.6381682633821006e-14</v>
      </c>
      <c r="DV244" t="inlineStr">
        <is>
          <t xml:space="preserve">Lease cash / margin / financing</t>
        </is>
      </c>
      <c r="DW244" t="inlineStr">
        <is>
          <t xml:space="preserve">cash</t>
        </is>
      </c>
      <c r="DX244" t="inlineStr">
        <is>
          <t xml:space="preserve">lease</t>
        </is>
      </c>
      <c r="DY244" t="inlineStr">
        <is>
          <t xml:space="preserve">cash</t>
        </is>
      </c>
      <c r="DZ244"/>
      <c r="EA244" s="4">
        <v>1</v>
      </c>
      <c r="EB244" s="4">
        <v>1</v>
      </c>
      <c r="EC244" s="4">
        <v>-1.7763568394002505e-15</v>
      </c>
      <c r="ED244" s="6"/>
      <c r="EE244" s="4">
        <v>-1.7763568394002505e-15</v>
      </c>
      <c r="EF244" s="4">
        <v>-1.7763568394002505e-15</v>
      </c>
      <c r="EG244" s="4">
        <v>0.017071777291879257</v>
      </c>
      <c r="EH244" s="4">
        <v>0</v>
      </c>
      <c r="EI244" s="4">
        <v>0.017071777291881033</v>
      </c>
      <c r="EJ244" s="4">
        <v>1.8</v>
      </c>
      <c r="EK244" s="4">
        <v>1.791</v>
      </c>
      <c r="EL244" s="6"/>
      <c r="EM244" s="6"/>
      <c r="EN244" s="6"/>
      <c r="EO244" s="9"/>
      <c r="EP244" s="7">
        <f>IFERROR(EH244/F244,0)</f>
        <v>0</v>
      </c>
      <c r="EQ244" t="inlineStr">
        <is>
          <t xml:space="preserve">Keep cash / margin / financing</t>
        </is>
      </c>
      <c r="ER244" t="inlineStr">
        <is>
          <t xml:space="preserve">cash</t>
        </is>
      </c>
      <c r="ES244" t="inlineStr">
        <is>
          <t xml:space="preserve">keep</t>
        </is>
      </c>
      <c r="ET244" t="inlineStr">
        <is>
          <t xml:space="preserve">cash</t>
        </is>
      </c>
      <c r="EU244"/>
      <c r="EV244" s="4">
        <v>1</v>
      </c>
      <c r="EW244" s="4">
        <v>1</v>
      </c>
      <c r="EX244" s="4">
        <v>0</v>
      </c>
      <c r="EY244" s="6"/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1.8</v>
      </c>
      <c r="FF244" s="4">
        <v>1.791</v>
      </c>
      <c r="FG244" s="6"/>
      <c r="FH244" s="6"/>
      <c r="FI244" s="6"/>
      <c r="FJ244" s="9"/>
      <c r="FK244" s="7">
        <f>IFERROR(FC244/F244,0)</f>
        <v>0</v>
      </c>
      <c r="FL244"/>
      <c r="FM244"/>
      <c r="FN244"/>
      <c r="FO244"/>
      <c r="FP244"/>
      <c r="FQ244" s="4"/>
      <c r="FR244" s="4"/>
      <c r="FS244" s="4"/>
      <c r="FT244" s="6"/>
      <c r="FU244" s="4"/>
      <c r="FV244" s="4"/>
      <c r="FW244" s="4"/>
      <c r="FX244" s="4"/>
      <c r="FY244" s="4"/>
      <c r="FZ244" s="4"/>
      <c r="GA244" s="4"/>
      <c r="GB244" s="6"/>
      <c r="GC244" s="6"/>
      <c r="GD244" s="6"/>
      <c r="GE244" s="9"/>
      <c r="GF244"/>
      <c r="GG244"/>
      <c r="GH244"/>
      <c r="GI244"/>
      <c r="GJ244"/>
      <c r="GK244"/>
      <c r="GL244" s="4"/>
      <c r="GM244" s="4"/>
      <c r="GN244" s="4"/>
      <c r="GO244" s="6"/>
      <c r="GP244" s="4"/>
      <c r="GQ244" s="4"/>
      <c r="GR244" s="4"/>
      <c r="GS244" s="4"/>
      <c r="GT244" s="4"/>
      <c r="GU244" s="4"/>
      <c r="GV244" s="4"/>
      <c r="GW244" s="6"/>
      <c r="GX244" s="6"/>
      <c r="GY244" s="6"/>
      <c r="GZ244" s="9"/>
      <c r="HA244"/>
      <c r="HB244"/>
      <c r="HC244"/>
      <c r="HD244"/>
      <c r="HE244"/>
      <c r="HF244"/>
      <c r="HG244" s="4"/>
      <c r="HH244" s="4"/>
      <c r="HI244" s="4"/>
      <c r="HJ244" s="6"/>
      <c r="HK244" s="4"/>
      <c r="HL244" s="4"/>
      <c r="HM244" s="4"/>
      <c r="HN244" s="4"/>
      <c r="HO244" s="4"/>
      <c r="HP244" s="4"/>
      <c r="HQ244" s="4"/>
      <c r="HR244" s="6"/>
      <c r="HS244" s="6"/>
      <c r="HT244" s="6"/>
      <c r="HU244" s="9"/>
      <c r="HV244"/>
      <c r="HW244"/>
      <c r="HX244"/>
      <c r="HY244"/>
      <c r="HZ244"/>
      <c r="IA244"/>
      <c r="IB244" s="4"/>
      <c r="IC244" s="4"/>
      <c r="ID244" s="4"/>
      <c r="IE244" s="6"/>
      <c r="IF244" s="4"/>
      <c r="IG244" s="4"/>
      <c r="IH244" s="4"/>
      <c r="II244" s="4"/>
      <c r="IJ244" s="4"/>
      <c r="IK244" s="4"/>
      <c r="IL244" s="4"/>
      <c r="IM244" s="6"/>
      <c r="IN244" s="6"/>
      <c r="IO244" s="6"/>
      <c r="IP244" s="9"/>
      <c r="IQ244"/>
      <c r="IR244"/>
      <c r="IS244"/>
      <c r="IT244"/>
      <c r="IU244"/>
      <c r="IV244"/>
      <c r="IW244" s="4"/>
      <c r="IX244" s="4"/>
      <c r="IY244" s="4"/>
      <c r="IZ244" s="6"/>
      <c r="JA244" s="4"/>
      <c r="JB244" s="4"/>
      <c r="JC244" s="4"/>
      <c r="JD244" s="4"/>
      <c r="JE244" s="4"/>
      <c r="JF244" s="4"/>
      <c r="JG244" s="4"/>
      <c r="JH244" s="6"/>
      <c r="JI244" s="6"/>
      <c r="JJ244" s="6"/>
      <c r="JK244" s="9"/>
      <c r="JL244"/>
    </row>
  </sheetData>
  <autoFilter ref="A2:JL244"/>
  <mergeCells count="14">
    <mergeCell ref="A1:L1"/>
    <mergeCell ref="M1:AG1"/>
    <mergeCell ref="AH1:BC1"/>
    <mergeCell ref="BD1:BJ1"/>
    <mergeCell ref="BK1:CE1"/>
    <mergeCell ref="CF1:CZ1"/>
    <mergeCell ref="DA1:DU1"/>
    <mergeCell ref="DV1:EP1"/>
    <mergeCell ref="EQ1:FK1"/>
    <mergeCell ref="FL1:GF1"/>
    <mergeCell ref="GG1:HA1"/>
    <mergeCell ref="HB1:HV1"/>
    <mergeCell ref="HW1:IQ1"/>
    <mergeCell ref="IR1:JL1"/>
  </mergeCells>
  <pageMargins left="0.25" right="0.25" top="0.5" bottom="0.5" header="0.2" footer="0.2"/>
</worksheet>
</file>

<file path=xl/worksheets/sheet4.xml><?xml version="1.0" encoding="utf-8"?>
<worksheet xmlns="http://schemas.openxmlformats.org/spreadsheetml/2006/main">
  <dimension ref="A1:G15"/>
  <sheetViews>
    <sheetView workbookViewId="0">
      <pane xSplit="0" ySplit="3" topLeftCell="A4" activePane="bottomRight" state="frozen"/>
    </sheetView>
  </sheetViews>
  <sheetFormatPr defaultRowHeight="15"/>
  <cols>
    <col min="1" max="1" width="46" customWidth="1"/>
    <col min="2" max="2" width="22" customWidth="1"/>
    <col min="3" max="3" width="18" customWidth="1"/>
    <col min="4" max="4" width="20" customWidth="1"/>
    <col min="5" max="5" width="18" customWidth="1"/>
    <col min="6" max="6" width="15" customWidth="1"/>
    <col min="7" max="7" width="72" customWidth="1"/>
  </cols>
  <sheetData>
    <row r="1" ht="28" customHeight="1">
      <c r="A1" s="1" t="inlineStr">
        <is>
          <t xml:space="preserve">Model checks</t>
        </is>
      </c>
      <c r="B1"/>
      <c r="C1"/>
      <c r="D1"/>
      <c r="E1"/>
      <c r="F1"/>
      <c r="G1"/>
    </row>
    <row r="2"/>
    <row r="3">
      <c r="A3" s="12" t="inlineStr">
        <is>
          <t xml:space="preserve">Check</t>
        </is>
      </c>
      <c r="B3" s="12" t="inlineStr">
        <is>
          <t xml:space="preserve">Actual</t>
        </is>
      </c>
      <c r="C3" s="12" t="inlineStr">
        <is>
          <t xml:space="preserve">Expected</t>
        </is>
      </c>
      <c r="D3" s="12" t="inlineStr">
        <is>
          <t xml:space="preserve">Difference</t>
        </is>
      </c>
      <c r="E3" s="12" t="inlineStr">
        <is>
          <t xml:space="preserve">Tolerance</t>
        </is>
      </c>
      <c r="F3" s="12" t="inlineStr">
        <is>
          <t xml:space="preserve">Status</t>
        </is>
      </c>
      <c r="G3" s="12" t="inlineStr">
        <is>
          <t xml:space="preserve">Notes</t>
        </is>
      </c>
    </row>
    <row r="4">
      <c r="A4" t="inlineStr">
        <is>
          <t xml:space="preserve">Holding intervals</t>
        </is>
      </c>
      <c r="B4" s="5">
        <f>COUNTA('Daily Holdings'!$B$3:$B$244)</f>
        <v>242</v>
      </c>
      <c r="C4" s="4">
        <v>242</v>
      </c>
      <c r="D4" s="5">
        <f>B4-C4</f>
        <v>0</v>
      </c>
      <c r="E4" s="4">
        <v>0</v>
      </c>
      <c r="F4" s="13" t="str">
        <f>IF(ABS(D4)&lt;=E4,"OK","REVIEW")</f>
        <v>OK</v>
      </c>
      <c r="G4" s="10" t="inlineStr">
        <is>
          <t xml:space="preserve">One row per selected completed holding interval.</t>
        </is>
      </c>
    </row>
    <row r="5">
      <c r="A5" t="inlineStr">
        <is>
          <t xml:space="preserve">Maximum simultaneous ledger holdings</t>
        </is>
      </c>
      <c r="B5" s="5">
        <f>MAX('Daily Holdings'!$BJ$3:$BJ$244)</f>
        <v>10</v>
      </c>
      <c r="C5" s="4">
        <v>10</v>
      </c>
      <c r="D5" s="5">
        <f>B5-C5</f>
        <v>0</v>
      </c>
      <c r="E5" s="4">
        <v>0</v>
      </c>
      <c r="F5" s="13" t="str">
        <f>IF(ABS(D5)&lt;=E5,"OK","REVIEW")</f>
        <v>OK</v>
      </c>
      <c r="G5" s="10" t="inlineStr">
        <is>
          <t xml:space="preserve">The exporter reserves exactly the maximum number of ledger slots required by the selected period.</t>
        </is>
      </c>
    </row>
    <row r="6">
      <c r="A6" t="inlineStr">
        <is>
          <t xml:space="preserve">Maximum holdings-return difference</t>
        </is>
      </c>
      <c r="B6" s="5">
        <f>MAX(MAX('Daily Holdings'!$I$3:$I$244),-MIN('Daily Holdings'!$I$3:$I$244))</f>
        <v>6.938893903907228e-18</v>
      </c>
      <c r="C6" s="4">
        <v>0</v>
      </c>
      <c r="D6" s="5">
        <f>B6-C6</f>
        <v>6.938893903907228e-18</v>
      </c>
      <c r="E6" s="4">
        <v>1e-10</v>
      </c>
      <c r="F6" s="13" t="str">
        <f>IF(ABS(D6)&lt;=E6,"OK","REVIEW")</f>
        <v>OK</v>
      </c>
      <c r="G6" s="10" t="inlineStr">
        <is>
          <t xml:space="preserve">Source total return less summed holding-level economic P&amp;L contributions.</t>
        </is>
      </c>
    </row>
    <row r="7">
      <c r="A7" t="inlineStr">
        <is>
          <t xml:space="preserve">Maximum NAV difference</t>
        </is>
      </c>
      <c r="B7" s="5">
        <f>MAX(MAX('Daily Holdings'!$L$3:$L$244),-MIN('Daily Holdings'!$L$3:$L$244))</f>
        <v>0</v>
      </c>
      <c r="C7" s="4">
        <v>0</v>
      </c>
      <c r="D7" s="5">
        <f>B7-C7</f>
        <v>0</v>
      </c>
      <c r="E7" s="4">
        <v>1e-10</v>
      </c>
      <c r="F7" s="13" t="str">
        <f>IF(ABS(D7)&lt;=E7,"OK","REVIEW")</f>
        <v>OK</v>
      </c>
      <c r="G7" s="10" t="inlineStr">
        <is>
          <t xml:space="preserve">Engine ending NAV less formula-derived ending NAV.</t>
        </is>
      </c>
    </row>
    <row r="8">
      <c r="A8" t="inlineStr">
        <is>
          <t xml:space="preserve">Maximum underlying/book return difference</t>
        </is>
      </c>
      <c r="B8" s="5">
        <f>MAX(MAX('Daily Holdings'!$AG$3:$AG$244),-MIN('Daily Holdings'!$AG$3:$AG$244))</f>
        <v>3.972516759986888e-16</v>
      </c>
      <c r="C8" s="4">
        <v>0</v>
      </c>
      <c r="D8" s="5">
        <f>B8-C8</f>
        <v>3.972516759986888e-16</v>
      </c>
      <c r="E8" s="4">
        <v>1e-10</v>
      </c>
      <c r="F8" s="13" t="str">
        <f>IF(ABS(D8)&lt;=E8,"OK","REVIEW")</f>
        <v>OK</v>
      </c>
      <c r="G8" s="10" t="inlineStr">
        <is>
          <t xml:space="preserve">Source return less underlying price × combined underlying-book return reconstruction.</t>
        </is>
      </c>
    </row>
    <row r="9">
      <c r="A9" t="inlineStr">
        <is>
          <t xml:space="preserve">Maximum detailed-contribution difference</t>
        </is>
      </c>
      <c r="B9" s="5">
        <f>MAX(MAX('Daily Holdings'!$BI$3:$BI$244),-MIN('Daily Holdings'!$BI$3:$BI$244))</f>
        <v>6.938893903907228e-18</v>
      </c>
      <c r="C9" s="4">
        <v>0</v>
      </c>
      <c r="D9" s="5">
        <f>B9-C9</f>
        <v>6.938893903907228e-18</v>
      </c>
      <c r="E9" s="4">
        <v>1e-10</v>
      </c>
      <c r="F9" s="13" t="str">
        <f>IF(ABS(D9)&lt;=E9,"OK","REVIEW")</f>
        <v>OK</v>
      </c>
      <c r="G9" s="10" t="inlineStr">
        <is>
          <t xml:space="preserve">Source return less direct + Treasury + futures + cash contributions.</t>
        </is>
      </c>
    </row>
    <row r="10">
      <c r="A10" t="inlineStr">
        <is>
          <t xml:space="preserve">Maximum lease holdings/roll-forward difference</t>
        </is>
      </c>
      <c r="B10" s="5">
        <f>MAX(MAX('Daily Holdings'!$AR$3:$AR$244),-MIN('Daily Holdings'!$AR$3:$AR$244))</f>
        <v>2.220446049250313e-15</v>
      </c>
      <c r="C10" s="4">
        <v>0</v>
      </c>
      <c r="D10" s="5">
        <f>B10-C10</f>
        <v>2.220446049250313e-15</v>
      </c>
      <c r="E10" s="4">
        <v>1e-10</v>
      </c>
      <c r="F10" s="13" t="str">
        <f>IF(ABS(D10)&lt;=E10,"OK","REVIEW")</f>
        <v>OK</v>
      </c>
      <c r="G10" s="10" t="inlineStr">
        <is>
          <t xml:space="preserve">Lease holdings sum versus opening + accumulated P&amp;L + external transfers.</t>
        </is>
      </c>
    </row>
    <row r="11">
      <c r="A11" t="inlineStr">
        <is>
          <t xml:space="preserve">Maximum keep holdings/roll-forward difference</t>
        </is>
      </c>
      <c r="B11" s="5">
        <f>MAX(MAX('Daily Holdings'!$AW$3:$AW$244),-MIN('Daily Holdings'!$AW$3:$AW$244))</f>
        <v>0</v>
      </c>
      <c r="C11" s="4">
        <v>0</v>
      </c>
      <c r="D11" s="5">
        <f>B11-C11</f>
        <v>0</v>
      </c>
      <c r="E11" s="4">
        <v>1e-10</v>
      </c>
      <c r="F11" s="13" t="str">
        <f>IF(ABS(D11)&lt;=E11,"OK","REVIEW")</f>
        <v>OK</v>
      </c>
      <c r="G11" s="10" t="inlineStr">
        <is>
          <t xml:space="preserve">Keep holdings sum versus opening + accumulated P&amp;L + external transfers.</t>
        </is>
      </c>
    </row>
    <row r="12">
      <c r="A12" t="inlineStr">
        <is>
          <t xml:space="preserve">Maximum lease engine-audit difference</t>
        </is>
      </c>
      <c r="B12" s="5">
        <f>MAX(MAX('Daily Holdings'!$AZ$3:$AZ$244),-MIN('Daily Holdings'!$AZ$3:$AZ$244))</f>
        <v>4.440892098500626e-16</v>
      </c>
      <c r="C12" s="4">
        <v>0</v>
      </c>
      <c r="D12" s="5">
        <f>B12-C12</f>
        <v>4.440892098500626e-16</v>
      </c>
      <c r="E12" s="4">
        <v>1e-10</v>
      </c>
      <c r="F12" s="13" t="str">
        <f>IF(ABS(D12)&lt;=E12,"OK","REVIEW")</f>
        <v>OK</v>
      </c>
      <c r="G12" s="10" t="inlineStr">
        <is>
          <t xml:space="preserve">Lease holdings sum versus completed backtest book value.</t>
        </is>
      </c>
    </row>
    <row r="13">
      <c r="A13" t="inlineStr">
        <is>
          <t xml:space="preserve">Maximum keep engine-audit difference</t>
        </is>
      </c>
      <c r="B13" s="5">
        <f>MAX(MAX('Daily Holdings'!$BC$3:$BC$244),-MIN('Daily Holdings'!$BC$3:$BC$244))</f>
        <v>0</v>
      </c>
      <c r="C13" s="4">
        <v>0</v>
      </c>
      <c r="D13" s="5">
        <f>B13-C13</f>
        <v>0</v>
      </c>
      <c r="E13" s="4">
        <v>1e-10</v>
      </c>
      <c r="F13" s="13" t="str">
        <f>IF(ABS(D13)&lt;=E13,"OK","REVIEW")</f>
        <v>OK</v>
      </c>
      <c r="G13" s="10" t="inlineStr">
        <is>
          <t xml:space="preserve">Keep holdings sum versus completed backtest book value.</t>
        </is>
      </c>
    </row>
    <row r="14"/>
    <row r="15">
      <c r="A15" s="11" t="inlineStr">
        <is>
          <t xml:space="preserve">Overall model status</t>
        </is>
      </c>
      <c r="B15" s="13" t="str">
        <f>IF(COUNTIF(F4:F13,"REVIEW")=0,"OK","REVIEW")</f>
        <v>OK</v>
      </c>
      <c r="C15"/>
      <c r="D15"/>
      <c r="E15"/>
      <c r="F15"/>
      <c r="G15" s="10" t="inlineStr">
        <is>
          <t xml:space="preserve">Template v1; full 1969 comparison is available as an opt-in regression test.</t>
        </is>
      </c>
    </row>
  </sheetData>
  <autoFilter ref="A3:G13"/>
  <mergeCells count="1">
    <mergeCell ref="A1:G1"/>
  </mergeCells>
  <pageMargins left="0.25" right="0.25" top="0.5" bottom="0.5" header="0.2" footer="0.2"/>
</worksheet>
</file>
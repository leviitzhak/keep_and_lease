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14b5adc8c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0cb02e10a714f9d"/>
    <x:sheet xmlns:r="http://schemas.openxmlformats.org/officeDocument/2006/relationships" name="Parameters" sheetId="2" r:id="Rf199d715898b42f8"/>
    <x:sheet xmlns:r="http://schemas.openxmlformats.org/officeDocument/2006/relationships" name="Daily Holdings" sheetId="3" r:id="Rafd80ab1bd9b4fec"/>
    <x:sheet xmlns:r="http://schemas.openxmlformats.org/officeDocument/2006/relationships" name="Checks" sheetId="4" r:id="R8bac0e89ea5a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;[Red](0.00%);-"/>
    <x:numFmt numFmtId="201" formatCode="yyyy-mm-dd"/>
    <x:numFmt numFmtId="202" formatCode="0"/>
    <x:numFmt numFmtId="203" formatCode="0.000000;[Red](0.000000);-"/>
    <x:numFmt numFmtId="204" formatCode="0.0000%;[Red](0.0000%);-"/>
    <x:numFmt numFmtId="205" formatCode="0.0000;[Red](0.0000);-"/>
    <x:numFmt numFmtId="206" formatCode="0.00E+00"/>
    <x:numFmt numFmtId="207" formatCode="#,##0;[Red](#,##0);-"/>
  </x:numFmts>
  <x:fonts count="22">
    <x:font>
      <x:sz val="11"/>
      <x:name val="Carlito"/>
    </x:font>
    <x:font>
      <x:b/>
      <x:sz val="15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sz val="10"/>
      <x:color rgb="FF0000FF"/>
      <x:name val="Aptos"/>
    </x:font>
    <x:font>
      <x:b/>
      <x:sz val="11"/>
      <x:color rgb="FF1E3A8A"/>
      <x:name val="Aptos"/>
    </x:font>
    <x:font>
      <x:sz val="9"/>
      <x:color rgb="FF111827"/>
      <x:name val="Aptos"/>
    </x:font>
    <x:font>
      <x:sz val="9"/>
      <x:color rgb="FF0000FF"/>
      <x:name val="Aptos"/>
    </x:font>
    <x:font>
      <x:b/>
      <x:sz val="9"/>
      <x:color rgb="FFFFFFFF"/>
      <x:name val="Aptos"/>
    </x:font>
    <x:font>
      <x:b/>
      <x:sz val="10"/>
      <x:color rgb="FFFFFFFF"/>
      <x:name val="Aptos"/>
    </x:font>
    <x:font>
      <x:b/>
      <x:sz val="8"/>
      <x:color rgb="FF111827"/>
      <x:name val="Aptos"/>
    </x:font>
    <x:font>
      <x:sz val="8"/>
      <x:color rgb="FF111827"/>
      <x:name val="Aptos"/>
    </x:font>
    <x:font>
      <x:sz val="8"/>
      <x:color rgb="FF000000"/>
      <x:name val="Aptos"/>
    </x:font>
    <x:font>
      <x:sz val="8"/>
      <x:color rgb="FF008000"/>
      <x:name val="Aptos"/>
    </x:font>
    <x:font>
      <x:b/>
      <x:sz val="12"/>
      <x:color rgb="FF166534"/>
      <x:name val="Aptos"/>
    </x:font>
    <x:font>
      <x:b/>
      <x:sz val="10"/>
      <x:color rgb="FF166534"/>
      <x:name val="Aptos"/>
    </x:font>
    <x:font>
      <x:b/>
      <x:sz val="16"/>
      <x:color rgb="FFFFFFFF"/>
      <x:name val="Aptos"/>
    </x:font>
    <x:font>
      <x:b/>
      <x:sz val="11"/>
      <x:color rgb="FF111827"/>
      <x:name val="Aptos"/>
    </x:font>
    <x:font>
      <x:sz val="11"/>
      <x:color rgb="FF008000"/>
      <x:name val="Aptos"/>
    </x:font>
    <x:font>
      <x:sz val="10"/>
      <x:color rgb="FF92400E"/>
      <x:name val="Aptos"/>
    </x:font>
    <x:font>
      <x:b/>
      <x:sz val="10"/>
      <x:color rgb="FF1E3A8A"/>
      <x:name val="Aptos"/>
    </x:font>
    <x:font>
      <x:b/>
      <x:sz val="10"/>
      <x:color rgb="FF111827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1E3A8A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D97706"/>
      </x:patternFill>
    </x:fill>
    <x:fill>
      <x:patternFill patternType="solid">
        <x:fgColor rgb="FFFEF3C7"/>
      </x:patternFill>
    </x:fill>
  </x:fills>
  <x:borders count="25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16A34A"/>
      </x:left>
      <x:top style="medium">
        <x:color rgb="FF16A34A"/>
      </x:top>
      <x:bottom style="medium">
        <x:color rgb="FF16A34A"/>
      </x:bottom>
    </x:border>
    <x:border>
      <x:right style="medium">
        <x:color rgb="FF16A34A"/>
      </x:right>
      <x:top style="medium">
        <x:color rgb="FF16A34A"/>
      </x:top>
      <x:bottom style="medium">
        <x:color rgb="FF16A34A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</x:borders>
  <x:cellStyleXfs count="1">
    <x:xf numFmtId="0" fontId="0" fillId="0" borderId="0"/>
  </x:cellStyleXfs>
  <x:cellXfs count="2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/>
    </x:xf>
    <x:xf numFmtId="0" fontId="3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vertical="top"/>
    </x:xf>
    <x:xf numFmtId="0" fontId="3" fillId="0" borderId="9" xfId="0" applyNumberFormat="1" applyFont="1" applyFill="1" applyBorder="1" applyAlignment="1">
      <x:alignment vertical="top"/>
    </x:xf>
    <x:xf numFmtId="0" fontId="3" fillId="0" borderId="10" xfId="0" applyNumberFormat="1" applyFont="1" applyFill="1" applyBorder="1" applyAlignment="1">
      <x:alignment vertical="top"/>
    </x:xf>
    <x:xf numFmtId="200" fontId="3" fillId="0" borderId="3" xfId="0" applyNumberFormat="1" applyFont="1" applyFill="1" applyBorder="1" applyAlignment="1">
      <x:alignment vertical="top"/>
    </x:xf>
    <x:xf numFmtId="200" fontId="3" fillId="0" borderId="6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200" fontId="4" fillId="0" borderId="6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</x:xf>
    <x:xf numFmtId="0" fontId="4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9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0" fontId="6" fillId="0" borderId="8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vertical="top"/>
    </x:xf>
    <x:xf numFmtId="0" fontId="6" fillId="0" borderId="10" xfId="0" applyNumberFormat="1" applyFont="1" applyFill="1" applyBorder="1" applyAlignment="1">
      <x:alignment vertical="top"/>
    </x:xf>
    <x:xf numFmtId="0" fontId="7" fillId="0" borderId="3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/>
    </x:xf>
    <x:xf numFmtId="0" fontId="7" fillId="0" borderId="9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/>
    </x:xf>
    <x:xf numFmtId="0" fontId="6" fillId="5" borderId="5" xfId="0" applyNumberFormat="1" applyFont="1" applyFill="1" applyBorder="1" applyAlignment="1">
      <x:alignment vertical="top"/>
    </x:xf>
    <x:xf numFmtId="0" fontId="6" fillId="5" borderId="8" xfId="0" applyNumberFormat="1" applyFont="1" applyFill="1" applyBorder="1" applyAlignment="1">
      <x:alignment vertical="top"/>
    </x:xf>
    <x:xf numFmtId="0" fontId="8" fillId="3" borderId="0" xfId="0" applyNumberFormat="1" applyFont="1" applyFill="1" applyBorder="1"/>
    <x:xf numFmtId="0" fontId="8" fillId="3" borderId="11" xfId="0" applyNumberFormat="1" applyFont="1" applyFill="1" applyBorder="1"/>
    <x:xf numFmtId="0" fontId="8" fillId="3" borderId="11" xfId="0" applyNumberFormat="1" applyFont="1" applyFill="1" applyBorder="1" applyAlignment="1">
      <x:alignment wrapText="1"/>
    </x:xf>
    <x:xf numFmtId="0" fontId="8" fillId="3" borderId="1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12" xfId="0" applyNumberFormat="1" applyFont="1" applyFill="1" applyBorder="1"/>
    <x:xf numFmtId="0" fontId="9" fillId="2" borderId="13" xfId="0" applyNumberFormat="1" applyFont="1" applyFill="1" applyBorder="1"/>
    <x:xf numFmtId="0" fontId="9" fillId="2" borderId="14" xfId="0" applyNumberFormat="1" applyFont="1" applyFill="1" applyBorder="1"/>
    <x:xf numFmtId="0" fontId="9" fillId="2" borderId="12" xfId="0" applyNumberFormat="1" applyFont="1" applyFill="1" applyBorder="1" applyAlignment="1">
      <x:alignment horizontal="center"/>
    </x:xf>
    <x:xf numFmtId="0" fontId="9" fillId="2" borderId="13" xfId="0" applyNumberFormat="1" applyFont="1" applyFill="1" applyBorder="1" applyAlignment="1">
      <x:alignment horizontal="center"/>
    </x:xf>
    <x:xf numFmtId="0" fontId="9" fillId="2" borderId="14" xfId="0" applyNumberFormat="1" applyFont="1" applyFill="1" applyBorder="1" applyAlignment="1">
      <x:alignment horizontal="center"/>
    </x:xf>
    <x:xf numFmtId="0" fontId="9" fillId="2" borderId="12" xfId="0" applyNumberFormat="1" applyFont="1" applyFill="1" applyBorder="1" applyAlignment="1">
      <x:alignment horizontal="center" vertical="center"/>
    </x:xf>
    <x:xf numFmtId="0" fontId="9" fillId="2" borderId="13" xfId="0" applyNumberFormat="1" applyFont="1" applyFill="1" applyBorder="1" applyAlignment="1">
      <x:alignment horizontal="center" vertical="center"/>
    </x:xf>
    <x:xf numFmtId="0" fontId="9" fillId="2" borderId="1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2" xfId="0" applyNumberFormat="1" applyFont="1" applyFill="1" applyBorder="1" applyAlignment="1">
      <x:alignment horizontal="center"/>
    </x:xf>
    <x:xf numFmtId="0" fontId="9" fillId="6" borderId="13" xfId="0" applyNumberFormat="1" applyFont="1" applyFill="1" applyBorder="1" applyAlignment="1">
      <x:alignment horizontal="center"/>
    </x:xf>
    <x:xf numFmtId="0" fontId="9" fillId="6" borderId="14" xfId="0" applyNumberFormat="1" applyFont="1" applyFill="1" applyBorder="1" applyAlignment="1">
      <x:alignment horizontal="center"/>
    </x:xf>
    <x:xf numFmtId="0" fontId="9" fillId="6" borderId="12" xfId="0" applyNumberFormat="1" applyFont="1" applyFill="1" applyBorder="1" applyAlignment="1">
      <x:alignment horizontal="center" vertical="center"/>
    </x:xf>
    <x:xf numFmtId="0" fontId="9" fillId="6" borderId="13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12" xfId="0" applyNumberFormat="1" applyFont="1" applyFill="1" applyBorder="1"/>
    <x:xf numFmtId="0" fontId="9" fillId="7" borderId="13" xfId="0" applyNumberFormat="1" applyFont="1" applyFill="1" applyBorder="1"/>
    <x:xf numFmtId="0" fontId="9" fillId="7" borderId="14" xfId="0" applyNumberFormat="1" applyFont="1" applyFill="1" applyBorder="1"/>
    <x:xf numFmtId="0" fontId="9" fillId="7" borderId="12" xfId="0" applyNumberFormat="1" applyFont="1" applyFill="1" applyBorder="1" applyAlignment="1">
      <x:alignment horizontal="center"/>
    </x:xf>
    <x:xf numFmtId="0" fontId="9" fillId="7" borderId="13" xfId="0" applyNumberFormat="1" applyFont="1" applyFill="1" applyBorder="1" applyAlignment="1">
      <x:alignment horizontal="center"/>
    </x:xf>
    <x:xf numFmtId="0" fontId="9" fillId="7" borderId="14" xfId="0" applyNumberFormat="1" applyFont="1" applyFill="1" applyBorder="1" applyAlignment="1">
      <x:alignment horizontal="center"/>
    </x:xf>
    <x:xf numFmtId="0" fontId="9" fillId="7" borderId="12" xfId="0" applyNumberFormat="1" applyFont="1" applyFill="1" applyBorder="1" applyAlignment="1">
      <x:alignment horizontal="center" vertical="center"/>
    </x:xf>
    <x:xf numFmtId="0" fontId="9" fillId="7" borderId="13" xfId="0" applyNumberFormat="1" applyFont="1" applyFill="1" applyBorder="1" applyAlignment="1">
      <x:alignment horizontal="center" vertical="center"/>
    </x:xf>
    <x:xf numFmtId="0" fontId="9" fillId="7" borderId="14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2" xfId="0" applyNumberFormat="1" applyFont="1" applyFill="1" applyBorder="1"/>
    <x:xf numFmtId="0" fontId="9" fillId="8" borderId="13" xfId="0" applyNumberFormat="1" applyFont="1" applyFill="1" applyBorder="1"/>
    <x:xf numFmtId="0" fontId="9" fillId="8" borderId="14" xfId="0" applyNumberFormat="1" applyFont="1" applyFill="1" applyBorder="1"/>
    <x:xf numFmtId="0" fontId="9" fillId="8" borderId="12" xfId="0" applyNumberFormat="1" applyFont="1" applyFill="1" applyBorder="1" applyAlignment="1">
      <x:alignment horizontal="center"/>
    </x:xf>
    <x:xf numFmtId="0" fontId="9" fillId="8" borderId="13" xfId="0" applyNumberFormat="1" applyFont="1" applyFill="1" applyBorder="1" applyAlignment="1">
      <x:alignment horizontal="center"/>
    </x:xf>
    <x:xf numFmtId="0" fontId="9" fillId="8" borderId="14" xfId="0" applyNumberFormat="1" applyFont="1" applyFill="1" applyBorder="1" applyAlignment="1">
      <x:alignment horizontal="center"/>
    </x:xf>
    <x:xf numFmtId="0" fontId="9" fillId="8" borderId="12" xfId="0" applyNumberFormat="1" applyFont="1" applyFill="1" applyBorder="1" applyAlignment="1">
      <x:alignment horizontal="center" vertical="center"/>
    </x:xf>
    <x:xf numFmtId="0" fontId="9" fillId="8" borderId="13" xfId="0" applyNumberFormat="1" applyFont="1" applyFill="1" applyBorder="1" applyAlignment="1">
      <x:alignment horizontal="center" vertical="center"/>
    </x:xf>
    <x:xf numFmtId="0" fontId="9" fillId="8" borderId="14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12" xfId="0" applyNumberFormat="1" applyFont="1" applyFill="1" applyBorder="1"/>
    <x:xf numFmtId="0" fontId="9" fillId="9" borderId="13" xfId="0" applyNumberFormat="1" applyFont="1" applyFill="1" applyBorder="1"/>
    <x:xf numFmtId="0" fontId="9" fillId="9" borderId="14" xfId="0" applyNumberFormat="1" applyFont="1" applyFill="1" applyBorder="1"/>
    <x:xf numFmtId="0" fontId="9" fillId="9" borderId="12" xfId="0" applyNumberFormat="1" applyFont="1" applyFill="1" applyBorder="1" applyAlignment="1">
      <x:alignment horizontal="center"/>
    </x:xf>
    <x:xf numFmtId="0" fontId="9" fillId="9" borderId="13" xfId="0" applyNumberFormat="1" applyFont="1" applyFill="1" applyBorder="1" applyAlignment="1">
      <x:alignment horizontal="center"/>
    </x:xf>
    <x:xf numFmtId="0" fontId="9" fillId="9" borderId="14" xfId="0" applyNumberFormat="1" applyFont="1" applyFill="1" applyBorder="1" applyAlignment="1">
      <x:alignment horizontal="center"/>
    </x:xf>
    <x:xf numFmtId="0" fontId="9" fillId="9" borderId="12" xfId="0" applyNumberFormat="1" applyFont="1" applyFill="1" applyBorder="1" applyAlignment="1">
      <x:alignment horizontal="center" vertical="center"/>
    </x:xf>
    <x:xf numFmtId="0" fontId="9" fillId="9" borderId="13" xfId="0" applyNumberFormat="1" applyFont="1" applyFill="1" applyBorder="1" applyAlignment="1">
      <x:alignment horizontal="center" vertical="center"/>
    </x:xf>
    <x:xf numFmtId="0" fontId="9" fillId="9" borderId="14" xfId="0" applyNumberFormat="1" applyFont="1" applyFill="1" applyBorder="1" applyAlignment="1">
      <x:alignment horizontal="center" vertical="center"/>
    </x:xf>
    <x:xf numFmtId="0" fontId="10" fillId="2" borderId="12" xfId="0" applyNumberFormat="1" applyFont="1" applyFill="1" applyBorder="1" applyAlignment="1">
      <x:alignment horizontal="center" vertical="center"/>
    </x:xf>
    <x:xf numFmtId="0" fontId="10" fillId="2" borderId="13" xfId="0" applyNumberFormat="1" applyFont="1" applyFill="1" applyBorder="1" applyAlignment="1">
      <x:alignment horizontal="center" vertical="center"/>
    </x:xf>
    <x:xf numFmtId="0" fontId="10" fillId="2" borderId="14" xfId="0" applyNumberFormat="1" applyFont="1" applyFill="1" applyBorder="1" applyAlignment="1">
      <x:alignment horizontal="center" vertical="center"/>
    </x:xf>
    <x:xf numFmtId="0" fontId="10" fillId="6" borderId="12" xfId="0" applyNumberFormat="1" applyFont="1" applyFill="1" applyBorder="1" applyAlignment="1">
      <x:alignment horizontal="center" vertical="center"/>
    </x:xf>
    <x:xf numFmtId="0" fontId="10" fillId="6" borderId="13" xfId="0" applyNumberFormat="1" applyFont="1" applyFill="1" applyBorder="1" applyAlignment="1">
      <x:alignment horizontal="center" vertical="center"/>
    </x:xf>
    <x:xf numFmtId="0" fontId="10" fillId="6" borderId="14" xfId="0" applyNumberFormat="1" applyFont="1" applyFill="1" applyBorder="1" applyAlignment="1">
      <x:alignment horizontal="center" vertical="center"/>
    </x:xf>
    <x:xf numFmtId="0" fontId="10" fillId="7" borderId="12" xfId="0" applyNumberFormat="1" applyFont="1" applyFill="1" applyBorder="1" applyAlignment="1">
      <x:alignment horizontal="center" vertical="center"/>
    </x:xf>
    <x:xf numFmtId="0" fontId="10" fillId="7" borderId="13" xfId="0" applyNumberFormat="1" applyFont="1" applyFill="1" applyBorder="1" applyAlignment="1">
      <x:alignment horizontal="center" vertical="center"/>
    </x:xf>
    <x:xf numFmtId="0" fontId="10" fillId="7" borderId="14" xfId="0" applyNumberFormat="1" applyFont="1" applyFill="1" applyBorder="1" applyAlignment="1">
      <x:alignment horizontal="center" vertical="center"/>
    </x:xf>
    <x:xf numFmtId="0" fontId="10" fillId="8" borderId="12" xfId="0" applyNumberFormat="1" applyFont="1" applyFill="1" applyBorder="1" applyAlignment="1">
      <x:alignment horizontal="center" vertical="center"/>
    </x:xf>
    <x:xf numFmtId="0" fontId="10" fillId="8" borderId="13" xfId="0" applyNumberFormat="1" applyFont="1" applyFill="1" applyBorder="1" applyAlignment="1">
      <x:alignment horizontal="center" vertical="center"/>
    </x:xf>
    <x:xf numFmtId="0" fontId="10" fillId="8" borderId="14" xfId="0" applyNumberFormat="1" applyFont="1" applyFill="1" applyBorder="1" applyAlignment="1">
      <x:alignment horizontal="center" vertical="center"/>
    </x:xf>
    <x:xf numFmtId="0" fontId="10" fillId="9" borderId="12" xfId="0" applyNumberFormat="1" applyFont="1" applyFill="1" applyBorder="1" applyAlignment="1">
      <x:alignment horizontal="center" vertical="center"/>
    </x:xf>
    <x:xf numFmtId="0" fontId="10" fillId="9" borderId="13" xfId="0" applyNumberFormat="1" applyFont="1" applyFill="1" applyBorder="1" applyAlignment="1">
      <x:alignment horizontal="center" vertical="center"/>
    </x:xf>
    <x:xf numFmtId="0" fontId="10" fillId="9" borderId="14" xfId="0" applyNumberFormat="1" applyFont="1" applyFill="1" applyBorder="1" applyAlignment="1">
      <x:alignment horizontal="center" vertical="center"/>
    </x:xf>
    <x:xf numFmtId="0" fontId="10" fillId="3" borderId="1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8" fillId="2" borderId="12" xfId="0" applyNumberFormat="1" applyFont="1" applyFill="1" applyBorder="1" applyAlignment="1">
      <x:alignment horizontal="center" vertical="center"/>
    </x:xf>
    <x:xf numFmtId="0" fontId="8" fillId="2" borderId="13" xfId="0" applyNumberFormat="1" applyFont="1" applyFill="1" applyBorder="1" applyAlignment="1">
      <x:alignment horizontal="center" vertical="center"/>
    </x:xf>
    <x:xf numFmtId="0" fontId="8" fillId="2" borderId="14" xfId="0" applyNumberFormat="1" applyFont="1" applyFill="1" applyBorder="1" applyAlignment="1">
      <x:alignment horizontal="center" vertical="center"/>
    </x:xf>
    <x:xf numFmtId="0" fontId="8" fillId="6" borderId="12" xfId="0" applyNumberFormat="1" applyFont="1" applyFill="1" applyBorder="1" applyAlignment="1">
      <x:alignment horizontal="center" vertical="center"/>
    </x:xf>
    <x:xf numFmtId="0" fontId="8" fillId="6" borderId="13" xfId="0" applyNumberFormat="1" applyFont="1" applyFill="1" applyBorder="1" applyAlignment="1">
      <x:alignment horizontal="center" vertical="center"/>
    </x:xf>
    <x:xf numFmtId="0" fontId="8" fillId="6" borderId="14" xfId="0" applyNumberFormat="1" applyFont="1" applyFill="1" applyBorder="1" applyAlignment="1">
      <x:alignment horizontal="center" vertical="center"/>
    </x:xf>
    <x:xf numFmtId="0" fontId="8" fillId="7" borderId="12" xfId="0" applyNumberFormat="1" applyFont="1" applyFill="1" applyBorder="1" applyAlignment="1">
      <x:alignment horizontal="center" vertical="center"/>
    </x:xf>
    <x:xf numFmtId="0" fontId="8" fillId="7" borderId="13" xfId="0" applyNumberFormat="1" applyFont="1" applyFill="1" applyBorder="1" applyAlignment="1">
      <x:alignment horizontal="center" vertical="center"/>
    </x:xf>
    <x:xf numFmtId="0" fontId="8" fillId="7" borderId="14" xfId="0" applyNumberFormat="1" applyFont="1" applyFill="1" applyBorder="1" applyAlignment="1">
      <x:alignment horizontal="center" vertical="center"/>
    </x:xf>
    <x:xf numFmtId="0" fontId="8" fillId="8" borderId="12" xfId="0" applyNumberFormat="1" applyFont="1" applyFill="1" applyBorder="1" applyAlignment="1">
      <x:alignment horizontal="center" vertical="center"/>
    </x:xf>
    <x:xf numFmtId="0" fontId="8" fillId="8" borderId="13" xfId="0" applyNumberFormat="1" applyFont="1" applyFill="1" applyBorder="1" applyAlignment="1">
      <x:alignment horizontal="center" vertical="center"/>
    </x:xf>
    <x:xf numFmtId="0" fontId="8" fillId="8" borderId="14" xfId="0" applyNumberFormat="1" applyFont="1" applyFill="1" applyBorder="1" applyAlignment="1">
      <x:alignment horizontal="center" vertical="center"/>
    </x:xf>
    <x:xf numFmtId="0" fontId="8" fillId="9" borderId="12" xfId="0" applyNumberFormat="1" applyFont="1" applyFill="1" applyBorder="1" applyAlignment="1">
      <x:alignment horizontal="center" vertical="center"/>
    </x:xf>
    <x:xf numFmtId="0" fontId="8" fillId="9" borderId="13" xfId="0" applyNumberFormat="1" applyFont="1" applyFill="1" applyBorder="1" applyAlignment="1">
      <x:alignment horizontal="center" vertical="center"/>
    </x:xf>
    <x:xf numFmtId="0" fontId="8" fillId="9" borderId="14" xfId="0" applyNumberFormat="1" applyFont="1" applyFill="1" applyBorder="1" applyAlignment="1">
      <x:alignment horizontal="center" vertical="center"/>
    </x:xf>
    <x:xf numFmtId="201" fontId="11" fillId="0" borderId="0" xfId="0" applyNumberFormat="1" applyFont="1" applyFill="1" applyBorder="1"/>
    <x:xf numFmtId="202" fontId="11" fillId="0" borderId="0" xfId="0" applyNumberFormat="1" applyFont="1" applyFill="1" applyBorder="1"/>
    <x:xf numFmtId="203" fontId="11" fillId="0" borderId="0" xfId="0" applyNumberFormat="1" applyFont="1" applyFill="1" applyBorder="1"/>
    <x:xf numFmtId="204" fontId="11" fillId="0" borderId="0" xfId="0" applyNumberFormat="1" applyFont="1" applyFill="1" applyBorder="1"/>
    <x:xf numFmtId="205" fontId="11" fillId="0" borderId="0" xfId="0" applyNumberFormat="1" applyFont="1" applyFill="1" applyBorder="1"/>
    <x:xf numFmtId="204" fontId="11" fillId="10" borderId="0" xfId="0" applyNumberFormat="1" applyFont="1" applyFill="1" applyBorder="1"/>
    <x:xf numFmtId="203" fontId="11" fillId="10" borderId="0" xfId="0" applyNumberFormat="1" applyFont="1" applyFill="1" applyBorder="1"/>
    <x:xf numFmtId="202" fontId="12" fillId="0" borderId="0" xfId="0" applyNumberFormat="1" applyFont="1" applyFill="1" applyBorder="1"/>
    <x:xf numFmtId="203" fontId="12" fillId="0" borderId="0" xfId="0" applyNumberFormat="1" applyFont="1" applyFill="1" applyBorder="1"/>
    <x:xf numFmtId="204" fontId="12" fillId="0" borderId="0" xfId="0" applyNumberFormat="1" applyFont="1" applyFill="1" applyBorder="1"/>
    <x:xf numFmtId="204" fontId="13" fillId="0" borderId="0" xfId="0" applyNumberFormat="1" applyFont="1" applyFill="1" applyBorder="1"/>
    <x:xf numFmtId="204" fontId="12" fillId="11" borderId="0" xfId="0" applyNumberFormat="1" applyFont="1" applyFill="1" applyBorder="1"/>
    <x:xf numFmtId="203" fontId="12" fillId="11" borderId="0" xfId="0" applyNumberFormat="1" applyFont="1" applyFill="1" applyBorder="1"/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15" xfId="0" applyNumberFormat="1" applyFont="1" applyFill="1" applyBorder="1"/>
    <x:xf numFmtId="0" fontId="14" fillId="11" borderId="16" xfId="0" applyNumberFormat="1" applyFont="1" applyFill="1" applyBorder="1"/>
    <x:xf numFmtId="0" fontId="3" fillId="11" borderId="3" xfId="0" applyNumberFormat="1" applyFont="1" applyFill="1" applyBorder="1" applyAlignment="1">
      <x:alignment vertical="top"/>
    </x:xf>
    <x:xf numFmtId="0" fontId="3" fillId="11" borderId="6" xfId="0" applyNumberFormat="1" applyFont="1" applyFill="1" applyBorder="1" applyAlignment="1">
      <x:alignment vertical="top"/>
    </x:xf>
    <x:xf numFmtId="0" fontId="3" fillId="11" borderId="9" xfId="0" applyNumberFormat="1" applyFont="1" applyFill="1" applyBorder="1" applyAlignment="1">
      <x:alignment vertical="top"/>
    </x:xf>
    <x:xf numFmtId="0" fontId="15" fillId="11" borderId="3" xfId="0" applyNumberFormat="1" applyFont="1" applyFill="1" applyBorder="1" applyAlignment="1">
      <x:alignment vertical="top"/>
    </x:xf>
    <x:xf numFmtId="0" fontId="15" fillId="11" borderId="6" xfId="0" applyNumberFormat="1" applyFont="1" applyFill="1" applyBorder="1" applyAlignment="1">
      <x:alignment vertical="top"/>
    </x:xf>
    <x:xf numFmtId="0" fontId="15" fillId="11" borderId="9" xfId="0" applyNumberFormat="1" applyFont="1" applyFill="1" applyBorder="1" applyAlignment="1">
      <x:alignment vertical="top"/>
    </x:xf>
    <x:xf numFmtId="202" fontId="3" fillId="0" borderId="3" xfId="0" applyNumberFormat="1" applyFont="1" applyFill="1" applyBorder="1" applyAlignment="1">
      <x:alignment vertical="top"/>
    </x:xf>
    <x:xf numFmtId="202" fontId="3" fillId="0" borderId="6" xfId="0" applyNumberFormat="1" applyFont="1" applyFill="1" applyBorder="1" applyAlignment="1">
      <x:alignment vertical="top"/>
    </x:xf>
    <x:xf numFmtId="206" fontId="3" fillId="0" borderId="6" xfId="0" applyNumberFormat="1" applyFont="1" applyFill="1" applyBorder="1" applyAlignment="1">
      <x:alignment vertical="top"/>
    </x:xf>
    <x:xf numFmtId="206" fontId="3" fillId="0" borderId="9" xfId="0" applyNumberFormat="1" applyFont="1" applyFill="1" applyBorder="1" applyAlignment="1">
      <x:alignment vertical="top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7" fillId="5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/>
    <x:xf numFmtId="201" fontId="18" fillId="0" borderId="0" xfId="0" applyNumberFormat="1" applyFont="1" applyFill="1" applyBorder="1"/>
    <x:xf numFmtId="207" fontId="18" fillId="0" borderId="0" xfId="0" applyNumberFormat="1" applyFont="1" applyFill="1" applyBorder="1"/>
    <x:xf numFmtId="203" fontId="18" fillId="0" borderId="0" xfId="0" applyNumberFormat="1" applyFont="1" applyFill="1" applyBorder="1"/>
    <x:xf numFmtId="200" fontId="18" fillId="0" borderId="0" xfId="0" applyNumberFormat="1" applyFont="1" applyFill="1" applyBorder="1"/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0" fillId="13" borderId="0" xfId="0" applyNumberFormat="1" applyFont="1" applyFill="1" applyBorder="1"/>
    <x:xf numFmtId="0" fontId="19" fillId="13" borderId="0" xfId="0" applyNumberFormat="1" applyFont="1" applyFill="1" applyBorder="1"/>
    <x:xf numFmtId="0" fontId="19" fillId="13" borderId="17" xfId="0" applyNumberFormat="1" applyFont="1" applyFill="1" applyBorder="1"/>
    <x:xf numFmtId="0" fontId="19" fillId="13" borderId="18" xfId="0" applyNumberFormat="1" applyFont="1" applyFill="1" applyBorder="1"/>
    <x:xf numFmtId="0" fontId="19" fillId="13" borderId="19" xfId="0" applyNumberFormat="1" applyFont="1" applyFill="1" applyBorder="1"/>
    <x:xf numFmtId="0" fontId="19" fillId="13" borderId="20" xfId="0" applyNumberFormat="1" applyFont="1" applyFill="1" applyBorder="1"/>
    <x:xf numFmtId="0" fontId="19" fillId="13" borderId="21" xfId="0" applyNumberFormat="1" applyFont="1" applyFill="1" applyBorder="1"/>
    <x:xf numFmtId="0" fontId="19" fillId="13" borderId="22" xfId="0" applyNumberFormat="1" applyFont="1" applyFill="1" applyBorder="1"/>
    <x:xf numFmtId="0" fontId="19" fillId="13" borderId="23" xfId="0" applyNumberFormat="1" applyFont="1" applyFill="1" applyBorder="1"/>
    <x:xf numFmtId="0" fontId="19" fillId="13" borderId="24" xfId="0" applyNumberFormat="1" applyFont="1" applyFill="1" applyBorder="1"/>
    <x:xf numFmtId="0" fontId="19" fillId="13" borderId="17" xfId="0" applyNumberFormat="1" applyFont="1" applyFill="1" applyBorder="1" applyAlignment="1">
      <x:alignment wrapText="1"/>
    </x:xf>
    <x:xf numFmtId="0" fontId="19" fillId="13" borderId="18" xfId="0" applyNumberFormat="1" applyFont="1" applyFill="1" applyBorder="1" applyAlignment="1">
      <x:alignment wrapText="1"/>
    </x:xf>
    <x:xf numFmtId="0" fontId="19" fillId="13" borderId="19" xfId="0" applyNumberFormat="1" applyFont="1" applyFill="1" applyBorder="1" applyAlignment="1">
      <x:alignment wrapText="1"/>
    </x:xf>
    <x:xf numFmtId="0" fontId="19" fillId="13" borderId="20" xfId="0" applyNumberFormat="1" applyFont="1" applyFill="1" applyBorder="1" applyAlignment="1">
      <x:alignment wrapText="1"/>
    </x:xf>
    <x:xf numFmtId="0" fontId="19" fillId="13" borderId="0" xfId="0" applyNumberFormat="1" applyFont="1" applyFill="1" applyBorder="1" applyAlignment="1">
      <x:alignment wrapText="1"/>
    </x:xf>
    <x:xf numFmtId="0" fontId="19" fillId="13" borderId="21" xfId="0" applyNumberFormat="1" applyFont="1" applyFill="1" applyBorder="1" applyAlignment="1">
      <x:alignment wrapText="1"/>
    </x:xf>
    <x:xf numFmtId="0" fontId="19" fillId="13" borderId="22" xfId="0" applyNumberFormat="1" applyFont="1" applyFill="1" applyBorder="1" applyAlignment="1">
      <x:alignment wrapText="1"/>
    </x:xf>
    <x:xf numFmtId="0" fontId="19" fillId="13" borderId="23" xfId="0" applyNumberFormat="1" applyFont="1" applyFill="1" applyBorder="1" applyAlignment="1">
      <x:alignment wrapText="1"/>
    </x:xf>
    <x:xf numFmtId="0" fontId="19" fillId="13" borderId="24" xfId="0" applyNumberFormat="1" applyFont="1" applyFill="1" applyBorder="1" applyAlignment="1">
      <x:alignment wrapText="1"/>
    </x:xf>
    <x:xf numFmtId="0" fontId="19" fillId="13" borderId="17" xfId="0" applyNumberFormat="1" applyFont="1" applyFill="1" applyBorder="1" applyAlignment="1">
      <x:alignment vertical="top" wrapText="1"/>
    </x:xf>
    <x:xf numFmtId="0" fontId="19" fillId="13" borderId="18" xfId="0" applyNumberFormat="1" applyFont="1" applyFill="1" applyBorder="1" applyAlignment="1">
      <x:alignment vertical="top" wrapText="1"/>
    </x:xf>
    <x:xf numFmtId="0" fontId="19" fillId="13" borderId="19" xfId="0" applyNumberFormat="1" applyFont="1" applyFill="1" applyBorder="1" applyAlignment="1">
      <x:alignment vertical="top" wrapText="1"/>
    </x:xf>
    <x:xf numFmtId="0" fontId="19" fillId="13" borderId="20" xfId="0" applyNumberFormat="1" applyFont="1" applyFill="1" applyBorder="1" applyAlignment="1">
      <x:alignment vertical="top" wrapText="1"/>
    </x:xf>
    <x:xf numFmtId="0" fontId="19" fillId="13" borderId="0" xfId="0" applyNumberFormat="1" applyFont="1" applyFill="1" applyBorder="1" applyAlignment="1">
      <x:alignment vertical="top" wrapText="1"/>
    </x:xf>
    <x:xf numFmtId="0" fontId="19" fillId="13" borderId="21" xfId="0" applyNumberFormat="1" applyFont="1" applyFill="1" applyBorder="1" applyAlignment="1">
      <x:alignment vertical="top" wrapText="1"/>
    </x:xf>
    <x:xf numFmtId="0" fontId="19" fillId="13" borderId="22" xfId="0" applyNumberFormat="1" applyFont="1" applyFill="1" applyBorder="1" applyAlignment="1">
      <x:alignment vertical="top" wrapText="1"/>
    </x:xf>
    <x:xf numFmtId="0" fontId="19" fillId="13" borderId="23" xfId="0" applyNumberFormat="1" applyFont="1" applyFill="1" applyBorder="1" applyAlignment="1">
      <x:alignment vertical="top" wrapText="1"/>
    </x:xf>
    <x:xf numFmtId="0" fontId="19" fillId="13" borderId="2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20" fillId="4" borderId="2" xfId="0" applyNumberFormat="1" applyFont="1" applyFill="1" applyBorder="1" applyAlignment="1">
      <x:alignment vertical="top" wrapText="1"/>
    </x:xf>
    <x:xf numFmtId="0" fontId="20" fillId="4" borderId="5" xfId="0" applyNumberFormat="1" applyFont="1" applyFill="1" applyBorder="1" applyAlignment="1">
      <x:alignment vertical="top" wrapText="1"/>
    </x:xf>
    <x:xf numFmtId="0" fontId="20" fillId="4" borderId="8" xfId="0" applyNumberFormat="1" applyFont="1" applyFill="1" applyBorder="1" applyAlignment="1">
      <x:alignment vertical="top" wrapText="1"/>
    </x:xf>
    <x:xf numFmtId="0" fontId="20" fillId="4" borderId="2" xfId="0" applyNumberFormat="1" applyFont="1" applyFill="1" applyBorder="1" applyAlignment="1">
      <x:alignment horizontal="center" vertical="top" wrapText="1"/>
    </x:xf>
    <x:xf numFmtId="0" fontId="20" fillId="4" borderId="5" xfId="0" applyNumberFormat="1" applyFont="1" applyFill="1" applyBorder="1" applyAlignment="1">
      <x:alignment horizontal="center" vertical="top" wrapText="1"/>
    </x:xf>
    <x:xf numFmtId="0" fontId="20" fillId="4" borderId="8" xfId="0" applyNumberFormat="1" applyFont="1" applyFill="1" applyBorder="1" applyAlignment="1">
      <x:alignment horizontal="center" vertical="top" wrapText="1"/>
    </x:xf>
    <x:xf numFmtId="0" fontId="21" fillId="0" borderId="3" xfId="0" applyNumberFormat="1" applyFont="1" applyFill="1" applyBorder="1" applyAlignment="1">
      <x:alignment vertical="top" wrapText="1"/>
    </x:xf>
    <x:xf numFmtId="0" fontId="21" fillId="0" borderId="6" xfId="0" applyNumberFormat="1" applyFont="1" applyFill="1" applyBorder="1" applyAlignment="1">
      <x:alignment vertical="top" wrapText="1"/>
    </x:xf>
    <x:xf numFmtId="0" fontId="2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73036e3784ddb" /><Relationship Type="http://schemas.openxmlformats.org/officeDocument/2006/relationships/theme" Target="/xl/theme/theme1.xml" Id="R494b05c8314145e8" /><Relationship Type="http://schemas.microsoft.com/office/2022/11/relationships/FeaturePropertyBag" Target="/xl/featurePropertyBag/featurePropertyBag.xml" Id="Ra994aefbc7264acf" /><Relationship Type="http://schemas.openxmlformats.org/officeDocument/2006/relationships/sharedStrings" Target="/xl/sharedStrings.xml" Id="Ra971bcf6f45b493d" /><Relationship Type="http://schemas.openxmlformats.org/officeDocument/2006/relationships/worksheet" Target="/xl/worksheets/sheet1.xml" Id="Rd0cb02e10a714f9d" /><Relationship Type="http://schemas.openxmlformats.org/officeDocument/2006/relationships/worksheet" Target="/xl/worksheets/sheet2.xml" Id="Rf199d715898b42f8" /><Relationship Type="http://schemas.openxmlformats.org/officeDocument/2006/relationships/worksheet" Target="/xl/worksheets/sheet3.xml" Id="Rafd80ab1bd9b4fec" /><Relationship Type="http://schemas.openxmlformats.org/officeDocument/2006/relationships/worksheet" Target="/xl/worksheets/sheet4.xml" Id="R8bac0e89ea5a4f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7" hidden="0" customWidth="1"/>
    <x:col min="3" max="3" width="38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0" customHeight="1">
      <x:c r="A1" s="191" t="str">
        <x:v>Full silver long gradual — 1969 holdings replication</x:v>
      </x:c>
      <x:c r="B1" s="191"/>
      <x:c r="C1" s="191"/>
      <x:c r="D1" s="191"/>
      <x:c r="E1" s="191"/>
      <x:c r="F1" s="191"/>
    </x:row>
    <x:row r="3" ht="42" customHeight="1">
      <x:c r="A3" s="193" t="str">
        <x:v>Purpose</x:v>
      </x:c>
      <x:c r="B3" s="194" t="str">
        <x:v>Replicate the 1969 silver strategy path from actual engine-selected daily holdings, with visible formulas for holding P&amp;L, underlying-book returns, and return reconciliation.</x:v>
      </x:c>
    </x:row>
    <x:row r="4" ht="42" customHeight="1">
      <x:c r="A4" s="193" t="str">
        <x:v>Holding interval</x:v>
      </x:c>
      <x:c r="B4" s="194" t="str">
        <x:v>Each row applies the start-date close holdings through the end-date close. Exchange holidays naturally create multi-calendar-day intervals.</x:v>
      </x:c>
    </x:row>
    <x:row r="5" ht="32" customHeight="1">
      <x:c r="A5" s="193" t="str">
        <x:v>Strategy source</x:v>
      </x:c>
      <x:c r="B5" s="194" t="str">
        <x:v>strategies/full silver long gradual (configuration commit e1235a3242ac8a991e7a2681f82c533367d66389)</x:v>
      </x:c>
    </x:row>
    <x:row r="6" ht="24" customHeight="1">
      <x:c r="A6" s="193" t="str">
        <x:v>Engine source</x:v>
      </x:c>
      <x:c r="B6" s="194" t="str">
        <x:v>49b8d5077b2a1acd69337e8604216f23f2f63339</x:v>
      </x:c>
    </x:row>
    <x:row r="7" ht="24" customHeight="1">
      <x:c r="A7" s="193" t="str">
        <x:v>Source URLs</x:v>
      </x:c>
      <x:c r="B7" s="194" t="str">
        <x:v>https://github.com/leviitzhak/keep_and_lease</x:v>
      </x:c>
    </x:row>
    <x:row r="8" ht="21" customHeight="1"/>
    <x:row r="9" ht="21" customHeight="1">
      <x:c r="A9" s="41" t="str">
        <x:v>1969 result summary</x:v>
      </x:c>
      <x:c r="B9" s="41"/>
      <x:c r="C9" s="41"/>
      <x:c r="D9" s="41"/>
      <x:c r="E9" s="41"/>
      <x:c r="F9" s="41"/>
    </x:row>
    <x:row r="10" ht="21" customHeight="1">
      <x:c r="A10" s="193" t="str">
        <x:v>First holding date</x:v>
      </x:c>
      <x:c r="B10" s="196" t="n">
        <x:v>25205</x:v>
      </x:c>
      <x:c r="D10" s="201" t="str">
        <x:v>Interpretation warning</x:v>
      </x:c>
      <x:c r="E10" s="201"/>
      <x:c r="F10" s="201"/>
    </x:row>
    <x:row r="11" ht="24" customHeight="1">
      <x:c r="A11" s="193" t="str">
        <x:v>Final interval end</x:v>
      </x:c>
      <x:c r="B11" s="196" t="n">
        <x:v>25568</x:v>
      </x:c>
      <x:c r="D11" s="221" t="str">
        <x:v>The saved file currently has weight_btc = 100% and silver futures_contract_type = inverse. A literal multi-asset run cannot cover 1969 because BTC history does not exist then, and inverse P&amp;L is not the COMEX silver convention. This workbook therefore uses the silver sleeve only and regular linear futures P&amp;L, while retaining every raw saved value on the Parameters sheet.</x:v>
      </x:c>
      <x:c r="E11" s="222"/>
      <x:c r="F11" s="223"/>
    </x:row>
    <x:row r="12" ht="24" customHeight="1">
      <x:c r="A12" s="193" t="str">
        <x:v>Holding intervals</x:v>
      </x:c>
      <x:c r="B12" s="197" t="n">
        <x:f>'Checks'!B4</x:f>
        <x:v>242</x:v>
      </x:c>
      <x:c r="D12" s="224"/>
      <x:c r="E12" s="225"/>
      <x:c r="F12" s="226"/>
    </x:row>
    <x:row r="13" ht="24" customHeight="1">
      <x:c r="A13" s="193" t="str">
        <x:v>Maximum simultaneous futures</x:v>
      </x:c>
      <x:c r="B13" s="197" t="n">
        <x:v>8</x:v>
      </x:c>
      <x:c r="D13" s="224"/>
      <x:c r="E13" s="225"/>
      <x:c r="F13" s="226"/>
    </x:row>
    <x:row r="14" ht="24" customHeight="1">
      <x:c r="A14" s="193" t="str">
        <x:v>Maximum simultaneous active holdings</x:v>
      </x:c>
      <x:c r="B14" s="197" t="n">
        <x:v>9</x:v>
      </x:c>
      <x:c r="D14" s="224"/>
      <x:c r="E14" s="225"/>
      <x:c r="F14" s="226"/>
    </x:row>
    <x:row r="15" ht="24" customHeight="1">
      <x:c r="A15" s="193" t="str">
        <x:v>Reserved holding groups</x:v>
      </x:c>
      <x:c r="B15" s="197" t="n">
        <x:v>10</x:v>
      </x:c>
      <x:c r="D15" s="227"/>
      <x:c r="E15" s="228"/>
      <x:c r="F15" s="229"/>
    </x:row>
    <x:row r="16" ht="21" customHeight="1">
      <x:c r="A16" s="193" t="str">
        <x:v>Ending NAV</x:v>
      </x:c>
      <x:c r="B16" s="198" t="n">
        <x:f>'Daily Holdings'!K244</x:f>
        <x:v>2.0433694798508797</x:v>
      </x:c>
      <x:c r="D16" s="193" t="str">
        <x:v>Literal saved inverse-contract return</x:v>
      </x:c>
      <x:c r="E16" s="193"/>
      <x:c r="F16" s="230" t="n">
        <x:v>0.9942969637942194</x:v>
      </x:c>
    </x:row>
    <x:row r="17" ht="21" customHeight="1">
      <x:c r="A17" s="193" t="str">
        <x:v>1969 compounded return</x:v>
      </x:c>
      <x:c r="B17" s="199" t="n">
        <x:f>B16-1</x:f>
        <x:v>1.0433694798508797</x:v>
      </x:c>
    </x:row>
    <x:row r="18" ht="21" customHeight="1">
      <x:c r="A18" s="41" t="str">
        <x:v>How to audit the workbook</x:v>
      </x:c>
      <x:c r="B18" s="41"/>
      <x:c r="C18" s="41"/>
      <x:c r="D18" s="41"/>
      <x:c r="E18" s="41"/>
      <x:c r="F18" s="41"/>
    </x:row>
    <x:row r="19" ht="34" customHeight="1">
      <x:c r="A19" s="252" t="str">
        <x:v>1</x:v>
      </x:c>
      <x:c r="B19" s="255" t="str">
        <x:v>Holding contribution</x:v>
      </x:c>
      <x:c r="C19" s="241" t="str">
        <x:v>Each holding's return contribution equals signed position × component return. The physical-backed holding also deducts the annual expense pro rata.</x:v>
      </x:c>
      <x:c r="D19" s="241"/>
      <x:c r="E19" s="241"/>
      <x:c r="F19" s="38"/>
    </x:row>
    <x:row r="20" ht="34" customHeight="1">
      <x:c r="A20" s="253" t="str">
        <x:v>2</x:v>
      </x:c>
      <x:c r="B20" s="256" t="str">
        <x:v>Total daily return</x:v>
      </x:c>
      <x:c r="C20" s="243" t="str">
        <x:v>Calculated holdings return sums all ten holding-slot contributions and reconciles to the engine source return.</x:v>
      </x:c>
      <x:c r="D20" s="243"/>
      <x:c r="E20" s="243"/>
      <x:c r="F20" s="39"/>
    </x:row>
    <x:row r="21" ht="34" customHeight="1">
      <x:c r="A21" s="253" t="str">
        <x:v>3</x:v>
      </x:c>
      <x:c r="B21" s="256" t="str">
        <x:v>Books in underlying</x:v>
      </x:c>
      <x:c r="C21" s="243" t="str">
        <x:v>Lease and keep USD book values are divided by the silver price index; their changes are measured against prior total book value in silver units.</x:v>
      </x:c>
      <x:c r="D21" s="243"/>
      <x:c r="E21" s="243"/>
      <x:c r="F21" s="39"/>
    </x:row>
    <x:row r="22" ht="34" customHeight="1">
      <x:c r="A22" s="253" t="str">
        <x:v>4</x:v>
      </x:c>
      <x:c r="B22" s="256" t="str">
        <x:v>NAV reconstruction</x:v>
      </x:c>
      <x:c r="C22" s="243" t="str">
        <x:v>Reconstructed return = (1 + silver price change) × (1 + combined book return in silver) − 1.</x:v>
      </x:c>
      <x:c r="D22" s="243"/>
      <x:c r="E22" s="243"/>
      <x:c r="F22" s="39"/>
    </x:row>
    <x:row r="23" ht="34" customHeight="1">
      <x:c r="A23" s="254" t="str">
        <x:v>5</x:v>
      </x:c>
      <x:c r="B23" s="257" t="str">
        <x:v>Checks</x:v>
      </x:c>
      <x:c r="C23" s="245" t="str">
        <x:v>All principal return identities, NAV, row count, slot count, and missing-data conditions are tested on the Checks sheet.</x:v>
      </x:c>
      <x:c r="D23" s="245"/>
      <x:c r="E23" s="245"/>
      <x:c r="F23" s="40"/>
    </x:row>
    <x:row r="24" ht="21" customHeight="1"/>
    <x:row r="25" ht="21" customHeight="1">
      <x:c r="A25" s="178" t="str">
        <x:v>Overall model status</x:v>
      </x:c>
      <x:c r="B25" s="179" t="str">
        <x:f>'Checks'!B14</x:f>
        <x:v>OK</x:v>
      </x:c>
    </x:row>
  </x:sheetData>
  <x:mergeCells>
    <x:mergeCell ref="A1:F1"/>
    <x:mergeCell ref="B3:F3"/>
    <x:mergeCell ref="B4:F4"/>
    <x:mergeCell ref="B5:F5"/>
    <x:mergeCell ref="B6:F6"/>
    <x:mergeCell ref="B7:F7"/>
    <x:mergeCell ref="A9:F9"/>
    <x:mergeCell ref="D10:F10"/>
    <x:mergeCell ref="D11:F15"/>
    <x:mergeCell ref="D16:E16"/>
    <x:mergeCell ref="A18:F18"/>
    <x:mergeCell ref="C19:F19"/>
    <x:mergeCell ref="C20:F20"/>
    <x:mergeCell ref="C21:F21"/>
    <x:mergeCell ref="C22:F22"/>
    <x:mergeCell ref="C23:F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4" hidden="0" customWidth="1"/>
    <x:col min="3" max="3" width="21" hidden="0" customWidth="1"/>
    <x:col min="4" max="4" width="21" hidden="0" customWidth="1"/>
    <x:col min="5" max="5" width="65" hidden="0" customWidth="1"/>
  </x:cols>
  <x:sheetData>
    <x:row r="1" ht="28" customHeight="1">
      <x:c r="A1" s="3" t="str">
        <x:v>Full silver long gradual — parameters and interpretation</x:v>
      </x:c>
      <x:c r="B1" s="3"/>
      <x:c r="C1" s="3"/>
      <x:c r="D1" s="3"/>
      <x:c r="E1" s="3"/>
    </x:row>
    <x:row r="3">
      <x:c r="A3" s="7" t="str">
        <x:v>Model assumption</x:v>
      </x:c>
      <x:c r="B3" s="7" t="str">
        <x:v>Saved value</x:v>
      </x:c>
      <x:c r="C3" s="7" t="str">
        <x:v>Effective value</x:v>
      </x:c>
      <x:c r="D3" s="7" t="str">
        <x:v>Used by formulas</x:v>
      </x:c>
      <x:c r="E3" s="7" t="str">
        <x:v>Interpretation</x:v>
      </x:c>
    </x:row>
    <x:row r="4">
      <x:c r="A4" s="21" t="str">
        <x:v>Silver portfolio weight</x:v>
      </x:c>
      <x:c r="B4" s="31" t="n">
        <x:v>1</x:v>
      </x:c>
      <x:c r="C4" s="33" t="n">
        <x:v>1</x:v>
      </x:c>
      <x:c r="D4" s="22" t="str">
        <x:v>Scope</x:v>
      </x:c>
      <x:c r="E4" s="38" t="str">
        <x:v>The requested workbook models only the silver sleeve.</x:v>
      </x:c>
    </x:row>
    <x:row r="5">
      <x:c r="A5" s="24" t="str">
        <x:v>BTC portfolio weight</x:v>
      </x:c>
      <x:c r="B5" s="32" t="n">
        <x:v>1</x:v>
      </x:c>
      <x:c r="C5" s="34" t="n">
        <x:v>0</x:v>
      </x:c>
      <x:c r="D5" s="25" t="str">
        <x:v>Scope</x:v>
      </x:c>
      <x:c r="E5" s="39" t="str">
        <x:v>Saved as 100%, but excluded because BTC has no 1969 history.</x:v>
      </x:c>
    </x:row>
    <x:row r="6">
      <x:c r="A6" s="24" t="str">
        <x:v>Annual direct-holding expense</x:v>
      </x:c>
      <x:c r="B6" s="32" t="n">
        <x:v>0.0025</x:v>
      </x:c>
      <x:c r="C6" s="34" t="n">
        <x:v>0.0025</x:v>
      </x:c>
      <x:c r="D6" s="25" t="str">
        <x:v>Daily Holdings</x:v>
      </x:c>
      <x:c r="E6" s="39" t="str">
        <x:v>Applied pro rata by elapsed calendar days.</x:v>
      </x:c>
    </x:row>
    <x:row r="7">
      <x:c r="A7" s="24" t="str">
        <x:v>Silver futures contract type</x:v>
      </x:c>
      <x:c r="B7" s="25" t="str">
        <x:v>inverse</x:v>
      </x:c>
      <x:c r="C7" s="35" t="str">
        <x:v>regular</x:v>
      </x:c>
      <x:c r="D7" s="25" t="str">
        <x:v>Daily Holdings</x:v>
      </x:c>
      <x:c r="E7" s="39" t="str">
        <x:v>COMEX silver futures use linear price P&amp;L; the raw saved inverse label is retained below.</x:v>
      </x:c>
    </x:row>
    <x:row r="8">
      <x:c r="A8" s="24" t="str">
        <x:v>Short book enabled</x:v>
      </x:c>
      <x:c r="B8" s="27" t="b">
        <x:v>0</x:v>
      </x:c>
      <x:c r="C8" s="36" t="b">
        <x:v>0</x:v>
      </x:c>
      <x:c r="D8" s="25" t="str">
        <x:v>Holdings</x:v>
      </x:c>
      <x:c r="E8" s="39" t="str">
        <x:v>No short future or keep-book position is held.</x:v>
      </x:c>
    </x:row>
    <x:row r="9">
      <x:c r="A9" s="24" t="str">
        <x:v>Long futures entry mode</x:v>
      </x:c>
      <x:c r="B9" s="25" t="str">
        <x:v>gradual</x:v>
      </x:c>
      <x:c r="C9" s="35" t="str">
        <x:v>gradual</x:v>
      </x:c>
      <x:c r="D9" s="25" t="str">
        <x:v>Engine</x:v>
      </x:c>
      <x:c r="E9" s="39" t="str">
        <x:v>Allocation scales between the entry and full lease-rate thresholds.</x:v>
      </x:c>
    </x:row>
    <x:row r="10">
      <x:c r="A10" s="24" t="str">
        <x:v>Positive entry lease rate</x:v>
      </x:c>
      <x:c r="B10" s="32" t="n">
        <x:v>0</x:v>
      </x:c>
      <x:c r="C10" s="34" t="n">
        <x:v>0</x:v>
      </x:c>
      <x:c r="D10" s="25" t="str">
        <x:v>Engine</x:v>
      </x:c>
      <x:c r="E10" s="39" t="str">
        <x:v>Annual rate.</x:v>
      </x:c>
    </x:row>
    <x:row r="11">
      <x:c r="A11" s="24" t="str">
        <x:v>Positive full lease rate</x:v>
      </x:c>
      <x:c r="B11" s="32" t="n">
        <x:v>0.15</x:v>
      </x:c>
      <x:c r="C11" s="34" t="n">
        <x:v>0.15</x:v>
      </x:c>
      <x:c r="D11" s="25" t="str">
        <x:v>Engine</x:v>
      </x:c>
      <x:c r="E11" s="39" t="str">
        <x:v>Annual rate.</x:v>
      </x:c>
    </x:row>
    <x:row r="12">
      <x:c r="A12" s="24" t="str">
        <x:v>Maximum futures + Treasury fraction</x:v>
      </x:c>
      <x:c r="B12" s="32" t="n">
        <x:v>1</x:v>
      </x:c>
      <x:c r="C12" s="34" t="n">
        <x:v>1</x:v>
      </x:c>
      <x:c r="D12" s="25" t="str">
        <x:v>Engine</x:v>
      </x:c>
      <x:c r="E12" s="39" t="str">
        <x:v>The balance is the physical-backed/direct holding.</x:v>
      </x:c>
    </x:row>
    <x:row r="13">
      <x:c r="A13" s="24" t="str">
        <x:v>Minimum days to maturity</x:v>
      </x:c>
      <x:c r="B13" s="25" t="n">
        <x:v>10</x:v>
      </x:c>
      <x:c r="C13" s="35" t="n">
        <x:v>10</x:v>
      </x:c>
      <x:c r="D13" s="25" t="str">
        <x:v>Engine</x:v>
      </x:c>
      <x:c r="E13" s="39" t="str">
        <x:v>Forced roll boundary.</x:v>
      </x:c>
    </x:row>
    <x:row r="14">
      <x:c r="A14" s="24" t="str">
        <x:v>Reactivity</x:v>
      </x:c>
      <x:c r="B14" s="25" t="str">
        <x:v>same_day</x:v>
      </x:c>
      <x:c r="C14" s="35" t="str">
        <x:v>same_day</x:v>
      </x:c>
      <x:c r="D14" s="25" t="str">
        <x:v>Engine</x:v>
      </x:c>
      <x:c r="E14" s="39" t="str">
        <x:v>Close-derived signal is applied at the same close for the next holding interval.</x:v>
      </x:c>
    </x:row>
    <x:row r="15">
      <x:c r="A15" s="28" t="str">
        <x:v>Long allocation half-life (days)</x:v>
      </x:c>
      <x:c r="B15" s="29" t="n">
        <x:v>0</x:v>
      </x:c>
      <x:c r="C15" s="37" t="n">
        <x:v>0</x:v>
      </x:c>
      <x:c r="D15" s="29" t="str">
        <x:v>Engine</x:v>
      </x:c>
      <x:c r="E15" s="40" t="str">
        <x:v>Zero means no allocation smoothing.</x:v>
      </x:c>
    </x:row>
    <x:row r="17">
      <x:c r="A17" s="41" t="str">
        <x:v>Raw saved configuration (audit trail)</x:v>
      </x:c>
      <x:c r="B17" s="41"/>
      <x:c r="C17" s="41"/>
      <x:c r="D17" s="41"/>
      <x:c r="E17" s="41"/>
    </x:row>
    <x:row r="18">
      <x:c r="A18" s="44" t="str">
        <x:v>Scope</x:v>
      </x:c>
      <x:c r="B18" s="44" t="str">
        <x:v>Parameter</x:v>
      </x:c>
      <x:c r="C18" s="44" t="str">
        <x:v>Saved value</x:v>
      </x:c>
      <x:c r="D18" s="44" t="str">
        <x:v>Effective value</x:v>
      </x:c>
      <x:c r="E18" s="44" t="str">
        <x:v>Note</x:v>
      </x:c>
    </x:row>
    <x:row r="19">
      <x:c r="A19" s="70" t="str">
        <x:v>Global</x:v>
      </x:c>
      <x:c r="B19" s="56" t="str">
        <x:v>weight_silver</x:v>
      </x:c>
      <x:c r="C19" s="56" t="str">
        <x:v>100</x:v>
      </x:c>
      <x:c r="D19" s="64" t="str">
        <x:v>100</x:v>
      </x:c>
      <x:c r="E19" s="67" t="str"/>
    </x:row>
    <x:row r="20">
      <x:c r="A20" s="71" t="str">
        <x:v>Global</x:v>
      </x:c>
      <x:c r="B20" s="59" t="str">
        <x:v>weight_gold</x:v>
      </x:c>
      <x:c r="C20" s="59" t="str">
        <x:v>0</x:v>
      </x:c>
      <x:c r="D20" s="65" t="str">
        <x:v>0</x:v>
      </x:c>
      <x:c r="E20" s="68" t="str"/>
    </x:row>
    <x:row r="21">
      <x:c r="A21" s="71" t="str">
        <x:v>Global</x:v>
      </x:c>
      <x:c r="B21" s="59" t="str">
        <x:v>weight_sp500</x:v>
      </x:c>
      <x:c r="C21" s="59" t="str">
        <x:v>0</x:v>
      </x:c>
      <x:c r="D21" s="65" t="str">
        <x:v>0</x:v>
      </x:c>
      <x:c r="E21" s="68" t="str"/>
    </x:row>
    <x:row r="22">
      <x:c r="A22" s="71" t="str">
        <x:v>Global</x:v>
      </x:c>
      <x:c r="B22" s="59" t="str">
        <x:v>weight_btc</x:v>
      </x:c>
      <x:c r="C22" s="59" t="str">
        <x:v>100</x:v>
      </x:c>
      <x:c r="D22" s="65" t="str">
        <x:v>0</x:v>
      </x:c>
      <x:c r="E22" s="68" t="str">
        <x:v>Effective value adjusted for the requested 1969 silver workbook.</x:v>
      </x:c>
    </x:row>
    <x:row r="23">
      <x:c r="A23" s="71" t="str">
        <x:v>Global</x:v>
      </x:c>
      <x:c r="B23" s="59" t="str">
        <x:v>weight_treasury</x:v>
      </x:c>
      <x:c r="C23" s="59" t="str">
        <x:v>0</x:v>
      </x:c>
      <x:c r="D23" s="65" t="str">
        <x:v>0</x:v>
      </x:c>
      <x:c r="E23" s="68" t="str"/>
    </x:row>
    <x:row r="24">
      <x:c r="A24" s="71" t="str">
        <x:v>Global</x:v>
      </x:c>
      <x:c r="B24" s="59" t="str">
        <x:v>portfolio_rebalancing</x:v>
      </x:c>
      <x:c r="C24" s="59" t="str">
        <x:v>daily</x:v>
      </x:c>
      <x:c r="D24" s="65" t="str">
        <x:v>daily</x:v>
      </x:c>
      <x:c r="E24" s="68" t="str"/>
    </x:row>
    <x:row r="25">
      <x:c r="A25" s="71" t="str">
        <x:v>Global</x:v>
      </x:c>
      <x:c r="B25" s="59" t="str">
        <x:v>reactivity</x:v>
      </x:c>
      <x:c r="C25" s="59" t="str">
        <x:v>same_day</x:v>
      </x:c>
      <x:c r="D25" s="65" t="str">
        <x:v>same_day</x:v>
      </x:c>
      <x:c r="E25" s="68" t="str"/>
    </x:row>
    <x:row r="26">
      <x:c r="A26" s="71" t="str">
        <x:v>Global</x:v>
      </x:c>
      <x:c r="B26" s="59" t="str">
        <x:v>min_days</x:v>
      </x:c>
      <x:c r="C26" s="59" t="str">
        <x:v>10</x:v>
      </x:c>
      <x:c r="D26" s="65" t="str">
        <x:v>10</x:v>
      </x:c>
      <x:c r="E26" s="68" t="str"/>
    </x:row>
    <x:row r="27">
      <x:c r="A27" s="71" t="str">
        <x:v>Global</x:v>
      </x:c>
      <x:c r="B27" s="59" t="str">
        <x:v>roll_only_if_better</x:v>
      </x:c>
      <x:c r="C27" s="59" t="str">
        <x:v>true</x:v>
      </x:c>
      <x:c r="D27" s="65" t="str">
        <x:v>true</x:v>
      </x:c>
      <x:c r="E27" s="68" t="str"/>
    </x:row>
    <x:row r="28">
      <x:c r="A28" s="71" t="str">
        <x:v>Global</x:v>
      </x:c>
      <x:c r="B28" s="59" t="str">
        <x:v>force_roll_at_min_days</x:v>
      </x:c>
      <x:c r="C28" s="59" t="str">
        <x:v>true</x:v>
      </x:c>
      <x:c r="D28" s="65" t="str">
        <x:v>true</x:v>
      </x:c>
      <x:c r="E28" s="68" t="str"/>
    </x:row>
    <x:row r="29">
      <x:c r="A29" s="71" t="str">
        <x:v>Global</x:v>
      </x:c>
      <x:c r="B29" s="59" t="str">
        <x:v>long_allocation_half_life_days</x:v>
      </x:c>
      <x:c r="C29" s="59" t="str">
        <x:v>0</x:v>
      </x:c>
      <x:c r="D29" s="65" t="str">
        <x:v>0</x:v>
      </x:c>
      <x:c r="E29" s="68" t="str"/>
    </x:row>
    <x:row r="30">
      <x:c r="A30" s="71" t="str">
        <x:v>Global</x:v>
      </x:c>
      <x:c r="B30" s="59" t="str">
        <x:v>short_allocation_half_life_days</x:v>
      </x:c>
      <x:c r="C30" s="59" t="str">
        <x:v>0</x:v>
      </x:c>
      <x:c r="D30" s="65" t="str">
        <x:v>0</x:v>
      </x:c>
      <x:c r="E30" s="68" t="str"/>
    </x:row>
    <x:row r="31">
      <x:c r="A31" s="71" t="str">
        <x:v>Global</x:v>
      </x:c>
      <x:c r="B31" s="59" t="str">
        <x:v>slv_expense</x:v>
      </x:c>
      <x:c r="C31" s="59" t="str">
        <x:v>0.25</x:v>
      </x:c>
      <x:c r="D31" s="65" t="str">
        <x:v>0.25</x:v>
      </x:c>
      <x:c r="E31" s="68" t="str"/>
    </x:row>
    <x:row r="32">
      <x:c r="A32" s="71" t="str">
        <x:v>Global</x:v>
      </x:c>
      <x:c r="B32" s="59" t="str">
        <x:v>futures_contract_type</x:v>
      </x:c>
      <x:c r="C32" s="59" t="str">
        <x:v>inverse</x:v>
      </x:c>
      <x:c r="D32" s="65" t="str">
        <x:v>regular</x:v>
      </x:c>
      <x:c r="E32" s="68" t="str">
        <x:v>Effective value adjusted for the requested 1969 silver workbook.</x:v>
      </x:c>
    </x:row>
    <x:row r="33">
      <x:c r="A33" s="71" t="str">
        <x:v>Global</x:v>
      </x:c>
      <x:c r="B33" s="59" t="str">
        <x:v>inverse_payoff_conversion_fee</x:v>
      </x:c>
      <x:c r="C33" s="59" t="str">
        <x:v>0</x:v>
      </x:c>
      <x:c r="D33" s="65" t="str">
        <x:v>0</x:v>
      </x:c>
      <x:c r="E33" s="68" t="str"/>
    </x:row>
    <x:row r="34">
      <x:c r="A34" s="71" t="str">
        <x:v>Global</x:v>
      </x:c>
      <x:c r="B34" s="59" t="str">
        <x:v>inverse_min_conversion_btc</x:v>
      </x:c>
      <x:c r="C34" s="59" t="str">
        <x:v>0</x:v>
      </x:c>
      <x:c r="D34" s="65" t="str">
        <x:v>0</x:v>
      </x:c>
      <x:c r="E34" s="68" t="str"/>
    </x:row>
    <x:row r="35">
      <x:c r="A35" s="71" t="str">
        <x:v>Global</x:v>
      </x:c>
      <x:c r="B35" s="59" t="str">
        <x:v>enable_cash_long_futures_leg</x:v>
      </x:c>
      <x:c r="C35" s="59" t="str">
        <x:v>true</x:v>
      </x:c>
      <x:c r="D35" s="65" t="str">
        <x:v>true</x:v>
      </x:c>
      <x:c r="E35" s="68" t="str"/>
    </x:row>
    <x:row r="36">
      <x:c r="A36" s="71" t="str">
        <x:v>Global</x:v>
      </x:c>
      <x:c r="B36" s="59" t="str">
        <x:v>long_futures_entry_mode</x:v>
      </x:c>
      <x:c r="C36" s="59" t="str">
        <x:v>gradual</x:v>
      </x:c>
      <x:c r="D36" s="65" t="str">
        <x:v>gradual</x:v>
      </x:c>
      <x:c r="E36" s="68" t="str"/>
    </x:row>
    <x:row r="37">
      <x:c r="A37" s="71" t="str">
        <x:v>Global</x:v>
      </x:c>
      <x:c r="B37" s="59" t="str">
        <x:v>long_contract_selection</x:v>
      </x:c>
      <x:c r="C37" s="59" t="str">
        <x:v>weighted_lease_rate</x:v>
      </x:c>
      <x:c r="D37" s="65" t="str">
        <x:v>weighted_lease_rate</x:v>
      </x:c>
      <x:c r="E37" s="68" t="str"/>
    </x:row>
    <x:row r="38">
      <x:c r="A38" s="71" t="str">
        <x:v>Global</x:v>
      </x:c>
      <x:c r="B38" s="59" t="str">
        <x:v>long_line_maturity_1</x:v>
      </x:c>
      <x:c r="C38" s="59" t="str">
        <x:v>30</x:v>
      </x:c>
      <x:c r="D38" s="65" t="str">
        <x:v>30</x:v>
      </x:c>
      <x:c r="E38" s="68" t="str"/>
    </x:row>
    <x:row r="39">
      <x:c r="A39" s="71" t="str">
        <x:v>Global</x:v>
      </x:c>
      <x:c r="B39" s="59" t="str">
        <x:v>long_line_rate_1</x:v>
      </x:c>
      <x:c r="C39" s="59" t="str">
        <x:v>1</x:v>
      </x:c>
      <x:c r="D39" s="65" t="str">
        <x:v>1</x:v>
      </x:c>
      <x:c r="E39" s="68" t="str"/>
    </x:row>
    <x:row r="40">
      <x:c r="A40" s="71" t="str">
        <x:v>Global</x:v>
      </x:c>
      <x:c r="B40" s="59" t="str">
        <x:v>long_line_maturity_2</x:v>
      </x:c>
      <x:c r="C40" s="59" t="str">
        <x:v>365</x:v>
      </x:c>
      <x:c r="D40" s="65" t="str">
        <x:v>365</x:v>
      </x:c>
      <x:c r="E40" s="68" t="str"/>
    </x:row>
    <x:row r="41">
      <x:c r="A41" s="71" t="str">
        <x:v>Global</x:v>
      </x:c>
      <x:c r="B41" s="59" t="str">
        <x:v>long_line_rate_2</x:v>
      </x:c>
      <x:c r="C41" s="59" t="str">
        <x:v>2</x:v>
      </x:c>
      <x:c r="D41" s="65" t="str">
        <x:v>2</x:v>
      </x:c>
      <x:c r="E41" s="68" t="str"/>
    </x:row>
    <x:row r="42">
      <x:c r="A42" s="71" t="str">
        <x:v>Global</x:v>
      </x:c>
      <x:c r="B42" s="59" t="str">
        <x:v>long_relative_strength</x:v>
      </x:c>
      <x:c r="C42" s="59" t="str">
        <x:v>1</x:v>
      </x:c>
      <x:c r="D42" s="65" t="str">
        <x:v>1</x:v>
      </x:c>
      <x:c r="E42" s="68" t="str"/>
    </x:row>
    <x:row r="43">
      <x:c r="A43" s="71" t="str">
        <x:v>Global</x:v>
      </x:c>
      <x:c r="B43" s="59" t="str">
        <x:v>long_pure_maturity_strength</x:v>
      </x:c>
      <x:c r="C43" s="59" t="str">
        <x:v>0</x:v>
      </x:c>
      <x:c r="D43" s="65" t="str">
        <x:v>0</x:v>
      </x:c>
      <x:c r="E43" s="68" t="str"/>
    </x:row>
    <x:row r="44">
      <x:c r="A44" s="71" t="str">
        <x:v>Global</x:v>
      </x:c>
      <x:c r="B44" s="59" t="str">
        <x:v>long_pure_maturity_scale_days</x:v>
      </x:c>
      <x:c r="C44" s="59" t="str">
        <x:v>365</x:v>
      </x:c>
      <x:c r="D44" s="65" t="str">
        <x:v>365</x:v>
      </x:c>
      <x:c r="E44" s="68" t="str"/>
    </x:row>
    <x:row r="45">
      <x:c r="A45" s="71" t="str">
        <x:v>Global</x:v>
      </x:c>
      <x:c r="B45" s="59" t="str">
        <x:v>long_pure_maturity_clip</x:v>
      </x:c>
      <x:c r="C45" s="59" t="str">
        <x:v>3</x:v>
      </x:c>
      <x:c r="D45" s="65" t="str">
        <x:v>3</x:v>
      </x:c>
      <x:c r="E45" s="68" t="str"/>
    </x:row>
    <x:row r="46">
      <x:c r="A46" s="71" t="str">
        <x:v>Global</x:v>
      </x:c>
      <x:c r="B46" s="59" t="str">
        <x:v>long_score_rate_scale</x:v>
      </x:c>
      <x:c r="C46" s="59" t="str">
        <x:v>1</x:v>
      </x:c>
      <x:c r="D46" s="65" t="str">
        <x:v>1</x:v>
      </x:c>
      <x:c r="E46" s="68" t="str"/>
    </x:row>
    <x:row r="47">
      <x:c r="A47" s="71" t="str">
        <x:v>Global</x:v>
      </x:c>
      <x:c r="B47" s="59" t="str">
        <x:v>long_score_adjustment_clip</x:v>
      </x:c>
      <x:c r="C47" s="59" t="str">
        <x:v>3</x:v>
      </x:c>
      <x:c r="D47" s="65" t="str">
        <x:v>3</x:v>
      </x:c>
      <x:c r="E47" s="68" t="str"/>
    </x:row>
    <x:row r="48">
      <x:c r="A48" s="71" t="str">
        <x:v>Global</x:v>
      </x:c>
      <x:c r="B48" s="59" t="str">
        <x:v>positive_entry_rate</x:v>
      </x:c>
      <x:c r="C48" s="59" t="str">
        <x:v>0</x:v>
      </x:c>
      <x:c r="D48" s="65" t="str">
        <x:v>0</x:v>
      </x:c>
      <x:c r="E48" s="68" t="str"/>
    </x:row>
    <x:row r="49">
      <x:c r="A49" s="71" t="str">
        <x:v>Global</x:v>
      </x:c>
      <x:c r="B49" s="59" t="str">
        <x:v>positive_full_rate</x:v>
      </x:c>
      <x:c r="C49" s="59" t="str">
        <x:v>15</x:v>
      </x:c>
      <x:c r="D49" s="65" t="str">
        <x:v>15</x:v>
      </x:c>
      <x:c r="E49" s="68" t="str"/>
    </x:row>
    <x:row r="50">
      <x:c r="A50" s="71" t="str">
        <x:v>Global</x:v>
      </x:c>
      <x:c r="B50" s="59" t="str">
        <x:v>max_futures_treasury_fraction</x:v>
      </x:c>
      <x:c r="C50" s="59" t="str">
        <x:v>100</x:v>
      </x:c>
      <x:c r="D50" s="65" t="str">
        <x:v>100</x:v>
      </x:c>
      <x:c r="E50" s="68" t="str"/>
    </x:row>
    <x:row r="51">
      <x:c r="A51" s="71" t="str">
        <x:v>Global</x:v>
      </x:c>
      <x:c r="B51" s="59" t="str">
        <x:v>enable_short_book</x:v>
      </x:c>
      <x:c r="C51" s="59" t="str">
        <x:v>false</x:v>
      </x:c>
      <x:c r="D51" s="65" t="str">
        <x:v>false</x:v>
      </x:c>
      <x:c r="E51" s="68" t="str"/>
    </x:row>
    <x:row r="52">
      <x:c r="A52" s="71" t="str">
        <x:v>Global</x:v>
      </x:c>
      <x:c r="B52" s="59" t="str">
        <x:v>short_futures_entry_mode</x:v>
      </x:c>
      <x:c r="C52" s="59" t="str">
        <x:v>fixed</x:v>
      </x:c>
      <x:c r="D52" s="65" t="str">
        <x:v>fixed</x:v>
      </x:c>
      <x:c r="E52" s="68" t="str"/>
    </x:row>
    <x:row r="53">
      <x:c r="A53" s="71" t="str">
        <x:v>Global</x:v>
      </x:c>
      <x:c r="B53" s="59" t="str">
        <x:v>short_contract_selection</x:v>
      </x:c>
      <x:c r="C53" s="59" t="str">
        <x:v>weighted_lease_rate</x:v>
      </x:c>
      <x:c r="D53" s="65" t="str">
        <x:v>weighted_lease_rate</x:v>
      </x:c>
      <x:c r="E53" s="68" t="str"/>
    </x:row>
    <x:row r="54">
      <x:c r="A54" s="71" t="str">
        <x:v>Global</x:v>
      </x:c>
      <x:c r="B54" s="59" t="str">
        <x:v>short_line_maturity_1</x:v>
      </x:c>
      <x:c r="C54" s="59" t="str">
        <x:v>30</x:v>
      </x:c>
      <x:c r="D54" s="65" t="str">
        <x:v>30</x:v>
      </x:c>
      <x:c r="E54" s="68" t="str"/>
    </x:row>
    <x:row r="55">
      <x:c r="A55" s="71" t="str">
        <x:v>Global</x:v>
      </x:c>
      <x:c r="B55" s="59" t="str">
        <x:v>short_line_rate_1</x:v>
      </x:c>
      <x:c r="C55" s="59" t="str">
        <x:v>0.033</x:v>
      </x:c>
      <x:c r="D55" s="65" t="str">
        <x:v>0.033</x:v>
      </x:c>
      <x:c r="E55" s="68" t="str"/>
    </x:row>
    <x:row r="56">
      <x:c r="A56" s="71" t="str">
        <x:v>Global</x:v>
      </x:c>
      <x:c r="B56" s="59" t="str">
        <x:v>short_line_maturity_2</x:v>
      </x:c>
      <x:c r="C56" s="59" t="str">
        <x:v>365</x:v>
      </x:c>
      <x:c r="D56" s="65" t="str">
        <x:v>365</x:v>
      </x:c>
      <x:c r="E56" s="68" t="str"/>
    </x:row>
    <x:row r="57">
      <x:c r="A57" s="71" t="str">
        <x:v>Global</x:v>
      </x:c>
      <x:c r="B57" s="59" t="str">
        <x:v>short_line_rate_2</x:v>
      </x:c>
      <x:c r="C57" s="59" t="str">
        <x:v>0.4</x:v>
      </x:c>
      <x:c r="D57" s="65" t="str">
        <x:v>0.4</x:v>
      </x:c>
      <x:c r="E57" s="68" t="str"/>
    </x:row>
    <x:row r="58">
      <x:c r="A58" s="71" t="str">
        <x:v>Global</x:v>
      </x:c>
      <x:c r="B58" s="59" t="str">
        <x:v>short_relative_strength</x:v>
      </x:c>
      <x:c r="C58" s="59" t="str">
        <x:v>1</x:v>
      </x:c>
      <x:c r="D58" s="65" t="str">
        <x:v>1</x:v>
      </x:c>
      <x:c r="E58" s="68" t="str"/>
    </x:row>
    <x:row r="59">
      <x:c r="A59" s="71" t="str">
        <x:v>Global</x:v>
      </x:c>
      <x:c r="B59" s="59" t="str">
        <x:v>short_pure_maturity_strength</x:v>
      </x:c>
      <x:c r="C59" s="59" t="str">
        <x:v>0</x:v>
      </x:c>
      <x:c r="D59" s="65" t="str">
        <x:v>0</x:v>
      </x:c>
      <x:c r="E59" s="68" t="str"/>
    </x:row>
    <x:row r="60">
      <x:c r="A60" s="71" t="str">
        <x:v>Global</x:v>
      </x:c>
      <x:c r="B60" s="59" t="str">
        <x:v>short_pure_maturity_scale_days</x:v>
      </x:c>
      <x:c r="C60" s="59" t="str">
        <x:v>365</x:v>
      </x:c>
      <x:c r="D60" s="65" t="str">
        <x:v>365</x:v>
      </x:c>
      <x:c r="E60" s="68" t="str"/>
    </x:row>
    <x:row r="61">
      <x:c r="A61" s="71" t="str">
        <x:v>Global</x:v>
      </x:c>
      <x:c r="B61" s="59" t="str">
        <x:v>short_pure_maturity_clip</x:v>
      </x:c>
      <x:c r="C61" s="59" t="str">
        <x:v>3</x:v>
      </x:c>
      <x:c r="D61" s="65" t="str">
        <x:v>3</x:v>
      </x:c>
      <x:c r="E61" s="68" t="str"/>
    </x:row>
    <x:row r="62">
      <x:c r="A62" s="71" t="str">
        <x:v>Global</x:v>
      </x:c>
      <x:c r="B62" s="59" t="str">
        <x:v>short_score_rate_scale</x:v>
      </x:c>
      <x:c r="C62" s="59" t="str">
        <x:v>1</x:v>
      </x:c>
      <x:c r="D62" s="65" t="str">
        <x:v>1</x:v>
      </x:c>
      <x:c r="E62" s="68" t="str"/>
    </x:row>
    <x:row r="63">
      <x:c r="A63" s="71" t="str">
        <x:v>Global</x:v>
      </x:c>
      <x:c r="B63" s="59" t="str">
        <x:v>short_score_adjustment_clip</x:v>
      </x:c>
      <x:c r="C63" s="59" t="str">
        <x:v>3</x:v>
      </x:c>
      <x:c r="D63" s="65" t="str">
        <x:v>3</x:v>
      </x:c>
      <x:c r="E63" s="68" t="str"/>
    </x:row>
    <x:row r="64">
      <x:c r="A64" s="71" t="str">
        <x:v>Global</x:v>
      </x:c>
      <x:c r="B64" s="59" t="str">
        <x:v>negative_short_start_rate</x:v>
      </x:c>
      <x:c r="C64" s="59" t="str">
        <x:v>-0.5</x:v>
      </x:c>
      <x:c r="D64" s="65" t="str">
        <x:v>-0.5</x:v>
      </x:c>
      <x:c r="E64" s="68" t="str"/>
    </x:row>
    <x:row r="65">
      <x:c r="A65" s="71" t="str">
        <x:v>Global</x:v>
      </x:c>
      <x:c r="B65" s="59" t="str">
        <x:v>negative_short_full_rate</x:v>
      </x:c>
      <x:c r="C65" s="59" t="str">
        <x:v>-15</x:v>
      </x:c>
      <x:c r="D65" s="65" t="str">
        <x:v>-15</x:v>
      </x:c>
      <x:c r="E65" s="68" t="str"/>
    </x:row>
    <x:row r="66">
      <x:c r="A66" s="71" t="str">
        <x:v>Global</x:v>
      </x:c>
      <x:c r="B66" s="59" t="str">
        <x:v>max_short_fraction_of_long_leg</x:v>
      </x:c>
      <x:c r="C66" s="59" t="str">
        <x:v>50</x:v>
      </x:c>
      <x:c r="D66" s="65" t="str">
        <x:v>50</x:v>
      </x:c>
      <x:c r="E66" s="68" t="str"/>
    </x:row>
    <x:row r="67">
      <x:c r="A67" s="71" t="str">
        <x:v>Global</x:v>
      </x:c>
      <x:c r="B67" s="59" t="str">
        <x:v>treasury_asset</x:v>
      </x:c>
      <x:c r="C67" s="59" t="str">
        <x:v>matched_maturity</x:v>
      </x:c>
      <x:c r="D67" s="65" t="str">
        <x:v>matched_maturity</x:v>
      </x:c>
      <x:c r="E67" s="68" t="str"/>
    </x:row>
    <x:row r="68">
      <x:c r="A68" s="71" t="str">
        <x:v>Global</x:v>
      </x:c>
      <x:c r="B68" s="59" t="str">
        <x:v>treasury_allocation_mode</x:v>
      </x:c>
      <x:c r="C68" s="59" t="str">
        <x:v>shortest_rolling</x:v>
      </x:c>
      <x:c r="D68" s="65" t="str">
        <x:v>shortest_rolling</x:v>
      </x:c>
      <x:c r="E68" s="68" t="str"/>
    </x:row>
    <x:row r="69">
      <x:c r="A69" s="71" t="str">
        <x:v>Global</x:v>
      </x:c>
      <x:c r="B69" s="59" t="str">
        <x:v>bond_mode</x:v>
      </x:c>
      <x:c r="C69" s="59" t="str">
        <x:v>accrual</x:v>
      </x:c>
      <x:c r="D69" s="65" t="str">
        <x:v>accrual</x:v>
      </x:c>
      <x:c r="E69" s="68" t="str"/>
    </x:row>
    <x:row r="70">
      <x:c r="A70" s="71" t="str">
        <x:v>Silver</x:v>
      </x:c>
      <x:c r="B70" s="59" t="str">
        <x:v>min_days</x:v>
      </x:c>
      <x:c r="C70" s="59" t="str">
        <x:v>10</x:v>
      </x:c>
      <x:c r="D70" s="65" t="str">
        <x:v>10</x:v>
      </x:c>
      <x:c r="E70" s="68" t="str"/>
    </x:row>
    <x:row r="71">
      <x:c r="A71" s="71" t="str">
        <x:v>Silver</x:v>
      </x:c>
      <x:c r="B71" s="59" t="str">
        <x:v>roll_only_if_better</x:v>
      </x:c>
      <x:c r="C71" s="59" t="str">
        <x:v>true</x:v>
      </x:c>
      <x:c r="D71" s="65" t="str">
        <x:v>true</x:v>
      </x:c>
      <x:c r="E71" s="68" t="str"/>
    </x:row>
    <x:row r="72">
      <x:c r="A72" s="71" t="str">
        <x:v>Silver</x:v>
      </x:c>
      <x:c r="B72" s="59" t="str">
        <x:v>force_roll_at_min_days</x:v>
      </x:c>
      <x:c r="C72" s="59" t="str">
        <x:v>true</x:v>
      </x:c>
      <x:c r="D72" s="65" t="str">
        <x:v>true</x:v>
      </x:c>
      <x:c r="E72" s="68" t="str"/>
    </x:row>
    <x:row r="73">
      <x:c r="A73" s="71" t="str">
        <x:v>Silver</x:v>
      </x:c>
      <x:c r="B73" s="59" t="str">
        <x:v>long_allocation_half_life_days</x:v>
      </x:c>
      <x:c r="C73" s="59" t="str">
        <x:v>0</x:v>
      </x:c>
      <x:c r="D73" s="65" t="str">
        <x:v>0</x:v>
      </x:c>
      <x:c r="E73" s="68" t="str"/>
    </x:row>
    <x:row r="74">
      <x:c r="A74" s="71" t="str">
        <x:v>Silver</x:v>
      </x:c>
      <x:c r="B74" s="59" t="str">
        <x:v>short_allocation_half_life_days</x:v>
      </x:c>
      <x:c r="C74" s="59" t="str">
        <x:v>0</x:v>
      </x:c>
      <x:c r="D74" s="65" t="str">
        <x:v>0</x:v>
      </x:c>
      <x:c r="E74" s="68" t="str"/>
    </x:row>
    <x:row r="75">
      <x:c r="A75" s="71" t="str">
        <x:v>Silver</x:v>
      </x:c>
      <x:c r="B75" s="59" t="str">
        <x:v>slv_expense</x:v>
      </x:c>
      <x:c r="C75" s="59" t="str">
        <x:v>0.25</x:v>
      </x:c>
      <x:c r="D75" s="65" t="str">
        <x:v>0.25</x:v>
      </x:c>
      <x:c r="E75" s="68" t="str"/>
    </x:row>
    <x:row r="76">
      <x:c r="A76" s="71" t="str">
        <x:v>Silver</x:v>
      </x:c>
      <x:c r="B76" s="59" t="str">
        <x:v>futures_contract_type</x:v>
      </x:c>
      <x:c r="C76" s="59" t="str">
        <x:v>inverse</x:v>
      </x:c>
      <x:c r="D76" s="65" t="str">
        <x:v>regular</x:v>
      </x:c>
      <x:c r="E76" s="68" t="str">
        <x:v>Silver futures interpreted as regular linear COMEX contracts.</x:v>
      </x:c>
    </x:row>
    <x:row r="77">
      <x:c r="A77" s="71" t="str">
        <x:v>Silver</x:v>
      </x:c>
      <x:c r="B77" s="59" t="str">
        <x:v>inverse_payoff_conversion_fee</x:v>
      </x:c>
      <x:c r="C77" s="59" t="str">
        <x:v>0</x:v>
      </x:c>
      <x:c r="D77" s="65" t="str">
        <x:v>0</x:v>
      </x:c>
      <x:c r="E77" s="68" t="str"/>
    </x:row>
    <x:row r="78">
      <x:c r="A78" s="71" t="str">
        <x:v>Silver</x:v>
      </x:c>
      <x:c r="B78" s="59" t="str">
        <x:v>inverse_min_conversion_btc</x:v>
      </x:c>
      <x:c r="C78" s="59" t="str">
        <x:v>0</x:v>
      </x:c>
      <x:c r="D78" s="65" t="str">
        <x:v>0</x:v>
      </x:c>
      <x:c r="E78" s="68" t="str"/>
    </x:row>
    <x:row r="79">
      <x:c r="A79" s="71" t="str">
        <x:v>Silver</x:v>
      </x:c>
      <x:c r="B79" s="59" t="str">
        <x:v>enable_cash_long_futures_leg</x:v>
      </x:c>
      <x:c r="C79" s="59" t="str">
        <x:v>true</x:v>
      </x:c>
      <x:c r="D79" s="65" t="str">
        <x:v>true</x:v>
      </x:c>
      <x:c r="E79" s="68" t="str"/>
    </x:row>
    <x:row r="80">
      <x:c r="A80" s="71" t="str">
        <x:v>Silver</x:v>
      </x:c>
      <x:c r="B80" s="59" t="str">
        <x:v>long_futures_entry_mode</x:v>
      </x:c>
      <x:c r="C80" s="59" t="str">
        <x:v>gradual</x:v>
      </x:c>
      <x:c r="D80" s="65" t="str">
        <x:v>gradual</x:v>
      </x:c>
      <x:c r="E80" s="68" t="str"/>
    </x:row>
    <x:row r="81">
      <x:c r="A81" s="71" t="str">
        <x:v>Silver</x:v>
      </x:c>
      <x:c r="B81" s="59" t="str">
        <x:v>long_contract_selection</x:v>
      </x:c>
      <x:c r="C81" s="59" t="str">
        <x:v>weighted_lease_rate</x:v>
      </x:c>
      <x:c r="D81" s="65" t="str">
        <x:v>weighted_lease_rate</x:v>
      </x:c>
      <x:c r="E81" s="68" t="str"/>
    </x:row>
    <x:row r="82">
      <x:c r="A82" s="71" t="str">
        <x:v>Silver</x:v>
      </x:c>
      <x:c r="B82" s="59" t="str">
        <x:v>long_line_maturity_1</x:v>
      </x:c>
      <x:c r="C82" s="59" t="str">
        <x:v>30</x:v>
      </x:c>
      <x:c r="D82" s="65" t="str">
        <x:v>30</x:v>
      </x:c>
      <x:c r="E82" s="68" t="str"/>
    </x:row>
    <x:row r="83">
      <x:c r="A83" s="71" t="str">
        <x:v>Silver</x:v>
      </x:c>
      <x:c r="B83" s="59" t="str">
        <x:v>long_line_rate_1</x:v>
      </x:c>
      <x:c r="C83" s="59" t="str">
        <x:v>1</x:v>
      </x:c>
      <x:c r="D83" s="65" t="str">
        <x:v>1</x:v>
      </x:c>
      <x:c r="E83" s="68" t="str"/>
    </x:row>
    <x:row r="84">
      <x:c r="A84" s="71" t="str">
        <x:v>Silver</x:v>
      </x:c>
      <x:c r="B84" s="59" t="str">
        <x:v>long_line_maturity_2</x:v>
      </x:c>
      <x:c r="C84" s="59" t="str">
        <x:v>365</x:v>
      </x:c>
      <x:c r="D84" s="65" t="str">
        <x:v>365</x:v>
      </x:c>
      <x:c r="E84" s="68" t="str"/>
    </x:row>
    <x:row r="85">
      <x:c r="A85" s="71" t="str">
        <x:v>Silver</x:v>
      </x:c>
      <x:c r="B85" s="59" t="str">
        <x:v>long_line_rate_2</x:v>
      </x:c>
      <x:c r="C85" s="59" t="str">
        <x:v>2</x:v>
      </x:c>
      <x:c r="D85" s="65" t="str">
        <x:v>2</x:v>
      </x:c>
      <x:c r="E85" s="68" t="str"/>
    </x:row>
    <x:row r="86">
      <x:c r="A86" s="71" t="str">
        <x:v>Silver</x:v>
      </x:c>
      <x:c r="B86" s="59" t="str">
        <x:v>long_relative_strength</x:v>
      </x:c>
      <x:c r="C86" s="59" t="str">
        <x:v>1</x:v>
      </x:c>
      <x:c r="D86" s="65" t="str">
        <x:v>1</x:v>
      </x:c>
      <x:c r="E86" s="68" t="str"/>
    </x:row>
    <x:row r="87">
      <x:c r="A87" s="71" t="str">
        <x:v>Silver</x:v>
      </x:c>
      <x:c r="B87" s="59" t="str">
        <x:v>long_pure_maturity_strength</x:v>
      </x:c>
      <x:c r="C87" s="59" t="str">
        <x:v>0</x:v>
      </x:c>
      <x:c r="D87" s="65" t="str">
        <x:v>0</x:v>
      </x:c>
      <x:c r="E87" s="68" t="str"/>
    </x:row>
    <x:row r="88">
      <x:c r="A88" s="71" t="str">
        <x:v>Silver</x:v>
      </x:c>
      <x:c r="B88" s="59" t="str">
        <x:v>long_pure_maturity_scale_days</x:v>
      </x:c>
      <x:c r="C88" s="59" t="str">
        <x:v>365</x:v>
      </x:c>
      <x:c r="D88" s="65" t="str">
        <x:v>365</x:v>
      </x:c>
      <x:c r="E88" s="68" t="str"/>
    </x:row>
    <x:row r="89">
      <x:c r="A89" s="71" t="str">
        <x:v>Silver</x:v>
      </x:c>
      <x:c r="B89" s="59" t="str">
        <x:v>long_pure_maturity_clip</x:v>
      </x:c>
      <x:c r="C89" s="59" t="str">
        <x:v>3</x:v>
      </x:c>
      <x:c r="D89" s="65" t="str">
        <x:v>3</x:v>
      </x:c>
      <x:c r="E89" s="68" t="str"/>
    </x:row>
    <x:row r="90">
      <x:c r="A90" s="71" t="str">
        <x:v>Silver</x:v>
      </x:c>
      <x:c r="B90" s="59" t="str">
        <x:v>long_score_rate_scale</x:v>
      </x:c>
      <x:c r="C90" s="59" t="str">
        <x:v>1</x:v>
      </x:c>
      <x:c r="D90" s="65" t="str">
        <x:v>1</x:v>
      </x:c>
      <x:c r="E90" s="68" t="str"/>
    </x:row>
    <x:row r="91">
      <x:c r="A91" s="71" t="str">
        <x:v>Silver</x:v>
      </x:c>
      <x:c r="B91" s="59" t="str">
        <x:v>long_score_adjustment_clip</x:v>
      </x:c>
      <x:c r="C91" s="59" t="str">
        <x:v>3</x:v>
      </x:c>
      <x:c r="D91" s="65" t="str">
        <x:v>3</x:v>
      </x:c>
      <x:c r="E91" s="68" t="str"/>
    </x:row>
    <x:row r="92">
      <x:c r="A92" s="71" t="str">
        <x:v>Silver</x:v>
      </x:c>
      <x:c r="B92" s="59" t="str">
        <x:v>positive_entry_rate</x:v>
      </x:c>
      <x:c r="C92" s="59" t="str">
        <x:v>0</x:v>
      </x:c>
      <x:c r="D92" s="65" t="str">
        <x:v>0</x:v>
      </x:c>
      <x:c r="E92" s="68" t="str"/>
    </x:row>
    <x:row r="93">
      <x:c r="A93" s="71" t="str">
        <x:v>Silver</x:v>
      </x:c>
      <x:c r="B93" s="59" t="str">
        <x:v>positive_full_rate</x:v>
      </x:c>
      <x:c r="C93" s="59" t="str">
        <x:v>15</x:v>
      </x:c>
      <x:c r="D93" s="65" t="str">
        <x:v>15</x:v>
      </x:c>
      <x:c r="E93" s="68" t="str"/>
    </x:row>
    <x:row r="94">
      <x:c r="A94" s="71" t="str">
        <x:v>Silver</x:v>
      </x:c>
      <x:c r="B94" s="59" t="str">
        <x:v>max_futures_treasury_fraction</x:v>
      </x:c>
      <x:c r="C94" s="59" t="str">
        <x:v>100</x:v>
      </x:c>
      <x:c r="D94" s="65" t="str">
        <x:v>100</x:v>
      </x:c>
      <x:c r="E94" s="68" t="str"/>
    </x:row>
    <x:row r="95">
      <x:c r="A95" s="71" t="str">
        <x:v>Silver</x:v>
      </x:c>
      <x:c r="B95" s="59" t="str">
        <x:v>enable_short_book</x:v>
      </x:c>
      <x:c r="C95" s="59" t="str">
        <x:v>false</x:v>
      </x:c>
      <x:c r="D95" s="65" t="str">
        <x:v>false</x:v>
      </x:c>
      <x:c r="E95" s="68" t="str"/>
    </x:row>
    <x:row r="96">
      <x:c r="A96" s="71" t="str">
        <x:v>Silver</x:v>
      </x:c>
      <x:c r="B96" s="59" t="str">
        <x:v>short_futures_entry_mode</x:v>
      </x:c>
      <x:c r="C96" s="59" t="str">
        <x:v>fixed</x:v>
      </x:c>
      <x:c r="D96" s="65" t="str">
        <x:v>fixed</x:v>
      </x:c>
      <x:c r="E96" s="68" t="str"/>
    </x:row>
    <x:row r="97">
      <x:c r="A97" s="71" t="str">
        <x:v>Silver</x:v>
      </x:c>
      <x:c r="B97" s="59" t="str">
        <x:v>short_contract_selection</x:v>
      </x:c>
      <x:c r="C97" s="59" t="str">
        <x:v>weighted_lease_rate</x:v>
      </x:c>
      <x:c r="D97" s="65" t="str">
        <x:v>weighted_lease_rate</x:v>
      </x:c>
      <x:c r="E97" s="68" t="str"/>
    </x:row>
    <x:row r="98">
      <x:c r="A98" s="71" t="str">
        <x:v>Silver</x:v>
      </x:c>
      <x:c r="B98" s="59" t="str">
        <x:v>short_line_maturity_1</x:v>
      </x:c>
      <x:c r="C98" s="59" t="str">
        <x:v>30</x:v>
      </x:c>
      <x:c r="D98" s="65" t="str">
        <x:v>30</x:v>
      </x:c>
      <x:c r="E98" s="68" t="str"/>
    </x:row>
    <x:row r="99">
      <x:c r="A99" s="71" t="str">
        <x:v>Silver</x:v>
      </x:c>
      <x:c r="B99" s="59" t="str">
        <x:v>short_line_rate_1</x:v>
      </x:c>
      <x:c r="C99" s="59" t="str">
        <x:v>0.033</x:v>
      </x:c>
      <x:c r="D99" s="65" t="str">
        <x:v>0.033</x:v>
      </x:c>
      <x:c r="E99" s="68" t="str"/>
    </x:row>
    <x:row r="100">
      <x:c r="A100" s="71" t="str">
        <x:v>Silver</x:v>
      </x:c>
      <x:c r="B100" s="59" t="str">
        <x:v>short_line_maturity_2</x:v>
      </x:c>
      <x:c r="C100" s="59" t="str">
        <x:v>365</x:v>
      </x:c>
      <x:c r="D100" s="65" t="str">
        <x:v>365</x:v>
      </x:c>
      <x:c r="E100" s="68" t="str"/>
    </x:row>
    <x:row r="101">
      <x:c r="A101" s="71" t="str">
        <x:v>Silver</x:v>
      </x:c>
      <x:c r="B101" s="59" t="str">
        <x:v>short_line_rate_2</x:v>
      </x:c>
      <x:c r="C101" s="59" t="str">
        <x:v>0.4</x:v>
      </x:c>
      <x:c r="D101" s="65" t="str">
        <x:v>0.4</x:v>
      </x:c>
      <x:c r="E101" s="68" t="str"/>
    </x:row>
    <x:row r="102">
      <x:c r="A102" s="71" t="str">
        <x:v>Silver</x:v>
      </x:c>
      <x:c r="B102" s="59" t="str">
        <x:v>short_relative_strength</x:v>
      </x:c>
      <x:c r="C102" s="59" t="str">
        <x:v>1</x:v>
      </x:c>
      <x:c r="D102" s="65" t="str">
        <x:v>1</x:v>
      </x:c>
      <x:c r="E102" s="68" t="str"/>
    </x:row>
    <x:row r="103">
      <x:c r="A103" s="71" t="str">
        <x:v>Silver</x:v>
      </x:c>
      <x:c r="B103" s="59" t="str">
        <x:v>short_pure_maturity_strength</x:v>
      </x:c>
      <x:c r="C103" s="59" t="str">
        <x:v>0</x:v>
      </x:c>
      <x:c r="D103" s="65" t="str">
        <x:v>0</x:v>
      </x:c>
      <x:c r="E103" s="68" t="str"/>
    </x:row>
    <x:row r="104">
      <x:c r="A104" s="71" t="str">
        <x:v>Silver</x:v>
      </x:c>
      <x:c r="B104" s="59" t="str">
        <x:v>short_pure_maturity_scale_days</x:v>
      </x:c>
      <x:c r="C104" s="59" t="str">
        <x:v>365</x:v>
      </x:c>
      <x:c r="D104" s="65" t="str">
        <x:v>365</x:v>
      </x:c>
      <x:c r="E104" s="68" t="str"/>
    </x:row>
    <x:row r="105">
      <x:c r="A105" s="71" t="str">
        <x:v>Silver</x:v>
      </x:c>
      <x:c r="B105" s="59" t="str">
        <x:v>short_pure_maturity_clip</x:v>
      </x:c>
      <x:c r="C105" s="59" t="str">
        <x:v>3</x:v>
      </x:c>
      <x:c r="D105" s="65" t="str">
        <x:v>3</x:v>
      </x:c>
      <x:c r="E105" s="68" t="str"/>
    </x:row>
    <x:row r="106">
      <x:c r="A106" s="71" t="str">
        <x:v>Silver</x:v>
      </x:c>
      <x:c r="B106" s="59" t="str">
        <x:v>short_score_rate_scale</x:v>
      </x:c>
      <x:c r="C106" s="59" t="str">
        <x:v>1</x:v>
      </x:c>
      <x:c r="D106" s="65" t="str">
        <x:v>1</x:v>
      </x:c>
      <x:c r="E106" s="68" t="str"/>
    </x:row>
    <x:row r="107">
      <x:c r="A107" s="71" t="str">
        <x:v>Silver</x:v>
      </x:c>
      <x:c r="B107" s="59" t="str">
        <x:v>short_score_adjustment_clip</x:v>
      </x:c>
      <x:c r="C107" s="59" t="str">
        <x:v>3</x:v>
      </x:c>
      <x:c r="D107" s="65" t="str">
        <x:v>3</x:v>
      </x:c>
      <x:c r="E107" s="68" t="str"/>
    </x:row>
    <x:row r="108">
      <x:c r="A108" s="71" t="str">
        <x:v>Silver</x:v>
      </x:c>
      <x:c r="B108" s="59" t="str">
        <x:v>negative_short_start_rate</x:v>
      </x:c>
      <x:c r="C108" s="59" t="str">
        <x:v>-0.5</x:v>
      </x:c>
      <x:c r="D108" s="65" t="str">
        <x:v>-0.5</x:v>
      </x:c>
      <x:c r="E108" s="68" t="str"/>
    </x:row>
    <x:row r="109">
      <x:c r="A109" s="71" t="str">
        <x:v>Silver</x:v>
      </x:c>
      <x:c r="B109" s="59" t="str">
        <x:v>negative_short_full_rate</x:v>
      </x:c>
      <x:c r="C109" s="59" t="str">
        <x:v>-15</x:v>
      </x:c>
      <x:c r="D109" s="65" t="str">
        <x:v>-15</x:v>
      </x:c>
      <x:c r="E109" s="68" t="str"/>
    </x:row>
    <x:row r="110">
      <x:c r="A110" s="72" t="str">
        <x:v>Silver</x:v>
      </x:c>
      <x:c r="B110" s="62" t="str">
        <x:v>max_short_fraction_of_long_leg</x:v>
      </x:c>
      <x:c r="C110" s="62" t="str">
        <x:v>50</x:v>
      </x:c>
      <x:c r="D110" s="66" t="str">
        <x:v>50</x:v>
      </x:c>
      <x:c r="E110" s="69" t="str"/>
    </x:row>
  </x:sheetData>
  <x:mergeCells>
    <x:mergeCell ref="A1:E1"/>
    <x:mergeCell ref="A17:E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15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5" hidden="0" customWidth="1"/>
    <x:col min="16" max="16" width="17" hidden="0" customWidth="1"/>
    <x:col min="17" max="17" width="17" hidden="0" customWidth="1"/>
    <x:col min="18" max="18" width="16" hidden="0" customWidth="1"/>
    <x:col min="19" max="19" width="17" hidden="0" customWidth="1"/>
    <x:col min="20" max="20" width="17" hidden="0" customWidth="1"/>
    <x:col min="21" max="21" width="16" hidden="0" customWidth="1"/>
    <x:col min="22" max="22" width="16" hidden="0" customWidth="1"/>
    <x:col min="23" max="23" width="17" hidden="0" customWidth="1"/>
    <x:col min="24" max="24" width="16" hidden="0" customWidth="1"/>
    <x:col min="25" max="25" width="16" hidden="0" customWidth="1"/>
    <x:col min="26" max="26" width="14" hidden="0" customWidth="1"/>
    <x:col min="27" max="27" width="14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3" hidden="0" customWidth="1"/>
    <x:col min="35" max="35" width="13" hidden="0" customWidth="1"/>
    <x:col min="36" max="36" width="11" hidden="0" customWidth="1"/>
    <x:col min="37" max="37" width="19" hidden="0" customWidth="1"/>
    <x:col min="38" max="38" width="17" hidden="0" customWidth="1"/>
    <x:col min="39" max="39" width="8" hidden="0" customWidth="1"/>
    <x:col min="40" max="40" width="11" hidden="0" customWidth="1"/>
    <x:col min="41" max="41" width="11" hidden="0" customWidth="1"/>
    <x:col min="42" max="42" width="11" hidden="0" customWidth="1"/>
    <x:col min="43" max="43" width="13" hidden="0" customWidth="1"/>
    <x:col min="44" max="44" width="13" hidden="0" customWidth="1"/>
    <x:col min="45" max="45" width="11" hidden="0" customWidth="1"/>
    <x:col min="46" max="46" width="11" hidden="0" customWidth="1"/>
    <x:col min="47" max="47" width="12" hidden="0" customWidth="1"/>
    <x:col min="48" max="48" width="11" hidden="0" customWidth="1"/>
    <x:col min="49" max="49" width="10" hidden="0" customWidth="1"/>
    <x:col min="50" max="50" width="13" hidden="0" customWidth="1"/>
    <x:col min="51" max="51" width="19" hidden="0" customWidth="1"/>
    <x:col min="52" max="52" width="17" hidden="0" customWidth="1"/>
    <x:col min="53" max="53" width="8" hidden="0" customWidth="1"/>
    <x:col min="54" max="54" width="11" hidden="0" customWidth="1"/>
    <x:col min="55" max="55" width="11" hidden="0" customWidth="1"/>
    <x:col min="56" max="56" width="11" hidden="0" customWidth="1"/>
    <x:col min="57" max="57" width="13" hidden="0" customWidth="1"/>
    <x:col min="58" max="58" width="13" hidden="0" customWidth="1"/>
    <x:col min="59" max="59" width="11" hidden="0" customWidth="1"/>
    <x:col min="60" max="60" width="11" hidden="0" customWidth="1"/>
    <x:col min="61" max="61" width="12" hidden="0" customWidth="1"/>
    <x:col min="62" max="62" width="11" hidden="0" customWidth="1"/>
    <x:col min="63" max="63" width="10" hidden="0" customWidth="1"/>
    <x:col min="64" max="64" width="13" hidden="0" customWidth="1"/>
    <x:col min="65" max="65" width="19" hidden="0" customWidth="1"/>
    <x:col min="66" max="66" width="17" hidden="0" customWidth="1"/>
    <x:col min="67" max="67" width="8" hidden="0" customWidth="1"/>
    <x:col min="68" max="68" width="11" hidden="0" customWidth="1"/>
    <x:col min="69" max="69" width="11" hidden="0" customWidth="1"/>
    <x:col min="70" max="70" width="11" hidden="0" customWidth="1"/>
    <x:col min="71" max="71" width="13" hidden="0" customWidth="1"/>
    <x:col min="72" max="72" width="13" hidden="0" customWidth="1"/>
    <x:col min="73" max="73" width="11" hidden="0" customWidth="1"/>
    <x:col min="74" max="74" width="11" hidden="0" customWidth="1"/>
    <x:col min="75" max="75" width="12" hidden="0" customWidth="1"/>
    <x:col min="76" max="76" width="11" hidden="0" customWidth="1"/>
    <x:col min="77" max="77" width="10" hidden="0" customWidth="1"/>
    <x:col min="78" max="78" width="13" hidden="0" customWidth="1"/>
    <x:col min="79" max="79" width="19" hidden="0" customWidth="1"/>
    <x:col min="80" max="80" width="17" hidden="0" customWidth="1"/>
    <x:col min="81" max="81" width="8" hidden="0" customWidth="1"/>
    <x:col min="82" max="82" width="11" hidden="0" customWidth="1"/>
    <x:col min="83" max="83" width="11" hidden="0" customWidth="1"/>
    <x:col min="84" max="84" width="11" hidden="0" customWidth="1"/>
    <x:col min="85" max="85" width="13" hidden="0" customWidth="1"/>
    <x:col min="86" max="86" width="13" hidden="0" customWidth="1"/>
    <x:col min="87" max="87" width="11" hidden="0" customWidth="1"/>
    <x:col min="88" max="88" width="11" hidden="0" customWidth="1"/>
    <x:col min="89" max="89" width="12" hidden="0" customWidth="1"/>
    <x:col min="90" max="90" width="11" hidden="0" customWidth="1"/>
    <x:col min="91" max="91" width="10" hidden="0" customWidth="1"/>
    <x:col min="92" max="92" width="13" hidden="0" customWidth="1"/>
    <x:col min="93" max="93" width="19" hidden="0" customWidth="1"/>
    <x:col min="94" max="94" width="17" hidden="0" customWidth="1"/>
    <x:col min="95" max="95" width="8" hidden="0" customWidth="1"/>
    <x:col min="96" max="96" width="11" hidden="0" customWidth="1"/>
    <x:col min="97" max="97" width="11" hidden="0" customWidth="1"/>
    <x:col min="98" max="98" width="11" hidden="0" customWidth="1"/>
    <x:col min="99" max="99" width="13" hidden="0" customWidth="1"/>
    <x:col min="100" max="100" width="13" hidden="0" customWidth="1"/>
    <x:col min="101" max="101" width="11" hidden="0" customWidth="1"/>
    <x:col min="102" max="102" width="11" hidden="0" customWidth="1"/>
    <x:col min="103" max="103" width="12" hidden="0" customWidth="1"/>
    <x:col min="104" max="104" width="11" hidden="0" customWidth="1"/>
    <x:col min="105" max="105" width="10" hidden="0" customWidth="1"/>
    <x:col min="106" max="106" width="13" hidden="0" customWidth="1"/>
    <x:col min="107" max="107" width="19" hidden="0" customWidth="1"/>
    <x:col min="108" max="108" width="17" hidden="0" customWidth="1"/>
    <x:col min="109" max="109" width="8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3" hidden="0" customWidth="1"/>
    <x:col min="114" max="114" width="13" hidden="0" customWidth="1"/>
    <x:col min="115" max="115" width="11" hidden="0" customWidth="1"/>
    <x:col min="116" max="116" width="11" hidden="0" customWidth="1"/>
    <x:col min="117" max="117" width="12" hidden="0" customWidth="1"/>
    <x:col min="118" max="118" width="11" hidden="0" customWidth="1"/>
    <x:col min="119" max="119" width="10" hidden="0" customWidth="1"/>
    <x:col min="120" max="120" width="13" hidden="0" customWidth="1"/>
    <x:col min="121" max="121" width="19" hidden="0" customWidth="1"/>
    <x:col min="122" max="122" width="17" hidden="0" customWidth="1"/>
    <x:col min="123" max="123" width="8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3" hidden="0" customWidth="1"/>
    <x:col min="128" max="128" width="13" hidden="0" customWidth="1"/>
    <x:col min="129" max="129" width="11" hidden="0" customWidth="1"/>
    <x:col min="130" max="130" width="11" hidden="0" customWidth="1"/>
    <x:col min="131" max="131" width="12" hidden="0" customWidth="1"/>
    <x:col min="132" max="132" width="11" hidden="0" customWidth="1"/>
    <x:col min="133" max="133" width="10" hidden="0" customWidth="1"/>
    <x:col min="134" max="134" width="13" hidden="0" customWidth="1"/>
    <x:col min="135" max="135" width="19" hidden="0" customWidth="1"/>
    <x:col min="136" max="136" width="17" hidden="0" customWidth="1"/>
    <x:col min="137" max="137" width="8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3" hidden="0" customWidth="1"/>
    <x:col min="142" max="142" width="13" hidden="0" customWidth="1"/>
    <x:col min="143" max="143" width="11" hidden="0" customWidth="1"/>
    <x:col min="144" max="144" width="11" hidden="0" customWidth="1"/>
    <x:col min="145" max="145" width="12" hidden="0" customWidth="1"/>
    <x:col min="146" max="146" width="11" hidden="0" customWidth="1"/>
    <x:col min="147" max="147" width="10" hidden="0" customWidth="1"/>
    <x:col min="148" max="148" width="13" hidden="0" customWidth="1"/>
    <x:col min="149" max="149" width="19" hidden="0" customWidth="1"/>
    <x:col min="150" max="150" width="17" hidden="0" customWidth="1"/>
    <x:col min="151" max="151" width="8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3" hidden="0" customWidth="1"/>
    <x:col min="156" max="156" width="13" hidden="0" customWidth="1"/>
    <x:col min="157" max="157" width="11" hidden="0" customWidth="1"/>
    <x:col min="158" max="158" width="11" hidden="0" customWidth="1"/>
    <x:col min="159" max="159" width="12" hidden="0" customWidth="1"/>
    <x:col min="160" max="160" width="11" hidden="0" customWidth="1"/>
    <x:col min="161" max="161" width="10" hidden="0" customWidth="1"/>
    <x:col min="162" max="162" width="13" hidden="0" customWidth="1"/>
    <x:col min="163" max="163" width="19" hidden="0" customWidth="1"/>
    <x:col min="164" max="164" width="17" hidden="0" customWidth="1"/>
    <x:col min="165" max="165" width="8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3" hidden="0" customWidth="1"/>
    <x:col min="170" max="170" width="13" hidden="0" customWidth="1"/>
    <x:col min="171" max="171" width="11" hidden="0" customWidth="1"/>
    <x:col min="172" max="172" width="11" hidden="0" customWidth="1"/>
    <x:col min="173" max="173" width="12" hidden="0" customWidth="1"/>
    <x:col min="174" max="174" width="11" hidden="0" customWidth="1"/>
    <x:col min="175" max="175" width="10" hidden="0" customWidth="1"/>
    <x:col min="176" max="176" width="13" hidden="0" customWidth="1"/>
  </x:cols>
  <x:sheetData>
    <x:row r="1" ht="24" customHeight="1">
      <x:c r="A1" s="148" t="str">
        <x:v>Interval and NAV</x:v>
      </x:c>
      <x:c r="B1" s="149"/>
      <x:c r="C1" s="149"/>
      <x:c r="D1" s="149"/>
      <x:c r="E1" s="149"/>
      <x:c r="F1" s="149"/>
      <x:c r="G1" s="149"/>
      <x:c r="H1" s="149"/>
      <x:c r="I1" s="149"/>
      <x:c r="J1" s="149"/>
      <x:c r="K1" s="149"/>
      <x:c r="L1" s="150"/>
      <x:c r="M1" s="151" t="str">
        <x:v>Return reconstruction and reconciliation</x:v>
      </x:c>
      <x:c r="N1" s="152"/>
      <x:c r="O1" s="152"/>
      <x:c r="P1" s="152"/>
      <x:c r="Q1" s="152"/>
      <x:c r="R1" s="152"/>
      <x:c r="S1" s="152"/>
      <x:c r="T1" s="152"/>
      <x:c r="U1" s="152"/>
      <x:c r="V1" s="152"/>
      <x:c r="W1" s="152"/>
      <x:c r="X1" s="152"/>
      <x:c r="Y1" s="152"/>
      <x:c r="Z1" s="152"/>
      <x:c r="AA1" s="152"/>
      <x:c r="AB1" s="152"/>
      <x:c r="AC1" s="153"/>
      <x:c r="AD1" s="154" t="str">
        <x:v>Source book values</x:v>
      </x:c>
      <x:c r="AE1" s="155"/>
      <x:c r="AF1" s="155"/>
      <x:c r="AG1" s="155"/>
      <x:c r="AH1" s="155"/>
      <x:c r="AI1" s="155"/>
      <x:c r="AJ1" s="156"/>
      <x:c r="AK1" s="157" t="str">
        <x:v>Holding 1 — Silver / replicating holding</x:v>
      </x:c>
      <x:c r="AL1" s="158"/>
      <x:c r="AM1" s="158"/>
      <x:c r="AN1" s="158"/>
      <x:c r="AO1" s="158"/>
      <x:c r="AP1" s="158"/>
      <x:c r="AQ1" s="158"/>
      <x:c r="AR1" s="158"/>
      <x:c r="AS1" s="158"/>
      <x:c r="AT1" s="158"/>
      <x:c r="AU1" s="158"/>
      <x:c r="AV1" s="158"/>
      <x:c r="AW1" s="158"/>
      <x:c r="AX1" s="159"/>
      <x:c r="AY1" s="157" t="str">
        <x:v>Holding 2 — Treasury collateral</x:v>
      </x:c>
      <x:c r="AZ1" s="158"/>
      <x:c r="BA1" s="158"/>
      <x:c r="BB1" s="158"/>
      <x:c r="BC1" s="158"/>
      <x:c r="BD1" s="158"/>
      <x:c r="BE1" s="158"/>
      <x:c r="BF1" s="158"/>
      <x:c r="BG1" s="158"/>
      <x:c r="BH1" s="158"/>
      <x:c r="BI1" s="158"/>
      <x:c r="BJ1" s="158"/>
      <x:c r="BK1" s="158"/>
      <x:c r="BL1" s="159"/>
      <x:c r="BM1" s="160" t="str">
        <x:v>Holding 3 — Future slot 1</x:v>
      </x:c>
      <x:c r="BN1" s="161"/>
      <x:c r="BO1" s="161"/>
      <x:c r="BP1" s="161"/>
      <x:c r="BQ1" s="161"/>
      <x:c r="BR1" s="161"/>
      <x:c r="BS1" s="161"/>
      <x:c r="BT1" s="161"/>
      <x:c r="BU1" s="161"/>
      <x:c r="BV1" s="161"/>
      <x:c r="BW1" s="161"/>
      <x:c r="BX1" s="161"/>
      <x:c r="BY1" s="161"/>
      <x:c r="BZ1" s="162"/>
      <x:c r="CA1" s="160" t="str">
        <x:v>Holding 4 — Future slot 2</x:v>
      </x:c>
      <x:c r="CB1" s="161"/>
      <x:c r="CC1" s="161"/>
      <x:c r="CD1" s="161"/>
      <x:c r="CE1" s="161"/>
      <x:c r="CF1" s="161"/>
      <x:c r="CG1" s="161"/>
      <x:c r="CH1" s="161"/>
      <x:c r="CI1" s="161"/>
      <x:c r="CJ1" s="161"/>
      <x:c r="CK1" s="161"/>
      <x:c r="CL1" s="161"/>
      <x:c r="CM1" s="161"/>
      <x:c r="CN1" s="162"/>
      <x:c r="CO1" s="160" t="str">
        <x:v>Holding 5 — Future slot 3</x:v>
      </x:c>
      <x:c r="CP1" s="161"/>
      <x:c r="CQ1" s="161"/>
      <x:c r="CR1" s="161"/>
      <x:c r="CS1" s="161"/>
      <x:c r="CT1" s="161"/>
      <x:c r="CU1" s="161"/>
      <x:c r="CV1" s="161"/>
      <x:c r="CW1" s="161"/>
      <x:c r="CX1" s="161"/>
      <x:c r="CY1" s="161"/>
      <x:c r="CZ1" s="161"/>
      <x:c r="DA1" s="161"/>
      <x:c r="DB1" s="162"/>
      <x:c r="DC1" s="160" t="str">
        <x:v>Holding 6 — Future slot 4</x:v>
      </x:c>
      <x:c r="DD1" s="161"/>
      <x:c r="DE1" s="161"/>
      <x:c r="DF1" s="161"/>
      <x:c r="DG1" s="161"/>
      <x:c r="DH1" s="161"/>
      <x:c r="DI1" s="161"/>
      <x:c r="DJ1" s="161"/>
      <x:c r="DK1" s="161"/>
      <x:c r="DL1" s="161"/>
      <x:c r="DM1" s="161"/>
      <x:c r="DN1" s="161"/>
      <x:c r="DO1" s="161"/>
      <x:c r="DP1" s="162"/>
      <x:c r="DQ1" s="160" t="str">
        <x:v>Holding 7 — Future slot 5</x:v>
      </x:c>
      <x:c r="DR1" s="161"/>
      <x:c r="DS1" s="161"/>
      <x:c r="DT1" s="161"/>
      <x:c r="DU1" s="161"/>
      <x:c r="DV1" s="161"/>
      <x:c r="DW1" s="161"/>
      <x:c r="DX1" s="161"/>
      <x:c r="DY1" s="161"/>
      <x:c r="DZ1" s="161"/>
      <x:c r="EA1" s="161"/>
      <x:c r="EB1" s="161"/>
      <x:c r="EC1" s="161"/>
      <x:c r="ED1" s="162"/>
      <x:c r="EE1" s="160" t="str">
        <x:v>Holding 8 — Future slot 6</x:v>
      </x:c>
      <x:c r="EF1" s="161"/>
      <x:c r="EG1" s="161"/>
      <x:c r="EH1" s="161"/>
      <x:c r="EI1" s="161"/>
      <x:c r="EJ1" s="161"/>
      <x:c r="EK1" s="161"/>
      <x:c r="EL1" s="161"/>
      <x:c r="EM1" s="161"/>
      <x:c r="EN1" s="161"/>
      <x:c r="EO1" s="161"/>
      <x:c r="EP1" s="161"/>
      <x:c r="EQ1" s="161"/>
      <x:c r="ER1" s="162"/>
      <x:c r="ES1" s="160" t="str">
        <x:v>Holding 9 — Future slot 7</x:v>
      </x:c>
      <x:c r="ET1" s="161"/>
      <x:c r="EU1" s="161"/>
      <x:c r="EV1" s="161"/>
      <x:c r="EW1" s="161"/>
      <x:c r="EX1" s="161"/>
      <x:c r="EY1" s="161"/>
      <x:c r="EZ1" s="161"/>
      <x:c r="FA1" s="161"/>
      <x:c r="FB1" s="161"/>
      <x:c r="FC1" s="161"/>
      <x:c r="FD1" s="161"/>
      <x:c r="FE1" s="161"/>
      <x:c r="FF1" s="162"/>
      <x:c r="FG1" s="160" t="str">
        <x:v>Holding 10 — Future slot 8</x:v>
      </x:c>
      <x:c r="FH1" s="161"/>
      <x:c r="FI1" s="161"/>
      <x:c r="FJ1" s="161"/>
      <x:c r="FK1" s="161"/>
      <x:c r="FL1" s="161"/>
      <x:c r="FM1" s="161"/>
      <x:c r="FN1" s="161"/>
      <x:c r="FO1" s="161"/>
      <x:c r="FP1" s="161"/>
      <x:c r="FQ1" s="161"/>
      <x:c r="FR1" s="161"/>
      <x:c r="FS1" s="161"/>
      <x:c r="FT1" s="162"/>
    </x:row>
    <x:row r="2" ht="46" customHeight="1">
      <x:c r="A2" s="76" t="str">
        <x:v>Start date</x:v>
      </x:c>
      <x:c r="B2" s="76" t="str">
        <x:v>End date</x:v>
      </x:c>
      <x:c r="C2" s="76" t="str">
        <x:v>Elapsed days</x:v>
      </x:c>
      <x:c r="D2" s="76" t="str">
        <x:v>Signal date</x:v>
      </x:c>
      <x:c r="E2" s="76" t="str">
        <x:v>Mode</x:v>
      </x:c>
      <x:c r="F2" s="76" t="str">
        <x:v>Start NAV</x:v>
      </x:c>
      <x:c r="G2" s="76" t="str">
        <x:v>Source total daily return</x:v>
      </x:c>
      <x:c r="H2" s="76" t="str">
        <x:v>Calculated holdings return</x:v>
      </x:c>
      <x:c r="I2" s="76" t="str">
        <x:v>Holdings return difference</x:v>
      </x:c>
      <x:c r="J2" s="76" t="str">
        <x:v>Formula end NAV</x:v>
      </x:c>
      <x:c r="K2" s="76" t="str">
        <x:v>Engine end NAV</x:v>
      </x:c>
      <x:c r="L2" s="76" t="str">
        <x:v>NAV difference</x:v>
      </x:c>
      <x:c r="M2" s="76" t="str">
        <x:v>Underlying start price</x:v>
      </x:c>
      <x:c r="N2" s="76" t="str">
        <x:v>Underlying end price</x:v>
      </x:c>
      <x:c r="O2" s="76" t="str">
        <x:v>Underlying price change</x:v>
      </x:c>
      <x:c r="P2" s="76" t="str">
        <x:v>Lease book start value in underlying</x:v>
      </x:c>
      <x:c r="Q2" s="76" t="str">
        <x:v>Lease book end value in underlying</x:v>
      </x:c>
      <x:c r="R2" s="76" t="str">
        <x:v>Lease-book return in underlying</x:v>
      </x:c>
      <x:c r="S2" s="76" t="str">
        <x:v>Keep book start value in underlying</x:v>
      </x:c>
      <x:c r="T2" s="76" t="str">
        <x:v>Keep book end value in underlying</x:v>
      </x:c>
      <x:c r="U2" s="76" t="str">
        <x:v>Keep-book return in underlying</x:v>
      </x:c>
      <x:c r="V2" s="76" t="str">
        <x:v>Combined books return in underlying</x:v>
      </x:c>
      <x:c r="W2" s="76" t="str">
        <x:v>Reconstructed total daily return</x:v>
      </x:c>
      <x:c r="X2" s="76" t="str">
        <x:v>Underlying/book return difference</x:v>
      </x:c>
      <x:c r="Y2" s="76" t="str">
        <x:v>Replicating holding contribution</x:v>
      </x:c>
      <x:c r="Z2" s="76" t="str">
        <x:v>Treasury contribution</x:v>
      </x:c>
      <x:c r="AA2" s="76" t="str">
        <x:v>Futures contribution</x:v>
      </x:c>
      <x:c r="AB2" s="76" t="str">
        <x:v>Detail contribution sum</x:v>
      </x:c>
      <x:c r="AC2" s="76" t="str">
        <x:v>Detail return difference</x:v>
      </x:c>
      <x:c r="AD2" s="76" t="str">
        <x:v>Lease book start value (USD)</x:v>
      </x:c>
      <x:c r="AE2" s="76" t="str">
        <x:v>Lease book end value (USD)</x:v>
      </x:c>
      <x:c r="AF2" s="76" t="str">
        <x:v>Keep book start value (USD)</x:v>
      </x:c>
      <x:c r="AG2" s="76" t="str">
        <x:v>Keep book end value (USD)</x:v>
      </x:c>
      <x:c r="AH2" s="76" t="str">
        <x:v>Underlying index start</x:v>
      </x:c>
      <x:c r="AI2" s="76" t="str">
        <x:v>Underlying index end</x:v>
      </x:c>
      <x:c r="AJ2" s="76" t="str">
        <x:v>Actual holding count</x:v>
      </x:c>
      <x:c r="AK2" s="76" t="str">
        <x:v>Name</x:v>
      </x:c>
      <x:c r="AL2" s="76" t="str">
        <x:v>Type</x:v>
      </x:c>
      <x:c r="AM2" s="76" t="str">
        <x:v>Side</x:v>
      </x:c>
      <x:c r="AN2" s="76" t="str">
        <x:v>Start price</x:v>
      </x:c>
      <x:c r="AO2" s="76" t="str">
        <x:v>End price</x:v>
      </x:c>
      <x:c r="AP2" s="76" t="str">
        <x:v>Position (% NAV)</x:v>
      </x:c>
      <x:c r="AQ2" s="76" t="str">
        <x:v>Quantity / units</x:v>
      </x:c>
      <x:c r="AR2" s="76" t="str">
        <x:v>Value / notional</x:v>
      </x:c>
      <x:c r="AS2" s="76" t="str">
        <x:v>Spot price</x:v>
      </x:c>
      <x:c r="AT2" s="76" t="str">
        <x:v>Premium</x:v>
      </x:c>
      <x:c r="AU2" s="76" t="str">
        <x:v>Matched USD rate</x:v>
      </x:c>
      <x:c r="AV2" s="76" t="str">
        <x:v>Lease rate</x:v>
      </x:c>
      <x:c r="AW2" s="76" t="str">
        <x:v>Maturity (days)</x:v>
      </x:c>
      <x:c r="AX2" s="76" t="str">
        <x:v>Return contribution</x:v>
      </x:c>
      <x:c r="AY2" s="76" t="str">
        <x:v>Name</x:v>
      </x:c>
      <x:c r="AZ2" s="76" t="str">
        <x:v>Type</x:v>
      </x:c>
      <x:c r="BA2" s="76" t="str">
        <x:v>Side</x:v>
      </x:c>
      <x:c r="BB2" s="76" t="str">
        <x:v>Start price</x:v>
      </x:c>
      <x:c r="BC2" s="76" t="str">
        <x:v>End price</x:v>
      </x:c>
      <x:c r="BD2" s="76" t="str">
        <x:v>Position (% NAV)</x:v>
      </x:c>
      <x:c r="BE2" s="76" t="str">
        <x:v>Quantity / units</x:v>
      </x:c>
      <x:c r="BF2" s="76" t="str">
        <x:v>Value / notional</x:v>
      </x:c>
      <x:c r="BG2" s="76" t="str">
        <x:v>Spot price</x:v>
      </x:c>
      <x:c r="BH2" s="76" t="str">
        <x:v>Premium</x:v>
      </x:c>
      <x:c r="BI2" s="76" t="str">
        <x:v>Matched USD rate</x:v>
      </x:c>
      <x:c r="BJ2" s="76" t="str">
        <x:v>Lease rate</x:v>
      </x:c>
      <x:c r="BK2" s="76" t="str">
        <x:v>Maturity (days)</x:v>
      </x:c>
      <x:c r="BL2" s="76" t="str">
        <x:v>Return contribution</x:v>
      </x:c>
      <x:c r="BM2" s="76" t="str">
        <x:v>Name</x:v>
      </x:c>
      <x:c r="BN2" s="76" t="str">
        <x:v>Type</x:v>
      </x:c>
      <x:c r="BO2" s="76" t="str">
        <x:v>Side</x:v>
      </x:c>
      <x:c r="BP2" s="76" t="str">
        <x:v>Start price</x:v>
      </x:c>
      <x:c r="BQ2" s="76" t="str">
        <x:v>End price</x:v>
      </x:c>
      <x:c r="BR2" s="76" t="str">
        <x:v>Position (% NAV)</x:v>
      </x:c>
      <x:c r="BS2" s="76" t="str">
        <x:v>Quantity / units</x:v>
      </x:c>
      <x:c r="BT2" s="76" t="str">
        <x:v>Value / notional</x:v>
      </x:c>
      <x:c r="BU2" s="76" t="str">
        <x:v>Spot price</x:v>
      </x:c>
      <x:c r="BV2" s="76" t="str">
        <x:v>Premium</x:v>
      </x:c>
      <x:c r="BW2" s="76" t="str">
        <x:v>Matched USD rate</x:v>
      </x:c>
      <x:c r="BX2" s="76" t="str">
        <x:v>Lease rate</x:v>
      </x:c>
      <x:c r="BY2" s="76" t="str">
        <x:v>Maturity (days)</x:v>
      </x:c>
      <x:c r="BZ2" s="76" t="str">
        <x:v>Return contribution</x:v>
      </x:c>
      <x:c r="CA2" s="76" t="str">
        <x:v>Name</x:v>
      </x:c>
      <x:c r="CB2" s="76" t="str">
        <x:v>Type</x:v>
      </x:c>
      <x:c r="CC2" s="76" t="str">
        <x:v>Side</x:v>
      </x:c>
      <x:c r="CD2" s="76" t="str">
        <x:v>Start price</x:v>
      </x:c>
      <x:c r="CE2" s="76" t="str">
        <x:v>End price</x:v>
      </x:c>
      <x:c r="CF2" s="76" t="str">
        <x:v>Position (% NAV)</x:v>
      </x:c>
      <x:c r="CG2" s="76" t="str">
        <x:v>Quantity / units</x:v>
      </x:c>
      <x:c r="CH2" s="76" t="str">
        <x:v>Value / notional</x:v>
      </x:c>
      <x:c r="CI2" s="76" t="str">
        <x:v>Spot price</x:v>
      </x:c>
      <x:c r="CJ2" s="76" t="str">
        <x:v>Premium</x:v>
      </x:c>
      <x:c r="CK2" s="76" t="str">
        <x:v>Matched USD rate</x:v>
      </x:c>
      <x:c r="CL2" s="76" t="str">
        <x:v>Lease rate</x:v>
      </x:c>
      <x:c r="CM2" s="76" t="str">
        <x:v>Maturity (days)</x:v>
      </x:c>
      <x:c r="CN2" s="76" t="str">
        <x:v>Return contribution</x:v>
      </x:c>
      <x:c r="CO2" s="76" t="str">
        <x:v>Name</x:v>
      </x:c>
      <x:c r="CP2" s="76" t="str">
        <x:v>Type</x:v>
      </x:c>
      <x:c r="CQ2" s="76" t="str">
        <x:v>Side</x:v>
      </x:c>
      <x:c r="CR2" s="76" t="str">
        <x:v>Start price</x:v>
      </x:c>
      <x:c r="CS2" s="76" t="str">
        <x:v>End price</x:v>
      </x:c>
      <x:c r="CT2" s="76" t="str">
        <x:v>Position (% NAV)</x:v>
      </x:c>
      <x:c r="CU2" s="76" t="str">
        <x:v>Quantity / units</x:v>
      </x:c>
      <x:c r="CV2" s="76" t="str">
        <x:v>Value / notional</x:v>
      </x:c>
      <x:c r="CW2" s="76" t="str">
        <x:v>Spot price</x:v>
      </x:c>
      <x:c r="CX2" s="76" t="str">
        <x:v>Premium</x:v>
      </x:c>
      <x:c r="CY2" s="76" t="str">
        <x:v>Matched USD rate</x:v>
      </x:c>
      <x:c r="CZ2" s="76" t="str">
        <x:v>Lease rate</x:v>
      </x:c>
      <x:c r="DA2" s="76" t="str">
        <x:v>Maturity (days)</x:v>
      </x:c>
      <x:c r="DB2" s="76" t="str">
        <x:v>Return contribution</x:v>
      </x:c>
      <x:c r="DC2" s="76" t="str">
        <x:v>Name</x:v>
      </x:c>
      <x:c r="DD2" s="76" t="str">
        <x:v>Type</x:v>
      </x:c>
      <x:c r="DE2" s="76" t="str">
        <x:v>Side</x:v>
      </x:c>
      <x:c r="DF2" s="76" t="str">
        <x:v>Start price</x:v>
      </x:c>
      <x:c r="DG2" s="76" t="str">
        <x:v>End price</x:v>
      </x:c>
      <x:c r="DH2" s="76" t="str">
        <x:v>Position (% NAV)</x:v>
      </x:c>
      <x:c r="DI2" s="76" t="str">
        <x:v>Quantity / units</x:v>
      </x:c>
      <x:c r="DJ2" s="76" t="str">
        <x:v>Value / notional</x:v>
      </x:c>
      <x:c r="DK2" s="76" t="str">
        <x:v>Spot price</x:v>
      </x:c>
      <x:c r="DL2" s="76" t="str">
        <x:v>Premium</x:v>
      </x:c>
      <x:c r="DM2" s="76" t="str">
        <x:v>Matched USD rate</x:v>
      </x:c>
      <x:c r="DN2" s="76" t="str">
        <x:v>Lease rate</x:v>
      </x:c>
      <x:c r="DO2" s="76" t="str">
        <x:v>Maturity (days)</x:v>
      </x:c>
      <x:c r="DP2" s="76" t="str">
        <x:v>Return contribution</x:v>
      </x:c>
      <x:c r="DQ2" s="76" t="str">
        <x:v>Name</x:v>
      </x:c>
      <x:c r="DR2" s="76" t="str">
        <x:v>Type</x:v>
      </x:c>
      <x:c r="DS2" s="76" t="str">
        <x:v>Side</x:v>
      </x:c>
      <x:c r="DT2" s="76" t="str">
        <x:v>Start price</x:v>
      </x:c>
      <x:c r="DU2" s="76" t="str">
        <x:v>End price</x:v>
      </x:c>
      <x:c r="DV2" s="76" t="str">
        <x:v>Position (% NAV)</x:v>
      </x:c>
      <x:c r="DW2" s="76" t="str">
        <x:v>Quantity / units</x:v>
      </x:c>
      <x:c r="DX2" s="76" t="str">
        <x:v>Value / notional</x:v>
      </x:c>
      <x:c r="DY2" s="76" t="str">
        <x:v>Spot price</x:v>
      </x:c>
      <x:c r="DZ2" s="76" t="str">
        <x:v>Premium</x:v>
      </x:c>
      <x:c r="EA2" s="76" t="str">
        <x:v>Matched USD rate</x:v>
      </x:c>
      <x:c r="EB2" s="76" t="str">
        <x:v>Lease rate</x:v>
      </x:c>
      <x:c r="EC2" s="76" t="str">
        <x:v>Maturity (days)</x:v>
      </x:c>
      <x:c r="ED2" s="76" t="str">
        <x:v>Return contribution</x:v>
      </x:c>
      <x:c r="EE2" s="76" t="str">
        <x:v>Name</x:v>
      </x:c>
      <x:c r="EF2" s="76" t="str">
        <x:v>Type</x:v>
      </x:c>
      <x:c r="EG2" s="76" t="str">
        <x:v>Side</x:v>
      </x:c>
      <x:c r="EH2" s="76" t="str">
        <x:v>Start price</x:v>
      </x:c>
      <x:c r="EI2" s="76" t="str">
        <x:v>End price</x:v>
      </x:c>
      <x:c r="EJ2" s="76" t="str">
        <x:v>Position (% NAV)</x:v>
      </x:c>
      <x:c r="EK2" s="76" t="str">
        <x:v>Quantity / units</x:v>
      </x:c>
      <x:c r="EL2" s="76" t="str">
        <x:v>Value / notional</x:v>
      </x:c>
      <x:c r="EM2" s="76" t="str">
        <x:v>Spot price</x:v>
      </x:c>
      <x:c r="EN2" s="76" t="str">
        <x:v>Premium</x:v>
      </x:c>
      <x:c r="EO2" s="76" t="str">
        <x:v>Matched USD rate</x:v>
      </x:c>
      <x:c r="EP2" s="76" t="str">
        <x:v>Lease rate</x:v>
      </x:c>
      <x:c r="EQ2" s="76" t="str">
        <x:v>Maturity (days)</x:v>
      </x:c>
      <x:c r="ER2" s="76" t="str">
        <x:v>Return contribution</x:v>
      </x:c>
      <x:c r="ES2" s="76" t="str">
        <x:v>Name</x:v>
      </x:c>
      <x:c r="ET2" s="76" t="str">
        <x:v>Type</x:v>
      </x:c>
      <x:c r="EU2" s="76" t="str">
        <x:v>Side</x:v>
      </x:c>
      <x:c r="EV2" s="76" t="str">
        <x:v>Start price</x:v>
      </x:c>
      <x:c r="EW2" s="76" t="str">
        <x:v>End price</x:v>
      </x:c>
      <x:c r="EX2" s="76" t="str">
        <x:v>Position (% NAV)</x:v>
      </x:c>
      <x:c r="EY2" s="76" t="str">
        <x:v>Quantity / units</x:v>
      </x:c>
      <x:c r="EZ2" s="76" t="str">
        <x:v>Value / notional</x:v>
      </x:c>
      <x:c r="FA2" s="76" t="str">
        <x:v>Spot price</x:v>
      </x:c>
      <x:c r="FB2" s="76" t="str">
        <x:v>Premium</x:v>
      </x:c>
      <x:c r="FC2" s="76" t="str">
        <x:v>Matched USD rate</x:v>
      </x:c>
      <x:c r="FD2" s="76" t="str">
        <x:v>Lease rate</x:v>
      </x:c>
      <x:c r="FE2" s="76" t="str">
        <x:v>Maturity (days)</x:v>
      </x:c>
      <x:c r="FF2" s="76" t="str">
        <x:v>Return contribution</x:v>
      </x:c>
      <x:c r="FG2" s="76" t="str">
        <x:v>Name</x:v>
      </x:c>
      <x:c r="FH2" s="76" t="str">
        <x:v>Type</x:v>
      </x:c>
      <x:c r="FI2" s="76" t="str">
        <x:v>Side</x:v>
      </x:c>
      <x:c r="FJ2" s="76" t="str">
        <x:v>Start price</x:v>
      </x:c>
      <x:c r="FK2" s="76" t="str">
        <x:v>End price</x:v>
      </x:c>
      <x:c r="FL2" s="76" t="str">
        <x:v>Position (% NAV)</x:v>
      </x:c>
      <x:c r="FM2" s="76" t="str">
        <x:v>Quantity / units</x:v>
      </x:c>
      <x:c r="FN2" s="76" t="str">
        <x:v>Value / notional</x:v>
      </x:c>
      <x:c r="FO2" s="76" t="str">
        <x:v>Spot price</x:v>
      </x:c>
      <x:c r="FP2" s="76" t="str">
        <x:v>Premium</x:v>
      </x:c>
      <x:c r="FQ2" s="76" t="str">
        <x:v>Matched USD rate</x:v>
      </x:c>
      <x:c r="FR2" s="76" t="str">
        <x:v>Lease rate</x:v>
      </x:c>
      <x:c r="FS2" s="76" t="str">
        <x:v>Maturity (days)</x:v>
      </x:c>
      <x:c r="FT2" s="76" t="str">
        <x:v>Return contribution</x:v>
      </x:c>
    </x:row>
    <x:row r="3" ht="18" customHeight="1">
      <x:c r="A3" s="163" t="n">
        <x:v>25205</x:v>
      </x:c>
      <x:c r="B3" s="163" t="n">
        <x:v>25206</x:v>
      </x:c>
      <x:c r="C3" s="170" t="n">
        <x:f>B3-A3</x:f>
        <x:v>1</x:v>
      </x:c>
      <x:c r="D3" s="163" t="n">
        <x:v>25205</x:v>
      </x:c>
      <x:c r="E3" s="147" t="str">
        <x:v>positive</x:v>
      </x:c>
      <x:c r="F3" s="165" t="n">
        <x:v>1</x:v>
      </x:c>
      <x:c r="G3" s="168" t="n">
        <x:v>0.00048216333609568326</x:v>
      </x:c>
      <x:c r="H3" s="172" t="n">
        <x:f>SUM(AX3,BL3,BZ3,CN3,DB3,DP3,ED3,ER3,FF3,FT3)</x:f>
        <x:v>0.00048216333609573054</x:v>
      </x:c>
      <x:c r="I3" s="174" t="n">
        <x:f>G3-H3</x:f>
        <x:v>-4.7271214720367993e-17</x:v>
      </x:c>
      <x:c r="J3" s="171" t="n">
        <x:f>F3*(1+H3)</x:f>
        <x:v>1.0004821633360956</x:v>
      </x:c>
      <x:c r="K3" s="169" t="n">
        <x:v>1.0004821633360956</x:v>
      </x:c>
      <x:c r="L3" s="175" t="n">
        <x:f>K3-J3</x:f>
        <x:v>0</x:v>
      </x:c>
      <x:c r="M3" s="167" t="n">
        <x:v>1.958</x:v>
      </x:c>
      <x:c r="N3" s="167" t="n">
        <x:v>1.967</x:v>
      </x:c>
      <x:c r="O3" s="172" t="n">
        <x:f>IFERROR(N3/M3-1,0)</x:f>
        <x:v>0.004596527068437162</x:v>
      </x:c>
      <x:c r="P3" s="171" t="n">
        <x:f>IFERROR(AD3/AH3,0)</x:f>
        <x:v>1</x:v>
      </x:c>
      <x:c r="Q3" s="171" t="n">
        <x:f>IFERROR(AE3/AI3,0)</x:f>
        <x:v>0.9959044615211364</x:v>
      </x:c>
      <x:c r="R3" s="172" t="n">
        <x:f>IFERROR((Q3-P3)/(P3+S3),0)</x:f>
        <x:v>-0.00409553847886357</x:v>
      </x:c>
      <x:c r="S3" s="172" t="n">
        <x:f>IFERROR(AF3/AH3,0)</x:f>
        <x:v>0</x:v>
      </x:c>
      <x:c r="T3" s="172" t="n">
        <x:f>IFERROR(AG3/AI3,0)</x:f>
        <x:v>0</x:v>
      </x:c>
      <x:c r="U3" s="172" t="n">
        <x:f>IFERROR((T3-S3)/(P3+S3),0)</x:f>
        <x:v>0</x:v>
      </x:c>
      <x:c r="V3" s="172" t="n">
        <x:f>R3+U3</x:f>
        <x:v>-0.00409553847886357</x:v>
      </x:c>
      <x:c r="W3" s="172" t="n">
        <x:f>(1+O3)*(1+V3)-1</x:f>
        <x:v>0.0004821633360956312</x:v>
      </x:c>
      <x:c r="X3" s="174" t="n">
        <x:f>G3-W3</x:f>
        <x:v>5.204170427930421e-17</x:v>
      </x:c>
      <x:c r="Y3" s="172" t="n">
        <x:f>AX3</x:f>
        <x:v>0.002499714488723654</x:v>
      </x:c>
      <x:c r="Z3" s="172" t="n">
        <x:f>BL3</x:f>
        <x:v>0.00007660056358918333</x:v>
      </x:c>
      <x:c r="AA3" s="172" t="n">
        <x:f>SUM(BZ3,CN3,DB3,DP3,ED3,ER3,FF3,FT3)</x:f>
        <x:v>-0.0020941517162171067</x:v>
      </x:c>
      <x:c r="AB3" s="172" t="n">
        <x:f>SUM(Y3:AA3)</x:f>
        <x:v>0.00048216333609573054</x:v>
      </x:c>
      <x:c r="AC3" s="174" t="n">
        <x:f>G3-AB3</x:f>
        <x:v>-4.7271214720367993e-17</x:v>
      </x:c>
      <x:c r="AD3" s="169" t="n">
        <x:v>1</x:v>
      </x:c>
      <x:c r="AE3" s="169" t="n">
        <x:v>1.0004821633360956</x:v>
      </x:c>
      <x:c r="AF3" s="169" t="n">
        <x:v>0</x:v>
      </x:c>
      <x:c r="AG3" s="169" t="n">
        <x:v>0</x:v>
      </x:c>
      <x:c r="AH3" s="171" t="n">
        <x:f>M3/$M$3</x:f>
        <x:v>1</x:v>
      </x:c>
      <x:c r="AI3" s="171" t="n">
        <x:f>N3/$M$3</x:f>
        <x:v>1.0045965270684372</x:v>
      </x:c>
      <x:c r="AJ3" s="170" t="n">
        <x:f>IF(AK3&lt;&gt;"",1,0)+IF(AY3&lt;&gt;"",1,0)+IF(BM3&lt;&gt;"",1,0)+IF(CA3&lt;&gt;"",1,0)+IF(CO3&lt;&gt;"",1,0)+IF(DC3&lt;&gt;"",1,0)+IF(DQ3&lt;&gt;"",1,0)+IF(EE3&lt;&gt;"",1,0)+IF(ES3&lt;&gt;"",1,0)+IF(FG3&lt;&gt;"",1,0)</x:f>
        <x:v>3</x:v>
      </x:c>
      <x:c r="AK3" s="147" t="str">
        <x:v>Silver replicating holding (LBMA/SLV proxy)</x:v>
      </x:c>
      <x:c r="AL3" s="147" t="str">
        <x:v>Physical-backed proxy</x:v>
      </x:c>
      <x:c r="AM3" s="147" t="str">
        <x:v>Long</x:v>
      </x:c>
      <x:c r="AN3" s="167" t="n">
        <x:v>1.958</x:v>
      </x:c>
      <x:c r="AO3" s="167" t="n">
        <x:v>1.967</x:v>
      </x:c>
      <x:c r="AP3" s="166" t="n">
        <x:v>0.544638343484779</x:v>
      </x:c>
      <x:c r="AQ3" s="171" t="n">
        <x:f>IF(AK3="","",IFERROR(F3*AP3/AN3,0))</x:f>
        <x:v>0.2781605431485082</x:v>
      </x:c>
      <x:c r="AR3" s="171" t="n">
        <x:f>IF(AK3="","",F3*ABS(AP3))</x:f>
        <x:v>0.544638343484779</x:v>
      </x:c>
      <x:c r="AS3" s="165"/>
      <x:c r="AT3" s="172" t="str">
        <x:f>IF(AK3="","",IF(AS3="","",IFERROR(AN3/AS3-1,0)))</x:f>
      </x:c>
      <x:c r="AU3" s="166"/>
      <x:c r="AV3" s="172" t="str">
        <x:f>IF(AK3="","",IF(AU3="","",AU3-AT3*365/AW3))</x:f>
      </x:c>
      <x:c r="AW3" s="164"/>
      <x:c r="AX3" s="173" t="n">
        <x:f>IF(AK3="","",IFERROR(AP3*(AO3/AN3-1-'Parameters'!$C$6*C3/365),0))</x:f>
        <x:v>0.002499714488723654</x:v>
      </x:c>
      <x:c r="AY3" s="147" t="str">
        <x:v>Matched-maturity Treasury collateral</x:v>
      </x:c>
      <x:c r="AZ3" s="147" t="str">
        <x:v>Treasury</x:v>
      </x:c>
      <x:c r="BA3" s="147" t="str">
        <x:v>Long</x:v>
      </x:c>
      <x:c r="BB3" s="167" t="n">
        <x:v>100</x:v>
      </x:c>
      <x:c r="BC3" s="167" t="n">
        <x:v>100.01682191780823</x:v>
      </x:c>
      <x:c r="BD3" s="166" t="n">
        <x:v>0.45536165651522104</x:v>
      </x:c>
      <x:c r="BE3" s="171" t="n">
        <x:f>IF(AY3="","",IFERROR(F3*BD3/BB3,0))</x:f>
        <x:v>0.0045536165651522105</x:v>
      </x:c>
      <x:c r="BF3" s="171" t="n">
        <x:f>IF(AY3="","",F3*ABS(BD3))</x:f>
        <x:v>0.45536165651522104</x:v>
      </x:c>
      <x:c r="BG3" s="165"/>
      <x:c r="BH3" s="172" t="str">
        <x:f>IF(AY3="","",IF(BG3="","",IFERROR(BB3/BG3-1,0)))</x:f>
      </x:c>
      <x:c r="BI3" s="166"/>
      <x:c r="BJ3" s="172" t="str">
        <x:f>IF(AY3="","",IF(BI3="","",BI3-BH3*365/BK3))</x:f>
      </x:c>
      <x:c r="BK3" s="164" t="n">
        <x:v>27</x:v>
      </x:c>
      <x:c r="BL3" s="172" t="n">
        <x:f>IF(AY3="","",IFERROR(BD3*(BC3/BB3-1),0))</x:f>
        <x:v>0.00007660056358918333</x:v>
      </x:c>
      <x:c r="BM3" s="147" t="str">
        <x:v>SI69F</x:v>
      </x:c>
      <x:c r="BN3" s="147" t="str">
        <x:v>Silver future (regular)</x:v>
      </x:c>
      <x:c r="BO3" s="147" t="str">
        <x:v>Long</x:v>
      </x:c>
      <x:c r="BP3" s="167" t="n">
        <x:v>1.9569999999999999</x:v>
      </x:c>
      <x:c r="BQ3" s="167" t="n">
        <x:v>1.9480000000000002</x:v>
      </x:c>
      <x:c r="BR3" s="166" t="n">
        <x:v>0.45536165651522104</x:v>
      </x:c>
      <x:c r="BS3" s="171" t="n">
        <x:f>IF(BM3="","",IFERROR(F3*BR3/BP3,0))</x:f>
        <x:v>0.2326835240241293</x:v>
      </x:c>
      <x:c r="BT3" s="171" t="n">
        <x:f>IF(BM3="","",F3*ABS(BR3))</x:f>
        <x:v>0.45536165651522104</x:v>
      </x:c>
      <x:c r="BU3" s="165" t="n">
        <x:v>1.958</x:v>
      </x:c>
      <x:c r="BV3" s="172" t="n">
        <x:f>IF(BM3="","",IF(BU3="","",IFERROR(BP3/BU3-1,0)))</x:f>
        <x:v>-0.0005107252298264253</x:v>
      </x:c>
      <x:c r="BW3" s="166" t="n">
        <x:v>0.0614</x:v>
      </x:c>
      <x:c r="BX3" s="172" t="n">
        <x:f>IF(BM3="","",IF(BW3="","",BW3-BV3*365/BY3))</x:f>
        <x:v>0.06830424847728316</x:v>
      </x:c>
      <x:c r="BY3" s="164" t="n">
        <x:v>27</x:v>
      </x:c>
      <x:c r="BZ3" s="172" t="n">
        <x:f>IF(BM3="","",IFERROR(BR3*(BQ3/BP3-1),0))</x:f>
        <x:v>-0.0020941517162171067</x:v>
      </x:c>
      <x:c r="CA3" s="147"/>
      <x:c r="CB3" s="147"/>
      <x:c r="CC3" s="147"/>
      <x:c r="CD3" s="167"/>
      <x:c r="CE3" s="167"/>
      <x:c r="CF3" s="166"/>
      <x:c r="CG3" s="171" t="str">
        <x:f>IF(CA3="","",IFERROR(F3*CF3/CD3,0))</x:f>
      </x:c>
      <x:c r="CH3" s="171" t="str">
        <x:f>IF(CA3="","",F3*ABS(CF3))</x:f>
      </x:c>
      <x:c r="CI3" s="165"/>
      <x:c r="CJ3" s="172" t="str">
        <x:f>IF(CA3="","",IF(CI3="","",IFERROR(CD3/CI3-1,0)))</x:f>
      </x:c>
      <x:c r="CK3" s="166"/>
      <x:c r="CL3" s="172" t="str">
        <x:f>IF(CA3="","",IF(CK3="","",CK3-CJ3*365/CM3))</x:f>
      </x:c>
      <x:c r="CM3" s="164"/>
      <x:c r="CN3" s="172" t="str">
        <x:f>IF(CA3="","",IFERROR(CF3*(CE3/CD3-1),0))</x:f>
      </x:c>
      <x:c r="CO3" s="147"/>
      <x:c r="CP3" s="147"/>
      <x:c r="CQ3" s="147"/>
      <x:c r="CR3" s="167"/>
      <x:c r="CS3" s="167"/>
      <x:c r="CT3" s="166"/>
      <x:c r="CU3" s="171" t="str">
        <x:f>IF(CO3="","",IFERROR(F3*CT3/CR3,0))</x:f>
      </x:c>
      <x:c r="CV3" s="171" t="str">
        <x:f>IF(CO3="","",F3*ABS(CT3))</x:f>
      </x:c>
      <x:c r="CW3" s="165"/>
      <x:c r="CX3" s="172" t="str">
        <x:f>IF(CO3="","",IF(CW3="","",IFERROR(CR3/CW3-1,0)))</x:f>
      </x:c>
      <x:c r="CY3" s="166"/>
      <x:c r="CZ3" s="172" t="str">
        <x:f>IF(CO3="","",IF(CY3="","",CY3-CX3*365/DA3))</x:f>
      </x:c>
      <x:c r="DA3" s="164"/>
      <x:c r="DB3" s="172" t="str">
        <x:f>IF(CO3="","",IFERROR(CT3*(CS3/CR3-1),0))</x:f>
      </x:c>
      <x:c r="DC3" s="147"/>
      <x:c r="DD3" s="147"/>
      <x:c r="DE3" s="147"/>
      <x:c r="DF3" s="167"/>
      <x:c r="DG3" s="167"/>
      <x:c r="DH3" s="166"/>
      <x:c r="DI3" s="171" t="str">
        <x:f>IF(DC3="","",IFERROR(F3*DH3/DF3,0))</x:f>
      </x:c>
      <x:c r="DJ3" s="171" t="str">
        <x:f>IF(DC3="","",F3*ABS(DH3))</x:f>
      </x:c>
      <x:c r="DK3" s="165"/>
      <x:c r="DL3" s="172" t="str">
        <x:f>IF(DC3="","",IF(DK3="","",IFERROR(DF3/DK3-1,0)))</x:f>
      </x:c>
      <x:c r="DM3" s="166"/>
      <x:c r="DN3" s="172" t="str">
        <x:f>IF(DC3="","",IF(DM3="","",DM3-DL3*365/DO3))</x:f>
      </x:c>
      <x:c r="DO3" s="164"/>
      <x:c r="DP3" s="172" t="str">
        <x:f>IF(DC3="","",IFERROR(DH3*(DG3/DF3-1),0))</x:f>
      </x:c>
      <x:c r="DQ3" s="147"/>
      <x:c r="DR3" s="147"/>
      <x:c r="DS3" s="147"/>
      <x:c r="DT3" s="167"/>
      <x:c r="DU3" s="167"/>
      <x:c r="DV3" s="166"/>
      <x:c r="DW3" s="171" t="str">
        <x:f>IF(DQ3="","",IFERROR(F3*DV3/DT3,0))</x:f>
      </x:c>
      <x:c r="DX3" s="171" t="str">
        <x:f>IF(DQ3="","",F3*ABS(DV3))</x:f>
      </x:c>
      <x:c r="DY3" s="165"/>
      <x:c r="DZ3" s="172" t="str">
        <x:f>IF(DQ3="","",IF(DY3="","",IFERROR(DT3/DY3-1,0)))</x:f>
      </x:c>
      <x:c r="EA3" s="166"/>
      <x:c r="EB3" s="172" t="str">
        <x:f>IF(DQ3="","",IF(EA3="","",EA3-DZ3*365/EC3))</x:f>
      </x:c>
      <x:c r="EC3" s="164"/>
      <x:c r="ED3" s="172" t="str">
        <x:f>IF(DQ3="","",IFERROR(DV3*(DU3/DT3-1),0))</x:f>
      </x:c>
      <x:c r="EE3" s="147"/>
      <x:c r="EF3" s="147"/>
      <x:c r="EG3" s="147"/>
      <x:c r="EH3" s="167"/>
      <x:c r="EI3" s="167"/>
      <x:c r="EJ3" s="166"/>
      <x:c r="EK3" s="171" t="str">
        <x:f>IF(EE3="","",IFERROR(F3*EJ3/EH3,0))</x:f>
      </x:c>
      <x:c r="EL3" s="171" t="str">
        <x:f>IF(EE3="","",F3*ABS(EJ3))</x:f>
      </x:c>
      <x:c r="EM3" s="165"/>
      <x:c r="EN3" s="172" t="str">
        <x:f>IF(EE3="","",IF(EM3="","",IFERROR(EH3/EM3-1,0)))</x:f>
      </x:c>
      <x:c r="EO3" s="166"/>
      <x:c r="EP3" s="172" t="str">
        <x:f>IF(EE3="","",IF(EO3="","",EO3-EN3*365/EQ3))</x:f>
      </x:c>
      <x:c r="EQ3" s="164"/>
      <x:c r="ER3" s="172" t="str">
        <x:f>IF(EE3="","",IFERROR(EJ3*(EI3/EH3-1),0))</x:f>
      </x:c>
      <x:c r="ES3" s="147"/>
      <x:c r="ET3" s="147"/>
      <x:c r="EU3" s="147"/>
      <x:c r="EV3" s="167"/>
      <x:c r="EW3" s="167"/>
      <x:c r="EX3" s="166"/>
      <x:c r="EY3" s="171" t="str">
        <x:f>IF(ES3="","",IFERROR(F3*EX3/EV3,0))</x:f>
      </x:c>
      <x:c r="EZ3" s="171" t="str">
        <x:f>IF(ES3="","",F3*ABS(EX3))</x:f>
      </x:c>
      <x:c r="FA3" s="165"/>
      <x:c r="FB3" s="172" t="str">
        <x:f>IF(ES3="","",IF(FA3="","",IFERROR(EV3/FA3-1,0)))</x:f>
      </x:c>
      <x:c r="FC3" s="166"/>
      <x:c r="FD3" s="172" t="str">
        <x:f>IF(ES3="","",IF(FC3="","",FC3-FB3*365/FE3))</x:f>
      </x:c>
      <x:c r="FE3" s="164"/>
      <x:c r="FF3" s="172" t="str">
        <x:f>IF(ES3="","",IFERROR(EX3*(EW3/EV3-1),0))</x:f>
      </x:c>
      <x:c r="FG3" s="147"/>
      <x:c r="FH3" s="147"/>
      <x:c r="FI3" s="147"/>
      <x:c r="FJ3" s="167"/>
      <x:c r="FK3" s="167"/>
      <x:c r="FL3" s="166"/>
      <x:c r="FM3" s="171" t="str">
        <x:f>IF(FG3="","",IFERROR(F3*FL3/FJ3,0))</x:f>
      </x:c>
      <x:c r="FN3" s="171" t="str">
        <x:f>IF(FG3="","",F3*ABS(FL3))</x:f>
      </x:c>
      <x:c r="FO3" s="165"/>
      <x:c r="FP3" s="172" t="str">
        <x:f>IF(FG3="","",IF(FO3="","",IFERROR(FJ3/FO3-1,0)))</x:f>
      </x:c>
      <x:c r="FQ3" s="166"/>
      <x:c r="FR3" s="172" t="str">
        <x:f>IF(FG3="","",IF(FQ3="","",FQ3-FP3*365/FS3))</x:f>
      </x:c>
      <x:c r="FS3" s="164"/>
      <x:c r="FT3" s="172" t="str">
        <x:f>IF(FG3="","",IFERROR(FL3*(FK3/FJ3-1),0))</x:f>
      </x:c>
    </x:row>
    <x:row r="4" ht="18" customHeight="1">
      <x:c r="A4" s="163" t="n">
        <x:v>25206</x:v>
      </x:c>
      <x:c r="B4" s="163" t="n">
        <x:v>25209</x:v>
      </x:c>
      <x:c r="C4" s="170" t="n">
        <x:f>B4-A4</x:f>
        <x:v>3</x:v>
      </x:c>
      <x:c r="D4" s="163" t="n">
        <x:v>25206</x:v>
      </x:c>
      <x:c r="E4" s="147" t="str">
        <x:v>positive</x:v>
      </x:c>
      <x:c r="F4" s="165" t="n">
        <x:v>1.0004821633360956</x:v>
      </x:c>
      <x:c r="G4" s="168" t="n">
        <x:v>-0.0036029405642599675</x:v>
      </x:c>
      <x:c r="H4" s="172" t="n">
        <x:f>SUM(AX4,BL4,BZ4,CN4,DB4,DP4,ED4,ER4,FF4,FT4)</x:f>
        <x:v>-0.0036029405642599155</x:v>
      </x:c>
      <x:c r="I4" s="174" t="n">
        <x:f>G4-H4</x:f>
        <x:v>-5.204170427930421e-17</x:v>
      </x:c>
      <x:c r="J4" s="171" t="n">
        <x:f>F4*(1+H4)</x:f>
        <x:v>0.9968774855659935</x:v>
      </x:c>
      <x:c r="K4" s="169" t="n">
        <x:v>0.9968774855659935</x:v>
      </x:c>
      <x:c r="L4" s="175" t="n">
        <x:f>K4-J4</x:f>
        <x:v>0</x:v>
      </x:c>
      <x:c r="M4" s="167" t="n">
        <x:v>1.967</x:v>
      </x:c>
      <x:c r="N4" s="167" t="n">
        <x:v>1.972</x:v>
      </x:c>
      <x:c r="O4" s="172" t="n">
        <x:f>IFERROR(N4/M4-1,0)</x:f>
        <x:v>0.002541942043721379</x:v>
      </x:c>
      <x:c r="P4" s="171" t="n">
        <x:f>IFERROR(AD4/AH4,0)</x:f>
        <x:v>0.9959044615211364</x:v>
      </x:c>
      <x:c r="Q4" s="171" t="n">
        <x:f>IFERROR(AE4/AI4,0)</x:f>
        <x:v>0.9898002620376346</x:v>
      </x:c>
      <x:c r="R4" s="172" t="n">
        <x:f>IFERROR((Q4-P4)/(P4+S4),0)</x:f>
        <x:v>-0.00612930227682515</x:v>
      </x:c>
      <x:c r="S4" s="172" t="n">
        <x:f>IFERROR(AF4/AH4,0)</x:f>
        <x:v>0</x:v>
      </x:c>
      <x:c r="T4" s="172" t="n">
        <x:f>IFERROR(AG4/AI4,0)</x:f>
        <x:v>0</x:v>
      </x:c>
      <x:c r="U4" s="172" t="n">
        <x:f>IFERROR((T4-S4)/(P4+S4),0)</x:f>
        <x:v>0</x:v>
      </x:c>
      <x:c r="V4" s="172" t="n">
        <x:f>R4+U4</x:f>
        <x:v>-0.00612930227682515</x:v>
      </x:c>
      <x:c r="W4" s="172" t="n">
        <x:f>(1+O4)*(1+V4)-1</x:f>
        <x:v>-0.0036029405642599155</x:v>
      </x:c>
      <x:c r="X4" s="174" t="n">
        <x:f>G4-W4</x:f>
        <x:v>-5.204170427930421e-17</x:v>
      </x:c>
      <x:c r="Y4" s="172" t="str">
        <x:f>AX4</x:f>
      </x:c>
      <x:c r="Z4" s="172" t="n">
        <x:f>BL4</x:f>
        <x:v>0.0005038356164384084</x:v>
      </x:c>
      <x:c r="AA4" s="172" t="n">
        <x:f>SUM(BZ4,CN4,DB4,DP4,ED4,ER4,FF4,FT4)</x:f>
        <x:v>-0.004106776180698324</x:v>
      </x:c>
      <x:c r="AB4" s="172" t="n">
        <x:f>SUM(Y4:AA4)</x:f>
        <x:v>-0.0036029405642599155</x:v>
      </x:c>
      <x:c r="AC4" s="174" t="n">
        <x:f>G4-AB4</x:f>
        <x:v>-5.204170427930421e-17</x:v>
      </x:c>
      <x:c r="AD4" s="169" t="n">
        <x:v>1.0004821633360956</x:v>
      </x:c>
      <x:c r="AE4" s="169" t="n">
        <x:v>0.9968774855659934</x:v>
      </x:c>
      <x:c r="AF4" s="169" t="n">
        <x:v>0</x:v>
      </x:c>
      <x:c r="AG4" s="169" t="n">
        <x:v>0</x:v>
      </x:c>
      <x:c r="AH4" s="171" t="n">
        <x:f>M4/$M$3</x:f>
        <x:v>1.0045965270684372</x:v>
      </x:c>
      <x:c r="AI4" s="171" t="n">
        <x:f>N4/$M$3</x:f>
        <x:v>1.0071501532175688</x:v>
      </x:c>
      <x:c r="AJ4" s="170" t="n">
        <x:f>IF(AK4&lt;&gt;"",1,0)+IF(AY4&lt;&gt;"",1,0)+IF(BM4&lt;&gt;"",1,0)+IF(CA4&lt;&gt;"",1,0)+IF(CO4&lt;&gt;"",1,0)+IF(DC4&lt;&gt;"",1,0)+IF(DQ4&lt;&gt;"",1,0)+IF(EE4&lt;&gt;"",1,0)+IF(ES4&lt;&gt;"",1,0)+IF(FG4&lt;&gt;"",1,0)</x:f>
        <x:v>2</x:v>
      </x:c>
      <x:c r="AK4" s="147"/>
      <x:c r="AL4" s="147"/>
      <x:c r="AM4" s="147"/>
      <x:c r="AN4" s="167"/>
      <x:c r="AO4" s="167"/>
      <x:c r="AP4" s="166"/>
      <x:c r="AQ4" s="171" t="str">
        <x:f>IF(AK4="","",IFERROR(F4*AP4/AN4,0))</x:f>
      </x:c>
      <x:c r="AR4" s="171" t="str">
        <x:f>IF(AK4="","",F4*ABS(AP4))</x:f>
      </x:c>
      <x:c r="AS4" s="165"/>
      <x:c r="AT4" s="172" t="str">
        <x:f>IF(AK4="","",IF(AS4="","",IFERROR(AN4/AS4-1,0)))</x:f>
      </x:c>
      <x:c r="AU4" s="166"/>
      <x:c r="AV4" s="172" t="str">
        <x:f>IF(AK4="","",IF(AU4="","",AU4-AT4*365/AW4))</x:f>
      </x:c>
      <x:c r="AW4" s="164"/>
      <x:c r="AX4" s="173" t="str">
        <x:f>IF(AK4="","",IFERROR(AP4*(AO4/AN4-1),0))</x:f>
      </x:c>
      <x:c r="AY4" s="147" t="str">
        <x:v>Matched-maturity Treasury collateral</x:v>
      </x:c>
      <x:c r="AZ4" s="147" t="str">
        <x:v>Treasury</x:v>
      </x:c>
      <x:c r="BA4" s="147" t="str">
        <x:v>Long</x:v>
      </x:c>
      <x:c r="BB4" s="167" t="n">
        <x:v>100.01682191780823</x:v>
      </x:c>
      <x:c r="BC4" s="167" t="n">
        <x:v>100.06721395493341</x:v>
      </x:c>
      <x:c r="BD4" s="166" t="n">
        <x:v>1</x:v>
      </x:c>
      <x:c r="BE4" s="171" t="n">
        <x:f>IF(AY4="","",IFERROR(F4*BD4/BB4,0))</x:f>
        <x:v>0.010003138913554675</x:v>
      </x:c>
      <x:c r="BF4" s="171" t="n">
        <x:f>IF(AY4="","",F4*ABS(BD4))</x:f>
        <x:v>1.0004821633360956</x:v>
      </x:c>
      <x:c r="BG4" s="165"/>
      <x:c r="BH4" s="172" t="str">
        <x:f>IF(AY4="","",IF(BG4="","",IFERROR(BB4/BG4-1,0)))</x:f>
      </x:c>
      <x:c r="BI4" s="166"/>
      <x:c r="BJ4" s="172" t="str">
        <x:f>IF(AY4="","",IF(BI4="","",BI4-BH4*365/BK4))</x:f>
      </x:c>
      <x:c r="BK4" s="164" t="n">
        <x:v>26</x:v>
      </x:c>
      <x:c r="BL4" s="172" t="n">
        <x:f>IF(AY4="","",IFERROR(BD4*(BC4/BB4-1),0))</x:f>
        <x:v>0.0005038356164384084</x:v>
      </x:c>
      <x:c r="BM4" s="147" t="str">
        <x:v>SI69F</x:v>
      </x:c>
      <x:c r="BN4" s="147" t="str">
        <x:v>Silver future (regular)</x:v>
      </x:c>
      <x:c r="BO4" s="147" t="str">
        <x:v>Long</x:v>
      </x:c>
      <x:c r="BP4" s="167" t="n">
        <x:v>1.9480000000000002</x:v>
      </x:c>
      <x:c r="BQ4" s="167" t="n">
        <x:v>1.94</x:v>
      </x:c>
      <x:c r="BR4" s="166" t="n">
        <x:v>1</x:v>
      </x:c>
      <x:c r="BS4" s="171" t="n">
        <x:f>IF(BM4="","",IFERROR(F4*BR4/BP4,0))</x:f>
        <x:v>0.5135945397002544</x:v>
      </x:c>
      <x:c r="BT4" s="171" t="n">
        <x:f>IF(BM4="","",F4*ABS(BR4))</x:f>
        <x:v>1.0004821633360956</x:v>
      </x:c>
      <x:c r="BU4" s="165" t="n">
        <x:v>1.967</x:v>
      </x:c>
      <x:c r="BV4" s="172" t="n">
        <x:f>IF(BM4="","",IF(BU4="","",IFERROR(BP4/BU4-1,0)))</x:f>
        <x:v>-0.009659379766141285</x:v>
      </x:c>
      <x:c r="BW4" s="166" t="n">
        <x:v>0.0613</x:v>
      </x:c>
      <x:c r="BX4" s="172" t="n">
        <x:f>IF(BM4="","",IF(BW4="","",BW4-BV4*365/BY4))</x:f>
        <x:v>0.19690283133236802</x:v>
      </x:c>
      <x:c r="BY4" s="164" t="n">
        <x:v>26</x:v>
      </x:c>
      <x:c r="BZ4" s="172" t="n">
        <x:f>IF(BM4="","",IFERROR(BR4*(BQ4/BP4-1),0))</x:f>
        <x:v>-0.004106776180698324</x:v>
      </x:c>
      <x:c r="CA4" s="147"/>
      <x:c r="CB4" s="147"/>
      <x:c r="CC4" s="147"/>
      <x:c r="CD4" s="167"/>
      <x:c r="CE4" s="167"/>
      <x:c r="CF4" s="166"/>
      <x:c r="CG4" s="171" t="str">
        <x:f>IF(CA4="","",IFERROR(F4*CF4/CD4,0))</x:f>
      </x:c>
      <x:c r="CH4" s="171" t="str">
        <x:f>IF(CA4="","",F4*ABS(CF4))</x:f>
      </x:c>
      <x:c r="CI4" s="165"/>
      <x:c r="CJ4" s="172" t="str">
        <x:f>IF(CA4="","",IF(CI4="","",IFERROR(CD4/CI4-1,0)))</x:f>
      </x:c>
      <x:c r="CK4" s="166"/>
      <x:c r="CL4" s="172" t="str">
        <x:f>IF(CA4="","",IF(CK4="","",CK4-CJ4*365/CM4))</x:f>
      </x:c>
      <x:c r="CM4" s="164"/>
      <x:c r="CN4" s="172" t="str">
        <x:f>IF(CA4="","",IFERROR(CF4*(CE4/CD4-1),0))</x:f>
      </x:c>
      <x:c r="CO4" s="147"/>
      <x:c r="CP4" s="147"/>
      <x:c r="CQ4" s="147"/>
      <x:c r="CR4" s="167"/>
      <x:c r="CS4" s="167"/>
      <x:c r="CT4" s="166"/>
      <x:c r="CU4" s="171" t="str">
        <x:f>IF(CO4="","",IFERROR(F4*CT4/CR4,0))</x:f>
      </x:c>
      <x:c r="CV4" s="171" t="str">
        <x:f>IF(CO4="","",F4*ABS(CT4))</x:f>
      </x:c>
      <x:c r="CW4" s="165"/>
      <x:c r="CX4" s="172" t="str">
        <x:f>IF(CO4="","",IF(CW4="","",IFERROR(CR4/CW4-1,0)))</x:f>
      </x:c>
      <x:c r="CY4" s="166"/>
      <x:c r="CZ4" s="172" t="str">
        <x:f>IF(CO4="","",IF(CY4="","",CY4-CX4*365/DA4))</x:f>
      </x:c>
      <x:c r="DA4" s="164"/>
      <x:c r="DB4" s="172" t="str">
        <x:f>IF(CO4="","",IFERROR(CT4*(CS4/CR4-1),0))</x:f>
      </x:c>
      <x:c r="DC4" s="147"/>
      <x:c r="DD4" s="147"/>
      <x:c r="DE4" s="147"/>
      <x:c r="DF4" s="167"/>
      <x:c r="DG4" s="167"/>
      <x:c r="DH4" s="166"/>
      <x:c r="DI4" s="171" t="str">
        <x:f>IF(DC4="","",IFERROR(F4*DH4/DF4,0))</x:f>
      </x:c>
      <x:c r="DJ4" s="171" t="str">
        <x:f>IF(DC4="","",F4*ABS(DH4))</x:f>
      </x:c>
      <x:c r="DK4" s="165"/>
      <x:c r="DL4" s="172" t="str">
        <x:f>IF(DC4="","",IF(DK4="","",IFERROR(DF4/DK4-1,0)))</x:f>
      </x:c>
      <x:c r="DM4" s="166"/>
      <x:c r="DN4" s="172" t="str">
        <x:f>IF(DC4="","",IF(DM4="","",DM4-DL4*365/DO4))</x:f>
      </x:c>
      <x:c r="DO4" s="164"/>
      <x:c r="DP4" s="172" t="str">
        <x:f>IF(DC4="","",IFERROR(DH4*(DG4/DF4-1),0))</x:f>
      </x:c>
      <x:c r="DQ4" s="147"/>
      <x:c r="DR4" s="147"/>
      <x:c r="DS4" s="147"/>
      <x:c r="DT4" s="167"/>
      <x:c r="DU4" s="167"/>
      <x:c r="DV4" s="166"/>
      <x:c r="DW4" s="171" t="str">
        <x:f>IF(DQ4="","",IFERROR(F4*DV4/DT4,0))</x:f>
      </x:c>
      <x:c r="DX4" s="171" t="str">
        <x:f>IF(DQ4="","",F4*ABS(DV4))</x:f>
      </x:c>
      <x:c r="DY4" s="165"/>
      <x:c r="DZ4" s="172" t="str">
        <x:f>IF(DQ4="","",IF(DY4="","",IFERROR(DT4/DY4-1,0)))</x:f>
      </x:c>
      <x:c r="EA4" s="166"/>
      <x:c r="EB4" s="172" t="str">
        <x:f>IF(DQ4="","",IF(EA4="","",EA4-DZ4*365/EC4))</x:f>
      </x:c>
      <x:c r="EC4" s="164"/>
      <x:c r="ED4" s="172" t="str">
        <x:f>IF(DQ4="","",IFERROR(DV4*(DU4/DT4-1),0))</x:f>
      </x:c>
      <x:c r="EE4" s="147"/>
      <x:c r="EF4" s="147"/>
      <x:c r="EG4" s="147"/>
      <x:c r="EH4" s="167"/>
      <x:c r="EI4" s="167"/>
      <x:c r="EJ4" s="166"/>
      <x:c r="EK4" s="171" t="str">
        <x:f>IF(EE4="","",IFERROR(F4*EJ4/EH4,0))</x:f>
      </x:c>
      <x:c r="EL4" s="171" t="str">
        <x:f>IF(EE4="","",F4*ABS(EJ4))</x:f>
      </x:c>
      <x:c r="EM4" s="165"/>
      <x:c r="EN4" s="172" t="str">
        <x:f>IF(EE4="","",IF(EM4="","",IFERROR(EH4/EM4-1,0)))</x:f>
      </x:c>
      <x:c r="EO4" s="166"/>
      <x:c r="EP4" s="172" t="str">
        <x:f>IF(EE4="","",IF(EO4="","",EO4-EN4*365/EQ4))</x:f>
      </x:c>
      <x:c r="EQ4" s="164"/>
      <x:c r="ER4" s="172" t="str">
        <x:f>IF(EE4="","",IFERROR(EJ4*(EI4/EH4-1),0))</x:f>
      </x:c>
      <x:c r="ES4" s="147"/>
      <x:c r="ET4" s="147"/>
      <x:c r="EU4" s="147"/>
      <x:c r="EV4" s="167"/>
      <x:c r="EW4" s="167"/>
      <x:c r="EX4" s="166"/>
      <x:c r="EY4" s="171" t="str">
        <x:f>IF(ES4="","",IFERROR(F4*EX4/EV4,0))</x:f>
      </x:c>
      <x:c r="EZ4" s="171" t="str">
        <x:f>IF(ES4="","",F4*ABS(EX4))</x:f>
      </x:c>
      <x:c r="FA4" s="165"/>
      <x:c r="FB4" s="172" t="str">
        <x:f>IF(ES4="","",IF(FA4="","",IFERROR(EV4/FA4-1,0)))</x:f>
      </x:c>
      <x:c r="FC4" s="166"/>
      <x:c r="FD4" s="172" t="str">
        <x:f>IF(ES4="","",IF(FC4="","",FC4-FB4*365/FE4))</x:f>
      </x:c>
      <x:c r="FE4" s="164"/>
      <x:c r="FF4" s="172" t="str">
        <x:f>IF(ES4="","",IFERROR(EX4*(EW4/EV4-1),0))</x:f>
      </x:c>
      <x:c r="FG4" s="147"/>
      <x:c r="FH4" s="147"/>
      <x:c r="FI4" s="147"/>
      <x:c r="FJ4" s="167"/>
      <x:c r="FK4" s="167"/>
      <x:c r="FL4" s="166"/>
      <x:c r="FM4" s="171" t="str">
        <x:f>IF(FG4="","",IFERROR(F4*FL4/FJ4,0))</x:f>
      </x:c>
      <x:c r="FN4" s="171" t="str">
        <x:f>IF(FG4="","",F4*ABS(FL4))</x:f>
      </x:c>
      <x:c r="FO4" s="165"/>
      <x:c r="FP4" s="172" t="str">
        <x:f>IF(FG4="","",IF(FO4="","",IFERROR(FJ4/FO4-1,0)))</x:f>
      </x:c>
      <x:c r="FQ4" s="166"/>
      <x:c r="FR4" s="172" t="str">
        <x:f>IF(FG4="","",IF(FQ4="","",FQ4-FP4*365/FS4))</x:f>
      </x:c>
      <x:c r="FS4" s="164"/>
      <x:c r="FT4" s="172" t="str">
        <x:f>IF(FG4="","",IFERROR(FL4*(FK4/FJ4-1),0))</x:f>
      </x:c>
    </x:row>
    <x:row r="5" ht="18" customHeight="1">
      <x:c r="A5" s="163" t="n">
        <x:v>25209</x:v>
      </x:c>
      <x:c r="B5" s="163" t="n">
        <x:v>25210</x:v>
      </x:c>
      <x:c r="C5" s="170" t="n">
        <x:f>B5-A5</x:f>
        <x:v>1</x:v>
      </x:c>
      <x:c r="D5" s="163" t="n">
        <x:v>25209</x:v>
      </x:c>
      <x:c r="E5" s="147" t="str">
        <x:v>positive</x:v>
      </x:c>
      <x:c r="F5" s="165" t="n">
        <x:v>0.9968774855659935</x:v>
      </x:c>
      <x:c r="G5" s="168" t="n">
        <x:v>0.005323954243750865</x:v>
      </x:c>
      <x:c r="H5" s="172" t="n">
        <x:f>SUM(AX5,BL5,BZ5,CN5,DB5,DP5,ED5,ER5,FF5,FT5)</x:f>
        <x:v>0.0053239542437508725</x:v>
      </x:c>
      <x:c r="I5" s="174" t="n">
        <x:f>G5-H5</x:f>
        <x:v>-7.806255641895632e-18</x:v>
      </x:c>
      <x:c r="J5" s="171" t="n">
        <x:f>F5*(1+H5)</x:f>
        <x:v>1.0021848156857722</x:v>
      </x:c>
      <x:c r="K5" s="169" t="n">
        <x:v>1.0021848156857722</x:v>
      </x:c>
      <x:c r="L5" s="175" t="n">
        <x:f>K5-J5</x:f>
        <x:v>0</x:v>
      </x:c>
      <x:c r="M5" s="167" t="n">
        <x:v>1.972</x:v>
      </x:c>
      <x:c r="N5" s="167" t="n">
        <x:v>1.977</x:v>
      </x:c>
      <x:c r="O5" s="172" t="n">
        <x:f>IFERROR(N5/M5-1,0)</x:f>
        <x:v>0.002535496957403627</x:v>
      </x:c>
      <x:c r="P5" s="171" t="n">
        <x:f>IFERROR(AD5/AH5,0)</x:f>
        <x:v>0.9898002620376346</x:v>
      </x:c>
      <x:c r="Q5" s="171" t="n">
        <x:f>IFERROR(AE5/AI5,0)</x:f>
        <x:v>0.9925532974773607</x:v>
      </x:c>
      <x:c r="R5" s="172" t="n">
        <x:f>IFERROR((Q5-P5)/(P5+S5),0)</x:f>
        <x:v>0.0027814050423249645</x:v>
      </x:c>
      <x:c r="S5" s="172" t="n">
        <x:f>IFERROR(AF5/AH5,0)</x:f>
        <x:v>0</x:v>
      </x:c>
      <x:c r="T5" s="172" t="n">
        <x:f>IFERROR(AG5/AI5,0)</x:f>
        <x:v>0</x:v>
      </x:c>
      <x:c r="U5" s="172" t="n">
        <x:f>IFERROR((T5-S5)/(P5+S5),0)</x:f>
        <x:v>0</x:v>
      </x:c>
      <x:c r="V5" s="172" t="n">
        <x:f>R5+U5</x:f>
        <x:v>0.0027814050423249645</x:v>
      </x:c>
      <x:c r="W5" s="172" t="n">
        <x:f>(1+O5)*(1+V5)-1</x:f>
        <x:v>0.00532395424375065</x:v>
      </x:c>
      <x:c r="X5" s="174" t="n">
        <x:f>G5-W5</x:f>
        <x:v>2.1423834928313568e-16</x:v>
      </x:c>
      <x:c r="Y5" s="172" t="str">
        <x:f>AX5</x:f>
      </x:c>
      <x:c r="Z5" s="172" t="n">
        <x:f>BL5</x:f>
        <x:v>0.0001693150684931588</x:v>
      </x:c>
      <x:c r="AA5" s="172" t="n">
        <x:f>SUM(BZ5,CN5,DB5,DP5,ED5,ER5,FF5,FT5)</x:f>
        <x:v>0.005154639175257714</x:v>
      </x:c>
      <x:c r="AB5" s="172" t="n">
        <x:f>SUM(Y5:AA5)</x:f>
        <x:v>0.0053239542437508725</x:v>
      </x:c>
      <x:c r="AC5" s="174" t="n">
        <x:f>G5-AB5</x:f>
        <x:v>-7.806255641895632e-18</x:v>
      </x:c>
      <x:c r="AD5" s="169" t="n">
        <x:v>0.9968774855659934</x:v>
      </x:c>
      <x:c r="AE5" s="169" t="n">
        <x:v>1.0021848156857722</x:v>
      </x:c>
      <x:c r="AF5" s="169" t="n">
        <x:v>0</x:v>
      </x:c>
      <x:c r="AG5" s="169" t="n">
        <x:v>0</x:v>
      </x:c>
      <x:c r="AH5" s="171" t="n">
        <x:f>M5/$M$3</x:f>
        <x:v>1.0071501532175688</x:v>
      </x:c>
      <x:c r="AI5" s="171" t="n">
        <x:f>N5/$M$3</x:f>
        <x:v>1.0097037793667007</x:v>
      </x:c>
      <x:c r="AJ5" s="170" t="n">
        <x:f>IF(AK5&lt;&gt;"",1,0)+IF(AY5&lt;&gt;"",1,0)+IF(BM5&lt;&gt;"",1,0)+IF(CA5&lt;&gt;"",1,0)+IF(CO5&lt;&gt;"",1,0)+IF(DC5&lt;&gt;"",1,0)+IF(DQ5&lt;&gt;"",1,0)+IF(EE5&lt;&gt;"",1,0)+IF(ES5&lt;&gt;"",1,0)+IF(FG5&lt;&gt;"",1,0)</x:f>
        <x:v>2</x:v>
      </x:c>
      <x:c r="AK5" s="147"/>
      <x:c r="AL5" s="147"/>
      <x:c r="AM5" s="147"/>
      <x:c r="AN5" s="167"/>
      <x:c r="AO5" s="167"/>
      <x:c r="AP5" s="166"/>
      <x:c r="AQ5" s="171" t="str">
        <x:f>IF(AK5="","",IFERROR(F5*AP5/AN5,0))</x:f>
      </x:c>
      <x:c r="AR5" s="171" t="str">
        <x:f>IF(AK5="","",F5*ABS(AP5))</x:f>
      </x:c>
      <x:c r="AS5" s="165"/>
      <x:c r="AT5" s="172" t="str">
        <x:f>IF(AK5="","",IF(AS5="","",IFERROR(AN5/AS5-1,0)))</x:f>
      </x:c>
      <x:c r="AU5" s="166"/>
      <x:c r="AV5" s="172" t="str">
        <x:f>IF(AK5="","",IF(AU5="","",AU5-AT5*365/AW5))</x:f>
      </x:c>
      <x:c r="AW5" s="164"/>
      <x:c r="AX5" s="173" t="str">
        <x:f>IF(AK5="","",IFERROR(AP5*(AO5/AN5-1),0))</x:f>
      </x:c>
      <x:c r="AY5" s="147" t="str">
        <x:v>Matched-maturity Treasury collateral</x:v>
      </x:c>
      <x:c r="AZ5" s="147" t="str">
        <x:v>Treasury</x:v>
      </x:c>
      <x:c r="BA5" s="147" t="str">
        <x:v>Long</x:v>
      </x:c>
      <x:c r="BB5" s="167" t="n">
        <x:v>100.06721395493341</x:v>
      </x:c>
      <x:c r="BC5" s="167" t="n">
        <x:v>100.0841568421181</x:v>
      </x:c>
      <x:c r="BD5" s="166" t="n">
        <x:v>1</x:v>
      </x:c>
      <x:c r="BE5" s="171" t="n">
        <x:f>IF(AY5="","",IFERROR(F5*BD5/BB5,0))</x:f>
        <x:v>0.009962078948405124</x:v>
      </x:c>
      <x:c r="BF5" s="171" t="n">
        <x:f>IF(AY5="","",F5*ABS(BD5))</x:f>
        <x:v>0.9968774855659935</x:v>
      </x:c>
      <x:c r="BG5" s="165"/>
      <x:c r="BH5" s="172" t="str">
        <x:f>IF(AY5="","",IF(BG5="","",IFERROR(BB5/BG5-1,0)))</x:f>
      </x:c>
      <x:c r="BI5" s="166"/>
      <x:c r="BJ5" s="172" t="str">
        <x:f>IF(AY5="","",IF(BI5="","",BI5-BH5*365/BK5))</x:f>
      </x:c>
      <x:c r="BK5" s="164" t="n">
        <x:v>23</x:v>
      </x:c>
      <x:c r="BL5" s="172" t="n">
        <x:f>IF(AY5="","",IFERROR(BD5*(BC5/BB5-1),0))</x:f>
        <x:v>0.0001693150684931588</x:v>
      </x:c>
      <x:c r="BM5" s="147" t="str">
        <x:v>SI69F</x:v>
      </x:c>
      <x:c r="BN5" s="147" t="str">
        <x:v>Silver future (regular)</x:v>
      </x:c>
      <x:c r="BO5" s="147" t="str">
        <x:v>Long</x:v>
      </x:c>
      <x:c r="BP5" s="167" t="n">
        <x:v>1.94</x:v>
      </x:c>
      <x:c r="BQ5" s="167" t="n">
        <x:v>1.95</x:v>
      </x:c>
      <x:c r="BR5" s="166" t="n">
        <x:v>1</x:v>
      </x:c>
      <x:c r="BS5" s="171" t="n">
        <x:f>IF(BM5="","",IFERROR(F5*BR5/BP5,0))</x:f>
        <x:v>0.5138543740030894</x:v>
      </x:c>
      <x:c r="BT5" s="171" t="n">
        <x:f>IF(BM5="","",F5*ABS(BR5))</x:f>
        <x:v>0.9968774855659935</x:v>
      </x:c>
      <x:c r="BU5" s="165" t="n">
        <x:v>1.972</x:v>
      </x:c>
      <x:c r="BV5" s="172" t="n">
        <x:f>IF(BM5="","",IF(BU5="","",IFERROR(BP5/BU5-1,0)))</x:f>
        <x:v>-0.016227180527383367</x:v>
      </x:c>
      <x:c r="BW5" s="166" t="n">
        <x:v>0.061799999999999994</x:v>
      </x:c>
      <x:c r="BX5" s="172" t="n">
        <x:f>IF(BM5="","",IF(BW5="","",BW5-BV5*365/BY5))</x:f>
        <x:v>0.3193182996736925</x:v>
      </x:c>
      <x:c r="BY5" s="164" t="n">
        <x:v>23</x:v>
      </x:c>
      <x:c r="BZ5" s="172" t="n">
        <x:f>IF(BM5="","",IFERROR(BR5*(BQ5/BP5-1),0))</x:f>
        <x:v>0.005154639175257714</x:v>
      </x:c>
      <x:c r="CA5" s="147"/>
      <x:c r="CB5" s="147"/>
      <x:c r="CC5" s="147"/>
      <x:c r="CD5" s="167"/>
      <x:c r="CE5" s="167"/>
      <x:c r="CF5" s="166"/>
      <x:c r="CG5" s="171" t="str">
        <x:f>IF(CA5="","",IFERROR(F5*CF5/CD5,0))</x:f>
      </x:c>
      <x:c r="CH5" s="171" t="str">
        <x:f>IF(CA5="","",F5*ABS(CF5))</x:f>
      </x:c>
      <x:c r="CI5" s="165"/>
      <x:c r="CJ5" s="172" t="str">
        <x:f>IF(CA5="","",IF(CI5="","",IFERROR(CD5/CI5-1,0)))</x:f>
      </x:c>
      <x:c r="CK5" s="166"/>
      <x:c r="CL5" s="172" t="str">
        <x:f>IF(CA5="","",IF(CK5="","",CK5-CJ5*365/CM5))</x:f>
      </x:c>
      <x:c r="CM5" s="164"/>
      <x:c r="CN5" s="172" t="str">
        <x:f>IF(CA5="","",IFERROR(CF5*(CE5/CD5-1),0))</x:f>
      </x:c>
      <x:c r="CO5" s="147"/>
      <x:c r="CP5" s="147"/>
      <x:c r="CQ5" s="147"/>
      <x:c r="CR5" s="167"/>
      <x:c r="CS5" s="167"/>
      <x:c r="CT5" s="166"/>
      <x:c r="CU5" s="171" t="str">
        <x:f>IF(CO5="","",IFERROR(F5*CT5/CR5,0))</x:f>
      </x:c>
      <x:c r="CV5" s="171" t="str">
        <x:f>IF(CO5="","",F5*ABS(CT5))</x:f>
      </x:c>
      <x:c r="CW5" s="165"/>
      <x:c r="CX5" s="172" t="str">
        <x:f>IF(CO5="","",IF(CW5="","",IFERROR(CR5/CW5-1,0)))</x:f>
      </x:c>
      <x:c r="CY5" s="166"/>
      <x:c r="CZ5" s="172" t="str">
        <x:f>IF(CO5="","",IF(CY5="","",CY5-CX5*365/DA5))</x:f>
      </x:c>
      <x:c r="DA5" s="164"/>
      <x:c r="DB5" s="172" t="str">
        <x:f>IF(CO5="","",IFERROR(CT5*(CS5/CR5-1),0))</x:f>
      </x:c>
      <x:c r="DC5" s="147"/>
      <x:c r="DD5" s="147"/>
      <x:c r="DE5" s="147"/>
      <x:c r="DF5" s="167"/>
      <x:c r="DG5" s="167"/>
      <x:c r="DH5" s="166"/>
      <x:c r="DI5" s="171" t="str">
        <x:f>IF(DC5="","",IFERROR(F5*DH5/DF5,0))</x:f>
      </x:c>
      <x:c r="DJ5" s="171" t="str">
        <x:f>IF(DC5="","",F5*ABS(DH5))</x:f>
      </x:c>
      <x:c r="DK5" s="165"/>
      <x:c r="DL5" s="172" t="str">
        <x:f>IF(DC5="","",IF(DK5="","",IFERROR(DF5/DK5-1,0)))</x:f>
      </x:c>
      <x:c r="DM5" s="166"/>
      <x:c r="DN5" s="172" t="str">
        <x:f>IF(DC5="","",IF(DM5="","",DM5-DL5*365/DO5))</x:f>
      </x:c>
      <x:c r="DO5" s="164"/>
      <x:c r="DP5" s="172" t="str">
        <x:f>IF(DC5="","",IFERROR(DH5*(DG5/DF5-1),0))</x:f>
      </x:c>
      <x:c r="DQ5" s="147"/>
      <x:c r="DR5" s="147"/>
      <x:c r="DS5" s="147"/>
      <x:c r="DT5" s="167"/>
      <x:c r="DU5" s="167"/>
      <x:c r="DV5" s="166"/>
      <x:c r="DW5" s="171" t="str">
        <x:f>IF(DQ5="","",IFERROR(F5*DV5/DT5,0))</x:f>
      </x:c>
      <x:c r="DX5" s="171" t="str">
        <x:f>IF(DQ5="","",F5*ABS(DV5))</x:f>
      </x:c>
      <x:c r="DY5" s="165"/>
      <x:c r="DZ5" s="172" t="str">
        <x:f>IF(DQ5="","",IF(DY5="","",IFERROR(DT5/DY5-1,0)))</x:f>
      </x:c>
      <x:c r="EA5" s="166"/>
      <x:c r="EB5" s="172" t="str">
        <x:f>IF(DQ5="","",IF(EA5="","",EA5-DZ5*365/EC5))</x:f>
      </x:c>
      <x:c r="EC5" s="164"/>
      <x:c r="ED5" s="172" t="str">
        <x:f>IF(DQ5="","",IFERROR(DV5*(DU5/DT5-1),0))</x:f>
      </x:c>
      <x:c r="EE5" s="147"/>
      <x:c r="EF5" s="147"/>
      <x:c r="EG5" s="147"/>
      <x:c r="EH5" s="167"/>
      <x:c r="EI5" s="167"/>
      <x:c r="EJ5" s="166"/>
      <x:c r="EK5" s="171" t="str">
        <x:f>IF(EE5="","",IFERROR(F5*EJ5/EH5,0))</x:f>
      </x:c>
      <x:c r="EL5" s="171" t="str">
        <x:f>IF(EE5="","",F5*ABS(EJ5))</x:f>
      </x:c>
      <x:c r="EM5" s="165"/>
      <x:c r="EN5" s="172" t="str">
        <x:f>IF(EE5="","",IF(EM5="","",IFERROR(EH5/EM5-1,0)))</x:f>
      </x:c>
      <x:c r="EO5" s="166"/>
      <x:c r="EP5" s="172" t="str">
        <x:f>IF(EE5="","",IF(EO5="","",EO5-EN5*365/EQ5))</x:f>
      </x:c>
      <x:c r="EQ5" s="164"/>
      <x:c r="ER5" s="172" t="str">
        <x:f>IF(EE5="","",IFERROR(EJ5*(EI5/EH5-1),0))</x:f>
      </x:c>
      <x:c r="ES5" s="147"/>
      <x:c r="ET5" s="147"/>
      <x:c r="EU5" s="147"/>
      <x:c r="EV5" s="167"/>
      <x:c r="EW5" s="167"/>
      <x:c r="EX5" s="166"/>
      <x:c r="EY5" s="171" t="str">
        <x:f>IF(ES5="","",IFERROR(F5*EX5/EV5,0))</x:f>
      </x:c>
      <x:c r="EZ5" s="171" t="str">
        <x:f>IF(ES5="","",F5*ABS(EX5))</x:f>
      </x:c>
      <x:c r="FA5" s="165"/>
      <x:c r="FB5" s="172" t="str">
        <x:f>IF(ES5="","",IF(FA5="","",IFERROR(EV5/FA5-1,0)))</x:f>
      </x:c>
      <x:c r="FC5" s="166"/>
      <x:c r="FD5" s="172" t="str">
        <x:f>IF(ES5="","",IF(FC5="","",FC5-FB5*365/FE5))</x:f>
      </x:c>
      <x:c r="FE5" s="164"/>
      <x:c r="FF5" s="172" t="str">
        <x:f>IF(ES5="","",IFERROR(EX5*(EW5/EV5-1),0))</x:f>
      </x:c>
      <x:c r="FG5" s="147"/>
      <x:c r="FH5" s="147"/>
      <x:c r="FI5" s="147"/>
      <x:c r="FJ5" s="167"/>
      <x:c r="FK5" s="167"/>
      <x:c r="FL5" s="166"/>
      <x:c r="FM5" s="171" t="str">
        <x:f>IF(FG5="","",IFERROR(F5*FL5/FJ5,0))</x:f>
      </x:c>
      <x:c r="FN5" s="171" t="str">
        <x:f>IF(FG5="","",F5*ABS(FL5))</x:f>
      </x:c>
      <x:c r="FO5" s="165"/>
      <x:c r="FP5" s="172" t="str">
        <x:f>IF(FG5="","",IF(FO5="","",IFERROR(FJ5/FO5-1,0)))</x:f>
      </x:c>
      <x:c r="FQ5" s="166"/>
      <x:c r="FR5" s="172" t="str">
        <x:f>IF(FG5="","",IF(FQ5="","",FQ5-FP5*365/FS5))</x:f>
      </x:c>
      <x:c r="FS5" s="164"/>
      <x:c r="FT5" s="172" t="str">
        <x:f>IF(FG5="","",IFERROR(FL5*(FK5/FJ5-1),0))</x:f>
      </x:c>
    </x:row>
    <x:row r="6" ht="18" customHeight="1">
      <x:c r="A6" s="163" t="n">
        <x:v>25210</x:v>
      </x:c>
      <x:c r="B6" s="163" t="n">
        <x:v>25211</x:v>
      </x:c>
      <x:c r="C6" s="170" t="n">
        <x:f>B6-A6</x:f>
        <x:v>1</x:v>
      </x:c>
      <x:c r="D6" s="163" t="n">
        <x:v>25210</x:v>
      </x:c>
      <x:c r="E6" s="147" t="str">
        <x:v>positive</x:v>
      </x:c>
      <x:c r="F6" s="165" t="n">
        <x:v>1.0021848156857722</x:v>
      </x:c>
      <x:c r="G6" s="168" t="n">
        <x:v>0.018119950825430435</x:v>
      </x:c>
      <x:c r="H6" s="172" t="n">
        <x:f>SUM(AX6,BL6,BZ6,CN6,DB6,DP6,ED6,ER6,FF6,FT6)</x:f>
        <x:v>0.018119950825430386</x:v>
      </x:c>
      <x:c r="I6" s="174" t="n">
        <x:f>G6-H6</x:f>
        <x:v>4.85722573273506e-17</x:v>
      </x:c>
      <x:c r="J6" s="171" t="n">
        <x:f>F6*(1+H6)</x:f>
        <x:v>1.0203443552639915</x:v>
      </x:c>
      <x:c r="K6" s="169" t="n">
        <x:v>1.0203443552639915</x:v>
      </x:c>
      <x:c r="L6" s="175" t="n">
        <x:f>K6-J6</x:f>
        <x:v>0</x:v>
      </x:c>
      <x:c r="M6" s="167" t="n">
        <x:v>1.977</x:v>
      </x:c>
      <x:c r="N6" s="167" t="n">
        <x:v>2.017</x:v>
      </x:c>
      <x:c r="O6" s="172" t="n">
        <x:f>IFERROR(N6/M6-1,0)</x:f>
        <x:v>0.020232675771370667</x:v>
      </x:c>
      <x:c r="P6" s="171" t="n">
        <x:f>IFERROR(AD6/AH6,0)</x:f>
        <x:v>0.9925532974773607</x:v>
      </x:c>
      <x:c r="Q6" s="171" t="n">
        <x:f>IFERROR(AE6/AI6,0)</x:f>
        <x:v>0.9904978917237953</x:v>
      </x:c>
      <x:c r="R6" s="172" t="n">
        <x:f>IFERROR((Q6-P6)/(P6+S6),0)</x:f>
        <x:v>-0.002070826583105693</x:v>
      </x:c>
      <x:c r="S6" s="172" t="n">
        <x:f>IFERROR(AF6/AH6,0)</x:f>
        <x:v>0</x:v>
      </x:c>
      <x:c r="T6" s="172" t="n">
        <x:f>IFERROR(AG6/AI6,0)</x:f>
        <x:v>0</x:v>
      </x:c>
      <x:c r="U6" s="172" t="n">
        <x:f>IFERROR((T6-S6)/(P6+S6),0)</x:f>
        <x:v>0</x:v>
      </x:c>
      <x:c r="V6" s="172" t="n">
        <x:f>R6+U6</x:f>
        <x:v>-0.002070826583105693</x:v>
      </x:c>
      <x:c r="W6" s="172" t="n">
        <x:f>(1+O6)*(1+V6)-1</x:f>
        <x:v>0.018119950825430386</x:v>
      </x:c>
      <x:c r="X6" s="174" t="n">
        <x:f>G6-W6</x:f>
        <x:v>4.85722573273506e-17</x:v>
      </x:c>
      <x:c r="Y6" s="172" t="str">
        <x:f>AX6</x:f>
      </x:c>
      <x:c r="Z6" s="172" t="n">
        <x:f>BL6</x:f>
        <x:v>0.0001712328767122795</x:v>
      </x:c>
      <x:c r="AA6" s="172" t="n">
        <x:f>SUM(BZ6,CN6,DB6,DP6,ED6,ER6,FF6,FT6)</x:f>
        <x:v>0.017948717948718107</x:v>
      </x:c>
      <x:c r="AB6" s="172" t="n">
        <x:f>SUM(Y6:AA6)</x:f>
        <x:v>0.018119950825430386</x:v>
      </x:c>
      <x:c r="AC6" s="174" t="n">
        <x:f>G6-AB6</x:f>
        <x:v>4.85722573273506e-17</x:v>
      </x:c>
      <x:c r="AD6" s="169" t="n">
        <x:v>1.0021848156857722</x:v>
      </x:c>
      <x:c r="AE6" s="169" t="n">
        <x:v>1.0203443552639915</x:v>
      </x:c>
      <x:c r="AF6" s="169" t="n">
        <x:v>0</x:v>
      </x:c>
      <x:c r="AG6" s="169" t="n">
        <x:v>0</x:v>
      </x:c>
      <x:c r="AH6" s="171" t="n">
        <x:f>M6/$M$3</x:f>
        <x:v>1.0097037793667007</x:v>
      </x:c>
      <x:c r="AI6" s="171" t="n">
        <x:f>N6/$M$3</x:f>
        <x:v>1.0301327885597549</x:v>
      </x:c>
      <x:c r="AJ6" s="170" t="n">
        <x:f>IF(AK6&lt;&gt;"",1,0)+IF(AY6&lt;&gt;"",1,0)+IF(BM6&lt;&gt;"",1,0)+IF(CA6&lt;&gt;"",1,0)+IF(CO6&lt;&gt;"",1,0)+IF(DC6&lt;&gt;"",1,0)+IF(DQ6&lt;&gt;"",1,0)+IF(EE6&lt;&gt;"",1,0)+IF(ES6&lt;&gt;"",1,0)+IF(FG6&lt;&gt;"",1,0)</x:f>
        <x:v>2</x:v>
      </x:c>
      <x:c r="AK6" s="147"/>
      <x:c r="AL6" s="147"/>
      <x:c r="AM6" s="147"/>
      <x:c r="AN6" s="167"/>
      <x:c r="AO6" s="167"/>
      <x:c r="AP6" s="166"/>
      <x:c r="AQ6" s="171" t="str">
        <x:f>IF(AK6="","",IFERROR(F6*AP6/AN6,0))</x:f>
      </x:c>
      <x:c r="AR6" s="171" t="str">
        <x:f>IF(AK6="","",F6*ABS(AP6))</x:f>
      </x:c>
      <x:c r="AS6" s="165"/>
      <x:c r="AT6" s="172" t="str">
        <x:f>IF(AK6="","",IF(AS6="","",IFERROR(AN6/AS6-1,0)))</x:f>
      </x:c>
      <x:c r="AU6" s="166"/>
      <x:c r="AV6" s="172" t="str">
        <x:f>IF(AK6="","",IF(AU6="","",AU6-AT6*365/AW6))</x:f>
      </x:c>
      <x:c r="AW6" s="164"/>
      <x:c r="AX6" s="173" t="str">
        <x:f>IF(AK6="","",IFERROR(AP6*(AO6/AN6-1),0))</x:f>
      </x:c>
      <x:c r="AY6" s="147" t="str">
        <x:v>Matched-maturity Treasury collateral</x:v>
      </x:c>
      <x:c r="AZ6" s="147" t="str">
        <x:v>Treasury</x:v>
      </x:c>
      <x:c r="BA6" s="147" t="str">
        <x:v>Long</x:v>
      </x:c>
      <x:c r="BB6" s="167" t="n">
        <x:v>100.0841568421181</x:v>
      </x:c>
      <x:c r="BC6" s="167" t="n">
        <x:v>100.1012945402075</x:v>
      </x:c>
      <x:c r="BD6" s="166" t="n">
        <x:v>1</x:v>
      </x:c>
      <x:c r="BE6" s="171" t="n">
        <x:f>IF(AY6="","",IFERROR(F6*BD6/BB6,0))</x:f>
        <x:v>0.010013421177806495</x:v>
      </x:c>
      <x:c r="BF6" s="171" t="n">
        <x:f>IF(AY6="","",F6*ABS(BD6))</x:f>
        <x:v>1.0021848156857722</x:v>
      </x:c>
      <x:c r="BG6" s="165"/>
      <x:c r="BH6" s="172" t="str">
        <x:f>IF(AY6="","",IF(BG6="","",IFERROR(BB6/BG6-1,0)))</x:f>
      </x:c>
      <x:c r="BI6" s="166"/>
      <x:c r="BJ6" s="172" t="str">
        <x:f>IF(AY6="","",IF(BI6="","",BI6-BH6*365/BK6))</x:f>
      </x:c>
      <x:c r="BK6" s="164" t="n">
        <x:v>22</x:v>
      </x:c>
      <x:c r="BL6" s="172" t="n">
        <x:f>IF(AY6="","",IFERROR(BD6*(BC6/BB6-1),0))</x:f>
        <x:v>0.0001712328767122795</x:v>
      </x:c>
      <x:c r="BM6" s="147" t="str">
        <x:v>SI69F</x:v>
      </x:c>
      <x:c r="BN6" s="147" t="str">
        <x:v>Silver future (regular)</x:v>
      </x:c>
      <x:c r="BO6" s="147" t="str">
        <x:v>Long</x:v>
      </x:c>
      <x:c r="BP6" s="167" t="n">
        <x:v>1.95</x:v>
      </x:c>
      <x:c r="BQ6" s="167" t="n">
        <x:v>1.985</x:v>
      </x:c>
      <x:c r="BR6" s="166" t="n">
        <x:v>1</x:v>
      </x:c>
      <x:c r="BS6" s="171" t="n">
        <x:f>IF(BM6="","",IFERROR(F6*BR6/BP6,0))</x:f>
        <x:v>0.5139409311209089</x:v>
      </x:c>
      <x:c r="BT6" s="171" t="n">
        <x:f>IF(BM6="","",F6*ABS(BR6))</x:f>
        <x:v>1.0021848156857722</x:v>
      </x:c>
      <x:c r="BU6" s="165" t="n">
        <x:v>1.977</x:v>
      </x:c>
      <x:c r="BV6" s="172" t="n">
        <x:f>IF(BM6="","",IF(BU6="","",IFERROR(BP6/BU6-1,0)))</x:f>
        <x:v>-0.013657056145675361</x:v>
      </x:c>
      <x:c r="BW6" s="166" t="n">
        <x:v>0.0625</x:v>
      </x:c>
      <x:c r="BX6" s="172" t="n">
        <x:f>IF(BM6="","",IF(BW6="","",BW6-BV6*365/BY6))</x:f>
        <x:v>0.2890829769623412</x:v>
      </x:c>
      <x:c r="BY6" s="164" t="n">
        <x:v>22</x:v>
      </x:c>
      <x:c r="BZ6" s="172" t="n">
        <x:f>IF(BM6="","",IFERROR(BR6*(BQ6/BP6-1),0))</x:f>
        <x:v>0.017948717948718107</x:v>
      </x:c>
      <x:c r="CA6" s="147"/>
      <x:c r="CB6" s="147"/>
      <x:c r="CC6" s="147"/>
      <x:c r="CD6" s="167"/>
      <x:c r="CE6" s="167"/>
      <x:c r="CF6" s="166"/>
      <x:c r="CG6" s="171" t="str">
        <x:f>IF(CA6="","",IFERROR(F6*CF6/CD6,0))</x:f>
      </x:c>
      <x:c r="CH6" s="171" t="str">
        <x:f>IF(CA6="","",F6*ABS(CF6))</x:f>
      </x:c>
      <x:c r="CI6" s="165"/>
      <x:c r="CJ6" s="172" t="str">
        <x:f>IF(CA6="","",IF(CI6="","",IFERROR(CD6/CI6-1,0)))</x:f>
      </x:c>
      <x:c r="CK6" s="166"/>
      <x:c r="CL6" s="172" t="str">
        <x:f>IF(CA6="","",IF(CK6="","",CK6-CJ6*365/CM6))</x:f>
      </x:c>
      <x:c r="CM6" s="164"/>
      <x:c r="CN6" s="172" t="str">
        <x:f>IF(CA6="","",IFERROR(CF6*(CE6/CD6-1),0))</x:f>
      </x:c>
      <x:c r="CO6" s="147"/>
      <x:c r="CP6" s="147"/>
      <x:c r="CQ6" s="147"/>
      <x:c r="CR6" s="167"/>
      <x:c r="CS6" s="167"/>
      <x:c r="CT6" s="166"/>
      <x:c r="CU6" s="171" t="str">
        <x:f>IF(CO6="","",IFERROR(F6*CT6/CR6,0))</x:f>
      </x:c>
      <x:c r="CV6" s="171" t="str">
        <x:f>IF(CO6="","",F6*ABS(CT6))</x:f>
      </x:c>
      <x:c r="CW6" s="165"/>
      <x:c r="CX6" s="172" t="str">
        <x:f>IF(CO6="","",IF(CW6="","",IFERROR(CR6/CW6-1,0)))</x:f>
      </x:c>
      <x:c r="CY6" s="166"/>
      <x:c r="CZ6" s="172" t="str">
        <x:f>IF(CO6="","",IF(CY6="","",CY6-CX6*365/DA6))</x:f>
      </x:c>
      <x:c r="DA6" s="164"/>
      <x:c r="DB6" s="172" t="str">
        <x:f>IF(CO6="","",IFERROR(CT6*(CS6/CR6-1),0))</x:f>
      </x:c>
      <x:c r="DC6" s="147"/>
      <x:c r="DD6" s="147"/>
      <x:c r="DE6" s="147"/>
      <x:c r="DF6" s="167"/>
      <x:c r="DG6" s="167"/>
      <x:c r="DH6" s="166"/>
      <x:c r="DI6" s="171" t="str">
        <x:f>IF(DC6="","",IFERROR(F6*DH6/DF6,0))</x:f>
      </x:c>
      <x:c r="DJ6" s="171" t="str">
        <x:f>IF(DC6="","",F6*ABS(DH6))</x:f>
      </x:c>
      <x:c r="DK6" s="165"/>
      <x:c r="DL6" s="172" t="str">
        <x:f>IF(DC6="","",IF(DK6="","",IFERROR(DF6/DK6-1,0)))</x:f>
      </x:c>
      <x:c r="DM6" s="166"/>
      <x:c r="DN6" s="172" t="str">
        <x:f>IF(DC6="","",IF(DM6="","",DM6-DL6*365/DO6))</x:f>
      </x:c>
      <x:c r="DO6" s="164"/>
      <x:c r="DP6" s="172" t="str">
        <x:f>IF(DC6="","",IFERROR(DH6*(DG6/DF6-1),0))</x:f>
      </x:c>
      <x:c r="DQ6" s="147"/>
      <x:c r="DR6" s="147"/>
      <x:c r="DS6" s="147"/>
      <x:c r="DT6" s="167"/>
      <x:c r="DU6" s="167"/>
      <x:c r="DV6" s="166"/>
      <x:c r="DW6" s="171" t="str">
        <x:f>IF(DQ6="","",IFERROR(F6*DV6/DT6,0))</x:f>
      </x:c>
      <x:c r="DX6" s="171" t="str">
        <x:f>IF(DQ6="","",F6*ABS(DV6))</x:f>
      </x:c>
      <x:c r="DY6" s="165"/>
      <x:c r="DZ6" s="172" t="str">
        <x:f>IF(DQ6="","",IF(DY6="","",IFERROR(DT6/DY6-1,0)))</x:f>
      </x:c>
      <x:c r="EA6" s="166"/>
      <x:c r="EB6" s="172" t="str">
        <x:f>IF(DQ6="","",IF(EA6="","",EA6-DZ6*365/EC6))</x:f>
      </x:c>
      <x:c r="EC6" s="164"/>
      <x:c r="ED6" s="172" t="str">
        <x:f>IF(DQ6="","",IFERROR(DV6*(DU6/DT6-1),0))</x:f>
      </x:c>
      <x:c r="EE6" s="147"/>
      <x:c r="EF6" s="147"/>
      <x:c r="EG6" s="147"/>
      <x:c r="EH6" s="167"/>
      <x:c r="EI6" s="167"/>
      <x:c r="EJ6" s="166"/>
      <x:c r="EK6" s="171" t="str">
        <x:f>IF(EE6="","",IFERROR(F6*EJ6/EH6,0))</x:f>
      </x:c>
      <x:c r="EL6" s="171" t="str">
        <x:f>IF(EE6="","",F6*ABS(EJ6))</x:f>
      </x:c>
      <x:c r="EM6" s="165"/>
      <x:c r="EN6" s="172" t="str">
        <x:f>IF(EE6="","",IF(EM6="","",IFERROR(EH6/EM6-1,0)))</x:f>
      </x:c>
      <x:c r="EO6" s="166"/>
      <x:c r="EP6" s="172" t="str">
        <x:f>IF(EE6="","",IF(EO6="","",EO6-EN6*365/EQ6))</x:f>
      </x:c>
      <x:c r="EQ6" s="164"/>
      <x:c r="ER6" s="172" t="str">
        <x:f>IF(EE6="","",IFERROR(EJ6*(EI6/EH6-1),0))</x:f>
      </x:c>
      <x:c r="ES6" s="147"/>
      <x:c r="ET6" s="147"/>
      <x:c r="EU6" s="147"/>
      <x:c r="EV6" s="167"/>
      <x:c r="EW6" s="167"/>
      <x:c r="EX6" s="166"/>
      <x:c r="EY6" s="171" t="str">
        <x:f>IF(ES6="","",IFERROR(F6*EX6/EV6,0))</x:f>
      </x:c>
      <x:c r="EZ6" s="171" t="str">
        <x:f>IF(ES6="","",F6*ABS(EX6))</x:f>
      </x:c>
      <x:c r="FA6" s="165"/>
      <x:c r="FB6" s="172" t="str">
        <x:f>IF(ES6="","",IF(FA6="","",IFERROR(EV6/FA6-1,0)))</x:f>
      </x:c>
      <x:c r="FC6" s="166"/>
      <x:c r="FD6" s="172" t="str">
        <x:f>IF(ES6="","",IF(FC6="","",FC6-FB6*365/FE6))</x:f>
      </x:c>
      <x:c r="FE6" s="164"/>
      <x:c r="FF6" s="172" t="str">
        <x:f>IF(ES6="","",IFERROR(EX6*(EW6/EV6-1),0))</x:f>
      </x:c>
      <x:c r="FG6" s="147"/>
      <x:c r="FH6" s="147"/>
      <x:c r="FI6" s="147"/>
      <x:c r="FJ6" s="167"/>
      <x:c r="FK6" s="167"/>
      <x:c r="FL6" s="166"/>
      <x:c r="FM6" s="171" t="str">
        <x:f>IF(FG6="","",IFERROR(F6*FL6/FJ6,0))</x:f>
      </x:c>
      <x:c r="FN6" s="171" t="str">
        <x:f>IF(FG6="","",F6*ABS(FL6))</x:f>
      </x:c>
      <x:c r="FO6" s="165"/>
      <x:c r="FP6" s="172" t="str">
        <x:f>IF(FG6="","",IF(FO6="","",IFERROR(FJ6/FO6-1,0)))</x:f>
      </x:c>
      <x:c r="FQ6" s="166"/>
      <x:c r="FR6" s="172" t="str">
        <x:f>IF(FG6="","",IF(FQ6="","",FQ6-FP6*365/FS6))</x:f>
      </x:c>
      <x:c r="FS6" s="164"/>
      <x:c r="FT6" s="172" t="str">
        <x:f>IF(FG6="","",IFERROR(FL6*(FK6/FJ6-1),0))</x:f>
      </x:c>
    </x:row>
    <x:row r="7" ht="18" customHeight="1">
      <x:c r="A7" s="163" t="n">
        <x:v>25211</x:v>
      </x:c>
      <x:c r="B7" s="163" t="n">
        <x:v>25212</x:v>
      </x:c>
      <x:c r="C7" s="170" t="n">
        <x:f>B7-A7</x:f>
        <x:v>1</x:v>
      </x:c>
      <x:c r="D7" s="163" t="n">
        <x:v>25211</x:v>
      </x:c>
      <x:c r="E7" s="147" t="str">
        <x:v>positive</x:v>
      </x:c>
      <x:c r="F7" s="165" t="n">
        <x:v>1.0203443552639915</x:v>
      </x:c>
      <x:c r="G7" s="168" t="n">
        <x:v>0.021328279217417995</x:v>
      </x:c>
      <x:c r="H7" s="172" t="n">
        <x:f>SUM(AX7,BL7,BZ7,CN7,DB7,DP7,ED7,ER7,FF7,FT7)</x:f>
        <x:v>0.02132827921741809</x:v>
      </x:c>
      <x:c r="I7" s="174" t="n">
        <x:f>G7-H7</x:f>
        <x:v>-9.367506770274758e-17</x:v>
      </x:c>
      <x:c r="J7" s="171" t="n">
        <x:f>F7*(1+H7)</x:f>
        <x:v>1.0421065445709783</x:v>
      </x:c>
      <x:c r="K7" s="169" t="n">
        <x:v>1.0421065445709783</x:v>
      </x:c>
      <x:c r="L7" s="175" t="n">
        <x:f>K7-J7</x:f>
        <x:v>0</x:v>
      </x:c>
      <x:c r="M7" s="167" t="n">
        <x:v>2.017</x:v>
      </x:c>
      <x:c r="N7" s="167" t="n">
        <x:v>2.007</x:v>
      </x:c>
      <x:c r="O7" s="172" t="n">
        <x:f>IFERROR(N7/M7-1,0)</x:f>
        <x:v>-0.004957858205255183</x:v>
      </x:c>
      <x:c r="P7" s="171" t="n">
        <x:f>IFERROR(AD7/AH7,0)</x:f>
        <x:v>0.9904978917237953</x:v>
      </x:c>
      <x:c r="Q7" s="171" t="n">
        <x:f>IFERROR(AE7/AI7,0)</x:f>
        <x:v>1.0166639831938094</x:v>
      </x:c>
      <x:c r="R7" s="172" t="n">
        <x:f>IFERROR((Q7-P7)/(P7+S7),0)</x:f>
        <x:v>0.026417109706792348</x:v>
      </x:c>
      <x:c r="S7" s="172" t="n">
        <x:f>IFERROR(AF7/AH7,0)</x:f>
        <x:v>0</x:v>
      </x:c>
      <x:c r="T7" s="172" t="n">
        <x:f>IFERROR(AG7/AI7,0)</x:f>
        <x:v>0</x:v>
      </x:c>
      <x:c r="U7" s="172" t="n">
        <x:f>IFERROR((T7-S7)/(P7+S7),0)</x:f>
        <x:v>0</x:v>
      </x:c>
      <x:c r="V7" s="172" t="n">
        <x:f>R7+U7</x:f>
        <x:v>0.026417109706792348</x:v>
      </x:c>
      <x:c r="W7" s="172" t="n">
        <x:f>(1+O7)*(1+V7)-1</x:f>
        <x:v>0.02132827921741831</x:v>
      </x:c>
      <x:c r="X7" s="174" t="n">
        <x:f>G7-W7</x:f>
        <x:v>-3.157196726277789e-16</x:v>
      </x:c>
      <x:c r="Y7" s="172" t="n">
        <x:f>AX7</x:f>
        <x:v>0</x:v>
      </x:c>
      <x:c r="Z7" s="172" t="n">
        <x:f>BL7</x:f>
        <x:v>0.0001695890410959855</x:v>
      </x:c>
      <x:c r="AA7" s="172" t="n">
        <x:f>SUM(BZ7,CN7,DB7,DP7,ED7,ER7,FF7,FT7)</x:f>
        <x:v>0.021158690176322104</x:v>
      </x:c>
      <x:c r="AB7" s="172" t="n">
        <x:f>SUM(Y7:AA7)</x:f>
        <x:v>0.02132827921741809</x:v>
      </x:c>
      <x:c r="AC7" s="174" t="n">
        <x:f>G7-AB7</x:f>
        <x:v>-9.367506770274758e-17</x:v>
      </x:c>
      <x:c r="AD7" s="169" t="n">
        <x:v>1.0203443552639915</x:v>
      </x:c>
      <x:c r="AE7" s="169" t="n">
        <x:v>1.0421065445709783</x:v>
      </x:c>
      <x:c r="AF7" s="169" t="n">
        <x:v>0</x:v>
      </x:c>
      <x:c r="AG7" s="169" t="n">
        <x:v>0</x:v>
      </x:c>
      <x:c r="AH7" s="171" t="n">
        <x:f>M7/$M$3</x:f>
        <x:v>1.0301327885597549</x:v>
      </x:c>
      <x:c r="AI7" s="171" t="n">
        <x:f>N7/$M$3</x:f>
        <x:v>1.0250255362614913</x:v>
      </x:c>
      <x:c r="AJ7" s="170" t="n">
        <x:f>IF(AK7&lt;&gt;"",1,0)+IF(AY7&lt;&gt;"",1,0)+IF(BM7&lt;&gt;"",1,0)+IF(CA7&lt;&gt;"",1,0)+IF(CO7&lt;&gt;"",1,0)+IF(DC7&lt;&gt;"",1,0)+IF(DQ7&lt;&gt;"",1,0)+IF(EE7&lt;&gt;"",1,0)+IF(ES7&lt;&gt;"",1,0)+IF(FG7&lt;&gt;"",1,0)</x:f>
        <x:v>2</x:v>
      </x:c>
      <x:c r="AK7" s="147"/>
      <x:c r="AL7" s="147"/>
      <x:c r="AM7" s="147"/>
      <x:c r="AN7" s="167"/>
      <x:c r="AO7" s="167"/>
      <x:c r="AP7" s="166"/>
      <x:c r="AQ7" s="171" t="str">
        <x:f>IF(AK7="","",IFERROR(F7*AP7/AN7,0))</x:f>
      </x:c>
      <x:c r="AR7" s="171" t="str">
        <x:f>IF(AK7="","",F7*ABS(AP7))</x:f>
      </x:c>
      <x:c r="AS7" s="165"/>
      <x:c r="AT7" s="172" t="str">
        <x:f>IF(AK7="","",IF(AS7="","",IFERROR(AN7/AS7-1,0)))</x:f>
      </x:c>
      <x:c r="AU7" s="166"/>
      <x:c r="AV7" s="172" t="str">
        <x:f>IF(AK7="","",IF(AU7="","",AU7-AT7*365/AW7))</x:f>
      </x:c>
      <x:c r="AW7" s="164"/>
      <x:c r="AX7" s="173" t="str">
        <x:f>IF(AK7="","",IFERROR(AP7*(AO7/AN7-1),0))</x:f>
      </x:c>
      <x:c r="AY7" s="147" t="str">
        <x:v>Matched-maturity Treasury collateral</x:v>
      </x:c>
      <x:c r="AZ7" s="147" t="str">
        <x:v>Treasury</x:v>
      </x:c>
      <x:c r="BA7" s="147" t="str">
        <x:v>Long</x:v>
      </x:c>
      <x:c r="BB7" s="167" t="n">
        <x:v>100.1012945402075</x:v>
      </x:c>
      <x:c r="BC7" s="167" t="n">
        <x:v>100.11827062276105</x:v>
      </x:c>
      <x:c r="BD7" s="166" t="n">
        <x:v>1</x:v>
      </x:c>
      <x:c r="BE7" s="171" t="n">
        <x:f>IF(AY7="","",IFERROR(F7*BD7/BB7,0))</x:f>
        <x:v>0.010193118480142649</x:v>
      </x:c>
      <x:c r="BF7" s="171" t="n">
        <x:f>IF(AY7="","",F7*ABS(BD7))</x:f>
        <x:v>1.0203443552639915</x:v>
      </x:c>
      <x:c r="BG7" s="165"/>
      <x:c r="BH7" s="172" t="str">
        <x:f>IF(AY7="","",IF(BG7="","",IFERROR(BB7/BG7-1,0)))</x:f>
      </x:c>
      <x:c r="BI7" s="166"/>
      <x:c r="BJ7" s="172" t="str">
        <x:f>IF(AY7="","",IF(BI7="","",BI7-BH7*365/BK7))</x:f>
      </x:c>
      <x:c r="BK7" s="164" t="n">
        <x:v>21</x:v>
      </x:c>
      <x:c r="BL7" s="172" t="n">
        <x:f>IF(AY7="","",IFERROR(BD7*(BC7/BB7-1),0))</x:f>
        <x:v>0.0001695890410959855</x:v>
      </x:c>
      <x:c r="BM7" s="147" t="str">
        <x:v>SI69F</x:v>
      </x:c>
      <x:c r="BN7" s="147" t="str">
        <x:v>Silver future (regular)</x:v>
      </x:c>
      <x:c r="BO7" s="147" t="str">
        <x:v>Long</x:v>
      </x:c>
      <x:c r="BP7" s="167" t="n">
        <x:v>1.985</x:v>
      </x:c>
      <x:c r="BQ7" s="167" t="n">
        <x:v>2.0269999999999997</x:v>
      </x:c>
      <x:c r="BR7" s="166" t="n">
        <x:v>1</x:v>
      </x:c>
      <x:c r="BS7" s="171" t="n">
        <x:f>IF(BM7="","",IFERROR(F7*BR7/BP7,0))</x:f>
        <x:v>0.5140273830045297</x:v>
      </x:c>
      <x:c r="BT7" s="171" t="n">
        <x:f>IF(BM7="","",F7*ABS(BR7))</x:f>
        <x:v>1.0203443552639915</x:v>
      </x:c>
      <x:c r="BU7" s="165" t="n">
        <x:v>2.017</x:v>
      </x:c>
      <x:c r="BV7" s="172" t="n">
        <x:f>IF(BM7="","",IF(BU7="","",IFERROR(BP7/BU7-1,0)))</x:f>
        <x:v>-0.01586514625681701</x:v>
      </x:c>
      <x:c r="BW7" s="166" t="n">
        <x:v>0.0619</x:v>
      </x:c>
      <x:c r="BX7" s="172" t="n">
        <x:f>IF(BM7="","",IF(BW7="","",BW7-BV7*365/BY7))</x:f>
        <x:v>0.33765135160658133</x:v>
      </x:c>
      <x:c r="BY7" s="164" t="n">
        <x:v>21</x:v>
      </x:c>
      <x:c r="BZ7" s="172" t="n">
        <x:f>IF(BM7="","",IFERROR(BR7*(BQ7/BP7-1),0))</x:f>
        <x:v>0.021158690176322104</x:v>
      </x:c>
      <x:c r="CA7" s="147"/>
      <x:c r="CB7" s="147"/>
      <x:c r="CC7" s="147"/>
      <x:c r="CD7" s="167"/>
      <x:c r="CE7" s="167"/>
      <x:c r="CF7" s="166"/>
      <x:c r="CG7" s="171" t="str">
        <x:f>IF(CA7="","",IFERROR(F7*CF7/CD7,0))</x:f>
      </x:c>
      <x:c r="CH7" s="171" t="str">
        <x:f>IF(CA7="","",F7*ABS(CF7))</x:f>
      </x:c>
      <x:c r="CI7" s="165"/>
      <x:c r="CJ7" s="172" t="str">
        <x:f>IF(CA7="","",IF(CI7="","",IFERROR(CD7/CI7-1,0)))</x:f>
      </x:c>
      <x:c r="CK7" s="166"/>
      <x:c r="CL7" s="172" t="str">
        <x:f>IF(CA7="","",IF(CK7="","",CK7-CJ7*365/CM7))</x:f>
      </x:c>
      <x:c r="CM7" s="164"/>
      <x:c r="CN7" s="172" t="str">
        <x:f>IF(CA7="","",IFERROR(CF7*(CE7/CD7-1),0))</x:f>
      </x:c>
      <x:c r="CO7" s="147"/>
      <x:c r="CP7" s="147"/>
      <x:c r="CQ7" s="147"/>
      <x:c r="CR7" s="167"/>
      <x:c r="CS7" s="167"/>
      <x:c r="CT7" s="166"/>
      <x:c r="CU7" s="171" t="str">
        <x:f>IF(CO7="","",IFERROR(F7*CT7/CR7,0))</x:f>
      </x:c>
      <x:c r="CV7" s="171" t="str">
        <x:f>IF(CO7="","",F7*ABS(CT7))</x:f>
      </x:c>
      <x:c r="CW7" s="165"/>
      <x:c r="CX7" s="172" t="str">
        <x:f>IF(CO7="","",IF(CW7="","",IFERROR(CR7/CW7-1,0)))</x:f>
      </x:c>
      <x:c r="CY7" s="166"/>
      <x:c r="CZ7" s="172" t="str">
        <x:f>IF(CO7="","",IF(CY7="","",CY7-CX7*365/DA7))</x:f>
      </x:c>
      <x:c r="DA7" s="164"/>
      <x:c r="DB7" s="172" t="str">
        <x:f>IF(CO7="","",IFERROR(CT7*(CS7/CR7-1),0))</x:f>
      </x:c>
      <x:c r="DC7" s="147"/>
      <x:c r="DD7" s="147"/>
      <x:c r="DE7" s="147"/>
      <x:c r="DF7" s="167"/>
      <x:c r="DG7" s="167"/>
      <x:c r="DH7" s="166"/>
      <x:c r="DI7" s="171" t="str">
        <x:f>IF(DC7="","",IFERROR(F7*DH7/DF7,0))</x:f>
      </x:c>
      <x:c r="DJ7" s="171" t="str">
        <x:f>IF(DC7="","",F7*ABS(DH7))</x:f>
      </x:c>
      <x:c r="DK7" s="165"/>
      <x:c r="DL7" s="172" t="str">
        <x:f>IF(DC7="","",IF(DK7="","",IFERROR(DF7/DK7-1,0)))</x:f>
      </x:c>
      <x:c r="DM7" s="166"/>
      <x:c r="DN7" s="172" t="str">
        <x:f>IF(DC7="","",IF(DM7="","",DM7-DL7*365/DO7))</x:f>
      </x:c>
      <x:c r="DO7" s="164"/>
      <x:c r="DP7" s="172" t="str">
        <x:f>IF(DC7="","",IFERROR(DH7*(DG7/DF7-1),0))</x:f>
      </x:c>
      <x:c r="DQ7" s="147"/>
      <x:c r="DR7" s="147"/>
      <x:c r="DS7" s="147"/>
      <x:c r="DT7" s="167"/>
      <x:c r="DU7" s="167"/>
      <x:c r="DV7" s="166"/>
      <x:c r="DW7" s="171" t="str">
        <x:f>IF(DQ7="","",IFERROR(F7*DV7/DT7,0))</x:f>
      </x:c>
      <x:c r="DX7" s="171" t="str">
        <x:f>IF(DQ7="","",F7*ABS(DV7))</x:f>
      </x:c>
      <x:c r="DY7" s="165"/>
      <x:c r="DZ7" s="172" t="str">
        <x:f>IF(DQ7="","",IF(DY7="","",IFERROR(DT7/DY7-1,0)))</x:f>
      </x:c>
      <x:c r="EA7" s="166"/>
      <x:c r="EB7" s="172" t="str">
        <x:f>IF(DQ7="","",IF(EA7="","",EA7-DZ7*365/EC7))</x:f>
      </x:c>
      <x:c r="EC7" s="164"/>
      <x:c r="ED7" s="172" t="str">
        <x:f>IF(DQ7="","",IFERROR(DV7*(DU7/DT7-1),0))</x:f>
      </x:c>
      <x:c r="EE7" s="147"/>
      <x:c r="EF7" s="147"/>
      <x:c r="EG7" s="147"/>
      <x:c r="EH7" s="167"/>
      <x:c r="EI7" s="167"/>
      <x:c r="EJ7" s="166"/>
      <x:c r="EK7" s="171" t="str">
        <x:f>IF(EE7="","",IFERROR(F7*EJ7/EH7,0))</x:f>
      </x:c>
      <x:c r="EL7" s="171" t="str">
        <x:f>IF(EE7="","",F7*ABS(EJ7))</x:f>
      </x:c>
      <x:c r="EM7" s="165"/>
      <x:c r="EN7" s="172" t="str">
        <x:f>IF(EE7="","",IF(EM7="","",IFERROR(EH7/EM7-1,0)))</x:f>
      </x:c>
      <x:c r="EO7" s="166"/>
      <x:c r="EP7" s="172" t="str">
        <x:f>IF(EE7="","",IF(EO7="","",EO7-EN7*365/EQ7))</x:f>
      </x:c>
      <x:c r="EQ7" s="164"/>
      <x:c r="ER7" s="172" t="str">
        <x:f>IF(EE7="","",IFERROR(EJ7*(EI7/EH7-1),0))</x:f>
      </x:c>
      <x:c r="ES7" s="147"/>
      <x:c r="ET7" s="147"/>
      <x:c r="EU7" s="147"/>
      <x:c r="EV7" s="167"/>
      <x:c r="EW7" s="167"/>
      <x:c r="EX7" s="166"/>
      <x:c r="EY7" s="171" t="str">
        <x:f>IF(ES7="","",IFERROR(F7*EX7/EV7,0))</x:f>
      </x:c>
      <x:c r="EZ7" s="171" t="str">
        <x:f>IF(ES7="","",F7*ABS(EX7))</x:f>
      </x:c>
      <x:c r="FA7" s="165"/>
      <x:c r="FB7" s="172" t="str">
        <x:f>IF(ES7="","",IF(FA7="","",IFERROR(EV7/FA7-1,0)))</x:f>
      </x:c>
      <x:c r="FC7" s="166"/>
      <x:c r="FD7" s="172" t="str">
        <x:f>IF(ES7="","",IF(FC7="","",FC7-FB7*365/FE7))</x:f>
      </x:c>
      <x:c r="FE7" s="164"/>
      <x:c r="FF7" s="172" t="str">
        <x:f>IF(ES7="","",IFERROR(EX7*(EW7/EV7-1),0))</x:f>
      </x:c>
      <x:c r="FG7" s="147"/>
      <x:c r="FH7" s="147"/>
      <x:c r="FI7" s="147"/>
      <x:c r="FJ7" s="167"/>
      <x:c r="FK7" s="167"/>
      <x:c r="FL7" s="166"/>
      <x:c r="FM7" s="171" t="str">
        <x:f>IF(FG7="","",IFERROR(F7*FL7/FJ7,0))</x:f>
      </x:c>
      <x:c r="FN7" s="171" t="str">
        <x:f>IF(FG7="","",F7*ABS(FL7))</x:f>
      </x:c>
      <x:c r="FO7" s="165"/>
      <x:c r="FP7" s="172" t="str">
        <x:f>IF(FG7="","",IF(FO7="","",IFERROR(FJ7/FO7-1,0)))</x:f>
      </x:c>
      <x:c r="FQ7" s="166"/>
      <x:c r="FR7" s="172" t="str">
        <x:f>IF(FG7="","",IF(FQ7="","",FQ7-FP7*365/FS7))</x:f>
      </x:c>
      <x:c r="FS7" s="164"/>
      <x:c r="FT7" s="172" t="str">
        <x:f>IF(FG7="","",IFERROR(FL7*(FK7/FJ7-1),0))</x:f>
      </x:c>
    </x:row>
    <x:row r="8" ht="18" customHeight="1">
      <x:c r="A8" s="163" t="n">
        <x:v>25212</x:v>
      </x:c>
      <x:c r="B8" s="163" t="n">
        <x:v>25213</x:v>
      </x:c>
      <x:c r="C8" s="170" t="n">
        <x:f>B8-A8</x:f>
        <x:v>1</x:v>
      </x:c>
      <x:c r="D8" s="163" t="n">
        <x:v>25212</x:v>
      </x:c>
      <x:c r="E8" s="147" t="str">
        <x:v>neutral</x:v>
      </x:c>
      <x:c r="F8" s="165" t="n">
        <x:v>1.0421065445709783</x:v>
      </x:c>
      <x:c r="G8" s="168" t="n">
        <x:v>0.017432114312235746</x:v>
      </x:c>
      <x:c r="H8" s="172" t="n">
        <x:f>SUM(AX8,BL8,BZ8,CN8,DB8,DP8,ED8,ER8,FF8,FT8)</x:f>
        <x:v>0.017432114312235746</x:v>
      </x:c>
      <x:c r="I8" s="174" t="n">
        <x:f>G8-H8</x:f>
        <x:v>0</x:v>
      </x:c>
      <x:c r="J8" s="171" t="n">
        <x:f>F8*(1+H8)</x:f>
        <x:v>1.0602726649814687</x:v>
      </x:c>
      <x:c r="K8" s="169" t="n">
        <x:v>1.0602726649814687</x:v>
      </x:c>
      <x:c r="L8" s="175" t="n">
        <x:f>K8-J8</x:f>
        <x:v>0</x:v>
      </x:c>
      <x:c r="M8" s="167" t="n">
        <x:v>2.007</x:v>
      </x:c>
      <x:c r="N8" s="167" t="n">
        <x:v>2.042</x:v>
      </x:c>
      <x:c r="O8" s="172" t="n">
        <x:f>IFERROR(N8/M8-1,0)</x:f>
        <x:v>0.017438963627304238</x:v>
      </x:c>
      <x:c r="P8" s="171" t="n">
        <x:f>IFERROR(AD8/AH8,0)</x:f>
        <x:v>1.0166639831938094</x:v>
      </x:c>
      <x:c r="Q8" s="171" t="n">
        <x:f>IFERROR(AE8/AI8,0)</x:f>
        <x:v>1.0166571390958452</x:v>
      </x:c>
      <x:c r="R8" s="172" t="n">
        <x:f>IFERROR((Q8-P8)/(P8+S8),0)</x:f>
        <x:v>-0.000006731917405633066</x:v>
      </x:c>
      <x:c r="S8" s="172" t="n">
        <x:f>IFERROR(AF8/AH8,0)</x:f>
        <x:v>0</x:v>
      </x:c>
      <x:c r="T8" s="172" t="n">
        <x:f>IFERROR(AG8/AI8,0)</x:f>
        <x:v>0</x:v>
      </x:c>
      <x:c r="U8" s="172" t="n">
        <x:f>IFERROR((T8-S8)/(P8+S8),0)</x:f>
        <x:v>0</x:v>
      </x:c>
      <x:c r="V8" s="172" t="n">
        <x:f>R8+U8</x:f>
        <x:v>-0.000006731917405633066</x:v>
      </x:c>
      <x:c r="W8" s="172" t="n">
        <x:f>(1+O8)*(1+V8)-1</x:f>
        <x:v>0.01743211431223579</x:v>
      </x:c>
      <x:c r="X8" s="174" t="n">
        <x:f>G8-W8</x:f>
        <x:v>-4.5102810375396984e-17</x:v>
      </x:c>
      <x:c r="Y8" s="172" t="n">
        <x:f>AX8</x:f>
        <x:v>0.017432114312235746</x:v>
      </x:c>
      <x:c r="Z8" s="172" t="str">
        <x:f>BL8</x:f>
      </x:c>
      <x:c r="AA8" s="172" t="n">
        <x:f>SUM(BZ8,CN8,DB8,DP8,ED8,ER8,FF8,FT8)</x:f>
        <x:v>0</x:v>
      </x:c>
      <x:c r="AB8" s="172" t="n">
        <x:f>SUM(Y8:AA8)</x:f>
        <x:v>0.017432114312235746</x:v>
      </x:c>
      <x:c r="AC8" s="174" t="n">
        <x:f>G8-AB8</x:f>
        <x:v>0</x:v>
      </x:c>
      <x:c r="AD8" s="169" t="n">
        <x:v>1.0421065445709783</x:v>
      </x:c>
      <x:c r="AE8" s="169" t="n">
        <x:v>1.0602726649814687</x:v>
      </x:c>
      <x:c r="AF8" s="169" t="n">
        <x:v>0</x:v>
      </x:c>
      <x:c r="AG8" s="169" t="n">
        <x:v>0</x:v>
      </x:c>
      <x:c r="AH8" s="171" t="n">
        <x:f>M8/$M$3</x:f>
        <x:v>1.0250255362614913</x:v>
      </x:c>
      <x:c r="AI8" s="171" t="n">
        <x:f>N8/$M$3</x:f>
        <x:v>1.0429009193054135</x:v>
      </x:c>
      <x:c r="AJ8" s="170" t="n">
        <x:f>IF(AK8&lt;&gt;"",1,0)+IF(AY8&lt;&gt;"",1,0)+IF(BM8&lt;&gt;"",1,0)+IF(CA8&lt;&gt;"",1,0)+IF(CO8&lt;&gt;"",1,0)+IF(DC8&lt;&gt;"",1,0)+IF(DQ8&lt;&gt;"",1,0)+IF(EE8&lt;&gt;"",1,0)+IF(ES8&lt;&gt;"",1,0)+IF(FG8&lt;&gt;"",1,0)</x:f>
        <x:v>1</x:v>
      </x:c>
      <x:c r="AK8" s="147" t="str">
        <x:v>Silver replicating holding (LBMA/SLV proxy)</x:v>
      </x:c>
      <x:c r="AL8" s="147" t="str">
        <x:v>Physical-backed proxy</x:v>
      </x:c>
      <x:c r="AM8" s="147" t="str">
        <x:v>Long</x:v>
      </x:c>
      <x:c r="AN8" s="167" t="n">
        <x:v>2.007</x:v>
      </x:c>
      <x:c r="AO8" s="167" t="n">
        <x:v>2.042</x:v>
      </x:c>
      <x:c r="AP8" s="166" t="n">
        <x:v>1</x:v>
      </x:c>
      <x:c r="AQ8" s="171" t="n">
        <x:f>IF(AK8="","",IFERROR(F8*AP8/AN8,0))</x:f>
        <x:v>0.5192359464728342</x:v>
      </x:c>
      <x:c r="AR8" s="171" t="n">
        <x:f>IF(AK8="","",F8*ABS(AP8))</x:f>
        <x:v>1.0421065445709783</x:v>
      </x:c>
      <x:c r="AS8" s="165"/>
      <x:c r="AT8" s="172" t="str">
        <x:f>IF(AK8="","",IF(AS8="","",IFERROR(AN8/AS8-1,0)))</x:f>
      </x:c>
      <x:c r="AU8" s="166"/>
      <x:c r="AV8" s="172" t="str">
        <x:f>IF(AK8="","",IF(AU8="","",AU8-AT8*365/AW8))</x:f>
      </x:c>
      <x:c r="AW8" s="164"/>
      <x:c r="AX8" s="173" t="n">
        <x:f>IF(AK8="","",IFERROR(AP8*(AO8/AN8-1-'Parameters'!$C$6*C8/365),0))</x:f>
        <x:v>0.017432114312235746</x:v>
      </x:c>
      <x:c r="AY8" s="147"/>
      <x:c r="AZ8" s="147"/>
      <x:c r="BA8" s="147"/>
      <x:c r="BB8" s="167"/>
      <x:c r="BC8" s="167"/>
      <x:c r="BD8" s="166"/>
      <x:c r="BE8" s="171" t="str">
        <x:f>IF(AY8="","",IFERROR(F8*BD8/BB8,0))</x:f>
      </x:c>
      <x:c r="BF8" s="171" t="str">
        <x:f>IF(AY8="","",F8*ABS(BD8))</x:f>
      </x:c>
      <x:c r="BG8" s="165"/>
      <x:c r="BH8" s="172" t="str">
        <x:f>IF(AY8="","",IF(BG8="","",IFERROR(BB8/BG8-1,0)))</x:f>
      </x:c>
      <x:c r="BI8" s="166"/>
      <x:c r="BJ8" s="172" t="str">
        <x:f>IF(AY8="","",IF(BI8="","",BI8-BH8*365/BK8))</x:f>
      </x:c>
      <x:c r="BK8" s="164"/>
      <x:c r="BL8" s="172" t="str">
        <x:f>IF(AY8="","",IFERROR(BD8*(BC8/BB8-1),0))</x:f>
      </x:c>
      <x:c r="BM8" s="147"/>
      <x:c r="BN8" s="147"/>
      <x:c r="BO8" s="147"/>
      <x:c r="BP8" s="167"/>
      <x:c r="BQ8" s="167"/>
      <x:c r="BR8" s="166"/>
      <x:c r="BS8" s="171" t="str">
        <x:f>IF(BM8="","",IFERROR(F8*BR8/BP8,0))</x:f>
      </x:c>
      <x:c r="BT8" s="171" t="str">
        <x:f>IF(BM8="","",F8*ABS(BR8))</x:f>
      </x:c>
      <x:c r="BU8" s="165"/>
      <x:c r="BV8" s="172" t="str">
        <x:f>IF(BM8="","",IF(BU8="","",IFERROR(BP8/BU8-1,0)))</x:f>
      </x:c>
      <x:c r="BW8" s="166"/>
      <x:c r="BX8" s="172" t="str">
        <x:f>IF(BM8="","",IF(BW8="","",BW8-BV8*365/BY8))</x:f>
      </x:c>
      <x:c r="BY8" s="164"/>
      <x:c r="BZ8" s="172" t="str">
        <x:f>IF(BM8="","",IFERROR(BR8*(BQ8/BP8-1),0))</x:f>
      </x:c>
      <x:c r="CA8" s="147"/>
      <x:c r="CB8" s="147"/>
      <x:c r="CC8" s="147"/>
      <x:c r="CD8" s="167"/>
      <x:c r="CE8" s="167"/>
      <x:c r="CF8" s="166"/>
      <x:c r="CG8" s="171" t="str">
        <x:f>IF(CA8="","",IFERROR(F8*CF8/CD8,0))</x:f>
      </x:c>
      <x:c r="CH8" s="171" t="str">
        <x:f>IF(CA8="","",F8*ABS(CF8))</x:f>
      </x:c>
      <x:c r="CI8" s="165"/>
      <x:c r="CJ8" s="172" t="str">
        <x:f>IF(CA8="","",IF(CI8="","",IFERROR(CD8/CI8-1,0)))</x:f>
      </x:c>
      <x:c r="CK8" s="166"/>
      <x:c r="CL8" s="172" t="str">
        <x:f>IF(CA8="","",IF(CK8="","",CK8-CJ8*365/CM8))</x:f>
      </x:c>
      <x:c r="CM8" s="164"/>
      <x:c r="CN8" s="172" t="str">
        <x:f>IF(CA8="","",IFERROR(CF8*(CE8/CD8-1),0))</x:f>
      </x:c>
      <x:c r="CO8" s="147"/>
      <x:c r="CP8" s="147"/>
      <x:c r="CQ8" s="147"/>
      <x:c r="CR8" s="167"/>
      <x:c r="CS8" s="167"/>
      <x:c r="CT8" s="166"/>
      <x:c r="CU8" s="171" t="str">
        <x:f>IF(CO8="","",IFERROR(F8*CT8/CR8,0))</x:f>
      </x:c>
      <x:c r="CV8" s="171" t="str">
        <x:f>IF(CO8="","",F8*ABS(CT8))</x:f>
      </x:c>
      <x:c r="CW8" s="165"/>
      <x:c r="CX8" s="172" t="str">
        <x:f>IF(CO8="","",IF(CW8="","",IFERROR(CR8/CW8-1,0)))</x:f>
      </x:c>
      <x:c r="CY8" s="166"/>
      <x:c r="CZ8" s="172" t="str">
        <x:f>IF(CO8="","",IF(CY8="","",CY8-CX8*365/DA8))</x:f>
      </x:c>
      <x:c r="DA8" s="164"/>
      <x:c r="DB8" s="172" t="str">
        <x:f>IF(CO8="","",IFERROR(CT8*(CS8/CR8-1),0))</x:f>
      </x:c>
      <x:c r="DC8" s="147"/>
      <x:c r="DD8" s="147"/>
      <x:c r="DE8" s="147"/>
      <x:c r="DF8" s="167"/>
      <x:c r="DG8" s="167"/>
      <x:c r="DH8" s="166"/>
      <x:c r="DI8" s="171" t="str">
        <x:f>IF(DC8="","",IFERROR(F8*DH8/DF8,0))</x:f>
      </x:c>
      <x:c r="DJ8" s="171" t="str">
        <x:f>IF(DC8="","",F8*ABS(DH8))</x:f>
      </x:c>
      <x:c r="DK8" s="165"/>
      <x:c r="DL8" s="172" t="str">
        <x:f>IF(DC8="","",IF(DK8="","",IFERROR(DF8/DK8-1,0)))</x:f>
      </x:c>
      <x:c r="DM8" s="166"/>
      <x:c r="DN8" s="172" t="str">
        <x:f>IF(DC8="","",IF(DM8="","",DM8-DL8*365/DO8))</x:f>
      </x:c>
      <x:c r="DO8" s="164"/>
      <x:c r="DP8" s="172" t="str">
        <x:f>IF(DC8="","",IFERROR(DH8*(DG8/DF8-1),0))</x:f>
      </x:c>
      <x:c r="DQ8" s="147"/>
      <x:c r="DR8" s="147"/>
      <x:c r="DS8" s="147"/>
      <x:c r="DT8" s="167"/>
      <x:c r="DU8" s="167"/>
      <x:c r="DV8" s="166"/>
      <x:c r="DW8" s="171" t="str">
        <x:f>IF(DQ8="","",IFERROR(F8*DV8/DT8,0))</x:f>
      </x:c>
      <x:c r="DX8" s="171" t="str">
        <x:f>IF(DQ8="","",F8*ABS(DV8))</x:f>
      </x:c>
      <x:c r="DY8" s="165"/>
      <x:c r="DZ8" s="172" t="str">
        <x:f>IF(DQ8="","",IF(DY8="","",IFERROR(DT8/DY8-1,0)))</x:f>
      </x:c>
      <x:c r="EA8" s="166"/>
      <x:c r="EB8" s="172" t="str">
        <x:f>IF(DQ8="","",IF(EA8="","",EA8-DZ8*365/EC8))</x:f>
      </x:c>
      <x:c r="EC8" s="164"/>
      <x:c r="ED8" s="172" t="str">
        <x:f>IF(DQ8="","",IFERROR(DV8*(DU8/DT8-1),0))</x:f>
      </x:c>
      <x:c r="EE8" s="147"/>
      <x:c r="EF8" s="147"/>
      <x:c r="EG8" s="147"/>
      <x:c r="EH8" s="167"/>
      <x:c r="EI8" s="167"/>
      <x:c r="EJ8" s="166"/>
      <x:c r="EK8" s="171" t="str">
        <x:f>IF(EE8="","",IFERROR(F8*EJ8/EH8,0))</x:f>
      </x:c>
      <x:c r="EL8" s="171" t="str">
        <x:f>IF(EE8="","",F8*ABS(EJ8))</x:f>
      </x:c>
      <x:c r="EM8" s="165"/>
      <x:c r="EN8" s="172" t="str">
        <x:f>IF(EE8="","",IF(EM8="","",IFERROR(EH8/EM8-1,0)))</x:f>
      </x:c>
      <x:c r="EO8" s="166"/>
      <x:c r="EP8" s="172" t="str">
        <x:f>IF(EE8="","",IF(EO8="","",EO8-EN8*365/EQ8))</x:f>
      </x:c>
      <x:c r="EQ8" s="164"/>
      <x:c r="ER8" s="172" t="str">
        <x:f>IF(EE8="","",IFERROR(EJ8*(EI8/EH8-1),0))</x:f>
      </x:c>
      <x:c r="ES8" s="147"/>
      <x:c r="ET8" s="147"/>
      <x:c r="EU8" s="147"/>
      <x:c r="EV8" s="167"/>
      <x:c r="EW8" s="167"/>
      <x:c r="EX8" s="166"/>
      <x:c r="EY8" s="171" t="str">
        <x:f>IF(ES8="","",IFERROR(F8*EX8/EV8,0))</x:f>
      </x:c>
      <x:c r="EZ8" s="171" t="str">
        <x:f>IF(ES8="","",F8*ABS(EX8))</x:f>
      </x:c>
      <x:c r="FA8" s="165"/>
      <x:c r="FB8" s="172" t="str">
        <x:f>IF(ES8="","",IF(FA8="","",IFERROR(EV8/FA8-1,0)))</x:f>
      </x:c>
      <x:c r="FC8" s="166"/>
      <x:c r="FD8" s="172" t="str">
        <x:f>IF(ES8="","",IF(FC8="","",FC8-FB8*365/FE8))</x:f>
      </x:c>
      <x:c r="FE8" s="164"/>
      <x:c r="FF8" s="172" t="str">
        <x:f>IF(ES8="","",IFERROR(EX8*(EW8/EV8-1),0))</x:f>
      </x:c>
      <x:c r="FG8" s="147"/>
      <x:c r="FH8" s="147"/>
      <x:c r="FI8" s="147"/>
      <x:c r="FJ8" s="167"/>
      <x:c r="FK8" s="167"/>
      <x:c r="FL8" s="166"/>
      <x:c r="FM8" s="171" t="str">
        <x:f>IF(FG8="","",IFERROR(F8*FL8/FJ8,0))</x:f>
      </x:c>
      <x:c r="FN8" s="171" t="str">
        <x:f>IF(FG8="","",F8*ABS(FL8))</x:f>
      </x:c>
      <x:c r="FO8" s="165"/>
      <x:c r="FP8" s="172" t="str">
        <x:f>IF(FG8="","",IF(FO8="","",IFERROR(FJ8/FO8-1,0)))</x:f>
      </x:c>
      <x:c r="FQ8" s="166"/>
      <x:c r="FR8" s="172" t="str">
        <x:f>IF(FG8="","",IF(FQ8="","",FQ8-FP8*365/FS8))</x:f>
      </x:c>
      <x:c r="FS8" s="164"/>
      <x:c r="FT8" s="172" t="str">
        <x:f>IF(FG8="","",IFERROR(FL8*(FK8/FJ8-1),0))</x:f>
      </x:c>
    </x:row>
    <x:row r="9" ht="18" customHeight="1">
      <x:c r="A9" s="163" t="n">
        <x:v>25213</x:v>
      </x:c>
      <x:c r="B9" s="163" t="n">
        <x:v>25216</x:v>
      </x:c>
      <x:c r="C9" s="170" t="n">
        <x:f>B9-A9</x:f>
        <x:v>3</x:v>
      </x:c>
      <x:c r="D9" s="163" t="n">
        <x:v>25213</x:v>
      </x:c>
      <x:c r="E9" s="147" t="str">
        <x:v>positive</x:v>
      </x:c>
      <x:c r="F9" s="165" t="n">
        <x:v>1.0602726649814687</x:v>
      </x:c>
      <x:c r="G9" s="168" t="n">
        <x:v>-0.001997808219178029</x:v>
      </x:c>
      <x:c r="H9" s="172" t="n">
        <x:f>SUM(AX9,BL9,BZ9,CN9,DB9,DP9,ED9,ER9,FF9,FT9)</x:f>
        <x:v>-0.0019978082191780544</x:v>
      </x:c>
      <x:c r="I9" s="174" t="n">
        <x:f>G9-H9</x:f>
        <x:v>2.5587171270657905e-17</x:v>
      </x:c>
      <x:c r="J9" s="171" t="n">
        <x:f>F9*(1+H9)</x:f>
        <x:v>1.0581544435367989</x:v>
      </x:c>
      <x:c r="K9" s="169" t="n">
        <x:v>1.0581544435367989</x:v>
      </x:c>
      <x:c r="L9" s="175" t="n">
        <x:f>K9-J9</x:f>
        <x:v>0</x:v>
      </x:c>
      <x:c r="M9" s="167" t="n">
        <x:v>2.042</x:v>
      </x:c>
      <x:c r="N9" s="167" t="n">
        <x:v>2.016</x:v>
      </x:c>
      <x:c r="O9" s="172" t="n">
        <x:f>IFERROR(N9/M9-1,0)</x:f>
        <x:v>-0.01273261508325163</x:v>
      </x:c>
      <x:c r="P9" s="171" t="n">
        <x:f>IFERROR(AD9/AH9,0)</x:f>
        <x:v>1.0166571390958452</x:v>
      </x:c>
      <x:c r="Q9" s="171" t="n">
        <x:f>IFERROR(AE9/AI9,0)</x:f>
        <x:v>1.027711508157268</x:v>
      </x:c>
      <x:c r="R9" s="172" t="n">
        <x:f>IFERROR((Q9-P9)/(P9+S9),0)</x:f>
        <x:v>0.010873251793868263</x:v>
      </x:c>
      <x:c r="S9" s="172" t="n">
        <x:f>IFERROR(AF9/AH9,0)</x:f>
        <x:v>0</x:v>
      </x:c>
      <x:c r="T9" s="172" t="n">
        <x:f>IFERROR(AG9/AI9,0)</x:f>
        <x:v>0</x:v>
      </x:c>
      <x:c r="U9" s="172" t="n">
        <x:f>IFERROR((T9-S9)/(P9+S9),0)</x:f>
        <x:v>0</x:v>
      </x:c>
      <x:c r="V9" s="172" t="n">
        <x:f>R9+U9</x:f>
        <x:v>0.010873251793868263</x:v>
      </x:c>
      <x:c r="W9" s="172" t="n">
        <x:f>(1+O9)*(1+V9)-1</x:f>
        <x:v>-0.0019978082191779434</x:v>
      </x:c>
      <x:c r="X9" s="174" t="n">
        <x:f>G9-W9</x:f>
        <x:v>-8.543513119185775e-17</x:v>
      </x:c>
      <x:c r="Y9" s="172" t="str">
        <x:f>AX9</x:f>
      </x:c>
      <x:c r="Z9" s="172" t="n">
        <x:f>BL9</x:f>
        <x:v>0.0005021917808218923</x:v>
      </x:c>
      <x:c r="AA9" s="172" t="n">
        <x:f>SUM(BZ9,CN9,DB9,DP9,ED9,ER9,FF9,FT9)</x:f>
        <x:v>-0.0024999999999999467</x:v>
      </x:c>
      <x:c r="AB9" s="172" t="n">
        <x:f>SUM(Y9:AA9)</x:f>
        <x:v>-0.0019978082191780544</x:v>
      </x:c>
      <x:c r="AC9" s="174" t="n">
        <x:f>G9-AB9</x:f>
        <x:v>2.5587171270657905e-17</x:v>
      </x:c>
      <x:c r="AD9" s="169" t="n">
        <x:v>1.0602726649814687</x:v>
      </x:c>
      <x:c r="AE9" s="169" t="n">
        <x:v>1.0581544435367989</x:v>
      </x:c>
      <x:c r="AF9" s="169" t="n">
        <x:v>0</x:v>
      </x:c>
      <x:c r="AG9" s="169" t="n">
        <x:v>0</x:v>
      </x:c>
      <x:c r="AH9" s="171" t="n">
        <x:f>M9/$M$3</x:f>
        <x:v>1.0429009193054135</x:v>
      </x:c>
      <x:c r="AI9" s="171" t="n">
        <x:f>N9/$M$3</x:f>
        <x:v>1.0296220633299284</x:v>
      </x:c>
      <x:c r="AJ9" s="170" t="n">
        <x:f>IF(AK9&lt;&gt;"",1,0)+IF(AY9&lt;&gt;"",1,0)+IF(BM9&lt;&gt;"",1,0)+IF(CA9&lt;&gt;"",1,0)+IF(CO9&lt;&gt;"",1,0)+IF(DC9&lt;&gt;"",1,0)+IF(DQ9&lt;&gt;"",1,0)+IF(EE9&lt;&gt;"",1,0)+IF(ES9&lt;&gt;"",1,0)+IF(FG9&lt;&gt;"",1,0)</x:f>
        <x:v>5</x:v>
      </x:c>
      <x:c r="AK9" s="147"/>
      <x:c r="AL9" s="147"/>
      <x:c r="AM9" s="147"/>
      <x:c r="AN9" s="167"/>
      <x:c r="AO9" s="167"/>
      <x:c r="AP9" s="166"/>
      <x:c r="AQ9" s="171" t="str">
        <x:f>IF(AK9="","",IFERROR(F9*AP9/AN9,0))</x:f>
      </x:c>
      <x:c r="AR9" s="171" t="str">
        <x:f>IF(AK9="","",F9*ABS(AP9))</x:f>
      </x:c>
      <x:c r="AS9" s="165"/>
      <x:c r="AT9" s="172" t="str">
        <x:f>IF(AK9="","",IF(AS9="","",IFERROR(AN9/AS9-1,0)))</x:f>
      </x:c>
      <x:c r="AU9" s="166"/>
      <x:c r="AV9" s="172" t="str">
        <x:f>IF(AK9="","",IF(AU9="","",AU9-AT9*365/AW9))</x:f>
      </x:c>
      <x:c r="AW9" s="164"/>
      <x:c r="AX9" s="173" t="str">
        <x:f>IF(AK9="","",IFERROR(AP9*(AO9/AN9-1),0))</x:f>
      </x:c>
      <x:c r="AY9" s="147" t="str">
        <x:v>Matched-maturity Treasury collateral</x:v>
      </x:c>
      <x:c r="AZ9" s="147" t="str">
        <x:v>Treasury</x:v>
      </x:c>
      <x:c r="BA9" s="147" t="str">
        <x:v>Long</x:v>
      </x:c>
      <x:c r="BB9" s="167" t="n">
        <x:v>100.1351398656194</x:v>
      </x:c>
      <x:c r="BC9" s="167" t="n">
        <x:v>100.18542690983136</x:v>
      </x:c>
      <x:c r="BD9" s="166" t="n">
        <x:v>1</x:v>
      </x:c>
      <x:c r="BE9" s="171" t="n">
        <x:f>IF(AY9="","",IFERROR(F9*BD9/BB9,0))</x:f>
        <x:v>0.0105884174766655</x:v>
      </x:c>
      <x:c r="BF9" s="171" t="n">
        <x:f>IF(AY9="","",F9*ABS(BD9))</x:f>
        <x:v>1.0602726649814687</x:v>
      </x:c>
      <x:c r="BG9" s="165"/>
      <x:c r="BH9" s="172" t="str">
        <x:f>IF(AY9="","",IF(BG9="","",IFERROR(BB9/BG9-1,0)))</x:f>
      </x:c>
      <x:c r="BI9" s="166"/>
      <x:c r="BJ9" s="172" t="str">
        <x:f>IF(AY9="","",IF(BI9="","",BI9-BH9*365/BK9))</x:f>
      </x:c>
      <x:c r="BK9" s="164" t="n">
        <x:v>19.000000000000004</x:v>
      </x:c>
      <x:c r="BL9" s="172" t="n">
        <x:f>IF(AY9="","",IFERROR(BD9*(BC9/BB9-1),0))</x:f>
        <x:v>0.0005021917808218923</x:v>
      </x:c>
      <x:c r="BM9" s="147" t="str">
        <x:v>SI69F</x:v>
      </x:c>
      <x:c r="BN9" s="147" t="str">
        <x:v>Silver future (regular)</x:v>
      </x:c>
      <x:c r="BO9" s="147" t="str">
        <x:v>Long</x:v>
      </x:c>
      <x:c r="BP9" s="167" t="n">
        <x:v>2</x:v>
      </x:c>
      <x:c r="BQ9" s="167" t="n">
        <x:v>1.995</x:v>
      </x:c>
      <x:c r="BR9" s="166" t="n">
        <x:v>0.9999999999999999</x:v>
      </x:c>
      <x:c r="BS9" s="171" t="n">
        <x:f>IF(BM9="","",IFERROR(F9*BR9/BP9,0))</x:f>
        <x:v>0.5301363324907342</x:v>
      </x:c>
      <x:c r="BT9" s="171" t="n">
        <x:f>IF(BM9="","",F9*ABS(BR9))</x:f>
        <x:v>1.0602726649814684</x:v>
      </x:c>
      <x:c r="BU9" s="165" t="n">
        <x:v>2.042</x:v>
      </x:c>
      <x:c r="BV9" s="172" t="n">
        <x:f>IF(BM9="","",IF(BU9="","",IFERROR(BP9/BU9-1,0)))</x:f>
        <x:v>-0.020568070519098813</x:v>
      </x:c>
      <x:c r="BW9" s="166" t="n">
        <x:v>0.0611</x:v>
      </x:c>
      <x:c r="BX9" s="172" t="n">
        <x:f>IF(BM9="","",IF(BW9="","",BW9-BV9*365/BY9))</x:f>
        <x:v>0.4562234599721614</x:v>
      </x:c>
      <x:c r="BY9" s="164" t="n">
        <x:v>19</x:v>
      </x:c>
      <x:c r="BZ9" s="172" t="n">
        <x:f>IF(BM9="","",IFERROR(BR9*(BQ9/BP9-1),0))</x:f>
        <x:v>-0.0024999999999999463</x:v>
      </x:c>
      <x:c r="CA9" s="147" t="str">
        <x:v>SI69H</x:v>
      </x:c>
      <x:c r="CB9" s="147" t="str">
        <x:v>Silver future (regular)</x:v>
      </x:c>
      <x:c r="CC9" s="147" t="str">
        <x:v>Long</x:v>
      </x:c>
      <x:c r="CD9" s="167" t="n">
        <x:v>2.03</x:v>
      </x:c>
      <x:c r="CE9" s="167" t="n">
        <x:v>2.025</x:v>
      </x:c>
      <x:c r="CF9" s="166" t="n">
        <x:v>1.1633757626361086e-16</x:v>
      </x:c>
      <x:c r="CG9" s="171" t="n">
        <x:f>IF(CA9="","",IFERROR(F9*CF9/CD9,0))</x:f>
        <x:v>6.076332611945987e-17</x:v>
      </x:c>
      <x:c r="CH9" s="171" t="n">
        <x:f>IF(CA9="","",F9*ABS(CF9))</x:f>
        <x:v>1.2334955202250353e-16</x:v>
      </x:c>
      <x:c r="CI9" s="165" t="n">
        <x:v>2.042</x:v>
      </x:c>
      <x:c r="CJ9" s="172" t="n">
        <x:f>IF(CA9="","",IF(CI9="","",IFERROR(CD9/CI9-1,0)))</x:f>
        <x:v>-0.005876591576885359</x:v>
      </x:c>
      <x:c r="CK9" s="166" t="n">
        <x:v>0.0611</x:v>
      </x:c>
      <x:c r="CL9" s="172" t="n">
        <x:f>IF(CA9="","",IF(CK9="","",CK9-CJ9*365/CM9))</x:f>
        <x:v>0.08932310428372574</x:v>
      </x:c>
      <x:c r="CM9" s="164" t="n">
        <x:v>76</x:v>
      </x:c>
      <x:c r="CN9" s="172" t="n">
        <x:f>IF(CA9="","",IFERROR(CF9*(CE9/CD9-1),0))</x:f>
        <x:v>-2.865457543438623e-19</x:v>
      </x:c>
      <x:c r="CO9" s="147" t="str">
        <x:v>SI69K</x:v>
      </x:c>
      <x:c r="CP9" s="147" t="str">
        <x:v>Silver future (regular)</x:v>
      </x:c>
      <x:c r="CQ9" s="147" t="str">
        <x:v>Long</x:v>
      </x:c>
      <x:c r="CR9" s="167" t="n">
        <x:v>2.07</x:v>
      </x:c>
      <x:c r="CS9" s="167" t="n">
        <x:v>2.065</x:v>
      </x:c>
      <x:c r="CT9" s="166" t="n">
        <x:v>3.596952881143505e-20</x:v>
      </x:c>
      <x:c r="CU9" s="171" t="n">
        <x:f>IF(CO9="","",IFERROR(F9*CT9/CR9,0))</x:f>
        <x:v>1.8423916990834767e-20</x:v>
      </x:c>
      <x:c r="CV9" s="171" t="n">
        <x:f>IF(CO9="","",F9*ABS(CT9))</x:f>
        <x:v>3.8137508171027963e-20</x:v>
      </x:c>
      <x:c r="CW9" s="165" t="n">
        <x:v>2.042</x:v>
      </x:c>
      <x:c r="CX9" s="172" t="n">
        <x:f>IF(CO9="","",IF(CW9="","",IFERROR(CR9/CW9-1,0)))</x:f>
        <x:v>0.013712047012732542</x:v>
      </x:c>
      <x:c r="CY9" s="166" t="n">
        <x:v>0.06213296703296703</x:v>
      </x:c>
      <x:c r="CZ9" s="172" t="n">
        <x:f>IF(CO9="","",IF(CY9="","",CY9-CX9*365/DA9))</x:f>
        <x:v>0.02586559631088458</x:v>
      </x:c>
      <x:c r="DA9" s="164" t="n">
        <x:v>138</x:v>
      </x:c>
      <x:c r="DB9" s="172" t="n">
        <x:f>IF(CO9="","",IFERROR(CT9*(CS9/CR9-1),0))</x:f>
        <x:v>-8.688291983438057e-23</x:v>
      </x:c>
      <x:c r="DC9" s="147" t="str">
        <x:v>SI69N</x:v>
      </x:c>
      <x:c r="DD9" s="147" t="str">
        <x:v>Silver future (regular)</x:v>
      </x:c>
      <x:c r="DE9" s="147" t="str">
        <x:v>Long</x:v>
      </x:c>
      <x:c r="DF9" s="167" t="n">
        <x:v>2.11</x:v>
      </x:c>
      <x:c r="DG9" s="167" t="n">
        <x:v>2.105</x:v>
      </x:c>
      <x:c r="DH9" s="166" t="n">
        <x:v>2.761902281112525e-22</x:v>
      </x:c>
      <x:c r="DI9" s="171" t="n">
        <x:f>IF(DC9="","",IFERROR(F9*DH9/DF9,0))</x:f>
        <x:v>1.38785283981686e-22</x:v>
      </x:c>
      <x:c r="DJ9" s="171" t="n">
        <x:f>IF(DC9="","",F9*ABS(DH9))</x:f>
        <x:v>2.9283694920135743e-22</x:v>
      </x:c>
      <x:c r="DK9" s="165" t="n">
        <x:v>2.042</x:v>
      </x:c>
      <x:c r="DL9" s="172" t="n">
        <x:f>IF(DC9="","",IF(DK9="","",IFERROR(DF9/DK9-1,0)))</x:f>
        <x:v>0.03330068560235078</x:v>
      </x:c>
      <x:c r="DM9" s="166" t="n">
        <x:v>0.06321803278688523</x:v>
      </x:c>
      <x:c r="DN9" s="172" t="n">
        <x:f>IF(DC9="","",IF(DM9="","",DM9-DL9*365/DO9))</x:f>
        <x:v>0.0024442815625950604</x:v>
      </x:c>
      <x:c r="DO9" s="164" t="n">
        <x:v>200</x:v>
      </x:c>
      <x:c r="DP9" s="172" t="n">
        <x:f>IF(DC9="","",IFERROR(DH9*(DG9/DF9-1),0))</x:f>
        <x:v>-6.544792135337651e-25</x:v>
      </x:c>
      <x:c r="DQ9" s="147"/>
      <x:c r="DR9" s="147"/>
      <x:c r="DS9" s="147"/>
      <x:c r="DT9" s="167"/>
      <x:c r="DU9" s="167"/>
      <x:c r="DV9" s="166"/>
      <x:c r="DW9" s="171" t="str">
        <x:f>IF(DQ9="","",IFERROR(F9*DV9/DT9,0))</x:f>
      </x:c>
      <x:c r="DX9" s="171" t="str">
        <x:f>IF(DQ9="","",F9*ABS(DV9))</x:f>
      </x:c>
      <x:c r="DY9" s="165"/>
      <x:c r="DZ9" s="172" t="str">
        <x:f>IF(DQ9="","",IF(DY9="","",IFERROR(DT9/DY9-1,0)))</x:f>
      </x:c>
      <x:c r="EA9" s="166"/>
      <x:c r="EB9" s="172" t="str">
        <x:f>IF(DQ9="","",IF(EA9="","",EA9-DZ9*365/EC9))</x:f>
      </x:c>
      <x:c r="EC9" s="164"/>
      <x:c r="ED9" s="172" t="str">
        <x:f>IF(DQ9="","",IFERROR(DV9*(DU9/DT9-1),0))</x:f>
      </x:c>
      <x:c r="EE9" s="147"/>
      <x:c r="EF9" s="147"/>
      <x:c r="EG9" s="147"/>
      <x:c r="EH9" s="167"/>
      <x:c r="EI9" s="167"/>
      <x:c r="EJ9" s="166"/>
      <x:c r="EK9" s="171" t="str">
        <x:f>IF(EE9="","",IFERROR(F9*EJ9/EH9,0))</x:f>
      </x:c>
      <x:c r="EL9" s="171" t="str">
        <x:f>IF(EE9="","",F9*ABS(EJ9))</x:f>
      </x:c>
      <x:c r="EM9" s="165"/>
      <x:c r="EN9" s="172" t="str">
        <x:f>IF(EE9="","",IF(EM9="","",IFERROR(EH9/EM9-1,0)))</x:f>
      </x:c>
      <x:c r="EO9" s="166"/>
      <x:c r="EP9" s="172" t="str">
        <x:f>IF(EE9="","",IF(EO9="","",EO9-EN9*365/EQ9))</x:f>
      </x:c>
      <x:c r="EQ9" s="164"/>
      <x:c r="ER9" s="172" t="str">
        <x:f>IF(EE9="","",IFERROR(EJ9*(EI9/EH9-1),0))</x:f>
      </x:c>
      <x:c r="ES9" s="147"/>
      <x:c r="ET9" s="147"/>
      <x:c r="EU9" s="147"/>
      <x:c r="EV9" s="167"/>
      <x:c r="EW9" s="167"/>
      <x:c r="EX9" s="166"/>
      <x:c r="EY9" s="171" t="str">
        <x:f>IF(ES9="","",IFERROR(F9*EX9/EV9,0))</x:f>
      </x:c>
      <x:c r="EZ9" s="171" t="str">
        <x:f>IF(ES9="","",F9*ABS(EX9))</x:f>
      </x:c>
      <x:c r="FA9" s="165"/>
      <x:c r="FB9" s="172" t="str">
        <x:f>IF(ES9="","",IF(FA9="","",IFERROR(EV9/FA9-1,0)))</x:f>
      </x:c>
      <x:c r="FC9" s="166"/>
      <x:c r="FD9" s="172" t="str">
        <x:f>IF(ES9="","",IF(FC9="","",FC9-FB9*365/FE9))</x:f>
      </x:c>
      <x:c r="FE9" s="164"/>
      <x:c r="FF9" s="172" t="str">
        <x:f>IF(ES9="","",IFERROR(EX9*(EW9/EV9-1),0))</x:f>
      </x:c>
      <x:c r="FG9" s="147"/>
      <x:c r="FH9" s="147"/>
      <x:c r="FI9" s="147"/>
      <x:c r="FJ9" s="167"/>
      <x:c r="FK9" s="167"/>
      <x:c r="FL9" s="166"/>
      <x:c r="FM9" s="171" t="str">
        <x:f>IF(FG9="","",IFERROR(F9*FL9/FJ9,0))</x:f>
      </x:c>
      <x:c r="FN9" s="171" t="str">
        <x:f>IF(FG9="","",F9*ABS(FL9))</x:f>
      </x:c>
      <x:c r="FO9" s="165"/>
      <x:c r="FP9" s="172" t="str">
        <x:f>IF(FG9="","",IF(FO9="","",IFERROR(FJ9/FO9-1,0)))</x:f>
      </x:c>
      <x:c r="FQ9" s="166"/>
      <x:c r="FR9" s="172" t="str">
        <x:f>IF(FG9="","",IF(FQ9="","",FQ9-FP9*365/FS9))</x:f>
      </x:c>
      <x:c r="FS9" s="164"/>
      <x:c r="FT9" s="172" t="str">
        <x:f>IF(FG9="","",IFERROR(FL9*(FK9/FJ9-1),0))</x:f>
      </x:c>
    </x:row>
    <x:row r="10" ht="18" customHeight="1">
      <x:c r="A10" s="163" t="n">
        <x:v>25216</x:v>
      </x:c>
      <x:c r="B10" s="163" t="n">
        <x:v>25217</x:v>
      </x:c>
      <x:c r="C10" s="170" t="n">
        <x:f>B10-A10</x:f>
        <x:v>1</x:v>
      </x:c>
      <x:c r="D10" s="163" t="n">
        <x:v>25216</x:v>
      </x:c>
      <x:c r="E10" s="147" t="str">
        <x:v>positive</x:v>
      </x:c>
      <x:c r="F10" s="165" t="n">
        <x:v>1.0581544435367989</x:v>
      </x:c>
      <x:c r="G10" s="168" t="n">
        <x:v>0.008689248463624715</x:v>
      </x:c>
      <x:c r="H10" s="172" t="n">
        <x:f>SUM(AX10,BL10,BZ10,CN10,DB10,DP10,ED10,ER10,FF10,FT10)</x:f>
        <x:v>0.008689248463624732</x:v>
      </x:c>
      <x:c r="I10" s="174" t="n">
        <x:f>G10-H10</x:f>
        <x:v>-1.734723475976807e-17</x:v>
      </x:c>
      <x:c r="J10" s="171" t="n">
        <x:f>F10*(1+H10)</x:f>
        <x:v>1.0673490104095786</x:v>
      </x:c>
      <x:c r="K10" s="169" t="n">
        <x:v>1.0673490104095786</x:v>
      </x:c>
      <x:c r="L10" s="175" t="n">
        <x:f>K10-J10</x:f>
        <x:v>0</x:v>
      </x:c>
      <x:c r="M10" s="167" t="n">
        <x:v>2.016</x:v>
      </x:c>
      <x:c r="N10" s="167" t="n">
        <x:v>2.027</x:v>
      </x:c>
      <x:c r="O10" s="172" t="n">
        <x:f>IFERROR(N10/M10-1,0)</x:f>
        <x:v>0.005456349206349298</x:v>
      </x:c>
      <x:c r="P10" s="171" t="n">
        <x:f>IFERROR(AD10/AH10,0)</x:f>
        <x:v>1.027711508157268</x:v>
      </x:c>
      <x:c r="Q10" s="171" t="n">
        <x:f>IFERROR(AE10/AI10,0)</x:f>
        <x:v>1.0310159656546398</x:v>
      </x:c>
      <x:c r="R10" s="172" t="n">
        <x:f>IFERROR((Q10-P10)/(P10+S10),0)</x:f>
        <x:v>0.0032153551567178375</x:v>
      </x:c>
      <x:c r="S10" s="172" t="n">
        <x:f>IFERROR(AF10/AH10,0)</x:f>
        <x:v>0</x:v>
      </x:c>
      <x:c r="T10" s="172" t="n">
        <x:f>IFERROR(AG10/AI10,0)</x:f>
        <x:v>0</x:v>
      </x:c>
      <x:c r="U10" s="172" t="n">
        <x:f>IFERROR((T10-S10)/(P10+S10),0)</x:f>
        <x:v>0</x:v>
      </x:c>
      <x:c r="V10" s="172" t="n">
        <x:f>R10+U10</x:f>
        <x:v>0.0032153551567178375</x:v>
      </x:c>
      <x:c r="W10" s="172" t="n">
        <x:f>(1+O10)*(1+V10)-1</x:f>
        <x:v>0.00868924846362451</x:v>
      </x:c>
      <x:c r="X10" s="174" t="n">
        <x:f>G10-W10</x:f>
        <x:v>2.0469737016526324e-16</x:v>
      </x:c>
      <x:c r="Y10" s="172" t="str">
        <x:f>AX10</x:f>
      </x:c>
      <x:c r="Z10" s="172" t="n">
        <x:f>BL10</x:f>
        <x:v>0.00016794520547946945</x:v>
      </x:c>
      <x:c r="AA10" s="172" t="n">
        <x:f>SUM(BZ10,CN10,DB10,DP10,ED10,ER10,FF10,FT10)</x:f>
        <x:v>0.008521303258145263</x:v>
      </x:c>
      <x:c r="AB10" s="172" t="n">
        <x:f>SUM(Y10:AA10)</x:f>
        <x:v>0.008689248463624732</x:v>
      </x:c>
      <x:c r="AC10" s="174" t="n">
        <x:f>G10-AB10</x:f>
        <x:v>-1.734723475976807e-17</x:v>
      </x:c>
      <x:c r="AD10" s="169" t="n">
        <x:v>1.0581544435367989</x:v>
      </x:c>
      <x:c r="AE10" s="169" t="n">
        <x:v>1.0673490104095786</x:v>
      </x:c>
      <x:c r="AF10" s="169" t="n">
        <x:v>0</x:v>
      </x:c>
      <x:c r="AG10" s="169" t="n">
        <x:v>0</x:v>
      </x:c>
      <x:c r="AH10" s="171" t="n">
        <x:f>M10/$M$3</x:f>
        <x:v>1.0296220633299284</x:v>
      </x:c>
      <x:c r="AI10" s="171" t="n">
        <x:f>N10/$M$3</x:f>
        <x:v>1.0352400408580185</x:v>
      </x:c>
      <x:c r="AJ10" s="170" t="n">
        <x:f>IF(AK10&lt;&gt;"",1,0)+IF(AY10&lt;&gt;"",1,0)+IF(BM10&lt;&gt;"",1,0)+IF(CA10&lt;&gt;"",1,0)+IF(CO10&lt;&gt;"",1,0)+IF(DC10&lt;&gt;"",1,0)+IF(DQ10&lt;&gt;"",1,0)+IF(EE10&lt;&gt;"",1,0)+IF(ES10&lt;&gt;"",1,0)+IF(FG10&lt;&gt;"",1,0)</x:f>
        <x:v>3</x:v>
      </x:c>
      <x:c r="AK10" s="147"/>
      <x:c r="AL10" s="147"/>
      <x:c r="AM10" s="147"/>
      <x:c r="AN10" s="167"/>
      <x:c r="AO10" s="167"/>
      <x:c r="AP10" s="166"/>
      <x:c r="AQ10" s="171" t="str">
        <x:f>IF(AK10="","",IFERROR(F10*AP10/AN10,0))</x:f>
      </x:c>
      <x:c r="AR10" s="171" t="str">
        <x:f>IF(AK10="","",F10*ABS(AP10))</x:f>
      </x:c>
      <x:c r="AS10" s="165"/>
      <x:c r="AT10" s="172" t="str">
        <x:f>IF(AK10="","",IF(AS10="","",IFERROR(AN10/AS10-1,0)))</x:f>
      </x:c>
      <x:c r="AU10" s="166"/>
      <x:c r="AV10" s="172" t="str">
        <x:f>IF(AK10="","",IF(AU10="","",AU10-AT10*365/AW10))</x:f>
      </x:c>
      <x:c r="AW10" s="164"/>
      <x:c r="AX10" s="173" t="str">
        <x:f>IF(AK10="","",IFERROR(AP10*(AO10/AN10-1),0))</x:f>
      </x:c>
      <x:c r="AY10" s="147" t="str">
        <x:v>Matched-maturity Treasury collateral</x:v>
      </x:c>
      <x:c r="AZ10" s="147" t="str">
        <x:v>Treasury</x:v>
      </x:c>
      <x:c r="BA10" s="147" t="str">
        <x:v>Long</x:v>
      </x:c>
      <x:c r="BB10" s="167" t="n">
        <x:v>100.18542690983136</x:v>
      </x:c>
      <x:c r="BC10" s="167" t="n">
        <x:v>100.20225257193978</x:v>
      </x:c>
      <x:c r="BD10" s="166" t="n">
        <x:v>1</x:v>
      </x:c>
      <x:c r="BE10" s="171" t="n">
        <x:f>IF(AY10="","",IFERROR(F10*BD10/BB10,0))</x:f>
        <x:v>0.010561959719841852</x:v>
      </x:c>
      <x:c r="BF10" s="171" t="n">
        <x:f>IF(AY10="","",F10*ABS(BD10))</x:f>
        <x:v>1.0581544435367989</x:v>
      </x:c>
      <x:c r="BG10" s="165"/>
      <x:c r="BH10" s="172" t="str">
        <x:f>IF(AY10="","",IF(BG10="","",IFERROR(BB10/BG10-1,0)))</x:f>
      </x:c>
      <x:c r="BI10" s="166"/>
      <x:c r="BJ10" s="172" t="str">
        <x:f>IF(AY10="","",IF(BI10="","",BI10-BH10*365/BK10))</x:f>
      </x:c>
      <x:c r="BK10" s="164" t="n">
        <x:v>16.000000000000007</x:v>
      </x:c>
      <x:c r="BL10" s="172" t="n">
        <x:f>IF(AY10="","",IFERROR(BD10*(BC10/BB10-1),0))</x:f>
        <x:v>0.00016794520547946945</x:v>
      </x:c>
      <x:c r="BM10" s="147" t="str">
        <x:v>SI69F</x:v>
      </x:c>
      <x:c r="BN10" s="147" t="str">
        <x:v>Silver future (regular)</x:v>
      </x:c>
      <x:c r="BO10" s="147" t="str">
        <x:v>Long</x:v>
      </x:c>
      <x:c r="BP10" s="167" t="n">
        <x:v>1.995</x:v>
      </x:c>
      <x:c r="BQ10" s="167" t="n">
        <x:v>2.012</x:v>
      </x:c>
      <x:c r="BR10" s="166" t="n">
        <x:v>0.9999999999999999</x:v>
      </x:c>
      <x:c r="BS10" s="171" t="n">
        <x:f>IF(BM10="","",IFERROR(F10*BR10/BP10,0))</x:f>
        <x:v>0.5304032298430068</x:v>
      </x:c>
      <x:c r="BT10" s="171" t="n">
        <x:f>IF(BM10="","",F10*ABS(BR10))</x:f>
        <x:v>1.0581544435367987</x:v>
      </x:c>
      <x:c r="BU10" s="165" t="n">
        <x:v>2.016</x:v>
      </x:c>
      <x:c r="BV10" s="172" t="n">
        <x:f>IF(BM10="","",IF(BU10="","",IFERROR(BP10/BU10-1,0)))</x:f>
        <x:v>-0.01041666666666663</x:v>
      </x:c>
      <x:c r="BW10" s="166" t="n">
        <x:v>0.0613</x:v>
      </x:c>
      <x:c r="BX10" s="172" t="n">
        <x:f>IF(BM10="","",IF(BW10="","",BW10-BV10*365/BY10))</x:f>
        <x:v>0.2989302083333325</x:v>
      </x:c>
      <x:c r="BY10" s="164" t="n">
        <x:v>16</x:v>
      </x:c>
      <x:c r="BZ10" s="172" t="n">
        <x:f>IF(BM10="","",IFERROR(BR10*(BQ10/BP10-1),0))</x:f>
        <x:v>0.008521303258145261</x:v>
      </x:c>
      <x:c r="CA10" s="147" t="str">
        <x:v>SI69H</x:v>
      </x:c>
      <x:c r="CB10" s="147" t="str">
        <x:v>Silver future (regular)</x:v>
      </x:c>
      <x:c r="CC10" s="147" t="str">
        <x:v>Long</x:v>
      </x:c>
      <x:c r="CD10" s="167" t="n">
        <x:v>2.025</x:v>
      </x:c>
      <x:c r="CE10" s="167" t="n">
        <x:v>2.042</x:v>
      </x:c>
      <x:c r="CF10" s="166" t="n">
        <x:v>1.1633757626361086e-16</x:v>
      </x:c>
      <x:c r="CG10" s="171" t="n">
        <x:f>IF(CA10="","",IFERROR(F10*CF10/CD10,0))</x:f>
        <x:v>6.079166581414373e-17</x:v>
      </x:c>
      <x:c r="CH10" s="171" t="n">
        <x:f>IF(CA10="","",F10*ABS(CF10))</x:f>
        <x:v>1.2310312327364104e-16</x:v>
      </x:c>
      <x:c r="CI10" s="165" t="n">
        <x:v>2.016</x:v>
      </x:c>
      <x:c r="CJ10" s="172" t="n">
        <x:f>IF(CA10="","",IF(CI10="","",IFERROR(CD10/CI10-1,0)))</x:f>
        <x:v>0.004464285714285587</x:v>
      </x:c>
      <x:c r="CK10" s="166" t="n">
        <x:v>0.0613</x:v>
      </x:c>
      <x:c r="CL10" s="172" t="n">
        <x:f>IF(CA10="","",IF(CK10="","",CK10-CJ10*365/CM10))</x:f>
        <x:v>0.03897857142857206</x:v>
      </x:c>
      <x:c r="CM10" s="164" t="n">
        <x:v>73</x:v>
      </x:c>
      <x:c r="CN10" s="172" t="n">
        <x:f>IF(CA10="","",IFERROR(CF10*(CE10/CD10-1),0))</x:f>
        <x:v>9.766611340648732e-19</x:v>
      </x:c>
      <x:c r="CO10" s="147"/>
      <x:c r="CP10" s="147"/>
      <x:c r="CQ10" s="147"/>
      <x:c r="CR10" s="167"/>
      <x:c r="CS10" s="167"/>
      <x:c r="CT10" s="166"/>
      <x:c r="CU10" s="171" t="str">
        <x:f>IF(CO10="","",IFERROR(F10*CT10/CR10,0))</x:f>
      </x:c>
      <x:c r="CV10" s="171" t="str">
        <x:f>IF(CO10="","",F10*ABS(CT10))</x:f>
      </x:c>
      <x:c r="CW10" s="165"/>
      <x:c r="CX10" s="172" t="str">
        <x:f>IF(CO10="","",IF(CW10="","",IFERROR(CR10/CW10-1,0)))</x:f>
      </x:c>
      <x:c r="CY10" s="166"/>
      <x:c r="CZ10" s="172" t="str">
        <x:f>IF(CO10="","",IF(CY10="","",CY10-CX10*365/DA10))</x:f>
      </x:c>
      <x:c r="DA10" s="164"/>
      <x:c r="DB10" s="172" t="str">
        <x:f>IF(CO10="","",IFERROR(CT10*(CS10/CR10-1),0))</x:f>
      </x:c>
      <x:c r="DC10" s="147"/>
      <x:c r="DD10" s="147"/>
      <x:c r="DE10" s="147"/>
      <x:c r="DF10" s="167"/>
      <x:c r="DG10" s="167"/>
      <x:c r="DH10" s="166"/>
      <x:c r="DI10" s="171" t="str">
        <x:f>IF(DC10="","",IFERROR(F10*DH10/DF10,0))</x:f>
      </x:c>
      <x:c r="DJ10" s="171" t="str">
        <x:f>IF(DC10="","",F10*ABS(DH10))</x:f>
      </x:c>
      <x:c r="DK10" s="165"/>
      <x:c r="DL10" s="172" t="str">
        <x:f>IF(DC10="","",IF(DK10="","",IFERROR(DF10/DK10-1,0)))</x:f>
      </x:c>
      <x:c r="DM10" s="166"/>
      <x:c r="DN10" s="172" t="str">
        <x:f>IF(DC10="","",IF(DM10="","",DM10-DL10*365/DO10))</x:f>
      </x:c>
      <x:c r="DO10" s="164"/>
      <x:c r="DP10" s="172" t="str">
        <x:f>IF(DC10="","",IFERROR(DH10*(DG10/DF10-1),0))</x:f>
      </x:c>
      <x:c r="DQ10" s="147"/>
      <x:c r="DR10" s="147"/>
      <x:c r="DS10" s="147"/>
      <x:c r="DT10" s="167"/>
      <x:c r="DU10" s="167"/>
      <x:c r="DV10" s="166"/>
      <x:c r="DW10" s="171" t="str">
        <x:f>IF(DQ10="","",IFERROR(F10*DV10/DT10,0))</x:f>
      </x:c>
      <x:c r="DX10" s="171" t="str">
        <x:f>IF(DQ10="","",F10*ABS(DV10))</x:f>
      </x:c>
      <x:c r="DY10" s="165"/>
      <x:c r="DZ10" s="172" t="str">
        <x:f>IF(DQ10="","",IF(DY10="","",IFERROR(DT10/DY10-1,0)))</x:f>
      </x:c>
      <x:c r="EA10" s="166"/>
      <x:c r="EB10" s="172" t="str">
        <x:f>IF(DQ10="","",IF(EA10="","",EA10-DZ10*365/EC10))</x:f>
      </x:c>
      <x:c r="EC10" s="164"/>
      <x:c r="ED10" s="172" t="str">
        <x:f>IF(DQ10="","",IFERROR(DV10*(DU10/DT10-1),0))</x:f>
      </x:c>
      <x:c r="EE10" s="147"/>
      <x:c r="EF10" s="147"/>
      <x:c r="EG10" s="147"/>
      <x:c r="EH10" s="167"/>
      <x:c r="EI10" s="167"/>
      <x:c r="EJ10" s="166"/>
      <x:c r="EK10" s="171" t="str">
        <x:f>IF(EE10="","",IFERROR(F10*EJ10/EH10,0))</x:f>
      </x:c>
      <x:c r="EL10" s="171" t="str">
        <x:f>IF(EE10="","",F10*ABS(EJ10))</x:f>
      </x:c>
      <x:c r="EM10" s="165"/>
      <x:c r="EN10" s="172" t="str">
        <x:f>IF(EE10="","",IF(EM10="","",IFERROR(EH10/EM10-1,0)))</x:f>
      </x:c>
      <x:c r="EO10" s="166"/>
      <x:c r="EP10" s="172" t="str">
        <x:f>IF(EE10="","",IF(EO10="","",EO10-EN10*365/EQ10))</x:f>
      </x:c>
      <x:c r="EQ10" s="164"/>
      <x:c r="ER10" s="172" t="str">
        <x:f>IF(EE10="","",IFERROR(EJ10*(EI10/EH10-1),0))</x:f>
      </x:c>
      <x:c r="ES10" s="147"/>
      <x:c r="ET10" s="147"/>
      <x:c r="EU10" s="147"/>
      <x:c r="EV10" s="167"/>
      <x:c r="EW10" s="167"/>
      <x:c r="EX10" s="166"/>
      <x:c r="EY10" s="171" t="str">
        <x:f>IF(ES10="","",IFERROR(F10*EX10/EV10,0))</x:f>
      </x:c>
      <x:c r="EZ10" s="171" t="str">
        <x:f>IF(ES10="","",F10*ABS(EX10))</x:f>
      </x:c>
      <x:c r="FA10" s="165"/>
      <x:c r="FB10" s="172" t="str">
        <x:f>IF(ES10="","",IF(FA10="","",IFERROR(EV10/FA10-1,0)))</x:f>
      </x:c>
      <x:c r="FC10" s="166"/>
      <x:c r="FD10" s="172" t="str">
        <x:f>IF(ES10="","",IF(FC10="","",FC10-FB10*365/FE10))</x:f>
      </x:c>
      <x:c r="FE10" s="164"/>
      <x:c r="FF10" s="172" t="str">
        <x:f>IF(ES10="","",IFERROR(EX10*(EW10/EV10-1),0))</x:f>
      </x:c>
      <x:c r="FG10" s="147"/>
      <x:c r="FH10" s="147"/>
      <x:c r="FI10" s="147"/>
      <x:c r="FJ10" s="167"/>
      <x:c r="FK10" s="167"/>
      <x:c r="FL10" s="166"/>
      <x:c r="FM10" s="171" t="str">
        <x:f>IF(FG10="","",IFERROR(F10*FL10/FJ10,0))</x:f>
      </x:c>
      <x:c r="FN10" s="171" t="str">
        <x:f>IF(FG10="","",F10*ABS(FL10))</x:f>
      </x:c>
      <x:c r="FO10" s="165"/>
      <x:c r="FP10" s="172" t="str">
        <x:f>IF(FG10="","",IF(FO10="","",IFERROR(FJ10/FO10-1,0)))</x:f>
      </x:c>
      <x:c r="FQ10" s="166"/>
      <x:c r="FR10" s="172" t="str">
        <x:f>IF(FG10="","",IF(FQ10="","",FQ10-FP10*365/FS10))</x:f>
      </x:c>
      <x:c r="FS10" s="164"/>
      <x:c r="FT10" s="172" t="str">
        <x:f>IF(FG10="","",IFERROR(FL10*(FK10/FJ10-1),0))</x:f>
      </x:c>
    </x:row>
    <x:row r="11" ht="18" customHeight="1">
      <x:c r="A11" s="163" t="n">
        <x:v>25217</x:v>
      </x:c>
      <x:c r="B11" s="163" t="n">
        <x:v>25218</x:v>
      </x:c>
      <x:c r="C11" s="170" t="n">
        <x:f>B11-A11</x:f>
        <x:v>1</x:v>
      </x:c>
      <x:c r="D11" s="163" t="n">
        <x:v>25217</x:v>
      </x:c>
      <x:c r="E11" s="147" t="str">
        <x:v>positive</x:v>
      </x:c>
      <x:c r="F11" s="165" t="n">
        <x:v>1.0673490104095786</x:v>
      </x:c>
      <x:c r="G11" s="168" t="n">
        <x:v>-0.002812792287371754</x:v>
      </x:c>
      <x:c r="H11" s="172" t="n">
        <x:f>SUM(AX11,BL11,BZ11,CN11,DB11,DP11,ED11,ER11,FF11,FT11)</x:f>
        <x:v>-0.002812792287371968</x:v>
      </x:c>
      <x:c r="I11" s="174" t="n">
        <x:f>G11-H11</x:f>
        <x:v>2.1380466841414147e-16</x:v>
      </x:c>
      <x:c r="J11" s="171" t="n">
        <x:f>F11*(1+H11)</x:f>
        <x:v>1.0643467793451644</x:v>
      </x:c>
      <x:c r="K11" s="169" t="n">
        <x:v>1.0643467793451646</x:v>
      </x:c>
      <x:c r="L11" s="175" t="n">
        <x:f>K11-J11</x:f>
        <x:v>2.220446049250313e-16</x:v>
      </x:c>
      <x:c r="M11" s="167" t="n">
        <x:v>2.027</x:v>
      </x:c>
      <x:c r="N11" s="167" t="n">
        <x:v>2.038</x:v>
      </x:c>
      <x:c r="O11" s="172" t="n">
        <x:f>IFERROR(N11/M11-1,0)</x:f>
        <x:v>0.0054267390231868</x:v>
      </x:c>
      <x:c r="P11" s="171" t="n">
        <x:f>IFERROR(AD11/AH11,0)</x:f>
        <x:v>1.0310159656546398</x:v>
      </x:c>
      <x:c r="Q11" s="171" t="n">
        <x:f>IFERROR(AE11/AI11,0)</x:f>
        <x:v>1.0225667291255311</x:v>
      </x:c>
      <x:c r="R11" s="172" t="n">
        <x:f>IFERROR((Q11-P11)/(P11+S11),0)</x:f>
        <x:v>-0.008195058864819674</x:v>
      </x:c>
      <x:c r="S11" s="172" t="n">
        <x:f>IFERROR(AF11/AH11,0)</x:f>
        <x:v>0</x:v>
      </x:c>
      <x:c r="T11" s="172" t="n">
        <x:f>IFERROR(AG11/AI11,0)</x:f>
        <x:v>0</x:v>
      </x:c>
      <x:c r="U11" s="172" t="n">
        <x:f>IFERROR((T11-S11)/(P11+S11),0)</x:f>
        <x:v>0</x:v>
      </x:c>
      <x:c r="V11" s="172" t="n">
        <x:f>R11+U11</x:f>
        <x:v>-0.008195058864819674</x:v>
      </x:c>
      <x:c r="W11" s="172" t="n">
        <x:f>(1+O11)*(1+V11)-1</x:f>
        <x:v>-0.002812792287371857</x:v>
      </x:c>
      <x:c r="X11" s="174" t="n">
        <x:f>G11-W11</x:f>
        <x:v>1.0278236595162582e-16</x:v>
      </x:c>
      <x:c r="Y11" s="172" t="str">
        <x:f>AX11</x:f>
      </x:c>
      <x:c r="Z11" s="172" t="n">
        <x:f>BL11</x:f>
        <x:v>0.00016931506849293676</x:v>
      </x:c>
      <x:c r="AA11" s="172" t="n">
        <x:f>SUM(BZ11,CN11,DB11,DP11,ED11,ER11,FF11,FT11)</x:f>
        <x:v>-0.0029821073558649047</x:v>
      </x:c>
      <x:c r="AB11" s="172" t="n">
        <x:f>SUM(Y11:AA11)</x:f>
        <x:v>-0.002812792287371968</x:v>
      </x:c>
      <x:c r="AC11" s="174" t="n">
        <x:f>G11-AB11</x:f>
        <x:v>2.1380466841414147e-16</x:v>
      </x:c>
      <x:c r="AD11" s="169" t="n">
        <x:v>1.0673490104095786</x:v>
      </x:c>
      <x:c r="AE11" s="169" t="n">
        <x:v>1.0643467793451646</x:v>
      </x:c>
      <x:c r="AF11" s="169" t="n">
        <x:v>0</x:v>
      </x:c>
      <x:c r="AG11" s="169" t="n">
        <x:v>0</x:v>
      </x:c>
      <x:c r="AH11" s="171" t="n">
        <x:f>M11/$M$3</x:f>
        <x:v>1.0352400408580185</x:v>
      </x:c>
      <x:c r="AI11" s="171" t="n">
        <x:f>N11/$M$3</x:f>
        <x:v>1.0408580183861083</x:v>
      </x:c>
      <x:c r="AJ11" s="170" t="n">
        <x:f>IF(AK11&lt;&gt;"",1,0)+IF(AY11&lt;&gt;"",1,0)+IF(BM11&lt;&gt;"",1,0)+IF(CA11&lt;&gt;"",1,0)+IF(CO11&lt;&gt;"",1,0)+IF(DC11&lt;&gt;"",1,0)+IF(DQ11&lt;&gt;"",1,0)+IF(EE11&lt;&gt;"",1,0)+IF(ES11&lt;&gt;"",1,0)+IF(FG11&lt;&gt;"",1,0)</x:f>
        <x:v>3</x:v>
      </x:c>
      <x:c r="AK11" s="147"/>
      <x:c r="AL11" s="147"/>
      <x:c r="AM11" s="147"/>
      <x:c r="AN11" s="167"/>
      <x:c r="AO11" s="167"/>
      <x:c r="AP11" s="166"/>
      <x:c r="AQ11" s="171" t="str">
        <x:f>IF(AK11="","",IFERROR(F11*AP11/AN11,0))</x:f>
      </x:c>
      <x:c r="AR11" s="171" t="str">
        <x:f>IF(AK11="","",F11*ABS(AP11))</x:f>
      </x:c>
      <x:c r="AS11" s="165"/>
      <x:c r="AT11" s="172" t="str">
        <x:f>IF(AK11="","",IF(AS11="","",IFERROR(AN11/AS11-1,0)))</x:f>
      </x:c>
      <x:c r="AU11" s="166"/>
      <x:c r="AV11" s="172" t="str">
        <x:f>IF(AK11="","",IF(AU11="","",AU11-AT11*365/AW11))</x:f>
      </x:c>
      <x:c r="AW11" s="164"/>
      <x:c r="AX11" s="173" t="str">
        <x:f>IF(AK11="","",IFERROR(AP11*(AO11/AN11-1),0))</x:f>
      </x:c>
      <x:c r="AY11" s="147" t="str">
        <x:v>Matched-maturity Treasury collateral</x:v>
      </x:c>
      <x:c r="AZ11" s="147" t="str">
        <x:v>Treasury</x:v>
      </x:c>
      <x:c r="BA11" s="147" t="str">
        <x:v>Long</x:v>
      </x:c>
      <x:c r="BB11" s="167" t="n">
        <x:v>100.20225257193978</x:v>
      </x:c>
      <x:c r="BC11" s="167" t="n">
        <x:v>100.21921832319715</x:v>
      </x:c>
      <x:c r="BD11" s="166" t="n">
        <x:v>1</x:v>
      </x:c>
      <x:c r="BE11" s="171" t="n">
        <x:f>IF(AY11="","",IFERROR(F11*BD11/BB11,0))</x:f>
        <x:v>0.010651946268805484</x:v>
      </x:c>
      <x:c r="BF11" s="171" t="n">
        <x:f>IF(AY11="","",F11*ABS(BD11))</x:f>
        <x:v>1.0673490104095786</x:v>
      </x:c>
      <x:c r="BG11" s="165"/>
      <x:c r="BH11" s="172" t="str">
        <x:f>IF(AY11="","",IF(BG11="","",IFERROR(BB11/BG11-1,0)))</x:f>
      </x:c>
      <x:c r="BI11" s="166"/>
      <x:c r="BJ11" s="172" t="str">
        <x:f>IF(AY11="","",IF(BI11="","",BI11-BH11*365/BK11))</x:f>
      </x:c>
      <x:c r="BK11" s="164" t="n">
        <x:v>15.000000000000007</x:v>
      </x:c>
      <x:c r="BL11" s="172" t="n">
        <x:f>IF(AY11="","",IFERROR(BD11*(BC11/BB11-1),0))</x:f>
        <x:v>0.00016931506849293676</x:v>
      </x:c>
      <x:c r="BM11" s="147" t="str">
        <x:v>SI69F</x:v>
      </x:c>
      <x:c r="BN11" s="147" t="str">
        <x:v>Silver future (regular)</x:v>
      </x:c>
      <x:c r="BO11" s="147" t="str">
        <x:v>Long</x:v>
      </x:c>
      <x:c r="BP11" s="167" t="n">
        <x:v>2.012</x:v>
      </x:c>
      <x:c r="BQ11" s="167" t="n">
        <x:v>2.006</x:v>
      </x:c>
      <x:c r="BR11" s="166" t="n">
        <x:v>0.9999999999999999</x:v>
      </x:c>
      <x:c r="BS11" s="171" t="n">
        <x:f>IF(BM11="","",IFERROR(F11*BR11/BP11,0))</x:f>
        <x:v>0.5304915558695718</x:v>
      </x:c>
      <x:c r="BT11" s="171" t="n">
        <x:f>IF(BM11="","",F11*ABS(BR11))</x:f>
        <x:v>1.0673490104095784</x:v>
      </x:c>
      <x:c r="BU11" s="165" t="n">
        <x:v>2.027</x:v>
      </x:c>
      <x:c r="BV11" s="172" t="n">
        <x:f>IF(BM11="","",IF(BU11="","",IFERROR(BP11/BU11-1,0)))</x:f>
        <x:v>-0.007400098667982302</x:v>
      </x:c>
      <x:c r="BW11" s="166" t="n">
        <x:v>0.061799999999999994</x:v>
      </x:c>
      <x:c r="BX11" s="172" t="n">
        <x:f>IF(BM11="","",IF(BW11="","",BW11-BV11*365/BY11))</x:f>
        <x:v>0.24186906758756935</x:v>
      </x:c>
      <x:c r="BY11" s="164" t="n">
        <x:v>15</x:v>
      </x:c>
      <x:c r="BZ11" s="172" t="n">
        <x:f>IF(BM11="","",IFERROR(BR11*(BQ11/BP11-1),0))</x:f>
        <x:v>-0.0029821073558649043</x:v>
      </x:c>
      <x:c r="CA11" s="147" t="str">
        <x:v>SI69H</x:v>
      </x:c>
      <x:c r="CB11" s="147" t="str">
        <x:v>Silver future (regular)</x:v>
      </x:c>
      <x:c r="CC11" s="147" t="str">
        <x:v>Long</x:v>
      </x:c>
      <x:c r="CD11" s="167" t="n">
        <x:v>2.042</x:v>
      </x:c>
      <x:c r="CE11" s="167" t="n">
        <x:v>2.032</x:v>
      </x:c>
      <x:c r="CF11" s="166" t="n">
        <x:v>1.1633757626361086e-16</x:v>
      </x:c>
      <x:c r="CG11" s="171" t="n">
        <x:f>IF(CA11="","",IFERROR(F11*CF11/CD11,0))</x:f>
        <x:v>6.080940102762681e-17</x:v>
      </x:c>
      <x:c r="CH11" s="171" t="n">
        <x:f>IF(CA11="","",F11*ABS(CF11))</x:f>
        <x:v>1.2417279689841393e-16</x:v>
      </x:c>
      <x:c r="CI11" s="165" t="n">
        <x:v>2.027</x:v>
      </x:c>
      <x:c r="CJ11" s="172" t="n">
        <x:f>IF(CA11="","",IF(CI11="","",IFERROR(CD11/CI11-1,0)))</x:f>
        <x:v>0.00740009866798208</x:v>
      </x:c>
      <x:c r="CK11" s="166" t="n">
        <x:v>0.061799999999999994</x:v>
      </x:c>
      <x:c r="CL11" s="172" t="n">
        <x:f>IF(CA11="","",IF(CK11="","",CK11-CJ11*365/CM11))</x:f>
        <x:v>0.02428561091925751</x:v>
      </x:c>
      <x:c r="CM11" s="164" t="n">
        <x:v>72</x:v>
      </x:c>
      <x:c r="CN11" s="172" t="n">
        <x:f>IF(CA11="","",IFERROR(CF11*(CE11/CD11-1),0))</x:f>
        <x:v>-5.697236839549926e-19</x:v>
      </x:c>
      <x:c r="CO11" s="147"/>
      <x:c r="CP11" s="147"/>
      <x:c r="CQ11" s="147"/>
      <x:c r="CR11" s="167"/>
      <x:c r="CS11" s="167"/>
      <x:c r="CT11" s="166"/>
      <x:c r="CU11" s="171" t="str">
        <x:f>IF(CO11="","",IFERROR(F11*CT11/CR11,0))</x:f>
      </x:c>
      <x:c r="CV11" s="171" t="str">
        <x:f>IF(CO11="","",F11*ABS(CT11))</x:f>
      </x:c>
      <x:c r="CW11" s="165"/>
      <x:c r="CX11" s="172" t="str">
        <x:f>IF(CO11="","",IF(CW11="","",IFERROR(CR11/CW11-1,0)))</x:f>
      </x:c>
      <x:c r="CY11" s="166"/>
      <x:c r="CZ11" s="172" t="str">
        <x:f>IF(CO11="","",IF(CY11="","",CY11-CX11*365/DA11))</x:f>
      </x:c>
      <x:c r="DA11" s="164"/>
      <x:c r="DB11" s="172" t="str">
        <x:f>IF(CO11="","",IFERROR(CT11*(CS11/CR11-1),0))</x:f>
      </x:c>
      <x:c r="DC11" s="147"/>
      <x:c r="DD11" s="147"/>
      <x:c r="DE11" s="147"/>
      <x:c r="DF11" s="167"/>
      <x:c r="DG11" s="167"/>
      <x:c r="DH11" s="166"/>
      <x:c r="DI11" s="171" t="str">
        <x:f>IF(DC11="","",IFERROR(F11*DH11/DF11,0))</x:f>
      </x:c>
      <x:c r="DJ11" s="171" t="str">
        <x:f>IF(DC11="","",F11*ABS(DH11))</x:f>
      </x:c>
      <x:c r="DK11" s="165"/>
      <x:c r="DL11" s="172" t="str">
        <x:f>IF(DC11="","",IF(DK11="","",IFERROR(DF11/DK11-1,0)))</x:f>
      </x:c>
      <x:c r="DM11" s="166"/>
      <x:c r="DN11" s="172" t="str">
        <x:f>IF(DC11="","",IF(DM11="","",DM11-DL11*365/DO11))</x:f>
      </x:c>
      <x:c r="DO11" s="164"/>
      <x:c r="DP11" s="172" t="str">
        <x:f>IF(DC11="","",IFERROR(DH11*(DG11/DF11-1),0))</x:f>
      </x:c>
      <x:c r="DQ11" s="147"/>
      <x:c r="DR11" s="147"/>
      <x:c r="DS11" s="147"/>
      <x:c r="DT11" s="167"/>
      <x:c r="DU11" s="167"/>
      <x:c r="DV11" s="166"/>
      <x:c r="DW11" s="171" t="str">
        <x:f>IF(DQ11="","",IFERROR(F11*DV11/DT11,0))</x:f>
      </x:c>
      <x:c r="DX11" s="171" t="str">
        <x:f>IF(DQ11="","",F11*ABS(DV11))</x:f>
      </x:c>
      <x:c r="DY11" s="165"/>
      <x:c r="DZ11" s="172" t="str">
        <x:f>IF(DQ11="","",IF(DY11="","",IFERROR(DT11/DY11-1,0)))</x:f>
      </x:c>
      <x:c r="EA11" s="166"/>
      <x:c r="EB11" s="172" t="str">
        <x:f>IF(DQ11="","",IF(EA11="","",EA11-DZ11*365/EC11))</x:f>
      </x:c>
      <x:c r="EC11" s="164"/>
      <x:c r="ED11" s="172" t="str">
        <x:f>IF(DQ11="","",IFERROR(DV11*(DU11/DT11-1),0))</x:f>
      </x:c>
      <x:c r="EE11" s="147"/>
      <x:c r="EF11" s="147"/>
      <x:c r="EG11" s="147"/>
      <x:c r="EH11" s="167"/>
      <x:c r="EI11" s="167"/>
      <x:c r="EJ11" s="166"/>
      <x:c r="EK11" s="171" t="str">
        <x:f>IF(EE11="","",IFERROR(F11*EJ11/EH11,0))</x:f>
      </x:c>
      <x:c r="EL11" s="171" t="str">
        <x:f>IF(EE11="","",F11*ABS(EJ11))</x:f>
      </x:c>
      <x:c r="EM11" s="165"/>
      <x:c r="EN11" s="172" t="str">
        <x:f>IF(EE11="","",IF(EM11="","",IFERROR(EH11/EM11-1,0)))</x:f>
      </x:c>
      <x:c r="EO11" s="166"/>
      <x:c r="EP11" s="172" t="str">
        <x:f>IF(EE11="","",IF(EO11="","",EO11-EN11*365/EQ11))</x:f>
      </x:c>
      <x:c r="EQ11" s="164"/>
      <x:c r="ER11" s="172" t="str">
        <x:f>IF(EE11="","",IFERROR(EJ11*(EI11/EH11-1),0))</x:f>
      </x:c>
      <x:c r="ES11" s="147"/>
      <x:c r="ET11" s="147"/>
      <x:c r="EU11" s="147"/>
      <x:c r="EV11" s="167"/>
      <x:c r="EW11" s="167"/>
      <x:c r="EX11" s="166"/>
      <x:c r="EY11" s="171" t="str">
        <x:f>IF(ES11="","",IFERROR(F11*EX11/EV11,0))</x:f>
      </x:c>
      <x:c r="EZ11" s="171" t="str">
        <x:f>IF(ES11="","",F11*ABS(EX11))</x:f>
      </x:c>
      <x:c r="FA11" s="165"/>
      <x:c r="FB11" s="172" t="str">
        <x:f>IF(ES11="","",IF(FA11="","",IFERROR(EV11/FA11-1,0)))</x:f>
      </x:c>
      <x:c r="FC11" s="166"/>
      <x:c r="FD11" s="172" t="str">
        <x:f>IF(ES11="","",IF(FC11="","",FC11-FB11*365/FE11))</x:f>
      </x:c>
      <x:c r="FE11" s="164"/>
      <x:c r="FF11" s="172" t="str">
        <x:f>IF(ES11="","",IFERROR(EX11*(EW11/EV11-1),0))</x:f>
      </x:c>
      <x:c r="FG11" s="147"/>
      <x:c r="FH11" s="147"/>
      <x:c r="FI11" s="147"/>
      <x:c r="FJ11" s="167"/>
      <x:c r="FK11" s="167"/>
      <x:c r="FL11" s="166"/>
      <x:c r="FM11" s="171" t="str">
        <x:f>IF(FG11="","",IFERROR(F11*FL11/FJ11,0))</x:f>
      </x:c>
      <x:c r="FN11" s="171" t="str">
        <x:f>IF(FG11="","",F11*ABS(FL11))</x:f>
      </x:c>
      <x:c r="FO11" s="165"/>
      <x:c r="FP11" s="172" t="str">
        <x:f>IF(FG11="","",IF(FO11="","",IFERROR(FJ11/FO11-1,0)))</x:f>
      </x:c>
      <x:c r="FQ11" s="166"/>
      <x:c r="FR11" s="172" t="str">
        <x:f>IF(FG11="","",IF(FQ11="","",FQ11-FP11*365/FS11))</x:f>
      </x:c>
      <x:c r="FS11" s="164"/>
      <x:c r="FT11" s="172" t="str">
        <x:f>IF(FG11="","",IFERROR(FL11*(FK11/FJ11-1),0))</x:f>
      </x:c>
    </x:row>
    <x:row r="12" ht="18" customHeight="1">
      <x:c r="A12" s="163" t="n">
        <x:v>25218</x:v>
      </x:c>
      <x:c r="B12" s="163" t="n">
        <x:v>25219</x:v>
      </x:c>
      <x:c r="C12" s="170" t="n">
        <x:f>B12-A12</x:f>
        <x:v>1</x:v>
      </x:c>
      <x:c r="D12" s="163" t="n">
        <x:v>25218</x:v>
      </x:c>
      <x:c r="E12" s="147" t="str">
        <x:v>positive</x:v>
      </x:c>
      <x:c r="F12" s="165" t="n">
        <x:v>1.0643467793451646</x:v>
      </x:c>
      <x:c r="G12" s="168" t="n">
        <x:v>-0.01877522528305477</x:v>
      </x:c>
      <x:c r="H12" s="172" t="n">
        <x:f>SUM(AX12,BL12,BZ12,CN12,DB12,DP12,ED12,ER12,FF12,FT12)</x:f>
        <x:v>-0.018775225283054753</x:v>
      </x:c>
      <x:c r="I12" s="174" t="n">
        <x:f>G12-H12</x:f>
        <x:v>-1.734723475976807e-17</x:v>
      </x:c>
      <x:c r="J12" s="171" t="n">
        <x:f>F12*(1+H12)</x:f>
        <x:v>1.0443634287836654</x:v>
      </x:c>
      <x:c r="K12" s="169" t="n">
        <x:v>1.0443634287836654</x:v>
      </x:c>
      <x:c r="L12" s="175" t="n">
        <x:f>K12-J12</x:f>
        <x:v>0</x:v>
      </x:c>
      <x:c r="M12" s="167" t="n">
        <x:v>2.038</x:v>
      </x:c>
      <x:c r="N12" s="167" t="n">
        <x:v>2.017</x:v>
      </x:c>
      <x:c r="O12" s="172" t="n">
        <x:f>IFERROR(N12/M12-1,0)</x:f>
        <x:v>-0.010304219823356164</x:v>
      </x:c>
      <x:c r="P12" s="171" t="n">
        <x:f>IFERROR(AD12/AH12,0)</x:f>
        <x:v>1.0225667291255311</x:v>
      </x:c>
      <x:c r="Q12" s="171" t="n">
        <x:f>IFERROR(AE12/AI12,0)</x:f>
        <x:v>1.0138143745951496</x:v>
      </x:c>
      <x:c r="R12" s="172" t="n">
        <x:f>IFERROR((Q12-P12)/(P12+S12),0)</x:f>
        <x:v>-0.008559201351941447</x:v>
      </x:c>
      <x:c r="S12" s="172" t="n">
        <x:f>IFERROR(AF12/AH12,0)</x:f>
        <x:v>0</x:v>
      </x:c>
      <x:c r="T12" s="172" t="n">
        <x:f>IFERROR(AG12/AI12,0)</x:f>
        <x:v>0</x:v>
      </x:c>
      <x:c r="U12" s="172" t="n">
        <x:f>IFERROR((T12-S12)/(P12+S12),0)</x:f>
        <x:v>0</x:v>
      </x:c>
      <x:c r="V12" s="172" t="n">
        <x:f>R12+U12</x:f>
        <x:v>-0.008559201351941447</x:v>
      </x:c>
      <x:c r="W12" s="172" t="n">
        <x:f>(1+O12)*(1+V12)-1</x:f>
        <x:v>-0.018775225283054864</x:v>
      </x:c>
      <x:c r="X12" s="174" t="n">
        <x:f>G12-W12</x:f>
        <x:v>9.367506770274758e-17</x:v>
      </x:c>
      <x:c r="Y12" s="172" t="str">
        <x:f>AX12</x:f>
      </x:c>
      <x:c r="Z12" s="172" t="n">
        <x:f>BL12</x:f>
        <x:v>0.00016794520547946945</x:v>
      </x:c>
      <x:c r="AA12" s="172" t="n">
        <x:f>SUM(BZ12,CN12,DB12,DP12,ED12,ER12,FF12,FT12)</x:f>
        <x:v>-0.018943170488534222</x:v>
      </x:c>
      <x:c r="AB12" s="172" t="n">
        <x:f>SUM(Y12:AA12)</x:f>
        <x:v>-0.018775225283054753</x:v>
      </x:c>
      <x:c r="AC12" s="174" t="n">
        <x:f>G12-AB12</x:f>
        <x:v>-1.734723475976807e-17</x:v>
      </x:c>
      <x:c r="AD12" s="169" t="n">
        <x:v>1.0643467793451646</x:v>
      </x:c>
      <x:c r="AE12" s="169" t="n">
        <x:v>1.0443634287836654</x:v>
      </x:c>
      <x:c r="AF12" s="169" t="n">
        <x:v>0</x:v>
      </x:c>
      <x:c r="AG12" s="169" t="n">
        <x:v>0</x:v>
      </x:c>
      <x:c r="AH12" s="171" t="n">
        <x:f>M12/$M$3</x:f>
        <x:v>1.0408580183861083</x:v>
      </x:c>
      <x:c r="AI12" s="171" t="n">
        <x:f>N12/$M$3</x:f>
        <x:v>1.0301327885597549</x:v>
      </x:c>
      <x:c r="AJ12" s="170" t="n">
        <x:f>IF(AK12&lt;&gt;"",1,0)+IF(AY12&lt;&gt;"",1,0)+IF(BM12&lt;&gt;"",1,0)+IF(CA12&lt;&gt;"",1,0)+IF(CO12&lt;&gt;"",1,0)+IF(DC12&lt;&gt;"",1,0)+IF(DQ12&lt;&gt;"",1,0)+IF(EE12&lt;&gt;"",1,0)+IF(ES12&lt;&gt;"",1,0)+IF(FG12&lt;&gt;"",1,0)</x:f>
        <x:v>4</x:v>
      </x:c>
      <x:c r="AK12" s="147"/>
      <x:c r="AL12" s="147"/>
      <x:c r="AM12" s="147"/>
      <x:c r="AN12" s="167"/>
      <x:c r="AO12" s="167"/>
      <x:c r="AP12" s="166"/>
      <x:c r="AQ12" s="171" t="str">
        <x:f>IF(AK12="","",IFERROR(F12*AP12/AN12,0))</x:f>
      </x:c>
      <x:c r="AR12" s="171" t="str">
        <x:f>IF(AK12="","",F12*ABS(AP12))</x:f>
      </x:c>
      <x:c r="AS12" s="165"/>
      <x:c r="AT12" s="172" t="str">
        <x:f>IF(AK12="","",IF(AS12="","",IFERROR(AN12/AS12-1,0)))</x:f>
      </x:c>
      <x:c r="AU12" s="166"/>
      <x:c r="AV12" s="172" t="str">
        <x:f>IF(AK12="","",IF(AU12="","",AU12-AT12*365/AW12))</x:f>
      </x:c>
      <x:c r="AW12" s="164"/>
      <x:c r="AX12" s="173" t="str">
        <x:f>IF(AK12="","",IFERROR(AP12*(AO12/AN12-1),0))</x:f>
      </x:c>
      <x:c r="AY12" s="147" t="str">
        <x:v>Matched-maturity Treasury collateral</x:v>
      </x:c>
      <x:c r="AZ12" s="147" t="str">
        <x:v>Treasury</x:v>
      </x:c>
      <x:c r="BA12" s="147" t="str">
        <x:v>Long</x:v>
      </x:c>
      <x:c r="BB12" s="167" t="n">
        <x:v>100.21921832319715</x:v>
      </x:c>
      <x:c r="BC12" s="167" t="n">
        <x:v>100.23604966041144</x:v>
      </x:c>
      <x:c r="BD12" s="166" t="n">
        <x:v>1</x:v>
      </x:c>
      <x:c r="BE12" s="171" t="n">
        <x:f>IF(AY12="","",IFERROR(F12*BD12/BB12,0))</x:f>
        <x:v>0.01062018639890755</x:v>
      </x:c>
      <x:c r="BF12" s="171" t="n">
        <x:f>IF(AY12="","",F12*ABS(BD12))</x:f>
        <x:v>1.0643467793451646</x:v>
      </x:c>
      <x:c r="BG12" s="165"/>
      <x:c r="BH12" s="172" t="str">
        <x:f>IF(AY12="","",IF(BG12="","",IFERROR(BB12/BG12-1,0)))</x:f>
      </x:c>
      <x:c r="BI12" s="166"/>
      <x:c r="BJ12" s="172" t="str">
        <x:f>IF(AY12="","",IF(BI12="","",BI12-BH12*365/BK12))</x:f>
      </x:c>
      <x:c r="BK12" s="164" t="n">
        <x:v>14</x:v>
      </x:c>
      <x:c r="BL12" s="172" t="n">
        <x:f>IF(AY12="","",IFERROR(BD12*(BC12/BB12-1),0))</x:f>
        <x:v>0.00016794520547946945</x:v>
      </x:c>
      <x:c r="BM12" s="147" t="str">
        <x:v>SI69F</x:v>
      </x:c>
      <x:c r="BN12" s="147" t="str">
        <x:v>Silver future (regular)</x:v>
      </x:c>
      <x:c r="BO12" s="147" t="str">
        <x:v>Long</x:v>
      </x:c>
      <x:c r="BP12" s="167" t="n">
        <x:v>2.006</x:v>
      </x:c>
      <x:c r="BQ12" s="167" t="n">
        <x:v>1.9680000000000002</x:v>
      </x:c>
      <x:c r="BR12" s="166" t="n">
        <x:v>1</x:v>
      </x:c>
      <x:c r="BS12" s="171" t="n">
        <x:f>IF(BM12="","",IFERROR(F12*BR12/BP12,0))</x:f>
        <x:v>0.5305816447383673</x:v>
      </x:c>
      <x:c r="BT12" s="171" t="n">
        <x:f>IF(BM12="","",F12*ABS(BR12))</x:f>
        <x:v>1.0643467793451646</x:v>
      </x:c>
      <x:c r="BU12" s="165" t="n">
        <x:v>2.038</x:v>
      </x:c>
      <x:c r="BV12" s="172" t="n">
        <x:f>IF(BM12="","",IF(BU12="","",IFERROR(BP12/BU12-1,0)))</x:f>
        <x:v>-0.015701668302257166</x:v>
      </x:c>
      <x:c r="BW12" s="166" t="n">
        <x:v>0.0613</x:v>
      </x:c>
      <x:c r="BX12" s="172" t="n">
        <x:f>IF(BM12="","",IF(BW12="","",BW12-BV12*365/BY12))</x:f>
        <x:v>0.47066492359456186</x:v>
      </x:c>
      <x:c r="BY12" s="164" t="n">
        <x:v>14</x:v>
      </x:c>
      <x:c r="BZ12" s="172" t="n">
        <x:f>IF(BM12="","",IFERROR(BR12*(BQ12/BP12-1),0))</x:f>
        <x:v>-0.018943170488534222</x:v>
      </x:c>
      <x:c r="CA12" s="147" t="str">
        <x:v>SI69H</x:v>
      </x:c>
      <x:c r="CB12" s="147" t="str">
        <x:v>Silver future (regular)</x:v>
      </x:c>
      <x:c r="CC12" s="147" t="str">
        <x:v>Long</x:v>
      </x:c>
      <x:c r="CD12" s="167" t="n">
        <x:v>2.032</x:v>
      </x:c>
      <x:c r="CE12" s="167" t="n">
        <x:v>1.995</x:v>
      </x:c>
      <x:c r="CF12" s="166" t="n">
        <x:v>7.565030591910518e-18</x:v>
      </x:c>
      <x:c r="CG12" s="171" t="n">
        <x:f>IF(CA12="","",IFERROR(F12*CF12/CD12,0))</x:f>
        <x:v>3.962507847513584e-18</x:v>
      </x:c>
      <x:c r="CH12" s="171" t="n">
        <x:f>IF(CA12="","",F12*ABS(CF12))</x:f>
        <x:v>8.051815946147603e-18</x:v>
      </x:c>
      <x:c r="CI12" s="165" t="n">
        <x:v>2.038</x:v>
      </x:c>
      <x:c r="CJ12" s="172" t="n">
        <x:f>IF(CA12="","",IF(CI12="","",IFERROR(CD12/CI12-1,0)))</x:f>
        <x:v>-0.0029440628066731422</x:v>
      </x:c>
      <x:c r="CK12" s="166" t="n">
        <x:v>0.0613</x:v>
      </x:c>
      <x:c r="CL12" s="172" t="n">
        <x:f>IF(CA12="","",IF(CK12="","",CK12-CJ12*365/CM12))</x:f>
        <x:v>0.07643497076669996</x:v>
      </x:c>
      <x:c r="CM12" s="164" t="n">
        <x:v>71</x:v>
      </x:c>
      <x:c r="CN12" s="172" t="n">
        <x:f>IF(CA12="","",IFERROR(CF12*(CE12/CD12-1),0))</x:f>
        <x:v>-1.3774908065978772e-19</x:v>
      </x:c>
      <x:c r="CO12" s="147" t="str">
        <x:v>SI69K</x:v>
      </x:c>
      <x:c r="CP12" s="147" t="str">
        <x:v>Silver future (regular)</x:v>
      </x:c>
      <x:c r="CQ12" s="147" t="str">
        <x:v>Long</x:v>
      </x:c>
      <x:c r="CR12" s="167" t="n">
        <x:v>2.0709999999999997</x:v>
      </x:c>
      <x:c r="CS12" s="167" t="n">
        <x:v>2.033</x:v>
      </x:c>
      <x:c r="CT12" s="166" t="n">
        <x:v>1.5897443086966965e-21</x:v>
      </x:c>
      <x:c r="CU12" s="171" t="n">
        <x:f>IF(CO12="","",IFERROR(F12*CT12/CR12,0))</x:f>
        <x:v>8.170155649172547e-22</x:v>
      </x:c>
      <x:c r="CV12" s="171" t="n">
        <x:f>IF(CO12="","",F12*ABS(CT12))</x:f>
        <x:v>1.6920392349436342e-21</x:v>
      </x:c>
      <x:c r="CW12" s="165" t="n">
        <x:v>2.038</x:v>
      </x:c>
      <x:c r="CX12" s="172" t="n">
        <x:f>IF(CO12="","",IF(CW12="","",IFERROR(CR12/CW12-1,0)))</x:f>
        <x:v>0.01619234543670256</x:v>
      </x:c>
      <x:c r="CY12" s="166" t="n">
        <x:v>0.061853846153846155</x:v>
      </x:c>
      <x:c r="CZ12" s="172" t="n">
        <x:f>IF(CO12="","",IF(CY12="","",CY12-CX12*365/DA12))</x:f>
        <x:v>0.017416206421542138</x:v>
      </x:c>
      <x:c r="DA12" s="164" t="n">
        <x:v>133</x:v>
      </x:c>
      <x:c r="DB12" s="172" t="n">
        <x:f>IF(CO12="","",IFERROR(CT12*(CS12/CR12-1),0))</x:f>
        <x:v>-2.916962034305848e-23</x:v>
      </x:c>
      <x:c r="DC12" s="147"/>
      <x:c r="DD12" s="147"/>
      <x:c r="DE12" s="147"/>
      <x:c r="DF12" s="167"/>
      <x:c r="DG12" s="167"/>
      <x:c r="DH12" s="166"/>
      <x:c r="DI12" s="171" t="str">
        <x:f>IF(DC12="","",IFERROR(F12*DH12/DF12,0))</x:f>
      </x:c>
      <x:c r="DJ12" s="171" t="str">
        <x:f>IF(DC12="","",F12*ABS(DH12))</x:f>
      </x:c>
      <x:c r="DK12" s="165"/>
      <x:c r="DL12" s="172" t="str">
        <x:f>IF(DC12="","",IF(DK12="","",IFERROR(DF12/DK12-1,0)))</x:f>
      </x:c>
      <x:c r="DM12" s="166"/>
      <x:c r="DN12" s="172" t="str">
        <x:f>IF(DC12="","",IF(DM12="","",DM12-DL12*365/DO12))</x:f>
      </x:c>
      <x:c r="DO12" s="164"/>
      <x:c r="DP12" s="172" t="str">
        <x:f>IF(DC12="","",IFERROR(DH12*(DG12/DF12-1),0))</x:f>
      </x:c>
      <x:c r="DQ12" s="147"/>
      <x:c r="DR12" s="147"/>
      <x:c r="DS12" s="147"/>
      <x:c r="DT12" s="167"/>
      <x:c r="DU12" s="167"/>
      <x:c r="DV12" s="166"/>
      <x:c r="DW12" s="171" t="str">
        <x:f>IF(DQ12="","",IFERROR(F12*DV12/DT12,0))</x:f>
      </x:c>
      <x:c r="DX12" s="171" t="str">
        <x:f>IF(DQ12="","",F12*ABS(DV12))</x:f>
      </x:c>
      <x:c r="DY12" s="165"/>
      <x:c r="DZ12" s="172" t="str">
        <x:f>IF(DQ12="","",IF(DY12="","",IFERROR(DT12/DY12-1,0)))</x:f>
      </x:c>
      <x:c r="EA12" s="166"/>
      <x:c r="EB12" s="172" t="str">
        <x:f>IF(DQ12="","",IF(EA12="","",EA12-DZ12*365/EC12))</x:f>
      </x:c>
      <x:c r="EC12" s="164"/>
      <x:c r="ED12" s="172" t="str">
        <x:f>IF(DQ12="","",IFERROR(DV12*(DU12/DT12-1),0))</x:f>
      </x:c>
      <x:c r="EE12" s="147"/>
      <x:c r="EF12" s="147"/>
      <x:c r="EG12" s="147"/>
      <x:c r="EH12" s="167"/>
      <x:c r="EI12" s="167"/>
      <x:c r="EJ12" s="166"/>
      <x:c r="EK12" s="171" t="str">
        <x:f>IF(EE12="","",IFERROR(F12*EJ12/EH12,0))</x:f>
      </x:c>
      <x:c r="EL12" s="171" t="str">
        <x:f>IF(EE12="","",F12*ABS(EJ12))</x:f>
      </x:c>
      <x:c r="EM12" s="165"/>
      <x:c r="EN12" s="172" t="str">
        <x:f>IF(EE12="","",IF(EM12="","",IFERROR(EH12/EM12-1,0)))</x:f>
      </x:c>
      <x:c r="EO12" s="166"/>
      <x:c r="EP12" s="172" t="str">
        <x:f>IF(EE12="","",IF(EO12="","",EO12-EN12*365/EQ12))</x:f>
      </x:c>
      <x:c r="EQ12" s="164"/>
      <x:c r="ER12" s="172" t="str">
        <x:f>IF(EE12="","",IFERROR(EJ12*(EI12/EH12-1),0))</x:f>
      </x:c>
      <x:c r="ES12" s="147"/>
      <x:c r="ET12" s="147"/>
      <x:c r="EU12" s="147"/>
      <x:c r="EV12" s="167"/>
      <x:c r="EW12" s="167"/>
      <x:c r="EX12" s="166"/>
      <x:c r="EY12" s="171" t="str">
        <x:f>IF(ES12="","",IFERROR(F12*EX12/EV12,0))</x:f>
      </x:c>
      <x:c r="EZ12" s="171" t="str">
        <x:f>IF(ES12="","",F12*ABS(EX12))</x:f>
      </x:c>
      <x:c r="FA12" s="165"/>
      <x:c r="FB12" s="172" t="str">
        <x:f>IF(ES12="","",IF(FA12="","",IFERROR(EV12/FA12-1,0)))</x:f>
      </x:c>
      <x:c r="FC12" s="166"/>
      <x:c r="FD12" s="172" t="str">
        <x:f>IF(ES12="","",IF(FC12="","",FC12-FB12*365/FE12))</x:f>
      </x:c>
      <x:c r="FE12" s="164"/>
      <x:c r="FF12" s="172" t="str">
        <x:f>IF(ES12="","",IFERROR(EX12*(EW12/EV12-1),0))</x:f>
      </x:c>
      <x:c r="FG12" s="147"/>
      <x:c r="FH12" s="147"/>
      <x:c r="FI12" s="147"/>
      <x:c r="FJ12" s="167"/>
      <x:c r="FK12" s="167"/>
      <x:c r="FL12" s="166"/>
      <x:c r="FM12" s="171" t="str">
        <x:f>IF(FG12="","",IFERROR(F12*FL12/FJ12,0))</x:f>
      </x:c>
      <x:c r="FN12" s="171" t="str">
        <x:f>IF(FG12="","",F12*ABS(FL12))</x:f>
      </x:c>
      <x:c r="FO12" s="165"/>
      <x:c r="FP12" s="172" t="str">
        <x:f>IF(FG12="","",IF(FO12="","",IFERROR(FJ12/FO12-1,0)))</x:f>
      </x:c>
      <x:c r="FQ12" s="166"/>
      <x:c r="FR12" s="172" t="str">
        <x:f>IF(FG12="","",IF(FQ12="","",FQ12-FP12*365/FS12))</x:f>
      </x:c>
      <x:c r="FS12" s="164"/>
      <x:c r="FT12" s="172" t="str">
        <x:f>IF(FG12="","",IFERROR(FL12*(FK12/FJ12-1),0))</x:f>
      </x:c>
    </x:row>
    <x:row r="13" ht="18" customHeight="1">
      <x:c r="A13" s="163" t="n">
        <x:v>25219</x:v>
      </x:c>
      <x:c r="B13" s="163" t="n">
        <x:v>25220</x:v>
      </x:c>
      <x:c r="C13" s="170" t="n">
        <x:f>B13-A13</x:f>
        <x:v>1</x:v>
      </x:c>
      <x:c r="D13" s="163" t="n">
        <x:v>25219</x:v>
      </x:c>
      <x:c r="E13" s="147" t="str">
        <x:v>positive</x:v>
      </x:c>
      <x:c r="F13" s="165" t="n">
        <x:v>1.0443634287836654</x:v>
      </x:c>
      <x:c r="G13" s="168" t="n">
        <x:v>0.0006738835059583293</x:v>
      </x:c>
      <x:c r="H13" s="172" t="n">
        <x:f>SUM(AX13,BL13,BZ13,CN13,DB13,DP13,ED13,ER13,FF13,FT13)</x:f>
        <x:v>0.0006738835059585391</x:v>
      </x:c>
      <x:c r="I13" s="174" t="n">
        <x:f>G13-H13</x:f>
        <x:v>-2.097931203759451e-16</x:v>
      </x:c>
      <x:c r="J13" s="171" t="n">
        <x:f>F13*(1+H13)</x:f>
        <x:v>1.045067208072549</x:v>
      </x:c>
      <x:c r="K13" s="169" t="n">
        <x:v>1.0450672080725487</x:v>
      </x:c>
      <x:c r="L13" s="175" t="n">
        <x:f>K13-J13</x:f>
        <x:v>-2.220446049250313e-16</x:v>
      </x:c>
      <x:c r="M13" s="167" t="n">
        <x:v>2.017</x:v>
      </x:c>
      <x:c r="N13" s="167" t="n">
        <x:v>1.994</x:v>
      </x:c>
      <x:c r="O13" s="172" t="n">
        <x:f>IFERROR(N13/M13-1,0)</x:f>
        <x:v>-0.011403073872087166</x:v>
      </x:c>
      <x:c r="P13" s="171" t="n">
        <x:f>IFERROR(AD13/AH13,0)</x:f>
        <x:v>1.0138143745951496</x:v>
      </x:c>
      <x:c r="Q13" s="171" t="n">
        <x:f>IFERROR(AE13/AI13,0)</x:f>
        <x:v>1.0261993948876884</x:v>
      </x:c>
      <x:c r="R13" s="172" t="n">
        <x:f>IFERROR((Q13-P13)/(P13+S13),0)</x:f>
        <x:v>0.012216260296649087</x:v>
      </x:c>
      <x:c r="S13" s="172" t="n">
        <x:f>IFERROR(AF13/AH13,0)</x:f>
        <x:v>0</x:v>
      </x:c>
      <x:c r="T13" s="172" t="n">
        <x:f>IFERROR(AG13/AI13,0)</x:f>
        <x:v>0</x:v>
      </x:c>
      <x:c r="U13" s="172" t="n">
        <x:f>IFERROR((T13-S13)/(P13+S13),0)</x:f>
        <x:v>0</x:v>
      </x:c>
      <x:c r="V13" s="172" t="n">
        <x:f>R13+U13</x:f>
        <x:v>0.012216260296649087</x:v>
      </x:c>
      <x:c r="W13" s="172" t="n">
        <x:f>(1+O13)*(1+V13)-1</x:f>
        <x:v>0.0006738835059585391</x:v>
      </x:c>
      <x:c r="X13" s="174" t="n">
        <x:f>G13-W13</x:f>
        <x:v>-2.097931203759451e-16</x:v>
      </x:c>
      <x:c r="Y13" s="172" t="str">
        <x:f>AX13</x:f>
      </x:c>
      <x:c r="Z13" s="172" t="n">
        <x:f>BL13</x:f>
        <x:v>0.00016575342465774412</x:v>
      </x:c>
      <x:c r="AA13" s="172" t="n">
        <x:f>SUM(BZ13,CN13,DB13,DP13,ED13,ER13,FF13,FT13)</x:f>
        <x:v>0.000508130081300795</x:v>
      </x:c>
      <x:c r="AB13" s="172" t="n">
        <x:f>SUM(Y13:AA13)</x:f>
        <x:v>0.0006738835059585391</x:v>
      </x:c>
      <x:c r="AC13" s="174" t="n">
        <x:f>G13-AB13</x:f>
        <x:v>-2.097931203759451e-16</x:v>
      </x:c>
      <x:c r="AD13" s="169" t="n">
        <x:v>1.0443634287836654</x:v>
      </x:c>
      <x:c r="AE13" s="169" t="n">
        <x:v>1.0450672080725487</x:v>
      </x:c>
      <x:c r="AF13" s="169" t="n">
        <x:v>0</x:v>
      </x:c>
      <x:c r="AG13" s="169" t="n">
        <x:v>0</x:v>
      </x:c>
      <x:c r="AH13" s="171" t="n">
        <x:f>M13/$M$3</x:f>
        <x:v>1.0301327885597549</x:v>
      </x:c>
      <x:c r="AI13" s="171" t="n">
        <x:f>N13/$M$3</x:f>
        <x:v>1.0183861082737486</x:v>
      </x:c>
      <x:c r="AJ13" s="170" t="n">
        <x:f>IF(AK13&lt;&gt;"",1,0)+IF(AY13&lt;&gt;"",1,0)+IF(BM13&lt;&gt;"",1,0)+IF(CA13&lt;&gt;"",1,0)+IF(CO13&lt;&gt;"",1,0)+IF(DC13&lt;&gt;"",1,0)+IF(DQ13&lt;&gt;"",1,0)+IF(EE13&lt;&gt;"",1,0)+IF(ES13&lt;&gt;"",1,0)+IF(FG13&lt;&gt;"",1,0)</x:f>
        <x:v>4</x:v>
      </x:c>
      <x:c r="AK13" s="147"/>
      <x:c r="AL13" s="147"/>
      <x:c r="AM13" s="147"/>
      <x:c r="AN13" s="167"/>
      <x:c r="AO13" s="167"/>
      <x:c r="AP13" s="166"/>
      <x:c r="AQ13" s="171" t="str">
        <x:f>IF(AK13="","",IFERROR(F13*AP13/AN13,0))</x:f>
      </x:c>
      <x:c r="AR13" s="171" t="str">
        <x:f>IF(AK13="","",F13*ABS(AP13))</x:f>
      </x:c>
      <x:c r="AS13" s="165"/>
      <x:c r="AT13" s="172" t="str">
        <x:f>IF(AK13="","",IF(AS13="","",IFERROR(AN13/AS13-1,0)))</x:f>
      </x:c>
      <x:c r="AU13" s="166"/>
      <x:c r="AV13" s="172" t="str">
        <x:f>IF(AK13="","",IF(AU13="","",AU13-AT13*365/AW13))</x:f>
      </x:c>
      <x:c r="AW13" s="164"/>
      <x:c r="AX13" s="173" t="str">
        <x:f>IF(AK13="","",IFERROR(AP13*(AO13/AN13-1),0))</x:f>
      </x:c>
      <x:c r="AY13" s="147" t="str">
        <x:v>Matched-maturity Treasury collateral</x:v>
      </x:c>
      <x:c r="AZ13" s="147" t="str">
        <x:v>Treasury</x:v>
      </x:c>
      <x:c r="BA13" s="147" t="str">
        <x:v>Long</x:v>
      </x:c>
      <x:c r="BB13" s="167" t="n">
        <x:v>100.23604966041144</x:v>
      </x:c>
      <x:c r="BC13" s="167" t="n">
        <x:v>100.2526641289168</x:v>
      </x:c>
      <x:c r="BD13" s="166" t="n">
        <x:v>1</x:v>
      </x:c>
      <x:c r="BE13" s="171" t="n">
        <x:f>IF(AY13="","",IFERROR(F13*BD13/BB13,0))</x:f>
        <x:v>0.010419040178876285</x:v>
      </x:c>
      <x:c r="BF13" s="171" t="n">
        <x:f>IF(AY13="","",F13*ABS(BD13))</x:f>
        <x:v>1.0443634287836654</x:v>
      </x:c>
      <x:c r="BG13" s="165"/>
      <x:c r="BH13" s="172" t="str">
        <x:f>IF(AY13="","",IF(BG13="","",IFERROR(BB13/BG13-1,0)))</x:f>
      </x:c>
      <x:c r="BI13" s="166"/>
      <x:c r="BJ13" s="172" t="str">
        <x:f>IF(AY13="","",IF(BI13="","",BI13-BH13*365/BK13))</x:f>
      </x:c>
      <x:c r="BK13" s="164" t="n">
        <x:v>13</x:v>
      </x:c>
      <x:c r="BL13" s="172" t="n">
        <x:f>IF(AY13="","",IFERROR(BD13*(BC13/BB13-1),0))</x:f>
        <x:v>0.00016575342465774412</x:v>
      </x:c>
      <x:c r="BM13" s="147" t="str">
        <x:v>SI69F</x:v>
      </x:c>
      <x:c r="BN13" s="147" t="str">
        <x:v>Silver future (regular)</x:v>
      </x:c>
      <x:c r="BO13" s="147" t="str">
        <x:v>Long</x:v>
      </x:c>
      <x:c r="BP13" s="167" t="n">
        <x:v>1.9680000000000002</x:v>
      </x:c>
      <x:c r="BQ13" s="167" t="n">
        <x:v>1.969</x:v>
      </x:c>
      <x:c r="BR13" s="166" t="n">
        <x:v>1</x:v>
      </x:c>
      <x:c r="BS13" s="171" t="n">
        <x:f>IF(BM13="","",IFERROR(F13*BR13/BP13,0))</x:f>
        <x:v>0.5306724739754397</x:v>
      </x:c>
      <x:c r="BT13" s="171" t="n">
        <x:f>IF(BM13="","",F13*ABS(BR13))</x:f>
        <x:v>1.0443634287836654</x:v>
      </x:c>
      <x:c r="BU13" s="165" t="n">
        <x:v>2.017</x:v>
      </x:c>
      <x:c r="BV13" s="172" t="n">
        <x:f>IF(BM13="","",IF(BU13="","",IFERROR(BP13/BU13-1,0)))</x:f>
        <x:v>-0.02429350520575102</x:v>
      </x:c>
      <x:c r="BW13" s="166" t="n">
        <x:v>0.0605</x:v>
      </x:c>
      <x:c r="BX13" s="172" t="n">
        <x:f>IF(BM13="","",IF(BW13="","",BW13-BV13*365/BY13))</x:f>
        <x:v>0.7425868769307017</x:v>
      </x:c>
      <x:c r="BY13" s="164" t="n">
        <x:v>13</x:v>
      </x:c>
      <x:c r="BZ13" s="172" t="n">
        <x:f>IF(BM13="","",IFERROR(BR13*(BQ13/BP13-1),0))</x:f>
        <x:v>0.000508130081300795</x:v>
      </x:c>
      <x:c r="CA13" s="147" t="str">
        <x:v>SI69H</x:v>
      </x:c>
      <x:c r="CB13" s="147" t="str">
        <x:v>Silver future (regular)</x:v>
      </x:c>
      <x:c r="CC13" s="147" t="str">
        <x:v>Long</x:v>
      </x:c>
      <x:c r="CD13" s="167" t="n">
        <x:v>1.995</x:v>
      </x:c>
      <x:c r="CE13" s="167" t="n">
        <x:v>1.994</x:v>
      </x:c>
      <x:c r="CF13" s="166" t="n">
        <x:v>7.565030591910518e-18</x:v>
      </x:c>
      <x:c r="CG13" s="171" t="n">
        <x:f>IF(CA13="","",IFERROR(F13*CF13/CD13,0))</x:f>
        <x:v>3.9602211969027516e-18</x:v>
      </x:c>
      <x:c r="CH13" s="171" t="n">
        <x:f>IF(CA13="","",F13*ABS(CF13))</x:f>
        <x:v>7.90064128782099e-18</x:v>
      </x:c>
      <x:c r="CI13" s="165" t="n">
        <x:v>2.017</x:v>
      </x:c>
      <x:c r="CJ13" s="172" t="n">
        <x:f>IF(CA13="","",IF(CI13="","",IFERROR(CD13/CI13-1,0)))</x:f>
        <x:v>-0.010907288051561603</x:v>
      </x:c>
      <x:c r="CK13" s="166" t="n">
        <x:v>0.0605</x:v>
      </x:c>
      <x:c r="CL13" s="172" t="n">
        <x:f>IF(CA13="","",IF(CK13="","",CK13-CJ13*365/CM13))</x:f>
        <x:v>0.11737371626885693</x:v>
      </x:c>
      <x:c r="CM13" s="164" t="n">
        <x:v>70</x:v>
      </x:c>
      <x:c r="CN13" s="172" t="n">
        <x:f>IF(CA13="","",IFERROR(CF13*(CE13/CD13-1),0))</x:f>
        <x:v>-3.791995284165925e-21</x:v>
      </x:c>
      <x:c r="CO13" s="147" t="str">
        <x:v>SI69K</x:v>
      </x:c>
      <x:c r="CP13" s="147" t="str">
        <x:v>Silver future (regular)</x:v>
      </x:c>
      <x:c r="CQ13" s="147" t="str">
        <x:v>Long</x:v>
      </x:c>
      <x:c r="CR13" s="167" t="n">
        <x:v>2.033</x:v>
      </x:c>
      <x:c r="CS13" s="167" t="n">
        <x:v>2.032</x:v>
      </x:c>
      <x:c r="CT13" s="166" t="n">
        <x:v>1.5897443086966965e-21</x:v>
      </x:c>
      <x:c r="CU13" s="171" t="n">
        <x:f>IF(CO13="","",IFERROR(F13*CT13/CR13,0))</x:f>
        <x:v>8.166605101425479e-22</x:v>
      </x:c>
      <x:c r="CV13" s="171" t="n">
        <x:f>IF(CO13="","",F13*ABS(CT13))</x:f>
        <x:v>1.6602708171197997e-21</x:v>
      </x:c>
      <x:c r="CW13" s="165" t="n">
        <x:v>2.017</x:v>
      </x:c>
      <x:c r="CX13" s="172" t="n">
        <x:f>IF(CO13="","",IF(CW13="","",IFERROR(CR13/CW13-1,0)))</x:f>
        <x:v>0.00793257312840856</x:v>
      </x:c>
      <x:c r="CY13" s="166" t="n">
        <x:v>0.06108571428571429</x:v>
      </x:c>
      <x:c r="CZ13" s="172" t="n">
        <x:f>IF(CO13="","",IF(CY13="","",CY13-CX13*365/DA13))</x:f>
        <x:v>0.03915094768064517</x:v>
      </x:c>
      <x:c r="DA13" s="164" t="n">
        <x:v>132</x:v>
      </x:c>
      <x:c r="DB13" s="172" t="n">
        <x:f>IF(CO13="","",IFERROR(CT13*(CS13/CR13-1),0))</x:f>
        <x:v>-7.819696550400738e-25</x:v>
      </x:c>
      <x:c r="DC13" s="147"/>
      <x:c r="DD13" s="147"/>
      <x:c r="DE13" s="147"/>
      <x:c r="DF13" s="167"/>
      <x:c r="DG13" s="167"/>
      <x:c r="DH13" s="166"/>
      <x:c r="DI13" s="171" t="str">
        <x:f>IF(DC13="","",IFERROR(F13*DH13/DF13,0))</x:f>
      </x:c>
      <x:c r="DJ13" s="171" t="str">
        <x:f>IF(DC13="","",F13*ABS(DH13))</x:f>
      </x:c>
      <x:c r="DK13" s="165"/>
      <x:c r="DL13" s="172" t="str">
        <x:f>IF(DC13="","",IF(DK13="","",IFERROR(DF13/DK13-1,0)))</x:f>
      </x:c>
      <x:c r="DM13" s="166"/>
      <x:c r="DN13" s="172" t="str">
        <x:f>IF(DC13="","",IF(DM13="","",DM13-DL13*365/DO13))</x:f>
      </x:c>
      <x:c r="DO13" s="164"/>
      <x:c r="DP13" s="172" t="str">
        <x:f>IF(DC13="","",IFERROR(DH13*(DG13/DF13-1),0))</x:f>
      </x:c>
      <x:c r="DQ13" s="147"/>
      <x:c r="DR13" s="147"/>
      <x:c r="DS13" s="147"/>
      <x:c r="DT13" s="167"/>
      <x:c r="DU13" s="167"/>
      <x:c r="DV13" s="166"/>
      <x:c r="DW13" s="171" t="str">
        <x:f>IF(DQ13="","",IFERROR(F13*DV13/DT13,0))</x:f>
      </x:c>
      <x:c r="DX13" s="171" t="str">
        <x:f>IF(DQ13="","",F13*ABS(DV13))</x:f>
      </x:c>
      <x:c r="DY13" s="165"/>
      <x:c r="DZ13" s="172" t="str">
        <x:f>IF(DQ13="","",IF(DY13="","",IFERROR(DT13/DY13-1,0)))</x:f>
      </x:c>
      <x:c r="EA13" s="166"/>
      <x:c r="EB13" s="172" t="str">
        <x:f>IF(DQ13="","",IF(EA13="","",EA13-DZ13*365/EC13))</x:f>
      </x:c>
      <x:c r="EC13" s="164"/>
      <x:c r="ED13" s="172" t="str">
        <x:f>IF(DQ13="","",IFERROR(DV13*(DU13/DT13-1),0))</x:f>
      </x:c>
      <x:c r="EE13" s="147"/>
      <x:c r="EF13" s="147"/>
      <x:c r="EG13" s="147"/>
      <x:c r="EH13" s="167"/>
      <x:c r="EI13" s="167"/>
      <x:c r="EJ13" s="166"/>
      <x:c r="EK13" s="171" t="str">
        <x:f>IF(EE13="","",IFERROR(F13*EJ13/EH13,0))</x:f>
      </x:c>
      <x:c r="EL13" s="171" t="str">
        <x:f>IF(EE13="","",F13*ABS(EJ13))</x:f>
      </x:c>
      <x:c r="EM13" s="165"/>
      <x:c r="EN13" s="172" t="str">
        <x:f>IF(EE13="","",IF(EM13="","",IFERROR(EH13/EM13-1,0)))</x:f>
      </x:c>
      <x:c r="EO13" s="166"/>
      <x:c r="EP13" s="172" t="str">
        <x:f>IF(EE13="","",IF(EO13="","",EO13-EN13*365/EQ13))</x:f>
      </x:c>
      <x:c r="EQ13" s="164"/>
      <x:c r="ER13" s="172" t="str">
        <x:f>IF(EE13="","",IFERROR(EJ13*(EI13/EH13-1),0))</x:f>
      </x:c>
      <x:c r="ES13" s="147"/>
      <x:c r="ET13" s="147"/>
      <x:c r="EU13" s="147"/>
      <x:c r="EV13" s="167"/>
      <x:c r="EW13" s="167"/>
      <x:c r="EX13" s="166"/>
      <x:c r="EY13" s="171" t="str">
        <x:f>IF(ES13="","",IFERROR(F13*EX13/EV13,0))</x:f>
      </x:c>
      <x:c r="EZ13" s="171" t="str">
        <x:f>IF(ES13="","",F13*ABS(EX13))</x:f>
      </x:c>
      <x:c r="FA13" s="165"/>
      <x:c r="FB13" s="172" t="str">
        <x:f>IF(ES13="","",IF(FA13="","",IFERROR(EV13/FA13-1,0)))</x:f>
      </x:c>
      <x:c r="FC13" s="166"/>
      <x:c r="FD13" s="172" t="str">
        <x:f>IF(ES13="","",IF(FC13="","",FC13-FB13*365/FE13))</x:f>
      </x:c>
      <x:c r="FE13" s="164"/>
      <x:c r="FF13" s="172" t="str">
        <x:f>IF(ES13="","",IFERROR(EX13*(EW13/EV13-1),0))</x:f>
      </x:c>
      <x:c r="FG13" s="147"/>
      <x:c r="FH13" s="147"/>
      <x:c r="FI13" s="147"/>
      <x:c r="FJ13" s="167"/>
      <x:c r="FK13" s="167"/>
      <x:c r="FL13" s="166"/>
      <x:c r="FM13" s="171" t="str">
        <x:f>IF(FG13="","",IFERROR(F13*FL13/FJ13,0))</x:f>
      </x:c>
      <x:c r="FN13" s="171" t="str">
        <x:f>IF(FG13="","",F13*ABS(FL13))</x:f>
      </x:c>
      <x:c r="FO13" s="165"/>
      <x:c r="FP13" s="172" t="str">
        <x:f>IF(FG13="","",IF(FO13="","",IFERROR(FJ13/FO13-1,0)))</x:f>
      </x:c>
      <x:c r="FQ13" s="166"/>
      <x:c r="FR13" s="172" t="str">
        <x:f>IF(FG13="","",IF(FQ13="","",FQ13-FP13*365/FS13))</x:f>
      </x:c>
      <x:c r="FS13" s="164"/>
      <x:c r="FT13" s="172" t="str">
        <x:f>IF(FG13="","",IFERROR(FL13*(FK13/FJ13-1),0))</x:f>
      </x:c>
    </x:row>
    <x:row r="14" ht="18" customHeight="1">
      <x:c r="A14" s="163" t="n">
        <x:v>25220</x:v>
      </x:c>
      <x:c r="B14" s="163" t="n">
        <x:v>25223</x:v>
      </x:c>
      <x:c r="C14" s="170" t="n">
        <x:f>B14-A14</x:f>
        <x:v>3</x:v>
      </x:c>
      <x:c r="D14" s="163" t="n">
        <x:v>25220</x:v>
      </x:c>
      <x:c r="E14" s="147" t="str">
        <x:v>positive</x:v>
      </x:c>
      <x:c r="F14" s="165" t="n">
        <x:v>1.0450672080725487</x:v>
      </x:c>
      <x:c r="G14" s="168" t="n">
        <x:v>0.016242936613398</x:v>
      </x:c>
      <x:c r="H14" s="172" t="n">
        <x:f>SUM(AX14,BL14,BZ14,CN14,DB14,DP14,ED14,ER14,FF14,FT14)</x:f>
        <x:v>0.016242936613397818</x:v>
      </x:c>
      <x:c r="I14" s="174" t="n">
        <x:f>G14-H14</x:f>
        <x:v>1.8041124150158794e-16</x:v>
      </x:c>
      <x:c r="J14" s="171" t="n">
        <x:f>F14*(1+H14)</x:f>
        <x:v>1.0620421684900117</x:v>
      </x:c>
      <x:c r="K14" s="169" t="n">
        <x:v>1.0620421684900119</x:v>
      </x:c>
      <x:c r="L14" s="175" t="n">
        <x:f>K14-J14</x:f>
        <x:v>2.220446049250313e-16</x:v>
      </x:c>
      <x:c r="M14" s="167" t="n">
        <x:v>1.994</x:v>
      </x:c>
      <x:c r="N14" s="167" t="n">
        <x:v>1.994</x:v>
      </x:c>
      <x:c r="O14" s="172" t="n">
        <x:f>IFERROR(N14/M14-1,0)</x:f>
        <x:v>0</x:v>
      </x:c>
      <x:c r="P14" s="171" t="n">
        <x:f>IFERROR(AD14/AH14,0)</x:f>
        <x:v>1.0261993948876884</x:v>
      </x:c>
      <x:c r="Q14" s="171" t="n">
        <x:f>IFERROR(AE14/AI14,0)</x:f>
        <x:v>1.0428678866115564</x:v>
      </x:c>
      <x:c r="R14" s="172" t="n">
        <x:f>IFERROR((Q14-P14)/(P14+S14),0)</x:f>
        <x:v>0.01624293661339787</x:v>
      </x:c>
      <x:c r="S14" s="172" t="n">
        <x:f>IFERROR(AF14/AH14,0)</x:f>
        <x:v>0</x:v>
      </x:c>
      <x:c r="T14" s="172" t="n">
        <x:f>IFERROR(AG14/AI14,0)</x:f>
        <x:v>0</x:v>
      </x:c>
      <x:c r="U14" s="172" t="n">
        <x:f>IFERROR((T14-S14)/(P14+S14),0)</x:f>
        <x:v>0</x:v>
      </x:c>
      <x:c r="V14" s="172" t="n">
        <x:f>R14+U14</x:f>
        <x:v>0.01624293661339787</x:v>
      </x:c>
      <x:c r="W14" s="172" t="n">
        <x:f>(1+O14)*(1+V14)-1</x:f>
        <x:v>0.016242936613397818</x:v>
      </x:c>
      <x:c r="X14" s="174" t="n">
        <x:f>G14-W14</x:f>
        <x:v>1.8041124150158794e-16</x:v>
      </x:c>
      <x:c r="Y14" s="172" t="n">
        <x:f>AX14</x:f>
        <x:v>0</x:v>
      </x:c>
      <x:c r="Z14" s="172" t="n">
        <x:f>BL14</x:f>
        <x:v>0.0004989041095888602</x:v>
      </x:c>
      <x:c r="AA14" s="172" t="n">
        <x:f>SUM(BZ14,CN14,DB14,DP14,ED14,ER14,FF14,FT14)</x:f>
        <x:v>0.015744032503808958</x:v>
      </x:c>
      <x:c r="AB14" s="172" t="n">
        <x:f>SUM(Y14:AA14)</x:f>
        <x:v>0.016242936613397818</x:v>
      </x:c>
      <x:c r="AC14" s="174" t="n">
        <x:f>G14-AB14</x:f>
        <x:v>1.8041124150158794e-16</x:v>
      </x:c>
      <x:c r="AD14" s="169" t="n">
        <x:v>1.0450672080725487</x:v>
      </x:c>
      <x:c r="AE14" s="169" t="n">
        <x:v>1.0620421684900119</x:v>
      </x:c>
      <x:c r="AF14" s="169" t="n">
        <x:v>0</x:v>
      </x:c>
      <x:c r="AG14" s="169" t="n">
        <x:v>0</x:v>
      </x:c>
      <x:c r="AH14" s="171" t="n">
        <x:f>M14/$M$3</x:f>
        <x:v>1.0183861082737486</x:v>
      </x:c>
      <x:c r="AI14" s="171" t="n">
        <x:f>N14/$M$3</x:f>
        <x:v>1.0183861082737486</x:v>
      </x:c>
      <x:c r="AJ14" s="170" t="n">
        <x:f>IF(AK14&lt;&gt;"",1,0)+IF(AY14&lt;&gt;"",1,0)+IF(BM14&lt;&gt;"",1,0)+IF(CA14&lt;&gt;"",1,0)+IF(CO14&lt;&gt;"",1,0)+IF(DC14&lt;&gt;"",1,0)+IF(DQ14&lt;&gt;"",1,0)+IF(EE14&lt;&gt;"",1,0)+IF(ES14&lt;&gt;"",1,0)+IF(FG14&lt;&gt;"",1,0)</x:f>
        <x:v>4</x:v>
      </x:c>
      <x:c r="AK14" s="147"/>
      <x:c r="AL14" s="147"/>
      <x:c r="AM14" s="147"/>
      <x:c r="AN14" s="167"/>
      <x:c r="AO14" s="167"/>
      <x:c r="AP14" s="166"/>
      <x:c r="AQ14" s="171" t="str">
        <x:f>IF(AK14="","",IFERROR(F14*AP14/AN14,0))</x:f>
      </x:c>
      <x:c r="AR14" s="171" t="str">
        <x:f>IF(AK14="","",F14*ABS(AP14))</x:f>
      </x:c>
      <x:c r="AS14" s="165"/>
      <x:c r="AT14" s="172" t="str">
        <x:f>IF(AK14="","",IF(AS14="","",IFERROR(AN14/AS14-1,0)))</x:f>
      </x:c>
      <x:c r="AU14" s="166"/>
      <x:c r="AV14" s="172" t="str">
        <x:f>IF(AK14="","",IF(AU14="","",AU14-AT14*365/AW14))</x:f>
      </x:c>
      <x:c r="AW14" s="164"/>
      <x:c r="AX14" s="173" t="str">
        <x:f>IF(AK14="","",IFERROR(AP14*(AO14/AN14-1),0))</x:f>
      </x:c>
      <x:c r="AY14" s="147" t="str">
        <x:v>Matched-maturity Treasury collateral</x:v>
      </x:c>
      <x:c r="AZ14" s="147" t="str">
        <x:v>Treasury</x:v>
      </x:c>
      <x:c r="BA14" s="147" t="str">
        <x:v>Long</x:v>
      </x:c>
      <x:c r="BB14" s="167" t="n">
        <x:v>100.2526641289168</x:v>
      </x:c>
      <x:c r="BC14" s="167" t="n">
        <x:v>100.30268059504796</x:v>
      </x:c>
      <x:c r="BD14" s="166" t="n">
        <x:v>1</x:v>
      </x:c>
      <x:c r="BE14" s="171" t="n">
        <x:f>IF(AY14="","",IFERROR(F14*BD14/BB14,0))</x:f>
        <x:v>0.010424333529218505</x:v>
      </x:c>
      <x:c r="BF14" s="171" t="n">
        <x:f>IF(AY14="","",F14*ABS(BD14))</x:f>
        <x:v>1.0450672080725487</x:v>
      </x:c>
      <x:c r="BG14" s="165"/>
      <x:c r="BH14" s="172" t="str">
        <x:f>IF(AY14="","",IF(BG14="","",IFERROR(BB14/BG14-1,0)))</x:f>
      </x:c>
      <x:c r="BI14" s="166"/>
      <x:c r="BJ14" s="172" t="str">
        <x:f>IF(AY14="","",IF(BI14="","",BI14-BH14*365/BK14))</x:f>
      </x:c>
      <x:c r="BK14" s="164" t="n">
        <x:v>12</x:v>
      </x:c>
      <x:c r="BL14" s="172" t="n">
        <x:f>IF(AY14="","",IFERROR(BD14*(BC14/BB14-1),0))</x:f>
        <x:v>0.0004989041095888602</x:v>
      </x:c>
      <x:c r="BM14" s="147" t="str">
        <x:v>SI69F</x:v>
      </x:c>
      <x:c r="BN14" s="147" t="str">
        <x:v>Silver future (regular)</x:v>
      </x:c>
      <x:c r="BO14" s="147" t="str">
        <x:v>Long</x:v>
      </x:c>
      <x:c r="BP14" s="167" t="n">
        <x:v>1.969</x:v>
      </x:c>
      <x:c r="BQ14" s="167" t="n">
        <x:v>2</x:v>
      </x:c>
      <x:c r="BR14" s="166" t="n">
        <x:v>1</x:v>
      </x:c>
      <x:c r="BS14" s="171" t="n">
        <x:f>IF(BM14="","",IFERROR(F14*BR14/BP14,0))</x:f>
        <x:v>0.5307603900825539</x:v>
      </x:c>
      <x:c r="BT14" s="171" t="n">
        <x:f>IF(BM14="","",F14*ABS(BR14))</x:f>
        <x:v>1.0450672080725487</x:v>
      </x:c>
      <x:c r="BU14" s="165" t="n">
        <x:v>1.994</x:v>
      </x:c>
      <x:c r="BV14" s="172" t="n">
        <x:f>IF(BM14="","",IF(BU14="","",IFERROR(BP14/BU14-1,0)))</x:f>
        <x:v>-0.01253761283851551</x:v>
      </x:c>
      <x:c r="BW14" s="166" t="n">
        <x:v>0.0607</x:v>
      </x:c>
      <x:c r="BX14" s="172" t="n">
        <x:f>IF(BM14="","",IF(BW14="","",BW14-BV14*365/BY14))</x:f>
        <x:v>0.4420523905048468</x:v>
      </x:c>
      <x:c r="BY14" s="164" t="n">
        <x:v>12</x:v>
      </x:c>
      <x:c r="BZ14" s="172" t="n">
        <x:f>IF(BM14="","",IFERROR(BR14*(BQ14/BP14-1),0))</x:f>
        <x:v>0.015744032503808958</x:v>
      </x:c>
      <x:c r="CA14" s="147" t="str">
        <x:v>SI69H</x:v>
      </x:c>
      <x:c r="CB14" s="147" t="str">
        <x:v>Silver future (regular)</x:v>
      </x:c>
      <x:c r="CC14" s="147" t="str">
        <x:v>Long</x:v>
      </x:c>
      <x:c r="CD14" s="167" t="n">
        <x:v>1.994</x:v>
      </x:c>
      <x:c r="CE14" s="167" t="n">
        <x:v>2.021</x:v>
      </x:c>
      <x:c r="CF14" s="166" t="n">
        <x:v>7.565030591910518e-18</x:v>
      </x:c>
      <x:c r="CG14" s="171" t="n">
        <x:f>IF(CA14="","",IFERROR(F14*CF14/CD14,0))</x:f>
        <x:v>3.964877331831166e-18</x:v>
      </x:c>
      <x:c r="CH14" s="171" t="n">
        <x:f>IF(CA14="","",F14*ABS(CF14))</x:f>
        <x:v>7.905965399671345e-18</x:v>
      </x:c>
      <x:c r="CI14" s="165" t="n">
        <x:v>1.994</x:v>
      </x:c>
      <x:c r="CJ14" s="172" t="n">
        <x:f>IF(CA14="","",IF(CI14="","",IFERROR(CD14/CI14-1,0)))</x:f>
        <x:v>0</x:v>
      </x:c>
      <x:c r="CK14" s="166" t="n">
        <x:v>0.0607</x:v>
      </x:c>
      <x:c r="CL14" s="172" t="n">
        <x:f>IF(CA14="","",IF(CK14="","",CK14-CJ14*365/CM14))</x:f>
        <x:v>0.0607</x:v>
      </x:c>
      <x:c r="CM14" s="164" t="n">
        <x:v>69</x:v>
      </x:c>
      <x:c r="CN14" s="172" t="n">
        <x:f>IF(CA14="","",IFERROR(CF14*(CE14/CD14-1),0))</x:f>
        <x:v>1.0243521864673135e-19</x:v>
      </x:c>
      <x:c r="CO14" s="147" t="str">
        <x:v>SI69K</x:v>
      </x:c>
      <x:c r="CP14" s="147" t="str">
        <x:v>Silver future (regular)</x:v>
      </x:c>
      <x:c r="CQ14" s="147" t="str">
        <x:v>Long</x:v>
      </x:c>
      <x:c r="CR14" s="167" t="n">
        <x:v>2.032</x:v>
      </x:c>
      <x:c r="CS14" s="167" t="n">
        <x:v>2.059</x:v>
      </x:c>
      <x:c r="CT14" s="166" t="n">
        <x:v>1.5897443086966965e-21</x:v>
      </x:c>
      <x:c r="CU14" s="171" t="n">
        <x:f>IF(CO14="","",IFERROR(F14*CT14/CR14,0))</x:f>
        <x:v>8.176130148813389e-22</x:v>
      </x:c>
      <x:c r="CV14" s="171" t="n">
        <x:f>IF(CO14="","",F14*ABS(CT14))</x:f>
        <x:v>1.6613896462388807e-21</x:v>
      </x:c>
      <x:c r="CW14" s="165" t="n">
        <x:v>1.994</x:v>
      </x:c>
      <x:c r="CX14" s="172" t="n">
        <x:f>IF(CO14="","",IF(CW14="","",IFERROR(CR14/CW14-1,0)))</x:f>
        <x:v>0.01905717151454356</x:v>
      </x:c>
      <x:c r="CY14" s="166" t="n">
        <x:v>0.06149120879120879</x:v>
      </x:c>
      <x:c r="CZ14" s="172" t="n">
        <x:f>IF(CO14="","",IF(CY14="","",CY14-CX14*365/DA14))</x:f>
        <x:v>0.008392982815572166</x:v>
      </x:c>
      <x:c r="DA14" s="164" t="n">
        <x:v>131</x:v>
      </x:c>
      <x:c r="DB14" s="172" t="n">
        <x:f>IF(CO14="","",IFERROR(CT14*(CS14/CR14-1),0))</x:f>
        <x:v>2.112357103091097e-23</x:v>
      </x:c>
      <x:c r="DC14" s="147"/>
      <x:c r="DD14" s="147"/>
      <x:c r="DE14" s="147"/>
      <x:c r="DF14" s="167"/>
      <x:c r="DG14" s="167"/>
      <x:c r="DH14" s="166"/>
      <x:c r="DI14" s="171" t="str">
        <x:f>IF(DC14="","",IFERROR(F14*DH14/DF14,0))</x:f>
      </x:c>
      <x:c r="DJ14" s="171" t="str">
        <x:f>IF(DC14="","",F14*ABS(DH14))</x:f>
      </x:c>
      <x:c r="DK14" s="165"/>
      <x:c r="DL14" s="172" t="str">
        <x:f>IF(DC14="","",IF(DK14="","",IFERROR(DF14/DK14-1,0)))</x:f>
      </x:c>
      <x:c r="DM14" s="166"/>
      <x:c r="DN14" s="172" t="str">
        <x:f>IF(DC14="","",IF(DM14="","",DM14-DL14*365/DO14))</x:f>
      </x:c>
      <x:c r="DO14" s="164"/>
      <x:c r="DP14" s="172" t="str">
        <x:f>IF(DC14="","",IFERROR(DH14*(DG14/DF14-1),0))</x:f>
      </x:c>
      <x:c r="DQ14" s="147"/>
      <x:c r="DR14" s="147"/>
      <x:c r="DS14" s="147"/>
      <x:c r="DT14" s="167"/>
      <x:c r="DU14" s="167"/>
      <x:c r="DV14" s="166"/>
      <x:c r="DW14" s="171" t="str">
        <x:f>IF(DQ14="","",IFERROR(F14*DV14/DT14,0))</x:f>
      </x:c>
      <x:c r="DX14" s="171" t="str">
        <x:f>IF(DQ14="","",F14*ABS(DV14))</x:f>
      </x:c>
      <x:c r="DY14" s="165"/>
      <x:c r="DZ14" s="172" t="str">
        <x:f>IF(DQ14="","",IF(DY14="","",IFERROR(DT14/DY14-1,0)))</x:f>
      </x:c>
      <x:c r="EA14" s="166"/>
      <x:c r="EB14" s="172" t="str">
        <x:f>IF(DQ14="","",IF(EA14="","",EA14-DZ14*365/EC14))</x:f>
      </x:c>
      <x:c r="EC14" s="164"/>
      <x:c r="ED14" s="172" t="str">
        <x:f>IF(DQ14="","",IFERROR(DV14*(DU14/DT14-1),0))</x:f>
      </x:c>
      <x:c r="EE14" s="147"/>
      <x:c r="EF14" s="147"/>
      <x:c r="EG14" s="147"/>
      <x:c r="EH14" s="167"/>
      <x:c r="EI14" s="167"/>
      <x:c r="EJ14" s="166"/>
      <x:c r="EK14" s="171" t="str">
        <x:f>IF(EE14="","",IFERROR(F14*EJ14/EH14,0))</x:f>
      </x:c>
      <x:c r="EL14" s="171" t="str">
        <x:f>IF(EE14="","",F14*ABS(EJ14))</x:f>
      </x:c>
      <x:c r="EM14" s="165"/>
      <x:c r="EN14" s="172" t="str">
        <x:f>IF(EE14="","",IF(EM14="","",IFERROR(EH14/EM14-1,0)))</x:f>
      </x:c>
      <x:c r="EO14" s="166"/>
      <x:c r="EP14" s="172" t="str">
        <x:f>IF(EE14="","",IF(EO14="","",EO14-EN14*365/EQ14))</x:f>
      </x:c>
      <x:c r="EQ14" s="164"/>
      <x:c r="ER14" s="172" t="str">
        <x:f>IF(EE14="","",IFERROR(EJ14*(EI14/EH14-1),0))</x:f>
      </x:c>
      <x:c r="ES14" s="147"/>
      <x:c r="ET14" s="147"/>
      <x:c r="EU14" s="147"/>
      <x:c r="EV14" s="167"/>
      <x:c r="EW14" s="167"/>
      <x:c r="EX14" s="166"/>
      <x:c r="EY14" s="171" t="str">
        <x:f>IF(ES14="","",IFERROR(F14*EX14/EV14,0))</x:f>
      </x:c>
      <x:c r="EZ14" s="171" t="str">
        <x:f>IF(ES14="","",F14*ABS(EX14))</x:f>
      </x:c>
      <x:c r="FA14" s="165"/>
      <x:c r="FB14" s="172" t="str">
        <x:f>IF(ES14="","",IF(FA14="","",IFERROR(EV14/FA14-1,0)))</x:f>
      </x:c>
      <x:c r="FC14" s="166"/>
      <x:c r="FD14" s="172" t="str">
        <x:f>IF(ES14="","",IF(FC14="","",FC14-FB14*365/FE14))</x:f>
      </x:c>
      <x:c r="FE14" s="164"/>
      <x:c r="FF14" s="172" t="str">
        <x:f>IF(ES14="","",IFERROR(EX14*(EW14/EV14-1),0))</x:f>
      </x:c>
      <x:c r="FG14" s="147"/>
      <x:c r="FH14" s="147"/>
      <x:c r="FI14" s="147"/>
      <x:c r="FJ14" s="167"/>
      <x:c r="FK14" s="167"/>
      <x:c r="FL14" s="166"/>
      <x:c r="FM14" s="171" t="str">
        <x:f>IF(FG14="","",IFERROR(F14*FL14/FJ14,0))</x:f>
      </x:c>
      <x:c r="FN14" s="171" t="str">
        <x:f>IF(FG14="","",F14*ABS(FL14))</x:f>
      </x:c>
      <x:c r="FO14" s="165"/>
      <x:c r="FP14" s="172" t="str">
        <x:f>IF(FG14="","",IF(FO14="","",IFERROR(FJ14/FO14-1,0)))</x:f>
      </x:c>
      <x:c r="FQ14" s="166"/>
      <x:c r="FR14" s="172" t="str">
        <x:f>IF(FG14="","",IF(FQ14="","",FQ14-FP14*365/FS14))</x:f>
      </x:c>
      <x:c r="FS14" s="164"/>
      <x:c r="FT14" s="172" t="str">
        <x:f>IF(FG14="","",IFERROR(FL14*(FK14/FJ14-1),0))</x:f>
      </x:c>
    </x:row>
    <x:row r="15" ht="18" customHeight="1">
      <x:c r="A15" s="163" t="n">
        <x:v>25223</x:v>
      </x:c>
      <x:c r="B15" s="163" t="n">
        <x:v>25224</x:v>
      </x:c>
      <x:c r="C15" s="170" t="n">
        <x:f>B15-A15</x:f>
        <x:v>1</x:v>
      </x:c>
      <x:c r="D15" s="163" t="n">
        <x:v>25223</x:v>
      </x:c>
      <x:c r="E15" s="147" t="str">
        <x:v>neutral</x:v>
      </x:c>
      <x:c r="F15" s="165" t="n">
        <x:v>1.0620421684900119</x:v>
      </x:c>
      <x:c r="G15" s="168" t="n">
        <x:v>0.010524745469284677</x:v>
      </x:c>
      <x:c r="H15" s="172" t="n">
        <x:f>SUM(AX15,BL15,BZ15,CN15,DB15,DP15,ED15,ER15,FF15,FT15)</x:f>
        <x:v>0.010524745469284677</x:v>
      </x:c>
      <x:c r="I15" s="174" t="n">
        <x:f>G15-H15</x:f>
        <x:v>0</x:v>
      </x:c>
      <x:c r="J15" s="171" t="n">
        <x:f>F15*(1+H15)</x:f>
        <x:v>1.0732198919910165</x:v>
      </x:c>
      <x:c r="K15" s="169" t="n">
        <x:v>1.0732198919910165</x:v>
      </x:c>
      <x:c r="L15" s="175" t="n">
        <x:f>K15-J15</x:f>
        <x:v>0</x:v>
      </x:c>
      <x:c r="M15" s="167" t="n">
        <x:v>1.994</x:v>
      </x:c>
      <x:c r="N15" s="167" t="n">
        <x:v>2.015</x:v>
      </x:c>
      <x:c r="O15" s="172" t="n">
        <x:f>IFERROR(N15/M15-1,0)</x:f>
        <x:v>0.010531594784353171</x:v>
      </x:c>
      <x:c r="P15" s="171" t="n">
        <x:f>IFERROR(AD15/AH15,0)</x:f>
        <x:v>1.0428678866115564</x:v>
      </x:c>
      <x:c r="Q15" s="171" t="n">
        <x:f>IFERROR(AE15/AI15,0)</x:f>
        <x:v>1.0428608181232804</x:v>
      </x:c>
      <x:c r="R15" s="172" t="n">
        <x:f>IFERROR((Q15-P15)/(P15+S15),0)</x:f>
        <x:v>-0.000006777932628644195</x:v>
      </x:c>
      <x:c r="S15" s="172" t="n">
        <x:f>IFERROR(AF15/AH15,0)</x:f>
        <x:v>0</x:v>
      </x:c>
      <x:c r="T15" s="172" t="n">
        <x:f>IFERROR(AG15/AI15,0)</x:f>
        <x:v>0</x:v>
      </x:c>
      <x:c r="U15" s="172" t="n">
        <x:f>IFERROR((T15-S15)/(P15+S15),0)</x:f>
        <x:v>0</x:v>
      </x:c>
      <x:c r="V15" s="172" t="n">
        <x:f>R15+U15</x:f>
        <x:v>-0.000006777932628644195</x:v>
      </x:c>
      <x:c r="W15" s="172" t="n">
        <x:f>(1+O15)*(1+V15)-1</x:f>
        <x:v>0.010524745469284724</x:v>
      </x:c>
      <x:c r="X15" s="174" t="n">
        <x:f>G15-W15</x:f>
        <x:v>-4.683753385137379e-17</x:v>
      </x:c>
      <x:c r="Y15" s="172" t="n">
        <x:f>AX15</x:f>
        <x:v>0.010524745469284677</x:v>
      </x:c>
      <x:c r="Z15" s="172" t="str">
        <x:f>BL15</x:f>
      </x:c>
      <x:c r="AA15" s="172" t="n">
        <x:f>SUM(BZ15,CN15,DB15,DP15,ED15,ER15,FF15,FT15)</x:f>
        <x:v>0</x:v>
      </x:c>
      <x:c r="AB15" s="172" t="n">
        <x:f>SUM(Y15:AA15)</x:f>
        <x:v>0.010524745469284677</x:v>
      </x:c>
      <x:c r="AC15" s="174" t="n">
        <x:f>G15-AB15</x:f>
        <x:v>0</x:v>
      </x:c>
      <x:c r="AD15" s="169" t="n">
        <x:v>1.0620421684900119</x:v>
      </x:c>
      <x:c r="AE15" s="169" t="n">
        <x:v>1.0732198919910163</x:v>
      </x:c>
      <x:c r="AF15" s="169" t="n">
        <x:v>0</x:v>
      </x:c>
      <x:c r="AG15" s="169" t="n">
        <x:v>0</x:v>
      </x:c>
      <x:c r="AH15" s="171" t="n">
        <x:f>M15/$M$3</x:f>
        <x:v>1.0183861082737486</x:v>
      </x:c>
      <x:c r="AI15" s="171" t="n">
        <x:f>N15/$M$3</x:f>
        <x:v>1.0291113381001022</x:v>
      </x:c>
      <x:c r="AJ15" s="170" t="n">
        <x:f>IF(AK15&lt;&gt;"",1,0)+IF(AY15&lt;&gt;"",1,0)+IF(BM15&lt;&gt;"",1,0)+IF(CA15&lt;&gt;"",1,0)+IF(CO15&lt;&gt;"",1,0)+IF(DC15&lt;&gt;"",1,0)+IF(DQ15&lt;&gt;"",1,0)+IF(EE15&lt;&gt;"",1,0)+IF(ES15&lt;&gt;"",1,0)+IF(FG15&lt;&gt;"",1,0)</x:f>
        <x:v>1</x:v>
      </x:c>
      <x:c r="AK15" s="147" t="str">
        <x:v>Silver replicating holding (LBMA/SLV proxy)</x:v>
      </x:c>
      <x:c r="AL15" s="147" t="str">
        <x:v>Physical-backed proxy</x:v>
      </x:c>
      <x:c r="AM15" s="147" t="str">
        <x:v>Long</x:v>
      </x:c>
      <x:c r="AN15" s="167" t="n">
        <x:v>1.994</x:v>
      </x:c>
      <x:c r="AO15" s="167" t="n">
        <x:v>2.015</x:v>
      </x:c>
      <x:c r="AP15" s="166" t="n">
        <x:v>1</x:v>
      </x:c>
      <x:c r="AQ15" s="171" t="n">
        <x:f>IF(AK15="","",IFERROR(F15*AP15/AN15,0))</x:f>
        <x:v>0.5326189410682106</x:v>
      </x:c>
      <x:c r="AR15" s="171" t="n">
        <x:f>IF(AK15="","",F15*ABS(AP15))</x:f>
        <x:v>1.0620421684900119</x:v>
      </x:c>
      <x:c r="AS15" s="165"/>
      <x:c r="AT15" s="172" t="str">
        <x:f>IF(AK15="","",IF(AS15="","",IFERROR(AN15/AS15-1,0)))</x:f>
      </x:c>
      <x:c r="AU15" s="166"/>
      <x:c r="AV15" s="172" t="str">
        <x:f>IF(AK15="","",IF(AU15="","",AU15-AT15*365/AW15))</x:f>
      </x:c>
      <x:c r="AW15" s="164"/>
      <x:c r="AX15" s="173" t="n">
        <x:f>IF(AK15="","",IFERROR(AP15*(AO15/AN15-1-'Parameters'!$C$6*C15/365),0))</x:f>
        <x:v>0.010524745469284677</x:v>
      </x:c>
      <x:c r="AY15" s="147"/>
      <x:c r="AZ15" s="147"/>
      <x:c r="BA15" s="147"/>
      <x:c r="BB15" s="167"/>
      <x:c r="BC15" s="167"/>
      <x:c r="BD15" s="166"/>
      <x:c r="BE15" s="171" t="str">
        <x:f>IF(AY15="","",IFERROR(F15*BD15/BB15,0))</x:f>
      </x:c>
      <x:c r="BF15" s="171" t="str">
        <x:f>IF(AY15="","",F15*ABS(BD15))</x:f>
      </x:c>
      <x:c r="BG15" s="165"/>
      <x:c r="BH15" s="172" t="str">
        <x:f>IF(AY15="","",IF(BG15="","",IFERROR(BB15/BG15-1,0)))</x:f>
      </x:c>
      <x:c r="BI15" s="166"/>
      <x:c r="BJ15" s="172" t="str">
        <x:f>IF(AY15="","",IF(BI15="","",BI15-BH15*365/BK15))</x:f>
      </x:c>
      <x:c r="BK15" s="164"/>
      <x:c r="BL15" s="172" t="str">
        <x:f>IF(AY15="","",IFERROR(BD15*(BC15/BB15-1),0))</x:f>
      </x:c>
      <x:c r="BM15" s="147"/>
      <x:c r="BN15" s="147"/>
      <x:c r="BO15" s="147"/>
      <x:c r="BP15" s="167"/>
      <x:c r="BQ15" s="167"/>
      <x:c r="BR15" s="166"/>
      <x:c r="BS15" s="171" t="str">
        <x:f>IF(BM15="","",IFERROR(F15*BR15/BP15,0))</x:f>
      </x:c>
      <x:c r="BT15" s="171" t="str">
        <x:f>IF(BM15="","",F15*ABS(BR15))</x:f>
      </x:c>
      <x:c r="BU15" s="165"/>
      <x:c r="BV15" s="172" t="str">
        <x:f>IF(BM15="","",IF(BU15="","",IFERROR(BP15/BU15-1,0)))</x:f>
      </x:c>
      <x:c r="BW15" s="166"/>
      <x:c r="BX15" s="172" t="str">
        <x:f>IF(BM15="","",IF(BW15="","",BW15-BV15*365/BY15))</x:f>
      </x:c>
      <x:c r="BY15" s="164"/>
      <x:c r="BZ15" s="172" t="str">
        <x:f>IF(BM15="","",IFERROR(BR15*(BQ15/BP15-1),0))</x:f>
      </x:c>
      <x:c r="CA15" s="147"/>
      <x:c r="CB15" s="147"/>
      <x:c r="CC15" s="147"/>
      <x:c r="CD15" s="167"/>
      <x:c r="CE15" s="167"/>
      <x:c r="CF15" s="166"/>
      <x:c r="CG15" s="171" t="str">
        <x:f>IF(CA15="","",IFERROR(F15*CF15/CD15,0))</x:f>
      </x:c>
      <x:c r="CH15" s="171" t="str">
        <x:f>IF(CA15="","",F15*ABS(CF15))</x:f>
      </x:c>
      <x:c r="CI15" s="165"/>
      <x:c r="CJ15" s="172" t="str">
        <x:f>IF(CA15="","",IF(CI15="","",IFERROR(CD15/CI15-1,0)))</x:f>
      </x:c>
      <x:c r="CK15" s="166"/>
      <x:c r="CL15" s="172" t="str">
        <x:f>IF(CA15="","",IF(CK15="","",CK15-CJ15*365/CM15))</x:f>
      </x:c>
      <x:c r="CM15" s="164"/>
      <x:c r="CN15" s="172" t="str">
        <x:f>IF(CA15="","",IFERROR(CF15*(CE15/CD15-1),0))</x:f>
      </x:c>
      <x:c r="CO15" s="147"/>
      <x:c r="CP15" s="147"/>
      <x:c r="CQ15" s="147"/>
      <x:c r="CR15" s="167"/>
      <x:c r="CS15" s="167"/>
      <x:c r="CT15" s="166"/>
      <x:c r="CU15" s="171" t="str">
        <x:f>IF(CO15="","",IFERROR(F15*CT15/CR15,0))</x:f>
      </x:c>
      <x:c r="CV15" s="171" t="str">
        <x:f>IF(CO15="","",F15*ABS(CT15))</x:f>
      </x:c>
      <x:c r="CW15" s="165"/>
      <x:c r="CX15" s="172" t="str">
        <x:f>IF(CO15="","",IF(CW15="","",IFERROR(CR15/CW15-1,0)))</x:f>
      </x:c>
      <x:c r="CY15" s="166"/>
      <x:c r="CZ15" s="172" t="str">
        <x:f>IF(CO15="","",IF(CY15="","",CY15-CX15*365/DA15))</x:f>
      </x:c>
      <x:c r="DA15" s="164"/>
      <x:c r="DB15" s="172" t="str">
        <x:f>IF(CO15="","",IFERROR(CT15*(CS15/CR15-1),0))</x:f>
      </x:c>
      <x:c r="DC15" s="147"/>
      <x:c r="DD15" s="147"/>
      <x:c r="DE15" s="147"/>
      <x:c r="DF15" s="167"/>
      <x:c r="DG15" s="167"/>
      <x:c r="DH15" s="166"/>
      <x:c r="DI15" s="171" t="str">
        <x:f>IF(DC15="","",IFERROR(F15*DH15/DF15,0))</x:f>
      </x:c>
      <x:c r="DJ15" s="171" t="str">
        <x:f>IF(DC15="","",F15*ABS(DH15))</x:f>
      </x:c>
      <x:c r="DK15" s="165"/>
      <x:c r="DL15" s="172" t="str">
        <x:f>IF(DC15="","",IF(DK15="","",IFERROR(DF15/DK15-1,0)))</x:f>
      </x:c>
      <x:c r="DM15" s="166"/>
      <x:c r="DN15" s="172" t="str">
        <x:f>IF(DC15="","",IF(DM15="","",DM15-DL15*365/DO15))</x:f>
      </x:c>
      <x:c r="DO15" s="164"/>
      <x:c r="DP15" s="172" t="str">
        <x:f>IF(DC15="","",IFERROR(DH15*(DG15/DF15-1),0))</x:f>
      </x:c>
      <x:c r="DQ15" s="147"/>
      <x:c r="DR15" s="147"/>
      <x:c r="DS15" s="147"/>
      <x:c r="DT15" s="167"/>
      <x:c r="DU15" s="167"/>
      <x:c r="DV15" s="166"/>
      <x:c r="DW15" s="171" t="str">
        <x:f>IF(DQ15="","",IFERROR(F15*DV15/DT15,0))</x:f>
      </x:c>
      <x:c r="DX15" s="171" t="str">
        <x:f>IF(DQ15="","",F15*ABS(DV15))</x:f>
      </x:c>
      <x:c r="DY15" s="165"/>
      <x:c r="DZ15" s="172" t="str">
        <x:f>IF(DQ15="","",IF(DY15="","",IFERROR(DT15/DY15-1,0)))</x:f>
      </x:c>
      <x:c r="EA15" s="166"/>
      <x:c r="EB15" s="172" t="str">
        <x:f>IF(DQ15="","",IF(EA15="","",EA15-DZ15*365/EC15))</x:f>
      </x:c>
      <x:c r="EC15" s="164"/>
      <x:c r="ED15" s="172" t="str">
        <x:f>IF(DQ15="","",IFERROR(DV15*(DU15/DT15-1),0))</x:f>
      </x:c>
      <x:c r="EE15" s="147"/>
      <x:c r="EF15" s="147"/>
      <x:c r="EG15" s="147"/>
      <x:c r="EH15" s="167"/>
      <x:c r="EI15" s="167"/>
      <x:c r="EJ15" s="166"/>
      <x:c r="EK15" s="171" t="str">
        <x:f>IF(EE15="","",IFERROR(F15*EJ15/EH15,0))</x:f>
      </x:c>
      <x:c r="EL15" s="171" t="str">
        <x:f>IF(EE15="","",F15*ABS(EJ15))</x:f>
      </x:c>
      <x:c r="EM15" s="165"/>
      <x:c r="EN15" s="172" t="str">
        <x:f>IF(EE15="","",IF(EM15="","",IFERROR(EH15/EM15-1,0)))</x:f>
      </x:c>
      <x:c r="EO15" s="166"/>
      <x:c r="EP15" s="172" t="str">
        <x:f>IF(EE15="","",IF(EO15="","",EO15-EN15*365/EQ15))</x:f>
      </x:c>
      <x:c r="EQ15" s="164"/>
      <x:c r="ER15" s="172" t="str">
        <x:f>IF(EE15="","",IFERROR(EJ15*(EI15/EH15-1),0))</x:f>
      </x:c>
      <x:c r="ES15" s="147"/>
      <x:c r="ET15" s="147"/>
      <x:c r="EU15" s="147"/>
      <x:c r="EV15" s="167"/>
      <x:c r="EW15" s="167"/>
      <x:c r="EX15" s="166"/>
      <x:c r="EY15" s="171" t="str">
        <x:f>IF(ES15="","",IFERROR(F15*EX15/EV15,0))</x:f>
      </x:c>
      <x:c r="EZ15" s="171" t="str">
        <x:f>IF(ES15="","",F15*ABS(EX15))</x:f>
      </x:c>
      <x:c r="FA15" s="165"/>
      <x:c r="FB15" s="172" t="str">
        <x:f>IF(ES15="","",IF(FA15="","",IFERROR(EV15/FA15-1,0)))</x:f>
      </x:c>
      <x:c r="FC15" s="166"/>
      <x:c r="FD15" s="172" t="str">
        <x:f>IF(ES15="","",IF(FC15="","",FC15-FB15*365/FE15))</x:f>
      </x:c>
      <x:c r="FE15" s="164"/>
      <x:c r="FF15" s="172" t="str">
        <x:f>IF(ES15="","",IFERROR(EX15*(EW15/EV15-1),0))</x:f>
      </x:c>
      <x:c r="FG15" s="147"/>
      <x:c r="FH15" s="147"/>
      <x:c r="FI15" s="147"/>
      <x:c r="FJ15" s="167"/>
      <x:c r="FK15" s="167"/>
      <x:c r="FL15" s="166"/>
      <x:c r="FM15" s="171" t="str">
        <x:f>IF(FG15="","",IFERROR(F15*FL15/FJ15,0))</x:f>
      </x:c>
      <x:c r="FN15" s="171" t="str">
        <x:f>IF(FG15="","",F15*ABS(FL15))</x:f>
      </x:c>
      <x:c r="FO15" s="165"/>
      <x:c r="FP15" s="172" t="str">
        <x:f>IF(FG15="","",IF(FO15="","",IFERROR(FJ15/FO15-1,0)))</x:f>
      </x:c>
      <x:c r="FQ15" s="166"/>
      <x:c r="FR15" s="172" t="str">
        <x:f>IF(FG15="","",IF(FQ15="","",FQ15-FP15*365/FS15))</x:f>
      </x:c>
      <x:c r="FS15" s="164"/>
      <x:c r="FT15" s="172" t="str">
        <x:f>IF(FG15="","",IFERROR(FL15*(FK15/FJ15-1),0))</x:f>
      </x:c>
    </x:row>
    <x:row r="16" ht="18" customHeight="1">
      <x:c r="A16" s="163" t="n">
        <x:v>25224</x:v>
      </x:c>
      <x:c r="B16" s="163" t="n">
        <x:v>25225</x:v>
      </x:c>
      <x:c r="C16" s="170" t="n">
        <x:f>B16-A16</x:f>
        <x:v>1</x:v>
      </x:c>
      <x:c r="D16" s="163" t="n">
        <x:v>25224</x:v>
      </x:c>
      <x:c r="E16" s="147" t="str">
        <x:v>positive</x:v>
      </x:c>
      <x:c r="F16" s="165" t="n">
        <x:v>1.0732198919910165</x:v>
      </x:c>
      <x:c r="G16" s="168" t="n">
        <x:v>-0.004843288102602075</x:v>
      </x:c>
      <x:c r="H16" s="172" t="n">
        <x:f>SUM(AX16,BL16,BZ16,CN16,DB16,DP16,ED16,ER16,FF16,FT16)</x:f>
        <x:v>-0.004843288102602123</x:v>
      </x:c>
      <x:c r="I16" s="174" t="n">
        <x:f>G16-H16</x:f>
        <x:v>4.85722573273506e-17</x:v>
      </x:c>
      <x:c r="J16" s="171" t="n">
        <x:f>F16*(1+H16)</x:f>
        <x:v>1.0680219788566605</x:v>
      </x:c>
      <x:c r="K16" s="169" t="n">
        <x:v>1.0680219788566605</x:v>
      </x:c>
      <x:c r="L16" s="175" t="n">
        <x:f>K16-J16</x:f>
        <x:v>0</x:v>
      </x:c>
      <x:c r="M16" s="167" t="n">
        <x:v>2.015</x:v>
      </x:c>
      <x:c r="N16" s="167" t="n">
        <x:v>2.002</x:v>
      </x:c>
      <x:c r="O16" s="172" t="n">
        <x:f>IFERROR(N16/M16-1,0)</x:f>
        <x:v>-0.006451612903225934</x:v>
      </x:c>
      <x:c r="P16" s="171" t="n">
        <x:f>IFERROR(AD16/AH16,0)</x:f>
        <x:v>1.0428608181232804</x:v>
      </x:c>
      <x:c r="Q16" s="171" t="n">
        <x:f>IFERROR(AE16/AI16,0)</x:f>
        <x:v>1.0445489683323383</x:v>
      </x:c>
      <x:c r="R16" s="172" t="n">
        <x:f>IFERROR((Q16-P16)/(P16+S16),0)</x:f>
        <x:v>0.0016187684681604657</x:v>
      </x:c>
      <x:c r="S16" s="172" t="n">
        <x:f>IFERROR(AF16/AH16,0)</x:f>
        <x:v>0</x:v>
      </x:c>
      <x:c r="T16" s="172" t="n">
        <x:f>IFERROR(AG16/AI16,0)</x:f>
        <x:v>0</x:v>
      </x:c>
      <x:c r="U16" s="172" t="n">
        <x:f>IFERROR((T16-S16)/(P16+S16),0)</x:f>
        <x:v>0</x:v>
      </x:c>
      <x:c r="V16" s="172" t="n">
        <x:f>R16+U16</x:f>
        <x:v>0.0016187684681604657</x:v>
      </x:c>
      <x:c r="W16" s="172" t="n">
        <x:f>(1+O16)*(1+V16)-1</x:f>
        <x:v>-0.004843288102601928</x:v>
      </x:c>
      <x:c r="X16" s="174" t="n">
        <x:f>G16-W16</x:f>
        <x:v>-1.465841337200402e-16</x:v>
      </x:c>
      <x:c r="Y16" s="172" t="n">
        <x:f>AX16</x:f>
        <x:v>-0.0035963480671480524</x:v>
      </x:c>
      <x:c r="Z16" s="172" t="n">
        <x:f>BL16</x:f>
        <x:v>0.0000739404783407427</x:v>
      </x:c>
      <x:c r="AA16" s="172" t="n">
        <x:f>SUM(BZ16,CN16,DB16,DP16,ED16,ER16,FF16,FT16)</x:f>
        <x:v>-0.0013208805137948135</x:v>
      </x:c>
      <x:c r="AB16" s="172" t="n">
        <x:f>SUM(Y16:AA16)</x:f>
        <x:v>-0.004843288102602123</x:v>
      </x:c>
      <x:c r="AC16" s="174" t="n">
        <x:f>G16-AB16</x:f>
        <x:v>4.85722573273506e-17</x:v>
      </x:c>
      <x:c r="AD16" s="169" t="n">
        <x:v>1.0732198919910163</x:v>
      </x:c>
      <x:c r="AE16" s="169" t="n">
        <x:v>1.0680219788566603</x:v>
      </x:c>
      <x:c r="AF16" s="169" t="n">
        <x:v>0</x:v>
      </x:c>
      <x:c r="AG16" s="169" t="n">
        <x:v>0</x:v>
      </x:c>
      <x:c r="AH16" s="171" t="n">
        <x:f>M16/$M$3</x:f>
        <x:v>1.0291113381001022</x:v>
      </x:c>
      <x:c r="AI16" s="171" t="n">
        <x:f>N16/$M$3</x:f>
        <x:v>1.0224719101123594</x:v>
      </x:c>
      <x:c r="AJ16" s="170" t="n">
        <x:f>IF(AK16&lt;&gt;"",1,0)+IF(AY16&lt;&gt;"",1,0)+IF(BM16&lt;&gt;"",1,0)+IF(CA16&lt;&gt;"",1,0)+IF(CO16&lt;&gt;"",1,0)+IF(DC16&lt;&gt;"",1,0)+IF(DQ16&lt;&gt;"",1,0)+IF(EE16&lt;&gt;"",1,0)+IF(ES16&lt;&gt;"",1,0)+IF(FG16&lt;&gt;"",1,0)</x:f>
        <x:v>4</x:v>
      </x:c>
      <x:c r="AK16" s="147" t="str">
        <x:v>Silver replicating holding (LBMA/SLV proxy)</x:v>
      </x:c>
      <x:c r="AL16" s="147" t="str">
        <x:v>Physical-backed proxy</x:v>
      </x:c>
      <x:c r="AM16" s="147" t="str">
        <x:v>Long</x:v>
      </x:c>
      <x:c r="AN16" s="167" t="n">
        <x:v>2.015</x:v>
      </x:c>
      <x:c r="AO16" s="167" t="n">
        <x:v>2.002</x:v>
      </x:c>
      <x:c r="AP16" s="166" t="n">
        <x:v>0.5568427817013364</x:v>
      </x:c>
      <x:c r="AQ16" s="171" t="n">
        <x:f>IF(AK16="","",IFERROR(F16*AP16/AN16,0))</x:f>
        <x:v>0.2965830024980076</x:v>
      </x:c>
      <x:c r="AR16" s="171" t="n">
        <x:f>IF(AK16="","",F16*ABS(AP16))</x:f>
        <x:v>0.5976147500334854</x:v>
      </x:c>
      <x:c r="AS16" s="165"/>
      <x:c r="AT16" s="172" t="str">
        <x:f>IF(AK16="","",IF(AS16="","",IFERROR(AN16/AS16-1,0)))</x:f>
      </x:c>
      <x:c r="AU16" s="166"/>
      <x:c r="AV16" s="172" t="str">
        <x:f>IF(AK16="","",IF(AU16="","",AU16-AT16*365/AW16))</x:f>
      </x:c>
      <x:c r="AW16" s="164"/>
      <x:c r="AX16" s="173" t="n">
        <x:f>IF(AK16="","",IFERROR(AP16*(AO16/AN16-1-'Parameters'!$C$6*C16/365),0))</x:f>
        <x:v>-0.0035963480671480524</x:v>
      </x:c>
      <x:c r="AY16" s="147" t="str">
        <x:v>Matched-maturity Treasury collateral</x:v>
      </x:c>
      <x:c r="AZ16" s="147" t="str">
        <x:v>Treasury</x:v>
      </x:c>
      <x:c r="BA16" s="147" t="str">
        <x:v>Long</x:v>
      </x:c>
      <x:c r="BB16" s="167" t="n">
        <x:v>100.31919618711306</x:v>
      </x:c>
      <x:c r="BC16" s="167" t="n">
        <x:v>100.3359343762851</x:v>
      </x:c>
      <x:c r="BD16" s="166" t="n">
        <x:v>0.44315721829866367</x:v>
      </x:c>
      <x:c r="BE16" s="171" t="n">
        <x:f>IF(AY16="","",IFERROR(F16*BD16/BB16,0))</x:f>
        <x:v>0.004740918588207618</x:v>
      </x:c>
      <x:c r="BF16" s="171" t="n">
        <x:f>IF(AY16="","",F16*ABS(BD16))</x:f>
        <x:v>0.4756051419575312</x:v>
      </x:c>
      <x:c r="BG16" s="165"/>
      <x:c r="BH16" s="172" t="str">
        <x:f>IF(AY16="","",IF(BG16="","",IFERROR(BB16/BG16-1,0)))</x:f>
      </x:c>
      <x:c r="BI16" s="166"/>
      <x:c r="BJ16" s="172" t="str">
        <x:f>IF(AY16="","",IF(BI16="","",BI16-BH16*365/BK16))</x:f>
      </x:c>
      <x:c r="BK16" s="164" t="n">
        <x:v>65.01438043270934</x:v>
      </x:c>
      <x:c r="BL16" s="172" t="n">
        <x:f>IF(AY16="","",IFERROR(BD16*(BC16/BB16-1),0))</x:f>
        <x:v>0.0000739404783407427</x:v>
      </x:c>
      <x:c r="BM16" s="147" t="str">
        <x:v>SI69H</x:v>
      </x:c>
      <x:c r="BN16" s="147" t="str">
        <x:v>Silver future (regular)</x:v>
      </x:c>
      <x:c r="BO16" s="147" t="str">
        <x:v>Long</x:v>
      </x:c>
      <x:c r="BP16" s="167" t="n">
        <x:v>2.013</x:v>
      </x:c>
      <x:c r="BQ16" s="167" t="n">
        <x:v>2.0069999999999997</x:v>
      </x:c>
      <x:c r="BR16" s="166" t="n">
        <x:v>0.4430544313219314</x:v>
      </x:c>
      <x:c r="BS16" s="171" t="n">
        <x:f>IF(BM16="","",IFERROR(F16*BR16/BP16,0))</x:f>
        <x:v>0.23621203622924217</x:v>
      </x:c>
      <x:c r="BT16" s="171" t="n">
        <x:f>IF(BM16="","",F16*ABS(BR16))</x:f>
        <x:v>0.4754948289294645</x:v>
      </x:c>
      <x:c r="BU16" s="165" t="n">
        <x:v>2.015</x:v>
      </x:c>
      <x:c r="BV16" s="172" t="n">
        <x:f>IF(BM16="","",IF(BU16="","",IFERROR(BP16/BU16-1,0)))</x:f>
        <x:v>-0.0009925558312656735</x:v>
      </x:c>
      <x:c r="BW16" s="166" t="n">
        <x:v>0.060899999999999996</x:v>
      </x:c>
      <x:c r="BX16" s="172" t="n">
        <x:f>IF(BM16="","",IF(BW16="","",BW16-BV16*365/BY16))</x:f>
        <x:v>0.06647358274479954</x:v>
      </x:c>
      <x:c r="BY16" s="164" t="n">
        <x:v>65</x:v>
      </x:c>
      <x:c r="BZ16" s="172" t="n">
        <x:f>IF(BM16="","",IFERROR(BR16*(BQ16/BP16-1),0))</x:f>
        <x:v>-0.001320579527040107</x:v>
      </x:c>
      <x:c r="CA16" s="147" t="str">
        <x:v>SI69K</x:v>
      </x:c>
      <x:c r="CB16" s="147" t="str">
        <x:v>Silver future (regular)</x:v>
      </x:c>
      <x:c r="CC16" s="147" t="str">
        <x:v>Long</x:v>
      </x:c>
      <x:c r="CD16" s="167" t="n">
        <x:v>2.049</x:v>
      </x:c>
      <x:c r="CE16" s="167" t="n">
        <x:v>2.043</x:v>
      </x:c>
      <x:c r="CF16" s="166" t="n">
        <x:v>0.00010278697673227057</x:v>
      </x:c>
      <x:c r="CG16" s="171" t="n">
        <x:f>IF(CA16="","",IFERROR(F16*CF16/CD16,0))</x:f>
        <x:v>0.000053837495396139854</x:v>
      </x:c>
      <x:c r="CH16" s="171" t="n">
        <x:f>IF(CA16="","",F16*ABS(CF16))</x:f>
        <x:v>0.00011031302806669056</x:v>
      </x:c>
      <x:c r="CI16" s="165" t="n">
        <x:v>2.015</x:v>
      </x:c>
      <x:c r="CJ16" s="172" t="n">
        <x:f>IF(CA16="","",IF(CI16="","",IFERROR(CD16/CI16-1,0)))</x:f>
        <x:v>0.01687344913151345</x:v>
      </x:c>
      <x:c r="CK16" s="166" t="n">
        <x:v>0.06133516483516484</x:v>
      </x:c>
      <x:c r="CL16" s="172" t="n">
        <x:f>IF(CA16="","",IF(CK16="","",CK16-CJ16*365/CM16))</x:f>
        <x:v>0.012840606307586808</x:v>
      </x:c>
      <x:c r="CM16" s="164" t="n">
        <x:v>127</x:v>
      </x:c>
      <x:c r="CN16" s="172" t="n">
        <x:f>IF(CA16="","",IFERROR(CF16*(CE16/CD16-1),0))</x:f>
        <x:v>-3.009867547064967e-7</x:v>
      </x:c>
      <x:c r="CO16" s="147"/>
      <x:c r="CP16" s="147"/>
      <x:c r="CQ16" s="147"/>
      <x:c r="CR16" s="167"/>
      <x:c r="CS16" s="167"/>
      <x:c r="CT16" s="166"/>
      <x:c r="CU16" s="171" t="str">
        <x:f>IF(CO16="","",IFERROR(F16*CT16/CR16,0))</x:f>
      </x:c>
      <x:c r="CV16" s="171" t="str">
        <x:f>IF(CO16="","",F16*ABS(CT16))</x:f>
      </x:c>
      <x:c r="CW16" s="165"/>
      <x:c r="CX16" s="172" t="str">
        <x:f>IF(CO16="","",IF(CW16="","",IFERROR(CR16/CW16-1,0)))</x:f>
      </x:c>
      <x:c r="CY16" s="166"/>
      <x:c r="CZ16" s="172" t="str">
        <x:f>IF(CO16="","",IF(CY16="","",CY16-CX16*365/DA16))</x:f>
      </x:c>
      <x:c r="DA16" s="164"/>
      <x:c r="DB16" s="172" t="str">
        <x:f>IF(CO16="","",IFERROR(CT16*(CS16/CR16-1),0))</x:f>
      </x:c>
      <x:c r="DC16" s="147"/>
      <x:c r="DD16" s="147"/>
      <x:c r="DE16" s="147"/>
      <x:c r="DF16" s="167"/>
      <x:c r="DG16" s="167"/>
      <x:c r="DH16" s="166"/>
      <x:c r="DI16" s="171" t="str">
        <x:f>IF(DC16="","",IFERROR(F16*DH16/DF16,0))</x:f>
      </x:c>
      <x:c r="DJ16" s="171" t="str">
        <x:f>IF(DC16="","",F16*ABS(DH16))</x:f>
      </x:c>
      <x:c r="DK16" s="165"/>
      <x:c r="DL16" s="172" t="str">
        <x:f>IF(DC16="","",IF(DK16="","",IFERROR(DF16/DK16-1,0)))</x:f>
      </x:c>
      <x:c r="DM16" s="166"/>
      <x:c r="DN16" s="172" t="str">
        <x:f>IF(DC16="","",IF(DM16="","",DM16-DL16*365/DO16))</x:f>
      </x:c>
      <x:c r="DO16" s="164"/>
      <x:c r="DP16" s="172" t="str">
        <x:f>IF(DC16="","",IFERROR(DH16*(DG16/DF16-1),0))</x:f>
      </x:c>
      <x:c r="DQ16" s="147"/>
      <x:c r="DR16" s="147"/>
      <x:c r="DS16" s="147"/>
      <x:c r="DT16" s="167"/>
      <x:c r="DU16" s="167"/>
      <x:c r="DV16" s="166"/>
      <x:c r="DW16" s="171" t="str">
        <x:f>IF(DQ16="","",IFERROR(F16*DV16/DT16,0))</x:f>
      </x:c>
      <x:c r="DX16" s="171" t="str">
        <x:f>IF(DQ16="","",F16*ABS(DV16))</x:f>
      </x:c>
      <x:c r="DY16" s="165"/>
      <x:c r="DZ16" s="172" t="str">
        <x:f>IF(DQ16="","",IF(DY16="","",IFERROR(DT16/DY16-1,0)))</x:f>
      </x:c>
      <x:c r="EA16" s="166"/>
      <x:c r="EB16" s="172" t="str">
        <x:f>IF(DQ16="","",IF(EA16="","",EA16-DZ16*365/EC16))</x:f>
      </x:c>
      <x:c r="EC16" s="164"/>
      <x:c r="ED16" s="172" t="str">
        <x:f>IF(DQ16="","",IFERROR(DV16*(DU16/DT16-1),0))</x:f>
      </x:c>
      <x:c r="EE16" s="147"/>
      <x:c r="EF16" s="147"/>
      <x:c r="EG16" s="147"/>
      <x:c r="EH16" s="167"/>
      <x:c r="EI16" s="167"/>
      <x:c r="EJ16" s="166"/>
      <x:c r="EK16" s="171" t="str">
        <x:f>IF(EE16="","",IFERROR(F16*EJ16/EH16,0))</x:f>
      </x:c>
      <x:c r="EL16" s="171" t="str">
        <x:f>IF(EE16="","",F16*ABS(EJ16))</x:f>
      </x:c>
      <x:c r="EM16" s="165"/>
      <x:c r="EN16" s="172" t="str">
        <x:f>IF(EE16="","",IF(EM16="","",IFERROR(EH16/EM16-1,0)))</x:f>
      </x:c>
      <x:c r="EO16" s="166"/>
      <x:c r="EP16" s="172" t="str">
        <x:f>IF(EE16="","",IF(EO16="","",EO16-EN16*365/EQ16))</x:f>
      </x:c>
      <x:c r="EQ16" s="164"/>
      <x:c r="ER16" s="172" t="str">
        <x:f>IF(EE16="","",IFERROR(EJ16*(EI16/EH16-1),0))</x:f>
      </x:c>
      <x:c r="ES16" s="147"/>
      <x:c r="ET16" s="147"/>
      <x:c r="EU16" s="147"/>
      <x:c r="EV16" s="167"/>
      <x:c r="EW16" s="167"/>
      <x:c r="EX16" s="166"/>
      <x:c r="EY16" s="171" t="str">
        <x:f>IF(ES16="","",IFERROR(F16*EX16/EV16,0))</x:f>
      </x:c>
      <x:c r="EZ16" s="171" t="str">
        <x:f>IF(ES16="","",F16*ABS(EX16))</x:f>
      </x:c>
      <x:c r="FA16" s="165"/>
      <x:c r="FB16" s="172" t="str">
        <x:f>IF(ES16="","",IF(FA16="","",IFERROR(EV16/FA16-1,0)))</x:f>
      </x:c>
      <x:c r="FC16" s="166"/>
      <x:c r="FD16" s="172" t="str">
        <x:f>IF(ES16="","",IF(FC16="","",FC16-FB16*365/FE16))</x:f>
      </x:c>
      <x:c r="FE16" s="164"/>
      <x:c r="FF16" s="172" t="str">
        <x:f>IF(ES16="","",IFERROR(EX16*(EW16/EV16-1),0))</x:f>
      </x:c>
      <x:c r="FG16" s="147"/>
      <x:c r="FH16" s="147"/>
      <x:c r="FI16" s="147"/>
      <x:c r="FJ16" s="167"/>
      <x:c r="FK16" s="167"/>
      <x:c r="FL16" s="166"/>
      <x:c r="FM16" s="171" t="str">
        <x:f>IF(FG16="","",IFERROR(F16*FL16/FJ16,0))</x:f>
      </x:c>
      <x:c r="FN16" s="171" t="str">
        <x:f>IF(FG16="","",F16*ABS(FL16))</x:f>
      </x:c>
      <x:c r="FO16" s="165"/>
      <x:c r="FP16" s="172" t="str">
        <x:f>IF(FG16="","",IF(FO16="","",IFERROR(FJ16/FO16-1,0)))</x:f>
      </x:c>
      <x:c r="FQ16" s="166"/>
      <x:c r="FR16" s="172" t="str">
        <x:f>IF(FG16="","",IF(FQ16="","",FQ16-FP16*365/FS16))</x:f>
      </x:c>
      <x:c r="FS16" s="164"/>
      <x:c r="FT16" s="172" t="str">
        <x:f>IF(FG16="","",IFERROR(FL16*(FK16/FJ16-1),0))</x:f>
      </x:c>
    </x:row>
    <x:row r="17" ht="18" customHeight="1">
      <x:c r="A17" s="163" t="n">
        <x:v>25225</x:v>
      </x:c>
      <x:c r="B17" s="163" t="n">
        <x:v>25226</x:v>
      </x:c>
      <x:c r="C17" s="170" t="n">
        <x:f>B17-A17</x:f>
        <x:v>1</x:v>
      </x:c>
      <x:c r="D17" s="163" t="n">
        <x:v>25225</x:v>
      </x:c>
      <x:c r="E17" s="147" t="str">
        <x:v>positive</x:v>
      </x:c>
      <x:c r="F17" s="165" t="n">
        <x:v>1.0680219788566605</x:v>
      </x:c>
      <x:c r="G17" s="168" t="n">
        <x:v>-0.010246789060479388</x:v>
      </x:c>
      <x:c r="H17" s="172" t="n">
        <x:f>SUM(AX17,BL17,BZ17,CN17,DB17,DP17,ED17,ER17,FF17,FT17)</x:f>
        <x:v>-0.010246789060479312</x:v>
      </x:c>
      <x:c r="I17" s="174" t="n">
        <x:f>G17-H17</x:f>
        <x:v>-7.632783294297951e-17</x:v>
      </x:c>
      <x:c r="J17" s="171" t="n">
        <x:f>F17*(1+H17)</x:f>
        <x:v>1.0570781829273606</x:v>
      </x:c>
      <x:c r="K17" s="169" t="n">
        <x:v>1.0570781829273606</x:v>
      </x:c>
      <x:c r="L17" s="175" t="n">
        <x:f>K17-J17</x:f>
        <x:v>0</x:v>
      </x:c>
      <x:c r="M17" s="167" t="n">
        <x:v>2.002</x:v>
      </x:c>
      <x:c r="N17" s="167" t="n">
        <x:v>1.982</x:v>
      </x:c>
      <x:c r="O17" s="172" t="n">
        <x:f>IFERROR(N17/M17-1,0)</x:f>
        <x:v>-0.009990009990009874</x:v>
      </x:c>
      <x:c r="P17" s="171" t="n">
        <x:f>IFERROR(AD17/AH17,0)</x:f>
        <x:v>1.0445489683323383</x:v>
      </x:c>
      <x:c r="Q17" s="171" t="n">
        <x:f>IFERROR(AE17/AI17,0)</x:f>
        <x:v>1.0442780434771803</x:v>
      </x:c>
      <x:c r="R17" s="172" t="n">
        <x:f>IFERROR((Q17-P17)/(P17+S17),0)</x:f>
        <x:v>-0.0002593701811706802</x:v>
      </x:c>
      <x:c r="S17" s="172" t="n">
        <x:f>IFERROR(AF17/AH17,0)</x:f>
        <x:v>0</x:v>
      </x:c>
      <x:c r="T17" s="172" t="n">
        <x:f>IFERROR(AG17/AI17,0)</x:f>
        <x:v>0</x:v>
      </x:c>
      <x:c r="U17" s="172" t="n">
        <x:f>IFERROR((T17-S17)/(P17+S17),0)</x:f>
        <x:v>0</x:v>
      </x:c>
      <x:c r="V17" s="172" t="n">
        <x:f>R17+U17</x:f>
        <x:v>-0.0002593701811706802</x:v>
      </x:c>
      <x:c r="W17" s="172" t="n">
        <x:f>(1+O17)*(1+V17)-1</x:f>
        <x:v>-0.0102467890604796</x:v>
      </x:c>
      <x:c r="X17" s="174" t="n">
        <x:f>G17-W17</x:f>
        <x:v>2.1163626406917047e-16</x:v>
      </x:c>
      <x:c r="Y17" s="172" t="n">
        <x:f>AX17</x:f>
        <x:v>-0.00686074916644354</x:v>
      </x:c>
      <x:c r="Z17" s="172" t="n">
        <x:f>BL17</x:f>
        <x:v>0.0000526860132334173</x:v>
      </x:c>
      <x:c r="AA17" s="172" t="n">
        <x:f>SUM(BZ17,CN17,DB17,DP17,ED17,ER17,FF17,FT17)</x:f>
        <x:v>-0.0034387259072691913</x:v>
      </x:c>
      <x:c r="AB17" s="172" t="n">
        <x:f>SUM(Y17:AA17)</x:f>
        <x:v>-0.010246789060479313</x:v>
      </x:c>
      <x:c r="AC17" s="174" t="n">
        <x:f>G17-AB17</x:f>
        <x:v>-7.45931094670027e-17</x:v>
      </x:c>
      <x:c r="AD17" s="169" t="n">
        <x:v>1.0680219788566603</x:v>
      </x:c>
      <x:c r="AE17" s="169" t="n">
        <x:v>1.0570781829273603</x:v>
      </x:c>
      <x:c r="AF17" s="169" t="n">
        <x:v>0</x:v>
      </x:c>
      <x:c r="AG17" s="169" t="n">
        <x:v>0</x:v>
      </x:c>
      <x:c r="AH17" s="171" t="n">
        <x:f>M17/$M$3</x:f>
        <x:v>1.0224719101123594</x:v>
      </x:c>
      <x:c r="AI17" s="171" t="n">
        <x:f>N17/$M$3</x:f>
        <x:v>1.0122574055158324</x:v>
      </x:c>
      <x:c r="AJ17" s="170" t="n">
        <x:f>IF(AK17&lt;&gt;"",1,0)+IF(AY17&lt;&gt;"",1,0)+IF(BM17&lt;&gt;"",1,0)+IF(CA17&lt;&gt;"",1,0)+IF(CO17&lt;&gt;"",1,0)+IF(DC17&lt;&gt;"",1,0)+IF(DQ17&lt;&gt;"",1,0)+IF(EE17&lt;&gt;"",1,0)+IF(ES17&lt;&gt;"",1,0)+IF(FG17&lt;&gt;"",1,0)</x:f>
        <x:v>4</x:v>
      </x:c>
      <x:c r="AK17" s="147" t="str">
        <x:v>Silver replicating holding (LBMA/SLV proxy)</x:v>
      </x:c>
      <x:c r="AL17" s="147" t="str">
        <x:v>Physical-backed proxy</x:v>
      </x:c>
      <x:c r="AM17" s="147" t="str">
        <x:v>Long</x:v>
      </x:c>
      <x:c r="AN17" s="167" t="n">
        <x:v>2.002</x:v>
      </x:c>
      <x:c r="AO17" s="167" t="n">
        <x:v>1.982</x:v>
      </x:c>
      <x:c r="AP17" s="166" t="n">
        <x:v>0.6862904595404583</x:v>
      </x:c>
      <x:c r="AQ17" s="171" t="n">
        <x:f>IF(AK17="","",IFERROR(F17*AP17/AN17,0))</x:f>
        <x:v>0.36612052680761603</x:v>
      </x:c>
      <x:c r="AR17" s="171" t="n">
        <x:f>IF(AK17="","",F17*ABS(AP17))</x:f>
        <x:v>0.7329732946688472</x:v>
      </x:c>
      <x:c r="AS17" s="165"/>
      <x:c r="AT17" s="172" t="str">
        <x:f>IF(AK17="","",IF(AS17="","",IFERROR(AN17/AS17-1,0)))</x:f>
      </x:c>
      <x:c r="AU17" s="166"/>
      <x:c r="AV17" s="172" t="str">
        <x:f>IF(AK17="","",IF(AU17="","",AU17-AT17*365/AW17))</x:f>
      </x:c>
      <x:c r="AW17" s="164"/>
      <x:c r="AX17" s="173" t="n">
        <x:f>IF(AK17="","",IFERROR(AP17*(AO17/AN17-1-'Parameters'!$C$6*C17/365),0))</x:f>
        <x:v>-0.00686074916644354</x:v>
      </x:c>
      <x:c r="AY17" s="147" t="str">
        <x:v>Matched-maturity Treasury collateral</x:v>
      </x:c>
      <x:c r="AZ17" s="147" t="str">
        <x:v>Treasury</x:v>
      </x:c>
      <x:c r="BA17" s="147" t="str">
        <x:v>Long</x:v>
      </x:c>
      <x:c r="BB17" s="167" t="n">
        <x:v>100.3359343762851</x:v>
      </x:c>
      <x:c r="BC17" s="167" t="n">
        <x:v>100.35278531540091</x:v>
      </x:c>
      <x:c r="BD17" s="166" t="n">
        <x:v>0.3137095404595416</x:v>
      </x:c>
      <x:c r="BE17" s="171" t="n">
        <x:f>IF(AY17="","",IFERROR(F17*BD17/BB17,0))</x:f>
        <x:v>0.0033392690890912125</x:v>
      </x:c>
      <x:c r="BF17" s="171" t="n">
        <x:f>IF(AY17="","",F17*ABS(BD17))</x:f>
        <x:v>0.3350486841878132</x:v>
      </x:c>
      <x:c r="BG17" s="165"/>
      <x:c r="BH17" s="172" t="str">
        <x:f>IF(AY17="","",IF(BG17="","",IFERROR(BB17/BG17-1,0)))</x:f>
      </x:c>
      <x:c r="BI17" s="166"/>
      <x:c r="BJ17" s="172" t="str">
        <x:f>IF(AY17="","",IF(BI17="","",BI17-BH17*365/BK17))</x:f>
      </x:c>
      <x:c r="BK17" s="164" t="n">
        <x:v>64.01254930955568</x:v>
      </x:c>
      <x:c r="BL17" s="172" t="n">
        <x:f>IF(AY17="","",IFERROR(BD17*(BC17/BB17-1),0))</x:f>
        <x:v>0.0000526860132334173</x:v>
      </x:c>
      <x:c r="BM17" s="147" t="str">
        <x:v>SI69H</x:v>
      </x:c>
      <x:c r="BN17" s="147" t="str">
        <x:v>Silver future (regular)</x:v>
      </x:c>
      <x:c r="BO17" s="147" t="str">
        <x:v>Long</x:v>
      </x:c>
      <x:c r="BP17" s="167" t="n">
        <x:v>2.0069999999999997</x:v>
      </x:c>
      <x:c r="BQ17" s="167" t="n">
        <x:v>1.985</x:v>
      </x:c>
      <x:c r="BR17" s="166" t="n">
        <x:v>0.3136460430702868</x:v>
      </x:c>
      <x:c r="BS17" s="171" t="n">
        <x:f>IF(BM17="","",IFERROR(F17*BR17/BP17,0))</x:f>
        <x:v>0.16690626187368668</x:v>
      </x:c>
      <x:c r="BT17" s="171" t="n">
        <x:f>IF(BM17="","",F17*ABS(BR17))</x:f>
        <x:v>0.3349808675804891</x:v>
      </x:c>
      <x:c r="BU17" s="165" t="n">
        <x:v>2.002</x:v>
      </x:c>
      <x:c r="BV17" s="172" t="n">
        <x:f>IF(BM17="","",IF(BU17="","",IFERROR(BP17/BU17-1,0)))</x:f>
        <x:v>0.0024975024975024684</x:v>
      </x:c>
      <x:c r="BW17" s="166" t="n">
        <x:v>0.0613</x:v>
      </x:c>
      <x:c r="BX17" s="172" t="n">
        <x:f>IF(BM17="","",IF(BW17="","",BW17-BV17*365/BY17))</x:f>
        <x:v>0.04705643106893123</x:v>
      </x:c>
      <x:c r="BY17" s="164" t="n">
        <x:v>64</x:v>
      </x:c>
      <x:c r="BZ17" s="172" t="n">
        <x:f>IF(BM17="","",IFERROR(BR17*(BQ17/BP17-1),0))</x:f>
        <x:v>-0.0034380732175118</x:v>
      </x:c>
      <x:c r="CA17" s="147" t="str">
        <x:v>SI69K</x:v>
      </x:c>
      <x:c r="CB17" s="147" t="str">
        <x:v>Silver future (regular)</x:v>
      </x:c>
      <x:c r="CC17" s="147" t="str">
        <x:v>Long</x:v>
      </x:c>
      <x:c r="CD17" s="167" t="n">
        <x:v>2.043</x:v>
      </x:c>
      <x:c r="CE17" s="167" t="n">
        <x:v>2.022</x:v>
      </x:c>
      <x:c r="CF17" s="166" t="n">
        <x:v>0.00006349738925477161</x:v>
      </x:c>
      <x:c r="CG17" s="171" t="n">
        <x:f>IF(CA17="","",IFERROR(F17*CF17/CD17,0))</x:f>
        <x:v>0.000033194619346114936</x:v>
      </x:c>
      <x:c r="CH17" s="171" t="n">
        <x:f>IF(CA17="","",F17*ABS(CF17))</x:f>
        <x:v>0.00006781660732411282</x:v>
      </x:c>
      <x:c r="CI17" s="165" t="n">
        <x:v>2.002</x:v>
      </x:c>
      <x:c r="CJ17" s="172" t="n">
        <x:f>IF(CA17="","",IF(CI17="","",IFERROR(CD17/CI17-1,0)))</x:f>
        <x:v>0.02047952047952073</x:v>
      </x:c>
      <x:c r="CK17" s="166" t="n">
        <x:v>0.06176153846153848</x:v>
      </x:c>
      <x:c r="CL17" s="172" t="n">
        <x:f>IF(CA17="","",IF(CK17="","",CK17-CJ17*365/CM17))</x:f>
        <x:v>0.002435943421656997</x:v>
      </x:c>
      <x:c r="CM17" s="164" t="n">
        <x:v>126</x:v>
      </x:c>
      <x:c r="CN17" s="172" t="n">
        <x:f>IF(CA17="","",IFERROR(CF17*(CE17/CD17-1),0))</x:f>
        <x:v>-6.526897573912035e-7</x:v>
      </x:c>
      <x:c r="CO17" s="147"/>
      <x:c r="CP17" s="147"/>
      <x:c r="CQ17" s="147"/>
      <x:c r="CR17" s="167"/>
      <x:c r="CS17" s="167"/>
      <x:c r="CT17" s="166"/>
      <x:c r="CU17" s="171" t="str">
        <x:f>IF(CO17="","",IFERROR(F17*CT17/CR17,0))</x:f>
      </x:c>
      <x:c r="CV17" s="171" t="str">
        <x:f>IF(CO17="","",F17*ABS(CT17))</x:f>
      </x:c>
      <x:c r="CW17" s="165"/>
      <x:c r="CX17" s="172" t="str">
        <x:f>IF(CO17="","",IF(CW17="","",IFERROR(CR17/CW17-1,0)))</x:f>
      </x:c>
      <x:c r="CY17" s="166"/>
      <x:c r="CZ17" s="172" t="str">
        <x:f>IF(CO17="","",IF(CY17="","",CY17-CX17*365/DA17))</x:f>
      </x:c>
      <x:c r="DA17" s="164"/>
      <x:c r="DB17" s="172" t="str">
        <x:f>IF(CO17="","",IFERROR(CT17*(CS17/CR17-1),0))</x:f>
      </x:c>
      <x:c r="DC17" s="147"/>
      <x:c r="DD17" s="147"/>
      <x:c r="DE17" s="147"/>
      <x:c r="DF17" s="167"/>
      <x:c r="DG17" s="167"/>
      <x:c r="DH17" s="166"/>
      <x:c r="DI17" s="171" t="str">
        <x:f>IF(DC17="","",IFERROR(F17*DH17/DF17,0))</x:f>
      </x:c>
      <x:c r="DJ17" s="171" t="str">
        <x:f>IF(DC17="","",F17*ABS(DH17))</x:f>
      </x:c>
      <x:c r="DK17" s="165"/>
      <x:c r="DL17" s="172" t="str">
        <x:f>IF(DC17="","",IF(DK17="","",IFERROR(DF17/DK17-1,0)))</x:f>
      </x:c>
      <x:c r="DM17" s="166"/>
      <x:c r="DN17" s="172" t="str">
        <x:f>IF(DC17="","",IF(DM17="","",DM17-DL17*365/DO17))</x:f>
      </x:c>
      <x:c r="DO17" s="164"/>
      <x:c r="DP17" s="172" t="str">
        <x:f>IF(DC17="","",IFERROR(DH17*(DG17/DF17-1),0))</x:f>
      </x:c>
      <x:c r="DQ17" s="147"/>
      <x:c r="DR17" s="147"/>
      <x:c r="DS17" s="147"/>
      <x:c r="DT17" s="167"/>
      <x:c r="DU17" s="167"/>
      <x:c r="DV17" s="166"/>
      <x:c r="DW17" s="171" t="str">
        <x:f>IF(DQ17="","",IFERROR(F17*DV17/DT17,0))</x:f>
      </x:c>
      <x:c r="DX17" s="171" t="str">
        <x:f>IF(DQ17="","",F17*ABS(DV17))</x:f>
      </x:c>
      <x:c r="DY17" s="165"/>
      <x:c r="DZ17" s="172" t="str">
        <x:f>IF(DQ17="","",IF(DY17="","",IFERROR(DT17/DY17-1,0)))</x:f>
      </x:c>
      <x:c r="EA17" s="166"/>
      <x:c r="EB17" s="172" t="str">
        <x:f>IF(DQ17="","",IF(EA17="","",EA17-DZ17*365/EC17))</x:f>
      </x:c>
      <x:c r="EC17" s="164"/>
      <x:c r="ED17" s="172" t="str">
        <x:f>IF(DQ17="","",IFERROR(DV17*(DU17/DT17-1),0))</x:f>
      </x:c>
      <x:c r="EE17" s="147"/>
      <x:c r="EF17" s="147"/>
      <x:c r="EG17" s="147"/>
      <x:c r="EH17" s="167"/>
      <x:c r="EI17" s="167"/>
      <x:c r="EJ17" s="166"/>
      <x:c r="EK17" s="171" t="str">
        <x:f>IF(EE17="","",IFERROR(F17*EJ17/EH17,0))</x:f>
      </x:c>
      <x:c r="EL17" s="171" t="str">
        <x:f>IF(EE17="","",F17*ABS(EJ17))</x:f>
      </x:c>
      <x:c r="EM17" s="165"/>
      <x:c r="EN17" s="172" t="str">
        <x:f>IF(EE17="","",IF(EM17="","",IFERROR(EH17/EM17-1,0)))</x:f>
      </x:c>
      <x:c r="EO17" s="166"/>
      <x:c r="EP17" s="172" t="str">
        <x:f>IF(EE17="","",IF(EO17="","",EO17-EN17*365/EQ17))</x:f>
      </x:c>
      <x:c r="EQ17" s="164"/>
      <x:c r="ER17" s="172" t="str">
        <x:f>IF(EE17="","",IFERROR(EJ17*(EI17/EH17-1),0))</x:f>
      </x:c>
      <x:c r="ES17" s="147"/>
      <x:c r="ET17" s="147"/>
      <x:c r="EU17" s="147"/>
      <x:c r="EV17" s="167"/>
      <x:c r="EW17" s="167"/>
      <x:c r="EX17" s="166"/>
      <x:c r="EY17" s="171" t="str">
        <x:f>IF(ES17="","",IFERROR(F17*EX17/EV17,0))</x:f>
      </x:c>
      <x:c r="EZ17" s="171" t="str">
        <x:f>IF(ES17="","",F17*ABS(EX17))</x:f>
      </x:c>
      <x:c r="FA17" s="165"/>
      <x:c r="FB17" s="172" t="str">
        <x:f>IF(ES17="","",IF(FA17="","",IFERROR(EV17/FA17-1,0)))</x:f>
      </x:c>
      <x:c r="FC17" s="166"/>
      <x:c r="FD17" s="172" t="str">
        <x:f>IF(ES17="","",IF(FC17="","",FC17-FB17*365/FE17))</x:f>
      </x:c>
      <x:c r="FE17" s="164"/>
      <x:c r="FF17" s="172" t="str">
        <x:f>IF(ES17="","",IFERROR(EX17*(EW17/EV17-1),0))</x:f>
      </x:c>
      <x:c r="FG17" s="147"/>
      <x:c r="FH17" s="147"/>
      <x:c r="FI17" s="147"/>
      <x:c r="FJ17" s="167"/>
      <x:c r="FK17" s="167"/>
      <x:c r="FL17" s="166"/>
      <x:c r="FM17" s="171" t="str">
        <x:f>IF(FG17="","",IFERROR(F17*FL17/FJ17,0))</x:f>
      </x:c>
      <x:c r="FN17" s="171" t="str">
        <x:f>IF(FG17="","",F17*ABS(FL17))</x:f>
      </x:c>
      <x:c r="FO17" s="165"/>
      <x:c r="FP17" s="172" t="str">
        <x:f>IF(FG17="","",IF(FO17="","",IFERROR(FJ17/FO17-1,0)))</x:f>
      </x:c>
      <x:c r="FQ17" s="166"/>
      <x:c r="FR17" s="172" t="str">
        <x:f>IF(FG17="","",IF(FQ17="","",FQ17-FP17*365/FS17))</x:f>
      </x:c>
      <x:c r="FS17" s="164"/>
      <x:c r="FT17" s="172" t="str">
        <x:f>IF(FG17="","",IFERROR(FL17*(FK17/FJ17-1),0))</x:f>
      </x:c>
    </x:row>
    <x:row r="18" ht="18" customHeight="1">
      <x:c r="A18" s="163" t="n">
        <x:v>25226</x:v>
      </x:c>
      <x:c r="B18" s="163" t="n">
        <x:v>25227</x:v>
      </x:c>
      <x:c r="C18" s="170" t="n">
        <x:f>B18-A18</x:f>
        <x:v>1</x:v>
      </x:c>
      <x:c r="D18" s="163" t="n">
        <x:v>25226</x:v>
      </x:c>
      <x:c r="E18" s="147" t="str">
        <x:v>positive</x:v>
      </x:c>
      <x:c r="F18" s="165" t="n">
        <x:v>1.0570781829273606</x:v>
      </x:c>
      <x:c r="G18" s="168" t="n">
        <x:v>0.006274416423031035</x:v>
      </x:c>
      <x:c r="H18" s="172" t="n">
        <x:f>SUM(AX18,BL18,BZ18,CN18,DB18,DP18,ED18,ER18,FF18,FT18)</x:f>
        <x:v>0.006274416423031054</x:v>
      </x:c>
      <x:c r="I18" s="174" t="n">
        <x:f>G18-H18</x:f>
        <x:v>-1.9081958235744878e-17</x:v>
      </x:c>
      <x:c r="J18" s="171" t="n">
        <x:f>F18*(1+H18)</x:f>
        <x:v>1.0637107316387477</x:v>
      </x:c>
      <x:c r="K18" s="169" t="n">
        <x:v>1.0637107316387477</x:v>
      </x:c>
      <x:c r="L18" s="175" t="n">
        <x:f>K18-J18</x:f>
        <x:v>0</x:v>
      </x:c>
      <x:c r="M18" s="167" t="n">
        <x:v>1.982</x:v>
      </x:c>
      <x:c r="N18" s="167" t="n">
        <x:v>1.988</x:v>
      </x:c>
      <x:c r="O18" s="172" t="n">
        <x:f>IFERROR(N18/M18-1,0)</x:f>
        <x:v>0.003027245206861817</x:v>
      </x:c>
      <x:c r="P18" s="171" t="n">
        <x:f>IFERROR(AD18/AH18,0)</x:f>
        <x:v>1.0442780434771803</x:v>
      </x:c>
      <x:c r="Q18" s="171" t="n">
        <x:f>IFERROR(AE18/AI18,0)</x:f>
        <x:v>1.0476587588272976</x:v>
      </x:c>
      <x:c r="R18" s="172" t="n">
        <x:f>IFERROR((Q18-P18)/(P18+S18),0)</x:f>
        <x:v>0.003237370900627557</x:v>
      </x:c>
      <x:c r="S18" s="172" t="n">
        <x:f>IFERROR(AF18/AH18,0)</x:f>
        <x:v>0</x:v>
      </x:c>
      <x:c r="T18" s="172" t="n">
        <x:f>IFERROR(AG18/AI18,0)</x:f>
        <x:v>0</x:v>
      </x:c>
      <x:c r="U18" s="172" t="n">
        <x:f>IFERROR((T18-S18)/(P18+S18),0)</x:f>
        <x:v>0</x:v>
      </x:c>
      <x:c r="V18" s="172" t="n">
        <x:f>R18+U18</x:f>
        <x:v>0.003237370900627557</x:v>
      </x:c>
      <x:c r="W18" s="172" t="n">
        <x:f>(1+O18)*(1+V18)-1</x:f>
        <x:v>0.0062744164230310595</x:v>
      </x:c>
      <x:c r="X18" s="174" t="n">
        <x:f>G18-W18</x:f>
        <x:v>-2.42861286636753e-17</x:v>
      </x:c>
      <x:c r="Y18" s="172" t="n">
        <x:f>AX18</x:f>
        <x:v>0.0019566003931817126</x:v>
      </x:c>
      <x:c r="Z18" s="172" t="n">
        <x:f>BL18</x:f>
        <x:v>0.00005944045499297754</x:v>
      </x:c>
      <x:c r="AA18" s="172" t="n">
        <x:f>SUM(BZ18,CN18,DB18,DP18,ED18,ER18,FF18,FT18)</x:f>
        <x:v>0.004258375574856365</x:v>
      </x:c>
      <x:c r="AB18" s="172" t="n">
        <x:f>SUM(Y18:AA18)</x:f>
        <x:v>0.006274416423031054</x:v>
      </x:c>
      <x:c r="AC18" s="174" t="n">
        <x:f>G18-AB18</x:f>
        <x:v>-1.9081958235744878e-17</x:v>
      </x:c>
      <x:c r="AD18" s="169" t="n">
        <x:v>1.0570781829273603</x:v>
      </x:c>
      <x:c r="AE18" s="169" t="n">
        <x:v>1.0637107316387475</x:v>
      </x:c>
      <x:c r="AF18" s="169" t="n">
        <x:v>0</x:v>
      </x:c>
      <x:c r="AG18" s="169" t="n">
        <x:v>0</x:v>
      </x:c>
      <x:c r="AH18" s="171" t="n">
        <x:f>M18/$M$3</x:f>
        <x:v>1.0122574055158324</x:v>
      </x:c>
      <x:c r="AI18" s="171" t="n">
        <x:f>N18/$M$3</x:f>
        <x:v>1.0153217568947905</x:v>
      </x:c>
      <x:c r="AJ18" s="170" t="n">
        <x:f>IF(AK18&lt;&gt;"",1,0)+IF(AY18&lt;&gt;"",1,0)+IF(BM18&lt;&gt;"",1,0)+IF(CA18&lt;&gt;"",1,0)+IF(CO18&lt;&gt;"",1,0)+IF(DC18&lt;&gt;"",1,0)+IF(DQ18&lt;&gt;"",1,0)+IF(EE18&lt;&gt;"",1,0)+IF(ES18&lt;&gt;"",1,0)+IF(FG18&lt;&gt;"",1,0)</x:f>
        <x:v>4</x:v>
      </x:c>
      <x:c r="AK18" s="147" t="str">
        <x:v>Silver replicating holding (LBMA/SLV proxy)</x:v>
      </x:c>
      <x:c r="AL18" s="147" t="str">
        <x:v>Physical-backed proxy</x:v>
      </x:c>
      <x:c r="AM18" s="147" t="str">
        <x:v>Long</x:v>
      </x:c>
      <x:c r="AN18" s="167" t="n">
        <x:v>1.982</x:v>
      </x:c>
      <x:c r="AO18" s="167" t="n">
        <x:v>1.988</x:v>
      </x:c>
      <x:c r="AP18" s="166" t="n">
        <x:v>0.6477960053177018</x:v>
      </x:c>
      <x:c r="AQ18" s="171" t="n">
        <x:f>IF(AK18="","",IFERROR(F18*AP18/AN18,0))</x:f>
        <x:v>0.3454949668056705</x:v>
      </x:c>
      <x:c r="AR18" s="171" t="n">
        <x:f>IF(AK18="","",F18*ABS(AP18))</x:f>
        <x:v>0.684771024208839</x:v>
      </x:c>
      <x:c r="AS18" s="165"/>
      <x:c r="AT18" s="172" t="str">
        <x:f>IF(AK18="","",IF(AS18="","",IFERROR(AN18/AS18-1,0)))</x:f>
      </x:c>
      <x:c r="AU18" s="166"/>
      <x:c r="AV18" s="172" t="str">
        <x:f>IF(AK18="","",IF(AU18="","",AU18-AT18*365/AW18))</x:f>
      </x:c>
      <x:c r="AW18" s="164"/>
      <x:c r="AX18" s="173" t="n">
        <x:f>IF(AK18="","",IFERROR(AP18*(AO18/AN18-1-'Parameters'!$C$6*C18/365),0))</x:f>
        <x:v>0.0019566003931817126</x:v>
      </x:c>
      <x:c r="AY18" s="147" t="str">
        <x:v>Matched-maturity Treasury collateral</x:v>
      </x:c>
      <x:c r="AZ18" s="147" t="str">
        <x:v>Treasury</x:v>
      </x:c>
      <x:c r="BA18" s="147" t="str">
        <x:v>Long</x:v>
      </x:c>
      <x:c r="BB18" s="167" t="n">
        <x:v>100.35278531540091</x:v>
      </x:c>
      <x:c r="BC18" s="167" t="n">
        <x:v>100.3697215662925</x:v>
      </x:c>
      <x:c r="BD18" s="166" t="n">
        <x:v>0.35220399468229824</x:v>
      </x:c>
      <x:c r="BE18" s="171" t="n">
        <x:f>IF(AY18="","",IFERROR(F18*BD18/BB18,0))</x:f>
        <x:v>0.0037099833108606753</x:v>
      </x:c>
      <x:c r="BF18" s="171" t="n">
        <x:f>IF(AY18="","",F18*ABS(BD18))</x:f>
        <x:v>0.3723071587185216</x:v>
      </x:c>
      <x:c r="BG18" s="165"/>
      <x:c r="BH18" s="172" t="str">
        <x:f>IF(AY18="","",IF(BG18="","",IFERROR(BB18/BG18-1,0)))</x:f>
      </x:c>
      <x:c r="BI18" s="166"/>
      <x:c r="BJ18" s="172" t="str">
        <x:f>IF(AY18="","",IF(BI18="","",BI18-BH18*365/BK18))</x:f>
      </x:c>
      <x:c r="BK18" s="164" t="n">
        <x:v>63.0081595108772</x:v>
      </x:c>
      <x:c r="BL18" s="172" t="n">
        <x:f>IF(AY18="","",IFERROR(BD18*(BC18/BB18-1),0))</x:f>
        <x:v>0.00005944045499297754</x:v>
      </x:c>
      <x:c r="BM18" s="147" t="str">
        <x:v>SI69H</x:v>
      </x:c>
      <x:c r="BN18" s="147" t="str">
        <x:v>Silver future (regular)</x:v>
      </x:c>
      <x:c r="BO18" s="147" t="str">
        <x:v>Long</x:v>
      </x:c>
      <x:c r="BP18" s="167" t="n">
        <x:v>1.985</x:v>
      </x:c>
      <x:c r="BQ18" s="167" t="n">
        <x:v>2.009</x:v>
      </x:c>
      <x:c r="BR18" s="166" t="n">
        <x:v>0.3521576428705949</x:v>
      </x:c>
      <x:c r="BS18" s="171" t="n">
        <x:f>IF(BM18="","",IFERROR(F18*BR18/BP18,0))</x:f>
        <x:v>0.18753559759679134</x:v>
      </x:c>
      <x:c r="BT18" s="171" t="n">
        <x:f>IF(BM18="","",F18*ABS(BR18))</x:f>
        <x:v>0.37225816122963085</x:v>
      </x:c>
      <x:c r="BU18" s="165" t="n">
        <x:v>1.982</x:v>
      </x:c>
      <x:c r="BV18" s="172" t="n">
        <x:f>IF(BM18="","",IF(BU18="","",IFERROR(BP18/BU18-1,0)))</x:f>
        <x:v>0.0015136226034309086</x:v>
      </x:c>
      <x:c r="BW18" s="166" t="n">
        <x:v>0.0616</x:v>
      </x:c>
      <x:c r="BX18" s="172" t="n">
        <x:f>IF(BM18="","",IF(BW18="","",BW18-BV18*365/BY18))</x:f>
        <x:v>0.05283059920234474</x:v>
      </x:c>
      <x:c r="BY18" s="164" t="n">
        <x:v>63</x:v>
      </x:c>
      <x:c r="BZ18" s="172" t="n">
        <x:f>IF(BM18="","",IFERROR(BR18*(BQ18/BP18-1),0))</x:f>
        <x:v>0.004257825404984515</x:v>
      </x:c>
      <x:c r="CA18" s="147" t="str">
        <x:v>SI69K</x:v>
      </x:c>
      <x:c r="CB18" s="147" t="str">
        <x:v>Silver future (regular)</x:v>
      </x:c>
      <x:c r="CC18" s="147" t="str">
        <x:v>Long</x:v>
      </x:c>
      <x:c r="CD18" s="167" t="n">
        <x:v>2.022</x:v>
      </x:c>
      <x:c r="CE18" s="167" t="n">
        <x:v>2.046</x:v>
      </x:c>
      <x:c r="CF18" s="166" t="n">
        <x:v>0.00004635181170329867</x:v>
      </x:c>
      <x:c r="CG18" s="171" t="n">
        <x:f>IF(CA18="","",IFERROR(F18*CF18/CD18,0))</x:f>
        <x:v>0.000024232190351490668</x:v>
      </x:c>
      <x:c r="CH18" s="171" t="n">
        <x:f>IF(CA18="","",F18*ABS(CF18))</x:f>
        <x:v>0.000048997488890714125</x:v>
      </x:c>
      <x:c r="CI18" s="165" t="n">
        <x:v>1.982</x:v>
      </x:c>
      <x:c r="CJ18" s="172" t="n">
        <x:f>IF(CA18="","",IF(CI18="","",IFERROR(CD18/CI18-1,0)))</x:f>
        <x:v>0.020181634712411523</x:v>
      </x:c>
      <x:c r="CK18" s="166" t="n">
        <x:v>0.06208571428571428</x:v>
      </x:c>
      <x:c r="CL18" s="172" t="n">
        <x:f>IF(CA18="","",IF(CK18="","",CK18-CJ18*365/CM18))</x:f>
        <x:v>0.0031553409254726356</x:v>
      </x:c>
      <x:c r="CM18" s="164" t="n">
        <x:v>125</x:v>
      </x:c>
      <x:c r="CN18" s="172" t="n">
        <x:f>IF(CA18="","",IFERROR(CF18*(CE18/CD18-1),0))</x:f>
        <x:v>5.501698718492408e-7</x:v>
      </x:c>
      <x:c r="CO18" s="147"/>
      <x:c r="CP18" s="147"/>
      <x:c r="CQ18" s="147"/>
      <x:c r="CR18" s="167"/>
      <x:c r="CS18" s="167"/>
      <x:c r="CT18" s="166"/>
      <x:c r="CU18" s="171" t="str">
        <x:f>IF(CO18="","",IFERROR(F18*CT18/CR18,0))</x:f>
      </x:c>
      <x:c r="CV18" s="171" t="str">
        <x:f>IF(CO18="","",F18*ABS(CT18))</x:f>
      </x:c>
      <x:c r="CW18" s="165"/>
      <x:c r="CX18" s="172" t="str">
        <x:f>IF(CO18="","",IF(CW18="","",IFERROR(CR18/CW18-1,0)))</x:f>
      </x:c>
      <x:c r="CY18" s="166"/>
      <x:c r="CZ18" s="172" t="str">
        <x:f>IF(CO18="","",IF(CY18="","",CY18-CX18*365/DA18))</x:f>
      </x:c>
      <x:c r="DA18" s="164"/>
      <x:c r="DB18" s="172" t="str">
        <x:f>IF(CO18="","",IFERROR(CT18*(CS18/CR18-1),0))</x:f>
      </x:c>
      <x:c r="DC18" s="147"/>
      <x:c r="DD18" s="147"/>
      <x:c r="DE18" s="147"/>
      <x:c r="DF18" s="167"/>
      <x:c r="DG18" s="167"/>
      <x:c r="DH18" s="166"/>
      <x:c r="DI18" s="171" t="str">
        <x:f>IF(DC18="","",IFERROR(F18*DH18/DF18,0))</x:f>
      </x:c>
      <x:c r="DJ18" s="171" t="str">
        <x:f>IF(DC18="","",F18*ABS(DH18))</x:f>
      </x:c>
      <x:c r="DK18" s="165"/>
      <x:c r="DL18" s="172" t="str">
        <x:f>IF(DC18="","",IF(DK18="","",IFERROR(DF18/DK18-1,0)))</x:f>
      </x:c>
      <x:c r="DM18" s="166"/>
      <x:c r="DN18" s="172" t="str">
        <x:f>IF(DC18="","",IF(DM18="","",DM18-DL18*365/DO18))</x:f>
      </x:c>
      <x:c r="DO18" s="164"/>
      <x:c r="DP18" s="172" t="str">
        <x:f>IF(DC18="","",IFERROR(DH18*(DG18/DF18-1),0))</x:f>
      </x:c>
      <x:c r="DQ18" s="147"/>
      <x:c r="DR18" s="147"/>
      <x:c r="DS18" s="147"/>
      <x:c r="DT18" s="167"/>
      <x:c r="DU18" s="167"/>
      <x:c r="DV18" s="166"/>
      <x:c r="DW18" s="171" t="str">
        <x:f>IF(DQ18="","",IFERROR(F18*DV18/DT18,0))</x:f>
      </x:c>
      <x:c r="DX18" s="171" t="str">
        <x:f>IF(DQ18="","",F18*ABS(DV18))</x:f>
      </x:c>
      <x:c r="DY18" s="165"/>
      <x:c r="DZ18" s="172" t="str">
        <x:f>IF(DQ18="","",IF(DY18="","",IFERROR(DT18/DY18-1,0)))</x:f>
      </x:c>
      <x:c r="EA18" s="166"/>
      <x:c r="EB18" s="172" t="str">
        <x:f>IF(DQ18="","",IF(EA18="","",EA18-DZ18*365/EC18))</x:f>
      </x:c>
      <x:c r="EC18" s="164"/>
      <x:c r="ED18" s="172" t="str">
        <x:f>IF(DQ18="","",IFERROR(DV18*(DU18/DT18-1),0))</x:f>
      </x:c>
      <x:c r="EE18" s="147"/>
      <x:c r="EF18" s="147"/>
      <x:c r="EG18" s="147"/>
      <x:c r="EH18" s="167"/>
      <x:c r="EI18" s="167"/>
      <x:c r="EJ18" s="166"/>
      <x:c r="EK18" s="171" t="str">
        <x:f>IF(EE18="","",IFERROR(F18*EJ18/EH18,0))</x:f>
      </x:c>
      <x:c r="EL18" s="171" t="str">
        <x:f>IF(EE18="","",F18*ABS(EJ18))</x:f>
      </x:c>
      <x:c r="EM18" s="165"/>
      <x:c r="EN18" s="172" t="str">
        <x:f>IF(EE18="","",IF(EM18="","",IFERROR(EH18/EM18-1,0)))</x:f>
      </x:c>
      <x:c r="EO18" s="166"/>
      <x:c r="EP18" s="172" t="str">
        <x:f>IF(EE18="","",IF(EO18="","",EO18-EN18*365/EQ18))</x:f>
      </x:c>
      <x:c r="EQ18" s="164"/>
      <x:c r="ER18" s="172" t="str">
        <x:f>IF(EE18="","",IFERROR(EJ18*(EI18/EH18-1),0))</x:f>
      </x:c>
      <x:c r="ES18" s="147"/>
      <x:c r="ET18" s="147"/>
      <x:c r="EU18" s="147"/>
      <x:c r="EV18" s="167"/>
      <x:c r="EW18" s="167"/>
      <x:c r="EX18" s="166"/>
      <x:c r="EY18" s="171" t="str">
        <x:f>IF(ES18="","",IFERROR(F18*EX18/EV18,0))</x:f>
      </x:c>
      <x:c r="EZ18" s="171" t="str">
        <x:f>IF(ES18="","",F18*ABS(EX18))</x:f>
      </x:c>
      <x:c r="FA18" s="165"/>
      <x:c r="FB18" s="172" t="str">
        <x:f>IF(ES18="","",IF(FA18="","",IFERROR(EV18/FA18-1,0)))</x:f>
      </x:c>
      <x:c r="FC18" s="166"/>
      <x:c r="FD18" s="172" t="str">
        <x:f>IF(ES18="","",IF(FC18="","",FC18-FB18*365/FE18))</x:f>
      </x:c>
      <x:c r="FE18" s="164"/>
      <x:c r="FF18" s="172" t="str">
        <x:f>IF(ES18="","",IFERROR(EX18*(EW18/EV18-1),0))</x:f>
      </x:c>
      <x:c r="FG18" s="147"/>
      <x:c r="FH18" s="147"/>
      <x:c r="FI18" s="147"/>
      <x:c r="FJ18" s="167"/>
      <x:c r="FK18" s="167"/>
      <x:c r="FL18" s="166"/>
      <x:c r="FM18" s="171" t="str">
        <x:f>IF(FG18="","",IFERROR(F18*FL18/FJ18,0))</x:f>
      </x:c>
      <x:c r="FN18" s="171" t="str">
        <x:f>IF(FG18="","",F18*ABS(FL18))</x:f>
      </x:c>
      <x:c r="FO18" s="165"/>
      <x:c r="FP18" s="172" t="str">
        <x:f>IF(FG18="","",IF(FO18="","",IFERROR(FJ18/FO18-1,0)))</x:f>
      </x:c>
      <x:c r="FQ18" s="166"/>
      <x:c r="FR18" s="172" t="str">
        <x:f>IF(FG18="","",IF(FQ18="","",FQ18-FP18*365/FS18))</x:f>
      </x:c>
      <x:c r="FS18" s="164"/>
      <x:c r="FT18" s="172" t="str">
        <x:f>IF(FG18="","",IFERROR(FL18*(FK18/FJ18-1),0))</x:f>
      </x:c>
    </x:row>
    <x:row r="19" ht="18" customHeight="1">
      <x:c r="A19" s="163" t="n">
        <x:v>25227</x:v>
      </x:c>
      <x:c r="B19" s="163" t="n">
        <x:v>25230</x:v>
      </x:c>
      <x:c r="C19" s="170" t="n">
        <x:f>B19-A19</x:f>
        <x:v>3</x:v>
      </x:c>
      <x:c r="D19" s="163" t="n">
        <x:v>25227</x:v>
      </x:c>
      <x:c r="E19" s="147" t="str">
        <x:v>neutral</x:v>
      </x:c>
      <x:c r="F19" s="165" t="n">
        <x:v>1.0637107316387477</x:v>
      </x:c>
      <x:c r="G19" s="168" t="n">
        <x:v>0.0055126512499655556</x:v>
      </x:c>
      <x:c r="H19" s="172" t="n">
        <x:f>SUM(AX19,BL19,BZ19,CN19,DB19,DP19,ED19,ER19,FF19,FT19)</x:f>
        <x:v>0.0055126512499655556</x:v>
      </x:c>
      <x:c r="I19" s="174" t="n">
        <x:f>G19-H19</x:f>
        <x:v>0</x:v>
      </x:c>
      <x:c r="J19" s="171" t="n">
        <x:f>F19*(1+H19)</x:f>
        <x:v>1.0695745979331177</x:v>
      </x:c>
      <x:c r="K19" s="169" t="n">
        <x:v>1.0695745979331177</x:v>
      </x:c>
      <x:c r="L19" s="175" t="n">
        <x:f>K19-J19</x:f>
        <x:v>0</x:v>
      </x:c>
      <x:c r="M19" s="167" t="n">
        <x:v>1.988</x:v>
      </x:c>
      <x:c r="N19" s="167" t="n">
        <x:v>1.999</x:v>
      </x:c>
      <x:c r="O19" s="172" t="n">
        <x:f>IFERROR(N19/M19-1,0)</x:f>
        <x:v>0.005533199195171035</x:v>
      </x:c>
      <x:c r="P19" s="171" t="n">
        <x:f>IFERROR(AD19/AH19,0)</x:f>
        <x:v>1.0476587588272976</x:v>
      </x:c>
      <x:c r="Q19" s="171" t="n">
        <x:f>IFERROR(AE19/AI19,0)</x:f>
        <x:v>1.047637350051548</x:v>
      </x:c>
      <x:c r="R19" s="172" t="n">
        <x:f>IFERROR((Q19-P19)/(P19+S19),0)</x:f>
        <x:v>-0.000020434874971795956</x:v>
      </x:c>
      <x:c r="S19" s="172" t="n">
        <x:f>IFERROR(AF19/AH19,0)</x:f>
        <x:v>0</x:v>
      </x:c>
      <x:c r="T19" s="172" t="n">
        <x:f>IFERROR(AG19/AI19,0)</x:f>
        <x:v>0</x:v>
      </x:c>
      <x:c r="U19" s="172" t="n">
        <x:f>IFERROR((T19-S19)/(P19+S19),0)</x:f>
        <x:v>0</x:v>
      </x:c>
      <x:c r="V19" s="172" t="n">
        <x:f>R19+U19</x:f>
        <x:v>-0.000020434874971795956</x:v>
      </x:c>
      <x:c r="W19" s="172" t="n">
        <x:f>(1+O19)*(1+V19)-1</x:f>
        <x:v>0.005512651249965472</x:v>
      </x:c>
      <x:c r="X19" s="174" t="n">
        <x:f>G19-W19</x:f>
        <x:v>8.326672684688674e-17</x:v>
      </x:c>
      <x:c r="Y19" s="172" t="n">
        <x:f>AX19</x:f>
        <x:v>0.0055126512499655556</x:v>
      </x:c>
      <x:c r="Z19" s="172" t="str">
        <x:f>BL19</x:f>
      </x:c>
      <x:c r="AA19" s="172" t="n">
        <x:f>SUM(BZ19,CN19,DB19,DP19,ED19,ER19,FF19,FT19)</x:f>
        <x:v>0</x:v>
      </x:c>
      <x:c r="AB19" s="172" t="n">
        <x:f>SUM(Y19:AA19)</x:f>
        <x:v>0.0055126512499655556</x:v>
      </x:c>
      <x:c r="AC19" s="174" t="n">
        <x:f>G19-AB19</x:f>
        <x:v>0</x:v>
      </x:c>
      <x:c r="AD19" s="169" t="n">
        <x:v>1.0637107316387475</x:v>
      </x:c>
      <x:c r="AE19" s="169" t="n">
        <x:v>1.0695745979331177</x:v>
      </x:c>
      <x:c r="AF19" s="169" t="n">
        <x:v>0</x:v>
      </x:c>
      <x:c r="AG19" s="169" t="n">
        <x:v>0</x:v>
      </x:c>
      <x:c r="AH19" s="171" t="n">
        <x:f>M19/$M$3</x:f>
        <x:v>1.0153217568947905</x:v>
      </x:c>
      <x:c r="AI19" s="171" t="n">
        <x:f>N19/$M$3</x:f>
        <x:v>1.0209397344228806</x:v>
      </x:c>
      <x:c r="AJ19" s="170" t="n">
        <x:f>IF(AK19&lt;&gt;"",1,0)+IF(AY19&lt;&gt;"",1,0)+IF(BM19&lt;&gt;"",1,0)+IF(CA19&lt;&gt;"",1,0)+IF(CO19&lt;&gt;"",1,0)+IF(DC19&lt;&gt;"",1,0)+IF(DQ19&lt;&gt;"",1,0)+IF(EE19&lt;&gt;"",1,0)+IF(ES19&lt;&gt;"",1,0)+IF(FG19&lt;&gt;"",1,0)</x:f>
        <x:v>1</x:v>
      </x:c>
      <x:c r="AK19" s="147" t="str">
        <x:v>Silver replicating holding (LBMA/SLV proxy)</x:v>
      </x:c>
      <x:c r="AL19" s="147" t="str">
        <x:v>Physical-backed proxy</x:v>
      </x:c>
      <x:c r="AM19" s="147" t="str">
        <x:v>Long</x:v>
      </x:c>
      <x:c r="AN19" s="167" t="n">
        <x:v>1.988</x:v>
      </x:c>
      <x:c r="AO19" s="167" t="n">
        <x:v>1.999</x:v>
      </x:c>
      <x:c r="AP19" s="166" t="n">
        <x:v>1</x:v>
      </x:c>
      <x:c r="AQ19" s="171" t="n">
        <x:f>IF(AK19="","",IFERROR(F19*AP19/AN19,0))</x:f>
        <x:v>0.5350657603816639</x:v>
      </x:c>
      <x:c r="AR19" s="171" t="n">
        <x:f>IF(AK19="","",F19*ABS(AP19))</x:f>
        <x:v>1.0637107316387477</x:v>
      </x:c>
      <x:c r="AS19" s="165"/>
      <x:c r="AT19" s="172" t="str">
        <x:f>IF(AK19="","",IF(AS19="","",IFERROR(AN19/AS19-1,0)))</x:f>
      </x:c>
      <x:c r="AU19" s="166"/>
      <x:c r="AV19" s="172" t="str">
        <x:f>IF(AK19="","",IF(AU19="","",AU19-AT19*365/AW19))</x:f>
      </x:c>
      <x:c r="AW19" s="164"/>
      <x:c r="AX19" s="173" t="n">
        <x:f>IF(AK19="","",IFERROR(AP19*(AO19/AN19-1-'Parameters'!$C$6*C19/365),0))</x:f>
        <x:v>0.0055126512499655556</x:v>
      </x:c>
      <x:c r="AY19" s="147"/>
      <x:c r="AZ19" s="147"/>
      <x:c r="BA19" s="147"/>
      <x:c r="BB19" s="167"/>
      <x:c r="BC19" s="167"/>
      <x:c r="BD19" s="166"/>
      <x:c r="BE19" s="171" t="str">
        <x:f>IF(AY19="","",IFERROR(F19*BD19/BB19,0))</x:f>
      </x:c>
      <x:c r="BF19" s="171" t="str">
        <x:f>IF(AY19="","",F19*ABS(BD19))</x:f>
      </x:c>
      <x:c r="BG19" s="165"/>
      <x:c r="BH19" s="172" t="str">
        <x:f>IF(AY19="","",IF(BG19="","",IFERROR(BB19/BG19-1,0)))</x:f>
      </x:c>
      <x:c r="BI19" s="166"/>
      <x:c r="BJ19" s="172" t="str">
        <x:f>IF(AY19="","",IF(BI19="","",BI19-BH19*365/BK19))</x:f>
      </x:c>
      <x:c r="BK19" s="164"/>
      <x:c r="BL19" s="172" t="str">
        <x:f>IF(AY19="","",IFERROR(BD19*(BC19/BB19-1),0))</x:f>
      </x:c>
      <x:c r="BM19" s="147"/>
      <x:c r="BN19" s="147"/>
      <x:c r="BO19" s="147"/>
      <x:c r="BP19" s="167"/>
      <x:c r="BQ19" s="167"/>
      <x:c r="BR19" s="166"/>
      <x:c r="BS19" s="171" t="str">
        <x:f>IF(BM19="","",IFERROR(F19*BR19/BP19,0))</x:f>
      </x:c>
      <x:c r="BT19" s="171" t="str">
        <x:f>IF(BM19="","",F19*ABS(BR19))</x:f>
      </x:c>
      <x:c r="BU19" s="165"/>
      <x:c r="BV19" s="172" t="str">
        <x:f>IF(BM19="","",IF(BU19="","",IFERROR(BP19/BU19-1,0)))</x:f>
      </x:c>
      <x:c r="BW19" s="166"/>
      <x:c r="BX19" s="172" t="str">
        <x:f>IF(BM19="","",IF(BW19="","",BW19-BV19*365/BY19))</x:f>
      </x:c>
      <x:c r="BY19" s="164"/>
      <x:c r="BZ19" s="172" t="str">
        <x:f>IF(BM19="","",IFERROR(BR19*(BQ19/BP19-1),0))</x:f>
      </x:c>
      <x:c r="CA19" s="147"/>
      <x:c r="CB19" s="147"/>
      <x:c r="CC19" s="147"/>
      <x:c r="CD19" s="167"/>
      <x:c r="CE19" s="167"/>
      <x:c r="CF19" s="166"/>
      <x:c r="CG19" s="171" t="str">
        <x:f>IF(CA19="","",IFERROR(F19*CF19/CD19,0))</x:f>
      </x:c>
      <x:c r="CH19" s="171" t="str">
        <x:f>IF(CA19="","",F19*ABS(CF19))</x:f>
      </x:c>
      <x:c r="CI19" s="165"/>
      <x:c r="CJ19" s="172" t="str">
        <x:f>IF(CA19="","",IF(CI19="","",IFERROR(CD19/CI19-1,0)))</x:f>
      </x:c>
      <x:c r="CK19" s="166"/>
      <x:c r="CL19" s="172" t="str">
        <x:f>IF(CA19="","",IF(CK19="","",CK19-CJ19*365/CM19))</x:f>
      </x:c>
      <x:c r="CM19" s="164"/>
      <x:c r="CN19" s="172" t="str">
        <x:f>IF(CA19="","",IFERROR(CF19*(CE19/CD19-1),0))</x:f>
      </x:c>
      <x:c r="CO19" s="147"/>
      <x:c r="CP19" s="147"/>
      <x:c r="CQ19" s="147"/>
      <x:c r="CR19" s="167"/>
      <x:c r="CS19" s="167"/>
      <x:c r="CT19" s="166"/>
      <x:c r="CU19" s="171" t="str">
        <x:f>IF(CO19="","",IFERROR(F19*CT19/CR19,0))</x:f>
      </x:c>
      <x:c r="CV19" s="171" t="str">
        <x:f>IF(CO19="","",F19*ABS(CT19))</x:f>
      </x:c>
      <x:c r="CW19" s="165"/>
      <x:c r="CX19" s="172" t="str">
        <x:f>IF(CO19="","",IF(CW19="","",IFERROR(CR19/CW19-1,0)))</x:f>
      </x:c>
      <x:c r="CY19" s="166"/>
      <x:c r="CZ19" s="172" t="str">
        <x:f>IF(CO19="","",IF(CY19="","",CY19-CX19*365/DA19))</x:f>
      </x:c>
      <x:c r="DA19" s="164"/>
      <x:c r="DB19" s="172" t="str">
        <x:f>IF(CO19="","",IFERROR(CT19*(CS19/CR19-1),0))</x:f>
      </x:c>
      <x:c r="DC19" s="147"/>
      <x:c r="DD19" s="147"/>
      <x:c r="DE19" s="147"/>
      <x:c r="DF19" s="167"/>
      <x:c r="DG19" s="167"/>
      <x:c r="DH19" s="166"/>
      <x:c r="DI19" s="171" t="str">
        <x:f>IF(DC19="","",IFERROR(F19*DH19/DF19,0))</x:f>
      </x:c>
      <x:c r="DJ19" s="171" t="str">
        <x:f>IF(DC19="","",F19*ABS(DH19))</x:f>
      </x:c>
      <x:c r="DK19" s="165"/>
      <x:c r="DL19" s="172" t="str">
        <x:f>IF(DC19="","",IF(DK19="","",IFERROR(DF19/DK19-1,0)))</x:f>
      </x:c>
      <x:c r="DM19" s="166"/>
      <x:c r="DN19" s="172" t="str">
        <x:f>IF(DC19="","",IF(DM19="","",DM19-DL19*365/DO19))</x:f>
      </x:c>
      <x:c r="DO19" s="164"/>
      <x:c r="DP19" s="172" t="str">
        <x:f>IF(DC19="","",IFERROR(DH19*(DG19/DF19-1),0))</x:f>
      </x:c>
      <x:c r="DQ19" s="147"/>
      <x:c r="DR19" s="147"/>
      <x:c r="DS19" s="147"/>
      <x:c r="DT19" s="167"/>
      <x:c r="DU19" s="167"/>
      <x:c r="DV19" s="166"/>
      <x:c r="DW19" s="171" t="str">
        <x:f>IF(DQ19="","",IFERROR(F19*DV19/DT19,0))</x:f>
      </x:c>
      <x:c r="DX19" s="171" t="str">
        <x:f>IF(DQ19="","",F19*ABS(DV19))</x:f>
      </x:c>
      <x:c r="DY19" s="165"/>
      <x:c r="DZ19" s="172" t="str">
        <x:f>IF(DQ19="","",IF(DY19="","",IFERROR(DT19/DY19-1,0)))</x:f>
      </x:c>
      <x:c r="EA19" s="166"/>
      <x:c r="EB19" s="172" t="str">
        <x:f>IF(DQ19="","",IF(EA19="","",EA19-DZ19*365/EC19))</x:f>
      </x:c>
      <x:c r="EC19" s="164"/>
      <x:c r="ED19" s="172" t="str">
        <x:f>IF(DQ19="","",IFERROR(DV19*(DU19/DT19-1),0))</x:f>
      </x:c>
      <x:c r="EE19" s="147"/>
      <x:c r="EF19" s="147"/>
      <x:c r="EG19" s="147"/>
      <x:c r="EH19" s="167"/>
      <x:c r="EI19" s="167"/>
      <x:c r="EJ19" s="166"/>
      <x:c r="EK19" s="171" t="str">
        <x:f>IF(EE19="","",IFERROR(F19*EJ19/EH19,0))</x:f>
      </x:c>
      <x:c r="EL19" s="171" t="str">
        <x:f>IF(EE19="","",F19*ABS(EJ19))</x:f>
      </x:c>
      <x:c r="EM19" s="165"/>
      <x:c r="EN19" s="172" t="str">
        <x:f>IF(EE19="","",IF(EM19="","",IFERROR(EH19/EM19-1,0)))</x:f>
      </x:c>
      <x:c r="EO19" s="166"/>
      <x:c r="EP19" s="172" t="str">
        <x:f>IF(EE19="","",IF(EO19="","",EO19-EN19*365/EQ19))</x:f>
      </x:c>
      <x:c r="EQ19" s="164"/>
      <x:c r="ER19" s="172" t="str">
        <x:f>IF(EE19="","",IFERROR(EJ19*(EI19/EH19-1),0))</x:f>
      </x:c>
      <x:c r="ES19" s="147"/>
      <x:c r="ET19" s="147"/>
      <x:c r="EU19" s="147"/>
      <x:c r="EV19" s="167"/>
      <x:c r="EW19" s="167"/>
      <x:c r="EX19" s="166"/>
      <x:c r="EY19" s="171" t="str">
        <x:f>IF(ES19="","",IFERROR(F19*EX19/EV19,0))</x:f>
      </x:c>
      <x:c r="EZ19" s="171" t="str">
        <x:f>IF(ES19="","",F19*ABS(EX19))</x:f>
      </x:c>
      <x:c r="FA19" s="165"/>
      <x:c r="FB19" s="172" t="str">
        <x:f>IF(ES19="","",IF(FA19="","",IFERROR(EV19/FA19-1,0)))</x:f>
      </x:c>
      <x:c r="FC19" s="166"/>
      <x:c r="FD19" s="172" t="str">
        <x:f>IF(ES19="","",IF(FC19="","",FC19-FB19*365/FE19))</x:f>
      </x:c>
      <x:c r="FE19" s="164"/>
      <x:c r="FF19" s="172" t="str">
        <x:f>IF(ES19="","",IFERROR(EX19*(EW19/EV19-1),0))</x:f>
      </x:c>
      <x:c r="FG19" s="147"/>
      <x:c r="FH19" s="147"/>
      <x:c r="FI19" s="147"/>
      <x:c r="FJ19" s="167"/>
      <x:c r="FK19" s="167"/>
      <x:c r="FL19" s="166"/>
      <x:c r="FM19" s="171" t="str">
        <x:f>IF(FG19="","",IFERROR(F19*FL19/FJ19,0))</x:f>
      </x:c>
      <x:c r="FN19" s="171" t="str">
        <x:f>IF(FG19="","",F19*ABS(FL19))</x:f>
      </x:c>
      <x:c r="FO19" s="165"/>
      <x:c r="FP19" s="172" t="str">
        <x:f>IF(FG19="","",IF(FO19="","",IFERROR(FJ19/FO19-1,0)))</x:f>
      </x:c>
      <x:c r="FQ19" s="166"/>
      <x:c r="FR19" s="172" t="str">
        <x:f>IF(FG19="","",IF(FQ19="","",FQ19-FP19*365/FS19))</x:f>
      </x:c>
      <x:c r="FS19" s="164"/>
      <x:c r="FT19" s="172" t="str">
        <x:f>IF(FG19="","",IFERROR(FL19*(FK19/FJ19-1),0))</x:f>
      </x:c>
    </x:row>
    <x:row r="20" ht="18" customHeight="1">
      <x:c r="A20" s="163" t="n">
        <x:v>25230</x:v>
      </x:c>
      <x:c r="B20" s="163" t="n">
        <x:v>25231</x:v>
      </x:c>
      <x:c r="C20" s="170" t="n">
        <x:f>B20-A20</x:f>
        <x:v>1</x:v>
      </x:c>
      <x:c r="D20" s="163" t="n">
        <x:v>25230</x:v>
      </x:c>
      <x:c r="E20" s="147" t="str">
        <x:v>positive</x:v>
      </x:c>
      <x:c r="F20" s="165" t="n">
        <x:v>1.0695745979331177</x:v>
      </x:c>
      <x:c r="G20" s="168" t="n">
        <x:v>-0.00575981297551644</x:v>
      </x:c>
      <x:c r="H20" s="172" t="n">
        <x:f>SUM(AX20,BL20,BZ20,CN20,DB20,DP20,ED20,ER20,FF20,FT20)</x:f>
        <x:v>-0.005759812975516434</x:v>
      </x:c>
      <x:c r="I20" s="174" t="n">
        <x:f>G20-H20</x:f>
        <x:v>-6.071532165918825e-18</x:v>
      </x:c>
      <x:c r="J20" s="171" t="n">
        <x:f>F20*(1+H20)</x:f>
        <x:v>1.0634140482856598</x:v>
      </x:c>
      <x:c r="K20" s="169" t="n">
        <x:v>1.0634140482856598</x:v>
      </x:c>
      <x:c r="L20" s="175" t="n">
        <x:f>K20-J20</x:f>
        <x:v>0</x:v>
      </x:c>
      <x:c r="M20" s="167" t="n">
        <x:v>1.999</x:v>
      </x:c>
      <x:c r="N20" s="167" t="n">
        <x:v>1.987</x:v>
      </x:c>
      <x:c r="O20" s="172" t="n">
        <x:f>IFERROR(N20/M20-1,0)</x:f>
        <x:v>-0.006003001500750393</x:v>
      </x:c>
      <x:c r="P20" s="171" t="n">
        <x:f>IFERROR(AD20/AH20,0)</x:f>
        <x:v>1.047637350051548</x:v>
      </x:c>
      <x:c r="Q20" s="171" t="n">
        <x:f>IFERROR(AE20/AI20,0)</x:f>
        <x:v>1.0478936620751493</x:v>
      </x:c>
      <x:c r="R20" s="172" t="n">
        <x:f>IFERROR((Q20-P20)/(P20+S20),0)</x:f>
        <x:v>0.0002446572027895181</x:v>
      </x:c>
      <x:c r="S20" s="172" t="n">
        <x:f>IFERROR(AF20/AH20,0)</x:f>
        <x:v>0</x:v>
      </x:c>
      <x:c r="T20" s="172" t="n">
        <x:f>IFERROR(AG20/AI20,0)</x:f>
        <x:v>0</x:v>
      </x:c>
      <x:c r="U20" s="172" t="n">
        <x:f>IFERROR((T20-S20)/(P20+S20),0)</x:f>
        <x:v>0</x:v>
      </x:c>
      <x:c r="V20" s="172" t="n">
        <x:f>R20+U20</x:f>
        <x:v>0.0002446572027895181</x:v>
      </x:c>
      <x:c r="W20" s="172" t="n">
        <x:f>(1+O20)*(1+V20)-1</x:f>
        <x:v>-0.005759812975516421</x:v>
      </x:c>
      <x:c r="X20" s="174" t="n">
        <x:f>G20-W20</x:f>
        <x:v>-1.9081958235744878e-17</x:v>
      </x:c>
      <x:c r="Y20" s="172" t="n">
        <x:f>AX20</x:f>
        <x:v>-0.003801813013406308</x:v>
      </x:c>
      <x:c r="Z20" s="172" t="n">
        <x:f>BL20</x:f>
        <x:v>0.00006170358862428575</x:v>
      </x:c>
      <x:c r="AA20" s="172" t="n">
        <x:f>SUM(BZ20,CN20,DB20,DP20,ED20,ER20,FF20,FT20)</x:f>
        <x:v>-0.002019703550734411</x:v>
      </x:c>
      <x:c r="AB20" s="172" t="n">
        <x:f>SUM(Y20:AA20)</x:f>
        <x:v>-0.005759812975516433</x:v>
      </x:c>
      <x:c r="AC20" s="174" t="n">
        <x:f>G20-AB20</x:f>
        <x:v>-6.938893903907228e-18</x:v>
      </x:c>
      <x:c r="AD20" s="169" t="n">
        <x:v>1.0695745979331177</x:v>
      </x:c>
      <x:c r="AE20" s="169" t="n">
        <x:v>1.0634140482856598</x:v>
      </x:c>
      <x:c r="AF20" s="169" t="n">
        <x:v>0</x:v>
      </x:c>
      <x:c r="AG20" s="169" t="n">
        <x:v>0</x:v>
      </x:c>
      <x:c r="AH20" s="171" t="n">
        <x:f>M20/$M$3</x:f>
        <x:v>1.0209397344228806</x:v>
      </x:c>
      <x:c r="AI20" s="171" t="n">
        <x:f>N20/$M$3</x:f>
        <x:v>1.0148110316649643</x:v>
      </x:c>
      <x:c r="AJ20" s="170" t="n">
        <x:f>IF(AK20&lt;&gt;"",1,0)+IF(AY20&lt;&gt;"",1,0)+IF(BM20&lt;&gt;"",1,0)+IF(CA20&lt;&gt;"",1,0)+IF(CO20&lt;&gt;"",1,0)+IF(DC20&lt;&gt;"",1,0)+IF(DQ20&lt;&gt;"",1,0)+IF(EE20&lt;&gt;"",1,0)+IF(ES20&lt;&gt;"",1,0)+IF(FG20&lt;&gt;"",1,0)</x:f>
        <x:v>4</x:v>
      </x:c>
      <x:c r="AK20" s="147" t="str">
        <x:v>Silver replicating holding (LBMA/SLV proxy)</x:v>
      </x:c>
      <x:c r="AL20" s="147" t="str">
        <x:v>Physical-backed proxy</x:v>
      </x:c>
      <x:c r="AM20" s="147" t="str">
        <x:v>Long</x:v>
      </x:c>
      <x:c r="AN20" s="167" t="n">
        <x:v>1.999</x:v>
      </x:c>
      <x:c r="AO20" s="167" t="n">
        <x:v>1.987</x:v>
      </x:c>
      <x:c r="AP20" s="166" t="n">
        <x:v>0.6325969029712567</x:v>
      </x:c>
      <x:c r="AQ20" s="171" t="n">
        <x:f>IF(AK20="","",IFERROR(F20*AP20/AN20,0))</x:f>
        <x:v>0.33847402608765254</x:v>
      </x:c>
      <x:c r="AR20" s="171" t="n">
        <x:f>IF(AK20="","",F20*ABS(AP20))</x:f>
        <x:v>0.6766095781492174</x:v>
      </x:c>
      <x:c r="AS20" s="165"/>
      <x:c r="AT20" s="172" t="str">
        <x:f>IF(AK20="","",IF(AS20="","",IFERROR(AN20/AS20-1,0)))</x:f>
      </x:c>
      <x:c r="AU20" s="166"/>
      <x:c r="AV20" s="172" t="str">
        <x:f>IF(AK20="","",IF(AU20="","",AU20-AT20*365/AW20))</x:f>
      </x:c>
      <x:c r="AW20" s="164"/>
      <x:c r="AX20" s="173" t="n">
        <x:f>IF(AK20="","",IFERROR(AP20*(AO20/AN20-1-'Parameters'!$C$6*C20/365),0))</x:f>
        <x:v>-0.003801813013406308</x:v>
      </x:c>
      <x:c r="AY20" s="147" t="str">
        <x:v>Matched-maturity Treasury collateral</x:v>
      </x:c>
      <x:c r="AZ20" s="147" t="str">
        <x:v>Treasury</x:v>
      </x:c>
      <x:c r="BA20" s="147" t="str">
        <x:v>Long</x:v>
      </x:c>
      <x:c r="BB20" s="167" t="n">
        <x:v>100.42062138947583</x:v>
      </x:c>
      <x:c r="BC20" s="167" t="n">
        <x:v>100.43748655136946</x:v>
      </x:c>
      <x:c r="BD20" s="166" t="n">
        <x:v>0.3674030970287433</x:v>
      </x:c>
      <x:c r="BE20" s="171" t="n">
        <x:f>IF(AY20="","",IFERROR(F20*BD20/BB20,0))</x:f>
        <x:v>0.0039131904816622</x:v>
      </x:c>
      <x:c r="BF20" s="171" t="n">
        <x:f>IF(AY20="","",F20*ABS(BD20))</x:f>
        <x:v>0.39296501978390036</x:v>
      </x:c>
      <x:c r="BG20" s="165"/>
      <x:c r="BH20" s="172" t="str">
        <x:f>IF(AY20="","",IF(BG20="","",IFERROR(BB20/BG20-1,0)))</x:f>
      </x:c>
      <x:c r="BI20" s="166"/>
      <x:c r="BJ20" s="172" t="str">
        <x:f>IF(AY20="","",IF(BI20="","",BI20-BH20*365/BK20))</x:f>
      </x:c>
      <x:c r="BK20" s="164" t="n">
        <x:v>59.00613666799328</x:v>
      </x:c>
      <x:c r="BL20" s="172" t="n">
        <x:f>IF(AY20="","",IFERROR(BD20*(BC20/BB20-1),0))</x:f>
        <x:v>0.00006170358862428575</x:v>
      </x:c>
      <x:c r="BM20" s="147" t="str">
        <x:v>SI69H</x:v>
      </x:c>
      <x:c r="BN20" s="147" t="str">
        <x:v>Silver future (regular)</x:v>
      </x:c>
      <x:c r="BO20" s="147" t="str">
        <x:v>Long</x:v>
      </x:c>
      <x:c r="BP20" s="167" t="n">
        <x:v>2.001</x:v>
      </x:c>
      <x:c r="BQ20" s="167" t="n">
        <x:v>1.99</x:v>
      </x:c>
      <x:c r="BR20" s="166" t="n">
        <x:v>0.36736673201541803</x:v>
      </x:c>
      <x:c r="BS20" s="171" t="n">
        <x:f>IF(BM20="","",IFERROR(F20*BR20/BP20,0))</x:f>
        <x:v>0.19636487990474472</x:v>
      </x:c>
      <x:c r="BT20" s="171" t="n">
        <x:f>IF(BM20="","",F20*ABS(BR20))</x:f>
        <x:v>0.39292612468939414</x:v>
      </x:c>
      <x:c r="BU20" s="165" t="n">
        <x:v>1.999</x:v>
      </x:c>
      <x:c r="BV20" s="172" t="n">
        <x:f>IF(BM20="","",IF(BU20="","",IFERROR(BP20/BU20-1,0)))</x:f>
        <x:v>0.0010005002501249916</x:v>
      </x:c>
      <x:c r="BW20" s="166" t="n">
        <x:v>0.0613</x:v>
      </x:c>
      <x:c r="BX20" s="172" t="n">
        <x:f>IF(BM20="","",IF(BW20="","",BW20-BV20*365/BY20))</x:f>
        <x:v>0.05511046455431149</x:v>
      </x:c>
      <x:c r="BY20" s="164" t="n">
        <x:v>59</x:v>
      </x:c>
      <x:c r="BZ20" s="172" t="n">
        <x:f>IF(BM20="","",IFERROR(BR20*(BQ20/BP20-1),0))</x:f>
        <x:v>-0.002019507272448553</x:v>
      </x:c>
      <x:c r="CA20" s="147" t="str">
        <x:v>SI69K</x:v>
      </x:c>
      <x:c r="CB20" s="147" t="str">
        <x:v>Silver future (regular)</x:v>
      </x:c>
      <x:c r="CC20" s="147" t="str">
        <x:v>Long</x:v>
      </x:c>
      <x:c r="CD20" s="167" t="n">
        <x:v>2.0380000000000003</x:v>
      </x:c>
      <x:c r="CE20" s="167" t="n">
        <x:v>2.0269999999999997</x:v>
      </x:c>
      <x:c r="CF20" s="166" t="n">
        <x:v>0.000036365013325283044</x:v>
      </x:c>
      <x:c r="CG20" s="171" t="n">
        <x:f>IF(CA20="","",IFERROR(F20*CF20/CD20,0))</x:f>
        <x:v>0.000019084933516301314</x:v>
      </x:c>
      <x:c r="CH20" s="171" t="n">
        <x:f>IF(CA20="","",F20*ABS(CF20))</x:f>
        <x:v>0.00003889509450622208</x:v>
      </x:c>
      <x:c r="CI20" s="165" t="n">
        <x:v>1.999</x:v>
      </x:c>
      <x:c r="CJ20" s="172" t="n">
        <x:f>IF(CA20="","",IF(CI20="","",IFERROR(CD20/CI20-1,0)))</x:f>
        <x:v>0.01950975487743878</x:v>
      </x:c>
      <x:c r="CK20" s="166" t="n">
        <x:v>0.06166263736263737</x:v>
      </x:c>
      <x:c r="CL20" s="172" t="n">
        <x:f>IF(CA20="","",IF(CK20="","",CK20-CJ20*365/CM20))</x:f>
        <x:v>0.0028108974430906403</x:v>
      </x:c>
      <x:c r="CM20" s="164" t="n">
        <x:v>121</x:v>
      </x:c>
      <x:c r="CN20" s="172" t="n">
        <x:f>IF(CA20="","",IFERROR(CF20*(CE20/CD20-1),0))</x:f>
        <x:v>-1.9627828585776764e-7</x:v>
      </x:c>
      <x:c r="CO20" s="147"/>
      <x:c r="CP20" s="147"/>
      <x:c r="CQ20" s="147"/>
      <x:c r="CR20" s="167"/>
      <x:c r="CS20" s="167"/>
      <x:c r="CT20" s="166"/>
      <x:c r="CU20" s="171" t="str">
        <x:f>IF(CO20="","",IFERROR(F20*CT20/CR20,0))</x:f>
      </x:c>
      <x:c r="CV20" s="171" t="str">
        <x:f>IF(CO20="","",F20*ABS(CT20))</x:f>
      </x:c>
      <x:c r="CW20" s="165"/>
      <x:c r="CX20" s="172" t="str">
        <x:f>IF(CO20="","",IF(CW20="","",IFERROR(CR20/CW20-1,0)))</x:f>
      </x:c>
      <x:c r="CY20" s="166"/>
      <x:c r="CZ20" s="172" t="str">
        <x:f>IF(CO20="","",IF(CY20="","",CY20-CX20*365/DA20))</x:f>
      </x:c>
      <x:c r="DA20" s="164"/>
      <x:c r="DB20" s="172" t="str">
        <x:f>IF(CO20="","",IFERROR(CT20*(CS20/CR20-1),0))</x:f>
      </x:c>
      <x:c r="DC20" s="147"/>
      <x:c r="DD20" s="147"/>
      <x:c r="DE20" s="147"/>
      <x:c r="DF20" s="167"/>
      <x:c r="DG20" s="167"/>
      <x:c r="DH20" s="166"/>
      <x:c r="DI20" s="171" t="str">
        <x:f>IF(DC20="","",IFERROR(F20*DH20/DF20,0))</x:f>
      </x:c>
      <x:c r="DJ20" s="171" t="str">
        <x:f>IF(DC20="","",F20*ABS(DH20))</x:f>
      </x:c>
      <x:c r="DK20" s="165"/>
      <x:c r="DL20" s="172" t="str">
        <x:f>IF(DC20="","",IF(DK20="","",IFERROR(DF20/DK20-1,0)))</x:f>
      </x:c>
      <x:c r="DM20" s="166"/>
      <x:c r="DN20" s="172" t="str">
        <x:f>IF(DC20="","",IF(DM20="","",DM20-DL20*365/DO20))</x:f>
      </x:c>
      <x:c r="DO20" s="164"/>
      <x:c r="DP20" s="172" t="str">
        <x:f>IF(DC20="","",IFERROR(DH20*(DG20/DF20-1),0))</x:f>
      </x:c>
      <x:c r="DQ20" s="147"/>
      <x:c r="DR20" s="147"/>
      <x:c r="DS20" s="147"/>
      <x:c r="DT20" s="167"/>
      <x:c r="DU20" s="167"/>
      <x:c r="DV20" s="166"/>
      <x:c r="DW20" s="171" t="str">
        <x:f>IF(DQ20="","",IFERROR(F20*DV20/DT20,0))</x:f>
      </x:c>
      <x:c r="DX20" s="171" t="str">
        <x:f>IF(DQ20="","",F20*ABS(DV20))</x:f>
      </x:c>
      <x:c r="DY20" s="165"/>
      <x:c r="DZ20" s="172" t="str">
        <x:f>IF(DQ20="","",IF(DY20="","",IFERROR(DT20/DY20-1,0)))</x:f>
      </x:c>
      <x:c r="EA20" s="166"/>
      <x:c r="EB20" s="172" t="str">
        <x:f>IF(DQ20="","",IF(EA20="","",EA20-DZ20*365/EC20))</x:f>
      </x:c>
      <x:c r="EC20" s="164"/>
      <x:c r="ED20" s="172" t="str">
        <x:f>IF(DQ20="","",IFERROR(DV20*(DU20/DT20-1),0))</x:f>
      </x:c>
      <x:c r="EE20" s="147"/>
      <x:c r="EF20" s="147"/>
      <x:c r="EG20" s="147"/>
      <x:c r="EH20" s="167"/>
      <x:c r="EI20" s="167"/>
      <x:c r="EJ20" s="166"/>
      <x:c r="EK20" s="171" t="str">
        <x:f>IF(EE20="","",IFERROR(F20*EJ20/EH20,0))</x:f>
      </x:c>
      <x:c r="EL20" s="171" t="str">
        <x:f>IF(EE20="","",F20*ABS(EJ20))</x:f>
      </x:c>
      <x:c r="EM20" s="165"/>
      <x:c r="EN20" s="172" t="str">
        <x:f>IF(EE20="","",IF(EM20="","",IFERROR(EH20/EM20-1,0)))</x:f>
      </x:c>
      <x:c r="EO20" s="166"/>
      <x:c r="EP20" s="172" t="str">
        <x:f>IF(EE20="","",IF(EO20="","",EO20-EN20*365/EQ20))</x:f>
      </x:c>
      <x:c r="EQ20" s="164"/>
      <x:c r="ER20" s="172" t="str">
        <x:f>IF(EE20="","",IFERROR(EJ20*(EI20/EH20-1),0))</x:f>
      </x:c>
      <x:c r="ES20" s="147"/>
      <x:c r="ET20" s="147"/>
      <x:c r="EU20" s="147"/>
      <x:c r="EV20" s="167"/>
      <x:c r="EW20" s="167"/>
      <x:c r="EX20" s="166"/>
      <x:c r="EY20" s="171" t="str">
        <x:f>IF(ES20="","",IFERROR(F20*EX20/EV20,0))</x:f>
      </x:c>
      <x:c r="EZ20" s="171" t="str">
        <x:f>IF(ES20="","",F20*ABS(EX20))</x:f>
      </x:c>
      <x:c r="FA20" s="165"/>
      <x:c r="FB20" s="172" t="str">
        <x:f>IF(ES20="","",IF(FA20="","",IFERROR(EV20/FA20-1,0)))</x:f>
      </x:c>
      <x:c r="FC20" s="166"/>
      <x:c r="FD20" s="172" t="str">
        <x:f>IF(ES20="","",IF(FC20="","",FC20-FB20*365/FE20))</x:f>
      </x:c>
      <x:c r="FE20" s="164"/>
      <x:c r="FF20" s="172" t="str">
        <x:f>IF(ES20="","",IFERROR(EX20*(EW20/EV20-1),0))</x:f>
      </x:c>
      <x:c r="FG20" s="147"/>
      <x:c r="FH20" s="147"/>
      <x:c r="FI20" s="147"/>
      <x:c r="FJ20" s="167"/>
      <x:c r="FK20" s="167"/>
      <x:c r="FL20" s="166"/>
      <x:c r="FM20" s="171" t="str">
        <x:f>IF(FG20="","",IFERROR(F20*FL20/FJ20,0))</x:f>
      </x:c>
      <x:c r="FN20" s="171" t="str">
        <x:f>IF(FG20="","",F20*ABS(FL20))</x:f>
      </x:c>
      <x:c r="FO20" s="165"/>
      <x:c r="FP20" s="172" t="str">
        <x:f>IF(FG20="","",IF(FO20="","",IFERROR(FJ20/FO20-1,0)))</x:f>
      </x:c>
      <x:c r="FQ20" s="166"/>
      <x:c r="FR20" s="172" t="str">
        <x:f>IF(FG20="","",IF(FQ20="","",FQ20-FP20*365/FS20))</x:f>
      </x:c>
      <x:c r="FS20" s="164"/>
      <x:c r="FT20" s="172" t="str">
        <x:f>IF(FG20="","",IFERROR(FL20*(FK20/FJ20-1),0))</x:f>
      </x:c>
    </x:row>
    <x:row r="21" ht="18" customHeight="1">
      <x:c r="A21" s="163" t="n">
        <x:v>25231</x:v>
      </x:c>
      <x:c r="B21" s="163" t="n">
        <x:v>25232</x:v>
      </x:c>
      <x:c r="C21" s="170" t="n">
        <x:f>B21-A21</x:f>
        <x:v>1</x:v>
      </x:c>
      <x:c r="D21" s="163" t="n">
        <x:v>25231</x:v>
      </x:c>
      <x:c r="E21" s="147" t="str">
        <x:v>positive</x:v>
      </x:c>
      <x:c r="F21" s="165" t="n">
        <x:v>1.0634140482856598</x:v>
      </x:c>
      <x:c r="G21" s="168" t="n">
        <x:v>-0.0015676384123739376</x:v>
      </x:c>
      <x:c r="H21" s="172" t="n">
        <x:f>SUM(AX21,BL21,BZ21,CN21,DB21,DP21,ED21,ER21,FF21,FT21)</x:f>
        <x:v>-0.001567638412373995</x:v>
      </x:c>
      <x:c r="I21" s="174" t="n">
        <x:f>G21-H21</x:f>
        <x:v>5.746271514173174e-17</x:v>
      </x:c>
      <x:c r="J21" s="171" t="n">
        <x:f>F21*(1+H21)</x:f>
        <x:v>1.061746999575309</x:v>
      </x:c>
      <x:c r="K21" s="169" t="n">
        <x:v>1.061746999575309</x:v>
      </x:c>
      <x:c r="L21" s="175" t="n">
        <x:f>K21-J21</x:f>
        <x:v>0</x:v>
      </x:c>
      <x:c r="M21" s="167" t="n">
        <x:v>1.987</x:v>
      </x:c>
      <x:c r="N21" s="167" t="n">
        <x:v>1.981</x:v>
      </x:c>
      <x:c r="O21" s="172" t="n">
        <x:f>IFERROR(N21/M21-1,0)</x:f>
        <x:v>-0.003019627579265216</x:v>
      </x:c>
      <x:c r="P21" s="171" t="n">
        <x:f>IFERROR(AD21/AH21,0)</x:f>
        <x:v>1.0478936620751493</x:v>
      </x:c>
      <x:c r="Q21" s="171" t="n">
        <x:f>IFERROR(AE21/AI21,0)</x:f>
        <x:v>1.04941980069079</x:v>
      </x:c>
      <x:c r="R21" s="172" t="n">
        <x:f>IFERROR((Q21-P21)/(P21+S21),0)</x:f>
        <x:v>0.0014563869129797383</x:v>
      </x:c>
      <x:c r="S21" s="172" t="n">
        <x:f>IFERROR(AF21/AH21,0)</x:f>
        <x:v>0</x:v>
      </x:c>
      <x:c r="T21" s="172" t="n">
        <x:f>IFERROR(AG21/AI21,0)</x:f>
        <x:v>0</x:v>
      </x:c>
      <x:c r="U21" s="172" t="n">
        <x:f>IFERROR((T21-S21)/(P21+S21),0)</x:f>
        <x:v>0</x:v>
      </x:c>
      <x:c r="V21" s="172" t="n">
        <x:f>R21+U21</x:f>
        <x:v>0.0014563869129797383</x:v>
      </x:c>
      <x:c r="W21" s="172" t="n">
        <x:f>(1+O21)*(1+V21)-1</x:f>
        <x:v>-0.0015676384123739506</x:v>
      </x:c>
      <x:c r="X21" s="174" t="n">
        <x:f>G21-W21</x:f>
        <x:v>1.3010426069826053e-17</x:v>
      </x:c>
      <x:c r="Y21" s="172" t="n">
        <x:f>AX21</x:f>
        <x:v>-0.0019753091233377126</x:v>
      </x:c>
      <x:c r="Z21" s="172" t="n">
        <x:f>BL21</x:f>
        <x:v>0.00005861685616555466</x:v>
      </x:c>
      <x:c r="AA21" s="172" t="n">
        <x:f>SUM(BZ21,CN21,DB21,DP21,ED21,ER21,FF21,FT21)</x:f>
        <x:v>0.00034905385479816286</x:v>
      </x:c>
      <x:c r="AB21" s="172" t="n">
        <x:f>SUM(Y21:AA21)</x:f>
        <x:v>-0.001567638412373995</x:v>
      </x:c>
      <x:c r="AC21" s="174" t="n">
        <x:f>G21-AB21</x:f>
        <x:v>5.746271514173174e-17</x:v>
      </x:c>
      <x:c r="AD21" s="169" t="n">
        <x:v>1.0634140482856598</x:v>
      </x:c>
      <x:c r="AE21" s="169" t="n">
        <x:v>1.061746999575309</x:v>
      </x:c>
      <x:c r="AF21" s="169" t="n">
        <x:v>0</x:v>
      </x:c>
      <x:c r="AG21" s="169" t="n">
        <x:v>0</x:v>
      </x:c>
      <x:c r="AH21" s="171" t="n">
        <x:f>M21/$M$3</x:f>
        <x:v>1.0148110316649643</x:v>
      </x:c>
      <x:c r="AI21" s="171" t="n">
        <x:f>N21/$M$3</x:f>
        <x:v>1.0117466802860062</x:v>
      </x:c>
      <x:c r="AJ21" s="170" t="n">
        <x:f>IF(AK21&lt;&gt;"",1,0)+IF(AY21&lt;&gt;"",1,0)+IF(BM21&lt;&gt;"",1,0)+IF(CA21&lt;&gt;"",1,0)+IF(CO21&lt;&gt;"",1,0)+IF(DC21&lt;&gt;"",1,0)+IF(DQ21&lt;&gt;"",1,0)+IF(EE21&lt;&gt;"",1,0)+IF(ES21&lt;&gt;"",1,0)+IF(FG21&lt;&gt;"",1,0)</x:f>
        <x:v>4</x:v>
      </x:c>
      <x:c r="AK21" s="147" t="str">
        <x:v>Silver replicating holding (LBMA/SLV proxy)</x:v>
      </x:c>
      <x:c r="AL21" s="147" t="str">
        <x:v>Physical-backed proxy</x:v>
      </x:c>
      <x:c r="AM21" s="147" t="str">
        <x:v>Long</x:v>
      </x:c>
      <x:c r="AN21" s="167" t="n">
        <x:v>1.987</x:v>
      </x:c>
      <x:c r="AO21" s="167" t="n">
        <x:v>1.981</x:v>
      </x:c>
      <x:c r="AP21" s="166" t="n">
        <x:v>0.6526760957719404</x:v>
      </x:c>
      <x:c r="AQ21" s="171" t="n">
        <x:f>IF(AK21="","",IFERROR(F21*AP21/AN21,0))</x:f>
        <x:v>0.3493029336809854</x:v>
      </x:c>
      <x:c r="AR21" s="171" t="n">
        <x:f>IF(AK21="","",F21*ABS(AP21))</x:f>
        <x:v>0.6940649292241181</x:v>
      </x:c>
      <x:c r="AS21" s="165"/>
      <x:c r="AT21" s="172" t="str">
        <x:f>IF(AK21="","",IF(AS21="","",IFERROR(AN21/AS21-1,0)))</x:f>
      </x:c>
      <x:c r="AU21" s="166"/>
      <x:c r="AV21" s="172" t="str">
        <x:f>IF(AK21="","",IF(AU21="","",AU21-AT21*365/AW21))</x:f>
      </x:c>
      <x:c r="AW21" s="164"/>
      <x:c r="AX21" s="173" t="n">
        <x:f>IF(AK21="","",IFERROR(AP21*(AO21/AN21-1-'Parameters'!$C$6*C21/365),0))</x:f>
        <x:v>-0.0019753091233377126</x:v>
      </x:c>
      <x:c r="AY21" s="147" t="str">
        <x:v>Matched-maturity Treasury collateral</x:v>
      </x:c>
      <x:c r="AZ21" s="147" t="str">
        <x:v>Treasury</x:v>
      </x:c>
      <x:c r="BA21" s="147" t="str">
        <x:v>Long</x:v>
      </x:c>
      <x:c r="BB21" s="167" t="n">
        <x:v>100.43748655136946</x:v>
      </x:c>
      <x:c r="BC21" s="167" t="n">
        <x:v>100.45443709704497</x:v>
      </x:c>
      <x:c r="BD21" s="166" t="n">
        <x:v>0.3473239042280596</x:v>
      </x:c>
      <x:c r="BE21" s="171" t="n">
        <x:f>IF(AY21="","",IFERROR(F21*BD21/BB21,0))</x:f>
        <x:v>0.003677403046845815</x:v>
      </x:c>
      <x:c r="BF21" s="171" t="n">
        <x:f>IF(AY21="","",F21*ABS(BD21))</x:f>
        <x:v>0.3693491190615416</x:v>
      </x:c>
      <x:c r="BG21" s="165"/>
      <x:c r="BH21" s="172" t="str">
        <x:f>IF(AY21="","",IF(BG21="","",IFERROR(BB21/BG21-1,0)))</x:f>
      </x:c>
      <x:c r="BI21" s="166"/>
      <x:c r="BJ21" s="172" t="str">
        <x:f>IF(AY21="","",IF(BI21="","",BI21-BH21*365/BK21))</x:f>
      </x:c>
      <x:c r="BK21" s="164" t="n">
        <x:v>58.00537097447214</x:v>
      </x:c>
      <x:c r="BL21" s="172" t="n">
        <x:f>IF(AY21="","",IFERROR(BD21*(BC21/BB21-1),0))</x:f>
        <x:v>0.00005861685616555466</x:v>
      </x:c>
      <x:c r="BM21" s="147" t="str">
        <x:v>SI69H</x:v>
      </x:c>
      <x:c r="BN21" s="147" t="str">
        <x:v>Silver future (regular)</x:v>
      </x:c>
      <x:c r="BO21" s="147" t="str">
        <x:v>Long</x:v>
      </x:c>
      <x:c r="BP21" s="167" t="n">
        <x:v>1.99</x:v>
      </x:c>
      <x:c r="BQ21" s="167" t="n">
        <x:v>1.992</x:v>
      </x:c>
      <x:c r="BR21" s="166" t="n">
        <x:v>0.3472938160373632</x:v>
      </x:c>
      <x:c r="BS21" s="171" t="n">
        <x:f>IF(BM21="","",IFERROR(F21*BR21/BP21,0))</x:f>
        <x:v>0.1855864938979234</x:v>
      </x:c>
      <x:c r="BT21" s="171" t="n">
        <x:f>IF(BM21="","",F21*ABS(BR21))</x:f>
        <x:v>0.3693171228568676</x:v>
      </x:c>
      <x:c r="BU21" s="165" t="n">
        <x:v>1.987</x:v>
      </x:c>
      <x:c r="BV21" s="172" t="n">
        <x:f>IF(BM21="","",IF(BU21="","",IFERROR(BP21/BU21-1,0)))</x:f>
        <x:v>0.0015098137896325525</x:v>
      </x:c>
      <x:c r="BW21" s="166" t="n">
        <x:v>0.0616</x:v>
      </x:c>
      <x:c r="BX21" s="172" t="n">
        <x:f>IF(BM21="","",IF(BW21="","",BW21-BV21*365/BY21))</x:f>
        <x:v>0.05209858563420894</x:v>
      </x:c>
      <x:c r="BY21" s="164" t="n">
        <x:v>58</x:v>
      </x:c>
      <x:c r="BZ21" s="172" t="n">
        <x:f>IF(BM21="","",IFERROR(BR21*(BQ21/BP21-1),0))</x:f>
        <x:v>0.00034903901109283655</x:v>
      </x:c>
      <x:c r="CA21" s="147" t="str">
        <x:v>SI69K</x:v>
      </x:c>
      <x:c r="CB21" s="147" t="str">
        <x:v>Silver future (regular)</x:v>
      </x:c>
      <x:c r="CC21" s="147" t="str">
        <x:v>Long</x:v>
      </x:c>
      <x:c r="CD21" s="167" t="n">
        <x:v>2.0269999999999997</x:v>
      </x:c>
      <x:c r="CE21" s="167" t="n">
        <x:v>2.028</x:v>
      </x:c>
      <x:c r="CF21" s="166" t="n">
        <x:v>0.000030088190696369615</x:v>
      </x:c>
      <x:c r="CG21" s="171" t="n">
        <x:f>IF(CA21="","",IFERROR(F21*CF21/CD21,0))</x:f>
        <x:v>0.000015785004772578856</x:v>
      </x:c>
      <x:c r="CH21" s="171" t="n">
        <x:f>IF(CA21="","",F21*ABS(CF21))</x:f>
        <x:v>0.000031996204674017335</x:v>
      </x:c>
      <x:c r="CI21" s="165" t="n">
        <x:v>1.987</x:v>
      </x:c>
      <x:c r="CJ21" s="172" t="n">
        <x:f>IF(CA21="","",IF(CI21="","",IFERROR(CD21/CI21-1,0)))</x:f>
        <x:v>0.020130850528434552</x:v>
      </x:c>
      <x:c r="CK21" s="166" t="n">
        <x:v>0.06185494505494505</x:v>
      </x:c>
      <x:c r="CL21" s="172" t="n">
        <x:f>IF(CA21="","",IF(CK21="","",CK21-CJ21*365/CM21))</x:f>
        <x:v>0.0006236080309566239</x:v>
      </x:c>
      <x:c r="CM21" s="164" t="n">
        <x:v>120</x:v>
      </x:c>
      <x:c r="CN21" s="172" t="n">
        <x:f>IF(CA21="","",IFERROR(CF21*(CE21/CD21-1),0))</x:f>
        <x:v>1.4843705326286833e-8</x:v>
      </x:c>
      <x:c r="CO21" s="147"/>
      <x:c r="CP21" s="147"/>
      <x:c r="CQ21" s="147"/>
      <x:c r="CR21" s="167"/>
      <x:c r="CS21" s="167"/>
      <x:c r="CT21" s="166"/>
      <x:c r="CU21" s="171" t="str">
        <x:f>IF(CO21="","",IFERROR(F21*CT21/CR21,0))</x:f>
      </x:c>
      <x:c r="CV21" s="171" t="str">
        <x:f>IF(CO21="","",F21*ABS(CT21))</x:f>
      </x:c>
      <x:c r="CW21" s="165"/>
      <x:c r="CX21" s="172" t="str">
        <x:f>IF(CO21="","",IF(CW21="","",IFERROR(CR21/CW21-1,0)))</x:f>
      </x:c>
      <x:c r="CY21" s="166"/>
      <x:c r="CZ21" s="172" t="str">
        <x:f>IF(CO21="","",IF(CY21="","",CY21-CX21*365/DA21))</x:f>
      </x:c>
      <x:c r="DA21" s="164"/>
      <x:c r="DB21" s="172" t="str">
        <x:f>IF(CO21="","",IFERROR(CT21*(CS21/CR21-1),0))</x:f>
      </x:c>
      <x:c r="DC21" s="147"/>
      <x:c r="DD21" s="147"/>
      <x:c r="DE21" s="147"/>
      <x:c r="DF21" s="167"/>
      <x:c r="DG21" s="167"/>
      <x:c r="DH21" s="166"/>
      <x:c r="DI21" s="171" t="str">
        <x:f>IF(DC21="","",IFERROR(F21*DH21/DF21,0))</x:f>
      </x:c>
      <x:c r="DJ21" s="171" t="str">
        <x:f>IF(DC21="","",F21*ABS(DH21))</x:f>
      </x:c>
      <x:c r="DK21" s="165"/>
      <x:c r="DL21" s="172" t="str">
        <x:f>IF(DC21="","",IF(DK21="","",IFERROR(DF21/DK21-1,0)))</x:f>
      </x:c>
      <x:c r="DM21" s="166"/>
      <x:c r="DN21" s="172" t="str">
        <x:f>IF(DC21="","",IF(DM21="","",DM21-DL21*365/DO21))</x:f>
      </x:c>
      <x:c r="DO21" s="164"/>
      <x:c r="DP21" s="172" t="str">
        <x:f>IF(DC21="","",IFERROR(DH21*(DG21/DF21-1),0))</x:f>
      </x:c>
      <x:c r="DQ21" s="147"/>
      <x:c r="DR21" s="147"/>
      <x:c r="DS21" s="147"/>
      <x:c r="DT21" s="167"/>
      <x:c r="DU21" s="167"/>
      <x:c r="DV21" s="166"/>
      <x:c r="DW21" s="171" t="str">
        <x:f>IF(DQ21="","",IFERROR(F21*DV21/DT21,0))</x:f>
      </x:c>
      <x:c r="DX21" s="171" t="str">
        <x:f>IF(DQ21="","",F21*ABS(DV21))</x:f>
      </x:c>
      <x:c r="DY21" s="165"/>
      <x:c r="DZ21" s="172" t="str">
        <x:f>IF(DQ21="","",IF(DY21="","",IFERROR(DT21/DY21-1,0)))</x:f>
      </x:c>
      <x:c r="EA21" s="166"/>
      <x:c r="EB21" s="172" t="str">
        <x:f>IF(DQ21="","",IF(EA21="","",EA21-DZ21*365/EC21))</x:f>
      </x:c>
      <x:c r="EC21" s="164"/>
      <x:c r="ED21" s="172" t="str">
        <x:f>IF(DQ21="","",IFERROR(DV21*(DU21/DT21-1),0))</x:f>
      </x:c>
      <x:c r="EE21" s="147"/>
      <x:c r="EF21" s="147"/>
      <x:c r="EG21" s="147"/>
      <x:c r="EH21" s="167"/>
      <x:c r="EI21" s="167"/>
      <x:c r="EJ21" s="166"/>
      <x:c r="EK21" s="171" t="str">
        <x:f>IF(EE21="","",IFERROR(F21*EJ21/EH21,0))</x:f>
      </x:c>
      <x:c r="EL21" s="171" t="str">
        <x:f>IF(EE21="","",F21*ABS(EJ21))</x:f>
      </x:c>
      <x:c r="EM21" s="165"/>
      <x:c r="EN21" s="172" t="str">
        <x:f>IF(EE21="","",IF(EM21="","",IFERROR(EH21/EM21-1,0)))</x:f>
      </x:c>
      <x:c r="EO21" s="166"/>
      <x:c r="EP21" s="172" t="str">
        <x:f>IF(EE21="","",IF(EO21="","",EO21-EN21*365/EQ21))</x:f>
      </x:c>
      <x:c r="EQ21" s="164"/>
      <x:c r="ER21" s="172" t="str">
        <x:f>IF(EE21="","",IFERROR(EJ21*(EI21/EH21-1),0))</x:f>
      </x:c>
      <x:c r="ES21" s="147"/>
      <x:c r="ET21" s="147"/>
      <x:c r="EU21" s="147"/>
      <x:c r="EV21" s="167"/>
      <x:c r="EW21" s="167"/>
      <x:c r="EX21" s="166"/>
      <x:c r="EY21" s="171" t="str">
        <x:f>IF(ES21="","",IFERROR(F21*EX21/EV21,0))</x:f>
      </x:c>
      <x:c r="EZ21" s="171" t="str">
        <x:f>IF(ES21="","",F21*ABS(EX21))</x:f>
      </x:c>
      <x:c r="FA21" s="165"/>
      <x:c r="FB21" s="172" t="str">
        <x:f>IF(ES21="","",IF(FA21="","",IFERROR(EV21/FA21-1,0)))</x:f>
      </x:c>
      <x:c r="FC21" s="166"/>
      <x:c r="FD21" s="172" t="str">
        <x:f>IF(ES21="","",IF(FC21="","",FC21-FB21*365/FE21))</x:f>
      </x:c>
      <x:c r="FE21" s="164"/>
      <x:c r="FF21" s="172" t="str">
        <x:f>IF(ES21="","",IFERROR(EX21*(EW21/EV21-1),0))</x:f>
      </x:c>
      <x:c r="FG21" s="147"/>
      <x:c r="FH21" s="147"/>
      <x:c r="FI21" s="147"/>
      <x:c r="FJ21" s="167"/>
      <x:c r="FK21" s="167"/>
      <x:c r="FL21" s="166"/>
      <x:c r="FM21" s="171" t="str">
        <x:f>IF(FG21="","",IFERROR(F21*FL21/FJ21,0))</x:f>
      </x:c>
      <x:c r="FN21" s="171" t="str">
        <x:f>IF(FG21="","",F21*ABS(FL21))</x:f>
      </x:c>
      <x:c r="FO21" s="165"/>
      <x:c r="FP21" s="172" t="str">
        <x:f>IF(FG21="","",IF(FO21="","",IFERROR(FJ21/FO21-1,0)))</x:f>
      </x:c>
      <x:c r="FQ21" s="166"/>
      <x:c r="FR21" s="172" t="str">
        <x:f>IF(FG21="","",IF(FQ21="","",FQ21-FP21*365/FS21))</x:f>
      </x:c>
      <x:c r="FS21" s="164"/>
      <x:c r="FT21" s="172" t="str">
        <x:f>IF(FG21="","",IFERROR(FL21*(FK21/FJ21-1),0))</x:f>
      </x:c>
    </x:row>
    <x:row r="22" ht="18" customHeight="1">
      <x:c r="A22" s="163" t="n">
        <x:v>25232</x:v>
      </x:c>
      <x:c r="B22" s="163" t="n">
        <x:v>25233</x:v>
      </x:c>
      <x:c r="C22" s="170" t="n">
        <x:f>B22-A22</x:f>
        <x:v>1</x:v>
      </x:c>
      <x:c r="D22" s="163" t="n">
        <x:v>25232</x:v>
      </x:c>
      <x:c r="E22" s="147" t="str">
        <x:v>positive</x:v>
      </x:c>
      <x:c r="F22" s="165" t="n">
        <x:v>1.061746999575309</x:v>
      </x:c>
      <x:c r="G22" s="168" t="n">
        <x:v>0.00949976457127024</x:v>
      </x:c>
      <x:c r="H22" s="172" t="n">
        <x:f>SUM(AX22,BL22,BZ22,CN22,DB22,DP22,ED22,ER22,FF22,FT22)</x:f>
        <x:v>0.009499764571270249</x:v>
      </x:c>
      <x:c r="I22" s="174" t="n">
        <x:f>G22-H22</x:f>
        <x:v>-8.673617379884035e-18</x:v>
      </x:c>
      <x:c r="J22" s="171" t="n">
        <x:f>F22*(1+H22)</x:f>
        <x:v>1.071833346105527</x:v>
      </x:c>
      <x:c r="K22" s="169" t="n">
        <x:v>1.071833346105527</x:v>
      </x:c>
      <x:c r="L22" s="175" t="n">
        <x:f>K22-J22</x:f>
        <x:v>0</x:v>
      </x:c>
      <x:c r="M22" s="167" t="n">
        <x:v>1.981</x:v>
      </x:c>
      <x:c r="N22" s="167" t="n">
        <x:v>2.001</x:v>
      </x:c>
      <x:c r="O22" s="172" t="n">
        <x:f>IFERROR(N22/M22-1,0)</x:f>
        <x:v>0.01009591115598174</x:v>
      </x:c>
      <x:c r="P22" s="171" t="n">
        <x:f>IFERROR(AD22/AH22,0)</x:f>
        <x:v>1.04941980069079</x:v>
      </x:c>
      <x:c r="Q22" s="171" t="n">
        <x:f>IFERROR(AE22/AI22,0)</x:f>
        <x:v>1.0488004456145037</x:v>
      </x:c>
      <x:c r="R22" s="172" t="n">
        <x:f>IFERROR((Q22-P22)/(P22+S22),0)</x:f>
        <x:v>-0.0005901880981077379</x:v>
      </x:c>
      <x:c r="S22" s="172" t="n">
        <x:f>IFERROR(AF22/AH22,0)</x:f>
        <x:v>0</x:v>
      </x:c>
      <x:c r="T22" s="172" t="n">
        <x:f>IFERROR(AG22/AI22,0)</x:f>
        <x:v>0</x:v>
      </x:c>
      <x:c r="U22" s="172" t="n">
        <x:f>IFERROR((T22-S22)/(P22+S22),0)</x:f>
        <x:v>0</x:v>
      </x:c>
      <x:c r="V22" s="172" t="n">
        <x:f>R22+U22</x:f>
        <x:v>-0.0005901880981077379</x:v>
      </x:c>
      <x:c r="W22" s="172" t="n">
        <x:f>(1+O22)*(1+V22)-1</x:f>
        <x:v>0.00949976457127022</x:v>
      </x:c>
      <x:c r="X22" s="174" t="n">
        <x:f>G22-W22</x:f>
        <x:v>2.0816681711721685e-17</x:v>
      </x:c>
      <x:c r="Y22" s="172" t="n">
        <x:f>AX22</x:f>
        <x:v>0.008337405018316002</x:v>
      </x:c>
      <x:c r="Z22" s="172" t="n">
        <x:f>BL22</x:f>
        <x:v>0.000029301246002700584</x:v>
      </x:c>
      <x:c r="AA22" s="172" t="n">
        <x:f>SUM(BZ22,CN22,DB22,DP22,ED22,ER22,FF22,FT22)</x:f>
        <x:v>0.0011330583069515475</x:v>
      </x:c>
      <x:c r="AB22" s="172" t="n">
        <x:f>SUM(Y22:AA22)</x:f>
        <x:v>0.009499764571270249</x:v>
      </x:c>
      <x:c r="AC22" s="174" t="n">
        <x:f>G22-AB22</x:f>
        <x:v>-8.673617379884035e-18</x:v>
      </x:c>
      <x:c r="AD22" s="169" t="n">
        <x:v>1.061746999575309</x:v>
      </x:c>
      <x:c r="AE22" s="169" t="n">
        <x:v>1.071833346105527</x:v>
      </x:c>
      <x:c r="AF22" s="169" t="n">
        <x:v>0</x:v>
      </x:c>
      <x:c r="AG22" s="169" t="n">
        <x:v>0</x:v>
      </x:c>
      <x:c r="AH22" s="171" t="n">
        <x:f>M22/$M$3</x:f>
        <x:v>1.0117466802860062</x:v>
      </x:c>
      <x:c r="AI22" s="171" t="n">
        <x:f>N22/$M$3</x:f>
        <x:v>1.0219611848825332</x:v>
      </x:c>
      <x:c r="AJ22" s="170" t="n">
        <x:f>IF(AK22&lt;&gt;"",1,0)+IF(AY22&lt;&gt;"",1,0)+IF(BM22&lt;&gt;"",1,0)+IF(CA22&lt;&gt;"",1,0)+IF(CO22&lt;&gt;"",1,0)+IF(DC22&lt;&gt;"",1,0)+IF(DQ22&lt;&gt;"",1,0)+IF(EE22&lt;&gt;"",1,0)+IF(ES22&lt;&gt;"",1,0)+IF(FG22&lt;&gt;"",1,0)</x:f>
        <x:v>3</x:v>
      </x:c>
      <x:c r="AK22" s="147" t="str">
        <x:v>Silver replicating holding (LBMA/SLV proxy)</x:v>
      </x:c>
      <x:c r="AL22" s="147" t="str">
        <x:v>Physical-backed proxy</x:v>
      </x:c>
      <x:c r="AM22" s="147" t="str">
        <x:v>Long</x:v>
      </x:c>
      <x:c r="AN22" s="167" t="n">
        <x:v>1.981</x:v>
      </x:c>
      <x:c r="AO22" s="167" t="n">
        <x:v>2.001</x:v>
      </x:c>
      <x:c r="AP22" s="166" t="n">
        <x:v>0.8263806040424976</x:v>
      </x:c>
      <x:c r="AQ22" s="171" t="n">
        <x:f>IF(AK22="","",IFERROR(F22*AP22/AN22,0))</x:f>
        <x:v>0.44291122001481736</x:v>
      </x:c>
      <x:c r="AR22" s="171" t="n">
        <x:f>IF(AK22="","",F22*ABS(AP22))</x:f>
        <x:v>0.8774071268493533</x:v>
      </x:c>
      <x:c r="AS22" s="165"/>
      <x:c r="AT22" s="172" t="str">
        <x:f>IF(AK22="","",IF(AS22="","",IFERROR(AN22/AS22-1,0)))</x:f>
      </x:c>
      <x:c r="AU22" s="166"/>
      <x:c r="AV22" s="172" t="str">
        <x:f>IF(AK22="","",IF(AU22="","",AU22-AT22*365/AW22))</x:f>
      </x:c>
      <x:c r="AW22" s="164"/>
      <x:c r="AX22" s="173" t="n">
        <x:f>IF(AK22="","",IFERROR(AP22*(AO22/AN22-1-'Parameters'!$C$6*C22/365),0))</x:f>
        <x:v>0.008337405018316002</x:v>
      </x:c>
      <x:c r="AY22" s="147" t="str">
        <x:v>Matched-maturity Treasury collateral</x:v>
      </x:c>
      <x:c r="AZ22" s="147" t="str">
        <x:v>Treasury</x:v>
      </x:c>
      <x:c r="BA22" s="147" t="str">
        <x:v>Long</x:v>
      </x:c>
      <x:c r="BB22" s="167" t="n">
        <x:v>100.45443709704497</x:v>
      </x:c>
      <x:c r="BC22" s="167" t="n">
        <x:v>100.47139050341534</x:v>
      </x:c>
      <x:c r="BD22" s="166" t="n">
        <x:v>0.17361939595750242</x:v>
      </x:c>
      <x:c r="BE22" s="171" t="n">
        <x:f>IF(AY22="","",IFERROR(F22*BD22/BB22,0))</x:f>
        <x:v>0.0018350595359752245</x:v>
      </x:c>
      <x:c r="BF22" s="171" t="n">
        <x:f>IF(AY22="","",F22*ABS(BD22))</x:f>
        <x:v>0.18433987272595573</x:v>
      </x:c>
      <x:c r="BG22" s="165"/>
      <x:c r="BH22" s="172" t="str">
        <x:f>IF(AY22="","",IF(BG22="","",IFERROR(BB22/BG22-1,0)))</x:f>
      </x:c>
      <x:c r="BI22" s="166"/>
      <x:c r="BJ22" s="172" t="str">
        <x:f>IF(AY22="","",IF(BI22="","",BI22-BH22*365/BK22))</x:f>
      </x:c>
      <x:c r="BK22" s="164" t="n">
        <x:v>57</x:v>
      </x:c>
      <x:c r="BL22" s="172" t="n">
        <x:f>IF(AY22="","",IFERROR(BD22*(BC22/BB22-1),0))</x:f>
        <x:v>0.000029301246002700584</x:v>
      </x:c>
      <x:c r="BM22" s="147" t="str">
        <x:v>SI69H</x:v>
      </x:c>
      <x:c r="BN22" s="147" t="str">
        <x:v>Silver future (regular)</x:v>
      </x:c>
      <x:c r="BO22" s="147" t="str">
        <x:v>Long</x:v>
      </x:c>
      <x:c r="BP22" s="167" t="n">
        <x:v>1.992</x:v>
      </x:c>
      <x:c r="BQ22" s="167" t="n">
        <x:v>2.005</x:v>
      </x:c>
      <x:c r="BR22" s="166" t="n">
        <x:v>0.17361939595750242</x:v>
      </x:c>
      <x:c r="BS22" s="171" t="n">
        <x:f>IF(BM22="","",IFERROR(F22*BR22/BP22,0))</x:f>
        <x:v>0.09254009674997778</x:v>
      </x:c>
      <x:c r="BT22" s="171" t="n">
        <x:f>IF(BM22="","",F22*ABS(BR22))</x:f>
        <x:v>0.18433987272595573</x:v>
      </x:c>
      <x:c r="BU22" s="165" t="n">
        <x:v>1.981</x:v>
      </x:c>
      <x:c r="BV22" s="172" t="n">
        <x:f>IF(BM22="","",IF(BU22="","",IFERROR(BP22/BU22-1,0)))</x:f>
        <x:v>0.005552751135790013</x:v>
      </x:c>
      <x:c r="BW22" s="166" t="n">
        <x:v>0.0616</x:v>
      </x:c>
      <x:c r="BX22" s="172" t="n">
        <x:f>IF(BM22="","",IF(BW22="","",BW22-BV22*365/BY22))</x:f>
        <x:v>0.026042909393625364</x:v>
      </x:c>
      <x:c r="BY22" s="164" t="n">
        <x:v>57</x:v>
      </x:c>
      <x:c r="BZ22" s="172" t="n">
        <x:f>IF(BM22="","",IFERROR(BR22*(BQ22/BP22-1),0))</x:f>
        <x:v>0.0011330583069515475</x:v>
      </x:c>
      <x:c r="CA22" s="147"/>
      <x:c r="CB22" s="147"/>
      <x:c r="CC22" s="147"/>
      <x:c r="CD22" s="167"/>
      <x:c r="CE22" s="167"/>
      <x:c r="CF22" s="166"/>
      <x:c r="CG22" s="171" t="str">
        <x:f>IF(CA22="","",IFERROR(F22*CF22/CD22,0))</x:f>
      </x:c>
      <x:c r="CH22" s="171" t="str">
        <x:f>IF(CA22="","",F22*ABS(CF22))</x:f>
      </x:c>
      <x:c r="CI22" s="165"/>
      <x:c r="CJ22" s="172" t="str">
        <x:f>IF(CA22="","",IF(CI22="","",IFERROR(CD22/CI22-1,0)))</x:f>
      </x:c>
      <x:c r="CK22" s="166"/>
      <x:c r="CL22" s="172" t="str">
        <x:f>IF(CA22="","",IF(CK22="","",CK22-CJ22*365/CM22))</x:f>
      </x:c>
      <x:c r="CM22" s="164"/>
      <x:c r="CN22" s="172" t="str">
        <x:f>IF(CA22="","",IFERROR(CF22*(CE22/CD22-1),0))</x:f>
      </x:c>
      <x:c r="CO22" s="147"/>
      <x:c r="CP22" s="147"/>
      <x:c r="CQ22" s="147"/>
      <x:c r="CR22" s="167"/>
      <x:c r="CS22" s="167"/>
      <x:c r="CT22" s="166"/>
      <x:c r="CU22" s="171" t="str">
        <x:f>IF(CO22="","",IFERROR(F22*CT22/CR22,0))</x:f>
      </x:c>
      <x:c r="CV22" s="171" t="str">
        <x:f>IF(CO22="","",F22*ABS(CT22))</x:f>
      </x:c>
      <x:c r="CW22" s="165"/>
      <x:c r="CX22" s="172" t="str">
        <x:f>IF(CO22="","",IF(CW22="","",IFERROR(CR22/CW22-1,0)))</x:f>
      </x:c>
      <x:c r="CY22" s="166"/>
      <x:c r="CZ22" s="172" t="str">
        <x:f>IF(CO22="","",IF(CY22="","",CY22-CX22*365/DA22))</x:f>
      </x:c>
      <x:c r="DA22" s="164"/>
      <x:c r="DB22" s="172" t="str">
        <x:f>IF(CO22="","",IFERROR(CT22*(CS22/CR22-1),0))</x:f>
      </x:c>
      <x:c r="DC22" s="147"/>
      <x:c r="DD22" s="147"/>
      <x:c r="DE22" s="147"/>
      <x:c r="DF22" s="167"/>
      <x:c r="DG22" s="167"/>
      <x:c r="DH22" s="166"/>
      <x:c r="DI22" s="171" t="str">
        <x:f>IF(DC22="","",IFERROR(F22*DH22/DF22,0))</x:f>
      </x:c>
      <x:c r="DJ22" s="171" t="str">
        <x:f>IF(DC22="","",F22*ABS(DH22))</x:f>
      </x:c>
      <x:c r="DK22" s="165"/>
      <x:c r="DL22" s="172" t="str">
        <x:f>IF(DC22="","",IF(DK22="","",IFERROR(DF22/DK22-1,0)))</x:f>
      </x:c>
      <x:c r="DM22" s="166"/>
      <x:c r="DN22" s="172" t="str">
        <x:f>IF(DC22="","",IF(DM22="","",DM22-DL22*365/DO22))</x:f>
      </x:c>
      <x:c r="DO22" s="164"/>
      <x:c r="DP22" s="172" t="str">
        <x:f>IF(DC22="","",IFERROR(DH22*(DG22/DF22-1),0))</x:f>
      </x:c>
      <x:c r="DQ22" s="147"/>
      <x:c r="DR22" s="147"/>
      <x:c r="DS22" s="147"/>
      <x:c r="DT22" s="167"/>
      <x:c r="DU22" s="167"/>
      <x:c r="DV22" s="166"/>
      <x:c r="DW22" s="171" t="str">
        <x:f>IF(DQ22="","",IFERROR(F22*DV22/DT22,0))</x:f>
      </x:c>
      <x:c r="DX22" s="171" t="str">
        <x:f>IF(DQ22="","",F22*ABS(DV22))</x:f>
      </x:c>
      <x:c r="DY22" s="165"/>
      <x:c r="DZ22" s="172" t="str">
        <x:f>IF(DQ22="","",IF(DY22="","",IFERROR(DT22/DY22-1,0)))</x:f>
      </x:c>
      <x:c r="EA22" s="166"/>
      <x:c r="EB22" s="172" t="str">
        <x:f>IF(DQ22="","",IF(EA22="","",EA22-DZ22*365/EC22))</x:f>
      </x:c>
      <x:c r="EC22" s="164"/>
      <x:c r="ED22" s="172" t="str">
        <x:f>IF(DQ22="","",IFERROR(DV22*(DU22/DT22-1),0))</x:f>
      </x:c>
      <x:c r="EE22" s="147"/>
      <x:c r="EF22" s="147"/>
      <x:c r="EG22" s="147"/>
      <x:c r="EH22" s="167"/>
      <x:c r="EI22" s="167"/>
      <x:c r="EJ22" s="166"/>
      <x:c r="EK22" s="171" t="str">
        <x:f>IF(EE22="","",IFERROR(F22*EJ22/EH22,0))</x:f>
      </x:c>
      <x:c r="EL22" s="171" t="str">
        <x:f>IF(EE22="","",F22*ABS(EJ22))</x:f>
      </x:c>
      <x:c r="EM22" s="165"/>
      <x:c r="EN22" s="172" t="str">
        <x:f>IF(EE22="","",IF(EM22="","",IFERROR(EH22/EM22-1,0)))</x:f>
      </x:c>
      <x:c r="EO22" s="166"/>
      <x:c r="EP22" s="172" t="str">
        <x:f>IF(EE22="","",IF(EO22="","",EO22-EN22*365/EQ22))</x:f>
      </x:c>
      <x:c r="EQ22" s="164"/>
      <x:c r="ER22" s="172" t="str">
        <x:f>IF(EE22="","",IFERROR(EJ22*(EI22/EH22-1),0))</x:f>
      </x:c>
      <x:c r="ES22" s="147"/>
      <x:c r="ET22" s="147"/>
      <x:c r="EU22" s="147"/>
      <x:c r="EV22" s="167"/>
      <x:c r="EW22" s="167"/>
      <x:c r="EX22" s="166"/>
      <x:c r="EY22" s="171" t="str">
        <x:f>IF(ES22="","",IFERROR(F22*EX22/EV22,0))</x:f>
      </x:c>
      <x:c r="EZ22" s="171" t="str">
        <x:f>IF(ES22="","",F22*ABS(EX22))</x:f>
      </x:c>
      <x:c r="FA22" s="165"/>
      <x:c r="FB22" s="172" t="str">
        <x:f>IF(ES22="","",IF(FA22="","",IFERROR(EV22/FA22-1,0)))</x:f>
      </x:c>
      <x:c r="FC22" s="166"/>
      <x:c r="FD22" s="172" t="str">
        <x:f>IF(ES22="","",IF(FC22="","",FC22-FB22*365/FE22))</x:f>
      </x:c>
      <x:c r="FE22" s="164"/>
      <x:c r="FF22" s="172" t="str">
        <x:f>IF(ES22="","",IFERROR(EX22*(EW22/EV22-1),0))</x:f>
      </x:c>
      <x:c r="FG22" s="147"/>
      <x:c r="FH22" s="147"/>
      <x:c r="FI22" s="147"/>
      <x:c r="FJ22" s="167"/>
      <x:c r="FK22" s="167"/>
      <x:c r="FL22" s="166"/>
      <x:c r="FM22" s="171" t="str">
        <x:f>IF(FG22="","",IFERROR(F22*FL22/FJ22,0))</x:f>
      </x:c>
      <x:c r="FN22" s="171" t="str">
        <x:f>IF(FG22="","",F22*ABS(FL22))</x:f>
      </x:c>
      <x:c r="FO22" s="165"/>
      <x:c r="FP22" s="172" t="str">
        <x:f>IF(FG22="","",IF(FO22="","",IFERROR(FJ22/FO22-1,0)))</x:f>
      </x:c>
      <x:c r="FQ22" s="166"/>
      <x:c r="FR22" s="172" t="str">
        <x:f>IF(FG22="","",IF(FQ22="","",FQ22-FP22*365/FS22))</x:f>
      </x:c>
      <x:c r="FS22" s="164"/>
      <x:c r="FT22" s="172" t="str">
        <x:f>IF(FG22="","",IFERROR(FL22*(FK22/FJ22-1),0))</x:f>
      </x:c>
    </x:row>
    <x:row r="23" ht="18" customHeight="1">
      <x:c r="A23" s="163" t="n">
        <x:v>25233</x:v>
      </x:c>
      <x:c r="B23" s="163" t="n">
        <x:v>25234</x:v>
      </x:c>
      <x:c r="C23" s="170" t="n">
        <x:f>B23-A23</x:f>
        <x:v>1</x:v>
      </x:c>
      <x:c r="D23" s="163" t="n">
        <x:v>25233</x:v>
      </x:c>
      <x:c r="E23" s="147" t="str">
        <x:v>positive</x:v>
      </x:c>
      <x:c r="F23" s="165" t="n">
        <x:v>1.071833346105527</x:v>
      </x:c>
      <x:c r="G23" s="168" t="n">
        <x:v>-0.0005971034912389655</x:v>
      </x:c>
      <x:c r="H23" s="172" t="n">
        <x:f>SUM(AX23,BL23,BZ23,CN23,DB23,DP23,ED23,ER23,FF23,FT23)</x:f>
        <x:v>-0.000597103491238991</x:v>
      </x:c>
      <x:c r="I23" s="174" t="n">
        <x:f>G23-H23</x:f>
        <x:v>2.5478751053409354e-17</x:v>
      </x:c>
      <x:c r="J23" s="171" t="n">
        <x:f>F23*(1+H23)</x:f>
        <x:v>1.071193350672541</x:v>
      </x:c>
      <x:c r="K23" s="169" t="n">
        <x:v>1.071193350672541</x:v>
      </x:c>
      <x:c r="L23" s="175" t="n">
        <x:f>K23-J23</x:f>
        <x:v>0</x:v>
      </x:c>
      <x:c r="M23" s="167" t="n">
        <x:v>2.001</x:v>
      </x:c>
      <x:c r="N23" s="167" t="n">
        <x:v>2.001</x:v>
      </x:c>
      <x:c r="O23" s="172" t="n">
        <x:f>IFERROR(N23/M23-1,0)</x:f>
        <x:v>0</x:v>
      </x:c>
      <x:c r="P23" s="171" t="n">
        <x:f>IFERROR(AD23/AH23,0)</x:f>
        <x:v>1.0488004456145037</x:v>
      </x:c>
      <x:c r="Q23" s="171" t="n">
        <x:f>IFERROR(AE23/AI23,0)</x:f>
        <x:v>1.0481742032068144</x:v>
      </x:c>
      <x:c r="R23" s="172" t="n">
        <x:f>IFERROR((Q23-P23)/(P23+S23),0)</x:f>
        <x:v>-0.0005971034912388391</x:v>
      </x:c>
      <x:c r="S23" s="172" t="n">
        <x:f>IFERROR(AF23/AH23,0)</x:f>
        <x:v>0</x:v>
      </x:c>
      <x:c r="T23" s="172" t="n">
        <x:f>IFERROR(AG23/AI23,0)</x:f>
        <x:v>0</x:v>
      </x:c>
      <x:c r="U23" s="172" t="n">
        <x:f>IFERROR((T23-S23)/(P23+S23),0)</x:f>
        <x:v>0</x:v>
      </x:c>
      <x:c r="V23" s="172" t="n">
        <x:f>R23+U23</x:f>
        <x:v>-0.0005971034912388391</x:v>
      </x:c>
      <x:c r="W23" s="172" t="n">
        <x:f>(1+O23)*(1+V23)-1</x:f>
        <x:v>-0.0005971034912388706</x:v>
      </x:c>
      <x:c r="X23" s="174" t="n">
        <x:f>G23-W23</x:f>
        <x:v>-9.486769009248164e-17</x:v>
      </x:c>
      <x:c r="Y23" s="172" t="n">
        <x:f>AX23</x:f>
        <x:v>-0.00000462690409524526</x:v>
      </x:c>
      <x:c r="Z23" s="172" t="n">
        <x:f>BL23</x:f>
        <x:v>0.00005484910281973234</x:v>
      </x:c>
      <x:c r="AA23" s="172" t="n">
        <x:f>SUM(BZ23,CN23,DB23,DP23,ED23,ER23,FF23,FT23)</x:f>
        <x:v>-0.0006473256899634781</x:v>
      </x:c>
      <x:c r="AB23" s="172" t="n">
        <x:f>SUM(Y23:AA23)</x:f>
        <x:v>-0.000597103491238991</x:v>
      </x:c>
      <x:c r="AC23" s="174" t="n">
        <x:f>G23-AB23</x:f>
        <x:v>2.5478751053409354e-17</x:v>
      </x:c>
      <x:c r="AD23" s="169" t="n">
        <x:v>1.071833346105527</x:v>
      </x:c>
      <x:c r="AE23" s="169" t="n">
        <x:v>1.071193350672541</x:v>
      </x:c>
      <x:c r="AF23" s="169" t="n">
        <x:v>0</x:v>
      </x:c>
      <x:c r="AG23" s="169" t="n">
        <x:v>0</x:v>
      </x:c>
      <x:c r="AH23" s="171" t="n">
        <x:f>M23/$M$3</x:f>
        <x:v>1.0219611848825332</x:v>
      </x:c>
      <x:c r="AI23" s="171" t="n">
        <x:f>N23/$M$3</x:f>
        <x:v>1.0219611848825332</x:v>
      </x:c>
      <x:c r="AJ23" s="170" t="n">
        <x:f>IF(AK23&lt;&gt;"",1,0)+IF(AY23&lt;&gt;"",1,0)+IF(BM23&lt;&gt;"",1,0)+IF(CA23&lt;&gt;"",1,0)+IF(CO23&lt;&gt;"",1,0)+IF(DC23&lt;&gt;"",1,0)+IF(DQ23&lt;&gt;"",1,0)+IF(EE23&lt;&gt;"",1,0)+IF(ES23&lt;&gt;"",1,0)+IF(FG23&lt;&gt;"",1,0)</x:f>
        <x:v>3</x:v>
      </x:c>
      <x:c r="AK23" s="147" t="str">
        <x:v>Silver replicating holding (LBMA/SLV proxy)</x:v>
      </x:c>
      <x:c r="AL23" s="147" t="str">
        <x:v>Physical-backed proxy</x:v>
      </x:c>
      <x:c r="AM23" s="147" t="str">
        <x:v>Long</x:v>
      </x:c>
      <x:c r="AN23" s="167" t="n">
        <x:v>2.001</x:v>
      </x:c>
      <x:c r="AO23" s="167" t="n">
        <x:v>2.001</x:v>
      </x:c>
      <x:c r="AP23" s="166" t="n">
        <x:v>0.675527997905808</x:v>
      </x:c>
      <x:c r="AQ23" s="171" t="n">
        <x:f>IF(AK23="","",IFERROR(F23*AP23/AN23,0))</x:f>
        <x:v>0.36184579429452757</x:v>
      </x:c>
      <x:c r="AR23" s="171" t="n">
        <x:f>IF(AK23="","",F23*ABS(AP23))</x:f>
        <x:v>0.7240534343833496</x:v>
      </x:c>
      <x:c r="AS23" s="165"/>
      <x:c r="AT23" s="172" t="str">
        <x:f>IF(AK23="","",IF(AS23="","",IFERROR(AN23/AS23-1,0)))</x:f>
      </x:c>
      <x:c r="AU23" s="166"/>
      <x:c r="AV23" s="172" t="str">
        <x:f>IF(AK23="","",IF(AU23="","",AU23-AT23*365/AW23))</x:f>
      </x:c>
      <x:c r="AW23" s="164"/>
      <x:c r="AX23" s="173" t="n">
        <x:f>IF(AK23="","",IFERROR(AP23*(AO23/AN23-1-'Parameters'!$C$6*C23/365),0))</x:f>
        <x:v>-0.00000462690409524526</x:v>
      </x:c>
      <x:c r="AY23" s="147" t="str">
        <x:v>Matched-maturity Treasury collateral</x:v>
      </x:c>
      <x:c r="AZ23" s="147" t="str">
        <x:v>Treasury</x:v>
      </x:c>
      <x:c r="BA23" s="147" t="str">
        <x:v>Long</x:v>
      </x:c>
      <x:c r="BB23" s="167" t="n">
        <x:v>100.47139050341534</x:v>
      </x:c>
      <x:c r="BC23" s="167" t="n">
        <x:v>100.48837429737165</x:v>
      </x:c>
      <x:c r="BD23" s="166" t="n">
        <x:v>0.3244720020941919</x:v>
      </x:c>
      <x:c r="BE23" s="171" t="n">
        <x:f>IF(AY23="","",IFERROR(F23*BD23/BB23,0))</x:f>
        <x:v>0.003461482019703461</x:v>
      </x:c>
      <x:c r="BF23" s="171" t="n">
        <x:f>IF(AY23="","",F23*ABS(BD23))</x:f>
        <x:v>0.34777991172217726</x:v>
      </x:c>
      <x:c r="BG23" s="165"/>
      <x:c r="BH23" s="172" t="str">
        <x:f>IF(AY23="","",IF(BG23="","",IFERROR(BB23/BG23-1,0)))</x:f>
      </x:c>
      <x:c r="BI23" s="166"/>
      <x:c r="BJ23" s="172" t="str">
        <x:f>IF(AY23="","",IF(BI23="","",BI23-BH23*365/BK23))</x:f>
      </x:c>
      <x:c r="BK23" s="164" t="n">
        <x:v>56</x:v>
      </x:c>
      <x:c r="BL23" s="172" t="n">
        <x:f>IF(AY23="","",IFERROR(BD23*(BC23/BB23-1),0))</x:f>
        <x:v>0.00005484910281973234</x:v>
      </x:c>
      <x:c r="BM23" s="147" t="str">
        <x:v>SI69H</x:v>
      </x:c>
      <x:c r="BN23" s="147" t="str">
        <x:v>Silver future (regular)</x:v>
      </x:c>
      <x:c r="BO23" s="147" t="str">
        <x:v>Long</x:v>
      </x:c>
      <x:c r="BP23" s="167" t="n">
        <x:v>2.005</x:v>
      </x:c>
      <x:c r="BQ23" s="167" t="n">
        <x:v>2.001</x:v>
      </x:c>
      <x:c r="BR23" s="166" t="n">
        <x:v>0.3244720020941919</x:v>
      </x:c>
      <x:c r="BS23" s="171" t="n">
        <x:f>IF(BM23="","",IFERROR(F23*BR23/BP23,0))</x:f>
        <x:v>0.17345631507340512</x:v>
      </x:c>
      <x:c r="BT23" s="171" t="n">
        <x:f>IF(BM23="","",F23*ABS(BR23))</x:f>
        <x:v>0.34777991172217726</x:v>
      </x:c>
      <x:c r="BU23" s="165" t="n">
        <x:v>2.001</x:v>
      </x:c>
      <x:c r="BV23" s="172" t="n">
        <x:f>IF(BM23="","",IF(BU23="","",IFERROR(BP23/BU23-1,0)))</x:f>
        <x:v>0.001999000499750103</x:v>
      </x:c>
      <x:c r="BW23" s="166" t="n">
        <x:v>0.0617</x:v>
      </x:c>
      <x:c r="BX23" s="172" t="n">
        <x:f>IF(BM23="","",IF(BW23="","",BW23-BV23*365/BY23))</x:f>
        <x:v>0.04867080031412879</x:v>
      </x:c>
      <x:c r="BY23" s="164" t="n">
        <x:v>56</x:v>
      </x:c>
      <x:c r="BZ23" s="172" t="n">
        <x:f>IF(BM23="","",IFERROR(BR23*(BQ23/BP23-1),0))</x:f>
        <x:v>-0.0006473256899634781</x:v>
      </x:c>
      <x:c r="CA23" s="147"/>
      <x:c r="CB23" s="147"/>
      <x:c r="CC23" s="147"/>
      <x:c r="CD23" s="167"/>
      <x:c r="CE23" s="167"/>
      <x:c r="CF23" s="166"/>
      <x:c r="CG23" s="171" t="str">
        <x:f>IF(CA23="","",IFERROR(F23*CF23/CD23,0))</x:f>
      </x:c>
      <x:c r="CH23" s="171" t="str">
        <x:f>IF(CA23="","",F23*ABS(CF23))</x:f>
      </x:c>
      <x:c r="CI23" s="165"/>
      <x:c r="CJ23" s="172" t="str">
        <x:f>IF(CA23="","",IF(CI23="","",IFERROR(CD23/CI23-1,0)))</x:f>
      </x:c>
      <x:c r="CK23" s="166"/>
      <x:c r="CL23" s="172" t="str">
        <x:f>IF(CA23="","",IF(CK23="","",CK23-CJ23*365/CM23))</x:f>
      </x:c>
      <x:c r="CM23" s="164"/>
      <x:c r="CN23" s="172" t="str">
        <x:f>IF(CA23="","",IFERROR(CF23*(CE23/CD23-1),0))</x:f>
      </x:c>
      <x:c r="CO23" s="147"/>
      <x:c r="CP23" s="147"/>
      <x:c r="CQ23" s="147"/>
      <x:c r="CR23" s="167"/>
      <x:c r="CS23" s="167"/>
      <x:c r="CT23" s="166"/>
      <x:c r="CU23" s="171" t="str">
        <x:f>IF(CO23="","",IFERROR(F23*CT23/CR23,0))</x:f>
      </x:c>
      <x:c r="CV23" s="171" t="str">
        <x:f>IF(CO23="","",F23*ABS(CT23))</x:f>
      </x:c>
      <x:c r="CW23" s="165"/>
      <x:c r="CX23" s="172" t="str">
        <x:f>IF(CO23="","",IF(CW23="","",IFERROR(CR23/CW23-1,0)))</x:f>
      </x:c>
      <x:c r="CY23" s="166"/>
      <x:c r="CZ23" s="172" t="str">
        <x:f>IF(CO23="","",IF(CY23="","",CY23-CX23*365/DA23))</x:f>
      </x:c>
      <x:c r="DA23" s="164"/>
      <x:c r="DB23" s="172" t="str">
        <x:f>IF(CO23="","",IFERROR(CT23*(CS23/CR23-1),0))</x:f>
      </x:c>
      <x:c r="DC23" s="147"/>
      <x:c r="DD23" s="147"/>
      <x:c r="DE23" s="147"/>
      <x:c r="DF23" s="167"/>
      <x:c r="DG23" s="167"/>
      <x:c r="DH23" s="166"/>
      <x:c r="DI23" s="171" t="str">
        <x:f>IF(DC23="","",IFERROR(F23*DH23/DF23,0))</x:f>
      </x:c>
      <x:c r="DJ23" s="171" t="str">
        <x:f>IF(DC23="","",F23*ABS(DH23))</x:f>
      </x:c>
      <x:c r="DK23" s="165"/>
      <x:c r="DL23" s="172" t="str">
        <x:f>IF(DC23="","",IF(DK23="","",IFERROR(DF23/DK23-1,0)))</x:f>
      </x:c>
      <x:c r="DM23" s="166"/>
      <x:c r="DN23" s="172" t="str">
        <x:f>IF(DC23="","",IF(DM23="","",DM23-DL23*365/DO23))</x:f>
      </x:c>
      <x:c r="DO23" s="164"/>
      <x:c r="DP23" s="172" t="str">
        <x:f>IF(DC23="","",IFERROR(DH23*(DG23/DF23-1),0))</x:f>
      </x:c>
      <x:c r="DQ23" s="147"/>
      <x:c r="DR23" s="147"/>
      <x:c r="DS23" s="147"/>
      <x:c r="DT23" s="167"/>
      <x:c r="DU23" s="167"/>
      <x:c r="DV23" s="166"/>
      <x:c r="DW23" s="171" t="str">
        <x:f>IF(DQ23="","",IFERROR(F23*DV23/DT23,0))</x:f>
      </x:c>
      <x:c r="DX23" s="171" t="str">
        <x:f>IF(DQ23="","",F23*ABS(DV23))</x:f>
      </x:c>
      <x:c r="DY23" s="165"/>
      <x:c r="DZ23" s="172" t="str">
        <x:f>IF(DQ23="","",IF(DY23="","",IFERROR(DT23/DY23-1,0)))</x:f>
      </x:c>
      <x:c r="EA23" s="166"/>
      <x:c r="EB23" s="172" t="str">
        <x:f>IF(DQ23="","",IF(EA23="","",EA23-DZ23*365/EC23))</x:f>
      </x:c>
      <x:c r="EC23" s="164"/>
      <x:c r="ED23" s="172" t="str">
        <x:f>IF(DQ23="","",IFERROR(DV23*(DU23/DT23-1),0))</x:f>
      </x:c>
      <x:c r="EE23" s="147"/>
      <x:c r="EF23" s="147"/>
      <x:c r="EG23" s="147"/>
      <x:c r="EH23" s="167"/>
      <x:c r="EI23" s="167"/>
      <x:c r="EJ23" s="166"/>
      <x:c r="EK23" s="171" t="str">
        <x:f>IF(EE23="","",IFERROR(F23*EJ23/EH23,0))</x:f>
      </x:c>
      <x:c r="EL23" s="171" t="str">
        <x:f>IF(EE23="","",F23*ABS(EJ23))</x:f>
      </x:c>
      <x:c r="EM23" s="165"/>
      <x:c r="EN23" s="172" t="str">
        <x:f>IF(EE23="","",IF(EM23="","",IFERROR(EH23/EM23-1,0)))</x:f>
      </x:c>
      <x:c r="EO23" s="166"/>
      <x:c r="EP23" s="172" t="str">
        <x:f>IF(EE23="","",IF(EO23="","",EO23-EN23*365/EQ23))</x:f>
      </x:c>
      <x:c r="EQ23" s="164"/>
      <x:c r="ER23" s="172" t="str">
        <x:f>IF(EE23="","",IFERROR(EJ23*(EI23/EH23-1),0))</x:f>
      </x:c>
      <x:c r="ES23" s="147"/>
      <x:c r="ET23" s="147"/>
      <x:c r="EU23" s="147"/>
      <x:c r="EV23" s="167"/>
      <x:c r="EW23" s="167"/>
      <x:c r="EX23" s="166"/>
      <x:c r="EY23" s="171" t="str">
        <x:f>IF(ES23="","",IFERROR(F23*EX23/EV23,0))</x:f>
      </x:c>
      <x:c r="EZ23" s="171" t="str">
        <x:f>IF(ES23="","",F23*ABS(EX23))</x:f>
      </x:c>
      <x:c r="FA23" s="165"/>
      <x:c r="FB23" s="172" t="str">
        <x:f>IF(ES23="","",IF(FA23="","",IFERROR(EV23/FA23-1,0)))</x:f>
      </x:c>
      <x:c r="FC23" s="166"/>
      <x:c r="FD23" s="172" t="str">
        <x:f>IF(ES23="","",IF(FC23="","",FC23-FB23*365/FE23))</x:f>
      </x:c>
      <x:c r="FE23" s="164"/>
      <x:c r="FF23" s="172" t="str">
        <x:f>IF(ES23="","",IFERROR(EX23*(EW23/EV23-1),0))</x:f>
      </x:c>
      <x:c r="FG23" s="147"/>
      <x:c r="FH23" s="147"/>
      <x:c r="FI23" s="147"/>
      <x:c r="FJ23" s="167"/>
      <x:c r="FK23" s="167"/>
      <x:c r="FL23" s="166"/>
      <x:c r="FM23" s="171" t="str">
        <x:f>IF(FG23="","",IFERROR(F23*FL23/FJ23,0))</x:f>
      </x:c>
      <x:c r="FN23" s="171" t="str">
        <x:f>IF(FG23="","",F23*ABS(FL23))</x:f>
      </x:c>
      <x:c r="FO23" s="165"/>
      <x:c r="FP23" s="172" t="str">
        <x:f>IF(FG23="","",IF(FO23="","",IFERROR(FJ23/FO23-1,0)))</x:f>
      </x:c>
      <x:c r="FQ23" s="166"/>
      <x:c r="FR23" s="172" t="str">
        <x:f>IF(FG23="","",IF(FQ23="","",FQ23-FP23*365/FS23))</x:f>
      </x:c>
      <x:c r="FS23" s="164"/>
      <x:c r="FT23" s="172" t="str">
        <x:f>IF(FG23="","",IFERROR(FL23*(FK23/FJ23-1),0))</x:f>
      </x:c>
    </x:row>
    <x:row r="24" ht="18" customHeight="1">
      <x:c r="A24" s="163" t="n">
        <x:v>25234</x:v>
      </x:c>
      <x:c r="B24" s="163" t="n">
        <x:v>25237</x:v>
      </x:c>
      <x:c r="C24" s="170" t="n">
        <x:f>B24-A24</x:f>
        <x:v>3</x:v>
      </x:c>
      <x:c r="D24" s="163" t="n">
        <x:v>25234</x:v>
      </x:c>
      <x:c r="E24" s="147" t="str">
        <x:v>positive</x:v>
      </x:c>
      <x:c r="F24" s="165" t="n">
        <x:v>1.071193350672541</x:v>
      </x:c>
      <x:c r="G24" s="168" t="n">
        <x:v>-0.0053550074818298</x:v>
      </x:c>
      <x:c r="H24" s="172" t="n">
        <x:f>SUM(AX24,BL24,BZ24,CN24,DB24,DP24,ED24,ER24,FF24,FT24)</x:f>
        <x:v>-0.005355007481829774</x:v>
      </x:c>
      <x:c r="I24" s="174" t="n">
        <x:f>G24-H24</x:f>
        <x:v>-2.6020852139652106e-17</x:v>
      </x:c>
      <x:c r="J24" s="171" t="n">
        <x:f>F24*(1+H24)</x:f>
        <x:v>1.0654571022652033</x:v>
      </x:c>
      <x:c r="K24" s="169" t="n">
        <x:v>1.0654571022652033</x:v>
      </x:c>
      <x:c r="L24" s="175" t="n">
        <x:f>K24-J24</x:f>
        <x:v>0</x:v>
      </x:c>
      <x:c r="M24" s="167" t="n">
        <x:v>2.001</x:v>
      </x:c>
      <x:c r="N24" s="167" t="n">
        <x:v>1.987</x:v>
      </x:c>
      <x:c r="O24" s="172" t="n">
        <x:f>IFERROR(N24/M24-1,0)</x:f>
        <x:v>-0.006996501749125361</x:v>
      </x:c>
      <x:c r="P24" s="171" t="n">
        <x:f>IFERROR(AD24/AH24,0)</x:f>
        <x:v>1.0481742032068144</x:v>
      </x:c>
      <x:c r="Q24" s="171" t="n">
        <x:f>IFERROR(AE24/AI24,0)</x:f>
        <x:v>1.0499068979543371</x:v>
      </x:c>
      <x:c r="R24" s="172" t="n">
        <x:f>IFERROR((Q24-P24)/(P24+S24),0)</x:f>
        <x:v>0.0016530599038038077</x:v>
      </x:c>
      <x:c r="S24" s="172" t="n">
        <x:f>IFERROR(AF24/AH24,0)</x:f>
        <x:v>0</x:v>
      </x:c>
      <x:c r="T24" s="172" t="n">
        <x:f>IFERROR(AG24/AI24,0)</x:f>
        <x:v>0</x:v>
      </x:c>
      <x:c r="U24" s="172" t="n">
        <x:f>IFERROR((T24-S24)/(P24+S24),0)</x:f>
        <x:v>0</x:v>
      </x:c>
      <x:c r="V24" s="172" t="n">
        <x:f>R24+U24</x:f>
        <x:v>0.0016530599038038077</x:v>
      </x:c>
      <x:c r="W24" s="172" t="n">
        <x:f>(1+O24)*(1+V24)-1</x:f>
        <x:v>-0.005355007481829932</x:v>
      </x:c>
      <x:c r="X24" s="174" t="n">
        <x:f>G24-W24</x:f>
        <x:v>1.3183898417423734e-16</x:v>
      </x:c>
      <x:c r="Y24" s="172" t="n">
        <x:f>AX24</x:f>
        <x:v>-0.0041213471871369796</x:v>
      </x:c>
      <x:c r="Z24" s="172" t="n">
        <x:f>BL24</x:f>
        <x:v>0.00020995123287673842</x:v>
      </x:c>
      <x:c r="AA24" s="172" t="n">
        <x:f>SUM(BZ24,CN24,DB24,DP24,ED24,ER24,FF24,FT24)</x:f>
        <x:v>-0.001443611527569533</x:v>
      </x:c>
      <x:c r="AB24" s="172" t="n">
        <x:f>SUM(Y24:AA24)</x:f>
        <x:v>-0.005355007481829774</x:v>
      </x:c>
      <x:c r="AC24" s="174" t="n">
        <x:f>G24-AB24</x:f>
        <x:v>-2.6020852139652106e-17</x:v>
      </x:c>
      <x:c r="AD24" s="169" t="n">
        <x:v>1.071193350672541</x:v>
      </x:c>
      <x:c r="AE24" s="169" t="n">
        <x:v>1.0654571022652033</x:v>
      </x:c>
      <x:c r="AF24" s="169" t="n">
        <x:v>0</x:v>
      </x:c>
      <x:c r="AG24" s="169" t="n">
        <x:v>0</x:v>
      </x:c>
      <x:c r="AH24" s="171" t="n">
        <x:f>M24/$M$3</x:f>
        <x:v>1.0219611848825332</x:v>
      </x:c>
      <x:c r="AI24" s="171" t="n">
        <x:f>N24/$M$3</x:f>
        <x:v>1.0148110316649643</x:v>
      </x:c>
      <x:c r="AJ24" s="170" t="n">
        <x:f>IF(AK24&lt;&gt;"",1,0)+IF(AY24&lt;&gt;"",1,0)+IF(BM24&lt;&gt;"",1,0)+IF(CA24&lt;&gt;"",1,0)+IF(CO24&lt;&gt;"",1,0)+IF(DC24&lt;&gt;"",1,0)+IF(DQ24&lt;&gt;"",1,0)+IF(EE24&lt;&gt;"",1,0)+IF(ES24&lt;&gt;"",1,0)+IF(FG24&lt;&gt;"",1,0)</x:f>
        <x:v>3</x:v>
      </x:c>
      <x:c r="AK24" s="147" t="str">
        <x:v>Silver replicating holding (LBMA/SLV proxy)</x:v>
      </x:c>
      <x:c r="AL24" s="147" t="str">
        <x:v>Physical-backed proxy</x:v>
      </x:c>
      <x:c r="AM24" s="147" t="str">
        <x:v>Long</x:v>
      </x:c>
      <x:c r="AN24" s="167" t="n">
        <x:v>2.001</x:v>
      </x:c>
      <x:c r="AO24" s="167" t="n">
        <x:v>1.987</x:v>
      </x:c>
      <x:c r="AP24" s="166" t="n">
        <x:v>0.5873333333333333</x:v>
      </x:c>
      <x:c r="AQ24" s="171" t="n">
        <x:f>IF(AK24="","",IFERROR(F24*AP24/AN24,0))</x:f>
        <x:v>0.3144165723613222</x:v>
      </x:c>
      <x:c r="AR24" s="171" t="n">
        <x:f>IF(AK24="","",F24*ABS(AP24))</x:f>
        <x:v>0.6291475612950057</x:v>
      </x:c>
      <x:c r="AS24" s="165"/>
      <x:c r="AT24" s="172" t="str">
        <x:f>IF(AK24="","",IF(AS24="","",IFERROR(AN24/AS24-1,0)))</x:f>
      </x:c>
      <x:c r="AU24" s="166"/>
      <x:c r="AV24" s="172" t="str">
        <x:f>IF(AK24="","",IF(AU24="","",AU24-AT24*365/AW24))</x:f>
      </x:c>
      <x:c r="AW24" s="164"/>
      <x:c r="AX24" s="173" t="n">
        <x:f>IF(AK24="","",IFERROR(AP24*(AO24/AN24-1-'Parameters'!$C$6*C24/365),0))</x:f>
        <x:v>-0.0041213471871369796</x:v>
      </x:c>
      <x:c r="AY24" s="147" t="str">
        <x:v>Matched-maturity Treasury collateral</x:v>
      </x:c>
      <x:c r="AZ24" s="147" t="str">
        <x:v>Treasury</x:v>
      </x:c>
      <x:c r="BA24" s="147" t="str">
        <x:v>Long</x:v>
      </x:c>
      <x:c r="BB24" s="167" t="n">
        <x:v>100.48837429737165</x:v>
      </x:c>
      <x:c r="BC24" s="167" t="n">
        <x:v>100.53949947848679</x:v>
      </x:c>
      <x:c r="BD24" s="166" t="n">
        <x:v>0.4126666666666667</x:v>
      </x:c>
      <x:c r="BE24" s="171" t="n">
        <x:f>IF(AY24="","",IFERROR(F24*BD24/BB24,0))</x:f>
        <x:v>0.004398974433295189</x:v>
      </x:c>
      <x:c r="BF24" s="171" t="n">
        <x:f>IF(AY24="","",F24*ABS(BD24))</x:f>
        <x:v>0.4420457893775353</x:v>
      </x:c>
      <x:c r="BG24" s="165"/>
      <x:c r="BH24" s="172" t="str">
        <x:f>IF(AY24="","",IF(BG24="","",IFERROR(BB24/BG24-1,0)))</x:f>
      </x:c>
      <x:c r="BI24" s="166"/>
      <x:c r="BJ24" s="172" t="str">
        <x:f>IF(AY24="","",IF(BI24="","",BI24-BH24*365/BK24))</x:f>
      </x:c>
      <x:c r="BK24" s="164" t="n">
        <x:v>55.00000000000001</x:v>
      </x:c>
      <x:c r="BL24" s="172" t="n">
        <x:f>IF(AY24="","",IFERROR(BD24*(BC24/BB24-1),0))</x:f>
        <x:v>0.00020995123287673842</x:v>
      </x:c>
      <x:c r="BM24" s="147" t="str">
        <x:v>SI69H</x:v>
      </x:c>
      <x:c r="BN24" s="147" t="str">
        <x:v>Silver future (regular)</x:v>
      </x:c>
      <x:c r="BO24" s="147" t="str">
        <x:v>Long</x:v>
      </x:c>
      <x:c r="BP24" s="167" t="n">
        <x:v>2.001</x:v>
      </x:c>
      <x:c r="BQ24" s="167" t="n">
        <x:v>1.994</x:v>
      </x:c>
      <x:c r="BR24" s="166" t="n">
        <x:v>0.4126666666666667</x:v>
      </x:c>
      <x:c r="BS24" s="171" t="n">
        <x:f>IF(BM24="","",IFERROR(F24*BR24/BP24,0))</x:f>
        <x:v>0.2209124384695329</x:v>
      </x:c>
      <x:c r="BT24" s="171" t="n">
        <x:f>IF(BM24="","",F24*ABS(BR24))</x:f>
        <x:v>0.4420457893775353</x:v>
      </x:c>
      <x:c r="BU24" s="165" t="n">
        <x:v>2.001</x:v>
      </x:c>
      <x:c r="BV24" s="172" t="n">
        <x:f>IF(BM24="","",IF(BU24="","",IFERROR(BP24/BU24-1,0)))</x:f>
        <x:v>0</x:v>
      </x:c>
      <x:c r="BW24" s="166" t="n">
        <x:v>0.0619</x:v>
      </x:c>
      <x:c r="BX24" s="172" t="n">
        <x:f>IF(BM24="","",IF(BW24="","",BW24-BV24*365/BY24))</x:f>
        <x:v>0.0619</x:v>
      </x:c>
      <x:c r="BY24" s="164" t="n">
        <x:v>55</x:v>
      </x:c>
      <x:c r="BZ24" s="172" t="n">
        <x:f>IF(BM24="","",IFERROR(BR24*(BQ24/BP24-1),0))</x:f>
        <x:v>-0.001443611527569533</x:v>
      </x:c>
      <x:c r="CA24" s="147"/>
      <x:c r="CB24" s="147"/>
      <x:c r="CC24" s="147"/>
      <x:c r="CD24" s="167"/>
      <x:c r="CE24" s="167"/>
      <x:c r="CF24" s="166"/>
      <x:c r="CG24" s="171" t="str">
        <x:f>IF(CA24="","",IFERROR(F24*CF24/CD24,0))</x:f>
      </x:c>
      <x:c r="CH24" s="171" t="str">
        <x:f>IF(CA24="","",F24*ABS(CF24))</x:f>
      </x:c>
      <x:c r="CI24" s="165"/>
      <x:c r="CJ24" s="172" t="str">
        <x:f>IF(CA24="","",IF(CI24="","",IFERROR(CD24/CI24-1,0)))</x:f>
      </x:c>
      <x:c r="CK24" s="166"/>
      <x:c r="CL24" s="172" t="str">
        <x:f>IF(CA24="","",IF(CK24="","",CK24-CJ24*365/CM24))</x:f>
      </x:c>
      <x:c r="CM24" s="164"/>
      <x:c r="CN24" s="172" t="str">
        <x:f>IF(CA24="","",IFERROR(CF24*(CE24/CD24-1),0))</x:f>
      </x:c>
      <x:c r="CO24" s="147"/>
      <x:c r="CP24" s="147"/>
      <x:c r="CQ24" s="147"/>
      <x:c r="CR24" s="167"/>
      <x:c r="CS24" s="167"/>
      <x:c r="CT24" s="166"/>
      <x:c r="CU24" s="171" t="str">
        <x:f>IF(CO24="","",IFERROR(F24*CT24/CR24,0))</x:f>
      </x:c>
      <x:c r="CV24" s="171" t="str">
        <x:f>IF(CO24="","",F24*ABS(CT24))</x:f>
      </x:c>
      <x:c r="CW24" s="165"/>
      <x:c r="CX24" s="172" t="str">
        <x:f>IF(CO24="","",IF(CW24="","",IFERROR(CR24/CW24-1,0)))</x:f>
      </x:c>
      <x:c r="CY24" s="166"/>
      <x:c r="CZ24" s="172" t="str">
        <x:f>IF(CO24="","",IF(CY24="","",CY24-CX24*365/DA24))</x:f>
      </x:c>
      <x:c r="DA24" s="164"/>
      <x:c r="DB24" s="172" t="str">
        <x:f>IF(CO24="","",IFERROR(CT24*(CS24/CR24-1),0))</x:f>
      </x:c>
      <x:c r="DC24" s="147"/>
      <x:c r="DD24" s="147"/>
      <x:c r="DE24" s="147"/>
      <x:c r="DF24" s="167"/>
      <x:c r="DG24" s="167"/>
      <x:c r="DH24" s="166"/>
      <x:c r="DI24" s="171" t="str">
        <x:f>IF(DC24="","",IFERROR(F24*DH24/DF24,0))</x:f>
      </x:c>
      <x:c r="DJ24" s="171" t="str">
        <x:f>IF(DC24="","",F24*ABS(DH24))</x:f>
      </x:c>
      <x:c r="DK24" s="165"/>
      <x:c r="DL24" s="172" t="str">
        <x:f>IF(DC24="","",IF(DK24="","",IFERROR(DF24/DK24-1,0)))</x:f>
      </x:c>
      <x:c r="DM24" s="166"/>
      <x:c r="DN24" s="172" t="str">
        <x:f>IF(DC24="","",IF(DM24="","",DM24-DL24*365/DO24))</x:f>
      </x:c>
      <x:c r="DO24" s="164"/>
      <x:c r="DP24" s="172" t="str">
        <x:f>IF(DC24="","",IFERROR(DH24*(DG24/DF24-1),0))</x:f>
      </x:c>
      <x:c r="DQ24" s="147"/>
      <x:c r="DR24" s="147"/>
      <x:c r="DS24" s="147"/>
      <x:c r="DT24" s="167"/>
      <x:c r="DU24" s="167"/>
      <x:c r="DV24" s="166"/>
      <x:c r="DW24" s="171" t="str">
        <x:f>IF(DQ24="","",IFERROR(F24*DV24/DT24,0))</x:f>
      </x:c>
      <x:c r="DX24" s="171" t="str">
        <x:f>IF(DQ24="","",F24*ABS(DV24))</x:f>
      </x:c>
      <x:c r="DY24" s="165"/>
      <x:c r="DZ24" s="172" t="str">
        <x:f>IF(DQ24="","",IF(DY24="","",IFERROR(DT24/DY24-1,0)))</x:f>
      </x:c>
      <x:c r="EA24" s="166"/>
      <x:c r="EB24" s="172" t="str">
        <x:f>IF(DQ24="","",IF(EA24="","",EA24-DZ24*365/EC24))</x:f>
      </x:c>
      <x:c r="EC24" s="164"/>
      <x:c r="ED24" s="172" t="str">
        <x:f>IF(DQ24="","",IFERROR(DV24*(DU24/DT24-1),0))</x:f>
      </x:c>
      <x:c r="EE24" s="147"/>
      <x:c r="EF24" s="147"/>
      <x:c r="EG24" s="147"/>
      <x:c r="EH24" s="167"/>
      <x:c r="EI24" s="167"/>
      <x:c r="EJ24" s="166"/>
      <x:c r="EK24" s="171" t="str">
        <x:f>IF(EE24="","",IFERROR(F24*EJ24/EH24,0))</x:f>
      </x:c>
      <x:c r="EL24" s="171" t="str">
        <x:f>IF(EE24="","",F24*ABS(EJ24))</x:f>
      </x:c>
      <x:c r="EM24" s="165"/>
      <x:c r="EN24" s="172" t="str">
        <x:f>IF(EE24="","",IF(EM24="","",IFERROR(EH24/EM24-1,0)))</x:f>
      </x:c>
      <x:c r="EO24" s="166"/>
      <x:c r="EP24" s="172" t="str">
        <x:f>IF(EE24="","",IF(EO24="","",EO24-EN24*365/EQ24))</x:f>
      </x:c>
      <x:c r="EQ24" s="164"/>
      <x:c r="ER24" s="172" t="str">
        <x:f>IF(EE24="","",IFERROR(EJ24*(EI24/EH24-1),0))</x:f>
      </x:c>
      <x:c r="ES24" s="147"/>
      <x:c r="ET24" s="147"/>
      <x:c r="EU24" s="147"/>
      <x:c r="EV24" s="167"/>
      <x:c r="EW24" s="167"/>
      <x:c r="EX24" s="166"/>
      <x:c r="EY24" s="171" t="str">
        <x:f>IF(ES24="","",IFERROR(F24*EX24/EV24,0))</x:f>
      </x:c>
      <x:c r="EZ24" s="171" t="str">
        <x:f>IF(ES24="","",F24*ABS(EX24))</x:f>
      </x:c>
      <x:c r="FA24" s="165"/>
      <x:c r="FB24" s="172" t="str">
        <x:f>IF(ES24="","",IF(FA24="","",IFERROR(EV24/FA24-1,0)))</x:f>
      </x:c>
      <x:c r="FC24" s="166"/>
      <x:c r="FD24" s="172" t="str">
        <x:f>IF(ES24="","",IF(FC24="","",FC24-FB24*365/FE24))</x:f>
      </x:c>
      <x:c r="FE24" s="164"/>
      <x:c r="FF24" s="172" t="str">
        <x:f>IF(ES24="","",IFERROR(EX24*(EW24/EV24-1),0))</x:f>
      </x:c>
      <x:c r="FG24" s="147"/>
      <x:c r="FH24" s="147"/>
      <x:c r="FI24" s="147"/>
      <x:c r="FJ24" s="167"/>
      <x:c r="FK24" s="167"/>
      <x:c r="FL24" s="166"/>
      <x:c r="FM24" s="171" t="str">
        <x:f>IF(FG24="","",IFERROR(F24*FL24/FJ24,0))</x:f>
      </x:c>
      <x:c r="FN24" s="171" t="str">
        <x:f>IF(FG24="","",F24*ABS(FL24))</x:f>
      </x:c>
      <x:c r="FO24" s="165"/>
      <x:c r="FP24" s="172" t="str">
        <x:f>IF(FG24="","",IF(FO24="","",IFERROR(FJ24/FO24-1,0)))</x:f>
      </x:c>
      <x:c r="FQ24" s="166"/>
      <x:c r="FR24" s="172" t="str">
        <x:f>IF(FG24="","",IF(FQ24="","",FQ24-FP24*365/FS24))</x:f>
      </x:c>
      <x:c r="FS24" s="164"/>
      <x:c r="FT24" s="172" t="str">
        <x:f>IF(FG24="","",IFERROR(FL24*(FK24/FJ24-1),0))</x:f>
      </x:c>
    </x:row>
    <x:row r="25" ht="18" customHeight="1">
      <x:c r="A25" s="163" t="n">
        <x:v>25237</x:v>
      </x:c>
      <x:c r="B25" s="163" t="n">
        <x:v>25238</x:v>
      </x:c>
      <x:c r="C25" s="170" t="n">
        <x:f>B25-A25</x:f>
        <x:v>1</x:v>
      </x:c>
      <x:c r="D25" s="163" t="n">
        <x:v>25237</x:v>
      </x:c>
      <x:c r="E25" s="147" t="str">
        <x:v>positive</x:v>
      </x:c>
      <x:c r="F25" s="165" t="n">
        <x:v>1.0654571022652033</x:v>
      </x:c>
      <x:c r="G25" s="168" t="n">
        <x:v>0.00018401759921005492</x:v>
      </x:c>
      <x:c r="H25" s="172" t="n">
        <x:f>SUM(AX25,BL25,BZ25,CN25,DB25,DP25,ED25,ER25,FF25,FT25)</x:f>
        <x:v>0.00018401759921007855</x:v>
      </x:c>
      <x:c r="I25" s="174" t="n">
        <x:f>G25-H25</x:f>
        <x:v>-2.3635607360183997e-17</x:v>
      </x:c>
      <x:c r="J25" s="171" t="n">
        <x:f>F25*(1+H25)</x:f>
        <x:v>1.0656531651232235</x:v>
      </x:c>
      <x:c r="K25" s="169" t="n">
        <x:v>1.0656531651232235</x:v>
      </x:c>
      <x:c r="L25" s="175" t="n">
        <x:f>K25-J25</x:f>
        <x:v>0</x:v>
      </x:c>
      <x:c r="M25" s="167" t="n">
        <x:v>1.987</x:v>
      </x:c>
      <x:c r="N25" s="167" t="n">
        <x:v>1.991</x:v>
      </x:c>
      <x:c r="O25" s="172" t="n">
        <x:f>IFERROR(N25/M25-1,0)</x:f>
        <x:v>0.0020130850528434774</x:v>
      </x:c>
      <x:c r="P25" s="171" t="n">
        <x:f>IFERROR(AD25/AH25,0)</x:f>
        <x:v>1.0499068979543371</x:v>
      </x:c>
      <x:c r="Q25" s="171" t="n">
        <x:f>IFERROR(AE25/AI25,0)</x:f>
        <x:v>1.047990405480297</x:v>
      </x:c>
      <x:c r="R25" s="172" t="n">
        <x:f>IFERROR((Q25-P25)/(P25+S25),0)</x:f>
        <x:v>-0.0018253927827068853</x:v>
      </x:c>
      <x:c r="S25" s="172" t="n">
        <x:f>IFERROR(AF25/AH25,0)</x:f>
        <x:v>0</x:v>
      </x:c>
      <x:c r="T25" s="172" t="n">
        <x:f>IFERROR(AG25/AI25,0)</x:f>
        <x:v>0</x:v>
      </x:c>
      <x:c r="U25" s="172" t="n">
        <x:f>IFERROR((T25-S25)/(P25+S25),0)</x:f>
        <x:v>0</x:v>
      </x:c>
      <x:c r="V25" s="172" t="n">
        <x:f>R25+U25</x:f>
        <x:v>-0.0018253927827068853</x:v>
      </x:c>
      <x:c r="W25" s="172" t="n">
        <x:f>(1+O25)*(1+V25)-1</x:f>
        <x:v>0.00018401759921005123</x:v>
      </x:c>
      <x:c r="X25" s="174" t="n">
        <x:f>G25-W25</x:f>
        <x:v>3.686287386450715e-18</x:v>
      </x:c>
      <x:c r="Y25" s="172" t="n">
        <x:f>AX25</x:f>
        <x:v>0.0015090643064986432</x:v>
      </x:c>
      <x:c r="Z25" s="172" t="n">
        <x:f>BL25</x:f>
        <x:v>0.00004202638040132945</x:v>
      </x:c>
      <x:c r="AA25" s="172" t="n">
        <x:f>SUM(BZ25,CN25,DB25,DP25,ED25,ER25,FF25,FT25)</x:f>
        <x:v>-0.001367073087689894</x:v>
      </x:c>
      <x:c r="AB25" s="172" t="n">
        <x:f>SUM(Y25:AA25)</x:f>
        <x:v>0.00018401759921007855</x:v>
      </x:c>
      <x:c r="AC25" s="174" t="n">
        <x:f>G25-AB25</x:f>
        <x:v>-2.3635607360183997e-17</x:v>
      </x:c>
      <x:c r="AD25" s="169" t="n">
        <x:v>1.0654571022652033</x:v>
      </x:c>
      <x:c r="AE25" s="169" t="n">
        <x:v>1.0656531651232235</x:v>
      </x:c>
      <x:c r="AF25" s="169" t="n">
        <x:v>0</x:v>
      </x:c>
      <x:c r="AG25" s="169" t="n">
        <x:v>0</x:v>
      </x:c>
      <x:c r="AH25" s="171" t="n">
        <x:f>M25/$M$3</x:f>
        <x:v>1.0148110316649643</x:v>
      </x:c>
      <x:c r="AI25" s="171" t="n">
        <x:f>N25/$M$3</x:f>
        <x:v>1.0168539325842698</x:v>
      </x:c>
      <x:c r="AJ25" s="170" t="n">
        <x:f>IF(AK25&lt;&gt;"",1,0)+IF(AY25&lt;&gt;"",1,0)+IF(BM25&lt;&gt;"",1,0)+IF(CA25&lt;&gt;"",1,0)+IF(CO25&lt;&gt;"",1,0)+IF(DC25&lt;&gt;"",1,0)+IF(DQ25&lt;&gt;"",1,0)+IF(EE25&lt;&gt;"",1,0)+IF(ES25&lt;&gt;"",1,0)+IF(FG25&lt;&gt;"",1,0)</x:f>
        <x:v>3</x:v>
      </x:c>
      <x:c r="AK25" s="147" t="str">
        <x:v>Silver replicating holding (LBMA/SLV proxy)</x:v>
      </x:c>
      <x:c r="AL25" s="147" t="str">
        <x:v>Physical-backed proxy</x:v>
      </x:c>
      <x:c r="AM25" s="147" t="str">
        <x:v>Long</x:v>
      </x:c>
      <x:c r="AN25" s="167" t="n">
        <x:v>1.987</x:v>
      </x:c>
      <x:c r="AO25" s="167" t="n">
        <x:v>1.991</x:v>
      </x:c>
      <x:c r="AP25" s="166" t="n">
        <x:v>0.7521869330133013</x:v>
      </x:c>
      <x:c r="AQ25" s="171" t="n">
        <x:f>IF(AK25="","",IFERROR(F25*AP25/AN25,0))</x:f>
        <x:v>0.4033331202869162</x:v>
      </x:c>
      <x:c r="AR25" s="171" t="n">
        <x:f>IF(AK25="","",F25*ABS(AP25))</x:f>
        <x:v>0.8014229100101026</x:v>
      </x:c>
      <x:c r="AS25" s="165"/>
      <x:c r="AT25" s="172" t="str">
        <x:f>IF(AK25="","",IF(AS25="","",IFERROR(AN25/AS25-1,0)))</x:f>
      </x:c>
      <x:c r="AU25" s="166"/>
      <x:c r="AV25" s="172" t="str">
        <x:f>IF(AK25="","",IF(AU25="","",AU25-AT25*365/AW25))</x:f>
      </x:c>
      <x:c r="AW25" s="164"/>
      <x:c r="AX25" s="173" t="n">
        <x:f>IF(AK25="","",IFERROR(AP25*(AO25/AN25-1-'Parameters'!$C$6*C25/365),0))</x:f>
        <x:v>0.0015090643064986432</x:v>
      </x:c>
      <x:c r="AY25" s="147" t="str">
        <x:v>Matched-maturity Treasury collateral</x:v>
      </x:c>
      <x:c r="AZ25" s="147" t="str">
        <x:v>Treasury</x:v>
      </x:c>
      <x:c r="BA25" s="147" t="str">
        <x:v>Long</x:v>
      </x:c>
      <x:c r="BB25" s="167" t="n">
        <x:v>100.53949947848679</x:v>
      </x:c>
      <x:c r="BC25" s="167" t="n">
        <x:v>100.55654987579562</x:v>
      </x:c>
      <x:c r="BD25" s="166" t="n">
        <x:v>0.24781306698669867</x:v>
      </x:c>
      <x:c r="BE25" s="171" t="n">
        <x:f>IF(AY25="","",IFERROR(F25*BD25/BB25,0))</x:f>
        <x:v>0.0026261737289790077</x:v>
      </x:c>
      <x:c r="BF25" s="171" t="n">
        <x:f>IF(AY25="","",F25*ABS(BD25))</x:f>
        <x:v>0.26403419225510066</x:v>
      </x:c>
      <x:c r="BG25" s="165"/>
      <x:c r="BH25" s="172" t="str">
        <x:f>IF(AY25="","",IF(BG25="","",IFERROR(BB25/BG25-1,0)))</x:f>
      </x:c>
      <x:c r="BI25" s="166"/>
      <x:c r="BJ25" s="172" t="str">
        <x:f>IF(AY25="","",IF(BI25="","",BI25-BH25*365/BK25))</x:f>
      </x:c>
      <x:c r="BK25" s="164" t="n">
        <x:v>52</x:v>
      </x:c>
      <x:c r="BL25" s="172" t="n">
        <x:f>IF(AY25="","",IFERROR(BD25*(BC25/BB25-1),0))</x:f>
        <x:v>0.00004202638040132945</x:v>
      </x:c>
      <x:c r="BM25" s="147" t="str">
        <x:v>SI69H</x:v>
      </x:c>
      <x:c r="BN25" s="147" t="str">
        <x:v>Silver future (regular)</x:v>
      </x:c>
      <x:c r="BO25" s="147" t="str">
        <x:v>Long</x:v>
      </x:c>
      <x:c r="BP25" s="167" t="n">
        <x:v>1.994</x:v>
      </x:c>
      <x:c r="BQ25" s="167" t="n">
        <x:v>1.983</x:v>
      </x:c>
      <x:c r="BR25" s="166" t="n">
        <x:v>0.24781306698669867</x:v>
      </x:c>
      <x:c r="BS25" s="171" t="n">
        <x:f>IF(BM25="","",IFERROR(F25*BR25/BP25,0))</x:f>
        <x:v>0.1324143391449853</x:v>
      </x:c>
      <x:c r="BT25" s="171" t="n">
        <x:f>IF(BM25="","",F25*ABS(BR25))</x:f>
        <x:v>0.26403419225510066</x:v>
      </x:c>
      <x:c r="BU25" s="165" t="n">
        <x:v>1.987</x:v>
      </x:c>
      <x:c r="BV25" s="172" t="n">
        <x:f>IF(BM25="","",IF(BU25="","",IFERROR(BP25/BU25-1,0)))</x:f>
        <x:v>0.00352289884247603</x:v>
      </x:c>
      <x:c r="BW25" s="166" t="n">
        <x:v>0.0619</x:v>
      </x:c>
      <x:c r="BX25" s="172" t="n">
        <x:f>IF(BM25="","",IF(BW25="","",BW25-BV25*365/BY25))</x:f>
        <x:v>0.037171960048004785</x:v>
      </x:c>
      <x:c r="BY25" s="164" t="n">
        <x:v>52</x:v>
      </x:c>
      <x:c r="BZ25" s="172" t="n">
        <x:f>IF(BM25="","",IFERROR(BR25*(BQ25/BP25-1),0))</x:f>
        <x:v>-0.001367073087689894</x:v>
      </x:c>
      <x:c r="CA25" s="147"/>
      <x:c r="CB25" s="147"/>
      <x:c r="CC25" s="147"/>
      <x:c r="CD25" s="167"/>
      <x:c r="CE25" s="167"/>
      <x:c r="CF25" s="166"/>
      <x:c r="CG25" s="171" t="str">
        <x:f>IF(CA25="","",IFERROR(F25*CF25/CD25,0))</x:f>
      </x:c>
      <x:c r="CH25" s="171" t="str">
        <x:f>IF(CA25="","",F25*ABS(CF25))</x:f>
      </x:c>
      <x:c r="CI25" s="165"/>
      <x:c r="CJ25" s="172" t="str">
        <x:f>IF(CA25="","",IF(CI25="","",IFERROR(CD25/CI25-1,0)))</x:f>
      </x:c>
      <x:c r="CK25" s="166"/>
      <x:c r="CL25" s="172" t="str">
        <x:f>IF(CA25="","",IF(CK25="","",CK25-CJ25*365/CM25))</x:f>
      </x:c>
      <x:c r="CM25" s="164"/>
      <x:c r="CN25" s="172" t="str">
        <x:f>IF(CA25="","",IFERROR(CF25*(CE25/CD25-1),0))</x:f>
      </x:c>
      <x:c r="CO25" s="147"/>
      <x:c r="CP25" s="147"/>
      <x:c r="CQ25" s="147"/>
      <x:c r="CR25" s="167"/>
      <x:c r="CS25" s="167"/>
      <x:c r="CT25" s="166"/>
      <x:c r="CU25" s="171" t="str">
        <x:f>IF(CO25="","",IFERROR(F25*CT25/CR25,0))</x:f>
      </x:c>
      <x:c r="CV25" s="171" t="str">
        <x:f>IF(CO25="","",F25*ABS(CT25))</x:f>
      </x:c>
      <x:c r="CW25" s="165"/>
      <x:c r="CX25" s="172" t="str">
        <x:f>IF(CO25="","",IF(CW25="","",IFERROR(CR25/CW25-1,0)))</x:f>
      </x:c>
      <x:c r="CY25" s="166"/>
      <x:c r="CZ25" s="172" t="str">
        <x:f>IF(CO25="","",IF(CY25="","",CY25-CX25*365/DA25))</x:f>
      </x:c>
      <x:c r="DA25" s="164"/>
      <x:c r="DB25" s="172" t="str">
        <x:f>IF(CO25="","",IFERROR(CT25*(CS25/CR25-1),0))</x:f>
      </x:c>
      <x:c r="DC25" s="147"/>
      <x:c r="DD25" s="147"/>
      <x:c r="DE25" s="147"/>
      <x:c r="DF25" s="167"/>
      <x:c r="DG25" s="167"/>
      <x:c r="DH25" s="166"/>
      <x:c r="DI25" s="171" t="str">
        <x:f>IF(DC25="","",IFERROR(F25*DH25/DF25,0))</x:f>
      </x:c>
      <x:c r="DJ25" s="171" t="str">
        <x:f>IF(DC25="","",F25*ABS(DH25))</x:f>
      </x:c>
      <x:c r="DK25" s="165"/>
      <x:c r="DL25" s="172" t="str">
        <x:f>IF(DC25="","",IF(DK25="","",IFERROR(DF25/DK25-1,0)))</x:f>
      </x:c>
      <x:c r="DM25" s="166"/>
      <x:c r="DN25" s="172" t="str">
        <x:f>IF(DC25="","",IF(DM25="","",DM25-DL25*365/DO25))</x:f>
      </x:c>
      <x:c r="DO25" s="164"/>
      <x:c r="DP25" s="172" t="str">
        <x:f>IF(DC25="","",IFERROR(DH25*(DG25/DF25-1),0))</x:f>
      </x:c>
      <x:c r="DQ25" s="147"/>
      <x:c r="DR25" s="147"/>
      <x:c r="DS25" s="147"/>
      <x:c r="DT25" s="167"/>
      <x:c r="DU25" s="167"/>
      <x:c r="DV25" s="166"/>
      <x:c r="DW25" s="171" t="str">
        <x:f>IF(DQ25="","",IFERROR(F25*DV25/DT25,0))</x:f>
      </x:c>
      <x:c r="DX25" s="171" t="str">
        <x:f>IF(DQ25="","",F25*ABS(DV25))</x:f>
      </x:c>
      <x:c r="DY25" s="165"/>
      <x:c r="DZ25" s="172" t="str">
        <x:f>IF(DQ25="","",IF(DY25="","",IFERROR(DT25/DY25-1,0)))</x:f>
      </x:c>
      <x:c r="EA25" s="166"/>
      <x:c r="EB25" s="172" t="str">
        <x:f>IF(DQ25="","",IF(EA25="","",EA25-DZ25*365/EC25))</x:f>
      </x:c>
      <x:c r="EC25" s="164"/>
      <x:c r="ED25" s="172" t="str">
        <x:f>IF(DQ25="","",IFERROR(DV25*(DU25/DT25-1),0))</x:f>
      </x:c>
      <x:c r="EE25" s="147"/>
      <x:c r="EF25" s="147"/>
      <x:c r="EG25" s="147"/>
      <x:c r="EH25" s="167"/>
      <x:c r="EI25" s="167"/>
      <x:c r="EJ25" s="166"/>
      <x:c r="EK25" s="171" t="str">
        <x:f>IF(EE25="","",IFERROR(F25*EJ25/EH25,0))</x:f>
      </x:c>
      <x:c r="EL25" s="171" t="str">
        <x:f>IF(EE25="","",F25*ABS(EJ25))</x:f>
      </x:c>
      <x:c r="EM25" s="165"/>
      <x:c r="EN25" s="172" t="str">
        <x:f>IF(EE25="","",IF(EM25="","",IFERROR(EH25/EM25-1,0)))</x:f>
      </x:c>
      <x:c r="EO25" s="166"/>
      <x:c r="EP25" s="172" t="str">
        <x:f>IF(EE25="","",IF(EO25="","",EO25-EN25*365/EQ25))</x:f>
      </x:c>
      <x:c r="EQ25" s="164"/>
      <x:c r="ER25" s="172" t="str">
        <x:f>IF(EE25="","",IFERROR(EJ25*(EI25/EH25-1),0))</x:f>
      </x:c>
      <x:c r="ES25" s="147"/>
      <x:c r="ET25" s="147"/>
      <x:c r="EU25" s="147"/>
      <x:c r="EV25" s="167"/>
      <x:c r="EW25" s="167"/>
      <x:c r="EX25" s="166"/>
      <x:c r="EY25" s="171" t="str">
        <x:f>IF(ES25="","",IFERROR(F25*EX25/EV25,0))</x:f>
      </x:c>
      <x:c r="EZ25" s="171" t="str">
        <x:f>IF(ES25="","",F25*ABS(EX25))</x:f>
      </x:c>
      <x:c r="FA25" s="165"/>
      <x:c r="FB25" s="172" t="str">
        <x:f>IF(ES25="","",IF(FA25="","",IFERROR(EV25/FA25-1,0)))</x:f>
      </x:c>
      <x:c r="FC25" s="166"/>
      <x:c r="FD25" s="172" t="str">
        <x:f>IF(ES25="","",IF(FC25="","",FC25-FB25*365/FE25))</x:f>
      </x:c>
      <x:c r="FE25" s="164"/>
      <x:c r="FF25" s="172" t="str">
        <x:f>IF(ES25="","",IFERROR(EX25*(EW25/EV25-1),0))</x:f>
      </x:c>
      <x:c r="FG25" s="147"/>
      <x:c r="FH25" s="147"/>
      <x:c r="FI25" s="147"/>
      <x:c r="FJ25" s="167"/>
      <x:c r="FK25" s="167"/>
      <x:c r="FL25" s="166"/>
      <x:c r="FM25" s="171" t="str">
        <x:f>IF(FG25="","",IFERROR(F25*FL25/FJ25,0))</x:f>
      </x:c>
      <x:c r="FN25" s="171" t="str">
        <x:f>IF(FG25="","",F25*ABS(FL25))</x:f>
      </x:c>
      <x:c r="FO25" s="165"/>
      <x:c r="FP25" s="172" t="str">
        <x:f>IF(FG25="","",IF(FO25="","",IFERROR(FJ25/FO25-1,0)))</x:f>
      </x:c>
      <x:c r="FQ25" s="166"/>
      <x:c r="FR25" s="172" t="str">
        <x:f>IF(FG25="","",IF(FQ25="","",FQ25-FP25*365/FS25))</x:f>
      </x:c>
      <x:c r="FS25" s="164"/>
      <x:c r="FT25" s="172" t="str">
        <x:f>IF(FG25="","",IFERROR(FL25*(FK25/FJ25-1),0))</x:f>
      </x:c>
    </x:row>
    <x:row r="26" ht="18" customHeight="1">
      <x:c r="A26" s="163" t="n">
        <x:v>25238</x:v>
      </x:c>
      <x:c r="B26" s="163" t="n">
        <x:v>25239</x:v>
      </x:c>
      <x:c r="C26" s="170" t="n">
        <x:f>B26-A26</x:f>
        <x:v>1</x:v>
      </x:c>
      <x:c r="D26" s="163" t="n">
        <x:v>25238</x:v>
      </x:c>
      <x:c r="E26" s="147" t="str">
        <x:v>positive</x:v>
      </x:c>
      <x:c r="F26" s="165" t="n">
        <x:v>1.0656531651232235</x:v>
      </x:c>
      <x:c r="G26" s="168" t="n">
        <x:v>-0.03260875593782632</x:v>
      </x:c>
      <x:c r="H26" s="172" t="n">
        <x:f>SUM(AX26,BL26,BZ26,CN26,DB26,DP26,ED26,ER26,FF26,FT26)</x:f>
        <x:v>-0.03260875593782635</x:v>
      </x:c>
      <x:c r="I26" s="174" t="n">
        <x:f>G26-H26</x:f>
        <x:v>2.7755575615628914e-17</x:v>
      </x:c>
      <x:c r="J26" s="171" t="n">
        <x:f>F26*(1+H26)</x:f>
        <x:v>1.0309035411473482</x:v>
      </x:c>
      <x:c r="K26" s="169" t="n">
        <x:v>1.0309035411473482</x:v>
      </x:c>
      <x:c r="L26" s="175" t="n">
        <x:f>K26-J26</x:f>
        <x:v>0</x:v>
      </x:c>
      <x:c r="M26" s="167" t="n">
        <x:v>1.991</x:v>
      </x:c>
      <x:c r="N26" s="167" t="n">
        <x:v>1.983</x:v>
      </x:c>
      <x:c r="O26" s="172" t="n">
        <x:f>IFERROR(N26/M26-1,0)</x:f>
        <x:v>-0.004018081366147674</x:v>
      </x:c>
      <x:c r="P26" s="171" t="n">
        <x:f>IFERROR(AD26/AH26,0)</x:f>
        <x:v>1.047990405480297</x:v>
      </x:c>
      <x:c r="Q26" s="171" t="n">
        <x:f>IFERROR(AE26/AI26,0)</x:f>
        <x:v>1.0179067743653594</x:v>
      </x:c>
      <x:c r="R26" s="172" t="n">
        <x:f>IFERROR((Q26-P26)/(P26+S26),0)</x:f>
        <x:v>-0.02870601768644085</x:v>
      </x:c>
      <x:c r="S26" s="172" t="n">
        <x:f>IFERROR(AF26/AH26,0)</x:f>
        <x:v>0</x:v>
      </x:c>
      <x:c r="T26" s="172" t="n">
        <x:f>IFERROR(AG26/AI26,0)</x:f>
        <x:v>0</x:v>
      </x:c>
      <x:c r="U26" s="172" t="n">
        <x:f>IFERROR((T26-S26)/(P26+S26),0)</x:f>
        <x:v>0</x:v>
      </x:c>
      <x:c r="V26" s="172" t="n">
        <x:f>R26+U26</x:f>
        <x:v>-0.02870601768644085</x:v>
      </x:c>
      <x:c r="W26" s="172" t="n">
        <x:f>(1+O26)*(1+V26)-1</x:f>
        <x:v>-0.032608755937826306</x:v>
      </x:c>
      <x:c r="X26" s="174" t="n">
        <x:f>G26-W26</x:f>
        <x:v>-1.3877787807814457e-17</x:v>
      </x:c>
      <x:c r="Y26" s="172" t="n">
        <x:f>AX26</x:f>
        <x:v>-0.0015896636304789456</x:v>
      </x:c>
      <x:c r="Z26" s="172" t="n">
        <x:f>BL26</x:f>
        <x:v>0.0001027748881066718</x:v>
      </x:c>
      <x:c r="AA26" s="172" t="n">
        <x:f>SUM(BZ26,CN26,DB26,DP26,ED26,ER26,FF26,FT26)</x:f>
        <x:v>-0.03112186719545407</x:v>
      </x:c>
      <x:c r="AB26" s="172" t="n">
        <x:f>SUM(Y26:AA26)</x:f>
        <x:v>-0.03260875593782635</x:v>
      </x:c>
      <x:c r="AC26" s="174" t="n">
        <x:f>G26-AB26</x:f>
        <x:v>2.7755575615628914e-17</x:v>
      </x:c>
      <x:c r="AD26" s="169" t="n">
        <x:v>1.0656531651232235</x:v>
      </x:c>
      <x:c r="AE26" s="169" t="n">
        <x:v>1.0309035411473482</x:v>
      </x:c>
      <x:c r="AF26" s="169" t="n">
        <x:v>0</x:v>
      </x:c>
      <x:c r="AG26" s="169" t="n">
        <x:v>0</x:v>
      </x:c>
      <x:c r="AH26" s="171" t="n">
        <x:f>M26/$M$3</x:f>
        <x:v>1.0168539325842698</x:v>
      </x:c>
      <x:c r="AI26" s="171" t="n">
        <x:f>N26/$M$3</x:f>
        <x:v>1.0127681307456589</x:v>
      </x:c>
      <x:c r="AJ26" s="170" t="n">
        <x:f>IF(AK26&lt;&gt;"",1,0)+IF(AY26&lt;&gt;"",1,0)+IF(BM26&lt;&gt;"",1,0)+IF(CA26&lt;&gt;"",1,0)+IF(CO26&lt;&gt;"",1,0)+IF(DC26&lt;&gt;"",1,0)+IF(DQ26&lt;&gt;"",1,0)+IF(EE26&lt;&gt;"",1,0)+IF(ES26&lt;&gt;"",1,0)+IF(FG26&lt;&gt;"",1,0)</x:f>
        <x:v>3</x:v>
      </x:c>
      <x:c r="AK26" s="147" t="str">
        <x:v>Silver replicating holding (LBMA/SLV proxy)</x:v>
      </x:c>
      <x:c r="AL26" s="147" t="str">
        <x:v>Physical-backed proxy</x:v>
      </x:c>
      <x:c r="AM26" s="147" t="str">
        <x:v>Long</x:v>
      </x:c>
      <x:c r="AN26" s="167" t="n">
        <x:v>1.991</x:v>
      </x:c>
      <x:c r="AO26" s="167" t="n">
        <x:v>1.983</x:v>
      </x:c>
      <x:c r="AP26" s="166" t="n">
        <x:v>0.3949542877589671</x:v>
      </x:c>
      <x:c r="AQ26" s="171" t="n">
        <x:f>IF(AK26="","",IFERROR(F26*AP26/AN26,0))</x:f>
        <x:v>0.21139341377666082</x:v>
      </x:c>
      <x:c r="AR26" s="171" t="n">
        <x:f>IF(AK26="","",F26*ABS(AP26))</x:f>
        <x:v>0.4208842868293317</x:v>
      </x:c>
      <x:c r="AS26" s="165"/>
      <x:c r="AT26" s="172" t="str">
        <x:f>IF(AK26="","",IF(AS26="","",IFERROR(AN26/AS26-1,0)))</x:f>
      </x:c>
      <x:c r="AU26" s="166"/>
      <x:c r="AV26" s="172" t="str">
        <x:f>IF(AK26="","",IF(AU26="","",AU26-AT26*365/AW26))</x:f>
      </x:c>
      <x:c r="AW26" s="164"/>
      <x:c r="AX26" s="173" t="n">
        <x:f>IF(AK26="","",IFERROR(AP26*(AO26/AN26-1-'Parameters'!$C$6*C26/365),0))</x:f>
        <x:v>-0.0015896636304789456</x:v>
      </x:c>
      <x:c r="AY26" s="147" t="str">
        <x:v>Matched-maturity Treasury collateral</x:v>
      </x:c>
      <x:c r="AZ26" s="147" t="str">
        <x:v>Treasury</x:v>
      </x:c>
      <x:c r="BA26" s="147" t="str">
        <x:v>Long</x:v>
      </x:c>
      <x:c r="BB26" s="167" t="n">
        <x:v>100.55654987579562</x:v>
      </x:c>
      <x:c r="BC26" s="167" t="n">
        <x:v>100.57363071440466</x:v>
      </x:c>
      <x:c r="BD26" s="166" t="n">
        <x:v>0.6050457122410329</x:v>
      </x:c>
      <x:c r="BE26" s="171" t="n">
        <x:f>IF(AY26="","",IFERROR(F26*BD26/BB26,0))</x:f>
        <x:v>0.006412002789378619</x:v>
      </x:c>
      <x:c r="BF26" s="171" t="n">
        <x:f>IF(AY26="","",F26*ABS(BD26))</x:f>
        <x:v>0.6447688782938917</x:v>
      </x:c>
      <x:c r="BG26" s="165"/>
      <x:c r="BH26" s="172" t="str">
        <x:f>IF(AY26="","",IF(BG26="","",IFERROR(BB26/BG26-1,0)))</x:f>
      </x:c>
      <x:c r="BI26" s="166"/>
      <x:c r="BJ26" s="172" t="str">
        <x:f>IF(AY26="","",IF(BI26="","",BI26-BH26*365/BK26))</x:f>
      </x:c>
      <x:c r="BK26" s="164" t="n">
        <x:v>51</x:v>
      </x:c>
      <x:c r="BL26" s="172" t="n">
        <x:f>IF(AY26="","",IFERROR(BD26*(BC26/BB26-1),0))</x:f>
        <x:v>0.0001027748881066718</x:v>
      </x:c>
      <x:c r="BM26" s="147" t="str">
        <x:v>SI69H</x:v>
      </x:c>
      <x:c r="BN26" s="147" t="str">
        <x:v>Silver future (regular)</x:v>
      </x:c>
      <x:c r="BO26" s="147" t="str">
        <x:v>Long</x:v>
      </x:c>
      <x:c r="BP26" s="167" t="n">
        <x:v>1.983</x:v>
      </x:c>
      <x:c r="BQ26" s="167" t="n">
        <x:v>1.881</x:v>
      </x:c>
      <x:c r="BR26" s="166" t="n">
        <x:v>0.6050457122410329</x:v>
      </x:c>
      <x:c r="BS26" s="171" t="n">
        <x:f>IF(BM26="","",IFERROR(F26*BR26/BP26,0))</x:f>
        <x:v>0.32514819883706086</x:v>
      </x:c>
      <x:c r="BT26" s="171" t="n">
        <x:f>IF(BM26="","",F26*ABS(BR26))</x:f>
        <x:v>0.6447688782938917</x:v>
      </x:c>
      <x:c r="BU26" s="165" t="n">
        <x:v>1.991</x:v>
      </x:c>
      <x:c r="BV26" s="172" t="n">
        <x:f>IF(BM26="","",IF(BU26="","",IFERROR(BP26/BU26-1,0)))</x:f>
        <x:v>-0.004018081366147674</x:v>
      </x:c>
      <x:c r="BW26" s="166" t="n">
        <x:v>0.062</x:v>
      </x:c>
      <x:c r="BX26" s="172" t="n">
        <x:f>IF(BM26="","",IF(BW26="","",BW26-BV26*365/BY26))</x:f>
        <x:v>0.09075685683615492</x:v>
      </x:c>
      <x:c r="BY26" s="164" t="n">
        <x:v>51</x:v>
      </x:c>
      <x:c r="BZ26" s="172" t="n">
        <x:f>IF(BM26="","",IFERROR(BR26*(BQ26/BP26-1),0))</x:f>
        <x:v>-0.03112186719545407</x:v>
      </x:c>
      <x:c r="CA26" s="147"/>
      <x:c r="CB26" s="147"/>
      <x:c r="CC26" s="147"/>
      <x:c r="CD26" s="167"/>
      <x:c r="CE26" s="167"/>
      <x:c r="CF26" s="166"/>
      <x:c r="CG26" s="171" t="str">
        <x:f>IF(CA26="","",IFERROR(F26*CF26/CD26,0))</x:f>
      </x:c>
      <x:c r="CH26" s="171" t="str">
        <x:f>IF(CA26="","",F26*ABS(CF26))</x:f>
      </x:c>
      <x:c r="CI26" s="165"/>
      <x:c r="CJ26" s="172" t="str">
        <x:f>IF(CA26="","",IF(CI26="","",IFERROR(CD26/CI26-1,0)))</x:f>
      </x:c>
      <x:c r="CK26" s="166"/>
      <x:c r="CL26" s="172" t="str">
        <x:f>IF(CA26="","",IF(CK26="","",CK26-CJ26*365/CM26))</x:f>
      </x:c>
      <x:c r="CM26" s="164"/>
      <x:c r="CN26" s="172" t="str">
        <x:f>IF(CA26="","",IFERROR(CF26*(CE26/CD26-1),0))</x:f>
      </x:c>
      <x:c r="CO26" s="147"/>
      <x:c r="CP26" s="147"/>
      <x:c r="CQ26" s="147"/>
      <x:c r="CR26" s="167"/>
      <x:c r="CS26" s="167"/>
      <x:c r="CT26" s="166"/>
      <x:c r="CU26" s="171" t="str">
        <x:f>IF(CO26="","",IFERROR(F26*CT26/CR26,0))</x:f>
      </x:c>
      <x:c r="CV26" s="171" t="str">
        <x:f>IF(CO26="","",F26*ABS(CT26))</x:f>
      </x:c>
      <x:c r="CW26" s="165"/>
      <x:c r="CX26" s="172" t="str">
        <x:f>IF(CO26="","",IF(CW26="","",IFERROR(CR26/CW26-1,0)))</x:f>
      </x:c>
      <x:c r="CY26" s="166"/>
      <x:c r="CZ26" s="172" t="str">
        <x:f>IF(CO26="","",IF(CY26="","",CY26-CX26*365/DA26))</x:f>
      </x:c>
      <x:c r="DA26" s="164"/>
      <x:c r="DB26" s="172" t="str">
        <x:f>IF(CO26="","",IFERROR(CT26*(CS26/CR26-1),0))</x:f>
      </x:c>
      <x:c r="DC26" s="147"/>
      <x:c r="DD26" s="147"/>
      <x:c r="DE26" s="147"/>
      <x:c r="DF26" s="167"/>
      <x:c r="DG26" s="167"/>
      <x:c r="DH26" s="166"/>
      <x:c r="DI26" s="171" t="str">
        <x:f>IF(DC26="","",IFERROR(F26*DH26/DF26,0))</x:f>
      </x:c>
      <x:c r="DJ26" s="171" t="str">
        <x:f>IF(DC26="","",F26*ABS(DH26))</x:f>
      </x:c>
      <x:c r="DK26" s="165"/>
      <x:c r="DL26" s="172" t="str">
        <x:f>IF(DC26="","",IF(DK26="","",IFERROR(DF26/DK26-1,0)))</x:f>
      </x:c>
      <x:c r="DM26" s="166"/>
      <x:c r="DN26" s="172" t="str">
        <x:f>IF(DC26="","",IF(DM26="","",DM26-DL26*365/DO26))</x:f>
      </x:c>
      <x:c r="DO26" s="164"/>
      <x:c r="DP26" s="172" t="str">
        <x:f>IF(DC26="","",IFERROR(DH26*(DG26/DF26-1),0))</x:f>
      </x:c>
      <x:c r="DQ26" s="147"/>
      <x:c r="DR26" s="147"/>
      <x:c r="DS26" s="147"/>
      <x:c r="DT26" s="167"/>
      <x:c r="DU26" s="167"/>
      <x:c r="DV26" s="166"/>
      <x:c r="DW26" s="171" t="str">
        <x:f>IF(DQ26="","",IFERROR(F26*DV26/DT26,0))</x:f>
      </x:c>
      <x:c r="DX26" s="171" t="str">
        <x:f>IF(DQ26="","",F26*ABS(DV26))</x:f>
      </x:c>
      <x:c r="DY26" s="165"/>
      <x:c r="DZ26" s="172" t="str">
        <x:f>IF(DQ26="","",IF(DY26="","",IFERROR(DT26/DY26-1,0)))</x:f>
      </x:c>
      <x:c r="EA26" s="166"/>
      <x:c r="EB26" s="172" t="str">
        <x:f>IF(DQ26="","",IF(EA26="","",EA26-DZ26*365/EC26))</x:f>
      </x:c>
      <x:c r="EC26" s="164"/>
      <x:c r="ED26" s="172" t="str">
        <x:f>IF(DQ26="","",IFERROR(DV26*(DU26/DT26-1),0))</x:f>
      </x:c>
      <x:c r="EE26" s="147"/>
      <x:c r="EF26" s="147"/>
      <x:c r="EG26" s="147"/>
      <x:c r="EH26" s="167"/>
      <x:c r="EI26" s="167"/>
      <x:c r="EJ26" s="166"/>
      <x:c r="EK26" s="171" t="str">
        <x:f>IF(EE26="","",IFERROR(F26*EJ26/EH26,0))</x:f>
      </x:c>
      <x:c r="EL26" s="171" t="str">
        <x:f>IF(EE26="","",F26*ABS(EJ26))</x:f>
      </x:c>
      <x:c r="EM26" s="165"/>
      <x:c r="EN26" s="172" t="str">
        <x:f>IF(EE26="","",IF(EM26="","",IFERROR(EH26/EM26-1,0)))</x:f>
      </x:c>
      <x:c r="EO26" s="166"/>
      <x:c r="EP26" s="172" t="str">
        <x:f>IF(EE26="","",IF(EO26="","",EO26-EN26*365/EQ26))</x:f>
      </x:c>
      <x:c r="EQ26" s="164"/>
      <x:c r="ER26" s="172" t="str">
        <x:f>IF(EE26="","",IFERROR(EJ26*(EI26/EH26-1),0))</x:f>
      </x:c>
      <x:c r="ES26" s="147"/>
      <x:c r="ET26" s="147"/>
      <x:c r="EU26" s="147"/>
      <x:c r="EV26" s="167"/>
      <x:c r="EW26" s="167"/>
      <x:c r="EX26" s="166"/>
      <x:c r="EY26" s="171" t="str">
        <x:f>IF(ES26="","",IFERROR(F26*EX26/EV26,0))</x:f>
      </x:c>
      <x:c r="EZ26" s="171" t="str">
        <x:f>IF(ES26="","",F26*ABS(EX26))</x:f>
      </x:c>
      <x:c r="FA26" s="165"/>
      <x:c r="FB26" s="172" t="str">
        <x:f>IF(ES26="","",IF(FA26="","",IFERROR(EV26/FA26-1,0)))</x:f>
      </x:c>
      <x:c r="FC26" s="166"/>
      <x:c r="FD26" s="172" t="str">
        <x:f>IF(ES26="","",IF(FC26="","",FC26-FB26*365/FE26))</x:f>
      </x:c>
      <x:c r="FE26" s="164"/>
      <x:c r="FF26" s="172" t="str">
        <x:f>IF(ES26="","",IFERROR(EX26*(EW26/EV26-1),0))</x:f>
      </x:c>
      <x:c r="FG26" s="147"/>
      <x:c r="FH26" s="147"/>
      <x:c r="FI26" s="147"/>
      <x:c r="FJ26" s="167"/>
      <x:c r="FK26" s="167"/>
      <x:c r="FL26" s="166"/>
      <x:c r="FM26" s="171" t="str">
        <x:f>IF(FG26="","",IFERROR(F26*FL26/FJ26,0))</x:f>
      </x:c>
      <x:c r="FN26" s="171" t="str">
        <x:f>IF(FG26="","",F26*ABS(FL26))</x:f>
      </x:c>
      <x:c r="FO26" s="165"/>
      <x:c r="FP26" s="172" t="str">
        <x:f>IF(FG26="","",IF(FO26="","",IFERROR(FJ26/FO26-1,0)))</x:f>
      </x:c>
      <x:c r="FQ26" s="166"/>
      <x:c r="FR26" s="172" t="str">
        <x:f>IF(FG26="","",IF(FQ26="","",FQ26-FP26*365/FS26))</x:f>
      </x:c>
      <x:c r="FS26" s="164"/>
      <x:c r="FT26" s="172" t="str">
        <x:f>IF(FG26="","",IFERROR(FL26*(FK26/FJ26-1),0))</x:f>
      </x:c>
    </x:row>
    <x:row r="27" ht="18" customHeight="1">
      <x:c r="A27" s="163" t="n">
        <x:v>25239</x:v>
      </x:c>
      <x:c r="B27" s="163" t="n">
        <x:v>25240</x:v>
      </x:c>
      <x:c r="C27" s="170" t="n">
        <x:f>B27-A27</x:f>
        <x:v>1</x:v>
      </x:c>
      <x:c r="D27" s="163" t="n">
        <x:v>25239</x:v>
      </x:c>
      <x:c r="E27" s="147" t="str">
        <x:v>positive</x:v>
      </x:c>
      <x:c r="F27" s="165" t="n">
        <x:v>1.0309035411473482</x:v>
      </x:c>
      <x:c r="G27" s="168" t="n">
        <x:v>-0.02428521407295743</x:v>
      </x:c>
      <x:c r="H27" s="172" t="n">
        <x:f>SUM(AX27,BL27,BZ27,CN27,DB27,DP27,ED27,ER27,FF27,FT27)</x:f>
        <x:v>-0.024285214072957473</x:v>
      </x:c>
      <x:c r="I27" s="174" t="n">
        <x:f>G27-H27</x:f>
        <x:v>4.163336342344337e-17</x:v>
      </x:c>
      <x:c r="J27" s="171" t="n">
        <x:f>F27*(1+H27)</x:f>
        <x:v>1.0058678279620148</x:v>
      </x:c>
      <x:c r="K27" s="169" t="n">
        <x:v>1.0058678279620148</x:v>
      </x:c>
      <x:c r="L27" s="175" t="n">
        <x:f>K27-J27</x:f>
        <x:v>0</x:v>
      </x:c>
      <x:c r="M27" s="167" t="n">
        <x:v>1.983</x:v>
      </x:c>
      <x:c r="N27" s="167" t="n">
        <x:v>1.922</x:v>
      </x:c>
      <x:c r="O27" s="172" t="n">
        <x:f>IFERROR(N27/M27-1,0)</x:f>
        <x:v>-0.030761472516389388</x:v>
      </x:c>
      <x:c r="P27" s="171" t="n">
        <x:f>IFERROR(AD27/AH27,0)</x:f>
        <x:v>1.0179067743653594</x:v>
      </x:c>
      <x:c r="Q27" s="171" t="n">
        <x:f>IFERROR(AE27/AI27,0)</x:f>
        <x:v>1.0247082243234265</x:v>
      </x:c>
      <x:c r="R27" s="172" t="n">
        <x:f>IFERROR((Q27-P27)/(P27+S27),0)</x:f>
        <x:v>0.006681800464789742</x:v>
      </x:c>
      <x:c r="S27" s="172" t="n">
        <x:f>IFERROR(AF27/AH27,0)</x:f>
        <x:v>0</x:v>
      </x:c>
      <x:c r="T27" s="172" t="n">
        <x:f>IFERROR(AG27/AI27,0)</x:f>
        <x:v>0</x:v>
      </x:c>
      <x:c r="U27" s="172" t="n">
        <x:f>IFERROR((T27-S27)/(P27+S27),0)</x:f>
        <x:v>0</x:v>
      </x:c>
      <x:c r="V27" s="172" t="n">
        <x:f>R27+U27</x:f>
        <x:v>0.006681800464789742</x:v>
      </x:c>
      <x:c r="W27" s="172" t="n">
        <x:f>(1+O27)*(1+V27)-1</x:f>
        <x:v>-0.02428521407295725</x:v>
      </x:c>
      <x:c r="X27" s="174" t="n">
        <x:f>G27-W27</x:f>
        <x:v>-1.8041124150158794e-16</x:v>
      </x:c>
      <x:c r="Y27" s="172" t="str">
        <x:f>AX27</x:f>
      </x:c>
      <x:c r="Z27" s="172" t="n">
        <x:f>BL27</x:f>
        <x:v>0.00016986301369859014</x:v>
      </x:c>
      <x:c r="AA27" s="172" t="n">
        <x:f>SUM(BZ27,CN27,DB27,DP27,ED27,ER27,FF27,FT27)</x:f>
        <x:v>-0.024455077086656063</x:v>
      </x:c>
      <x:c r="AB27" s="172" t="n">
        <x:f>SUM(Y27:AA27)</x:f>
        <x:v>-0.024285214072957473</x:v>
      </x:c>
      <x:c r="AC27" s="174" t="n">
        <x:f>G27-AB27</x:f>
        <x:v>4.163336342344337e-17</x:v>
      </x:c>
      <x:c r="AD27" s="169" t="n">
        <x:v>1.0309035411473482</x:v>
      </x:c>
      <x:c r="AE27" s="169" t="n">
        <x:v>1.005867827962015</x:v>
      </x:c>
      <x:c r="AF27" s="169" t="n">
        <x:v>0</x:v>
      </x:c>
      <x:c r="AG27" s="169" t="n">
        <x:v>0</x:v>
      </x:c>
      <x:c r="AH27" s="171" t="n">
        <x:f>M27/$M$3</x:f>
        <x:v>1.0127681307456589</x:v>
      </x:c>
      <x:c r="AI27" s="171" t="n">
        <x:f>N27/$M$3</x:f>
        <x:v>0.9816138917262512</x:v>
      </x:c>
      <x:c r="AJ27" s="170" t="n">
        <x:f>IF(AK27&lt;&gt;"",1,0)+IF(AY27&lt;&gt;"",1,0)+IF(BM27&lt;&gt;"",1,0)+IF(CA27&lt;&gt;"",1,0)+IF(CO27&lt;&gt;"",1,0)+IF(DC27&lt;&gt;"",1,0)+IF(DQ27&lt;&gt;"",1,0)+IF(EE27&lt;&gt;"",1,0)+IF(ES27&lt;&gt;"",1,0)+IF(FG27&lt;&gt;"",1,0)</x:f>
        <x:v>2</x:v>
      </x:c>
      <x:c r="AK27" s="147"/>
      <x:c r="AL27" s="147"/>
      <x:c r="AM27" s="147"/>
      <x:c r="AN27" s="167"/>
      <x:c r="AO27" s="167"/>
      <x:c r="AP27" s="166"/>
      <x:c r="AQ27" s="171" t="str">
        <x:f>IF(AK27="","",IFERROR(F27*AP27/AN27,0))</x:f>
      </x:c>
      <x:c r="AR27" s="171" t="str">
        <x:f>IF(AK27="","",F27*ABS(AP27))</x:f>
      </x:c>
      <x:c r="AS27" s="165"/>
      <x:c r="AT27" s="172" t="str">
        <x:f>IF(AK27="","",IF(AS27="","",IFERROR(AN27/AS27-1,0)))</x:f>
      </x:c>
      <x:c r="AU27" s="166"/>
      <x:c r="AV27" s="172" t="str">
        <x:f>IF(AK27="","",IF(AU27="","",AU27-AT27*365/AW27))</x:f>
      </x:c>
      <x:c r="AW27" s="164"/>
      <x:c r="AX27" s="173" t="str">
        <x:f>IF(AK27="","",IFERROR(AP27*(AO27/AN27-1),0))</x:f>
      </x:c>
      <x:c r="AY27" s="147" t="str">
        <x:v>Matched-maturity Treasury collateral</x:v>
      </x:c>
      <x:c r="AZ27" s="147" t="str">
        <x:v>Treasury</x:v>
      </x:c>
      <x:c r="BA27" s="147" t="str">
        <x:v>Long</x:v>
      </x:c>
      <x:c r="BB27" s="167" t="n">
        <x:v>100.57363071440466</x:v>
      </x:c>
      <x:c r="BC27" s="167" t="n">
        <x:v>100.59071445441641</x:v>
      </x:c>
      <x:c r="BD27" s="166" t="n">
        <x:v>1</x:v>
      </x:c>
      <x:c r="BE27" s="171" t="n">
        <x:f>IF(AY27="","",IFERROR(F27*BD27/BB27,0))</x:f>
        <x:v>0.010250236904291226</x:v>
      </x:c>
      <x:c r="BF27" s="171" t="n">
        <x:f>IF(AY27="","",F27*ABS(BD27))</x:f>
        <x:v>1.0309035411473482</x:v>
      </x:c>
      <x:c r="BG27" s="165"/>
      <x:c r="BH27" s="172" t="str">
        <x:f>IF(AY27="","",IF(BG27="","",IFERROR(BB27/BG27-1,0)))</x:f>
      </x:c>
      <x:c r="BI27" s="166"/>
      <x:c r="BJ27" s="172" t="str">
        <x:f>IF(AY27="","",IF(BI27="","",BI27-BH27*365/BK27))</x:f>
      </x:c>
      <x:c r="BK27" s="164" t="n">
        <x:v>50</x:v>
      </x:c>
      <x:c r="BL27" s="172" t="n">
        <x:f>IF(AY27="","",IFERROR(BD27*(BC27/BB27-1),0))</x:f>
        <x:v>0.00016986301369859014</x:v>
      </x:c>
      <x:c r="BM27" s="147" t="str">
        <x:v>SI69H</x:v>
      </x:c>
      <x:c r="BN27" s="147" t="str">
        <x:v>Silver future (regular)</x:v>
      </x:c>
      <x:c r="BO27" s="147" t="str">
        <x:v>Long</x:v>
      </x:c>
      <x:c r="BP27" s="167" t="n">
        <x:v>1.881</x:v>
      </x:c>
      <x:c r="BQ27" s="167" t="n">
        <x:v>1.835</x:v>
      </x:c>
      <x:c r="BR27" s="166" t="n">
        <x:v>1</x:v>
      </x:c>
      <x:c r="BS27" s="171" t="n">
        <x:f>IF(BM27="","",IFERROR(F27*BR27/BP27,0))</x:f>
        <x:v>0.5480614253840235</x:v>
      </x:c>
      <x:c r="BT27" s="171" t="n">
        <x:f>IF(BM27="","",F27*ABS(BR27))</x:f>
        <x:v>1.0309035411473482</x:v>
      </x:c>
      <x:c r="BU27" s="165" t="n">
        <x:v>1.983</x:v>
      </x:c>
      <x:c r="BV27" s="172" t="n">
        <x:f>IF(BM27="","",IF(BU27="","",IFERROR(BP27/BU27-1,0)))</x:f>
        <x:v>-0.05143721633888054</x:v>
      </x:c>
      <x:c r="BW27" s="166" t="n">
        <x:v>0.062</x:v>
      </x:c>
      <x:c r="BX27" s="172" t="n">
        <x:f>IF(BM27="","",IF(BW27="","",BW27-BV27*365/BY27))</x:f>
        <x:v>0.437491679273828</x:v>
      </x:c>
      <x:c r="BY27" s="164" t="n">
        <x:v>50</x:v>
      </x:c>
      <x:c r="BZ27" s="172" t="n">
        <x:f>IF(BM27="","",IFERROR(BR27*(BQ27/BP27-1),0))</x:f>
        <x:v>-0.024455077086656063</x:v>
      </x:c>
      <x:c r="CA27" s="147"/>
      <x:c r="CB27" s="147"/>
      <x:c r="CC27" s="147"/>
      <x:c r="CD27" s="167"/>
      <x:c r="CE27" s="167"/>
      <x:c r="CF27" s="166"/>
      <x:c r="CG27" s="171" t="str">
        <x:f>IF(CA27="","",IFERROR(F27*CF27/CD27,0))</x:f>
      </x:c>
      <x:c r="CH27" s="171" t="str">
        <x:f>IF(CA27="","",F27*ABS(CF27))</x:f>
      </x:c>
      <x:c r="CI27" s="165"/>
      <x:c r="CJ27" s="172" t="str">
        <x:f>IF(CA27="","",IF(CI27="","",IFERROR(CD27/CI27-1,0)))</x:f>
      </x:c>
      <x:c r="CK27" s="166"/>
      <x:c r="CL27" s="172" t="str">
        <x:f>IF(CA27="","",IF(CK27="","",CK27-CJ27*365/CM27))</x:f>
      </x:c>
      <x:c r="CM27" s="164"/>
      <x:c r="CN27" s="172" t="str">
        <x:f>IF(CA27="","",IFERROR(CF27*(CE27/CD27-1),0))</x:f>
      </x:c>
      <x:c r="CO27" s="147"/>
      <x:c r="CP27" s="147"/>
      <x:c r="CQ27" s="147"/>
      <x:c r="CR27" s="167"/>
      <x:c r="CS27" s="167"/>
      <x:c r="CT27" s="166"/>
      <x:c r="CU27" s="171" t="str">
        <x:f>IF(CO27="","",IFERROR(F27*CT27/CR27,0))</x:f>
      </x:c>
      <x:c r="CV27" s="171" t="str">
        <x:f>IF(CO27="","",F27*ABS(CT27))</x:f>
      </x:c>
      <x:c r="CW27" s="165"/>
      <x:c r="CX27" s="172" t="str">
        <x:f>IF(CO27="","",IF(CW27="","",IFERROR(CR27/CW27-1,0)))</x:f>
      </x:c>
      <x:c r="CY27" s="166"/>
      <x:c r="CZ27" s="172" t="str">
        <x:f>IF(CO27="","",IF(CY27="","",CY27-CX27*365/DA27))</x:f>
      </x:c>
      <x:c r="DA27" s="164"/>
      <x:c r="DB27" s="172" t="str">
        <x:f>IF(CO27="","",IFERROR(CT27*(CS27/CR27-1),0))</x:f>
      </x:c>
      <x:c r="DC27" s="147"/>
      <x:c r="DD27" s="147"/>
      <x:c r="DE27" s="147"/>
      <x:c r="DF27" s="167"/>
      <x:c r="DG27" s="167"/>
      <x:c r="DH27" s="166"/>
      <x:c r="DI27" s="171" t="str">
        <x:f>IF(DC27="","",IFERROR(F27*DH27/DF27,0))</x:f>
      </x:c>
      <x:c r="DJ27" s="171" t="str">
        <x:f>IF(DC27="","",F27*ABS(DH27))</x:f>
      </x:c>
      <x:c r="DK27" s="165"/>
      <x:c r="DL27" s="172" t="str">
        <x:f>IF(DC27="","",IF(DK27="","",IFERROR(DF27/DK27-1,0)))</x:f>
      </x:c>
      <x:c r="DM27" s="166"/>
      <x:c r="DN27" s="172" t="str">
        <x:f>IF(DC27="","",IF(DM27="","",DM27-DL27*365/DO27))</x:f>
      </x:c>
      <x:c r="DO27" s="164"/>
      <x:c r="DP27" s="172" t="str">
        <x:f>IF(DC27="","",IFERROR(DH27*(DG27/DF27-1),0))</x:f>
      </x:c>
      <x:c r="DQ27" s="147"/>
      <x:c r="DR27" s="147"/>
      <x:c r="DS27" s="147"/>
      <x:c r="DT27" s="167"/>
      <x:c r="DU27" s="167"/>
      <x:c r="DV27" s="166"/>
      <x:c r="DW27" s="171" t="str">
        <x:f>IF(DQ27="","",IFERROR(F27*DV27/DT27,0))</x:f>
      </x:c>
      <x:c r="DX27" s="171" t="str">
        <x:f>IF(DQ27="","",F27*ABS(DV27))</x:f>
      </x:c>
      <x:c r="DY27" s="165"/>
      <x:c r="DZ27" s="172" t="str">
        <x:f>IF(DQ27="","",IF(DY27="","",IFERROR(DT27/DY27-1,0)))</x:f>
      </x:c>
      <x:c r="EA27" s="166"/>
      <x:c r="EB27" s="172" t="str">
        <x:f>IF(DQ27="","",IF(EA27="","",EA27-DZ27*365/EC27))</x:f>
      </x:c>
      <x:c r="EC27" s="164"/>
      <x:c r="ED27" s="172" t="str">
        <x:f>IF(DQ27="","",IFERROR(DV27*(DU27/DT27-1),0))</x:f>
      </x:c>
      <x:c r="EE27" s="147"/>
      <x:c r="EF27" s="147"/>
      <x:c r="EG27" s="147"/>
      <x:c r="EH27" s="167"/>
      <x:c r="EI27" s="167"/>
      <x:c r="EJ27" s="166"/>
      <x:c r="EK27" s="171" t="str">
        <x:f>IF(EE27="","",IFERROR(F27*EJ27/EH27,0))</x:f>
      </x:c>
      <x:c r="EL27" s="171" t="str">
        <x:f>IF(EE27="","",F27*ABS(EJ27))</x:f>
      </x:c>
      <x:c r="EM27" s="165"/>
      <x:c r="EN27" s="172" t="str">
        <x:f>IF(EE27="","",IF(EM27="","",IFERROR(EH27/EM27-1,0)))</x:f>
      </x:c>
      <x:c r="EO27" s="166"/>
      <x:c r="EP27" s="172" t="str">
        <x:f>IF(EE27="","",IF(EO27="","",EO27-EN27*365/EQ27))</x:f>
      </x:c>
      <x:c r="EQ27" s="164"/>
      <x:c r="ER27" s="172" t="str">
        <x:f>IF(EE27="","",IFERROR(EJ27*(EI27/EH27-1),0))</x:f>
      </x:c>
      <x:c r="ES27" s="147"/>
      <x:c r="ET27" s="147"/>
      <x:c r="EU27" s="147"/>
      <x:c r="EV27" s="167"/>
      <x:c r="EW27" s="167"/>
      <x:c r="EX27" s="166"/>
      <x:c r="EY27" s="171" t="str">
        <x:f>IF(ES27="","",IFERROR(F27*EX27/EV27,0))</x:f>
      </x:c>
      <x:c r="EZ27" s="171" t="str">
        <x:f>IF(ES27="","",F27*ABS(EX27))</x:f>
      </x:c>
      <x:c r="FA27" s="165"/>
      <x:c r="FB27" s="172" t="str">
        <x:f>IF(ES27="","",IF(FA27="","",IFERROR(EV27/FA27-1,0)))</x:f>
      </x:c>
      <x:c r="FC27" s="166"/>
      <x:c r="FD27" s="172" t="str">
        <x:f>IF(ES27="","",IF(FC27="","",FC27-FB27*365/FE27))</x:f>
      </x:c>
      <x:c r="FE27" s="164"/>
      <x:c r="FF27" s="172" t="str">
        <x:f>IF(ES27="","",IFERROR(EX27*(EW27/EV27-1),0))</x:f>
      </x:c>
      <x:c r="FG27" s="147"/>
      <x:c r="FH27" s="147"/>
      <x:c r="FI27" s="147"/>
      <x:c r="FJ27" s="167"/>
      <x:c r="FK27" s="167"/>
      <x:c r="FL27" s="166"/>
      <x:c r="FM27" s="171" t="str">
        <x:f>IF(FG27="","",IFERROR(F27*FL27/FJ27,0))</x:f>
      </x:c>
      <x:c r="FN27" s="171" t="str">
        <x:f>IF(FG27="","",F27*ABS(FL27))</x:f>
      </x:c>
      <x:c r="FO27" s="165"/>
      <x:c r="FP27" s="172" t="str">
        <x:f>IF(FG27="","",IF(FO27="","",IFERROR(FJ27/FO27-1,0)))</x:f>
      </x:c>
      <x:c r="FQ27" s="166"/>
      <x:c r="FR27" s="172" t="str">
        <x:f>IF(FG27="","",IF(FQ27="","",FQ27-FP27*365/FS27))</x:f>
      </x:c>
      <x:c r="FS27" s="164"/>
      <x:c r="FT27" s="172" t="str">
        <x:f>IF(FG27="","",IFERROR(FL27*(FK27/FJ27-1),0))</x:f>
      </x:c>
    </x:row>
    <x:row r="28" ht="18" customHeight="1">
      <x:c r="A28" s="163" t="n">
        <x:v>25240</x:v>
      </x:c>
      <x:c r="B28" s="163" t="n">
        <x:v>25241</x:v>
      </x:c>
      <x:c r="C28" s="170" t="n">
        <x:f>B28-A28</x:f>
        <x:v>1</x:v>
      </x:c>
      <x:c r="D28" s="163" t="n">
        <x:v>25240</x:v>
      </x:c>
      <x:c r="E28" s="147" t="str">
        <x:v>positive</x:v>
      </x:c>
      <x:c r="F28" s="165" t="n">
        <x:v>1.0058678279620148</x:v>
      </x:c>
      <x:c r="G28" s="168" t="n">
        <x:v>0.00016986301369863014</x:v>
      </x:c>
      <x:c r="H28" s="172" t="n">
        <x:f>SUM(AX28,BL28,BZ28,CN28,DB28,DP28,ED28,ER28,FF28,FT28)</x:f>
        <x:v>0.00016986301369859014</x:v>
      </x:c>
      <x:c r="I28" s="174" t="n">
        <x:f>G28-H28</x:f>
        <x:v>4.0007060164715114e-17</x:v>
      </x:c>
      <x:c r="J28" s="171" t="n">
        <x:f>F28*(1+H28)</x:f>
        <x:v>1.0060386877026548</x:v>
      </x:c>
      <x:c r="K28" s="169" t="n">
        <x:v>1.0060386877026548</x:v>
      </x:c>
      <x:c r="L28" s="175" t="n">
        <x:f>K28-J28</x:f>
        <x:v>0</x:v>
      </x:c>
      <x:c r="M28" s="167" t="n">
        <x:v>1.922</x:v>
      </x:c>
      <x:c r="N28" s="167" t="n">
        <x:v>1.885</x:v>
      </x:c>
      <x:c r="O28" s="172" t="n">
        <x:f>IFERROR(N28/M28-1,0)</x:f>
        <x:v>-0.019250780437044757</x:v>
      </x:c>
      <x:c r="P28" s="171" t="n">
        <x:f>IFERROR(AD28/AH28,0)</x:f>
        <x:v>1.0247082243234265</x:v>
      </x:c>
      <x:c r="Q28" s="171" t="n">
        <x:f>IFERROR(AE28/AI28,0)</x:f>
        <x:v>1.0449993371468427</x:v>
      </x:c>
      <x:c r="R28" s="172" t="n">
        <x:f>IFERROR((Q28-P28)/(P28+S28),0)</x:f>
        <x:v>0.019801844409723195</x:v>
      </x:c>
      <x:c r="S28" s="172" t="n">
        <x:f>IFERROR(AF28/AH28,0)</x:f>
        <x:v>0</x:v>
      </x:c>
      <x:c r="T28" s="172" t="n">
        <x:f>IFERROR(AG28/AI28,0)</x:f>
        <x:v>0</x:v>
      </x:c>
      <x:c r="U28" s="172" t="n">
        <x:f>IFERROR((T28-S28)/(P28+S28),0)</x:f>
        <x:v>0</x:v>
      </x:c>
      <x:c r="V28" s="172" t="n">
        <x:f>R28+U28</x:f>
        <x:v>0.019801844409723195</x:v>
      </x:c>
      <x:c r="W28" s="172" t="n">
        <x:f>(1+O28)*(1+V28)-1</x:f>
        <x:v>0.0001698630136983681</x:v>
      </x:c>
      <x:c r="X28" s="174" t="n">
        <x:f>G28-W28</x:f>
        <x:v>2.620516650897464e-16</x:v>
      </x:c>
      <x:c r="Y28" s="172" t="str">
        <x:f>AX28</x:f>
      </x:c>
      <x:c r="Z28" s="172" t="n">
        <x:f>BL28</x:f>
        <x:v>0.00016986301369859014</x:v>
      </x:c>
      <x:c r="AA28" s="172" t="n">
        <x:f>SUM(BZ28,CN28,DB28,DP28,ED28,ER28,FF28,FT28)</x:f>
        <x:v>0</x:v>
      </x:c>
      <x:c r="AB28" s="172" t="n">
        <x:f>SUM(Y28:AA28)</x:f>
        <x:v>0.00016986301369859014</x:v>
      </x:c>
      <x:c r="AC28" s="174" t="n">
        <x:f>G28-AB28</x:f>
        <x:v>4.0007060164715114e-17</x:v>
      </x:c>
      <x:c r="AD28" s="169" t="n">
        <x:v>1.005867827962015</x:v>
      </x:c>
      <x:c r="AE28" s="169" t="n">
        <x:v>1.006038687702655</x:v>
      </x:c>
      <x:c r="AF28" s="169" t="n">
        <x:v>0</x:v>
      </x:c>
      <x:c r="AG28" s="169" t="n">
        <x:v>0</x:v>
      </x:c>
      <x:c r="AH28" s="171" t="n">
        <x:f>M28/$M$3</x:f>
        <x:v>0.9816138917262512</x:v>
      </x:c>
      <x:c r="AI28" s="171" t="n">
        <x:f>N28/$M$3</x:f>
        <x:v>0.9627170582226762</x:v>
      </x:c>
      <x:c r="AJ28" s="170" t="n">
        <x:f>IF(AK28&lt;&gt;"",1,0)+IF(AY28&lt;&gt;"",1,0)+IF(BM28&lt;&gt;"",1,0)+IF(CA28&lt;&gt;"",1,0)+IF(CO28&lt;&gt;"",1,0)+IF(DC28&lt;&gt;"",1,0)+IF(DQ28&lt;&gt;"",1,0)+IF(EE28&lt;&gt;"",1,0)+IF(ES28&lt;&gt;"",1,0)+IF(FG28&lt;&gt;"",1,0)</x:f>
        <x:v>2</x:v>
      </x:c>
      <x:c r="AK28" s="147"/>
      <x:c r="AL28" s="147"/>
      <x:c r="AM28" s="147"/>
      <x:c r="AN28" s="167"/>
      <x:c r="AO28" s="167"/>
      <x:c r="AP28" s="166"/>
      <x:c r="AQ28" s="171" t="str">
        <x:f>IF(AK28="","",IFERROR(F28*AP28/AN28,0))</x:f>
      </x:c>
      <x:c r="AR28" s="171" t="str">
        <x:f>IF(AK28="","",F28*ABS(AP28))</x:f>
      </x:c>
      <x:c r="AS28" s="165"/>
      <x:c r="AT28" s="172" t="str">
        <x:f>IF(AK28="","",IF(AS28="","",IFERROR(AN28/AS28-1,0)))</x:f>
      </x:c>
      <x:c r="AU28" s="166"/>
      <x:c r="AV28" s="172" t="str">
        <x:f>IF(AK28="","",IF(AU28="","",AU28-AT28*365/AW28))</x:f>
      </x:c>
      <x:c r="AW28" s="164"/>
      <x:c r="AX28" s="173" t="str">
        <x:f>IF(AK28="","",IFERROR(AP28*(AO28/AN28-1),0))</x:f>
      </x:c>
      <x:c r="AY28" s="147" t="str">
        <x:v>Matched-maturity Treasury collateral</x:v>
      </x:c>
      <x:c r="AZ28" s="147" t="str">
        <x:v>Treasury</x:v>
      </x:c>
      <x:c r="BA28" s="147" t="str">
        <x:v>Long</x:v>
      </x:c>
      <x:c r="BB28" s="167" t="n">
        <x:v>100.59071445441641</x:v>
      </x:c>
      <x:c r="BC28" s="167" t="n">
        <x:v>100.60780109632373</x:v>
      </x:c>
      <x:c r="BD28" s="166" t="n">
        <x:v>1</x:v>
      </x:c>
      <x:c r="BE28" s="171" t="n">
        <x:f>IF(AY28="","",IFERROR(F28*BD28/BB28,0))</x:f>
        <x:v>0.009999609143027142</x:v>
      </x:c>
      <x:c r="BF28" s="171" t="n">
        <x:f>IF(AY28="","",F28*ABS(BD28))</x:f>
        <x:v>1.0058678279620148</x:v>
      </x:c>
      <x:c r="BG28" s="165"/>
      <x:c r="BH28" s="172" t="str">
        <x:f>IF(AY28="","",IF(BG28="","",IFERROR(BB28/BG28-1,0)))</x:f>
      </x:c>
      <x:c r="BI28" s="166"/>
      <x:c r="BJ28" s="172" t="str">
        <x:f>IF(AY28="","",IF(BI28="","",BI28-BH28*365/BK28))</x:f>
      </x:c>
      <x:c r="BK28" s="164" t="n">
        <x:v>49</x:v>
      </x:c>
      <x:c r="BL28" s="172" t="n">
        <x:f>IF(AY28="","",IFERROR(BD28*(BC28/BB28-1),0))</x:f>
        <x:v>0.00016986301369859014</x:v>
      </x:c>
      <x:c r="BM28" s="147" t="str">
        <x:v>SI69H</x:v>
      </x:c>
      <x:c r="BN28" s="147" t="str">
        <x:v>Silver future (regular)</x:v>
      </x:c>
      <x:c r="BO28" s="147" t="str">
        <x:v>Long</x:v>
      </x:c>
      <x:c r="BP28" s="167" t="n">
        <x:v>1.835</x:v>
      </x:c>
      <x:c r="BQ28" s="167" t="n">
        <x:v>1.835</x:v>
      </x:c>
      <x:c r="BR28" s="166" t="n">
        <x:v>1</x:v>
      </x:c>
      <x:c r="BS28" s="171" t="n">
        <x:f>IF(BM28="","",IFERROR(F28*BR28/BP28,0))</x:f>
        <x:v>0.5481568544752125</x:v>
      </x:c>
      <x:c r="BT28" s="171" t="n">
        <x:f>IF(BM28="","",F28*ABS(BR28))</x:f>
        <x:v>1.0058678279620148</x:v>
      </x:c>
      <x:c r="BU28" s="165" t="n">
        <x:v>1.922</x:v>
      </x:c>
      <x:c r="BV28" s="172" t="n">
        <x:f>IF(BM28="","",IF(BU28="","",IFERROR(BP28/BU28-1,0)))</x:f>
        <x:v>-0.04526534859521325</x:v>
      </x:c>
      <x:c r="BW28" s="166" t="n">
        <x:v>0.062</x:v>
      </x:c>
      <x:c r="BX28" s="172" t="n">
        <x:f>IF(BM28="","",IF(BW28="","",BW28-BV28*365/BY28))</x:f>
        <x:v>0.39918065790311913</x:v>
      </x:c>
      <x:c r="BY28" s="164" t="n">
        <x:v>49</x:v>
      </x:c>
      <x:c r="BZ28" s="172" t="n">
        <x:f>IF(BM28="","",IFERROR(BR28*(BQ28/BP28-1),0))</x:f>
        <x:v>0</x:v>
      </x:c>
      <x:c r="CA28" s="147"/>
      <x:c r="CB28" s="147"/>
      <x:c r="CC28" s="147"/>
      <x:c r="CD28" s="167"/>
      <x:c r="CE28" s="167"/>
      <x:c r="CF28" s="166"/>
      <x:c r="CG28" s="171" t="str">
        <x:f>IF(CA28="","",IFERROR(F28*CF28/CD28,0))</x:f>
      </x:c>
      <x:c r="CH28" s="171" t="str">
        <x:f>IF(CA28="","",F28*ABS(CF28))</x:f>
      </x:c>
      <x:c r="CI28" s="165"/>
      <x:c r="CJ28" s="172" t="str">
        <x:f>IF(CA28="","",IF(CI28="","",IFERROR(CD28/CI28-1,0)))</x:f>
      </x:c>
      <x:c r="CK28" s="166"/>
      <x:c r="CL28" s="172" t="str">
        <x:f>IF(CA28="","",IF(CK28="","",CK28-CJ28*365/CM28))</x:f>
      </x:c>
      <x:c r="CM28" s="164"/>
      <x:c r="CN28" s="172" t="str">
        <x:f>IF(CA28="","",IFERROR(CF28*(CE28/CD28-1),0))</x:f>
      </x:c>
      <x:c r="CO28" s="147"/>
      <x:c r="CP28" s="147"/>
      <x:c r="CQ28" s="147"/>
      <x:c r="CR28" s="167"/>
      <x:c r="CS28" s="167"/>
      <x:c r="CT28" s="166"/>
      <x:c r="CU28" s="171" t="str">
        <x:f>IF(CO28="","",IFERROR(F28*CT28/CR28,0))</x:f>
      </x:c>
      <x:c r="CV28" s="171" t="str">
        <x:f>IF(CO28="","",F28*ABS(CT28))</x:f>
      </x:c>
      <x:c r="CW28" s="165"/>
      <x:c r="CX28" s="172" t="str">
        <x:f>IF(CO28="","",IF(CW28="","",IFERROR(CR28/CW28-1,0)))</x:f>
      </x:c>
      <x:c r="CY28" s="166"/>
      <x:c r="CZ28" s="172" t="str">
        <x:f>IF(CO28="","",IF(CY28="","",CY28-CX28*365/DA28))</x:f>
      </x:c>
      <x:c r="DA28" s="164"/>
      <x:c r="DB28" s="172" t="str">
        <x:f>IF(CO28="","",IFERROR(CT28*(CS28/CR28-1),0))</x:f>
      </x:c>
      <x:c r="DC28" s="147"/>
      <x:c r="DD28" s="147"/>
      <x:c r="DE28" s="147"/>
      <x:c r="DF28" s="167"/>
      <x:c r="DG28" s="167"/>
      <x:c r="DH28" s="166"/>
      <x:c r="DI28" s="171" t="str">
        <x:f>IF(DC28="","",IFERROR(F28*DH28/DF28,0))</x:f>
      </x:c>
      <x:c r="DJ28" s="171" t="str">
        <x:f>IF(DC28="","",F28*ABS(DH28))</x:f>
      </x:c>
      <x:c r="DK28" s="165"/>
      <x:c r="DL28" s="172" t="str">
        <x:f>IF(DC28="","",IF(DK28="","",IFERROR(DF28/DK28-1,0)))</x:f>
      </x:c>
      <x:c r="DM28" s="166"/>
      <x:c r="DN28" s="172" t="str">
        <x:f>IF(DC28="","",IF(DM28="","",DM28-DL28*365/DO28))</x:f>
      </x:c>
      <x:c r="DO28" s="164"/>
      <x:c r="DP28" s="172" t="str">
        <x:f>IF(DC28="","",IFERROR(DH28*(DG28/DF28-1),0))</x:f>
      </x:c>
      <x:c r="DQ28" s="147"/>
      <x:c r="DR28" s="147"/>
      <x:c r="DS28" s="147"/>
      <x:c r="DT28" s="167"/>
      <x:c r="DU28" s="167"/>
      <x:c r="DV28" s="166"/>
      <x:c r="DW28" s="171" t="str">
        <x:f>IF(DQ28="","",IFERROR(F28*DV28/DT28,0))</x:f>
      </x:c>
      <x:c r="DX28" s="171" t="str">
        <x:f>IF(DQ28="","",F28*ABS(DV28))</x:f>
      </x:c>
      <x:c r="DY28" s="165"/>
      <x:c r="DZ28" s="172" t="str">
        <x:f>IF(DQ28="","",IF(DY28="","",IFERROR(DT28/DY28-1,0)))</x:f>
      </x:c>
      <x:c r="EA28" s="166"/>
      <x:c r="EB28" s="172" t="str">
        <x:f>IF(DQ28="","",IF(EA28="","",EA28-DZ28*365/EC28))</x:f>
      </x:c>
      <x:c r="EC28" s="164"/>
      <x:c r="ED28" s="172" t="str">
        <x:f>IF(DQ28="","",IFERROR(DV28*(DU28/DT28-1),0))</x:f>
      </x:c>
      <x:c r="EE28" s="147"/>
      <x:c r="EF28" s="147"/>
      <x:c r="EG28" s="147"/>
      <x:c r="EH28" s="167"/>
      <x:c r="EI28" s="167"/>
      <x:c r="EJ28" s="166"/>
      <x:c r="EK28" s="171" t="str">
        <x:f>IF(EE28="","",IFERROR(F28*EJ28/EH28,0))</x:f>
      </x:c>
      <x:c r="EL28" s="171" t="str">
        <x:f>IF(EE28="","",F28*ABS(EJ28))</x:f>
      </x:c>
      <x:c r="EM28" s="165"/>
      <x:c r="EN28" s="172" t="str">
        <x:f>IF(EE28="","",IF(EM28="","",IFERROR(EH28/EM28-1,0)))</x:f>
      </x:c>
      <x:c r="EO28" s="166"/>
      <x:c r="EP28" s="172" t="str">
        <x:f>IF(EE28="","",IF(EO28="","",EO28-EN28*365/EQ28))</x:f>
      </x:c>
      <x:c r="EQ28" s="164"/>
      <x:c r="ER28" s="172" t="str">
        <x:f>IF(EE28="","",IFERROR(EJ28*(EI28/EH28-1),0))</x:f>
      </x:c>
      <x:c r="ES28" s="147"/>
      <x:c r="ET28" s="147"/>
      <x:c r="EU28" s="147"/>
      <x:c r="EV28" s="167"/>
      <x:c r="EW28" s="167"/>
      <x:c r="EX28" s="166"/>
      <x:c r="EY28" s="171" t="str">
        <x:f>IF(ES28="","",IFERROR(F28*EX28/EV28,0))</x:f>
      </x:c>
      <x:c r="EZ28" s="171" t="str">
        <x:f>IF(ES28="","",F28*ABS(EX28))</x:f>
      </x:c>
      <x:c r="FA28" s="165"/>
      <x:c r="FB28" s="172" t="str">
        <x:f>IF(ES28="","",IF(FA28="","",IFERROR(EV28/FA28-1,0)))</x:f>
      </x:c>
      <x:c r="FC28" s="166"/>
      <x:c r="FD28" s="172" t="str">
        <x:f>IF(ES28="","",IF(FC28="","",FC28-FB28*365/FE28))</x:f>
      </x:c>
      <x:c r="FE28" s="164"/>
      <x:c r="FF28" s="172" t="str">
        <x:f>IF(ES28="","",IFERROR(EX28*(EW28/EV28-1),0))</x:f>
      </x:c>
      <x:c r="FG28" s="147"/>
      <x:c r="FH28" s="147"/>
      <x:c r="FI28" s="147"/>
      <x:c r="FJ28" s="167"/>
      <x:c r="FK28" s="167"/>
      <x:c r="FL28" s="166"/>
      <x:c r="FM28" s="171" t="str">
        <x:f>IF(FG28="","",IFERROR(F28*FL28/FJ28,0))</x:f>
      </x:c>
      <x:c r="FN28" s="171" t="str">
        <x:f>IF(FG28="","",F28*ABS(FL28))</x:f>
      </x:c>
      <x:c r="FO28" s="165"/>
      <x:c r="FP28" s="172" t="str">
        <x:f>IF(FG28="","",IF(FO28="","",IFERROR(FJ28/FO28-1,0)))</x:f>
      </x:c>
      <x:c r="FQ28" s="166"/>
      <x:c r="FR28" s="172" t="str">
        <x:f>IF(FG28="","",IF(FQ28="","",FQ28-FP28*365/FS28))</x:f>
      </x:c>
      <x:c r="FS28" s="164"/>
      <x:c r="FT28" s="172" t="str">
        <x:f>IF(FG28="","",IFERROR(FL28*(FK28/FJ28-1),0))</x:f>
      </x:c>
    </x:row>
    <x:row r="29" ht="18" customHeight="1">
      <x:c r="A29" s="163" t="n">
        <x:v>25241</x:v>
      </x:c>
      <x:c r="B29" s="163" t="n">
        <x:v>25245</x:v>
      </x:c>
      <x:c r="C29" s="170" t="n">
        <x:f>B29-A29</x:f>
        <x:v>4</x:v>
      </x:c>
      <x:c r="D29" s="163" t="n">
        <x:v>25241</x:v>
      </x:c>
      <x:c r="E29" s="147" t="str">
        <x:v>positive</x:v>
      </x:c>
      <x:c r="F29" s="165" t="n">
        <x:v>1.0060386877026548</x:v>
      </x:c>
      <x:c r="G29" s="168" t="n">
        <x:v>0.0017638908588705324</x:v>
      </x:c>
      <x:c r="H29" s="172" t="n">
        <x:f>SUM(AX29,BL29,BZ29,CN29,DB29,DP29,ED29,ER29,FF29,FT29)</x:f>
        <x:v>0.0017638908588706315</x:v>
      </x:c>
      <x:c r="I29" s="174" t="n">
        <x:f>G29-H29</x:f>
        <x:v>-9.90960785651751e-17</x:v>
      </x:c>
      <x:c r="J29" s="171" t="n">
        <x:f>F29*(1+H29)</x:f>
        <x:v>1.0078132301475637</x:v>
      </x:c>
      <x:c r="K29" s="169" t="n">
        <x:v>1.0078132301475637</x:v>
      </x:c>
      <x:c r="L29" s="175" t="n">
        <x:f>K29-J29</x:f>
        <x:v>0</x:v>
      </x:c>
      <x:c r="M29" s="167" t="n">
        <x:v>1.885</x:v>
      </x:c>
      <x:c r="N29" s="167" t="n">
        <x:v>1.883</x:v>
      </x:c>
      <x:c r="O29" s="172" t="n">
        <x:f>IFERROR(N29/M29-1,0)</x:f>
        <x:v>-0.001061007957559701</x:v>
      </x:c>
      <x:c r="P29" s="171" t="n">
        <x:f>IFERROR(AD29/AH29,0)</x:f>
        <x:v>1.0449993371468427</x:v>
      </x:c>
      <x:c r="Q29" s="171" t="n">
        <x:f>IFERROR(AE29/AI29,0)</x:f>
        <x:v>1.047954489978189</x:v>
      </x:c>
      <x:c r="R29" s="172" t="n">
        <x:f>IFERROR((Q29-P29)/(P29+S29),0)</x:f>
        <x:v>0.0028278992400270105</x:v>
      </x:c>
      <x:c r="S29" s="172" t="n">
        <x:f>IFERROR(AF29/AH29,0)</x:f>
        <x:v>0</x:v>
      </x:c>
      <x:c r="T29" s="172" t="n">
        <x:f>IFERROR(AG29/AI29,0)</x:f>
        <x:v>0</x:v>
      </x:c>
      <x:c r="U29" s="172" t="n">
        <x:f>IFERROR((T29-S29)/(P29+S29),0)</x:f>
        <x:v>0</x:v>
      </x:c>
      <x:c r="V29" s="172" t="n">
        <x:f>R29+U29</x:f>
        <x:v>0.0028278992400270105</x:v>
      </x:c>
      <x:c r="W29" s="172" t="n">
        <x:f>(1+O29)*(1+V29)-1</x:f>
        <x:v>0.0017638908588704094</x:v>
      </x:c>
      <x:c r="X29" s="174" t="n">
        <x:f>G29-W29</x:f>
        <x:v>1.229485263598562e-16</x:v>
      </x:c>
      <x:c r="Y29" s="172" t="str">
        <x:f>AX29</x:f>
      </x:c>
      <x:c r="Z29" s="172" t="n">
        <x:f>BL29</x:f>
        <x:v>0.0006739726027398252</x:v>
      </x:c>
      <x:c r="AA29" s="172" t="n">
        <x:f>SUM(BZ29,CN29,DB29,DP29,ED29,ER29,FF29,FT29)</x:f>
        <x:v>0.0010899182561308063</x:v>
      </x:c>
      <x:c r="AB29" s="172" t="n">
        <x:f>SUM(Y29:AA29)</x:f>
        <x:v>0.0017638908588706315</x:v>
      </x:c>
      <x:c r="AC29" s="174" t="n">
        <x:f>G29-AB29</x:f>
        <x:v>-9.90960785651751e-17</x:v>
      </x:c>
      <x:c r="AD29" s="169" t="n">
        <x:v>1.006038687702655</x:v>
      </x:c>
      <x:c r="AE29" s="169" t="n">
        <x:v>1.0078132301475637</x:v>
      </x:c>
      <x:c r="AF29" s="169" t="n">
        <x:v>0</x:v>
      </x:c>
      <x:c r="AG29" s="169" t="n">
        <x:v>0</x:v>
      </x:c>
      <x:c r="AH29" s="171" t="n">
        <x:f>M29/$M$3</x:f>
        <x:v>0.9627170582226762</x:v>
      </x:c>
      <x:c r="AI29" s="171" t="n">
        <x:f>N29/$M$3</x:f>
        <x:v>0.9616956077630235</x:v>
      </x:c>
      <x:c r="AJ29" s="170" t="n">
        <x:f>IF(AK29&lt;&gt;"",1,0)+IF(AY29&lt;&gt;"",1,0)+IF(BM29&lt;&gt;"",1,0)+IF(CA29&lt;&gt;"",1,0)+IF(CO29&lt;&gt;"",1,0)+IF(DC29&lt;&gt;"",1,0)+IF(DQ29&lt;&gt;"",1,0)+IF(EE29&lt;&gt;"",1,0)+IF(ES29&lt;&gt;"",1,0)+IF(FG29&lt;&gt;"",1,0)</x:f>
        <x:v>2</x:v>
      </x:c>
      <x:c r="AK29" s="147"/>
      <x:c r="AL29" s="147"/>
      <x:c r="AM29" s="147"/>
      <x:c r="AN29" s="167"/>
      <x:c r="AO29" s="167"/>
      <x:c r="AP29" s="166"/>
      <x:c r="AQ29" s="171" t="str">
        <x:f>IF(AK29="","",IFERROR(F29*AP29/AN29,0))</x:f>
      </x:c>
      <x:c r="AR29" s="171" t="str">
        <x:f>IF(AK29="","",F29*ABS(AP29))</x:f>
      </x:c>
      <x:c r="AS29" s="165"/>
      <x:c r="AT29" s="172" t="str">
        <x:f>IF(AK29="","",IF(AS29="","",IFERROR(AN29/AS29-1,0)))</x:f>
      </x:c>
      <x:c r="AU29" s="166"/>
      <x:c r="AV29" s="172" t="str">
        <x:f>IF(AK29="","",IF(AU29="","",AU29-AT29*365/AW29))</x:f>
      </x:c>
      <x:c r="AW29" s="164"/>
      <x:c r="AX29" s="173" t="str">
        <x:f>IF(AK29="","",IFERROR(AP29*(AO29/AN29-1),0))</x:f>
      </x:c>
      <x:c r="AY29" s="147" t="str">
        <x:v>Matched-maturity Treasury collateral</x:v>
      </x:c>
      <x:c r="AZ29" s="147" t="str">
        <x:v>Treasury</x:v>
      </x:c>
      <x:c r="BA29" s="147" t="str">
        <x:v>Long</x:v>
      </x:c>
      <x:c r="BB29" s="167" t="n">
        <x:v>100.60780109632373</x:v>
      </x:c>
      <x:c r="BC29" s="167" t="n">
        <x:v>100.67560799788455</x:v>
      </x:c>
      <x:c r="BD29" s="166" t="n">
        <x:v>1</x:v>
      </x:c>
      <x:c r="BE29" s="171" t="n">
        <x:f>IF(AY29="","",IFERROR(F29*BD29/BB29,0))</x:f>
        <x:v>0.009999609143027142</x:v>
      </x:c>
      <x:c r="BF29" s="171" t="n">
        <x:f>IF(AY29="","",F29*ABS(BD29))</x:f>
        <x:v>1.0060386877026548</x:v>
      </x:c>
      <x:c r="BG29" s="165"/>
      <x:c r="BH29" s="172" t="str">
        <x:f>IF(AY29="","",IF(BG29="","",IFERROR(BB29/BG29-1,0)))</x:f>
      </x:c>
      <x:c r="BI29" s="166"/>
      <x:c r="BJ29" s="172" t="str">
        <x:f>IF(AY29="","",IF(BI29="","",BI29-BH29*365/BK29))</x:f>
      </x:c>
      <x:c r="BK29" s="164" t="n">
        <x:v>48</x:v>
      </x:c>
      <x:c r="BL29" s="172" t="n">
        <x:f>IF(AY29="","",IFERROR(BD29*(BC29/BB29-1),0))</x:f>
        <x:v>0.0006739726027398252</x:v>
      </x:c>
      <x:c r="BM29" s="147" t="str">
        <x:v>SI69H</x:v>
      </x:c>
      <x:c r="BN29" s="147" t="str">
        <x:v>Silver future (regular)</x:v>
      </x:c>
      <x:c r="BO29" s="147" t="str">
        <x:v>Long</x:v>
      </x:c>
      <x:c r="BP29" s="167" t="n">
        <x:v>1.835</x:v>
      </x:c>
      <x:c r="BQ29" s="167" t="n">
        <x:v>1.837</x:v>
      </x:c>
      <x:c r="BR29" s="166" t="n">
        <x:v>1</x:v>
      </x:c>
      <x:c r="BS29" s="171" t="n">
        <x:f>IF(BM29="","",IFERROR(F29*BR29/BP29,0))</x:f>
        <x:v>0.5482499660504931</x:v>
      </x:c>
      <x:c r="BT29" s="171" t="n">
        <x:f>IF(BM29="","",F29*ABS(BR29))</x:f>
        <x:v>1.0060386877026548</x:v>
      </x:c>
      <x:c r="BU29" s="165" t="n">
        <x:v>1.885</x:v>
      </x:c>
      <x:c r="BV29" s="172" t="n">
        <x:f>IF(BM29="","",IF(BU29="","",IFERROR(BP29/BU29-1,0)))</x:f>
        <x:v>-0.02652519893899208</x:v>
      </x:c>
      <x:c r="BW29" s="166" t="n">
        <x:v>0.061500000000000006</x:v>
      </x:c>
      <x:c r="BX29" s="172" t="n">
        <x:f>IF(BM29="","",IF(BW29="","",BW29-BV29*365/BY29))</x:f>
        <x:v>0.2632020335985856</x:v>
      </x:c>
      <x:c r="BY29" s="164" t="n">
        <x:v>48</x:v>
      </x:c>
      <x:c r="BZ29" s="172" t="n">
        <x:f>IF(BM29="","",IFERROR(BR29*(BQ29/BP29-1),0))</x:f>
        <x:v>0.0010899182561308063</x:v>
      </x:c>
      <x:c r="CA29" s="147"/>
      <x:c r="CB29" s="147"/>
      <x:c r="CC29" s="147"/>
      <x:c r="CD29" s="167"/>
      <x:c r="CE29" s="167"/>
      <x:c r="CF29" s="166"/>
      <x:c r="CG29" s="171" t="str">
        <x:f>IF(CA29="","",IFERROR(F29*CF29/CD29,0))</x:f>
      </x:c>
      <x:c r="CH29" s="171" t="str">
        <x:f>IF(CA29="","",F29*ABS(CF29))</x:f>
      </x:c>
      <x:c r="CI29" s="165"/>
      <x:c r="CJ29" s="172" t="str">
        <x:f>IF(CA29="","",IF(CI29="","",IFERROR(CD29/CI29-1,0)))</x:f>
      </x:c>
      <x:c r="CK29" s="166"/>
      <x:c r="CL29" s="172" t="str">
        <x:f>IF(CA29="","",IF(CK29="","",CK29-CJ29*365/CM29))</x:f>
      </x:c>
      <x:c r="CM29" s="164"/>
      <x:c r="CN29" s="172" t="str">
        <x:f>IF(CA29="","",IFERROR(CF29*(CE29/CD29-1),0))</x:f>
      </x:c>
      <x:c r="CO29" s="147"/>
      <x:c r="CP29" s="147"/>
      <x:c r="CQ29" s="147"/>
      <x:c r="CR29" s="167"/>
      <x:c r="CS29" s="167"/>
      <x:c r="CT29" s="166"/>
      <x:c r="CU29" s="171" t="str">
        <x:f>IF(CO29="","",IFERROR(F29*CT29/CR29,0))</x:f>
      </x:c>
      <x:c r="CV29" s="171" t="str">
        <x:f>IF(CO29="","",F29*ABS(CT29))</x:f>
      </x:c>
      <x:c r="CW29" s="165"/>
      <x:c r="CX29" s="172" t="str">
        <x:f>IF(CO29="","",IF(CW29="","",IFERROR(CR29/CW29-1,0)))</x:f>
      </x:c>
      <x:c r="CY29" s="166"/>
      <x:c r="CZ29" s="172" t="str">
        <x:f>IF(CO29="","",IF(CY29="","",CY29-CX29*365/DA29))</x:f>
      </x:c>
      <x:c r="DA29" s="164"/>
      <x:c r="DB29" s="172" t="str">
        <x:f>IF(CO29="","",IFERROR(CT29*(CS29/CR29-1),0))</x:f>
      </x:c>
      <x:c r="DC29" s="147"/>
      <x:c r="DD29" s="147"/>
      <x:c r="DE29" s="147"/>
      <x:c r="DF29" s="167"/>
      <x:c r="DG29" s="167"/>
      <x:c r="DH29" s="166"/>
      <x:c r="DI29" s="171" t="str">
        <x:f>IF(DC29="","",IFERROR(F29*DH29/DF29,0))</x:f>
      </x:c>
      <x:c r="DJ29" s="171" t="str">
        <x:f>IF(DC29="","",F29*ABS(DH29))</x:f>
      </x:c>
      <x:c r="DK29" s="165"/>
      <x:c r="DL29" s="172" t="str">
        <x:f>IF(DC29="","",IF(DK29="","",IFERROR(DF29/DK29-1,0)))</x:f>
      </x:c>
      <x:c r="DM29" s="166"/>
      <x:c r="DN29" s="172" t="str">
        <x:f>IF(DC29="","",IF(DM29="","",DM29-DL29*365/DO29))</x:f>
      </x:c>
      <x:c r="DO29" s="164"/>
      <x:c r="DP29" s="172" t="str">
        <x:f>IF(DC29="","",IFERROR(DH29*(DG29/DF29-1),0))</x:f>
      </x:c>
      <x:c r="DQ29" s="147"/>
      <x:c r="DR29" s="147"/>
      <x:c r="DS29" s="147"/>
      <x:c r="DT29" s="167"/>
      <x:c r="DU29" s="167"/>
      <x:c r="DV29" s="166"/>
      <x:c r="DW29" s="171" t="str">
        <x:f>IF(DQ29="","",IFERROR(F29*DV29/DT29,0))</x:f>
      </x:c>
      <x:c r="DX29" s="171" t="str">
        <x:f>IF(DQ29="","",F29*ABS(DV29))</x:f>
      </x:c>
      <x:c r="DY29" s="165"/>
      <x:c r="DZ29" s="172" t="str">
        <x:f>IF(DQ29="","",IF(DY29="","",IFERROR(DT29/DY29-1,0)))</x:f>
      </x:c>
      <x:c r="EA29" s="166"/>
      <x:c r="EB29" s="172" t="str">
        <x:f>IF(DQ29="","",IF(EA29="","",EA29-DZ29*365/EC29))</x:f>
      </x:c>
      <x:c r="EC29" s="164"/>
      <x:c r="ED29" s="172" t="str">
        <x:f>IF(DQ29="","",IFERROR(DV29*(DU29/DT29-1),0))</x:f>
      </x:c>
      <x:c r="EE29" s="147"/>
      <x:c r="EF29" s="147"/>
      <x:c r="EG29" s="147"/>
      <x:c r="EH29" s="167"/>
      <x:c r="EI29" s="167"/>
      <x:c r="EJ29" s="166"/>
      <x:c r="EK29" s="171" t="str">
        <x:f>IF(EE29="","",IFERROR(F29*EJ29/EH29,0))</x:f>
      </x:c>
      <x:c r="EL29" s="171" t="str">
        <x:f>IF(EE29="","",F29*ABS(EJ29))</x:f>
      </x:c>
      <x:c r="EM29" s="165"/>
      <x:c r="EN29" s="172" t="str">
        <x:f>IF(EE29="","",IF(EM29="","",IFERROR(EH29/EM29-1,0)))</x:f>
      </x:c>
      <x:c r="EO29" s="166"/>
      <x:c r="EP29" s="172" t="str">
        <x:f>IF(EE29="","",IF(EO29="","",EO29-EN29*365/EQ29))</x:f>
      </x:c>
      <x:c r="EQ29" s="164"/>
      <x:c r="ER29" s="172" t="str">
        <x:f>IF(EE29="","",IFERROR(EJ29*(EI29/EH29-1),0))</x:f>
      </x:c>
      <x:c r="ES29" s="147"/>
      <x:c r="ET29" s="147"/>
      <x:c r="EU29" s="147"/>
      <x:c r="EV29" s="167"/>
      <x:c r="EW29" s="167"/>
      <x:c r="EX29" s="166"/>
      <x:c r="EY29" s="171" t="str">
        <x:f>IF(ES29="","",IFERROR(F29*EX29/EV29,0))</x:f>
      </x:c>
      <x:c r="EZ29" s="171" t="str">
        <x:f>IF(ES29="","",F29*ABS(EX29))</x:f>
      </x:c>
      <x:c r="FA29" s="165"/>
      <x:c r="FB29" s="172" t="str">
        <x:f>IF(ES29="","",IF(FA29="","",IFERROR(EV29/FA29-1,0)))</x:f>
      </x:c>
      <x:c r="FC29" s="166"/>
      <x:c r="FD29" s="172" t="str">
        <x:f>IF(ES29="","",IF(FC29="","",FC29-FB29*365/FE29))</x:f>
      </x:c>
      <x:c r="FE29" s="164"/>
      <x:c r="FF29" s="172" t="str">
        <x:f>IF(ES29="","",IFERROR(EX29*(EW29/EV29-1),0))</x:f>
      </x:c>
      <x:c r="FG29" s="147"/>
      <x:c r="FH29" s="147"/>
      <x:c r="FI29" s="147"/>
      <x:c r="FJ29" s="167"/>
      <x:c r="FK29" s="167"/>
      <x:c r="FL29" s="166"/>
      <x:c r="FM29" s="171" t="str">
        <x:f>IF(FG29="","",IFERROR(F29*FL29/FJ29,0))</x:f>
      </x:c>
      <x:c r="FN29" s="171" t="str">
        <x:f>IF(FG29="","",F29*ABS(FL29))</x:f>
      </x:c>
      <x:c r="FO29" s="165"/>
      <x:c r="FP29" s="172" t="str">
        <x:f>IF(FG29="","",IF(FO29="","",IFERROR(FJ29/FO29-1,0)))</x:f>
      </x:c>
      <x:c r="FQ29" s="166"/>
      <x:c r="FR29" s="172" t="str">
        <x:f>IF(FG29="","",IF(FQ29="","",FQ29-FP29*365/FS29))</x:f>
      </x:c>
      <x:c r="FS29" s="164"/>
      <x:c r="FT29" s="172" t="str">
        <x:f>IF(FG29="","",IFERROR(FL29*(FK29/FJ29-1),0))</x:f>
      </x:c>
    </x:row>
    <x:row r="30" ht="18" customHeight="1">
      <x:c r="A30" s="163" t="n">
        <x:v>25245</x:v>
      </x:c>
      <x:c r="B30" s="163" t="n">
        <x:v>25247</x:v>
      </x:c>
      <x:c r="C30" s="170" t="n">
        <x:f>B30-A30</x:f>
        <x:v>2</x:v>
      </x:c>
      <x:c r="D30" s="163" t="n">
        <x:v>25245</x:v>
      </x:c>
      <x:c r="E30" s="147" t="str">
        <x:v>positive</x:v>
      </x:c>
      <x:c r="F30" s="165" t="n">
        <x:v>1.0078132301475637</x:v>
      </x:c>
      <x:c r="G30" s="168" t="n">
        <x:v>-0.05410343069775775</x:v>
      </x:c>
      <x:c r="H30" s="172" t="n">
        <x:f>SUM(AX30,BL30,BZ30,CN30,DB30,DP30,ED30,ER30,FF30,FT30)</x:f>
        <x:v>-0.05410343069775769</x:v>
      </x:c>
      <x:c r="I30" s="174" t="n">
        <x:f>G30-H30</x:f>
        <x:v>-5.551115123125783e-17</x:v>
      </x:c>
      <x:c r="J30" s="171" t="n">
        <x:f>F30*(1+H30)</x:f>
        <x:v>0.9532870768939917</x:v>
      </x:c>
      <x:c r="K30" s="169" t="n">
        <x:v>0.9532870768939917</x:v>
      </x:c>
      <x:c r="L30" s="175" t="n">
        <x:f>K30-J30</x:f>
        <x:v>0</x:v>
      </x:c>
      <x:c r="M30" s="167" t="n">
        <x:v>1.883</x:v>
      </x:c>
      <x:c r="N30" s="167" t="n">
        <x:v>1.833</x:v>
      </x:c>
      <x:c r="O30" s="172" t="n">
        <x:f>IFERROR(N30/M30-1,0)</x:f>
        <x:v>-0.026553372278279364</x:v>
      </x:c>
      <x:c r="P30" s="171" t="n">
        <x:f>IFERROR(AD30/AH30,0)</x:f>
        <x:v>1.047954489978189</x:v>
      </x:c>
      <x:c r="Q30" s="171" t="n">
        <x:f>IFERROR(AE30/AI30,0)</x:f>
        <x:v>1.0182957428032928</x:v>
      </x:c>
      <x:c r="R30" s="172" t="n">
        <x:f>IFERROR((Q30-P30)/(P30+S30),0)</x:f>
        <x:v>-0.028301560285803464</x:v>
      </x:c>
      <x:c r="S30" s="172" t="n">
        <x:f>IFERROR(AF30/AH30,0)</x:f>
        <x:v>0</x:v>
      </x:c>
      <x:c r="T30" s="172" t="n">
        <x:f>IFERROR(AG30/AI30,0)</x:f>
        <x:v>0</x:v>
      </x:c>
      <x:c r="U30" s="172" t="n">
        <x:f>IFERROR((T30-S30)/(P30+S30),0)</x:f>
        <x:v>0</x:v>
      </x:c>
      <x:c r="V30" s="172" t="n">
        <x:f>R30+U30</x:f>
        <x:v>-0.028301560285803464</x:v>
      </x:c>
      <x:c r="W30" s="172" t="n">
        <x:f>(1+O30)*(1+V30)-1</x:f>
        <x:v>-0.05410343069775769</x:v>
      </x:c>
      <x:c r="X30" s="174" t="n">
        <x:f>G30-W30</x:f>
        <x:v>-5.551115123125783e-17</x:v>
      </x:c>
      <x:c r="Y30" s="172" t="str">
        <x:f>AX30</x:f>
      </x:c>
      <x:c r="Z30" s="172" t="n">
        <x:f>BL30</x:f>
        <x:v>0.0003331506849315602</x:v>
      </x:c>
      <x:c r="AA30" s="172" t="n">
        <x:f>SUM(BZ30,CN30,DB30,DP30,ED30,ER30,FF30,FT30)</x:f>
        <x:v>-0.05443658138268925</x:v>
      </x:c>
      <x:c r="AB30" s="172" t="n">
        <x:f>SUM(Y30:AA30)</x:f>
        <x:v>-0.05410343069775769</x:v>
      </x:c>
      <x:c r="AC30" s="174" t="n">
        <x:f>G30-AB30</x:f>
        <x:v>-5.551115123125783e-17</x:v>
      </x:c>
      <x:c r="AD30" s="169" t="n">
        <x:v>1.0078132301475637</x:v>
      </x:c>
      <x:c r="AE30" s="169" t="n">
        <x:v>0.9532870768939916</x:v>
      </x:c>
      <x:c r="AF30" s="169" t="n">
        <x:v>0</x:v>
      </x:c>
      <x:c r="AG30" s="169" t="n">
        <x:v>0</x:v>
      </x:c>
      <x:c r="AH30" s="171" t="n">
        <x:f>M30/$M$3</x:f>
        <x:v>0.9616956077630235</x:v>
      </x:c>
      <x:c r="AI30" s="171" t="n">
        <x:f>N30/$M$3</x:f>
        <x:v>0.9361593462717058</x:v>
      </x:c>
      <x:c r="AJ30" s="170" t="n">
        <x:f>IF(AK30&lt;&gt;"",1,0)+IF(AY30&lt;&gt;"",1,0)+IF(BM30&lt;&gt;"",1,0)+IF(CA30&lt;&gt;"",1,0)+IF(CO30&lt;&gt;"",1,0)+IF(DC30&lt;&gt;"",1,0)+IF(DQ30&lt;&gt;"",1,0)+IF(EE30&lt;&gt;"",1,0)+IF(ES30&lt;&gt;"",1,0)+IF(FG30&lt;&gt;"",1,0)</x:f>
        <x:v>2</x:v>
      </x:c>
      <x:c r="AK30" s="147"/>
      <x:c r="AL30" s="147"/>
      <x:c r="AM30" s="147"/>
      <x:c r="AN30" s="167"/>
      <x:c r="AO30" s="167"/>
      <x:c r="AP30" s="166"/>
      <x:c r="AQ30" s="171" t="str">
        <x:f>IF(AK30="","",IFERROR(F30*AP30/AN30,0))</x:f>
      </x:c>
      <x:c r="AR30" s="171" t="str">
        <x:f>IF(AK30="","",F30*ABS(AP30))</x:f>
      </x:c>
      <x:c r="AS30" s="165"/>
      <x:c r="AT30" s="172" t="str">
        <x:f>IF(AK30="","",IF(AS30="","",IFERROR(AN30/AS30-1,0)))</x:f>
      </x:c>
      <x:c r="AU30" s="166"/>
      <x:c r="AV30" s="172" t="str">
        <x:f>IF(AK30="","",IF(AU30="","",AU30-AT30*365/AW30))</x:f>
      </x:c>
      <x:c r="AW30" s="164"/>
      <x:c r="AX30" s="173" t="str">
        <x:f>IF(AK30="","",IFERROR(AP30*(AO30/AN30-1),0))</x:f>
      </x:c>
      <x:c r="AY30" s="147" t="str">
        <x:v>Matched-maturity Treasury collateral</x:v>
      </x:c>
      <x:c r="AZ30" s="147" t="str">
        <x:v>Treasury</x:v>
      </x:c>
      <x:c r="BA30" s="147" t="str">
        <x:v>Long</x:v>
      </x:c>
      <x:c r="BB30" s="167" t="n">
        <x:v>100.67560799788455</x:v>
      </x:c>
      <x:c r="BC30" s="167" t="n">
        <x:v>100.70914814564496</x:v>
      </x:c>
      <x:c r="BD30" s="166" t="n">
        <x:v>1</x:v>
      </x:c>
      <x:c r="BE30" s="171" t="n">
        <x:f>IF(AY30="","",IFERROR(F30*BD30/BB30,0))</x:f>
        <x:v>0.01001050055907028</x:v>
      </x:c>
      <x:c r="BF30" s="171" t="n">
        <x:f>IF(AY30="","",F30*ABS(BD30))</x:f>
        <x:v>1.0078132301475637</x:v>
      </x:c>
      <x:c r="BG30" s="165"/>
      <x:c r="BH30" s="172" t="str">
        <x:f>IF(AY30="","",IF(BG30="","",IFERROR(BB30/BG30-1,0)))</x:f>
      </x:c>
      <x:c r="BI30" s="166"/>
      <x:c r="BJ30" s="172" t="str">
        <x:f>IF(AY30="","",IF(BI30="","",BI30-BH30*365/BK30))</x:f>
      </x:c>
      <x:c r="BK30" s="164" t="n">
        <x:v>44</x:v>
      </x:c>
      <x:c r="BL30" s="172" t="n">
        <x:f>IF(AY30="","",IFERROR(BD30*(BC30/BB30-1),0))</x:f>
        <x:v>0.0003331506849315602</x:v>
      </x:c>
      <x:c r="BM30" s="147" t="str">
        <x:v>SI69H</x:v>
      </x:c>
      <x:c r="BN30" s="147" t="str">
        <x:v>Silver future (regular)</x:v>
      </x:c>
      <x:c r="BO30" s="147" t="str">
        <x:v>Long</x:v>
      </x:c>
      <x:c r="BP30" s="167" t="n">
        <x:v>1.837</x:v>
      </x:c>
      <x:c r="BQ30" s="167" t="n">
        <x:v>1.7369999999999999</x:v>
      </x:c>
      <x:c r="BR30" s="166" t="n">
        <x:v>1</x:v>
      </x:c>
      <x:c r="BS30" s="171" t="n">
        <x:f>IF(BM30="","",IFERROR(F30*BR30/BP30,0))</x:f>
        <x:v>0.548619069214787</x:v>
      </x:c>
      <x:c r="BT30" s="171" t="n">
        <x:f>IF(BM30="","",F30*ABS(BR30))</x:f>
        <x:v>1.0078132301475637</x:v>
      </x:c>
      <x:c r="BU30" s="165" t="n">
        <x:v>1.883</x:v>
      </x:c>
      <x:c r="BV30" s="172" t="n">
        <x:f>IF(BM30="","",IF(BU30="","",IFERROR(BP30/BU30-1,0)))</x:f>
        <x:v>-0.02442910249601704</x:v>
      </x:c>
      <x:c r="BW30" s="166" t="n">
        <x:v>0.0608</x:v>
      </x:c>
      <x:c r="BX30" s="172" t="n">
        <x:f>IF(BM30="","",IF(BW30="","",BW30-BV30*365/BY30))</x:f>
        <x:v>0.2634505093419595</x:v>
      </x:c>
      <x:c r="BY30" s="164" t="n">
        <x:v>44</x:v>
      </x:c>
      <x:c r="BZ30" s="172" t="n">
        <x:f>IF(BM30="","",IFERROR(BR30*(BQ30/BP30-1),0))</x:f>
        <x:v>-0.05443658138268925</x:v>
      </x:c>
      <x:c r="CA30" s="147"/>
      <x:c r="CB30" s="147"/>
      <x:c r="CC30" s="147"/>
      <x:c r="CD30" s="167"/>
      <x:c r="CE30" s="167"/>
      <x:c r="CF30" s="166"/>
      <x:c r="CG30" s="171" t="str">
        <x:f>IF(CA30="","",IFERROR(F30*CF30/CD30,0))</x:f>
      </x:c>
      <x:c r="CH30" s="171" t="str">
        <x:f>IF(CA30="","",F30*ABS(CF30))</x:f>
      </x:c>
      <x:c r="CI30" s="165"/>
      <x:c r="CJ30" s="172" t="str">
        <x:f>IF(CA30="","",IF(CI30="","",IFERROR(CD30/CI30-1,0)))</x:f>
      </x:c>
      <x:c r="CK30" s="166"/>
      <x:c r="CL30" s="172" t="str">
        <x:f>IF(CA30="","",IF(CK30="","",CK30-CJ30*365/CM30))</x:f>
      </x:c>
      <x:c r="CM30" s="164"/>
      <x:c r="CN30" s="172" t="str">
        <x:f>IF(CA30="","",IFERROR(CF30*(CE30/CD30-1),0))</x:f>
      </x:c>
      <x:c r="CO30" s="147"/>
      <x:c r="CP30" s="147"/>
      <x:c r="CQ30" s="147"/>
      <x:c r="CR30" s="167"/>
      <x:c r="CS30" s="167"/>
      <x:c r="CT30" s="166"/>
      <x:c r="CU30" s="171" t="str">
        <x:f>IF(CO30="","",IFERROR(F30*CT30/CR30,0))</x:f>
      </x:c>
      <x:c r="CV30" s="171" t="str">
        <x:f>IF(CO30="","",F30*ABS(CT30))</x:f>
      </x:c>
      <x:c r="CW30" s="165"/>
      <x:c r="CX30" s="172" t="str">
        <x:f>IF(CO30="","",IF(CW30="","",IFERROR(CR30/CW30-1,0)))</x:f>
      </x:c>
      <x:c r="CY30" s="166"/>
      <x:c r="CZ30" s="172" t="str">
        <x:f>IF(CO30="","",IF(CY30="","",CY30-CX30*365/DA30))</x:f>
      </x:c>
      <x:c r="DA30" s="164"/>
      <x:c r="DB30" s="172" t="str">
        <x:f>IF(CO30="","",IFERROR(CT30*(CS30/CR30-1),0))</x:f>
      </x:c>
      <x:c r="DC30" s="147"/>
      <x:c r="DD30" s="147"/>
      <x:c r="DE30" s="147"/>
      <x:c r="DF30" s="167"/>
      <x:c r="DG30" s="167"/>
      <x:c r="DH30" s="166"/>
      <x:c r="DI30" s="171" t="str">
        <x:f>IF(DC30="","",IFERROR(F30*DH30/DF30,0))</x:f>
      </x:c>
      <x:c r="DJ30" s="171" t="str">
        <x:f>IF(DC30="","",F30*ABS(DH30))</x:f>
      </x:c>
      <x:c r="DK30" s="165"/>
      <x:c r="DL30" s="172" t="str">
        <x:f>IF(DC30="","",IF(DK30="","",IFERROR(DF30/DK30-1,0)))</x:f>
      </x:c>
      <x:c r="DM30" s="166"/>
      <x:c r="DN30" s="172" t="str">
        <x:f>IF(DC30="","",IF(DM30="","",DM30-DL30*365/DO30))</x:f>
      </x:c>
      <x:c r="DO30" s="164"/>
      <x:c r="DP30" s="172" t="str">
        <x:f>IF(DC30="","",IFERROR(DH30*(DG30/DF30-1),0))</x:f>
      </x:c>
      <x:c r="DQ30" s="147"/>
      <x:c r="DR30" s="147"/>
      <x:c r="DS30" s="147"/>
      <x:c r="DT30" s="167"/>
      <x:c r="DU30" s="167"/>
      <x:c r="DV30" s="166"/>
      <x:c r="DW30" s="171" t="str">
        <x:f>IF(DQ30="","",IFERROR(F30*DV30/DT30,0))</x:f>
      </x:c>
      <x:c r="DX30" s="171" t="str">
        <x:f>IF(DQ30="","",F30*ABS(DV30))</x:f>
      </x:c>
      <x:c r="DY30" s="165"/>
      <x:c r="DZ30" s="172" t="str">
        <x:f>IF(DQ30="","",IF(DY30="","",IFERROR(DT30/DY30-1,0)))</x:f>
      </x:c>
      <x:c r="EA30" s="166"/>
      <x:c r="EB30" s="172" t="str">
        <x:f>IF(DQ30="","",IF(EA30="","",EA30-DZ30*365/EC30))</x:f>
      </x:c>
      <x:c r="EC30" s="164"/>
      <x:c r="ED30" s="172" t="str">
        <x:f>IF(DQ30="","",IFERROR(DV30*(DU30/DT30-1),0))</x:f>
      </x:c>
      <x:c r="EE30" s="147"/>
      <x:c r="EF30" s="147"/>
      <x:c r="EG30" s="147"/>
      <x:c r="EH30" s="167"/>
      <x:c r="EI30" s="167"/>
      <x:c r="EJ30" s="166"/>
      <x:c r="EK30" s="171" t="str">
        <x:f>IF(EE30="","",IFERROR(F30*EJ30/EH30,0))</x:f>
      </x:c>
      <x:c r="EL30" s="171" t="str">
        <x:f>IF(EE30="","",F30*ABS(EJ30))</x:f>
      </x:c>
      <x:c r="EM30" s="165"/>
      <x:c r="EN30" s="172" t="str">
        <x:f>IF(EE30="","",IF(EM30="","",IFERROR(EH30/EM30-1,0)))</x:f>
      </x:c>
      <x:c r="EO30" s="166"/>
      <x:c r="EP30" s="172" t="str">
        <x:f>IF(EE30="","",IF(EO30="","",EO30-EN30*365/EQ30))</x:f>
      </x:c>
      <x:c r="EQ30" s="164"/>
      <x:c r="ER30" s="172" t="str">
        <x:f>IF(EE30="","",IFERROR(EJ30*(EI30/EH30-1),0))</x:f>
      </x:c>
      <x:c r="ES30" s="147"/>
      <x:c r="ET30" s="147"/>
      <x:c r="EU30" s="147"/>
      <x:c r="EV30" s="167"/>
      <x:c r="EW30" s="167"/>
      <x:c r="EX30" s="166"/>
      <x:c r="EY30" s="171" t="str">
        <x:f>IF(ES30="","",IFERROR(F30*EX30/EV30,0))</x:f>
      </x:c>
      <x:c r="EZ30" s="171" t="str">
        <x:f>IF(ES30="","",F30*ABS(EX30))</x:f>
      </x:c>
      <x:c r="FA30" s="165"/>
      <x:c r="FB30" s="172" t="str">
        <x:f>IF(ES30="","",IF(FA30="","",IFERROR(EV30/FA30-1,0)))</x:f>
      </x:c>
      <x:c r="FC30" s="166"/>
      <x:c r="FD30" s="172" t="str">
        <x:f>IF(ES30="","",IF(FC30="","",FC30-FB30*365/FE30))</x:f>
      </x:c>
      <x:c r="FE30" s="164"/>
      <x:c r="FF30" s="172" t="str">
        <x:f>IF(ES30="","",IFERROR(EX30*(EW30/EV30-1),0))</x:f>
      </x:c>
      <x:c r="FG30" s="147"/>
      <x:c r="FH30" s="147"/>
      <x:c r="FI30" s="147"/>
      <x:c r="FJ30" s="167"/>
      <x:c r="FK30" s="167"/>
      <x:c r="FL30" s="166"/>
      <x:c r="FM30" s="171" t="str">
        <x:f>IF(FG30="","",IFERROR(F30*FL30/FJ30,0))</x:f>
      </x:c>
      <x:c r="FN30" s="171" t="str">
        <x:f>IF(FG30="","",F30*ABS(FL30))</x:f>
      </x:c>
      <x:c r="FO30" s="165"/>
      <x:c r="FP30" s="172" t="str">
        <x:f>IF(FG30="","",IF(FO30="","",IFERROR(FJ30/FO30-1,0)))</x:f>
      </x:c>
      <x:c r="FQ30" s="166"/>
      <x:c r="FR30" s="172" t="str">
        <x:f>IF(FG30="","",IF(FQ30="","",FQ30-FP30*365/FS30))</x:f>
      </x:c>
      <x:c r="FS30" s="164"/>
      <x:c r="FT30" s="172" t="str">
        <x:f>IF(FG30="","",IFERROR(FL30*(FK30/FJ30-1),0))</x:f>
      </x:c>
    </x:row>
    <x:row r="31" ht="18" customHeight="1">
      <x:c r="A31" s="163" t="n">
        <x:v>25247</x:v>
      </x:c>
      <x:c r="B31" s="163" t="n">
        <x:v>25248</x:v>
      </x:c>
      <x:c r="C31" s="170" t="n">
        <x:f>B31-A31</x:f>
        <x:v>1</x:v>
      </x:c>
      <x:c r="D31" s="163" t="n">
        <x:v>25247</x:v>
      </x:c>
      <x:c r="E31" s="147" t="str">
        <x:v>positive</x:v>
      </x:c>
      <x:c r="F31" s="165" t="n">
        <x:v>0.9532870768939917</x:v>
      </x:c>
      <x:c r="G31" s="168" t="n">
        <x:v>0.030678953005102566</x:v>
      </x:c>
      <x:c r="H31" s="172" t="n">
        <x:f>SUM(AX31,BL31,BZ31,CN31,DB31,DP31,ED31,ER31,FF31,FT31)</x:f>
        <x:v>0.030678953005102594</x:v>
      </x:c>
      <x:c r="I31" s="174" t="n">
        <x:f>G31-H31</x:f>
        <x:v>-2.7755575615628914e-17</x:v>
      </x:c>
      <x:c r="J31" s="171" t="n">
        <x:f>F31*(1+H31)</x:f>
        <x:v>0.9825329263263941</x:v>
      </x:c>
      <x:c r="K31" s="169" t="n">
        <x:v>0.9825329263263941</x:v>
      </x:c>
      <x:c r="L31" s="175" t="n">
        <x:f>K31-J31</x:f>
        <x:v>0</x:v>
      </x:c>
      <x:c r="M31" s="167" t="n">
        <x:v>1.833</x:v>
      </x:c>
      <x:c r="N31" s="167" t="n">
        <x:v>1.77</x:v>
      </x:c>
      <x:c r="O31" s="172" t="n">
        <x:f>IFERROR(N31/M31-1,0)</x:f>
        <x:v>-0.03436988543371522</x:v>
      </x:c>
      <x:c r="P31" s="171" t="n">
        <x:f>IFERROR(AD31/AH31,0)</x:f>
        <x:v>1.0182957428032928</x:v>
      </x:c>
      <x:c r="Q31" s="171" t="n">
        <x:f>IFERROR(AE31/AI31,0)</x:f>
        <x:v>1.0868923557893104</x:v>
      </x:c>
      <x:c r="R31" s="172" t="n">
        <x:f>IFERROR((Q31-P31)/(P31+S31),0)</x:f>
        <x:v>0.06736413607816547</x:v>
      </x:c>
      <x:c r="S31" s="172" t="n">
        <x:f>IFERROR(AF31/AH31,0)</x:f>
        <x:v>0</x:v>
      </x:c>
      <x:c r="T31" s="172" t="n">
        <x:f>IFERROR(AG31/AI31,0)</x:f>
        <x:v>0</x:v>
      </x:c>
      <x:c r="U31" s="172" t="n">
        <x:f>IFERROR((T31-S31)/(P31+S31),0)</x:f>
        <x:v>0</x:v>
      </x:c>
      <x:c r="V31" s="172" t="n">
        <x:f>R31+U31</x:f>
        <x:v>0.06736413607816547</x:v>
      </x:c>
      <x:c r="W31" s="172" t="n">
        <x:f>(1+O31)*(1+V31)-1</x:f>
        <x:v>0.030678953005102372</x:v>
      </x:c>
      <x:c r="X31" s="174" t="n">
        <x:f>G31-W31</x:f>
        <x:v>1.942890293094024e-16</x:v>
      </x:c>
      <x:c r="Y31" s="172" t="n">
        <x:f>AX31</x:f>
        <x:v>0</x:v>
      </x:c>
      <x:c r="Z31" s="172" t="n">
        <x:f>BL31</x:f>
        <x:v>0.0001665753424657801</x:v>
      </x:c>
      <x:c r="AA31" s="172" t="n">
        <x:f>SUM(BZ31,CN31,DB31,DP31,ED31,ER31,FF31,FT31)</x:f>
        <x:v>0.030512377662636814</x:v>
      </x:c>
      <x:c r="AB31" s="172" t="n">
        <x:f>SUM(Y31:AA31)</x:f>
        <x:v>0.030678953005102594</x:v>
      </x:c>
      <x:c r="AC31" s="174" t="n">
        <x:f>G31-AB31</x:f>
        <x:v>-2.7755575615628914e-17</x:v>
      </x:c>
      <x:c r="AD31" s="169" t="n">
        <x:v>0.9532870768939916</x:v>
      </x:c>
      <x:c r="AE31" s="169" t="n">
        <x:v>0.982532926326394</x:v>
      </x:c>
      <x:c r="AF31" s="169" t="n">
        <x:v>0</x:v>
      </x:c>
      <x:c r="AG31" s="169" t="n">
        <x:v>0</x:v>
      </x:c>
      <x:c r="AH31" s="171" t="n">
        <x:f>M31/$M$3</x:f>
        <x:v>0.9361593462717058</x:v>
      </x:c>
      <x:c r="AI31" s="171" t="n">
        <x:f>N31/$M$3</x:f>
        <x:v>0.9039836567926456</x:v>
      </x:c>
      <x:c r="AJ31" s="170" t="n">
        <x:f>IF(AK31&lt;&gt;"",1,0)+IF(AY31&lt;&gt;"",1,0)+IF(BM31&lt;&gt;"",1,0)+IF(CA31&lt;&gt;"",1,0)+IF(CO31&lt;&gt;"",1,0)+IF(DC31&lt;&gt;"",1,0)+IF(DQ31&lt;&gt;"",1,0)+IF(EE31&lt;&gt;"",1,0)+IF(ES31&lt;&gt;"",1,0)+IF(FG31&lt;&gt;"",1,0)</x:f>
        <x:v>2</x:v>
      </x:c>
      <x:c r="AK31" s="147"/>
      <x:c r="AL31" s="147"/>
      <x:c r="AM31" s="147"/>
      <x:c r="AN31" s="167"/>
      <x:c r="AO31" s="167"/>
      <x:c r="AP31" s="166"/>
      <x:c r="AQ31" s="171" t="str">
        <x:f>IF(AK31="","",IFERROR(F31*AP31/AN31,0))</x:f>
      </x:c>
      <x:c r="AR31" s="171" t="str">
        <x:f>IF(AK31="","",F31*ABS(AP31))</x:f>
      </x:c>
      <x:c r="AS31" s="165"/>
      <x:c r="AT31" s="172" t="str">
        <x:f>IF(AK31="","",IF(AS31="","",IFERROR(AN31/AS31-1,0)))</x:f>
      </x:c>
      <x:c r="AU31" s="166"/>
      <x:c r="AV31" s="172" t="str">
        <x:f>IF(AK31="","",IF(AU31="","",AU31-AT31*365/AW31))</x:f>
      </x:c>
      <x:c r="AW31" s="164"/>
      <x:c r="AX31" s="173" t="str">
        <x:f>IF(AK31="","",IFERROR(AP31*(AO31/AN31-1),0))</x:f>
      </x:c>
      <x:c r="AY31" s="147" t="str">
        <x:v>Matched-maturity Treasury collateral</x:v>
      </x:c>
      <x:c r="AZ31" s="147" t="str">
        <x:v>Treasury</x:v>
      </x:c>
      <x:c r="BA31" s="147" t="str">
        <x:v>Long</x:v>
      </x:c>
      <x:c r="BB31" s="167" t="n">
        <x:v>100.70914814564496</x:v>
      </x:c>
      <x:c r="BC31" s="167" t="n">
        <x:v>100.72592380648675</x:v>
      </x:c>
      <x:c r="BD31" s="166" t="n">
        <x:v>1</x:v>
      </x:c>
      <x:c r="BE31" s="171" t="n">
        <x:f>IF(AY31="","",IFERROR(F31*BD31/BB31,0))</x:f>
        <x:v>0.009465744616520375</x:v>
      </x:c>
      <x:c r="BF31" s="171" t="n">
        <x:f>IF(AY31="","",F31*ABS(BD31))</x:f>
        <x:v>0.9532870768939917</x:v>
      </x:c>
      <x:c r="BG31" s="165"/>
      <x:c r="BH31" s="172" t="str">
        <x:f>IF(AY31="","",IF(BG31="","",IFERROR(BB31/BG31-1,0)))</x:f>
      </x:c>
      <x:c r="BI31" s="166"/>
      <x:c r="BJ31" s="172" t="str">
        <x:f>IF(AY31="","",IF(BI31="","",BI31-BH31*365/BK31))</x:f>
      </x:c>
      <x:c r="BK31" s="164" t="n">
        <x:v>42</x:v>
      </x:c>
      <x:c r="BL31" s="172" t="n">
        <x:f>IF(AY31="","",IFERROR(BD31*(BC31/BB31-1),0))</x:f>
        <x:v>0.0001665753424657801</x:v>
      </x:c>
      <x:c r="BM31" s="147" t="str">
        <x:v>SI69H</x:v>
      </x:c>
      <x:c r="BN31" s="147" t="str">
        <x:v>Silver future (regular)</x:v>
      </x:c>
      <x:c r="BO31" s="147" t="str">
        <x:v>Long</x:v>
      </x:c>
      <x:c r="BP31" s="167" t="n">
        <x:v>1.7369999999999999</x:v>
      </x:c>
      <x:c r="BQ31" s="167" t="n">
        <x:v>1.79</x:v>
      </x:c>
      <x:c r="BR31" s="166" t="n">
        <x:v>1</x:v>
      </x:c>
      <x:c r="BS31" s="171" t="n">
        <x:f>IF(BM31="","",IFERROR(F31*BR31/BP31,0))</x:f>
        <x:v>0.5488123643603867</x:v>
      </x:c>
      <x:c r="BT31" s="171" t="n">
        <x:f>IF(BM31="","",F31*ABS(BR31))</x:f>
        <x:v>0.9532870768939917</x:v>
      </x:c>
      <x:c r="BU31" s="165" t="n">
        <x:v>1.833</x:v>
      </x:c>
      <x:c r="BV31" s="172" t="n">
        <x:f>IF(BM31="","",IF(BU31="","",IFERROR(BP31/BU31-1,0)))</x:f>
        <x:v>-0.05237315875613757</x:v>
      </x:c>
      <x:c r="BW31" s="166" t="n">
        <x:v>0.0608</x:v>
      </x:c>
      <x:c r="BX31" s="172" t="n">
        <x:f>IF(BM31="","",IF(BW31="","",BW31-BV31*365/BY31))</x:f>
        <x:v>0.5159476891902431</x:v>
      </x:c>
      <x:c r="BY31" s="164" t="n">
        <x:v>42</x:v>
      </x:c>
      <x:c r="BZ31" s="172" t="n">
        <x:f>IF(BM31="","",IFERROR(BR31*(BQ31/BP31-1),0))</x:f>
        <x:v>0.030512377662636814</x:v>
      </x:c>
      <x:c r="CA31" s="147"/>
      <x:c r="CB31" s="147"/>
      <x:c r="CC31" s="147"/>
      <x:c r="CD31" s="167"/>
      <x:c r="CE31" s="167"/>
      <x:c r="CF31" s="166"/>
      <x:c r="CG31" s="171" t="str">
        <x:f>IF(CA31="","",IFERROR(F31*CF31/CD31,0))</x:f>
      </x:c>
      <x:c r="CH31" s="171" t="str">
        <x:f>IF(CA31="","",F31*ABS(CF31))</x:f>
      </x:c>
      <x:c r="CI31" s="165"/>
      <x:c r="CJ31" s="172" t="str">
        <x:f>IF(CA31="","",IF(CI31="","",IFERROR(CD31/CI31-1,0)))</x:f>
      </x:c>
      <x:c r="CK31" s="166"/>
      <x:c r="CL31" s="172" t="str">
        <x:f>IF(CA31="","",IF(CK31="","",CK31-CJ31*365/CM31))</x:f>
      </x:c>
      <x:c r="CM31" s="164"/>
      <x:c r="CN31" s="172" t="str">
        <x:f>IF(CA31="","",IFERROR(CF31*(CE31/CD31-1),0))</x:f>
      </x:c>
      <x:c r="CO31" s="147"/>
      <x:c r="CP31" s="147"/>
      <x:c r="CQ31" s="147"/>
      <x:c r="CR31" s="167"/>
      <x:c r="CS31" s="167"/>
      <x:c r="CT31" s="166"/>
      <x:c r="CU31" s="171" t="str">
        <x:f>IF(CO31="","",IFERROR(F31*CT31/CR31,0))</x:f>
      </x:c>
      <x:c r="CV31" s="171" t="str">
        <x:f>IF(CO31="","",F31*ABS(CT31))</x:f>
      </x:c>
      <x:c r="CW31" s="165"/>
      <x:c r="CX31" s="172" t="str">
        <x:f>IF(CO31="","",IF(CW31="","",IFERROR(CR31/CW31-1,0)))</x:f>
      </x:c>
      <x:c r="CY31" s="166"/>
      <x:c r="CZ31" s="172" t="str">
        <x:f>IF(CO31="","",IF(CY31="","",CY31-CX31*365/DA31))</x:f>
      </x:c>
      <x:c r="DA31" s="164"/>
      <x:c r="DB31" s="172" t="str">
        <x:f>IF(CO31="","",IFERROR(CT31*(CS31/CR31-1),0))</x:f>
      </x:c>
      <x:c r="DC31" s="147"/>
      <x:c r="DD31" s="147"/>
      <x:c r="DE31" s="147"/>
      <x:c r="DF31" s="167"/>
      <x:c r="DG31" s="167"/>
      <x:c r="DH31" s="166"/>
      <x:c r="DI31" s="171" t="str">
        <x:f>IF(DC31="","",IFERROR(F31*DH31/DF31,0))</x:f>
      </x:c>
      <x:c r="DJ31" s="171" t="str">
        <x:f>IF(DC31="","",F31*ABS(DH31))</x:f>
      </x:c>
      <x:c r="DK31" s="165"/>
      <x:c r="DL31" s="172" t="str">
        <x:f>IF(DC31="","",IF(DK31="","",IFERROR(DF31/DK31-1,0)))</x:f>
      </x:c>
      <x:c r="DM31" s="166"/>
      <x:c r="DN31" s="172" t="str">
        <x:f>IF(DC31="","",IF(DM31="","",DM31-DL31*365/DO31))</x:f>
      </x:c>
      <x:c r="DO31" s="164"/>
      <x:c r="DP31" s="172" t="str">
        <x:f>IF(DC31="","",IFERROR(DH31*(DG31/DF31-1),0))</x:f>
      </x:c>
      <x:c r="DQ31" s="147"/>
      <x:c r="DR31" s="147"/>
      <x:c r="DS31" s="147"/>
      <x:c r="DT31" s="167"/>
      <x:c r="DU31" s="167"/>
      <x:c r="DV31" s="166"/>
      <x:c r="DW31" s="171" t="str">
        <x:f>IF(DQ31="","",IFERROR(F31*DV31/DT31,0))</x:f>
      </x:c>
      <x:c r="DX31" s="171" t="str">
        <x:f>IF(DQ31="","",F31*ABS(DV31))</x:f>
      </x:c>
      <x:c r="DY31" s="165"/>
      <x:c r="DZ31" s="172" t="str">
        <x:f>IF(DQ31="","",IF(DY31="","",IFERROR(DT31/DY31-1,0)))</x:f>
      </x:c>
      <x:c r="EA31" s="166"/>
      <x:c r="EB31" s="172" t="str">
        <x:f>IF(DQ31="","",IF(EA31="","",EA31-DZ31*365/EC31))</x:f>
      </x:c>
      <x:c r="EC31" s="164"/>
      <x:c r="ED31" s="172" t="str">
        <x:f>IF(DQ31="","",IFERROR(DV31*(DU31/DT31-1),0))</x:f>
      </x:c>
      <x:c r="EE31" s="147"/>
      <x:c r="EF31" s="147"/>
      <x:c r="EG31" s="147"/>
      <x:c r="EH31" s="167"/>
      <x:c r="EI31" s="167"/>
      <x:c r="EJ31" s="166"/>
      <x:c r="EK31" s="171" t="str">
        <x:f>IF(EE31="","",IFERROR(F31*EJ31/EH31,0))</x:f>
      </x:c>
      <x:c r="EL31" s="171" t="str">
        <x:f>IF(EE31="","",F31*ABS(EJ31))</x:f>
      </x:c>
      <x:c r="EM31" s="165"/>
      <x:c r="EN31" s="172" t="str">
        <x:f>IF(EE31="","",IF(EM31="","",IFERROR(EH31/EM31-1,0)))</x:f>
      </x:c>
      <x:c r="EO31" s="166"/>
      <x:c r="EP31" s="172" t="str">
        <x:f>IF(EE31="","",IF(EO31="","",EO31-EN31*365/EQ31))</x:f>
      </x:c>
      <x:c r="EQ31" s="164"/>
      <x:c r="ER31" s="172" t="str">
        <x:f>IF(EE31="","",IFERROR(EJ31*(EI31/EH31-1),0))</x:f>
      </x:c>
      <x:c r="ES31" s="147"/>
      <x:c r="ET31" s="147"/>
      <x:c r="EU31" s="147"/>
      <x:c r="EV31" s="167"/>
      <x:c r="EW31" s="167"/>
      <x:c r="EX31" s="166"/>
      <x:c r="EY31" s="171" t="str">
        <x:f>IF(ES31="","",IFERROR(F31*EX31/EV31,0))</x:f>
      </x:c>
      <x:c r="EZ31" s="171" t="str">
        <x:f>IF(ES31="","",F31*ABS(EX31))</x:f>
      </x:c>
      <x:c r="FA31" s="165"/>
      <x:c r="FB31" s="172" t="str">
        <x:f>IF(ES31="","",IF(FA31="","",IFERROR(EV31/FA31-1,0)))</x:f>
      </x:c>
      <x:c r="FC31" s="166"/>
      <x:c r="FD31" s="172" t="str">
        <x:f>IF(ES31="","",IF(FC31="","",FC31-FB31*365/FE31))</x:f>
      </x:c>
      <x:c r="FE31" s="164"/>
      <x:c r="FF31" s="172" t="str">
        <x:f>IF(ES31="","",IFERROR(EX31*(EW31/EV31-1),0))</x:f>
      </x:c>
      <x:c r="FG31" s="147"/>
      <x:c r="FH31" s="147"/>
      <x:c r="FI31" s="147"/>
      <x:c r="FJ31" s="167"/>
      <x:c r="FK31" s="167"/>
      <x:c r="FL31" s="166"/>
      <x:c r="FM31" s="171" t="str">
        <x:f>IF(FG31="","",IFERROR(F31*FL31/FJ31,0))</x:f>
      </x:c>
      <x:c r="FN31" s="171" t="str">
        <x:f>IF(FG31="","",F31*ABS(FL31))</x:f>
      </x:c>
      <x:c r="FO31" s="165"/>
      <x:c r="FP31" s="172" t="str">
        <x:f>IF(FG31="","",IF(FO31="","",IFERROR(FJ31/FO31-1,0)))</x:f>
      </x:c>
      <x:c r="FQ31" s="166"/>
      <x:c r="FR31" s="172" t="str">
        <x:f>IF(FG31="","",IF(FQ31="","",FQ31-FP31*365/FS31))</x:f>
      </x:c>
      <x:c r="FS31" s="164"/>
      <x:c r="FT31" s="172" t="str">
        <x:f>IF(FG31="","",IFERROR(FL31*(FK31/FJ31-1),0))</x:f>
      </x:c>
    </x:row>
    <x:row r="32" ht="18" customHeight="1">
      <x:c r="A32" s="163" t="n">
        <x:v>25248</x:v>
      </x:c>
      <x:c r="B32" s="163" t="n">
        <x:v>25251</x:v>
      </x:c>
      <x:c r="C32" s="170" t="n">
        <x:f>B32-A32</x:f>
        <x:v>3</x:v>
      </x:c>
      <x:c r="D32" s="163" t="n">
        <x:v>25248</x:v>
      </x:c>
      <x:c r="E32" s="147" t="str">
        <x:v>neutral</x:v>
      </x:c>
      <x:c r="F32" s="165" t="n">
        <x:v>0.9825329263263941</x:v>
      </x:c>
      <x:c r="G32" s="168" t="n">
        <x:v>0.048002050924850964</x:v>
      </x:c>
      <x:c r="H32" s="172" t="n">
        <x:f>SUM(AX32,BL32,BZ32,CN32,DB32,DP32,ED32,ER32,FF32,FT32)</x:f>
        <x:v>0.048002050924850964</x:v>
      </x:c>
      <x:c r="I32" s="174" t="n">
        <x:f>G32-H32</x:f>
        <x:v>0</x:v>
      </x:c>
      <x:c r="J32" s="171" t="n">
        <x:f>F32*(1+H32)</x:f>
        <x:v>1.0296965218912564</x:v>
      </x:c>
      <x:c r="K32" s="169" t="n">
        <x:v>1.0296965218912564</x:v>
      </x:c>
      <x:c r="L32" s="175" t="n">
        <x:f>K32-J32</x:f>
        <x:v>0</x:v>
      </x:c>
      <x:c r="M32" s="167" t="n">
        <x:v>1.77</x:v>
      </x:c>
      <x:c r="N32" s="167" t="n">
        <x:v>1.855</x:v>
      </x:c>
      <x:c r="O32" s="172" t="n">
        <x:f>IFERROR(N32/M32-1,0)</x:f>
        <x:v>0.04802259887005644</x:v>
      </x:c>
      <x:c r="P32" s="171" t="n">
        <x:f>IFERROR(AD32/AH32,0)</x:f>
        <x:v>1.0868923557893104</x:v>
      </x:c>
      <x:c r="Q32" s="171" t="n">
        <x:f>IFERROR(AE32/AI32,0)</x:f>
        <x:v>1.086871045748291</x:v>
      </x:c>
      <x:c r="R32" s="172" t="n">
        <x:f>IFERROR((Q32-P32)/(P32+S32),0)</x:f>
        <x:v>-0.00001960639515573339</x:v>
      </x:c>
      <x:c r="S32" s="172" t="n">
        <x:f>IFERROR(AF32/AH32,0)</x:f>
        <x:v>0</x:v>
      </x:c>
      <x:c r="T32" s="172" t="n">
        <x:f>IFERROR(AG32/AI32,0)</x:f>
        <x:v>0</x:v>
      </x:c>
      <x:c r="U32" s="172" t="n">
        <x:f>IFERROR((T32-S32)/(P32+S32),0)</x:f>
        <x:v>0</x:v>
      </x:c>
      <x:c r="V32" s="172" t="n">
        <x:f>R32+U32</x:f>
        <x:v>-0.00001960639515573339</x:v>
      </x:c>
      <x:c r="W32" s="172" t="n">
        <x:f>(1+O32)*(1+V32)-1</x:f>
        <x:v>0.04800205092485088</x:v>
      </x:c>
      <x:c r="X32" s="174" t="n">
        <x:f>G32-W32</x:f>
        <x:v>8.326672684688674e-17</x:v>
      </x:c>
      <x:c r="Y32" s="172" t="n">
        <x:f>AX32</x:f>
        <x:v>0.048002050924850964</x:v>
      </x:c>
      <x:c r="Z32" s="172" t="str">
        <x:f>BL32</x:f>
      </x:c>
      <x:c r="AA32" s="172" t="n">
        <x:f>SUM(BZ32,CN32,DB32,DP32,ED32,ER32,FF32,FT32)</x:f>
        <x:v>0</x:v>
      </x:c>
      <x:c r="AB32" s="172" t="n">
        <x:f>SUM(Y32:AA32)</x:f>
        <x:v>0.048002050924850964</x:v>
      </x:c>
      <x:c r="AC32" s="174" t="n">
        <x:f>G32-AB32</x:f>
        <x:v>0</x:v>
      </x:c>
      <x:c r="AD32" s="169" t="n">
        <x:v>0.982532926326394</x:v>
      </x:c>
      <x:c r="AE32" s="169" t="n">
        <x:v>1.0296965218912564</x:v>
      </x:c>
      <x:c r="AF32" s="169" t="n">
        <x:v>0</x:v>
      </x:c>
      <x:c r="AG32" s="169" t="n">
        <x:v>0</x:v>
      </x:c>
      <x:c r="AH32" s="171" t="n">
        <x:f>M32/$M$3</x:f>
        <x:v>0.9039836567926456</x:v>
      </x:c>
      <x:c r="AI32" s="171" t="n">
        <x:f>N32/$M$3</x:f>
        <x:v>0.9473953013278856</x:v>
      </x:c>
      <x:c r="AJ32" s="170" t="n">
        <x:f>IF(AK32&lt;&gt;"",1,0)+IF(AY32&lt;&gt;"",1,0)+IF(BM32&lt;&gt;"",1,0)+IF(CA32&lt;&gt;"",1,0)+IF(CO32&lt;&gt;"",1,0)+IF(DC32&lt;&gt;"",1,0)+IF(DQ32&lt;&gt;"",1,0)+IF(EE32&lt;&gt;"",1,0)+IF(ES32&lt;&gt;"",1,0)+IF(FG32&lt;&gt;"",1,0)</x:f>
        <x:v>1</x:v>
      </x:c>
      <x:c r="AK32" s="147" t="str">
        <x:v>Silver replicating holding (LBMA/SLV proxy)</x:v>
      </x:c>
      <x:c r="AL32" s="147" t="str">
        <x:v>Physical-backed proxy</x:v>
      </x:c>
      <x:c r="AM32" s="147" t="str">
        <x:v>Long</x:v>
      </x:c>
      <x:c r="AN32" s="167" t="n">
        <x:v>1.77</x:v>
      </x:c>
      <x:c r="AO32" s="167" t="n">
        <x:v>1.855</x:v>
      </x:c>
      <x:c r="AP32" s="166" t="n">
        <x:v>1</x:v>
      </x:c>
      <x:c r="AQ32" s="171" t="n">
        <x:f>IF(AK32="","",IFERROR(F32*AP32/AN32,0))</x:f>
        <x:v>0.5551033482070024</x:v>
      </x:c>
      <x:c r="AR32" s="171" t="n">
        <x:f>IF(AK32="","",F32*ABS(AP32))</x:f>
        <x:v>0.9825329263263941</x:v>
      </x:c>
      <x:c r="AS32" s="165"/>
      <x:c r="AT32" s="172" t="str">
        <x:f>IF(AK32="","",IF(AS32="","",IFERROR(AN32/AS32-1,0)))</x:f>
      </x:c>
      <x:c r="AU32" s="166"/>
      <x:c r="AV32" s="172" t="str">
        <x:f>IF(AK32="","",IF(AU32="","",AU32-AT32*365/AW32))</x:f>
      </x:c>
      <x:c r="AW32" s="164"/>
      <x:c r="AX32" s="173" t="n">
        <x:f>IF(AK32="","",IFERROR(AP32*(AO32/AN32-1-'Parameters'!$C$6*C32/365),0))</x:f>
        <x:v>0.048002050924850964</x:v>
      </x:c>
      <x:c r="AY32" s="147"/>
      <x:c r="AZ32" s="147"/>
      <x:c r="BA32" s="147"/>
      <x:c r="BB32" s="167"/>
      <x:c r="BC32" s="167"/>
      <x:c r="BD32" s="166"/>
      <x:c r="BE32" s="171" t="str">
        <x:f>IF(AY32="","",IFERROR(F32*BD32/BB32,0))</x:f>
      </x:c>
      <x:c r="BF32" s="171" t="str">
        <x:f>IF(AY32="","",F32*ABS(BD32))</x:f>
      </x:c>
      <x:c r="BG32" s="165"/>
      <x:c r="BH32" s="172" t="str">
        <x:f>IF(AY32="","",IF(BG32="","",IFERROR(BB32/BG32-1,0)))</x:f>
      </x:c>
      <x:c r="BI32" s="166"/>
      <x:c r="BJ32" s="172" t="str">
        <x:f>IF(AY32="","",IF(BI32="","",BI32-BH32*365/BK32))</x:f>
      </x:c>
      <x:c r="BK32" s="164"/>
      <x:c r="BL32" s="172" t="str">
        <x:f>IF(AY32="","",IFERROR(BD32*(BC32/BB32-1),0))</x:f>
      </x:c>
      <x:c r="BM32" s="147"/>
      <x:c r="BN32" s="147"/>
      <x:c r="BO32" s="147"/>
      <x:c r="BP32" s="167"/>
      <x:c r="BQ32" s="167"/>
      <x:c r="BR32" s="166"/>
      <x:c r="BS32" s="171" t="str">
        <x:f>IF(BM32="","",IFERROR(F32*BR32/BP32,0))</x:f>
      </x:c>
      <x:c r="BT32" s="171" t="str">
        <x:f>IF(BM32="","",F32*ABS(BR32))</x:f>
      </x:c>
      <x:c r="BU32" s="165"/>
      <x:c r="BV32" s="172" t="str">
        <x:f>IF(BM32="","",IF(BU32="","",IFERROR(BP32/BU32-1,0)))</x:f>
      </x:c>
      <x:c r="BW32" s="166"/>
      <x:c r="BX32" s="172" t="str">
        <x:f>IF(BM32="","",IF(BW32="","",BW32-BV32*365/BY32))</x:f>
      </x:c>
      <x:c r="BY32" s="164"/>
      <x:c r="BZ32" s="172" t="str">
        <x:f>IF(BM32="","",IFERROR(BR32*(BQ32/BP32-1),0))</x:f>
      </x:c>
      <x:c r="CA32" s="147"/>
      <x:c r="CB32" s="147"/>
      <x:c r="CC32" s="147"/>
      <x:c r="CD32" s="167"/>
      <x:c r="CE32" s="167"/>
      <x:c r="CF32" s="166"/>
      <x:c r="CG32" s="171" t="str">
        <x:f>IF(CA32="","",IFERROR(F32*CF32/CD32,0))</x:f>
      </x:c>
      <x:c r="CH32" s="171" t="str">
        <x:f>IF(CA32="","",F32*ABS(CF32))</x:f>
      </x:c>
      <x:c r="CI32" s="165"/>
      <x:c r="CJ32" s="172" t="str">
        <x:f>IF(CA32="","",IF(CI32="","",IFERROR(CD32/CI32-1,0)))</x:f>
      </x:c>
      <x:c r="CK32" s="166"/>
      <x:c r="CL32" s="172" t="str">
        <x:f>IF(CA32="","",IF(CK32="","",CK32-CJ32*365/CM32))</x:f>
      </x:c>
      <x:c r="CM32" s="164"/>
      <x:c r="CN32" s="172" t="str">
        <x:f>IF(CA32="","",IFERROR(CF32*(CE32/CD32-1),0))</x:f>
      </x:c>
      <x:c r="CO32" s="147"/>
      <x:c r="CP32" s="147"/>
      <x:c r="CQ32" s="147"/>
      <x:c r="CR32" s="167"/>
      <x:c r="CS32" s="167"/>
      <x:c r="CT32" s="166"/>
      <x:c r="CU32" s="171" t="str">
        <x:f>IF(CO32="","",IFERROR(F32*CT32/CR32,0))</x:f>
      </x:c>
      <x:c r="CV32" s="171" t="str">
        <x:f>IF(CO32="","",F32*ABS(CT32))</x:f>
      </x:c>
      <x:c r="CW32" s="165"/>
      <x:c r="CX32" s="172" t="str">
        <x:f>IF(CO32="","",IF(CW32="","",IFERROR(CR32/CW32-1,0)))</x:f>
      </x:c>
      <x:c r="CY32" s="166"/>
      <x:c r="CZ32" s="172" t="str">
        <x:f>IF(CO32="","",IF(CY32="","",CY32-CX32*365/DA32))</x:f>
      </x:c>
      <x:c r="DA32" s="164"/>
      <x:c r="DB32" s="172" t="str">
        <x:f>IF(CO32="","",IFERROR(CT32*(CS32/CR32-1),0))</x:f>
      </x:c>
      <x:c r="DC32" s="147"/>
      <x:c r="DD32" s="147"/>
      <x:c r="DE32" s="147"/>
      <x:c r="DF32" s="167"/>
      <x:c r="DG32" s="167"/>
      <x:c r="DH32" s="166"/>
      <x:c r="DI32" s="171" t="str">
        <x:f>IF(DC32="","",IFERROR(F32*DH32/DF32,0))</x:f>
      </x:c>
      <x:c r="DJ32" s="171" t="str">
        <x:f>IF(DC32="","",F32*ABS(DH32))</x:f>
      </x:c>
      <x:c r="DK32" s="165"/>
      <x:c r="DL32" s="172" t="str">
        <x:f>IF(DC32="","",IF(DK32="","",IFERROR(DF32/DK32-1,0)))</x:f>
      </x:c>
      <x:c r="DM32" s="166"/>
      <x:c r="DN32" s="172" t="str">
        <x:f>IF(DC32="","",IF(DM32="","",DM32-DL32*365/DO32))</x:f>
      </x:c>
      <x:c r="DO32" s="164"/>
      <x:c r="DP32" s="172" t="str">
        <x:f>IF(DC32="","",IFERROR(DH32*(DG32/DF32-1),0))</x:f>
      </x:c>
      <x:c r="DQ32" s="147"/>
      <x:c r="DR32" s="147"/>
      <x:c r="DS32" s="147"/>
      <x:c r="DT32" s="167"/>
      <x:c r="DU32" s="167"/>
      <x:c r="DV32" s="166"/>
      <x:c r="DW32" s="171" t="str">
        <x:f>IF(DQ32="","",IFERROR(F32*DV32/DT32,0))</x:f>
      </x:c>
      <x:c r="DX32" s="171" t="str">
        <x:f>IF(DQ32="","",F32*ABS(DV32))</x:f>
      </x:c>
      <x:c r="DY32" s="165"/>
      <x:c r="DZ32" s="172" t="str">
        <x:f>IF(DQ32="","",IF(DY32="","",IFERROR(DT32/DY32-1,0)))</x:f>
      </x:c>
      <x:c r="EA32" s="166"/>
      <x:c r="EB32" s="172" t="str">
        <x:f>IF(DQ32="","",IF(EA32="","",EA32-DZ32*365/EC32))</x:f>
      </x:c>
      <x:c r="EC32" s="164"/>
      <x:c r="ED32" s="172" t="str">
        <x:f>IF(DQ32="","",IFERROR(DV32*(DU32/DT32-1),0))</x:f>
      </x:c>
      <x:c r="EE32" s="147"/>
      <x:c r="EF32" s="147"/>
      <x:c r="EG32" s="147"/>
      <x:c r="EH32" s="167"/>
      <x:c r="EI32" s="167"/>
      <x:c r="EJ32" s="166"/>
      <x:c r="EK32" s="171" t="str">
        <x:f>IF(EE32="","",IFERROR(F32*EJ32/EH32,0))</x:f>
      </x:c>
      <x:c r="EL32" s="171" t="str">
        <x:f>IF(EE32="","",F32*ABS(EJ32))</x:f>
      </x:c>
      <x:c r="EM32" s="165"/>
      <x:c r="EN32" s="172" t="str">
        <x:f>IF(EE32="","",IF(EM32="","",IFERROR(EH32/EM32-1,0)))</x:f>
      </x:c>
      <x:c r="EO32" s="166"/>
      <x:c r="EP32" s="172" t="str">
        <x:f>IF(EE32="","",IF(EO32="","",EO32-EN32*365/EQ32))</x:f>
      </x:c>
      <x:c r="EQ32" s="164"/>
      <x:c r="ER32" s="172" t="str">
        <x:f>IF(EE32="","",IFERROR(EJ32*(EI32/EH32-1),0))</x:f>
      </x:c>
      <x:c r="ES32" s="147"/>
      <x:c r="ET32" s="147"/>
      <x:c r="EU32" s="147"/>
      <x:c r="EV32" s="167"/>
      <x:c r="EW32" s="167"/>
      <x:c r="EX32" s="166"/>
      <x:c r="EY32" s="171" t="str">
        <x:f>IF(ES32="","",IFERROR(F32*EX32/EV32,0))</x:f>
      </x:c>
      <x:c r="EZ32" s="171" t="str">
        <x:f>IF(ES32="","",F32*ABS(EX32))</x:f>
      </x:c>
      <x:c r="FA32" s="165"/>
      <x:c r="FB32" s="172" t="str">
        <x:f>IF(ES32="","",IF(FA32="","",IFERROR(EV32/FA32-1,0)))</x:f>
      </x:c>
      <x:c r="FC32" s="166"/>
      <x:c r="FD32" s="172" t="str">
        <x:f>IF(ES32="","",IF(FC32="","",FC32-FB32*365/FE32))</x:f>
      </x:c>
      <x:c r="FE32" s="164"/>
      <x:c r="FF32" s="172" t="str">
        <x:f>IF(ES32="","",IFERROR(EX32*(EW32/EV32-1),0))</x:f>
      </x:c>
      <x:c r="FG32" s="147"/>
      <x:c r="FH32" s="147"/>
      <x:c r="FI32" s="147"/>
      <x:c r="FJ32" s="167"/>
      <x:c r="FK32" s="167"/>
      <x:c r="FL32" s="166"/>
      <x:c r="FM32" s="171" t="str">
        <x:f>IF(FG32="","",IFERROR(F32*FL32/FJ32,0))</x:f>
      </x:c>
      <x:c r="FN32" s="171" t="str">
        <x:f>IF(FG32="","",F32*ABS(FL32))</x:f>
      </x:c>
      <x:c r="FO32" s="165"/>
      <x:c r="FP32" s="172" t="str">
        <x:f>IF(FG32="","",IF(FO32="","",IFERROR(FJ32/FO32-1,0)))</x:f>
      </x:c>
      <x:c r="FQ32" s="166"/>
      <x:c r="FR32" s="172" t="str">
        <x:f>IF(FG32="","",IF(FQ32="","",FQ32-FP32*365/FS32))</x:f>
      </x:c>
      <x:c r="FS32" s="164"/>
      <x:c r="FT32" s="172" t="str">
        <x:f>IF(FG32="","",IFERROR(FL32*(FK32/FJ32-1),0))</x:f>
      </x:c>
    </x:row>
    <x:row r="33" ht="18" customHeight="1">
      <x:c r="A33" s="163" t="n">
        <x:v>25251</x:v>
      </x:c>
      <x:c r="B33" s="163" t="n">
        <x:v>25252</x:v>
      </x:c>
      <x:c r="C33" s="170" t="n">
        <x:f>B33-A33</x:f>
        <x:v>1</x:v>
      </x:c>
      <x:c r="D33" s="163" t="n">
        <x:v>25251</x:v>
      </x:c>
      <x:c r="E33" s="147" t="str">
        <x:v>positive</x:v>
      </x:c>
      <x:c r="F33" s="165" t="n">
        <x:v>1.0296965218912564</x:v>
      </x:c>
      <x:c r="G33" s="168" t="n">
        <x:v>0.021574478101485862</x:v>
      </x:c>
      <x:c r="H33" s="172" t="n">
        <x:f>SUM(AX33,BL33,BZ33,CN33,DB33,DP33,ED33,ER33,FF33,FT33)</x:f>
        <x:v>0.021574478101485935</x:v>
      </x:c>
      <x:c r="I33" s="174" t="n">
        <x:f>G33-H33</x:f>
        <x:v>-7.28583859910259e-17</x:v>
      </x:c>
      <x:c r="J33" s="171" t="n">
        <x:f>F33*(1+H33)</x:f>
        <x:v>1.0519116869539755</x:v>
      </x:c>
      <x:c r="K33" s="169" t="n">
        <x:v>1.0519116869539755</x:v>
      </x:c>
      <x:c r="L33" s="175" t="n">
        <x:f>K33-J33</x:f>
        <x:v>0</x:v>
      </x:c>
      <x:c r="M33" s="167" t="n">
        <x:v>1.855</x:v>
      </x:c>
      <x:c r="N33" s="167" t="n">
        <x:v>1.804</x:v>
      </x:c>
      <x:c r="O33" s="172" t="n">
        <x:f>IFERROR(N33/M33-1,0)</x:f>
        <x:v>-0.027493261455525553</x:v>
      </x:c>
      <x:c r="P33" s="171" t="n">
        <x:f>IFERROR(AD33/AH33,0)</x:f>
        <x:v>1.086871045748291</x:v>
      </x:c>
      <x:c r="Q33" s="171" t="n">
        <x:f>IFERROR(AE33/AI33,0)</x:f>
        <x:v>1.141709026084193</x:v>
      </x:c>
      <x:c r="R33" s="172" t="n">
        <x:f>IFERROR((Q33-P33)/(P33+S33),0)</x:f>
        <x:v>0.050454909577747425</x:v>
      </x:c>
      <x:c r="S33" s="172" t="n">
        <x:f>IFERROR(AF33/AH33,0)</x:f>
        <x:v>0</x:v>
      </x:c>
      <x:c r="T33" s="172" t="n">
        <x:f>IFERROR(AG33/AI33,0)</x:f>
        <x:v>0</x:v>
      </x:c>
      <x:c r="U33" s="172" t="n">
        <x:f>IFERROR((T33-S33)/(P33+S33),0)</x:f>
        <x:v>0</x:v>
      </x:c>
      <x:c r="V33" s="172" t="n">
        <x:f>R33+U33</x:f>
        <x:v>0.050454909577747425</x:v>
      </x:c>
      <x:c r="W33" s="172" t="n">
        <x:f>(1+O33)*(1+V33)-1</x:f>
        <x:v>0.02157447810148594</x:v>
      </x:c>
      <x:c r="X33" s="174" t="n">
        <x:f>G33-W33</x:f>
        <x:v>-7.632783294297951e-17</x:v>
      </x:c>
      <x:c r="Y33" s="172" t="str">
        <x:f>AX33</x:f>
      </x:c>
      <x:c r="Z33" s="172" t="n">
        <x:f>BL33</x:f>
        <x:v>0.00016602739726034876</x:v>
      </x:c>
      <x:c r="AA33" s="172" t="n">
        <x:f>SUM(BZ33,CN33,DB33,DP33,ED33,ER33,FF33,FT33)</x:f>
        <x:v>0.021408450704225587</x:v>
      </x:c>
      <x:c r="AB33" s="172" t="n">
        <x:f>SUM(Y33:AA33)</x:f>
        <x:v>0.021574478101485935</x:v>
      </x:c>
      <x:c r="AC33" s="174" t="n">
        <x:f>G33-AB33</x:f>
        <x:v>-7.28583859910259e-17</x:v>
      </x:c>
      <x:c r="AD33" s="169" t="n">
        <x:v>1.0296965218912564</x:v>
      </x:c>
      <x:c r="AE33" s="169" t="n">
        <x:v>1.0519116869539755</x:v>
      </x:c>
      <x:c r="AF33" s="169" t="n">
        <x:v>0</x:v>
      </x:c>
      <x:c r="AG33" s="169" t="n">
        <x:v>0</x:v>
      </x:c>
      <x:c r="AH33" s="171" t="n">
        <x:f>M33/$M$3</x:f>
        <x:v>0.9473953013278856</x:v>
      </x:c>
      <x:c r="AI33" s="171" t="n">
        <x:f>N33/$M$3</x:f>
        <x:v>0.9213483146067416</x:v>
      </x:c>
      <x:c r="AJ33" s="170" t="n">
        <x:f>IF(AK33&lt;&gt;"",1,0)+IF(AY33&lt;&gt;"",1,0)+IF(BM33&lt;&gt;"",1,0)+IF(CA33&lt;&gt;"",1,0)+IF(CO33&lt;&gt;"",1,0)+IF(DC33&lt;&gt;"",1,0)+IF(DQ33&lt;&gt;"",1,0)+IF(EE33&lt;&gt;"",1,0)+IF(ES33&lt;&gt;"",1,0)+IF(FG33&lt;&gt;"",1,0)</x:f>
        <x:v>9</x:v>
      </x:c>
      <x:c r="AK33" s="147"/>
      <x:c r="AL33" s="147"/>
      <x:c r="AM33" s="147"/>
      <x:c r="AN33" s="167"/>
      <x:c r="AO33" s="167"/>
      <x:c r="AP33" s="166"/>
      <x:c r="AQ33" s="171" t="str">
        <x:f>IF(AK33="","",IFERROR(F33*AP33/AN33,0))</x:f>
      </x:c>
      <x:c r="AR33" s="171" t="str">
        <x:f>IF(AK33="","",F33*ABS(AP33))</x:f>
      </x:c>
      <x:c r="AS33" s="165"/>
      <x:c r="AT33" s="172" t="str">
        <x:f>IF(AK33="","",IF(AS33="","",IFERROR(AN33/AS33-1,0)))</x:f>
      </x:c>
      <x:c r="AU33" s="166"/>
      <x:c r="AV33" s="172" t="str">
        <x:f>IF(AK33="","",IF(AU33="","",AU33-AT33*365/AW33))</x:f>
      </x:c>
      <x:c r="AW33" s="164"/>
      <x:c r="AX33" s="173" t="str">
        <x:f>IF(AK33="","",IFERROR(AP33*(AO33/AN33-1),0))</x:f>
      </x:c>
      <x:c r="AY33" s="147" t="str">
        <x:v>Matched-maturity Treasury collateral</x:v>
      </x:c>
      <x:c r="AZ33" s="147" t="str">
        <x:v>Treasury</x:v>
      </x:c>
      <x:c r="BA33" s="147" t="str">
        <x:v>Long</x:v>
      </x:c>
      <x:c r="BB33" s="167" t="n">
        <x:v>100.7760108069549</x:v>
      </x:c>
      <x:c r="BC33" s="167" t="n">
        <x:v>100.79274238573545</x:v>
      </x:c>
      <x:c r="BD33" s="166" t="n">
        <x:v>1</x:v>
      </x:c>
      <x:c r="BE33" s="171" t="n">
        <x:f>IF(AY33="","",IFERROR(F33*BD33/BB33,0))</x:f>
        <x:v>0.010217674957026513</x:v>
      </x:c>
      <x:c r="BF33" s="171" t="n">
        <x:f>IF(AY33="","",F33*ABS(BD33))</x:f>
        <x:v>1.0296965218912564</x:v>
      </x:c>
      <x:c r="BG33" s="165"/>
      <x:c r="BH33" s="172" t="str">
        <x:f>IF(AY33="","",IF(BG33="","",IFERROR(BB33/BG33-1,0)))</x:f>
      </x:c>
      <x:c r="BI33" s="166"/>
      <x:c r="BJ33" s="172" t="str">
        <x:f>IF(AY33="","",IF(BI33="","",BI33-BH33*365/BK33))</x:f>
      </x:c>
      <x:c r="BK33" s="164" t="n">
        <x:v>38.00000000000067</x:v>
      </x:c>
      <x:c r="BL33" s="172" t="n">
        <x:f>IF(AY33="","",IFERROR(BD33*(BC33/BB33-1),0))</x:f>
        <x:v>0.00016602739726034876</x:v>
      </x:c>
      <x:c r="BM33" s="147" t="str">
        <x:v>SI69H</x:v>
      </x:c>
      <x:c r="BN33" s="147" t="str">
        <x:v>Silver future (regular)</x:v>
      </x:c>
      <x:c r="BO33" s="147" t="str">
        <x:v>Long</x:v>
      </x:c>
      <x:c r="BP33" s="167" t="n">
        <x:v>1.775</x:v>
      </x:c>
      <x:c r="BQ33" s="167" t="n">
        <x:v>1.8130000000000002</x:v>
      </x:c>
      <x:c r="BR33" s="166" t="n">
        <x:v>0.999999999999989</x:v>
      </x:c>
      <x:c r="BS33" s="171" t="n">
        <x:f>IF(BM33="","",IFERROR(F33*BR33/BP33,0))</x:f>
        <x:v>0.5801107165584479</x:v>
      </x:c>
      <x:c r="BT33" s="171" t="n">
        <x:f>IF(BM33="","",F33*ABS(BR33))</x:f>
        <x:v>1.029696521891245</x:v>
      </x:c>
      <x:c r="BU33" s="165" t="n">
        <x:v>1.855</x:v>
      </x:c>
      <x:c r="BV33" s="172" t="n">
        <x:f>IF(BM33="","",IF(BU33="","",IFERROR(BP33/BU33-1,0)))</x:f>
        <x:v>-0.043126684636118684</x:v>
      </x:c>
      <x:c r="BW33" s="166" t="n">
        <x:v>0.06060000000000001</x:v>
      </x:c>
      <x:c r="BX33" s="172" t="n">
        <x:f>IF(BM33="","",IF(BW33="","",BW33-BV33*365/BY33))</x:f>
        <x:v>0.4748431550574558</x:v>
      </x:c>
      <x:c r="BY33" s="164" t="n">
        <x:v>38</x:v>
      </x:c>
      <x:c r="BZ33" s="172" t="n">
        <x:f>IF(BM33="","",IFERROR(BR33*(BQ33/BP33-1),0))</x:f>
        <x:v>0.021408450704225354</x:v>
      </x:c>
      <x:c r="CA33" s="147" t="str">
        <x:v>SI69K</x:v>
      </x:c>
      <x:c r="CB33" s="147" t="str">
        <x:v>Silver future (regular)</x:v>
      </x:c>
      <x:c r="CC33" s="147" t="str">
        <x:v>Long</x:v>
      </x:c>
      <x:c r="CD33" s="167" t="n">
        <x:v>1.808</x:v>
      </x:c>
      <x:c r="CE33" s="167" t="n">
        <x:v>1.847</x:v>
      </x:c>
      <x:c r="CF33" s="166" t="n">
        <x:v>1.0818206854737636e-14</x:v>
      </x:c>
      <x:c r="CG33" s="171" t="n">
        <x:f>IF(CA33="","",IFERROR(F33*CF33/CD33,0))</x:f>
        <x:v>6.16121126738025e-15</x:v>
      </x:c>
      <x:c r="CH33" s="171" t="n">
        <x:f>IF(CA33="","",F33*ABS(CF33))</x:f>
        <x:v>1.1139469971423493e-14</x:v>
      </x:c>
      <x:c r="CI33" s="165" t="n">
        <x:v>1.855</x:v>
      </x:c>
      <x:c r="CJ33" s="172" t="n">
        <x:f>IF(CA33="","",IF(CI33="","",IFERROR(CD33/CI33-1,0)))</x:f>
        <x:v>-0.025336927223719607</x:v>
      </x:c>
      <x:c r="CK33" s="166" t="n">
        <x:v>0.06078791208791208</x:v>
      </x:c>
      <x:c r="CL33" s="172" t="n">
        <x:f>IF(CA33="","",IF(CK33="","",CK33-CJ33*365/CM33))</x:f>
        <x:v>0.15326769645448865</x:v>
      </x:c>
      <x:c r="CM33" s="164" t="n">
        <x:v>100</x:v>
      </x:c>
      <x:c r="CN33" s="172" t="n">
        <x:f>IF(CA33="","",IFERROR(CF33*(CE33/CD33-1),0))</x:f>
        <x:v>2.3335733812763726e-16</x:v>
      </x:c>
      <x:c r="CO33" s="147" t="str">
        <x:v>SI69N</x:v>
      </x:c>
      <x:c r="CP33" s="147" t="str">
        <x:v>Silver future (regular)</x:v>
      </x:c>
      <x:c r="CQ33" s="147" t="str">
        <x:v>Long</x:v>
      </x:c>
      <x:c r="CR33" s="167" t="n">
        <x:v>1.841</x:v>
      </x:c>
      <x:c r="CS33" s="167" t="n">
        <x:v>1.88</x:v>
      </x:c>
      <x:c r="CT33" s="166" t="n">
        <x:v>6.4941417892973525e-18</x:v>
      </x:c>
      <x:c r="CU33" s="171" t="n">
        <x:f>IF(CO33="","",IFERROR(F33*CT33/CR33,0))</x:f>
        <x:v>3.632262473171181e-18</x:v>
      </x:c>
      <x:c r="CV33" s="171" t="n">
        <x:f>IF(CO33="","",F33*ABS(CT33))</x:f>
        <x:v>6.686995213108144e-18</x:v>
      </x:c>
      <x:c r="CW33" s="165" t="n">
        <x:v>1.855</x:v>
      </x:c>
      <x:c r="CX33" s="172" t="n">
        <x:f>IF(CO33="","",IF(CW33="","",IFERROR(CR33/CW33-1,0)))</x:f>
        <x:v>-0.007547169811320753</x:v>
      </x:c>
      <x:c r="CY33" s="166" t="n">
        <x:v>0.06208241758241759</x:v>
      </x:c>
      <x:c r="CZ33" s="172" t="n">
        <x:f>IF(CO33="","",IF(CY33="","",CY33-CX33*365/DA33))</x:f>
        <x:v>0.07908684339187484</x:v>
      </x:c>
      <x:c r="DA33" s="164" t="n">
        <x:v>162</x:v>
      </x:c>
      <x:c r="DB33" s="172" t="n">
        <x:f>IF(CO33="","",IFERROR(CT33*(CS33/CR33-1),0))</x:f>
        <x:v>1.3757280270646216e-19</x:v>
      </x:c>
      <x:c r="DC33" s="147" t="str">
        <x:v>SI69U</x:v>
      </x:c>
      <x:c r="DD33" s="147" t="str">
        <x:v>Silver future (regular)</x:v>
      </x:c>
      <x:c r="DE33" s="147" t="str">
        <x:v>Long</x:v>
      </x:c>
      <x:c r="DF33" s="167" t="n">
        <x:v>1.875</x:v>
      </x:c>
      <x:c r="DG33" s="167" t="n">
        <x:v>1.915</x:v>
      </x:c>
      <x:c r="DH33" s="166" t="n">
        <x:v>2.0081621331997702e-19</x:v>
      </x:c>
      <x:c r="DI33" s="171" t="n">
        <x:f>IF(DC33="","",IFERROR(F33*DH33/DF33,0))</x:f>
        <x:v>1.1028253674397489e-19</x:v>
      </x:c>
      <x:c r="DJ33" s="171" t="n">
        <x:f>IF(DC33="","",F33*ABS(DH33))</x:f>
        <x:v>2.0677975639495292e-19</x:v>
      </x:c>
      <x:c r="DK33" s="165" t="n">
        <x:v>1.855</x:v>
      </x:c>
      <x:c r="DL33" s="172" t="n">
        <x:f>IF(DC33="","",IF(DK33="","",IFERROR(DF33/DK33-1,0)))</x:f>
        <x:v>0.010781671159029615</x:v>
      </x:c>
      <x:c r="DM33" s="166" t="n">
        <x:v>0.06281967213114753</x:v>
      </x:c>
      <x:c r="DN33" s="172" t="n">
        <x:f>IF(DC33="","",IF(DM33="","",DM33-DL33*365/DO33))</x:f>
        <x:v>0.04501283967392668</x:v>
      </x:c>
      <x:c r="DO33" s="164" t="n">
        <x:v>221</x:v>
      </x:c>
      <x:c r="DP33" s="172" t="n">
        <x:f>IF(DC33="","",IFERROR(DH33*(DG33/DF33-1),0))</x:f>
        <x:v>4.2840792174928615e-21</x:v>
      </x:c>
      <x:c r="DQ33" s="147" t="str">
        <x:v>SI69Z</x:v>
      </x:c>
      <x:c r="DR33" s="147" t="str">
        <x:v>Silver future (regular)</x:v>
      </x:c>
      <x:c r="DS33" s="147" t="str">
        <x:v>Long</x:v>
      </x:c>
      <x:c r="DT33" s="167" t="n">
        <x:v>1.925</x:v>
      </x:c>
      <x:c r="DU33" s="167" t="n">
        <x:v>1.966</x:v>
      </x:c>
      <x:c r="DV33" s="166" t="n">
        <x:v>9.921556209163602e-22</x:v>
      </x:c>
      <x:c r="DW33" s="171" t="n">
        <x:f>IF(DQ33="","",IFERROR(F33*DV33/DT33,0))</x:f>
        <x:v>5.307112685882784e-22</x:v>
      </x:c>
      <x:c r="DX33" s="171" t="n">
        <x:f>IF(DQ33="","",F33*ABS(DV33))</x:f>
        <x:v>1.021619192032436e-21</x:v>
      </x:c>
      <x:c r="DY33" s="165" t="n">
        <x:v>1.855</x:v>
      </x:c>
      <x:c r="DZ33" s="172" t="n">
        <x:f>IF(DQ33="","",IF(DY33="","",IFERROR(DT33/DY33-1,0)))</x:f>
        <x:v>0.037735849056603765</x:v>
      </x:c>
      <x:c r="EA33" s="166" t="n">
        <x:v>0.06359016393442624</x:v>
      </x:c>
      <x:c r="EB33" s="172" t="n">
        <x:f>IF(DQ33="","",IF(EA33="","",EA33-DZ33*365/EC33))</x:f>
        <x:v>0.019864497567250443</x:v>
      </x:c>
      <x:c r="EC33" s="164" t="n">
        <x:v>315</x:v>
      </x:c>
      <x:c r="ED33" s="172" t="n">
        <x:f>IF(DQ33="","",IFERROR(DV33*(DU33/DT33-1),0))</x:f>
        <x:v>2.113162621172493e-23</x:v>
      </x:c>
      <x:c r="EE33" s="147" t="str">
        <x:v>SI70F</x:v>
      </x:c>
      <x:c r="EF33" s="147" t="str">
        <x:v>Silver future (regular)</x:v>
      </x:c>
      <x:c r="EG33" s="147" t="str">
        <x:v>Long</x:v>
      </x:c>
      <x:c r="EH33" s="167" t="n">
        <x:v>1.943</x:v>
      </x:c>
      <x:c r="EI33" s="167" t="n">
        <x:v>1.985</x:v>
      </x:c>
      <x:c r="EJ33" s="166" t="n">
        <x:v>2.615823710193496e-22</x:v>
      </x:c>
      <x:c r="EK33" s="171" t="n">
        <x:f>IF(EE33="","",IFERROR(F33*EJ33/EH33,0))</x:f>
        <x:v>1.38626071861396e-22</x:v>
      </x:c>
      <x:c r="EL33" s="171" t="n">
        <x:f>IF(EE33="","",F33*ABS(EJ33))</x:f>
        <x:v>2.6935045762669245e-22</x:v>
      </x:c>
      <x:c r="EM33" s="165" t="n">
        <x:v>1.855</x:v>
      </x:c>
      <x:c r="EN33" s="172" t="n">
        <x:f>IF(EE33="","",IF(EM33="","",IFERROR(EH33/EM33-1,0)))</x:f>
        <x:v>0.047439353099730575</x:v>
      </x:c>
      <x:c r="EO33" s="166" t="n">
        <x:v>0.0638360655737705</x:v>
      </x:c>
      <x:c r="EP33" s="172" t="n">
        <x:f>IF(EE33="","",IF(EO33="","",EO33-EN33*365/EQ33))</x:f>
        <x:v>0.013646605047968594</x:v>
      </x:c>
      <x:c r="EQ33" s="164" t="n">
        <x:v>345</x:v>
      </x:c>
      <x:c r="ER33" s="172" t="n">
        <x:f>IF(EE33="","",IFERROR(EJ33*(EI33/EH33-1),0))</x:f>
        <x:v>5.6543796102998864e-24</x:v>
      </x:c>
      <x:c r="ES33" s="147" t="str">
        <x:v>SI70H</x:v>
      </x:c>
      <x:c r="ET33" s="147" t="str">
        <x:v>Silver future (regular)</x:v>
      </x:c>
      <x:c r="EU33" s="147" t="str">
        <x:v>Long</x:v>
      </x:c>
      <x:c r="EV33" s="167" t="n">
        <x:v>1.975</x:v>
      </x:c>
      <x:c r="EW33" s="167" t="n">
        <x:v>2.02</x:v>
      </x:c>
      <x:c r="EX33" s="166" t="n">
        <x:v>5.0669178098813545e-23</x:v>
      </x:c>
      <x:c r="EY33" s="171" t="n">
        <x:f>IF(ES33="","",IFERROR(F33*EX33/EV33,0))</x:f>
        <x:v>2.6417152635664268e-23</x:v>
      </x:c>
      <x:c r="EZ33" s="171" t="n">
        <x:f>IF(ES33="","",F33*ABS(EX33))</x:f>
        <x:v>5.217387645543693e-23</x:v>
      </x:c>
      <x:c r="FA33" s="165" t="n">
        <x:v>1.855</x:v>
      </x:c>
      <x:c r="FB33" s="172" t="n">
        <x:f>IF(ES33="","",IF(FA33="","",IFERROR(EV33/FA33-1,0)))</x:f>
        <x:v>0.06469002695417791</x:v>
      </x:c>
      <x:c r="FC33" s="166" t="n">
        <x:v>0.06489534246575343</x:v>
      </x:c>
      <x:c r="FD33" s="172" t="n">
        <x:f>IF(ES33="","",IF(FC33="","",FC33-FB33*365/FE33))</x:f>
        <x:v>0.006305119541994281</x:v>
      </x:c>
      <x:c r="FE33" s="164" t="n">
        <x:v>403</x:v>
      </x:c>
      <x:c r="FF33" s="172" t="n">
        <x:f>IF(ES33="","",IFERROR(EX33*(EW33/EV33-1),0))</x:f>
        <x:v>1.1544876022514428e-24</x:v>
      </x:c>
      <x:c r="FG33" s="147" t="str">
        <x:v>SI70K</x:v>
      </x:c>
      <x:c r="FH33" s="147" t="str">
        <x:v>Silver future (regular)</x:v>
      </x:c>
      <x:c r="FI33" s="147" t="str">
        <x:v>Long</x:v>
      </x:c>
      <x:c r="FJ33" s="167" t="n">
        <x:v>2.011</x:v>
      </x:c>
      <x:c r="FK33" s="167" t="n">
        <x:v>2.055</x:v>
      </x:c>
      <x:c r="FL33" s="166" t="n">
        <x:v>1.2403036924976144e-23</x:v>
      </x:c>
      <x:c r="FM33" s="171" t="n">
        <x:f>IF(FG33="","",IFERROR(F33*FL33/FJ33,0))</x:f>
        <x:v>6.350752850590134e-24</x:v>
      </x:c>
      <x:c r="FN33" s="171" t="n">
        <x:f>IF(FG33="","",F33*ABS(FL33))</x:f>
        <x:v>1.277136398253676e-23</x:v>
      </x:c>
      <x:c r="FO33" s="165" t="n">
        <x:v>1.855</x:v>
      </x:c>
      <x:c r="FP33" s="172" t="n">
        <x:f>IF(FG33="","",IF(FO33="","",IFERROR(FJ33/FO33-1,0)))</x:f>
        <x:v>0.08409703504043131</x:v>
      </x:c>
      <x:c r="FQ33" s="166" t="n">
        <x:v>0.06633260273972603</x:v>
      </x:c>
      <x:c r="FR33" s="172" t="n">
        <x:f>IF(FG33="","",IF(FQ33="","",FQ33-FP33*365/FS33))</x:f>
        <x:v>0.00017868508938674588</x:v>
      </x:c>
      <x:c r="FS33" s="164" t="n">
        <x:v>464</x:v>
      </x:c>
      <x:c r="FT33" s="172" t="n">
        <x:f>IF(FG33="","",IFERROR(FL33*(FK33/FJ33-1),0))</x:f>
        <x:v>2.7137425395273434e-25</x:v>
      </x:c>
    </x:row>
    <x:row r="34" ht="18" customHeight="1">
      <x:c r="A34" s="163" t="n">
        <x:v>25252</x:v>
      </x:c>
      <x:c r="B34" s="163" t="n">
        <x:v>25253</x:v>
      </x:c>
      <x:c r="C34" s="170" t="n">
        <x:f>B34-A34</x:f>
        <x:v>1</x:v>
      </x:c>
      <x:c r="D34" s="163" t="n">
        <x:v>25252</x:v>
      </x:c>
      <x:c r="E34" s="147" t="str">
        <x:v>positive</x:v>
      </x:c>
      <x:c r="F34" s="165" t="n">
        <x:v>1.0519116869539755</x:v>
      </x:c>
      <x:c r="G34" s="168" t="n">
        <x:v>0.013272709484707759</x:v>
      </x:c>
      <x:c r="H34" s="172" t="n">
        <x:f>SUM(AX34,BL34,BZ34,CN34,DB34,DP34,ED34,ER34,FF34,FT34)</x:f>
        <x:v>0.013272709484707775</x:v>
      </x:c>
      <x:c r="I34" s="174" t="n">
        <x:f>G34-H34</x:f>
        <x:v>-1.5612511283791264e-17</x:v>
      </x:c>
      <x:c r="J34" s="171" t="n">
        <x:f>F34*(1+H34)</x:f>
        <x:v>1.0658734051784846</x:v>
      </x:c>
      <x:c r="K34" s="169" t="n">
        <x:v>1.0658734051784846</x:v>
      </x:c>
      <x:c r="L34" s="175" t="n">
        <x:f>K34-J34</x:f>
        <x:v>0</x:v>
      </x:c>
      <x:c r="M34" s="167" t="n">
        <x:v>1.804</x:v>
      </x:c>
      <x:c r="N34" s="167" t="n">
        <x:v>1.829</x:v>
      </x:c>
      <x:c r="O34" s="172" t="n">
        <x:f>IFERROR(N34/M34-1,0)</x:f>
        <x:v>0.013858093126385862</x:v>
      </x:c>
      <x:c r="P34" s="171" t="n">
        <x:f>IFERROR(AD34/AH34,0)</x:f>
        <x:v>1.141709026084193</x:v>
      </x:c>
      <x:c r="Q34" s="171" t="n">
        <x:f>IFERROR(AE34/AI34,0)</x:f>
        <x:v>1.1410498235863709</x:v>
      </x:c>
      <x:c r="R34" s="172" t="n">
        <x:f>IFERROR((Q34-P34)/(P34+S34),0)</x:f>
        <x:v>-0.0005773822250341215</x:v>
      </x:c>
      <x:c r="S34" s="172" t="n">
        <x:f>IFERROR(AF34/AH34,0)</x:f>
        <x:v>0</x:v>
      </x:c>
      <x:c r="T34" s="172" t="n">
        <x:f>IFERROR(AG34/AI34,0)</x:f>
        <x:v>0</x:v>
      </x:c>
      <x:c r="U34" s="172" t="n">
        <x:f>IFERROR((T34-S34)/(P34+S34),0)</x:f>
        <x:v>0</x:v>
      </x:c>
      <x:c r="V34" s="172" t="n">
        <x:f>R34+U34</x:f>
        <x:v>-0.0005773822250341215</x:v>
      </x:c>
      <x:c r="W34" s="172" t="n">
        <x:f>(1+O34)*(1+V34)-1</x:f>
        <x:v>0.013272709484707601</x:v>
      </x:c>
      <x:c r="X34" s="174" t="n">
        <x:f>G34-W34</x:f>
        <x:v>1.5785983631388945e-16</x:v>
      </x:c>
      <x:c r="Y34" s="172" t="n">
        <x:f>AX34</x:f>
        <x:v>0.01271682304187941</x:v>
      </x:c>
      <x:c r="Z34" s="172" t="n">
        <x:f>BL34</x:f>
        <x:v>0.000013799636498280919</x:v>
      </x:c>
      <x:c r="AA34" s="172" t="n">
        <x:f>SUM(BZ34,CN34,DB34,DP34,ED34,ER34,FF34,FT34)</x:f>
        <x:v>0.000542086806330083</x:v>
      </x:c>
      <x:c r="AB34" s="172" t="n">
        <x:f>SUM(Y34:AA34)</x:f>
        <x:v>0.013272709484707775</x:v>
      </x:c>
      <x:c r="AC34" s="174" t="n">
        <x:f>G34-AB34</x:f>
        <x:v>-1.5612511283791264e-17</x:v>
      </x:c>
      <x:c r="AD34" s="169" t="n">
        <x:v>1.0519116869539755</x:v>
      </x:c>
      <x:c r="AE34" s="169" t="n">
        <x:v>1.0658734051784844</x:v>
      </x:c>
      <x:c r="AF34" s="169" t="n">
        <x:v>0</x:v>
      </x:c>
      <x:c r="AG34" s="169" t="n">
        <x:v>0</x:v>
      </x:c>
      <x:c r="AH34" s="171" t="n">
        <x:f>M34/$M$3</x:f>
        <x:v>0.9213483146067416</x:v>
      </x:c>
      <x:c r="AI34" s="171" t="n">
        <x:f>N34/$M$3</x:f>
        <x:v>0.9341164453524005</x:v>
      </x:c>
      <x:c r="AJ34" s="170" t="n">
        <x:f>IF(AK34&lt;&gt;"",1,0)+IF(AY34&lt;&gt;"",1,0)+IF(BM34&lt;&gt;"",1,0)+IF(CA34&lt;&gt;"",1,0)+IF(CO34&lt;&gt;"",1,0)+IF(DC34&lt;&gt;"",1,0)+IF(DQ34&lt;&gt;"",1,0)+IF(EE34&lt;&gt;"",1,0)+IF(ES34&lt;&gt;"",1,0)+IF(FG34&lt;&gt;"",1,0)</x:f>
        <x:v>3</x:v>
      </x:c>
      <x:c r="AK34" s="147" t="str">
        <x:v>Silver replicating holding (LBMA/SLV proxy)</x:v>
      </x:c>
      <x:c r="AL34" s="147" t="str">
        <x:v>Physical-backed proxy</x:v>
      </x:c>
      <x:c r="AM34" s="147" t="str">
        <x:v>Long</x:v>
      </x:c>
      <x:c r="AN34" s="167" t="n">
        <x:v>1.804</x:v>
      </x:c>
      <x:c r="AO34" s="167" t="n">
        <x:v>1.829</x:v>
      </x:c>
      <x:c r="AP34" s="166" t="n">
        <x:v>0.918099718343629</x:v>
      </x:c>
      <x:c r="AQ34" s="171" t="n">
        <x:f>IF(AK34="","",IFERROR(F34*AP34/AN34,0))</x:f>
        <x:v>0.53534358287961</x:v>
      </x:c>
      <x:c r="AR34" s="171" t="n">
        <x:f>IF(AK34="","",F34*ABS(AP34))</x:f>
        <x:v>0.9657598235148166</x:v>
      </x:c>
      <x:c r="AS34" s="165"/>
      <x:c r="AT34" s="172" t="str">
        <x:f>IF(AK34="","",IF(AS34="","",IFERROR(AN34/AS34-1,0)))</x:f>
      </x:c>
      <x:c r="AU34" s="166"/>
      <x:c r="AV34" s="172" t="str">
        <x:f>IF(AK34="","",IF(AU34="","",AU34-AT34*365/AW34))</x:f>
      </x:c>
      <x:c r="AW34" s="164"/>
      <x:c r="AX34" s="173" t="n">
        <x:f>IF(AK34="","",IFERROR(AP34*(AO34/AN34-1-'Parameters'!$C$6*C34/365),0))</x:f>
        <x:v>0.01271682304187941</x:v>
      </x:c>
      <x:c r="AY34" s="147" t="str">
        <x:v>Matched-maturity Treasury collateral</x:v>
      </x:c>
      <x:c r="AZ34" s="147" t="str">
        <x:v>Treasury</x:v>
      </x:c>
      <x:c r="BA34" s="147" t="str">
        <x:v>Long</x:v>
      </x:c>
      <x:c r="BB34" s="167" t="n">
        <x:v>100.79274238573545</x:v>
      </x:c>
      <x:c r="BC34" s="167" t="n">
        <x:v>100.80972527246621</x:v>
      </x:c>
      <x:c r="BD34" s="166" t="n">
        <x:v>0.08190028165637099</x:v>
      </x:c>
      <x:c r="BE34" s="171" t="n">
        <x:f>IF(AY34="","",IFERROR(F34*BD34/BB34,0))</x:f>
        <x:v>0.0008547427265095573</x:v>
      </x:c>
      <x:c r="BF34" s="171" t="n">
        <x:f>IF(AY34="","",F34*ABS(BD34))</x:f>
        <x:v>0.08615186343915894</x:v>
      </x:c>
      <x:c r="BG34" s="165"/>
      <x:c r="BH34" s="172" t="str">
        <x:f>IF(AY34="","",IF(BG34="","",IFERROR(BB34/BG34-1,0)))</x:f>
      </x:c>
      <x:c r="BI34" s="166"/>
      <x:c r="BJ34" s="172" t="str">
        <x:f>IF(AY34="","",IF(BI34="","",BI34-BH34*365/BK34))</x:f>
      </x:c>
      <x:c r="BK34" s="164" t="n">
        <x:v>37</x:v>
      </x:c>
      <x:c r="BL34" s="172" t="n">
        <x:f>IF(AY34="","",IFERROR(BD34*(BC34/BB34-1),0))</x:f>
        <x:v>0.000013799636498280919</x:v>
      </x:c>
      <x:c r="BM34" s="147" t="str">
        <x:v>SI69H</x:v>
      </x:c>
      <x:c r="BN34" s="147" t="str">
        <x:v>Silver future (regular)</x:v>
      </x:c>
      <x:c r="BO34" s="147" t="str">
        <x:v>Long</x:v>
      </x:c>
      <x:c r="BP34" s="167" t="n">
        <x:v>1.8130000000000002</x:v>
      </x:c>
      <x:c r="BQ34" s="167" t="n">
        <x:v>1.825</x:v>
      </x:c>
      <x:c r="BR34" s="166" t="n">
        <x:v>0.08190028165637099</x:v>
      </x:c>
      <x:c r="BS34" s="171" t="n">
        <x:f>IF(BM34="","",IFERROR(F34*BR34/BP34,0))</x:f>
        <x:v>0.04751895391018143</x:v>
      </x:c>
      <x:c r="BT34" s="171" t="n">
        <x:f>IF(BM34="","",F34*ABS(BR34))</x:f>
        <x:v>0.08615186343915894</x:v>
      </x:c>
      <x:c r="BU34" s="165" t="n">
        <x:v>1.804</x:v>
      </x:c>
      <x:c r="BV34" s="172" t="n">
        <x:f>IF(BM34="","",IF(BU34="","",IFERROR(BP34/BU34-1,0)))</x:f>
        <x:v>0.004988913525499017</x:v>
      </x:c>
      <x:c r="BW34" s="166" t="n">
        <x:v>0.061500000000000006</x:v>
      </x:c>
      <x:c r="BX34" s="172" t="n">
        <x:f>IF(BM34="","",IF(BW34="","",BW34-BV34*365/BY34))</x:f>
        <x:v>0.012285042248455648</x:v>
      </x:c>
      <x:c r="BY34" s="164" t="n">
        <x:v>37</x:v>
      </x:c>
      <x:c r="BZ34" s="172" t="n">
        <x:f>IF(BM34="","",IFERROR(BR34*(BQ34/BP34-1),0))</x:f>
        <x:v>0.000542086806330083</x:v>
      </x:c>
      <x:c r="CA34" s="147"/>
      <x:c r="CB34" s="147"/>
      <x:c r="CC34" s="147"/>
      <x:c r="CD34" s="167"/>
      <x:c r="CE34" s="167"/>
      <x:c r="CF34" s="166"/>
      <x:c r="CG34" s="171" t="str">
        <x:f>IF(CA34="","",IFERROR(F34*CF34/CD34,0))</x:f>
      </x:c>
      <x:c r="CH34" s="171" t="str">
        <x:f>IF(CA34="","",F34*ABS(CF34))</x:f>
      </x:c>
      <x:c r="CI34" s="165"/>
      <x:c r="CJ34" s="172" t="str">
        <x:f>IF(CA34="","",IF(CI34="","",IFERROR(CD34/CI34-1,0)))</x:f>
      </x:c>
      <x:c r="CK34" s="166"/>
      <x:c r="CL34" s="172" t="str">
        <x:f>IF(CA34="","",IF(CK34="","",CK34-CJ34*365/CM34))</x:f>
      </x:c>
      <x:c r="CM34" s="164"/>
      <x:c r="CN34" s="172" t="str">
        <x:f>IF(CA34="","",IFERROR(CF34*(CE34/CD34-1),0))</x:f>
      </x:c>
      <x:c r="CO34" s="147"/>
      <x:c r="CP34" s="147"/>
      <x:c r="CQ34" s="147"/>
      <x:c r="CR34" s="167"/>
      <x:c r="CS34" s="167"/>
      <x:c r="CT34" s="166"/>
      <x:c r="CU34" s="171" t="str">
        <x:f>IF(CO34="","",IFERROR(F34*CT34/CR34,0))</x:f>
      </x:c>
      <x:c r="CV34" s="171" t="str">
        <x:f>IF(CO34="","",F34*ABS(CT34))</x:f>
      </x:c>
      <x:c r="CW34" s="165"/>
      <x:c r="CX34" s="172" t="str">
        <x:f>IF(CO34="","",IF(CW34="","",IFERROR(CR34/CW34-1,0)))</x:f>
      </x:c>
      <x:c r="CY34" s="166"/>
      <x:c r="CZ34" s="172" t="str">
        <x:f>IF(CO34="","",IF(CY34="","",CY34-CX34*365/DA34))</x:f>
      </x:c>
      <x:c r="DA34" s="164"/>
      <x:c r="DB34" s="172" t="str">
        <x:f>IF(CO34="","",IFERROR(CT34*(CS34/CR34-1),0))</x:f>
      </x:c>
      <x:c r="DC34" s="147"/>
      <x:c r="DD34" s="147"/>
      <x:c r="DE34" s="147"/>
      <x:c r="DF34" s="167"/>
      <x:c r="DG34" s="167"/>
      <x:c r="DH34" s="166"/>
      <x:c r="DI34" s="171" t="str">
        <x:f>IF(DC34="","",IFERROR(F34*DH34/DF34,0))</x:f>
      </x:c>
      <x:c r="DJ34" s="171" t="str">
        <x:f>IF(DC34="","",F34*ABS(DH34))</x:f>
      </x:c>
      <x:c r="DK34" s="165"/>
      <x:c r="DL34" s="172" t="str">
        <x:f>IF(DC34="","",IF(DK34="","",IFERROR(DF34/DK34-1,0)))</x:f>
      </x:c>
      <x:c r="DM34" s="166"/>
      <x:c r="DN34" s="172" t="str">
        <x:f>IF(DC34="","",IF(DM34="","",DM34-DL34*365/DO34))</x:f>
      </x:c>
      <x:c r="DO34" s="164"/>
      <x:c r="DP34" s="172" t="str">
        <x:f>IF(DC34="","",IFERROR(DH34*(DG34/DF34-1),0))</x:f>
      </x:c>
      <x:c r="DQ34" s="147"/>
      <x:c r="DR34" s="147"/>
      <x:c r="DS34" s="147"/>
      <x:c r="DT34" s="167"/>
      <x:c r="DU34" s="167"/>
      <x:c r="DV34" s="166"/>
      <x:c r="DW34" s="171" t="str">
        <x:f>IF(DQ34="","",IFERROR(F34*DV34/DT34,0))</x:f>
      </x:c>
      <x:c r="DX34" s="171" t="str">
        <x:f>IF(DQ34="","",F34*ABS(DV34))</x:f>
      </x:c>
      <x:c r="DY34" s="165"/>
      <x:c r="DZ34" s="172" t="str">
        <x:f>IF(DQ34="","",IF(DY34="","",IFERROR(DT34/DY34-1,0)))</x:f>
      </x:c>
      <x:c r="EA34" s="166"/>
      <x:c r="EB34" s="172" t="str">
        <x:f>IF(DQ34="","",IF(EA34="","",EA34-DZ34*365/EC34))</x:f>
      </x:c>
      <x:c r="EC34" s="164"/>
      <x:c r="ED34" s="172" t="str">
        <x:f>IF(DQ34="","",IFERROR(DV34*(DU34/DT34-1),0))</x:f>
      </x:c>
      <x:c r="EE34" s="147"/>
      <x:c r="EF34" s="147"/>
      <x:c r="EG34" s="147"/>
      <x:c r="EH34" s="167"/>
      <x:c r="EI34" s="167"/>
      <x:c r="EJ34" s="166"/>
      <x:c r="EK34" s="171" t="str">
        <x:f>IF(EE34="","",IFERROR(F34*EJ34/EH34,0))</x:f>
      </x:c>
      <x:c r="EL34" s="171" t="str">
        <x:f>IF(EE34="","",F34*ABS(EJ34))</x:f>
      </x:c>
      <x:c r="EM34" s="165"/>
      <x:c r="EN34" s="172" t="str">
        <x:f>IF(EE34="","",IF(EM34="","",IFERROR(EH34/EM34-1,0)))</x:f>
      </x:c>
      <x:c r="EO34" s="166"/>
      <x:c r="EP34" s="172" t="str">
        <x:f>IF(EE34="","",IF(EO34="","",EO34-EN34*365/EQ34))</x:f>
      </x:c>
      <x:c r="EQ34" s="164"/>
      <x:c r="ER34" s="172" t="str">
        <x:f>IF(EE34="","",IFERROR(EJ34*(EI34/EH34-1),0))</x:f>
      </x:c>
      <x:c r="ES34" s="147"/>
      <x:c r="ET34" s="147"/>
      <x:c r="EU34" s="147"/>
      <x:c r="EV34" s="167"/>
      <x:c r="EW34" s="167"/>
      <x:c r="EX34" s="166"/>
      <x:c r="EY34" s="171" t="str">
        <x:f>IF(ES34="","",IFERROR(F34*EX34/EV34,0))</x:f>
      </x:c>
      <x:c r="EZ34" s="171" t="str">
        <x:f>IF(ES34="","",F34*ABS(EX34))</x:f>
      </x:c>
      <x:c r="FA34" s="165"/>
      <x:c r="FB34" s="172" t="str">
        <x:f>IF(ES34="","",IF(FA34="","",IFERROR(EV34/FA34-1,0)))</x:f>
      </x:c>
      <x:c r="FC34" s="166"/>
      <x:c r="FD34" s="172" t="str">
        <x:f>IF(ES34="","",IF(FC34="","",FC34-FB34*365/FE34))</x:f>
      </x:c>
      <x:c r="FE34" s="164"/>
      <x:c r="FF34" s="172" t="str">
        <x:f>IF(ES34="","",IFERROR(EX34*(EW34/EV34-1),0))</x:f>
      </x:c>
      <x:c r="FG34" s="147"/>
      <x:c r="FH34" s="147"/>
      <x:c r="FI34" s="147"/>
      <x:c r="FJ34" s="167"/>
      <x:c r="FK34" s="167"/>
      <x:c r="FL34" s="166"/>
      <x:c r="FM34" s="171" t="str">
        <x:f>IF(FG34="","",IFERROR(F34*FL34/FJ34,0))</x:f>
      </x:c>
      <x:c r="FN34" s="171" t="str">
        <x:f>IF(FG34="","",F34*ABS(FL34))</x:f>
      </x:c>
      <x:c r="FO34" s="165"/>
      <x:c r="FP34" s="172" t="str">
        <x:f>IF(FG34="","",IF(FO34="","",IFERROR(FJ34/FO34-1,0)))</x:f>
      </x:c>
      <x:c r="FQ34" s="166"/>
      <x:c r="FR34" s="172" t="str">
        <x:f>IF(FG34="","",IF(FQ34="","",FQ34-FP34*365/FS34))</x:f>
      </x:c>
      <x:c r="FS34" s="164"/>
      <x:c r="FT34" s="172" t="str">
        <x:f>IF(FG34="","",IFERROR(FL34*(FK34/FJ34-1),0))</x:f>
      </x:c>
    </x:row>
    <x:row r="35" ht="18" customHeight="1">
      <x:c r="A35" s="163" t="n">
        <x:v>25253</x:v>
      </x:c>
      <x:c r="B35" s="163" t="n">
        <x:v>25254</x:v>
      </x:c>
      <x:c r="C35" s="170" t="n">
        <x:f>B35-A35</x:f>
        <x:v>1</x:v>
      </x:c>
      <x:c r="D35" s="163" t="n">
        <x:v>25253</x:v>
      </x:c>
      <x:c r="E35" s="147" t="str">
        <x:v>positive</x:v>
      </x:c>
      <x:c r="F35" s="165" t="n">
        <x:v>1.0658734051784846</x:v>
      </x:c>
      <x:c r="G35" s="168" t="n">
        <x:v>0.003785701730541858</x:v>
      </x:c>
      <x:c r="H35" s="172" t="n">
        <x:f>SUM(AX35,BL35,BZ35,CN35,DB35,DP35,ED35,ER35,FF35,FT35)</x:f>
        <x:v>0.0037857017305419163</x:v>
      </x:c>
      <x:c r="I35" s="174" t="n">
        <x:f>G35-H35</x:f>
        <x:v>-5.811323644522304e-17</x:v>
      </x:c>
      <x:c r="J35" s="171" t="n">
        <x:f>F35*(1+H35)</x:f>
        <x:v>1.0699084839730073</x:v>
      </x:c>
      <x:c r="K35" s="169" t="n">
        <x:v>1.0699084839730073</x:v>
      </x:c>
      <x:c r="L35" s="175" t="n">
        <x:f>K35-J35</x:f>
        <x:v>0</x:v>
      </x:c>
      <x:c r="M35" s="167" t="n">
        <x:v>1.829</x:v>
      </x:c>
      <x:c r="N35" s="167" t="n">
        <x:v>1.843</x:v>
      </x:c>
      <x:c r="O35" s="172" t="n">
        <x:f>IFERROR(N35/M35-1,0)</x:f>
        <x:v>0.007654455986878084</x:v>
      </x:c>
      <x:c r="P35" s="171" t="n">
        <x:f>IFERROR(AD35/AH35,0)</x:f>
        <x:v>1.1410498235863709</x:v>
      </x:c>
      <x:c r="Q35" s="171" t="n">
        <x:f>IFERROR(AE35/AI35,0)</x:f>
        <x:v>1.1366689156913443</x:v>
      </x:c>
      <x:c r="R35" s="172" t="n">
        <x:f>IFERROR((Q35-P35)/(P35+S35),0)</x:f>
        <x:v>-0.003839365998284941</x:v>
      </x:c>
      <x:c r="S35" s="172" t="n">
        <x:f>IFERROR(AF35/AH35,0)</x:f>
        <x:v>0</x:v>
      </x:c>
      <x:c r="T35" s="172" t="n">
        <x:f>IFERROR(AG35/AI35,0)</x:f>
        <x:v>0</x:v>
      </x:c>
      <x:c r="U35" s="172" t="n">
        <x:f>IFERROR((T35-S35)/(P35+S35),0)</x:f>
        <x:v>0</x:v>
      </x:c>
      <x:c r="V35" s="172" t="n">
        <x:f>R35+U35</x:f>
        <x:v>-0.003839365998284941</x:v>
      </x:c>
      <x:c r="W35" s="172" t="n">
        <x:f>(1+O35)*(1+V35)-1</x:f>
        <x:v>0.003785701730541824</x:v>
      </x:c>
      <x:c r="X35" s="174" t="n">
        <x:f>G35-W35</x:f>
        <x:v>3.426078865054194e-17</x:v>
      </x:c>
      <x:c r="Y35" s="172" t="n">
        <x:f>AX35</x:f>
        <x:v>0.0033866853849357985</x:v>
      </x:c>
      <x:c r="Z35" s="172" t="n">
        <x:f>BL35</x:f>
        <x:v>0.00009372457391060696</x:v>
      </x:c>
      <x:c r="AA35" s="172" t="n">
        <x:f>SUM(BZ35,CN35,DB35,DP35,ED35,ER35,FF35,FT35)</x:f>
        <x:v>0.0003052917716955109</x:v>
      </x:c>
      <x:c r="AB35" s="172" t="n">
        <x:f>SUM(Y35:AA35)</x:f>
        <x:v>0.0037857017305419163</x:v>
      </x:c>
      <x:c r="AC35" s="174" t="n">
        <x:f>G35-AB35</x:f>
        <x:v>-5.811323644522304e-17</x:v>
      </x:c>
      <x:c r="AD35" s="169" t="n">
        <x:v>1.0658734051784844</x:v>
      </x:c>
      <x:c r="AE35" s="169" t="n">
        <x:v>1.069908483973007</x:v>
      </x:c>
      <x:c r="AF35" s="169" t="n">
        <x:v>0</x:v>
      </x:c>
      <x:c r="AG35" s="169" t="n">
        <x:v>0</x:v>
      </x:c>
      <x:c r="AH35" s="171" t="n">
        <x:f>M35/$M$3</x:f>
        <x:v>0.9341164453524005</x:v>
      </x:c>
      <x:c r="AI35" s="171" t="n">
        <x:f>N35/$M$3</x:f>
        <x:v>0.9412665985699694</x:v>
      </x:c>
      <x:c r="AJ35" s="170" t="n">
        <x:f>IF(AK35&lt;&gt;"",1,0)+IF(AY35&lt;&gt;"",1,0)+IF(BM35&lt;&gt;"",1,0)+IF(CA35&lt;&gt;"",1,0)+IF(CO35&lt;&gt;"",1,0)+IF(DC35&lt;&gt;"",1,0)+IF(DQ35&lt;&gt;"",1,0)+IF(EE35&lt;&gt;"",1,0)+IF(ES35&lt;&gt;"",1,0)+IF(FG35&lt;&gt;"",1,0)</x:f>
        <x:v>3</x:v>
      </x:c>
      <x:c r="AK35" s="147" t="str">
        <x:v>Silver replicating holding (LBMA/SLV proxy)</x:v>
      </x:c>
      <x:c r="AL35" s="147" t="str">
        <x:v>Physical-backed proxy</x:v>
      </x:c>
      <x:c r="AM35" s="147" t="str">
        <x:v>Long</x:v>
      </x:c>
      <x:c r="AN35" s="167" t="n">
        <x:v>1.829</x:v>
      </x:c>
      <x:c r="AO35" s="167" t="n">
        <x:v>1.843</x:v>
      </x:c>
      <x:c r="AP35" s="166" t="n">
        <x:v>0.44284251665553226</x:v>
      </x:c>
      <x:c r="AQ35" s="171" t="n">
        <x:f>IF(AK35="","",IFERROR(F35*AP35/AN35,0))</x:f>
        <x:v>0.2580722040379672</x:v>
      </x:c>
      <x:c r="AR35" s="171" t="n">
        <x:f>IF(AK35="","",F35*ABS(AP35))</x:f>
        <x:v>0.472014061185442</x:v>
      </x:c>
      <x:c r="AS35" s="165"/>
      <x:c r="AT35" s="172" t="str">
        <x:f>IF(AK35="","",IF(AS35="","",IFERROR(AN35/AS35-1,0)))</x:f>
      </x:c>
      <x:c r="AU35" s="166"/>
      <x:c r="AV35" s="172" t="str">
        <x:f>IF(AK35="","",IF(AU35="","",AU35-AT35*365/AW35))</x:f>
      </x:c>
      <x:c r="AW35" s="164"/>
      <x:c r="AX35" s="173" t="n">
        <x:f>IF(AK35="","",IFERROR(AP35*(AO35/AN35-1-'Parameters'!$C$6*C35/365),0))</x:f>
        <x:v>0.0033866853849357985</x:v>
      </x:c>
      <x:c r="AY35" s="147" t="str">
        <x:v>Matched-maturity Treasury collateral</x:v>
      </x:c>
      <x:c r="AZ35" s="147" t="str">
        <x:v>Treasury</x:v>
      </x:c>
      <x:c r="BA35" s="147" t="str">
        <x:v>Long</x:v>
      </x:c>
      <x:c r="BB35" s="167" t="n">
        <x:v>100.80972527246621</x:v>
      </x:c>
      <x:c r="BC35" s="167" t="n">
        <x:v>100.82668340159424</x:v>
      </x:c>
      <x:c r="BD35" s="166" t="n">
        <x:v>0.5571574833444677</x:v>
      </x:c>
      <x:c r="BE35" s="171" t="n">
        <x:f>IF(AY35="","",IFERROR(F35*BD35/BB35,0))</x:f>
        <x:v>0.005890893387398619</x:v>
      </x:c>
      <x:c r="BF35" s="171" t="n">
        <x:f>IF(AY35="","",F35*ABS(BD35))</x:f>
        <x:v>0.5938593439930426</x:v>
      </x:c>
      <x:c r="BG35" s="165"/>
      <x:c r="BH35" s="172" t="str">
        <x:f>IF(AY35="","",IF(BG35="","",IFERROR(BB35/BG35-1,0)))</x:f>
      </x:c>
      <x:c r="BI35" s="166"/>
      <x:c r="BJ35" s="172" t="str">
        <x:f>IF(AY35="","",IF(BI35="","",BI35-BH35*365/BK35))</x:f>
      </x:c>
      <x:c r="BK35" s="164" t="n">
        <x:v>36</x:v>
      </x:c>
      <x:c r="BL35" s="172" t="n">
        <x:f>IF(AY35="","",IFERROR(BD35*(BC35/BB35-1),0))</x:f>
        <x:v>0.00009372457391060696</x:v>
      </x:c>
      <x:c r="BM35" s="147" t="str">
        <x:v>SI69H</x:v>
      </x:c>
      <x:c r="BN35" s="147" t="str">
        <x:v>Silver future (regular)</x:v>
      </x:c>
      <x:c r="BO35" s="147" t="str">
        <x:v>Long</x:v>
      </x:c>
      <x:c r="BP35" s="167" t="n">
        <x:v>1.825</x:v>
      </x:c>
      <x:c r="BQ35" s="167" t="n">
        <x:v>1.8259999999999998</x:v>
      </x:c>
      <x:c r="BR35" s="166" t="n">
        <x:v>0.5571574833444677</x:v>
      </x:c>
      <x:c r="BS35" s="171" t="n">
        <x:f>IF(BM35="","",IFERROR(F35*BR35/BP35,0))</x:f>
        <x:v>0.32540238027016033</x:v>
      </x:c>
      <x:c r="BT35" s="171" t="n">
        <x:f>IF(BM35="","",F35*ABS(BR35))</x:f>
        <x:v>0.5938593439930426</x:v>
      </x:c>
      <x:c r="BU35" s="165" t="n">
        <x:v>1.829</x:v>
      </x:c>
      <x:c r="BV35" s="172" t="n">
        <x:f>IF(BM35="","",IF(BU35="","",IFERROR(BP35/BU35-1,0)))</x:f>
        <x:v>-0.002186987424822262</x:v>
      </x:c>
      <x:c r="BW35" s="166" t="n">
        <x:v>0.0614</x:v>
      </x:c>
      <x:c r="BX35" s="172" t="n">
        <x:f>IF(BM35="","",IF(BW35="","",BW35-BV35*365/BY35))</x:f>
        <x:v>0.08357362250167016</x:v>
      </x:c>
      <x:c r="BY35" s="164" t="n">
        <x:v>36</x:v>
      </x:c>
      <x:c r="BZ35" s="172" t="n">
        <x:f>IF(BM35="","",IFERROR(BR35*(BQ35/BP35-1),0))</x:f>
        <x:v>0.0003052917716955109</x:v>
      </x:c>
      <x:c r="CA35" s="147"/>
      <x:c r="CB35" s="147"/>
      <x:c r="CC35" s="147"/>
      <x:c r="CD35" s="167"/>
      <x:c r="CE35" s="167"/>
      <x:c r="CF35" s="166"/>
      <x:c r="CG35" s="171" t="str">
        <x:f>IF(CA35="","",IFERROR(F35*CF35/CD35,0))</x:f>
      </x:c>
      <x:c r="CH35" s="171" t="str">
        <x:f>IF(CA35="","",F35*ABS(CF35))</x:f>
      </x:c>
      <x:c r="CI35" s="165"/>
      <x:c r="CJ35" s="172" t="str">
        <x:f>IF(CA35="","",IF(CI35="","",IFERROR(CD35/CI35-1,0)))</x:f>
      </x:c>
      <x:c r="CK35" s="166"/>
      <x:c r="CL35" s="172" t="str">
        <x:f>IF(CA35="","",IF(CK35="","",CK35-CJ35*365/CM35))</x:f>
      </x:c>
      <x:c r="CM35" s="164"/>
      <x:c r="CN35" s="172" t="str">
        <x:f>IF(CA35="","",IFERROR(CF35*(CE35/CD35-1),0))</x:f>
      </x:c>
      <x:c r="CO35" s="147"/>
      <x:c r="CP35" s="147"/>
      <x:c r="CQ35" s="147"/>
      <x:c r="CR35" s="167"/>
      <x:c r="CS35" s="167"/>
      <x:c r="CT35" s="166"/>
      <x:c r="CU35" s="171" t="str">
        <x:f>IF(CO35="","",IFERROR(F35*CT35/CR35,0))</x:f>
      </x:c>
      <x:c r="CV35" s="171" t="str">
        <x:f>IF(CO35="","",F35*ABS(CT35))</x:f>
      </x:c>
      <x:c r="CW35" s="165"/>
      <x:c r="CX35" s="172" t="str">
        <x:f>IF(CO35="","",IF(CW35="","",IFERROR(CR35/CW35-1,0)))</x:f>
      </x:c>
      <x:c r="CY35" s="166"/>
      <x:c r="CZ35" s="172" t="str">
        <x:f>IF(CO35="","",IF(CY35="","",CY35-CX35*365/DA35))</x:f>
      </x:c>
      <x:c r="DA35" s="164"/>
      <x:c r="DB35" s="172" t="str">
        <x:f>IF(CO35="","",IFERROR(CT35*(CS35/CR35-1),0))</x:f>
      </x:c>
      <x:c r="DC35" s="147"/>
      <x:c r="DD35" s="147"/>
      <x:c r="DE35" s="147"/>
      <x:c r="DF35" s="167"/>
      <x:c r="DG35" s="167"/>
      <x:c r="DH35" s="166"/>
      <x:c r="DI35" s="171" t="str">
        <x:f>IF(DC35="","",IFERROR(F35*DH35/DF35,0))</x:f>
      </x:c>
      <x:c r="DJ35" s="171" t="str">
        <x:f>IF(DC35="","",F35*ABS(DH35))</x:f>
      </x:c>
      <x:c r="DK35" s="165"/>
      <x:c r="DL35" s="172" t="str">
        <x:f>IF(DC35="","",IF(DK35="","",IFERROR(DF35/DK35-1,0)))</x:f>
      </x:c>
      <x:c r="DM35" s="166"/>
      <x:c r="DN35" s="172" t="str">
        <x:f>IF(DC35="","",IF(DM35="","",DM35-DL35*365/DO35))</x:f>
      </x:c>
      <x:c r="DO35" s="164"/>
      <x:c r="DP35" s="172" t="str">
        <x:f>IF(DC35="","",IFERROR(DH35*(DG35/DF35-1),0))</x:f>
      </x:c>
      <x:c r="DQ35" s="147"/>
      <x:c r="DR35" s="147"/>
      <x:c r="DS35" s="147"/>
      <x:c r="DT35" s="167"/>
      <x:c r="DU35" s="167"/>
      <x:c r="DV35" s="166"/>
      <x:c r="DW35" s="171" t="str">
        <x:f>IF(DQ35="","",IFERROR(F35*DV35/DT35,0))</x:f>
      </x:c>
      <x:c r="DX35" s="171" t="str">
        <x:f>IF(DQ35="","",F35*ABS(DV35))</x:f>
      </x:c>
      <x:c r="DY35" s="165"/>
      <x:c r="DZ35" s="172" t="str">
        <x:f>IF(DQ35="","",IF(DY35="","",IFERROR(DT35/DY35-1,0)))</x:f>
      </x:c>
      <x:c r="EA35" s="166"/>
      <x:c r="EB35" s="172" t="str">
        <x:f>IF(DQ35="","",IF(EA35="","",EA35-DZ35*365/EC35))</x:f>
      </x:c>
      <x:c r="EC35" s="164"/>
      <x:c r="ED35" s="172" t="str">
        <x:f>IF(DQ35="","",IFERROR(DV35*(DU35/DT35-1),0))</x:f>
      </x:c>
      <x:c r="EE35" s="147"/>
      <x:c r="EF35" s="147"/>
      <x:c r="EG35" s="147"/>
      <x:c r="EH35" s="167"/>
      <x:c r="EI35" s="167"/>
      <x:c r="EJ35" s="166"/>
      <x:c r="EK35" s="171" t="str">
        <x:f>IF(EE35="","",IFERROR(F35*EJ35/EH35,0))</x:f>
      </x:c>
      <x:c r="EL35" s="171" t="str">
        <x:f>IF(EE35="","",F35*ABS(EJ35))</x:f>
      </x:c>
      <x:c r="EM35" s="165"/>
      <x:c r="EN35" s="172" t="str">
        <x:f>IF(EE35="","",IF(EM35="","",IFERROR(EH35/EM35-1,0)))</x:f>
      </x:c>
      <x:c r="EO35" s="166"/>
      <x:c r="EP35" s="172" t="str">
        <x:f>IF(EE35="","",IF(EO35="","",EO35-EN35*365/EQ35))</x:f>
      </x:c>
      <x:c r="EQ35" s="164"/>
      <x:c r="ER35" s="172" t="str">
        <x:f>IF(EE35="","",IFERROR(EJ35*(EI35/EH35-1),0))</x:f>
      </x:c>
      <x:c r="ES35" s="147"/>
      <x:c r="ET35" s="147"/>
      <x:c r="EU35" s="147"/>
      <x:c r="EV35" s="167"/>
      <x:c r="EW35" s="167"/>
      <x:c r="EX35" s="166"/>
      <x:c r="EY35" s="171" t="str">
        <x:f>IF(ES35="","",IFERROR(F35*EX35/EV35,0))</x:f>
      </x:c>
      <x:c r="EZ35" s="171" t="str">
        <x:f>IF(ES35="","",F35*ABS(EX35))</x:f>
      </x:c>
      <x:c r="FA35" s="165"/>
      <x:c r="FB35" s="172" t="str">
        <x:f>IF(ES35="","",IF(FA35="","",IFERROR(EV35/FA35-1,0)))</x:f>
      </x:c>
      <x:c r="FC35" s="166"/>
      <x:c r="FD35" s="172" t="str">
        <x:f>IF(ES35="","",IF(FC35="","",FC35-FB35*365/FE35))</x:f>
      </x:c>
      <x:c r="FE35" s="164"/>
      <x:c r="FF35" s="172" t="str">
        <x:f>IF(ES35="","",IFERROR(EX35*(EW35/EV35-1),0))</x:f>
      </x:c>
      <x:c r="FG35" s="147"/>
      <x:c r="FH35" s="147"/>
      <x:c r="FI35" s="147"/>
      <x:c r="FJ35" s="167"/>
      <x:c r="FK35" s="167"/>
      <x:c r="FL35" s="166"/>
      <x:c r="FM35" s="171" t="str">
        <x:f>IF(FG35="","",IFERROR(F35*FL35/FJ35,0))</x:f>
      </x:c>
      <x:c r="FN35" s="171" t="str">
        <x:f>IF(FG35="","",F35*ABS(FL35))</x:f>
      </x:c>
      <x:c r="FO35" s="165"/>
      <x:c r="FP35" s="172" t="str">
        <x:f>IF(FG35="","",IF(FO35="","",IFERROR(FJ35/FO35-1,0)))</x:f>
      </x:c>
      <x:c r="FQ35" s="166"/>
      <x:c r="FR35" s="172" t="str">
        <x:f>IF(FG35="","",IF(FQ35="","",FQ35-FP35*365/FS35))</x:f>
      </x:c>
      <x:c r="FS35" s="164"/>
      <x:c r="FT35" s="172" t="str">
        <x:f>IF(FG35="","",IFERROR(FL35*(FK35/FJ35-1),0))</x:f>
      </x:c>
    </x:row>
    <x:row r="36" ht="18" customHeight="1">
      <x:c r="A36" s="163" t="n">
        <x:v>25254</x:v>
      </x:c>
      <x:c r="B36" s="163" t="n">
        <x:v>25258</x:v>
      </x:c>
      <x:c r="C36" s="170" t="n">
        <x:f>B36-A36</x:f>
        <x:v>4</x:v>
      </x:c>
      <x:c r="D36" s="163" t="n">
        <x:v>25254</x:v>
      </x:c>
      <x:c r="E36" s="147" t="str">
        <x:v>positive</x:v>
      </x:c>
      <x:c r="F36" s="165" t="n">
        <x:v>1.0699084839730073</x:v>
      </x:c>
      <x:c r="G36" s="168" t="n">
        <x:v>-0.025621760566550057</x:v>
      </x:c>
      <x:c r="H36" s="172" t="n">
        <x:f>SUM(AX36,BL36,BZ36,CN36,DB36,DP36,ED36,ER36,FF36,FT36)</x:f>
        <x:v>-0.025621760566550078</x:v>
      </x:c>
      <x:c r="I36" s="174" t="n">
        <x:f>G36-H36</x:f>
        <x:v>2.0816681711721685e-17</x:v>
      </x:c>
      <x:c r="J36" s="171" t="n">
        <x:f>F36*(1+H36)</x:f>
        <x:v>1.0424955449685303</x:v>
      </x:c>
      <x:c r="K36" s="169" t="n">
        <x:v>1.0424955449685303</x:v>
      </x:c>
      <x:c r="L36" s="175" t="n">
        <x:f>K36-J36</x:f>
        <x:v>0</x:v>
      </x:c>
      <x:c r="M36" s="167" t="n">
        <x:v>1.843</x:v>
      </x:c>
      <x:c r="N36" s="167" t="n">
        <x:v>1.833</x:v>
      </x:c>
      <x:c r="O36" s="172" t="n">
        <x:f>IFERROR(N36/M36-1,0)</x:f>
        <x:v>-0.005425935973955465</x:v>
      </x:c>
      <x:c r="P36" s="171" t="n">
        <x:f>IFERROR(AD36/AH36,0)</x:f>
        <x:v>1.1366689156913443</x:v>
      </x:c>
      <x:c r="Q36" s="171" t="n">
        <x:f>IFERROR(AE36/AI36,0)</x:f>
        <x:v>1.1135877125195754</x:v>
      </x:c>
      <x:c r="R36" s="172" t="n">
        <x:f>IFERROR((Q36-P36)/(P36+S36),0)</x:f>
        <x:v>-0.020306003668386086</x:v>
      </x:c>
      <x:c r="S36" s="172" t="n">
        <x:f>IFERROR(AF36/AH36,0)</x:f>
        <x:v>0</x:v>
      </x:c>
      <x:c r="T36" s="172" t="n">
        <x:f>IFERROR(AG36/AI36,0)</x:f>
        <x:v>0</x:v>
      </x:c>
      <x:c r="U36" s="172" t="n">
        <x:f>IFERROR((T36-S36)/(P36+S36),0)</x:f>
        <x:v>0</x:v>
      </x:c>
      <x:c r="V36" s="172" t="n">
        <x:f>R36+U36</x:f>
        <x:v>-0.020306003668386086</x:v>
      </x:c>
      <x:c r="W36" s="172" t="n">
        <x:f>(1+O36)*(1+V36)-1</x:f>
        <x:v>-0.025621760566549967</x:v>
      </x:c>
      <x:c r="X36" s="174" t="n">
        <x:f>G36-W36</x:f>
        <x:v>-9.020562075079397e-17</x:v>
      </x:c>
      <x:c r="Y36" s="172" t="str">
        <x:f>AX36</x:f>
      </x:c>
      <x:c r="Z36" s="172" t="n">
        <x:f>BL36</x:f>
        <x:v>0.0006652054794520357</x:v>
      </x:c>
      <x:c r="AA36" s="172" t="n">
        <x:f>SUM(BZ36,CN36,DB36,DP36,ED36,ER36,FF36,FT36)</x:f>
        <x:v>-0.026286966046002114</x:v>
      </x:c>
      <x:c r="AB36" s="172" t="n">
        <x:f>SUM(Y36:AA36)</x:f>
        <x:v>-0.025621760566550078</x:v>
      </x:c>
      <x:c r="AC36" s="174" t="n">
        <x:f>G36-AB36</x:f>
        <x:v>2.0816681711721685e-17</x:v>
      </x:c>
      <x:c r="AD36" s="169" t="n">
        <x:v>1.069908483973007</x:v>
      </x:c>
      <x:c r="AE36" s="169" t="n">
        <x:v>1.04249554496853</x:v>
      </x:c>
      <x:c r="AF36" s="169" t="n">
        <x:v>0</x:v>
      </x:c>
      <x:c r="AG36" s="169" t="n">
        <x:v>0</x:v>
      </x:c>
      <x:c r="AH36" s="171" t="n">
        <x:f>M36/$M$3</x:f>
        <x:v>0.9412665985699694</x:v>
      </x:c>
      <x:c r="AI36" s="171" t="n">
        <x:f>N36/$M$3</x:f>
        <x:v>0.9361593462717058</x:v>
      </x:c>
      <x:c r="AJ36" s="170" t="n">
        <x:f>IF(AK36&lt;&gt;"",1,0)+IF(AY36&lt;&gt;"",1,0)+IF(BM36&lt;&gt;"",1,0)+IF(CA36&lt;&gt;"",1,0)+IF(CO36&lt;&gt;"",1,0)+IF(DC36&lt;&gt;"",1,0)+IF(DQ36&lt;&gt;"",1,0)+IF(EE36&lt;&gt;"",1,0)+IF(ES36&lt;&gt;"",1,0)+IF(FG36&lt;&gt;"",1,0)</x:f>
        <x:v>2</x:v>
      </x:c>
      <x:c r="AK36" s="147"/>
      <x:c r="AL36" s="147"/>
      <x:c r="AM36" s="147"/>
      <x:c r="AN36" s="167"/>
      <x:c r="AO36" s="167"/>
      <x:c r="AP36" s="166"/>
      <x:c r="AQ36" s="171" t="str">
        <x:f>IF(AK36="","",IFERROR(F36*AP36/AN36,0))</x:f>
      </x:c>
      <x:c r="AR36" s="171" t="str">
        <x:f>IF(AK36="","",F36*ABS(AP36))</x:f>
      </x:c>
      <x:c r="AS36" s="165"/>
      <x:c r="AT36" s="172" t="str">
        <x:f>IF(AK36="","",IF(AS36="","",IFERROR(AN36/AS36-1,0)))</x:f>
      </x:c>
      <x:c r="AU36" s="166"/>
      <x:c r="AV36" s="172" t="str">
        <x:f>IF(AK36="","",IF(AU36="","",AU36-AT36*365/AW36))</x:f>
      </x:c>
      <x:c r="AW36" s="164"/>
      <x:c r="AX36" s="173" t="str">
        <x:f>IF(AK36="","",IFERROR(AP36*(AO36/AN36-1),0))</x:f>
      </x:c>
      <x:c r="AY36" s="147" t="str">
        <x:v>Matched-maturity Treasury collateral</x:v>
      </x:c>
      <x:c r="AZ36" s="147" t="str">
        <x:v>Treasury</x:v>
      </x:c>
      <x:c r="BA36" s="147" t="str">
        <x:v>Long</x:v>
      </x:c>
      <x:c r="BB36" s="167" t="n">
        <x:v>100.82668340159424</x:v>
      </x:c>
      <x:c r="BC36" s="167" t="n">
        <x:v>100.89375386386796</x:v>
      </x:c>
      <x:c r="BD36" s="166" t="n">
        <x:v>1</x:v>
      </x:c>
      <x:c r="BE36" s="171" t="n">
        <x:f>IF(AY36="","",IFERROR(F36*BD36/BB36,0))</x:f>
        <x:v>0.010611362467528019</x:v>
      </x:c>
      <x:c r="BF36" s="171" t="n">
        <x:f>IF(AY36="","",F36*ABS(BD36))</x:f>
        <x:v>1.0699084839730073</x:v>
      </x:c>
      <x:c r="BG36" s="165"/>
      <x:c r="BH36" s="172" t="str">
        <x:f>IF(AY36="","",IF(BG36="","",IFERROR(BB36/BG36-1,0)))</x:f>
      </x:c>
      <x:c r="BI36" s="166"/>
      <x:c r="BJ36" s="172" t="str">
        <x:f>IF(AY36="","",IF(BI36="","",BI36-BH36*365/BK36))</x:f>
      </x:c>
      <x:c r="BK36" s="164" t="n">
        <x:v>35</x:v>
      </x:c>
      <x:c r="BL36" s="172" t="n">
        <x:f>IF(AY36="","",IFERROR(BD36*(BC36/BB36-1),0))</x:f>
        <x:v>0.0006652054794520357</x:v>
      </x:c>
      <x:c r="BM36" s="147" t="str">
        <x:v>SI69H</x:v>
      </x:c>
      <x:c r="BN36" s="147" t="str">
        <x:v>Silver future (regular)</x:v>
      </x:c>
      <x:c r="BO36" s="147" t="str">
        <x:v>Long</x:v>
      </x:c>
      <x:c r="BP36" s="167" t="n">
        <x:v>1.8259999999999998</x:v>
      </x:c>
      <x:c r="BQ36" s="167" t="n">
        <x:v>1.778</x:v>
      </x:c>
      <x:c r="BR36" s="166" t="n">
        <x:v>1</x:v>
      </x:c>
      <x:c r="BS36" s="171" t="n">
        <x:f>IF(BM36="","",IFERROR(F36*BR36/BP36,0))</x:f>
        <x:v>0.5859301664693359</x:v>
      </x:c>
      <x:c r="BT36" s="171" t="n">
        <x:f>IF(BM36="","",F36*ABS(BR36))</x:f>
        <x:v>1.0699084839730073</x:v>
      </x:c>
      <x:c r="BU36" s="165" t="n">
        <x:v>1.843</x:v>
      </x:c>
      <x:c r="BV36" s="172" t="n">
        <x:f>IF(BM36="","",IF(BU36="","",IFERROR(BP36/BU36-1,0)))</x:f>
        <x:v>-0.009224091155724423</x:v>
      </x:c>
      <x:c r="BW36" s="166" t="n">
        <x:v>0.0607</x:v>
      </x:c>
      <x:c r="BX36" s="172" t="n">
        <x:f>IF(BM36="","",IF(BW36="","",BW36-BV36*365/BY36))</x:f>
        <x:v>0.15689409348112612</x:v>
      </x:c>
      <x:c r="BY36" s="164" t="n">
        <x:v>35</x:v>
      </x:c>
      <x:c r="BZ36" s="172" t="n">
        <x:f>IF(BM36="","",IFERROR(BR36*(BQ36/BP36-1),0))</x:f>
        <x:v>-0.026286966046002114</x:v>
      </x:c>
      <x:c r="CA36" s="147"/>
      <x:c r="CB36" s="147"/>
      <x:c r="CC36" s="147"/>
      <x:c r="CD36" s="167"/>
      <x:c r="CE36" s="167"/>
      <x:c r="CF36" s="166"/>
      <x:c r="CG36" s="171" t="str">
        <x:f>IF(CA36="","",IFERROR(F36*CF36/CD36,0))</x:f>
      </x:c>
      <x:c r="CH36" s="171" t="str">
        <x:f>IF(CA36="","",F36*ABS(CF36))</x:f>
      </x:c>
      <x:c r="CI36" s="165"/>
      <x:c r="CJ36" s="172" t="str">
        <x:f>IF(CA36="","",IF(CI36="","",IFERROR(CD36/CI36-1,0)))</x:f>
      </x:c>
      <x:c r="CK36" s="166"/>
      <x:c r="CL36" s="172" t="str">
        <x:f>IF(CA36="","",IF(CK36="","",CK36-CJ36*365/CM36))</x:f>
      </x:c>
      <x:c r="CM36" s="164"/>
      <x:c r="CN36" s="172" t="str">
        <x:f>IF(CA36="","",IFERROR(CF36*(CE36/CD36-1),0))</x:f>
      </x:c>
      <x:c r="CO36" s="147"/>
      <x:c r="CP36" s="147"/>
      <x:c r="CQ36" s="147"/>
      <x:c r="CR36" s="167"/>
      <x:c r="CS36" s="167"/>
      <x:c r="CT36" s="166"/>
      <x:c r="CU36" s="171" t="str">
        <x:f>IF(CO36="","",IFERROR(F36*CT36/CR36,0))</x:f>
      </x:c>
      <x:c r="CV36" s="171" t="str">
        <x:f>IF(CO36="","",F36*ABS(CT36))</x:f>
      </x:c>
      <x:c r="CW36" s="165"/>
      <x:c r="CX36" s="172" t="str">
        <x:f>IF(CO36="","",IF(CW36="","",IFERROR(CR36/CW36-1,0)))</x:f>
      </x:c>
      <x:c r="CY36" s="166"/>
      <x:c r="CZ36" s="172" t="str">
        <x:f>IF(CO36="","",IF(CY36="","",CY36-CX36*365/DA36))</x:f>
      </x:c>
      <x:c r="DA36" s="164"/>
      <x:c r="DB36" s="172" t="str">
        <x:f>IF(CO36="","",IFERROR(CT36*(CS36/CR36-1),0))</x:f>
      </x:c>
      <x:c r="DC36" s="147"/>
      <x:c r="DD36" s="147"/>
      <x:c r="DE36" s="147"/>
      <x:c r="DF36" s="167"/>
      <x:c r="DG36" s="167"/>
      <x:c r="DH36" s="166"/>
      <x:c r="DI36" s="171" t="str">
        <x:f>IF(DC36="","",IFERROR(F36*DH36/DF36,0))</x:f>
      </x:c>
      <x:c r="DJ36" s="171" t="str">
        <x:f>IF(DC36="","",F36*ABS(DH36))</x:f>
      </x:c>
      <x:c r="DK36" s="165"/>
      <x:c r="DL36" s="172" t="str">
        <x:f>IF(DC36="","",IF(DK36="","",IFERROR(DF36/DK36-1,0)))</x:f>
      </x:c>
      <x:c r="DM36" s="166"/>
      <x:c r="DN36" s="172" t="str">
        <x:f>IF(DC36="","",IF(DM36="","",DM36-DL36*365/DO36))</x:f>
      </x:c>
      <x:c r="DO36" s="164"/>
      <x:c r="DP36" s="172" t="str">
        <x:f>IF(DC36="","",IFERROR(DH36*(DG36/DF36-1),0))</x:f>
      </x:c>
      <x:c r="DQ36" s="147"/>
      <x:c r="DR36" s="147"/>
      <x:c r="DS36" s="147"/>
      <x:c r="DT36" s="167"/>
      <x:c r="DU36" s="167"/>
      <x:c r="DV36" s="166"/>
      <x:c r="DW36" s="171" t="str">
        <x:f>IF(DQ36="","",IFERROR(F36*DV36/DT36,0))</x:f>
      </x:c>
      <x:c r="DX36" s="171" t="str">
        <x:f>IF(DQ36="","",F36*ABS(DV36))</x:f>
      </x:c>
      <x:c r="DY36" s="165"/>
      <x:c r="DZ36" s="172" t="str">
        <x:f>IF(DQ36="","",IF(DY36="","",IFERROR(DT36/DY36-1,0)))</x:f>
      </x:c>
      <x:c r="EA36" s="166"/>
      <x:c r="EB36" s="172" t="str">
        <x:f>IF(DQ36="","",IF(EA36="","",EA36-DZ36*365/EC36))</x:f>
      </x:c>
      <x:c r="EC36" s="164"/>
      <x:c r="ED36" s="172" t="str">
        <x:f>IF(DQ36="","",IFERROR(DV36*(DU36/DT36-1),0))</x:f>
      </x:c>
      <x:c r="EE36" s="147"/>
      <x:c r="EF36" s="147"/>
      <x:c r="EG36" s="147"/>
      <x:c r="EH36" s="167"/>
      <x:c r="EI36" s="167"/>
      <x:c r="EJ36" s="166"/>
      <x:c r="EK36" s="171" t="str">
        <x:f>IF(EE36="","",IFERROR(F36*EJ36/EH36,0))</x:f>
      </x:c>
      <x:c r="EL36" s="171" t="str">
        <x:f>IF(EE36="","",F36*ABS(EJ36))</x:f>
      </x:c>
      <x:c r="EM36" s="165"/>
      <x:c r="EN36" s="172" t="str">
        <x:f>IF(EE36="","",IF(EM36="","",IFERROR(EH36/EM36-1,0)))</x:f>
      </x:c>
      <x:c r="EO36" s="166"/>
      <x:c r="EP36" s="172" t="str">
        <x:f>IF(EE36="","",IF(EO36="","",EO36-EN36*365/EQ36))</x:f>
      </x:c>
      <x:c r="EQ36" s="164"/>
      <x:c r="ER36" s="172" t="str">
        <x:f>IF(EE36="","",IFERROR(EJ36*(EI36/EH36-1),0))</x:f>
      </x:c>
      <x:c r="ES36" s="147"/>
      <x:c r="ET36" s="147"/>
      <x:c r="EU36" s="147"/>
      <x:c r="EV36" s="167"/>
      <x:c r="EW36" s="167"/>
      <x:c r="EX36" s="166"/>
      <x:c r="EY36" s="171" t="str">
        <x:f>IF(ES36="","",IFERROR(F36*EX36/EV36,0))</x:f>
      </x:c>
      <x:c r="EZ36" s="171" t="str">
        <x:f>IF(ES36="","",F36*ABS(EX36))</x:f>
      </x:c>
      <x:c r="FA36" s="165"/>
      <x:c r="FB36" s="172" t="str">
        <x:f>IF(ES36="","",IF(FA36="","",IFERROR(EV36/FA36-1,0)))</x:f>
      </x:c>
      <x:c r="FC36" s="166"/>
      <x:c r="FD36" s="172" t="str">
        <x:f>IF(ES36="","",IF(FC36="","",FC36-FB36*365/FE36))</x:f>
      </x:c>
      <x:c r="FE36" s="164"/>
      <x:c r="FF36" s="172" t="str">
        <x:f>IF(ES36="","",IFERROR(EX36*(EW36/EV36-1),0))</x:f>
      </x:c>
      <x:c r="FG36" s="147"/>
      <x:c r="FH36" s="147"/>
      <x:c r="FI36" s="147"/>
      <x:c r="FJ36" s="167"/>
      <x:c r="FK36" s="167"/>
      <x:c r="FL36" s="166"/>
      <x:c r="FM36" s="171" t="str">
        <x:f>IF(FG36="","",IFERROR(F36*FL36/FJ36,0))</x:f>
      </x:c>
      <x:c r="FN36" s="171" t="str">
        <x:f>IF(FG36="","",F36*ABS(FL36))</x:f>
      </x:c>
      <x:c r="FO36" s="165"/>
      <x:c r="FP36" s="172" t="str">
        <x:f>IF(FG36="","",IF(FO36="","",IFERROR(FJ36/FO36-1,0)))</x:f>
      </x:c>
      <x:c r="FQ36" s="166"/>
      <x:c r="FR36" s="172" t="str">
        <x:f>IF(FG36="","",IF(FQ36="","",FQ36-FP36*365/FS36))</x:f>
      </x:c>
      <x:c r="FS36" s="164"/>
      <x:c r="FT36" s="172" t="str">
        <x:f>IF(FG36="","",IFERROR(FL36*(FK36/FJ36-1),0))</x:f>
      </x:c>
    </x:row>
    <x:row r="37" ht="18" customHeight="1">
      <x:c r="A37" s="163" t="n">
        <x:v>25258</x:v>
      </x:c>
      <x:c r="B37" s="163" t="n">
        <x:v>25259</x:v>
      </x:c>
      <x:c r="C37" s="170" t="n">
        <x:f>B37-A37</x:f>
        <x:v>1</x:v>
      </x:c>
      <x:c r="D37" s="163" t="n">
        <x:v>25258</x:v>
      </x:c>
      <x:c r="E37" s="147" t="str">
        <x:v>positive</x:v>
      </x:c>
      <x:c r="F37" s="165" t="n">
        <x:v>1.0424955449685303</x:v>
      </x:c>
      <x:c r="G37" s="168" t="n">
        <x:v>-0.004335054008659853</x:v>
      </x:c>
      <x:c r="H37" s="172" t="n">
        <x:f>SUM(AX37,BL37,BZ37,CN37,DB37,DP37,ED37,ER37,FF37,FT37)</x:f>
        <x:v>-0.0043350540086598555</x:v>
      </x:c>
      <x:c r="I37" s="174" t="n">
        <x:f>G37-H37</x:f>
        <x:v>2.6020852139652106e-18</x:v>
      </x:c>
      <x:c r="J37" s="171" t="n">
        <x:f>F37*(1+H37)</x:f>
        <x:v>1.0379762704773043</x:v>
      </x:c>
      <x:c r="K37" s="169" t="n">
        <x:v>1.0379762704773043</x:v>
      </x:c>
      <x:c r="L37" s="175" t="n">
        <x:f>K37-J37</x:f>
        <x:v>0</x:v>
      </x:c>
      <x:c r="M37" s="167" t="n">
        <x:v>1.833</x:v>
      </x:c>
      <x:c r="N37" s="167" t="n">
        <x:v>1.803</x:v>
      </x:c>
      <x:c r="O37" s="172" t="n">
        <x:f>IFERROR(N37/M37-1,0)</x:f>
        <x:v>-0.016366612111292977</x:v>
      </x:c>
      <x:c r="P37" s="171" t="n">
        <x:f>IFERROR(AD37/AH37,0)</x:f>
        <x:v>1.1135877125195754</x:v>
      </x:c>
      <x:c r="Q37" s="171" t="n">
        <x:f>IFERROR(AE37/AI37,0)</x:f>
        <x:v>1.127208839486723</x:v>
      </x:c>
      <x:c r="R37" s="172" t="n">
        <x:f>IFERROR((Q37-P37)/(P37+S37),0)</x:f>
        <x:v>0.012231750417152817</x:v>
      </x:c>
      <x:c r="S37" s="172" t="n">
        <x:f>IFERROR(AF37/AH37,0)</x:f>
        <x:v>0</x:v>
      </x:c>
      <x:c r="T37" s="172" t="n">
        <x:f>IFERROR(AG37/AI37,0)</x:f>
        <x:v>0</x:v>
      </x:c>
      <x:c r="U37" s="172" t="n">
        <x:f>IFERROR((T37-S37)/(P37+S37),0)</x:f>
        <x:v>0</x:v>
      </x:c>
      <x:c r="V37" s="172" t="n">
        <x:f>R37+U37</x:f>
        <x:v>0.012231750417152817</x:v>
      </x:c>
      <x:c r="W37" s="172" t="n">
        <x:f>(1+O37)*(1+V37)-1</x:f>
        <x:v>-0.0043350540086599665</x:v>
      </x:c>
      <x:c r="X37" s="174" t="n">
        <x:f>G37-W37</x:f>
        <x:v>1.1362438767648086e-16</x:v>
      </x:c>
      <x:c r="Y37" s="172" t="str">
        <x:f>AX37</x:f>
      </x:c>
      <x:c r="Z37" s="172" t="n">
        <x:f>BL37</x:f>
        <x:v>0.00016438356164383272</x:v>
      </x:c>
      <x:c r="AA37" s="172" t="n">
        <x:f>SUM(BZ37,CN37,DB37,DP37,ED37,ER37,FF37,FT37)</x:f>
        <x:v>-0.004499437570303688</x:v>
      </x:c>
      <x:c r="AB37" s="172" t="n">
        <x:f>SUM(Y37:AA37)</x:f>
        <x:v>-0.0043350540086598555</x:v>
      </x:c>
      <x:c r="AC37" s="174" t="n">
        <x:f>G37-AB37</x:f>
        <x:v>2.6020852139652106e-18</x:v>
      </x:c>
      <x:c r="AD37" s="169" t="n">
        <x:v>1.04249554496853</x:v>
      </x:c>
      <x:c r="AE37" s="169" t="n">
        <x:v>1.0379762704773041</x:v>
      </x:c>
      <x:c r="AF37" s="169" t="n">
        <x:v>0</x:v>
      </x:c>
      <x:c r="AG37" s="169" t="n">
        <x:v>0</x:v>
      </x:c>
      <x:c r="AH37" s="171" t="n">
        <x:f>M37/$M$3</x:f>
        <x:v>0.9361593462717058</x:v>
      </x:c>
      <x:c r="AI37" s="171" t="n">
        <x:f>N37/$M$3</x:f>
        <x:v>0.9208375893769152</x:v>
      </x:c>
      <x:c r="AJ37" s="170" t="n">
        <x:f>IF(AK37&lt;&gt;"",1,0)+IF(AY37&lt;&gt;"",1,0)+IF(BM37&lt;&gt;"",1,0)+IF(CA37&lt;&gt;"",1,0)+IF(CO37&lt;&gt;"",1,0)+IF(DC37&lt;&gt;"",1,0)+IF(DQ37&lt;&gt;"",1,0)+IF(EE37&lt;&gt;"",1,0)+IF(ES37&lt;&gt;"",1,0)+IF(FG37&lt;&gt;"",1,0)</x:f>
        <x:v>2</x:v>
      </x:c>
      <x:c r="AK37" s="147"/>
      <x:c r="AL37" s="147"/>
      <x:c r="AM37" s="147"/>
      <x:c r="AN37" s="167"/>
      <x:c r="AO37" s="167"/>
      <x:c r="AP37" s="166"/>
      <x:c r="AQ37" s="171" t="str">
        <x:f>IF(AK37="","",IFERROR(F37*AP37/AN37,0))</x:f>
      </x:c>
      <x:c r="AR37" s="171" t="str">
        <x:f>IF(AK37="","",F37*ABS(AP37))</x:f>
      </x:c>
      <x:c r="AS37" s="165"/>
      <x:c r="AT37" s="172" t="str">
        <x:f>IF(AK37="","",IF(AS37="","",IFERROR(AN37/AS37-1,0)))</x:f>
      </x:c>
      <x:c r="AU37" s="166"/>
      <x:c r="AV37" s="172" t="str">
        <x:f>IF(AK37="","",IF(AU37="","",AU37-AT37*365/AW37))</x:f>
      </x:c>
      <x:c r="AW37" s="164"/>
      <x:c r="AX37" s="173" t="str">
        <x:f>IF(AK37="","",IFERROR(AP37*(AO37/AN37-1),0))</x:f>
      </x:c>
      <x:c r="AY37" s="147" t="str">
        <x:v>Matched-maturity Treasury collateral</x:v>
      </x:c>
      <x:c r="AZ37" s="147" t="str">
        <x:v>Treasury</x:v>
      </x:c>
      <x:c r="BA37" s="147" t="str">
        <x:v>Long</x:v>
      </x:c>
      <x:c r="BB37" s="167" t="n">
        <x:v>100.89375386386796</x:v>
      </x:c>
      <x:c r="BC37" s="167" t="n">
        <x:v>100.9103391384757</x:v>
      </x:c>
      <x:c r="BD37" s="166" t="n">
        <x:v>1</x:v>
      </x:c>
      <x:c r="BE37" s="171" t="n">
        <x:f>IF(AY37="","",IFERROR(F37*BD37/BB37,0))</x:f>
        <x:v>0.010332607372059217</x:v>
      </x:c>
      <x:c r="BF37" s="171" t="n">
        <x:f>IF(AY37="","",F37*ABS(BD37))</x:f>
        <x:v>1.0424955449685303</x:v>
      </x:c>
      <x:c r="BG37" s="165"/>
      <x:c r="BH37" s="172" t="str">
        <x:f>IF(AY37="","",IF(BG37="","",IFERROR(BB37/BG37-1,0)))</x:f>
      </x:c>
      <x:c r="BI37" s="166"/>
      <x:c r="BJ37" s="172" t="str">
        <x:f>IF(AY37="","",IF(BI37="","",BI37-BH37*365/BK37))</x:f>
      </x:c>
      <x:c r="BK37" s="164" t="n">
        <x:v>31</x:v>
      </x:c>
      <x:c r="BL37" s="172" t="n">
        <x:f>IF(AY37="","",IFERROR(BD37*(BC37/BB37-1),0))</x:f>
        <x:v>0.00016438356164383272</x:v>
      </x:c>
      <x:c r="BM37" s="147" t="str">
        <x:v>SI69H</x:v>
      </x:c>
      <x:c r="BN37" s="147" t="str">
        <x:v>Silver future (regular)</x:v>
      </x:c>
      <x:c r="BO37" s="147" t="str">
        <x:v>Long</x:v>
      </x:c>
      <x:c r="BP37" s="167" t="n">
        <x:v>1.778</x:v>
      </x:c>
      <x:c r="BQ37" s="167" t="n">
        <x:v>1.77</x:v>
      </x:c>
      <x:c r="BR37" s="166" t="n">
        <x:v>1</x:v>
      </x:c>
      <x:c r="BS37" s="171" t="n">
        <x:f>IF(BM37="","",IFERROR(F37*BR37/BP37,0))</x:f>
        <x:v>0.5863304527382059</x:v>
      </x:c>
      <x:c r="BT37" s="171" t="n">
        <x:f>IF(BM37="","",F37*ABS(BR37))</x:f>
        <x:v>1.0424955449685303</x:v>
      </x:c>
      <x:c r="BU37" s="165" t="n">
        <x:v>1.833</x:v>
      </x:c>
      <x:c r="BV37" s="172" t="n">
        <x:f>IF(BM37="","",IF(BU37="","",IFERROR(BP37/BU37-1,0)))</x:f>
        <x:v>-0.03000545553737044</x:v>
      </x:c>
      <x:c r="BW37" s="166" t="n">
        <x:v>0.06</x:v>
      </x:c>
      <x:c r="BX37" s="172" t="n">
        <x:f>IF(BM37="","",IF(BW37="","",BW37-BV37*365/BY37))</x:f>
        <x:v>0.41329004100452293</x:v>
      </x:c>
      <x:c r="BY37" s="164" t="n">
        <x:v>31</x:v>
      </x:c>
      <x:c r="BZ37" s="172" t="n">
        <x:f>IF(BM37="","",IFERROR(BR37*(BQ37/BP37-1),0))</x:f>
        <x:v>-0.004499437570303688</x:v>
      </x:c>
      <x:c r="CA37" s="147"/>
      <x:c r="CB37" s="147"/>
      <x:c r="CC37" s="147"/>
      <x:c r="CD37" s="167"/>
      <x:c r="CE37" s="167"/>
      <x:c r="CF37" s="166"/>
      <x:c r="CG37" s="171" t="str">
        <x:f>IF(CA37="","",IFERROR(F37*CF37/CD37,0))</x:f>
      </x:c>
      <x:c r="CH37" s="171" t="str">
        <x:f>IF(CA37="","",F37*ABS(CF37))</x:f>
      </x:c>
      <x:c r="CI37" s="165"/>
      <x:c r="CJ37" s="172" t="str">
        <x:f>IF(CA37="","",IF(CI37="","",IFERROR(CD37/CI37-1,0)))</x:f>
      </x:c>
      <x:c r="CK37" s="166"/>
      <x:c r="CL37" s="172" t="str">
        <x:f>IF(CA37="","",IF(CK37="","",CK37-CJ37*365/CM37))</x:f>
      </x:c>
      <x:c r="CM37" s="164"/>
      <x:c r="CN37" s="172" t="str">
        <x:f>IF(CA37="","",IFERROR(CF37*(CE37/CD37-1),0))</x:f>
      </x:c>
      <x:c r="CO37" s="147"/>
      <x:c r="CP37" s="147"/>
      <x:c r="CQ37" s="147"/>
      <x:c r="CR37" s="167"/>
      <x:c r="CS37" s="167"/>
      <x:c r="CT37" s="166"/>
      <x:c r="CU37" s="171" t="str">
        <x:f>IF(CO37="","",IFERROR(F37*CT37/CR37,0))</x:f>
      </x:c>
      <x:c r="CV37" s="171" t="str">
        <x:f>IF(CO37="","",F37*ABS(CT37))</x:f>
      </x:c>
      <x:c r="CW37" s="165"/>
      <x:c r="CX37" s="172" t="str">
        <x:f>IF(CO37="","",IF(CW37="","",IFERROR(CR37/CW37-1,0)))</x:f>
      </x:c>
      <x:c r="CY37" s="166"/>
      <x:c r="CZ37" s="172" t="str">
        <x:f>IF(CO37="","",IF(CY37="","",CY37-CX37*365/DA37))</x:f>
      </x:c>
      <x:c r="DA37" s="164"/>
      <x:c r="DB37" s="172" t="str">
        <x:f>IF(CO37="","",IFERROR(CT37*(CS37/CR37-1),0))</x:f>
      </x:c>
      <x:c r="DC37" s="147"/>
      <x:c r="DD37" s="147"/>
      <x:c r="DE37" s="147"/>
      <x:c r="DF37" s="167"/>
      <x:c r="DG37" s="167"/>
      <x:c r="DH37" s="166"/>
      <x:c r="DI37" s="171" t="str">
        <x:f>IF(DC37="","",IFERROR(F37*DH37/DF37,0))</x:f>
      </x:c>
      <x:c r="DJ37" s="171" t="str">
        <x:f>IF(DC37="","",F37*ABS(DH37))</x:f>
      </x:c>
      <x:c r="DK37" s="165"/>
      <x:c r="DL37" s="172" t="str">
        <x:f>IF(DC37="","",IF(DK37="","",IFERROR(DF37/DK37-1,0)))</x:f>
      </x:c>
      <x:c r="DM37" s="166"/>
      <x:c r="DN37" s="172" t="str">
        <x:f>IF(DC37="","",IF(DM37="","",DM37-DL37*365/DO37))</x:f>
      </x:c>
      <x:c r="DO37" s="164"/>
      <x:c r="DP37" s="172" t="str">
        <x:f>IF(DC37="","",IFERROR(DH37*(DG37/DF37-1),0))</x:f>
      </x:c>
      <x:c r="DQ37" s="147"/>
      <x:c r="DR37" s="147"/>
      <x:c r="DS37" s="147"/>
      <x:c r="DT37" s="167"/>
      <x:c r="DU37" s="167"/>
      <x:c r="DV37" s="166"/>
      <x:c r="DW37" s="171" t="str">
        <x:f>IF(DQ37="","",IFERROR(F37*DV37/DT37,0))</x:f>
      </x:c>
      <x:c r="DX37" s="171" t="str">
        <x:f>IF(DQ37="","",F37*ABS(DV37))</x:f>
      </x:c>
      <x:c r="DY37" s="165"/>
      <x:c r="DZ37" s="172" t="str">
        <x:f>IF(DQ37="","",IF(DY37="","",IFERROR(DT37/DY37-1,0)))</x:f>
      </x:c>
      <x:c r="EA37" s="166"/>
      <x:c r="EB37" s="172" t="str">
        <x:f>IF(DQ37="","",IF(EA37="","",EA37-DZ37*365/EC37))</x:f>
      </x:c>
      <x:c r="EC37" s="164"/>
      <x:c r="ED37" s="172" t="str">
        <x:f>IF(DQ37="","",IFERROR(DV37*(DU37/DT37-1),0))</x:f>
      </x:c>
      <x:c r="EE37" s="147"/>
      <x:c r="EF37" s="147"/>
      <x:c r="EG37" s="147"/>
      <x:c r="EH37" s="167"/>
      <x:c r="EI37" s="167"/>
      <x:c r="EJ37" s="166"/>
      <x:c r="EK37" s="171" t="str">
        <x:f>IF(EE37="","",IFERROR(F37*EJ37/EH37,0))</x:f>
      </x:c>
      <x:c r="EL37" s="171" t="str">
        <x:f>IF(EE37="","",F37*ABS(EJ37))</x:f>
      </x:c>
      <x:c r="EM37" s="165"/>
      <x:c r="EN37" s="172" t="str">
        <x:f>IF(EE37="","",IF(EM37="","",IFERROR(EH37/EM37-1,0)))</x:f>
      </x:c>
      <x:c r="EO37" s="166"/>
      <x:c r="EP37" s="172" t="str">
        <x:f>IF(EE37="","",IF(EO37="","",EO37-EN37*365/EQ37))</x:f>
      </x:c>
      <x:c r="EQ37" s="164"/>
      <x:c r="ER37" s="172" t="str">
        <x:f>IF(EE37="","",IFERROR(EJ37*(EI37/EH37-1),0))</x:f>
      </x:c>
      <x:c r="ES37" s="147"/>
      <x:c r="ET37" s="147"/>
      <x:c r="EU37" s="147"/>
      <x:c r="EV37" s="167"/>
      <x:c r="EW37" s="167"/>
      <x:c r="EX37" s="166"/>
      <x:c r="EY37" s="171" t="str">
        <x:f>IF(ES37="","",IFERROR(F37*EX37/EV37,0))</x:f>
      </x:c>
      <x:c r="EZ37" s="171" t="str">
        <x:f>IF(ES37="","",F37*ABS(EX37))</x:f>
      </x:c>
      <x:c r="FA37" s="165"/>
      <x:c r="FB37" s="172" t="str">
        <x:f>IF(ES37="","",IF(FA37="","",IFERROR(EV37/FA37-1,0)))</x:f>
      </x:c>
      <x:c r="FC37" s="166"/>
      <x:c r="FD37" s="172" t="str">
        <x:f>IF(ES37="","",IF(FC37="","",FC37-FB37*365/FE37))</x:f>
      </x:c>
      <x:c r="FE37" s="164"/>
      <x:c r="FF37" s="172" t="str">
        <x:f>IF(ES37="","",IFERROR(EX37*(EW37/EV37-1),0))</x:f>
      </x:c>
      <x:c r="FG37" s="147"/>
      <x:c r="FH37" s="147"/>
      <x:c r="FI37" s="147"/>
      <x:c r="FJ37" s="167"/>
      <x:c r="FK37" s="167"/>
      <x:c r="FL37" s="166"/>
      <x:c r="FM37" s="171" t="str">
        <x:f>IF(FG37="","",IFERROR(F37*FL37/FJ37,0))</x:f>
      </x:c>
      <x:c r="FN37" s="171" t="str">
        <x:f>IF(FG37="","",F37*ABS(FL37))</x:f>
      </x:c>
      <x:c r="FO37" s="165"/>
      <x:c r="FP37" s="172" t="str">
        <x:f>IF(FG37="","",IF(FO37="","",IFERROR(FJ37/FO37-1,0)))</x:f>
      </x:c>
      <x:c r="FQ37" s="166"/>
      <x:c r="FR37" s="172" t="str">
        <x:f>IF(FG37="","",IF(FQ37="","",FQ37-FP37*365/FS37))</x:f>
      </x:c>
      <x:c r="FS37" s="164"/>
      <x:c r="FT37" s="172" t="str">
        <x:f>IF(FG37="","",IFERROR(FL37*(FK37/FJ37-1),0))</x:f>
      </x:c>
    </x:row>
    <x:row r="38" ht="18" customHeight="1">
      <x:c r="A38" s="163" t="n">
        <x:v>25259</x:v>
      </x:c>
      <x:c r="B38" s="163" t="n">
        <x:v>25260</x:v>
      </x:c>
      <x:c r="C38" s="170" t="n">
        <x:f>B38-A38</x:f>
        <x:v>1</x:v>
      </x:c>
      <x:c r="D38" s="163" t="n">
        <x:v>25259</x:v>
      </x:c>
      <x:c r="E38" s="147" t="str">
        <x:v>positive</x:v>
      </x:c>
      <x:c r="F38" s="165" t="n">
        <x:v>1.0379762704773043</x:v>
      </x:c>
      <x:c r="G38" s="168" t="n">
        <x:v>0.019940860614503394</x:v>
      </x:c>
      <x:c r="H38" s="172" t="n">
        <x:f>SUM(AX38,BL38,BZ38,CN38,DB38,DP38,ED38,ER38,FF38,FT38)</x:f>
        <x:v>0.01994086061450351</x:v>
      </x:c>
      <x:c r="I38" s="174" t="n">
        <x:f>G38-H38</x:f>
        <x:v>-1.1449174941446927e-16</x:v>
      </x:c>
      <x:c r="J38" s="171" t="n">
        <x:f>F38*(1+H38)</x:f>
        <x:v>1.0586744106080546</x:v>
      </x:c>
      <x:c r="K38" s="169" t="n">
        <x:v>1.0586744106080543</x:v>
      </x:c>
      <x:c r="L38" s="175" t="n">
        <x:f>K38-J38</x:f>
        <x:v>-2.220446049250313e-16</x:v>
      </x:c>
      <x:c r="M38" s="167" t="n">
        <x:v>1.803</x:v>
      </x:c>
      <x:c r="N38" s="167" t="n">
        <x:v>1.799</x:v>
      </x:c>
      <x:c r="O38" s="172" t="n">
        <x:f>IFERROR(N38/M38-1,0)</x:f>
        <x:v>-0.002218524681087075</x:v>
      </x:c>
      <x:c r="P38" s="171" t="n">
        <x:f>IFERROR(AD38/AH38,0)</x:f>
        <x:v>1.127208839486723</x:v>
      </x:c>
      <x:c r="Q38" s="171" t="n">
        <x:f>IFERROR(AE38/AI38,0)</x:f>
        <x:v>1.152242632557293</x:v>
      </x:c>
      <x:c r="R38" s="172" t="n">
        <x:f>IFERROR((Q38-P38)/(P38+S38),0)</x:f>
        <x:v>0.022208655746497833</x:v>
      </x:c>
      <x:c r="S38" s="172" t="n">
        <x:f>IFERROR(AF38/AH38,0)</x:f>
        <x:v>0</x:v>
      </x:c>
      <x:c r="T38" s="172" t="n">
        <x:f>IFERROR(AG38/AI38,0)</x:f>
        <x:v>0</x:v>
      </x:c>
      <x:c r="U38" s="172" t="n">
        <x:f>IFERROR((T38-S38)/(P38+S38),0)</x:f>
        <x:v>0</x:v>
      </x:c>
      <x:c r="V38" s="172" t="n">
        <x:f>R38+U38</x:f>
        <x:v>0.022208655746497833</x:v>
      </x:c>
      <x:c r="W38" s="172" t="n">
        <x:f>(1+O38)*(1+V38)-1</x:f>
        <x:v>0.019940860614503286</x:v>
      </x:c>
      <x:c r="X38" s="174" t="n">
        <x:f>G38-W38</x:f>
        <x:v>1.0755285551056204e-16</x:v>
      </x:c>
      <x:c r="Y38" s="172" t="str">
        <x:f>AX38</x:f>
      </x:c>
      <x:c r="Z38" s="172" t="n">
        <x:f>BL38</x:f>
        <x:v>0.00016684931506860678</x:v>
      </x:c>
      <x:c r="AA38" s="172" t="n">
        <x:f>SUM(BZ38,CN38,DB38,DP38,ED38,ER38,FF38,FT38)</x:f>
        <x:v>0.0197740112994349</x:v>
      </x:c>
      <x:c r="AB38" s="172" t="n">
        <x:f>SUM(Y38:AA38)</x:f>
        <x:v>0.01994086061450351</x:v>
      </x:c>
      <x:c r="AC38" s="174" t="n">
        <x:f>G38-AB38</x:f>
        <x:v>-1.1449174941446927e-16</x:v>
      </x:c>
      <x:c r="AD38" s="169" t="n">
        <x:v>1.0379762704773041</x:v>
      </x:c>
      <x:c r="AE38" s="169" t="n">
        <x:v>1.0586744106080541</x:v>
      </x:c>
      <x:c r="AF38" s="169" t="n">
        <x:v>0</x:v>
      </x:c>
      <x:c r="AG38" s="169" t="n">
        <x:v>0</x:v>
      </x:c>
      <x:c r="AH38" s="171" t="n">
        <x:f>M38/$M$3</x:f>
        <x:v>0.9208375893769152</x:v>
      </x:c>
      <x:c r="AI38" s="171" t="n">
        <x:f>N38/$M$3</x:f>
        <x:v>0.9187946884576098</x:v>
      </x:c>
      <x:c r="AJ38" s="170" t="n">
        <x:f>IF(AK38&lt;&gt;"",1,0)+IF(AY38&lt;&gt;"",1,0)+IF(BM38&lt;&gt;"",1,0)+IF(CA38&lt;&gt;"",1,0)+IF(CO38&lt;&gt;"",1,0)+IF(DC38&lt;&gt;"",1,0)+IF(DQ38&lt;&gt;"",1,0)+IF(EE38&lt;&gt;"",1,0)+IF(ES38&lt;&gt;"",1,0)+IF(FG38&lt;&gt;"",1,0)</x:f>
        <x:v>2</x:v>
      </x:c>
      <x:c r="AK38" s="147"/>
      <x:c r="AL38" s="147"/>
      <x:c r="AM38" s="147"/>
      <x:c r="AN38" s="167"/>
      <x:c r="AO38" s="167"/>
      <x:c r="AP38" s="166"/>
      <x:c r="AQ38" s="171" t="str">
        <x:f>IF(AK38="","",IFERROR(F38*AP38/AN38,0))</x:f>
      </x:c>
      <x:c r="AR38" s="171" t="str">
        <x:f>IF(AK38="","",F38*ABS(AP38))</x:f>
      </x:c>
      <x:c r="AS38" s="165"/>
      <x:c r="AT38" s="172" t="str">
        <x:f>IF(AK38="","",IF(AS38="","",IFERROR(AN38/AS38-1,0)))</x:f>
      </x:c>
      <x:c r="AU38" s="166"/>
      <x:c r="AV38" s="172" t="str">
        <x:f>IF(AK38="","",IF(AU38="","",AU38-AT38*365/AW38))</x:f>
      </x:c>
      <x:c r="AW38" s="164"/>
      <x:c r="AX38" s="173" t="str">
        <x:f>IF(AK38="","",IFERROR(AP38*(AO38/AN38-1),0))</x:f>
      </x:c>
      <x:c r="AY38" s="147" t="str">
        <x:v>Matched-maturity Treasury collateral</x:v>
      </x:c>
      <x:c r="AZ38" s="147" t="str">
        <x:v>Treasury</x:v>
      </x:c>
      <x:c r="BA38" s="147" t="str">
        <x:v>Long</x:v>
      </x:c>
      <x:c r="BB38" s="167" t="n">
        <x:v>100.9103391384757</x:v>
      </x:c>
      <x:c r="BC38" s="167" t="n">
        <x:v>100.9271759594443</x:v>
      </x:c>
      <x:c r="BD38" s="166" t="n">
        <x:v>1</x:v>
      </x:c>
      <x:c r="BE38" s="171" t="n">
        <x:f>IF(AY38="","",IFERROR(F38*BD38/BB38,0))</x:f>
        <x:v>0.010286124091337421</x:v>
      </x:c>
      <x:c r="BF38" s="171" t="n">
        <x:f>IF(AY38="","",F38*ABS(BD38))</x:f>
        <x:v>1.0379762704773043</x:v>
      </x:c>
      <x:c r="BG38" s="165"/>
      <x:c r="BH38" s="172" t="str">
        <x:f>IF(AY38="","",IF(BG38="","",IFERROR(BB38/BG38-1,0)))</x:f>
      </x:c>
      <x:c r="BI38" s="166"/>
      <x:c r="BJ38" s="172" t="str">
        <x:f>IF(AY38="","",IF(BI38="","",BI38-BH38*365/BK38))</x:f>
      </x:c>
      <x:c r="BK38" s="164" t="n">
        <x:v>30</x:v>
      </x:c>
      <x:c r="BL38" s="172" t="n">
        <x:f>IF(AY38="","",IFERROR(BD38*(BC38/BB38-1),0))</x:f>
        <x:v>0.00016684931506860678</x:v>
      </x:c>
      <x:c r="BM38" s="147" t="str">
        <x:v>SI69H</x:v>
      </x:c>
      <x:c r="BN38" s="147" t="str">
        <x:v>Silver future (regular)</x:v>
      </x:c>
      <x:c r="BO38" s="147" t="str">
        <x:v>Long</x:v>
      </x:c>
      <x:c r="BP38" s="167" t="n">
        <x:v>1.77</x:v>
      </x:c>
      <x:c r="BQ38" s="167" t="n">
        <x:v>1.805</x:v>
      </x:c>
      <x:c r="BR38" s="166" t="n">
        <x:v>1</x:v>
      </x:c>
      <x:c r="BS38" s="171" t="n">
        <x:f>IF(BM38="","",IFERROR(F38*BR38/BP38,0))</x:f>
        <x:v>0.5864272714561042</x:v>
      </x:c>
      <x:c r="BT38" s="171" t="n">
        <x:f>IF(BM38="","",F38*ABS(BR38))</x:f>
        <x:v>1.0379762704773043</x:v>
      </x:c>
      <x:c r="BU38" s="165" t="n">
        <x:v>1.803</x:v>
      </x:c>
      <x:c r="BV38" s="172" t="n">
        <x:f>IF(BM38="","",IF(BU38="","",IFERROR(BP38/BU38-1,0)))</x:f>
        <x:v>-0.01830282861896837</x:v>
      </x:c>
      <x:c r="BW38" s="166" t="n">
        <x:v>0.060899999999999996</x:v>
      </x:c>
      <x:c r="BX38" s="172" t="n">
        <x:f>IF(BM38="","",IF(BW38="","",BW38-BV38*365/BY38))</x:f>
        <x:v>0.2835844148641152</x:v>
      </x:c>
      <x:c r="BY38" s="164" t="n">
        <x:v>30</x:v>
      </x:c>
      <x:c r="BZ38" s="172" t="n">
        <x:f>IF(BM38="","",IFERROR(BR38*(BQ38/BP38-1),0))</x:f>
        <x:v>0.0197740112994349</x:v>
      </x:c>
      <x:c r="CA38" s="147"/>
      <x:c r="CB38" s="147"/>
      <x:c r="CC38" s="147"/>
      <x:c r="CD38" s="167"/>
      <x:c r="CE38" s="167"/>
      <x:c r="CF38" s="166"/>
      <x:c r="CG38" s="171" t="str">
        <x:f>IF(CA38="","",IFERROR(F38*CF38/CD38,0))</x:f>
      </x:c>
      <x:c r="CH38" s="171" t="str">
        <x:f>IF(CA38="","",F38*ABS(CF38))</x:f>
      </x:c>
      <x:c r="CI38" s="165"/>
      <x:c r="CJ38" s="172" t="str">
        <x:f>IF(CA38="","",IF(CI38="","",IFERROR(CD38/CI38-1,0)))</x:f>
      </x:c>
      <x:c r="CK38" s="166"/>
      <x:c r="CL38" s="172" t="str">
        <x:f>IF(CA38="","",IF(CK38="","",CK38-CJ38*365/CM38))</x:f>
      </x:c>
      <x:c r="CM38" s="164"/>
      <x:c r="CN38" s="172" t="str">
        <x:f>IF(CA38="","",IFERROR(CF38*(CE38/CD38-1),0))</x:f>
      </x:c>
      <x:c r="CO38" s="147"/>
      <x:c r="CP38" s="147"/>
      <x:c r="CQ38" s="147"/>
      <x:c r="CR38" s="167"/>
      <x:c r="CS38" s="167"/>
      <x:c r="CT38" s="166"/>
      <x:c r="CU38" s="171" t="str">
        <x:f>IF(CO38="","",IFERROR(F38*CT38/CR38,0))</x:f>
      </x:c>
      <x:c r="CV38" s="171" t="str">
        <x:f>IF(CO38="","",F38*ABS(CT38))</x:f>
      </x:c>
      <x:c r="CW38" s="165"/>
      <x:c r="CX38" s="172" t="str">
        <x:f>IF(CO38="","",IF(CW38="","",IFERROR(CR38/CW38-1,0)))</x:f>
      </x:c>
      <x:c r="CY38" s="166"/>
      <x:c r="CZ38" s="172" t="str">
        <x:f>IF(CO38="","",IF(CY38="","",CY38-CX38*365/DA38))</x:f>
      </x:c>
      <x:c r="DA38" s="164"/>
      <x:c r="DB38" s="172" t="str">
        <x:f>IF(CO38="","",IFERROR(CT38*(CS38/CR38-1),0))</x:f>
      </x:c>
      <x:c r="DC38" s="147"/>
      <x:c r="DD38" s="147"/>
      <x:c r="DE38" s="147"/>
      <x:c r="DF38" s="167"/>
      <x:c r="DG38" s="167"/>
      <x:c r="DH38" s="166"/>
      <x:c r="DI38" s="171" t="str">
        <x:f>IF(DC38="","",IFERROR(F38*DH38/DF38,0))</x:f>
      </x:c>
      <x:c r="DJ38" s="171" t="str">
        <x:f>IF(DC38="","",F38*ABS(DH38))</x:f>
      </x:c>
      <x:c r="DK38" s="165"/>
      <x:c r="DL38" s="172" t="str">
        <x:f>IF(DC38="","",IF(DK38="","",IFERROR(DF38/DK38-1,0)))</x:f>
      </x:c>
      <x:c r="DM38" s="166"/>
      <x:c r="DN38" s="172" t="str">
        <x:f>IF(DC38="","",IF(DM38="","",DM38-DL38*365/DO38))</x:f>
      </x:c>
      <x:c r="DO38" s="164"/>
      <x:c r="DP38" s="172" t="str">
        <x:f>IF(DC38="","",IFERROR(DH38*(DG38/DF38-1),0))</x:f>
      </x:c>
      <x:c r="DQ38" s="147"/>
      <x:c r="DR38" s="147"/>
      <x:c r="DS38" s="147"/>
      <x:c r="DT38" s="167"/>
      <x:c r="DU38" s="167"/>
      <x:c r="DV38" s="166"/>
      <x:c r="DW38" s="171" t="str">
        <x:f>IF(DQ38="","",IFERROR(F38*DV38/DT38,0))</x:f>
      </x:c>
      <x:c r="DX38" s="171" t="str">
        <x:f>IF(DQ38="","",F38*ABS(DV38))</x:f>
      </x:c>
      <x:c r="DY38" s="165"/>
      <x:c r="DZ38" s="172" t="str">
        <x:f>IF(DQ38="","",IF(DY38="","",IFERROR(DT38/DY38-1,0)))</x:f>
      </x:c>
      <x:c r="EA38" s="166"/>
      <x:c r="EB38" s="172" t="str">
        <x:f>IF(DQ38="","",IF(EA38="","",EA38-DZ38*365/EC38))</x:f>
      </x:c>
      <x:c r="EC38" s="164"/>
      <x:c r="ED38" s="172" t="str">
        <x:f>IF(DQ38="","",IFERROR(DV38*(DU38/DT38-1),0))</x:f>
      </x:c>
      <x:c r="EE38" s="147"/>
      <x:c r="EF38" s="147"/>
      <x:c r="EG38" s="147"/>
      <x:c r="EH38" s="167"/>
      <x:c r="EI38" s="167"/>
      <x:c r="EJ38" s="166"/>
      <x:c r="EK38" s="171" t="str">
        <x:f>IF(EE38="","",IFERROR(F38*EJ38/EH38,0))</x:f>
      </x:c>
      <x:c r="EL38" s="171" t="str">
        <x:f>IF(EE38="","",F38*ABS(EJ38))</x:f>
      </x:c>
      <x:c r="EM38" s="165"/>
      <x:c r="EN38" s="172" t="str">
        <x:f>IF(EE38="","",IF(EM38="","",IFERROR(EH38/EM38-1,0)))</x:f>
      </x:c>
      <x:c r="EO38" s="166"/>
      <x:c r="EP38" s="172" t="str">
        <x:f>IF(EE38="","",IF(EO38="","",EO38-EN38*365/EQ38))</x:f>
      </x:c>
      <x:c r="EQ38" s="164"/>
      <x:c r="ER38" s="172" t="str">
        <x:f>IF(EE38="","",IFERROR(EJ38*(EI38/EH38-1),0))</x:f>
      </x:c>
      <x:c r="ES38" s="147"/>
      <x:c r="ET38" s="147"/>
      <x:c r="EU38" s="147"/>
      <x:c r="EV38" s="167"/>
      <x:c r="EW38" s="167"/>
      <x:c r="EX38" s="166"/>
      <x:c r="EY38" s="171" t="str">
        <x:f>IF(ES38="","",IFERROR(F38*EX38/EV38,0))</x:f>
      </x:c>
      <x:c r="EZ38" s="171" t="str">
        <x:f>IF(ES38="","",F38*ABS(EX38))</x:f>
      </x:c>
      <x:c r="FA38" s="165"/>
      <x:c r="FB38" s="172" t="str">
        <x:f>IF(ES38="","",IF(FA38="","",IFERROR(EV38/FA38-1,0)))</x:f>
      </x:c>
      <x:c r="FC38" s="166"/>
      <x:c r="FD38" s="172" t="str">
        <x:f>IF(ES38="","",IF(FC38="","",FC38-FB38*365/FE38))</x:f>
      </x:c>
      <x:c r="FE38" s="164"/>
      <x:c r="FF38" s="172" t="str">
        <x:f>IF(ES38="","",IFERROR(EX38*(EW38/EV38-1),0))</x:f>
      </x:c>
      <x:c r="FG38" s="147"/>
      <x:c r="FH38" s="147"/>
      <x:c r="FI38" s="147"/>
      <x:c r="FJ38" s="167"/>
      <x:c r="FK38" s="167"/>
      <x:c r="FL38" s="166"/>
      <x:c r="FM38" s="171" t="str">
        <x:f>IF(FG38="","",IFERROR(F38*FL38/FJ38,0))</x:f>
      </x:c>
      <x:c r="FN38" s="171" t="str">
        <x:f>IF(FG38="","",F38*ABS(FL38))</x:f>
      </x:c>
      <x:c r="FO38" s="165"/>
      <x:c r="FP38" s="172" t="str">
        <x:f>IF(FG38="","",IF(FO38="","",IFERROR(FJ38/FO38-1,0)))</x:f>
      </x:c>
      <x:c r="FQ38" s="166"/>
      <x:c r="FR38" s="172" t="str">
        <x:f>IF(FG38="","",IF(FQ38="","",FQ38-FP38*365/FS38))</x:f>
      </x:c>
      <x:c r="FS38" s="164"/>
      <x:c r="FT38" s="172" t="str">
        <x:f>IF(FG38="","",IFERROR(FL38*(FK38/FJ38-1),0))</x:f>
      </x:c>
    </x:row>
    <x:row r="39" ht="18" customHeight="1">
      <x:c r="A39" s="163" t="n">
        <x:v>25260</x:v>
      </x:c>
      <x:c r="B39" s="163" t="n">
        <x:v>25261</x:v>
      </x:c>
      <x:c r="C39" s="170" t="n">
        <x:f>B39-A39</x:f>
        <x:v>1</x:v>
      </x:c>
      <x:c r="D39" s="163" t="n">
        <x:v>25260</x:v>
      </x:c>
      <x:c r="E39" s="147" t="str">
        <x:v>positive</x:v>
      </x:c>
      <x:c r="F39" s="165" t="n">
        <x:v>1.0586744106080543</x:v>
      </x:c>
      <x:c r="G39" s="168" t="n">
        <x:v>0.016651900226716636</x:v>
      </x:c>
      <x:c r="H39" s="172" t="n">
        <x:f>SUM(AX39,BL39,BZ39,CN39,DB39,DP39,ED39,ER39,FF39,FT39)</x:f>
        <x:v>0.016651900226716605</x:v>
      </x:c>
      <x:c r="I39" s="174" t="n">
        <x:f>G39-H39</x:f>
        <x:v>3.122502256758253e-17</x:v>
      </x:c>
      <x:c r="J39" s="171" t="n">
        <x:f>F39*(1+H39)</x:f>
        <x:v>1.0763033512660778</x:v>
      </x:c>
      <x:c r="K39" s="169" t="n">
        <x:v>1.0763033512660778</x:v>
      </x:c>
      <x:c r="L39" s="175" t="n">
        <x:f>K39-J39</x:f>
        <x:v>0</x:v>
      </x:c>
      <x:c r="M39" s="167" t="n">
        <x:v>1.799</x:v>
      </x:c>
      <x:c r="N39" s="167" t="n">
        <x:v>1.834</x:v>
      </x:c>
      <x:c r="O39" s="172" t="n">
        <x:f>IFERROR(N39/M39-1,0)</x:f>
        <x:v>0.01945525291828809</x:v>
      </x:c>
      <x:c r="P39" s="171" t="n">
        <x:f>IFERROR(AD39/AH39,0)</x:f>
        <x:v>1.152242632557293</x:v>
      </x:c>
      <x:c r="Q39" s="171" t="n">
        <x:f>IFERROR(AE39/AI39,0)</x:f>
        <x:v>1.14907413401253</x:v>
      </x:c>
      <x:c r="R39" s="172" t="n">
        <x:f>IFERROR((Q39-P39)/(P39+S39),0)</x:f>
        <x:v>-0.002749853594403903</x:v>
      </x:c>
      <x:c r="S39" s="172" t="n">
        <x:f>IFERROR(AF39/AH39,0)</x:f>
        <x:v>0</x:v>
      </x:c>
      <x:c r="T39" s="172" t="n">
        <x:f>IFERROR(AG39/AI39,0)</x:f>
        <x:v>0</x:v>
      </x:c>
      <x:c r="U39" s="172" t="n">
        <x:f>IFERROR((T39-S39)/(P39+S39),0)</x:f>
        <x:v>0</x:v>
      </x:c>
      <x:c r="V39" s="172" t="n">
        <x:f>R39+U39</x:f>
        <x:v>-0.002749853594403903</x:v>
      </x:c>
      <x:c r="W39" s="172" t="n">
        <x:f>(1+O39)*(1+V39)-1</x:f>
        <x:v>0.016651900226716698</x:v>
      </x:c>
      <x:c r="X39" s="174" t="n">
        <x:f>G39-W39</x:f>
        <x:v>-6.245004513516506e-17</x:v>
      </x:c>
      <x:c r="Y39" s="172" t="n">
        <x:f>AX39</x:f>
        <x:v>0.016982001625575956</x:v>
      </x:c>
      <x:c r="Z39" s="172" t="n">
        <x:f>BL39</x:f>
        <x:v>0.00002119419236825171</x:v>
      </x:c>
      <x:c r="AA39" s="172" t="n">
        <x:f>SUM(BZ39,CN39,DB39,DP39,ED39,ER39,FF39,FT39)</x:f>
        <x:v>-0.00035129559122760415</x:v>
      </x:c>
      <x:c r="AB39" s="172" t="n">
        <x:f>SUM(Y39:AA39)</x:f>
        <x:v>0.016651900226716605</x:v>
      </x:c>
      <x:c r="AC39" s="174" t="n">
        <x:f>G39-AB39</x:f>
        <x:v>3.122502256758253e-17</x:v>
      </x:c>
      <x:c r="AD39" s="169" t="n">
        <x:v>1.0586744106080541</x:v>
      </x:c>
      <x:c r="AE39" s="169" t="n">
        <x:v>1.0763033512660776</x:v>
      </x:c>
      <x:c r="AF39" s="169" t="n">
        <x:v>0</x:v>
      </x:c>
      <x:c r="AG39" s="169" t="n">
        <x:v>0</x:v>
      </x:c>
      <x:c r="AH39" s="171" t="n">
        <x:f>M39/$M$3</x:f>
        <x:v>0.9187946884576098</x:v>
      </x:c>
      <x:c r="AI39" s="171" t="n">
        <x:f>N39/$M$3</x:f>
        <x:v>0.9366700715015323</x:v>
      </x:c>
      <x:c r="AJ39" s="170" t="n">
        <x:f>IF(AK39&lt;&gt;"",1,0)+IF(AY39&lt;&gt;"",1,0)+IF(BM39&lt;&gt;"",1,0)+IF(CA39&lt;&gt;"",1,0)+IF(CO39&lt;&gt;"",1,0)+IF(DC39&lt;&gt;"",1,0)+IF(DQ39&lt;&gt;"",1,0)+IF(EE39&lt;&gt;"",1,0)+IF(ES39&lt;&gt;"",1,0)+IF(FG39&lt;&gt;"",1,0)</x:f>
        <x:v>3</x:v>
      </x:c>
      <x:c r="AK39" s="147" t="str">
        <x:v>Silver replicating holding (LBMA/SLV proxy)</x:v>
      </x:c>
      <x:c r="AL39" s="147" t="str">
        <x:v>Physical-backed proxy</x:v>
      </x:c>
      <x:c r="AM39" s="147" t="str">
        <x:v>Long</x:v>
      </x:c>
      <x:c r="AN39" s="167" t="n">
        <x:v>1.799</x:v>
      </x:c>
      <x:c r="AO39" s="167" t="n">
        <x:v>1.834</x:v>
      </x:c>
      <x:c r="AP39" s="166" t="n">
        <x:v>0.8731822915668337</x:v>
      </x:c>
      <x:c r="AQ39" s="171" t="n">
        <x:f>IF(AK39="","",IFERROR(F39*AP39/AN39,0))</x:f>
        <x:v>0.513849776474657</x:v>
      </x:c>
      <x:c r="AR39" s="171" t="n">
        <x:f>IF(AK39="","",F39*ABS(AP39))</x:f>
        <x:v>0.9244157478779079</x:v>
      </x:c>
      <x:c r="AS39" s="165"/>
      <x:c r="AT39" s="172" t="str">
        <x:f>IF(AK39="","",IF(AS39="","",IFERROR(AN39/AS39-1,0)))</x:f>
      </x:c>
      <x:c r="AU39" s="166"/>
      <x:c r="AV39" s="172" t="str">
        <x:f>IF(AK39="","",IF(AU39="","",AU39-AT39*365/AW39))</x:f>
      </x:c>
      <x:c r="AW39" s="164"/>
      <x:c r="AX39" s="173" t="n">
        <x:f>IF(AK39="","",IFERROR(AP39*(AO39/AN39-1-'Parameters'!$C$6*C39/365),0))</x:f>
        <x:v>0.016982001625575956</x:v>
      </x:c>
      <x:c r="AY39" s="147" t="str">
        <x:v>Matched-maturity Treasury collateral</x:v>
      </x:c>
      <x:c r="AZ39" s="147" t="str">
        <x:v>Treasury</x:v>
      </x:c>
      <x:c r="BA39" s="147" t="str">
        <x:v>Long</x:v>
      </x:c>
      <x:c r="BB39" s="167" t="n">
        <x:v>100.9271759594443</x:v>
      </x:c>
      <x:c r="BC39" s="167" t="n">
        <x:v>100.944043240906</x:v>
      </x:c>
      <x:c r="BD39" s="166" t="n">
        <x:v>0.1268177084331663</x:v>
      </x:c>
      <x:c r="BE39" s="171" t="n">
        <x:f>IF(AY39="","",IFERROR(F39*BD39/BB39,0))</x:f>
        <x:v>0.00133025284274372</x:v>
      </x:c>
      <x:c r="BF39" s="171" t="n">
        <x:f>IF(AY39="","",F39*ABS(BD39))</x:f>
        <x:v>0.13425866273014642</x:v>
      </x:c>
      <x:c r="BG39" s="165"/>
      <x:c r="BH39" s="172" t="str">
        <x:f>IF(AY39="","",IF(BG39="","",IFERROR(BB39/BG39-1,0)))</x:f>
      </x:c>
      <x:c r="BI39" s="166"/>
      <x:c r="BJ39" s="172" t="str">
        <x:f>IF(AY39="","",IF(BI39="","",BI39-BH39*365/BK39))</x:f>
      </x:c>
      <x:c r="BK39" s="164" t="n">
        <x:v>29</x:v>
      </x:c>
      <x:c r="BL39" s="172" t="n">
        <x:f>IF(AY39="","",IFERROR(BD39*(BC39/BB39-1),0))</x:f>
        <x:v>0.00002119419236825171</x:v>
      </x:c>
      <x:c r="BM39" s="147" t="str">
        <x:v>SI69H</x:v>
      </x:c>
      <x:c r="BN39" s="147" t="str">
        <x:v>Silver future (regular)</x:v>
      </x:c>
      <x:c r="BO39" s="147" t="str">
        <x:v>Long</x:v>
      </x:c>
      <x:c r="BP39" s="167" t="n">
        <x:v>1.805</x:v>
      </x:c>
      <x:c r="BQ39" s="167" t="n">
        <x:v>1.8</x:v>
      </x:c>
      <x:c r="BR39" s="166" t="n">
        <x:v>0.1268177084331663</x:v>
      </x:c>
      <x:c r="BS39" s="171" t="n">
        <x:f>IF(BM39="","",IFERROR(F39*BR39/BP39,0))</x:f>
        <x:v>0.07438153059841907</x:v>
      </x:c>
      <x:c r="BT39" s="171" t="n">
        <x:f>IF(BM39="","",F39*ABS(BR39))</x:f>
        <x:v>0.13425866273014642</x:v>
      </x:c>
      <x:c r="BU39" s="165" t="n">
        <x:v>1.799</x:v>
      </x:c>
      <x:c r="BV39" s="172" t="n">
        <x:f>IF(BM39="","",IF(BU39="","",IFERROR(BP39/BU39-1,0)))</x:f>
        <x:v>0.0033351862145636346</x:v>
      </x:c>
      <x:c r="BW39" s="166" t="n">
        <x:v>0.061</x:v>
      </x:c>
      <x:c r="BX39" s="172" t="n">
        <x:f>IF(BM39="","",IF(BW39="","",BW39-BV39*365/BY39))</x:f>
        <x:v>0.019022656264974944</x:v>
      </x:c>
      <x:c r="BY39" s="164" t="n">
        <x:v>29</x:v>
      </x:c>
      <x:c r="BZ39" s="172" t="n">
        <x:f>IF(BM39="","",IFERROR(BR39*(BQ39/BP39-1),0))</x:f>
        <x:v>-0.00035129559122760415</x:v>
      </x:c>
      <x:c r="CA39" s="147"/>
      <x:c r="CB39" s="147"/>
      <x:c r="CC39" s="147"/>
      <x:c r="CD39" s="167"/>
      <x:c r="CE39" s="167"/>
      <x:c r="CF39" s="166"/>
      <x:c r="CG39" s="171" t="str">
        <x:f>IF(CA39="","",IFERROR(F39*CF39/CD39,0))</x:f>
      </x:c>
      <x:c r="CH39" s="171" t="str">
        <x:f>IF(CA39="","",F39*ABS(CF39))</x:f>
      </x:c>
      <x:c r="CI39" s="165"/>
      <x:c r="CJ39" s="172" t="str">
        <x:f>IF(CA39="","",IF(CI39="","",IFERROR(CD39/CI39-1,0)))</x:f>
      </x:c>
      <x:c r="CK39" s="166"/>
      <x:c r="CL39" s="172" t="str">
        <x:f>IF(CA39="","",IF(CK39="","",CK39-CJ39*365/CM39))</x:f>
      </x:c>
      <x:c r="CM39" s="164"/>
      <x:c r="CN39" s="172" t="str">
        <x:f>IF(CA39="","",IFERROR(CF39*(CE39/CD39-1),0))</x:f>
      </x:c>
      <x:c r="CO39" s="147"/>
      <x:c r="CP39" s="147"/>
      <x:c r="CQ39" s="147"/>
      <x:c r="CR39" s="167"/>
      <x:c r="CS39" s="167"/>
      <x:c r="CT39" s="166"/>
      <x:c r="CU39" s="171" t="str">
        <x:f>IF(CO39="","",IFERROR(F39*CT39/CR39,0))</x:f>
      </x:c>
      <x:c r="CV39" s="171" t="str">
        <x:f>IF(CO39="","",F39*ABS(CT39))</x:f>
      </x:c>
      <x:c r="CW39" s="165"/>
      <x:c r="CX39" s="172" t="str">
        <x:f>IF(CO39="","",IF(CW39="","",IFERROR(CR39/CW39-1,0)))</x:f>
      </x:c>
      <x:c r="CY39" s="166"/>
      <x:c r="CZ39" s="172" t="str">
        <x:f>IF(CO39="","",IF(CY39="","",CY39-CX39*365/DA39))</x:f>
      </x:c>
      <x:c r="DA39" s="164"/>
      <x:c r="DB39" s="172" t="str">
        <x:f>IF(CO39="","",IFERROR(CT39*(CS39/CR39-1),0))</x:f>
      </x:c>
      <x:c r="DC39" s="147"/>
      <x:c r="DD39" s="147"/>
      <x:c r="DE39" s="147"/>
      <x:c r="DF39" s="167"/>
      <x:c r="DG39" s="167"/>
      <x:c r="DH39" s="166"/>
      <x:c r="DI39" s="171" t="str">
        <x:f>IF(DC39="","",IFERROR(F39*DH39/DF39,0))</x:f>
      </x:c>
      <x:c r="DJ39" s="171" t="str">
        <x:f>IF(DC39="","",F39*ABS(DH39))</x:f>
      </x:c>
      <x:c r="DK39" s="165"/>
      <x:c r="DL39" s="172" t="str">
        <x:f>IF(DC39="","",IF(DK39="","",IFERROR(DF39/DK39-1,0)))</x:f>
      </x:c>
      <x:c r="DM39" s="166"/>
      <x:c r="DN39" s="172" t="str">
        <x:f>IF(DC39="","",IF(DM39="","",DM39-DL39*365/DO39))</x:f>
      </x:c>
      <x:c r="DO39" s="164"/>
      <x:c r="DP39" s="172" t="str">
        <x:f>IF(DC39="","",IFERROR(DH39*(DG39/DF39-1),0))</x:f>
      </x:c>
      <x:c r="DQ39" s="147"/>
      <x:c r="DR39" s="147"/>
      <x:c r="DS39" s="147"/>
      <x:c r="DT39" s="167"/>
      <x:c r="DU39" s="167"/>
      <x:c r="DV39" s="166"/>
      <x:c r="DW39" s="171" t="str">
        <x:f>IF(DQ39="","",IFERROR(F39*DV39/DT39,0))</x:f>
      </x:c>
      <x:c r="DX39" s="171" t="str">
        <x:f>IF(DQ39="","",F39*ABS(DV39))</x:f>
      </x:c>
      <x:c r="DY39" s="165"/>
      <x:c r="DZ39" s="172" t="str">
        <x:f>IF(DQ39="","",IF(DY39="","",IFERROR(DT39/DY39-1,0)))</x:f>
      </x:c>
      <x:c r="EA39" s="166"/>
      <x:c r="EB39" s="172" t="str">
        <x:f>IF(DQ39="","",IF(EA39="","",EA39-DZ39*365/EC39))</x:f>
      </x:c>
      <x:c r="EC39" s="164"/>
      <x:c r="ED39" s="172" t="str">
        <x:f>IF(DQ39="","",IFERROR(DV39*(DU39/DT39-1),0))</x:f>
      </x:c>
      <x:c r="EE39" s="147"/>
      <x:c r="EF39" s="147"/>
      <x:c r="EG39" s="147"/>
      <x:c r="EH39" s="167"/>
      <x:c r="EI39" s="167"/>
      <x:c r="EJ39" s="166"/>
      <x:c r="EK39" s="171" t="str">
        <x:f>IF(EE39="","",IFERROR(F39*EJ39/EH39,0))</x:f>
      </x:c>
      <x:c r="EL39" s="171" t="str">
        <x:f>IF(EE39="","",F39*ABS(EJ39))</x:f>
      </x:c>
      <x:c r="EM39" s="165"/>
      <x:c r="EN39" s="172" t="str">
        <x:f>IF(EE39="","",IF(EM39="","",IFERROR(EH39/EM39-1,0)))</x:f>
      </x:c>
      <x:c r="EO39" s="166"/>
      <x:c r="EP39" s="172" t="str">
        <x:f>IF(EE39="","",IF(EO39="","",EO39-EN39*365/EQ39))</x:f>
      </x:c>
      <x:c r="EQ39" s="164"/>
      <x:c r="ER39" s="172" t="str">
        <x:f>IF(EE39="","",IFERROR(EJ39*(EI39/EH39-1),0))</x:f>
      </x:c>
      <x:c r="ES39" s="147"/>
      <x:c r="ET39" s="147"/>
      <x:c r="EU39" s="147"/>
      <x:c r="EV39" s="167"/>
      <x:c r="EW39" s="167"/>
      <x:c r="EX39" s="166"/>
      <x:c r="EY39" s="171" t="str">
        <x:f>IF(ES39="","",IFERROR(F39*EX39/EV39,0))</x:f>
      </x:c>
      <x:c r="EZ39" s="171" t="str">
        <x:f>IF(ES39="","",F39*ABS(EX39))</x:f>
      </x:c>
      <x:c r="FA39" s="165"/>
      <x:c r="FB39" s="172" t="str">
        <x:f>IF(ES39="","",IF(FA39="","",IFERROR(EV39/FA39-1,0)))</x:f>
      </x:c>
      <x:c r="FC39" s="166"/>
      <x:c r="FD39" s="172" t="str">
        <x:f>IF(ES39="","",IF(FC39="","",FC39-FB39*365/FE39))</x:f>
      </x:c>
      <x:c r="FE39" s="164"/>
      <x:c r="FF39" s="172" t="str">
        <x:f>IF(ES39="","",IFERROR(EX39*(EW39/EV39-1),0))</x:f>
      </x:c>
      <x:c r="FG39" s="147"/>
      <x:c r="FH39" s="147"/>
      <x:c r="FI39" s="147"/>
      <x:c r="FJ39" s="167"/>
      <x:c r="FK39" s="167"/>
      <x:c r="FL39" s="166"/>
      <x:c r="FM39" s="171" t="str">
        <x:f>IF(FG39="","",IFERROR(F39*FL39/FJ39,0))</x:f>
      </x:c>
      <x:c r="FN39" s="171" t="str">
        <x:f>IF(FG39="","",F39*ABS(FL39))</x:f>
      </x:c>
      <x:c r="FO39" s="165"/>
      <x:c r="FP39" s="172" t="str">
        <x:f>IF(FG39="","",IF(FO39="","",IFERROR(FJ39/FO39-1,0)))</x:f>
      </x:c>
      <x:c r="FQ39" s="166"/>
      <x:c r="FR39" s="172" t="str">
        <x:f>IF(FG39="","",IF(FQ39="","",FQ39-FP39*365/FS39))</x:f>
      </x:c>
      <x:c r="FS39" s="164"/>
      <x:c r="FT39" s="172" t="str">
        <x:f>IF(FG39="","",IFERROR(FL39*(FK39/FJ39-1),0))</x:f>
      </x:c>
    </x:row>
    <x:row r="40" ht="18" customHeight="1">
      <x:c r="A40" s="163" t="n">
        <x:v>25261</x:v>
      </x:c>
      <x:c r="B40" s="163" t="n">
        <x:v>25262</x:v>
      </x:c>
      <x:c r="C40" s="170" t="n">
        <x:f>B40-A40</x:f>
        <x:v>1</x:v>
      </x:c>
      <x:c r="D40" s="163" t="n">
        <x:v>25261</x:v>
      </x:c>
      <x:c r="E40" s="147" t="str">
        <x:v>positive</x:v>
      </x:c>
      <x:c r="F40" s="165" t="n">
        <x:v>1.0763033512660778</x:v>
      </x:c>
      <x:c r="G40" s="168" t="n">
        <x:v>-0.0026081887366819884</x:v>
      </x:c>
      <x:c r="H40" s="172" t="n">
        <x:f>SUM(AX40,BL40,BZ40,CN40,DB40,DP40,ED40,ER40,FF40,FT40)</x:f>
        <x:v>-0.0026081887366818934</x:v>
      </x:c>
      <x:c r="I40" s="174" t="n">
        <x:f>G40-H40</x:f>
        <x:v>-9.497611030973019e-17</x:v>
      </x:c>
      <x:c r="J40" s="171" t="n">
        <x:f>F40*(1+H40)</x:f>
        <x:v>1.0734961489880526</x:v>
      </x:c>
      <x:c r="K40" s="169" t="n">
        <x:v>1.0734961489880526</x:v>
      </x:c>
      <x:c r="L40" s="175" t="n">
        <x:f>K40-J40</x:f>
        <x:v>0</x:v>
      </x:c>
      <x:c r="M40" s="167" t="n">
        <x:v>1.834</x:v>
      </x:c>
      <x:c r="N40" s="167" t="n">
        <x:v>1.825</x:v>
      </x:c>
      <x:c r="O40" s="172" t="n">
        <x:f>IFERROR(N40/M40-1,0)</x:f>
        <x:v>-0.004907306434024039</x:v>
      </x:c>
      <x:c r="P40" s="171" t="n">
        <x:f>IFERROR(AD40/AH40,0)</x:f>
        <x:v>1.14907413401253</x:v>
      </x:c>
      <x:c r="Q40" s="171" t="n">
        <x:f>IFERROR(AE40/AI40,0)</x:f>
        <x:v>1.151729019023894</x:v>
      </x:c>
      <x:c r="R40" s="172" t="n">
        <x:f>IFERROR((Q40-P40)/(P40+S40),0)</x:f>
        <x:v>0.002310455812013934</x:v>
      </x:c>
      <x:c r="S40" s="172" t="n">
        <x:f>IFERROR(AF40/AH40,0)</x:f>
        <x:v>0</x:v>
      </x:c>
      <x:c r="T40" s="172" t="n">
        <x:f>IFERROR(AG40/AI40,0)</x:f>
        <x:v>0</x:v>
      </x:c>
      <x:c r="U40" s="172" t="n">
        <x:f>IFERROR((T40-S40)/(P40+S40),0)</x:f>
        <x:v>0</x:v>
      </x:c>
      <x:c r="V40" s="172" t="n">
        <x:f>R40+U40</x:f>
        <x:v>0.002310455812013934</x:v>
      </x:c>
      <x:c r="W40" s="172" t="n">
        <x:f>(1+O40)*(1+V40)-1</x:f>
        <x:v>-0.0026081887366818934</x:v>
      </x:c>
      <x:c r="X40" s="174" t="n">
        <x:f>G40-W40</x:f>
        <x:v>-9.497611030973019e-17</x:v>
      </x:c>
      <x:c r="Y40" s="172" t="str">
        <x:f>AX40</x:f>
      </x:c>
      <x:c r="Z40" s="172" t="n">
        <x:f>BL40</x:f>
        <x:v>0.0001695890410959855</x:v>
      </x:c>
      <x:c r="AA40" s="172" t="n">
        <x:f>SUM(BZ40,CN40,DB40,DP40,ED40,ER40,FF40,FT40)</x:f>
        <x:v>-0.002777777777777879</x:v>
      </x:c>
      <x:c r="AB40" s="172" t="n">
        <x:f>SUM(Y40:AA40)</x:f>
        <x:v>-0.0026081887366818934</x:v>
      </x:c>
      <x:c r="AC40" s="174" t="n">
        <x:f>G40-AB40</x:f>
        <x:v>-9.497611030973019e-17</x:v>
      </x:c>
      <x:c r="AD40" s="169" t="n">
        <x:v>1.0763033512660776</x:v>
      </x:c>
      <x:c r="AE40" s="169" t="n">
        <x:v>1.0734961489880523</x:v>
      </x:c>
      <x:c r="AF40" s="169" t="n">
        <x:v>0</x:v>
      </x:c>
      <x:c r="AG40" s="169" t="n">
        <x:v>0</x:v>
      </x:c>
      <x:c r="AH40" s="171" t="n">
        <x:f>M40/$M$3</x:f>
        <x:v>0.9366700715015323</x:v>
      </x:c>
      <x:c r="AI40" s="171" t="n">
        <x:f>N40/$M$3</x:f>
        <x:v>0.932073544433095</x:v>
      </x:c>
      <x:c r="AJ40" s="170" t="n">
        <x:f>IF(AK40&lt;&gt;"",1,0)+IF(AY40&lt;&gt;"",1,0)+IF(BM40&lt;&gt;"",1,0)+IF(CA40&lt;&gt;"",1,0)+IF(CO40&lt;&gt;"",1,0)+IF(DC40&lt;&gt;"",1,0)+IF(DQ40&lt;&gt;"",1,0)+IF(EE40&lt;&gt;"",1,0)+IF(ES40&lt;&gt;"",1,0)+IF(FG40&lt;&gt;"",1,0)</x:f>
        <x:v>2</x:v>
      </x:c>
      <x:c r="AK40" s="147"/>
      <x:c r="AL40" s="147"/>
      <x:c r="AM40" s="147"/>
      <x:c r="AN40" s="167"/>
      <x:c r="AO40" s="167"/>
      <x:c r="AP40" s="166"/>
      <x:c r="AQ40" s="171" t="str">
        <x:f>IF(AK40="","",IFERROR(F40*AP40/AN40,0))</x:f>
      </x:c>
      <x:c r="AR40" s="171" t="str">
        <x:f>IF(AK40="","",F40*ABS(AP40))</x:f>
      </x:c>
      <x:c r="AS40" s="165"/>
      <x:c r="AT40" s="172" t="str">
        <x:f>IF(AK40="","",IF(AS40="","",IFERROR(AN40/AS40-1,0)))</x:f>
      </x:c>
      <x:c r="AU40" s="166"/>
      <x:c r="AV40" s="172" t="str">
        <x:f>IF(AK40="","",IF(AU40="","",AU40-AT40*365/AW40))</x:f>
      </x:c>
      <x:c r="AW40" s="164"/>
      <x:c r="AX40" s="173" t="str">
        <x:f>IF(AK40="","",IFERROR(AP40*(AO40/AN40-1),0))</x:f>
      </x:c>
      <x:c r="AY40" s="147" t="str">
        <x:v>Matched-maturity Treasury collateral</x:v>
      </x:c>
      <x:c r="AZ40" s="147" t="str">
        <x:v>Treasury</x:v>
      </x:c>
      <x:c r="BA40" s="147" t="str">
        <x:v>Long</x:v>
      </x:c>
      <x:c r="BB40" s="167" t="n">
        <x:v>100.944043240906</x:v>
      </x:c>
      <x:c r="BC40" s="167" t="n">
        <x:v>100.96116224440357</x:v>
      </x:c>
      <x:c r="BD40" s="166" t="n">
        <x:v>1</x:v>
      </x:c>
      <x:c r="BE40" s="171" t="n">
        <x:f>IF(AY40="","",IFERROR(F40*BD40/BB40,0))</x:f>
        <x:v>0.010662376072032773</x:v>
      </x:c>
      <x:c r="BF40" s="171" t="n">
        <x:f>IF(AY40="","",F40*ABS(BD40))</x:f>
        <x:v>1.0763033512660778</x:v>
      </x:c>
      <x:c r="BG40" s="165"/>
      <x:c r="BH40" s="172" t="str">
        <x:f>IF(AY40="","",IF(BG40="","",IFERROR(BB40/BG40-1,0)))</x:f>
      </x:c>
      <x:c r="BI40" s="166"/>
      <x:c r="BJ40" s="172" t="str">
        <x:f>IF(AY40="","",IF(BI40="","",BI40-BH40*365/BK40))</x:f>
      </x:c>
      <x:c r="BK40" s="164" t="n">
        <x:v>28</x:v>
      </x:c>
      <x:c r="BL40" s="172" t="n">
        <x:f>IF(AY40="","",IFERROR(BD40*(BC40/BB40-1),0))</x:f>
        <x:v>0.0001695890410959855</x:v>
      </x:c>
      <x:c r="BM40" s="147" t="str">
        <x:v>SI69H</x:v>
      </x:c>
      <x:c r="BN40" s="147" t="str">
        <x:v>Silver future (regular)</x:v>
      </x:c>
      <x:c r="BO40" s="147" t="str">
        <x:v>Long</x:v>
      </x:c>
      <x:c r="BP40" s="167" t="n">
        <x:v>1.8</x:v>
      </x:c>
      <x:c r="BQ40" s="167" t="n">
        <x:v>1.795</x:v>
      </x:c>
      <x:c r="BR40" s="166" t="n">
        <x:v>1</x:v>
      </x:c>
      <x:c r="BS40" s="171" t="n">
        <x:f>IF(BM40="","",IFERROR(F40*BR40/BP40,0))</x:f>
        <x:v>0.5979463062589321</x:v>
      </x:c>
      <x:c r="BT40" s="171" t="n">
        <x:f>IF(BM40="","",F40*ABS(BR40))</x:f>
        <x:v>1.0763033512660778</x:v>
      </x:c>
      <x:c r="BU40" s="165" t="n">
        <x:v>1.834</x:v>
      </x:c>
      <x:c r="BV40" s="172" t="n">
        <x:f>IF(BM40="","",IF(BU40="","",IFERROR(BP40/BU40-1,0)))</x:f>
        <x:v>-0.018538713195201728</x:v>
      </x:c>
      <x:c r="BW40" s="166" t="n">
        <x:v>0.0619</x:v>
      </x:c>
      <x:c r="BX40" s="172" t="n">
        <x:f>IF(BM40="","",IF(BW40="","",BW40-BV40*365/BY40))</x:f>
        <x:v>0.3035653684374511</x:v>
      </x:c>
      <x:c r="BY40" s="164" t="n">
        <x:v>28</x:v>
      </x:c>
      <x:c r="BZ40" s="172" t="n">
        <x:f>IF(BM40="","",IFERROR(BR40*(BQ40/BP40-1),0))</x:f>
        <x:v>-0.002777777777777879</x:v>
      </x:c>
      <x:c r="CA40" s="147"/>
      <x:c r="CB40" s="147"/>
      <x:c r="CC40" s="147"/>
      <x:c r="CD40" s="167"/>
      <x:c r="CE40" s="167"/>
      <x:c r="CF40" s="166"/>
      <x:c r="CG40" s="171" t="str">
        <x:f>IF(CA40="","",IFERROR(F40*CF40/CD40,0))</x:f>
      </x:c>
      <x:c r="CH40" s="171" t="str">
        <x:f>IF(CA40="","",F40*ABS(CF40))</x:f>
      </x:c>
      <x:c r="CI40" s="165"/>
      <x:c r="CJ40" s="172" t="str">
        <x:f>IF(CA40="","",IF(CI40="","",IFERROR(CD40/CI40-1,0)))</x:f>
      </x:c>
      <x:c r="CK40" s="166"/>
      <x:c r="CL40" s="172" t="str">
        <x:f>IF(CA40="","",IF(CK40="","",CK40-CJ40*365/CM40))</x:f>
      </x:c>
      <x:c r="CM40" s="164"/>
      <x:c r="CN40" s="172" t="str">
        <x:f>IF(CA40="","",IFERROR(CF40*(CE40/CD40-1),0))</x:f>
      </x:c>
      <x:c r="CO40" s="147"/>
      <x:c r="CP40" s="147"/>
      <x:c r="CQ40" s="147"/>
      <x:c r="CR40" s="167"/>
      <x:c r="CS40" s="167"/>
      <x:c r="CT40" s="166"/>
      <x:c r="CU40" s="171" t="str">
        <x:f>IF(CO40="","",IFERROR(F40*CT40/CR40,0))</x:f>
      </x:c>
      <x:c r="CV40" s="171" t="str">
        <x:f>IF(CO40="","",F40*ABS(CT40))</x:f>
      </x:c>
      <x:c r="CW40" s="165"/>
      <x:c r="CX40" s="172" t="str">
        <x:f>IF(CO40="","",IF(CW40="","",IFERROR(CR40/CW40-1,0)))</x:f>
      </x:c>
      <x:c r="CY40" s="166"/>
      <x:c r="CZ40" s="172" t="str">
        <x:f>IF(CO40="","",IF(CY40="","",CY40-CX40*365/DA40))</x:f>
      </x:c>
      <x:c r="DA40" s="164"/>
      <x:c r="DB40" s="172" t="str">
        <x:f>IF(CO40="","",IFERROR(CT40*(CS40/CR40-1),0))</x:f>
      </x:c>
      <x:c r="DC40" s="147"/>
      <x:c r="DD40" s="147"/>
      <x:c r="DE40" s="147"/>
      <x:c r="DF40" s="167"/>
      <x:c r="DG40" s="167"/>
      <x:c r="DH40" s="166"/>
      <x:c r="DI40" s="171" t="str">
        <x:f>IF(DC40="","",IFERROR(F40*DH40/DF40,0))</x:f>
      </x:c>
      <x:c r="DJ40" s="171" t="str">
        <x:f>IF(DC40="","",F40*ABS(DH40))</x:f>
      </x:c>
      <x:c r="DK40" s="165"/>
      <x:c r="DL40" s="172" t="str">
        <x:f>IF(DC40="","",IF(DK40="","",IFERROR(DF40/DK40-1,0)))</x:f>
      </x:c>
      <x:c r="DM40" s="166"/>
      <x:c r="DN40" s="172" t="str">
        <x:f>IF(DC40="","",IF(DM40="","",DM40-DL40*365/DO40))</x:f>
      </x:c>
      <x:c r="DO40" s="164"/>
      <x:c r="DP40" s="172" t="str">
        <x:f>IF(DC40="","",IFERROR(DH40*(DG40/DF40-1),0))</x:f>
      </x:c>
      <x:c r="DQ40" s="147"/>
      <x:c r="DR40" s="147"/>
      <x:c r="DS40" s="147"/>
      <x:c r="DT40" s="167"/>
      <x:c r="DU40" s="167"/>
      <x:c r="DV40" s="166"/>
      <x:c r="DW40" s="171" t="str">
        <x:f>IF(DQ40="","",IFERROR(F40*DV40/DT40,0))</x:f>
      </x:c>
      <x:c r="DX40" s="171" t="str">
        <x:f>IF(DQ40="","",F40*ABS(DV40))</x:f>
      </x:c>
      <x:c r="DY40" s="165"/>
      <x:c r="DZ40" s="172" t="str">
        <x:f>IF(DQ40="","",IF(DY40="","",IFERROR(DT40/DY40-1,0)))</x:f>
      </x:c>
      <x:c r="EA40" s="166"/>
      <x:c r="EB40" s="172" t="str">
        <x:f>IF(DQ40="","",IF(EA40="","",EA40-DZ40*365/EC40))</x:f>
      </x:c>
      <x:c r="EC40" s="164"/>
      <x:c r="ED40" s="172" t="str">
        <x:f>IF(DQ40="","",IFERROR(DV40*(DU40/DT40-1),0))</x:f>
      </x:c>
      <x:c r="EE40" s="147"/>
      <x:c r="EF40" s="147"/>
      <x:c r="EG40" s="147"/>
      <x:c r="EH40" s="167"/>
      <x:c r="EI40" s="167"/>
      <x:c r="EJ40" s="166"/>
      <x:c r="EK40" s="171" t="str">
        <x:f>IF(EE40="","",IFERROR(F40*EJ40/EH40,0))</x:f>
      </x:c>
      <x:c r="EL40" s="171" t="str">
        <x:f>IF(EE40="","",F40*ABS(EJ40))</x:f>
      </x:c>
      <x:c r="EM40" s="165"/>
      <x:c r="EN40" s="172" t="str">
        <x:f>IF(EE40="","",IF(EM40="","",IFERROR(EH40/EM40-1,0)))</x:f>
      </x:c>
      <x:c r="EO40" s="166"/>
      <x:c r="EP40" s="172" t="str">
        <x:f>IF(EE40="","",IF(EO40="","",EO40-EN40*365/EQ40))</x:f>
      </x:c>
      <x:c r="EQ40" s="164"/>
      <x:c r="ER40" s="172" t="str">
        <x:f>IF(EE40="","",IFERROR(EJ40*(EI40/EH40-1),0))</x:f>
      </x:c>
      <x:c r="ES40" s="147"/>
      <x:c r="ET40" s="147"/>
      <x:c r="EU40" s="147"/>
      <x:c r="EV40" s="167"/>
      <x:c r="EW40" s="167"/>
      <x:c r="EX40" s="166"/>
      <x:c r="EY40" s="171" t="str">
        <x:f>IF(ES40="","",IFERROR(F40*EX40/EV40,0))</x:f>
      </x:c>
      <x:c r="EZ40" s="171" t="str">
        <x:f>IF(ES40="","",F40*ABS(EX40))</x:f>
      </x:c>
      <x:c r="FA40" s="165"/>
      <x:c r="FB40" s="172" t="str">
        <x:f>IF(ES40="","",IF(FA40="","",IFERROR(EV40/FA40-1,0)))</x:f>
      </x:c>
      <x:c r="FC40" s="166"/>
      <x:c r="FD40" s="172" t="str">
        <x:f>IF(ES40="","",IF(FC40="","",FC40-FB40*365/FE40))</x:f>
      </x:c>
      <x:c r="FE40" s="164"/>
      <x:c r="FF40" s="172" t="str">
        <x:f>IF(ES40="","",IFERROR(EX40*(EW40/EV40-1),0))</x:f>
      </x:c>
      <x:c r="FG40" s="147"/>
      <x:c r="FH40" s="147"/>
      <x:c r="FI40" s="147"/>
      <x:c r="FJ40" s="167"/>
      <x:c r="FK40" s="167"/>
      <x:c r="FL40" s="166"/>
      <x:c r="FM40" s="171" t="str">
        <x:f>IF(FG40="","",IFERROR(F40*FL40/FJ40,0))</x:f>
      </x:c>
      <x:c r="FN40" s="171" t="str">
        <x:f>IF(FG40="","",F40*ABS(FL40))</x:f>
      </x:c>
      <x:c r="FO40" s="165"/>
      <x:c r="FP40" s="172" t="str">
        <x:f>IF(FG40="","",IF(FO40="","",IFERROR(FJ40/FO40-1,0)))</x:f>
      </x:c>
      <x:c r="FQ40" s="166"/>
      <x:c r="FR40" s="172" t="str">
        <x:f>IF(FG40="","",IF(FQ40="","",FQ40-FP40*365/FS40))</x:f>
      </x:c>
      <x:c r="FS40" s="164"/>
      <x:c r="FT40" s="172" t="str">
        <x:f>IF(FG40="","",IFERROR(FL40*(FK40/FJ40-1),0))</x:f>
      </x:c>
    </x:row>
    <x:row r="41" ht="18" customHeight="1">
      <x:c r="A41" s="163" t="n">
        <x:v>25262</x:v>
      </x:c>
      <x:c r="B41" s="163" t="n">
        <x:v>25265</x:v>
      </x:c>
      <x:c r="C41" s="170" t="n">
        <x:f>B41-A41</x:f>
        <x:v>3</x:v>
      </x:c>
      <x:c r="D41" s="163" t="n">
        <x:v>25262</x:v>
      </x:c>
      <x:c r="E41" s="147" t="str">
        <x:v>positive</x:v>
      </x:c>
      <x:c r="F41" s="165" t="n">
        <x:v>1.0734961489880526</x:v>
      </x:c>
      <x:c r="G41" s="168" t="n">
        <x:v>-0.0022767481970465487</x:v>
      </x:c>
      <x:c r="H41" s="172" t="n">
        <x:f>SUM(AX41,BL41,BZ41,CN41,DB41,DP41,ED41,ER41,FF41,FT41)</x:f>
        <x:v>-0.0022767481970464853</x:v>
      </x:c>
      <x:c r="I41" s="174" t="n">
        <x:f>G41-H41</x:f>
        <x:v>-6.331740687315346e-17</x:v>
      </x:c>
      <x:c r="J41" s="171" t="n">
        <x:f>F41*(1+H41)</x:f>
        <x:v>1.0710520685663076</x:v>
      </x:c>
      <x:c r="K41" s="169" t="n">
        <x:v>1.0710520685663076</x:v>
      </x:c>
      <x:c r="L41" s="175" t="n">
        <x:f>K41-J41</x:f>
        <x:v>0</x:v>
      </x:c>
      <x:c r="M41" s="167" t="n">
        <x:v>1.825</x:v>
      </x:c>
      <x:c r="N41" s="167" t="n">
        <x:v>1.815</x:v>
      </x:c>
      <x:c r="O41" s="172" t="n">
        <x:f>IFERROR(N41/M41-1,0)</x:f>
        <x:v>-0.005479452054794498</x:v>
      </x:c>
      <x:c r="P41" s="171" t="n">
        <x:f>IFERROR(AD41/AH41,0)</x:f>
        <x:v>1.151729019023894</x:v>
      </x:c>
      <x:c r="Q41" s="171" t="n">
        <x:f>IFERROR(AE41/AI41,0)</x:f>
        <x:v>1.1554379891200164</x:v>
      </x:c>
      <x:c r="R41" s="172" t="n">
        <x:f>IFERROR((Q41-P41)/(P41+S41),0)</x:f>
        <x:v>0.0032203496090302285</x:v>
      </x:c>
      <x:c r="S41" s="172" t="n">
        <x:f>IFERROR(AF41/AH41,0)</x:f>
        <x:v>0</x:v>
      </x:c>
      <x:c r="T41" s="172" t="n">
        <x:f>IFERROR(AG41/AI41,0)</x:f>
        <x:v>0</x:v>
      </x:c>
      <x:c r="U41" s="172" t="n">
        <x:f>IFERROR((T41-S41)/(P41+S41),0)</x:f>
        <x:v>0</x:v>
      </x:c>
      <x:c r="V41" s="172" t="n">
        <x:f>R41+U41</x:f>
        <x:v>0.0032203496090302285</x:v>
      </x:c>
      <x:c r="W41" s="172" t="n">
        <x:f>(1+O41)*(1+V41)-1</x:f>
        <x:v>-0.0022767481970467074</x:v>
      </x:c>
      <x:c r="X41" s="174" t="n">
        <x:f>G41-W41</x:f>
        <x:v>1.5872719805187785e-16</x:v>
      </x:c>
      <x:c r="Y41" s="172" t="str">
        <x:f>AX41</x:f>
      </x:c>
      <x:c r="Z41" s="172" t="n">
        <x:f>BL41</x:f>
        <x:v>0.0005087671232877344</x:v>
      </x:c>
      <x:c r="AA41" s="172" t="n">
        <x:f>SUM(BZ41,CN41,DB41,DP41,ED41,ER41,FF41,FT41)</x:f>
        <x:v>-0.0027855153203342198</x:v>
      </x:c>
      <x:c r="AB41" s="172" t="n">
        <x:f>SUM(Y41:AA41)</x:f>
        <x:v>-0.0022767481970464853</x:v>
      </x:c>
      <x:c r="AC41" s="174" t="n">
        <x:f>G41-AB41</x:f>
        <x:v>-6.331740687315346e-17</x:v>
      </x:c>
      <x:c r="AD41" s="169" t="n">
        <x:v>1.0734961489880523</x:v>
      </x:c>
      <x:c r="AE41" s="169" t="n">
        <x:v>1.0710520685663074</x:v>
      </x:c>
      <x:c r="AF41" s="169" t="n">
        <x:v>0</x:v>
      </x:c>
      <x:c r="AG41" s="169" t="n">
        <x:v>0</x:v>
      </x:c>
      <x:c r="AH41" s="171" t="n">
        <x:f>M41/$M$3</x:f>
        <x:v>0.932073544433095</x:v>
      </x:c>
      <x:c r="AI41" s="171" t="n">
        <x:f>N41/$M$3</x:f>
        <x:v>0.9269662921348315</x:v>
      </x:c>
      <x:c r="AJ41" s="170" t="n">
        <x:f>IF(AK41&lt;&gt;"",1,0)+IF(AY41&lt;&gt;"",1,0)+IF(BM41&lt;&gt;"",1,0)+IF(CA41&lt;&gt;"",1,0)+IF(CO41&lt;&gt;"",1,0)+IF(DC41&lt;&gt;"",1,0)+IF(DQ41&lt;&gt;"",1,0)+IF(EE41&lt;&gt;"",1,0)+IF(ES41&lt;&gt;"",1,0)+IF(FG41&lt;&gt;"",1,0)</x:f>
        <x:v>2</x:v>
      </x:c>
      <x:c r="AK41" s="147"/>
      <x:c r="AL41" s="147"/>
      <x:c r="AM41" s="147"/>
      <x:c r="AN41" s="167"/>
      <x:c r="AO41" s="167"/>
      <x:c r="AP41" s="166"/>
      <x:c r="AQ41" s="171" t="str">
        <x:f>IF(AK41="","",IFERROR(F41*AP41/AN41,0))</x:f>
      </x:c>
      <x:c r="AR41" s="171" t="str">
        <x:f>IF(AK41="","",F41*ABS(AP41))</x:f>
      </x:c>
      <x:c r="AS41" s="165"/>
      <x:c r="AT41" s="172" t="str">
        <x:f>IF(AK41="","",IF(AS41="","",IFERROR(AN41/AS41-1,0)))</x:f>
      </x:c>
      <x:c r="AU41" s="166"/>
      <x:c r="AV41" s="172" t="str">
        <x:f>IF(AK41="","",IF(AU41="","",AU41-AT41*365/AW41))</x:f>
      </x:c>
      <x:c r="AW41" s="164"/>
      <x:c r="AX41" s="173" t="str">
        <x:f>IF(AK41="","",IFERROR(AP41*(AO41/AN41-1),0))</x:f>
      </x:c>
      <x:c r="AY41" s="147" t="str">
        <x:v>Matched-maturity Treasury collateral</x:v>
      </x:c>
      <x:c r="AZ41" s="147" t="str">
        <x:v>Treasury</x:v>
      </x:c>
      <x:c r="BA41" s="147" t="str">
        <x:v>Long</x:v>
      </x:c>
      <x:c r="BB41" s="167" t="n">
        <x:v>100.96116224440357</x:v>
      </x:c>
      <x:c r="BC41" s="167" t="n">
        <x:v>101.01252796448243</x:v>
      </x:c>
      <x:c r="BD41" s="166" t="n">
        <x:v>1</x:v>
      </x:c>
      <x:c r="BE41" s="171" t="n">
        <x:f>IF(AY41="","",IFERROR(F41*BD41/BB41,0))</x:f>
        <x:v>0.010632763382709158</x:v>
      </x:c>
      <x:c r="BF41" s="171" t="n">
        <x:f>IF(AY41="","",F41*ABS(BD41))</x:f>
        <x:v>1.0734961489880526</x:v>
      </x:c>
      <x:c r="BG41" s="165"/>
      <x:c r="BH41" s="172" t="str">
        <x:f>IF(AY41="","",IF(BG41="","",IFERROR(BB41/BG41-1,0)))</x:f>
      </x:c>
      <x:c r="BI41" s="166"/>
      <x:c r="BJ41" s="172" t="str">
        <x:f>IF(AY41="","",IF(BI41="","",BI41-BH41*365/BK41))</x:f>
      </x:c>
      <x:c r="BK41" s="164" t="n">
        <x:v>27</x:v>
      </x:c>
      <x:c r="BL41" s="172" t="n">
        <x:f>IF(AY41="","",IFERROR(BD41*(BC41/BB41-1),0))</x:f>
        <x:v>0.0005087671232877344</x:v>
      </x:c>
      <x:c r="BM41" s="147" t="str">
        <x:v>SI69H</x:v>
      </x:c>
      <x:c r="BN41" s="147" t="str">
        <x:v>Silver future (regular)</x:v>
      </x:c>
      <x:c r="BO41" s="147" t="str">
        <x:v>Long</x:v>
      </x:c>
      <x:c r="BP41" s="167" t="n">
        <x:v>1.795</x:v>
      </x:c>
      <x:c r="BQ41" s="167" t="n">
        <x:v>1.79</x:v>
      </x:c>
      <x:c r="BR41" s="166" t="n">
        <x:v>1</x:v>
      </x:c>
      <x:c r="BS41" s="171" t="n">
        <x:f>IF(BM41="","",IFERROR(F41*BR41/BP41,0))</x:f>
        <x:v>0.5980479938652103</x:v>
      </x:c>
      <x:c r="BT41" s="171" t="n">
        <x:f>IF(BM41="","",F41*ABS(BR41))</x:f>
        <x:v>1.0734961489880526</x:v>
      </x:c>
      <x:c r="BU41" s="165" t="n">
        <x:v>1.825</x:v>
      </x:c>
      <x:c r="BV41" s="172" t="n">
        <x:f>IF(BM41="","",IF(BU41="","",IFERROR(BP41/BU41-1,0)))</x:f>
        <x:v>-0.016438356164383605</x:v>
      </x:c>
      <x:c r="BW41" s="166" t="n">
        <x:v>0.0619</x:v>
      </x:c>
      <x:c r="BX41" s="172" t="n">
        <x:f>IF(BM41="","",IF(BW41="","",BW41-BV41*365/BY41))</x:f>
        <x:v>0.28412222222222283</x:v>
      </x:c>
      <x:c r="BY41" s="164" t="n">
        <x:v>27</x:v>
      </x:c>
      <x:c r="BZ41" s="172" t="n">
        <x:f>IF(BM41="","",IFERROR(BR41*(BQ41/BP41-1),0))</x:f>
        <x:v>-0.0027855153203342198</x:v>
      </x:c>
      <x:c r="CA41" s="147"/>
      <x:c r="CB41" s="147"/>
      <x:c r="CC41" s="147"/>
      <x:c r="CD41" s="167"/>
      <x:c r="CE41" s="167"/>
      <x:c r="CF41" s="166"/>
      <x:c r="CG41" s="171" t="str">
        <x:f>IF(CA41="","",IFERROR(F41*CF41/CD41,0))</x:f>
      </x:c>
      <x:c r="CH41" s="171" t="str">
        <x:f>IF(CA41="","",F41*ABS(CF41))</x:f>
      </x:c>
      <x:c r="CI41" s="165"/>
      <x:c r="CJ41" s="172" t="str">
        <x:f>IF(CA41="","",IF(CI41="","",IFERROR(CD41/CI41-1,0)))</x:f>
      </x:c>
      <x:c r="CK41" s="166"/>
      <x:c r="CL41" s="172" t="str">
        <x:f>IF(CA41="","",IF(CK41="","",CK41-CJ41*365/CM41))</x:f>
      </x:c>
      <x:c r="CM41" s="164"/>
      <x:c r="CN41" s="172" t="str">
        <x:f>IF(CA41="","",IFERROR(CF41*(CE41/CD41-1),0))</x:f>
      </x:c>
      <x:c r="CO41" s="147"/>
      <x:c r="CP41" s="147"/>
      <x:c r="CQ41" s="147"/>
      <x:c r="CR41" s="167"/>
      <x:c r="CS41" s="167"/>
      <x:c r="CT41" s="166"/>
      <x:c r="CU41" s="171" t="str">
        <x:f>IF(CO41="","",IFERROR(F41*CT41/CR41,0))</x:f>
      </x:c>
      <x:c r="CV41" s="171" t="str">
        <x:f>IF(CO41="","",F41*ABS(CT41))</x:f>
      </x:c>
      <x:c r="CW41" s="165"/>
      <x:c r="CX41" s="172" t="str">
        <x:f>IF(CO41="","",IF(CW41="","",IFERROR(CR41/CW41-1,0)))</x:f>
      </x:c>
      <x:c r="CY41" s="166"/>
      <x:c r="CZ41" s="172" t="str">
        <x:f>IF(CO41="","",IF(CY41="","",CY41-CX41*365/DA41))</x:f>
      </x:c>
      <x:c r="DA41" s="164"/>
      <x:c r="DB41" s="172" t="str">
        <x:f>IF(CO41="","",IFERROR(CT41*(CS41/CR41-1),0))</x:f>
      </x:c>
      <x:c r="DC41" s="147"/>
      <x:c r="DD41" s="147"/>
      <x:c r="DE41" s="147"/>
      <x:c r="DF41" s="167"/>
      <x:c r="DG41" s="167"/>
      <x:c r="DH41" s="166"/>
      <x:c r="DI41" s="171" t="str">
        <x:f>IF(DC41="","",IFERROR(F41*DH41/DF41,0))</x:f>
      </x:c>
      <x:c r="DJ41" s="171" t="str">
        <x:f>IF(DC41="","",F41*ABS(DH41))</x:f>
      </x:c>
      <x:c r="DK41" s="165"/>
      <x:c r="DL41" s="172" t="str">
        <x:f>IF(DC41="","",IF(DK41="","",IFERROR(DF41/DK41-1,0)))</x:f>
      </x:c>
      <x:c r="DM41" s="166"/>
      <x:c r="DN41" s="172" t="str">
        <x:f>IF(DC41="","",IF(DM41="","",DM41-DL41*365/DO41))</x:f>
      </x:c>
      <x:c r="DO41" s="164"/>
      <x:c r="DP41" s="172" t="str">
        <x:f>IF(DC41="","",IFERROR(DH41*(DG41/DF41-1),0))</x:f>
      </x:c>
      <x:c r="DQ41" s="147"/>
      <x:c r="DR41" s="147"/>
      <x:c r="DS41" s="147"/>
      <x:c r="DT41" s="167"/>
      <x:c r="DU41" s="167"/>
      <x:c r="DV41" s="166"/>
      <x:c r="DW41" s="171" t="str">
        <x:f>IF(DQ41="","",IFERROR(F41*DV41/DT41,0))</x:f>
      </x:c>
      <x:c r="DX41" s="171" t="str">
        <x:f>IF(DQ41="","",F41*ABS(DV41))</x:f>
      </x:c>
      <x:c r="DY41" s="165"/>
      <x:c r="DZ41" s="172" t="str">
        <x:f>IF(DQ41="","",IF(DY41="","",IFERROR(DT41/DY41-1,0)))</x:f>
      </x:c>
      <x:c r="EA41" s="166"/>
      <x:c r="EB41" s="172" t="str">
        <x:f>IF(DQ41="","",IF(EA41="","",EA41-DZ41*365/EC41))</x:f>
      </x:c>
      <x:c r="EC41" s="164"/>
      <x:c r="ED41" s="172" t="str">
        <x:f>IF(DQ41="","",IFERROR(DV41*(DU41/DT41-1),0))</x:f>
      </x:c>
      <x:c r="EE41" s="147"/>
      <x:c r="EF41" s="147"/>
      <x:c r="EG41" s="147"/>
      <x:c r="EH41" s="167"/>
      <x:c r="EI41" s="167"/>
      <x:c r="EJ41" s="166"/>
      <x:c r="EK41" s="171" t="str">
        <x:f>IF(EE41="","",IFERROR(F41*EJ41/EH41,0))</x:f>
      </x:c>
      <x:c r="EL41" s="171" t="str">
        <x:f>IF(EE41="","",F41*ABS(EJ41))</x:f>
      </x:c>
      <x:c r="EM41" s="165"/>
      <x:c r="EN41" s="172" t="str">
        <x:f>IF(EE41="","",IF(EM41="","",IFERROR(EH41/EM41-1,0)))</x:f>
      </x:c>
      <x:c r="EO41" s="166"/>
      <x:c r="EP41" s="172" t="str">
        <x:f>IF(EE41="","",IF(EO41="","",EO41-EN41*365/EQ41))</x:f>
      </x:c>
      <x:c r="EQ41" s="164"/>
      <x:c r="ER41" s="172" t="str">
        <x:f>IF(EE41="","",IFERROR(EJ41*(EI41/EH41-1),0))</x:f>
      </x:c>
      <x:c r="ES41" s="147"/>
      <x:c r="ET41" s="147"/>
      <x:c r="EU41" s="147"/>
      <x:c r="EV41" s="167"/>
      <x:c r="EW41" s="167"/>
      <x:c r="EX41" s="166"/>
      <x:c r="EY41" s="171" t="str">
        <x:f>IF(ES41="","",IFERROR(F41*EX41/EV41,0))</x:f>
      </x:c>
      <x:c r="EZ41" s="171" t="str">
        <x:f>IF(ES41="","",F41*ABS(EX41))</x:f>
      </x:c>
      <x:c r="FA41" s="165"/>
      <x:c r="FB41" s="172" t="str">
        <x:f>IF(ES41="","",IF(FA41="","",IFERROR(EV41/FA41-1,0)))</x:f>
      </x:c>
      <x:c r="FC41" s="166"/>
      <x:c r="FD41" s="172" t="str">
        <x:f>IF(ES41="","",IF(FC41="","",FC41-FB41*365/FE41))</x:f>
      </x:c>
      <x:c r="FE41" s="164"/>
      <x:c r="FF41" s="172" t="str">
        <x:f>IF(ES41="","",IFERROR(EX41*(EW41/EV41-1),0))</x:f>
      </x:c>
      <x:c r="FG41" s="147"/>
      <x:c r="FH41" s="147"/>
      <x:c r="FI41" s="147"/>
      <x:c r="FJ41" s="167"/>
      <x:c r="FK41" s="167"/>
      <x:c r="FL41" s="166"/>
      <x:c r="FM41" s="171" t="str">
        <x:f>IF(FG41="","",IFERROR(F41*FL41/FJ41,0))</x:f>
      </x:c>
      <x:c r="FN41" s="171" t="str">
        <x:f>IF(FG41="","",F41*ABS(FL41))</x:f>
      </x:c>
      <x:c r="FO41" s="165"/>
      <x:c r="FP41" s="172" t="str">
        <x:f>IF(FG41="","",IF(FO41="","",IFERROR(FJ41/FO41-1,0)))</x:f>
      </x:c>
      <x:c r="FQ41" s="166"/>
      <x:c r="FR41" s="172" t="str">
        <x:f>IF(FG41="","",IF(FQ41="","",FQ41-FP41*365/FS41))</x:f>
      </x:c>
      <x:c r="FS41" s="164"/>
      <x:c r="FT41" s="172" t="str">
        <x:f>IF(FG41="","",IFERROR(FL41*(FK41/FJ41-1),0))</x:f>
      </x:c>
    </x:row>
    <x:row r="42" ht="18" customHeight="1">
      <x:c r="A42" s="163" t="n">
        <x:v>25265</x:v>
      </x:c>
      <x:c r="B42" s="163" t="n">
        <x:v>25266</x:v>
      </x:c>
      <x:c r="C42" s="170" t="n">
        <x:f>B42-A42</x:f>
        <x:v>1</x:v>
      </x:c>
      <x:c r="D42" s="163" t="n">
        <x:v>25265</x:v>
      </x:c>
      <x:c r="E42" s="147" t="str">
        <x:v>positive</x:v>
      </x:c>
      <x:c r="F42" s="165" t="n">
        <x:v>1.0710520685663076</x:v>
      </x:c>
      <x:c r="G42" s="168" t="n">
        <x:v>0.028102001989745187</x:v>
      </x:c>
      <x:c r="H42" s="172" t="n">
        <x:f>SUM(AX42,BL42,BZ42,CN42,DB42,DP42,ED42,ER42,FF42,FT42)</x:f>
        <x:v>0.028102001989744885</x:v>
      </x:c>
      <x:c r="I42" s="174" t="n">
        <x:f>G42-H42</x:f>
        <x:v>3.0184188481996443e-16</x:v>
      </x:c>
      <x:c r="J42" s="171" t="n">
        <x:f>F42*(1+H42)</x:f>
        <x:v>1.1011507759282784</x:v>
      </x:c>
      <x:c r="K42" s="169" t="n">
        <x:v>1.1011507759282786</x:v>
      </x:c>
      <x:c r="L42" s="175" t="n">
        <x:f>K42-J42</x:f>
        <x:v>2.220446049250313e-16</x:v>
      </x:c>
      <x:c r="M42" s="167" t="n">
        <x:v>1.815</x:v>
      </x:c>
      <x:c r="N42" s="167" t="n">
        <x:v>1.797</x:v>
      </x:c>
      <x:c r="O42" s="172" t="n">
        <x:f>IFERROR(N42/M42-1,0)</x:f>
        <x:v>-0.00991735537190086</x:v>
      </x:c>
      <x:c r="P42" s="171" t="n">
        <x:f>IFERROR(AD42/AH42,0)</x:f>
        <x:v>1.1554379891200164</x:v>
      </x:c>
      <x:c r="Q42" s="171" t="n">
        <x:f>IFERROR(AE42/AI42,0)</x:f>
        <x:v>1.199807022408219</x:v>
      </x:c>
      <x:c r="R42" s="172" t="n">
        <x:f>IFERROR((Q42-P42)/(P42+S42),0)</x:f>
        <x:v>0.03840018564907499</x:v>
      </x:c>
      <x:c r="S42" s="172" t="n">
        <x:f>IFERROR(AF42/AH42,0)</x:f>
        <x:v>0</x:v>
      </x:c>
      <x:c r="T42" s="172" t="n">
        <x:f>IFERROR(AG42/AI42,0)</x:f>
        <x:v>0</x:v>
      </x:c>
      <x:c r="U42" s="172" t="n">
        <x:f>IFERROR((T42-S42)/(P42+S42),0)</x:f>
        <x:v>0</x:v>
      </x:c>
      <x:c r="V42" s="172" t="n">
        <x:f>R42+U42</x:f>
        <x:v>0.03840018564907499</x:v>
      </x:c>
      <x:c r="W42" s="172" t="n">
        <x:f>(1+O42)*(1+V42)-1</x:f>
        <x:v>0.02810200198974533</x:v>
      </x:c>
      <x:c r="X42" s="174" t="n">
        <x:f>G42-W42</x:f>
        <x:v>-1.4224732503009818e-16</x:v>
      </x:c>
      <x:c r="Y42" s="172" t="n">
        <x:f>AX42</x:f>
        <x:v>0</x:v>
      </x:c>
      <x:c r="Z42" s="172" t="n">
        <x:f>BL42</x:f>
        <x:v>0.00016904109589011007</x:v>
      </x:c>
      <x:c r="AA42" s="172" t="n">
        <x:f>SUM(BZ42,CN42,DB42,DP42,ED42,ER42,FF42,FT42)</x:f>
        <x:v>0.027932960893854775</x:v>
      </x:c>
      <x:c r="AB42" s="172" t="n">
        <x:f>SUM(Y42:AA42)</x:f>
        <x:v>0.028102001989744885</x:v>
      </x:c>
      <x:c r="AC42" s="174" t="n">
        <x:f>G42-AB42</x:f>
        <x:v>3.0184188481996443e-16</x:v>
      </x:c>
      <x:c r="AD42" s="169" t="n">
        <x:v>1.0710520685663074</x:v>
      </x:c>
      <x:c r="AE42" s="169" t="n">
        <x:v>1.1011507759282786</x:v>
      </x:c>
      <x:c r="AF42" s="169" t="n">
        <x:v>0</x:v>
      </x:c>
      <x:c r="AG42" s="169" t="n">
        <x:v>0</x:v>
      </x:c>
      <x:c r="AH42" s="171" t="n">
        <x:f>M42/$M$3</x:f>
        <x:v>0.9269662921348315</x:v>
      </x:c>
      <x:c r="AI42" s="171" t="n">
        <x:f>N42/$M$3</x:f>
        <x:v>0.9177732379979571</x:v>
      </x:c>
      <x:c r="AJ42" s="170" t="n">
        <x:f>IF(AK42&lt;&gt;"",1,0)+IF(AY42&lt;&gt;"",1,0)+IF(BM42&lt;&gt;"",1,0)+IF(CA42&lt;&gt;"",1,0)+IF(CO42&lt;&gt;"",1,0)+IF(DC42&lt;&gt;"",1,0)+IF(DQ42&lt;&gt;"",1,0)+IF(EE42&lt;&gt;"",1,0)+IF(ES42&lt;&gt;"",1,0)+IF(FG42&lt;&gt;"",1,0)</x:f>
        <x:v>2</x:v>
      </x:c>
      <x:c r="AK42" s="147"/>
      <x:c r="AL42" s="147"/>
      <x:c r="AM42" s="147"/>
      <x:c r="AN42" s="167"/>
      <x:c r="AO42" s="167"/>
      <x:c r="AP42" s="166"/>
      <x:c r="AQ42" s="171" t="str">
        <x:f>IF(AK42="","",IFERROR(F42*AP42/AN42,0))</x:f>
      </x:c>
      <x:c r="AR42" s="171" t="str">
        <x:f>IF(AK42="","",F42*ABS(AP42))</x:f>
      </x:c>
      <x:c r="AS42" s="165"/>
      <x:c r="AT42" s="172" t="str">
        <x:f>IF(AK42="","",IF(AS42="","",IFERROR(AN42/AS42-1,0)))</x:f>
      </x:c>
      <x:c r="AU42" s="166"/>
      <x:c r="AV42" s="172" t="str">
        <x:f>IF(AK42="","",IF(AU42="","",AU42-AT42*365/AW42))</x:f>
      </x:c>
      <x:c r="AW42" s="164"/>
      <x:c r="AX42" s="173" t="str">
        <x:f>IF(AK42="","",IFERROR(AP42*(AO42/AN42-1),0))</x:f>
      </x:c>
      <x:c r="AY42" s="147" t="str">
        <x:v>Matched-maturity Treasury collateral</x:v>
      </x:c>
      <x:c r="AZ42" s="147" t="str">
        <x:v>Treasury</x:v>
      </x:c>
      <x:c r="BA42" s="147" t="str">
        <x:v>Long</x:v>
      </x:c>
      <x:c r="BB42" s="167" t="n">
        <x:v>101.01252796448243</x:v>
      </x:c>
      <x:c r="BC42" s="167" t="n">
        <x:v>101.02960323290819</x:v>
      </x:c>
      <x:c r="BD42" s="166" t="n">
        <x:v>1</x:v>
      </x:c>
      <x:c r="BE42" s="171" t="n">
        <x:f>IF(AY42="","",IFERROR(F42*BD42/BB42,0))</x:f>
        <x:v>0.01060316071827156</x:v>
      </x:c>
      <x:c r="BF42" s="171" t="n">
        <x:f>IF(AY42="","",F42*ABS(BD42))</x:f>
        <x:v>1.0710520685663076</x:v>
      </x:c>
      <x:c r="BG42" s="165"/>
      <x:c r="BH42" s="172" t="str">
        <x:f>IF(AY42="","",IF(BG42="","",IFERROR(BB42/BG42-1,0)))</x:f>
      </x:c>
      <x:c r="BI42" s="166"/>
      <x:c r="BJ42" s="172" t="str">
        <x:f>IF(AY42="","",IF(BI42="","",BI42-BH42*365/BK42))</x:f>
      </x:c>
      <x:c r="BK42" s="164" t="n">
        <x:v>24</x:v>
      </x:c>
      <x:c r="BL42" s="172" t="n">
        <x:f>IF(AY42="","",IFERROR(BD42*(BC42/BB42-1),0))</x:f>
        <x:v>0.00016904109589011007</x:v>
      </x:c>
      <x:c r="BM42" s="147" t="str">
        <x:v>SI69H</x:v>
      </x:c>
      <x:c r="BN42" s="147" t="str">
        <x:v>Silver future (regular)</x:v>
      </x:c>
      <x:c r="BO42" s="147" t="str">
        <x:v>Long</x:v>
      </x:c>
      <x:c r="BP42" s="167" t="n">
        <x:v>1.79</x:v>
      </x:c>
      <x:c r="BQ42" s="167" t="n">
        <x:v>1.84</x:v>
      </x:c>
      <x:c r="BR42" s="166" t="n">
        <x:v>1</x:v>
      </x:c>
      <x:c r="BS42" s="171" t="n">
        <x:f>IF(BM42="","",IFERROR(F42*BR42/BP42,0))</x:f>
        <x:v>0.5983531109308982</x:v>
      </x:c>
      <x:c r="BT42" s="171" t="n">
        <x:f>IF(BM42="","",F42*ABS(BR42))</x:f>
        <x:v>1.0710520685663076</x:v>
      </x:c>
      <x:c r="BU42" s="165" t="n">
        <x:v>1.815</x:v>
      </x:c>
      <x:c r="BV42" s="172" t="n">
        <x:f>IF(BM42="","",IF(BU42="","",IFERROR(BP42/BU42-1,0)))</x:f>
        <x:v>-0.01377410468319551</x:v>
      </x:c>
      <x:c r="BW42" s="166" t="n">
        <x:v>0.0617</x:v>
      </x:c>
      <x:c r="BX42" s="172" t="n">
        <x:f>IF(BM42="","",IF(BW42="","",BW42-BV42*365/BY42))</x:f>
        <x:v>0.27118117539026504</x:v>
      </x:c>
      <x:c r="BY42" s="164" t="n">
        <x:v>24</x:v>
      </x:c>
      <x:c r="BZ42" s="172" t="n">
        <x:f>IF(BM42="","",IFERROR(BR42*(BQ42/BP42-1),0))</x:f>
        <x:v>0.027932960893854775</x:v>
      </x:c>
      <x:c r="CA42" s="147"/>
      <x:c r="CB42" s="147"/>
      <x:c r="CC42" s="147"/>
      <x:c r="CD42" s="167"/>
      <x:c r="CE42" s="167"/>
      <x:c r="CF42" s="166"/>
      <x:c r="CG42" s="171" t="str">
        <x:f>IF(CA42="","",IFERROR(F42*CF42/CD42,0))</x:f>
      </x:c>
      <x:c r="CH42" s="171" t="str">
        <x:f>IF(CA42="","",F42*ABS(CF42))</x:f>
      </x:c>
      <x:c r="CI42" s="165"/>
      <x:c r="CJ42" s="172" t="str">
        <x:f>IF(CA42="","",IF(CI42="","",IFERROR(CD42/CI42-1,0)))</x:f>
      </x:c>
      <x:c r="CK42" s="166"/>
      <x:c r="CL42" s="172" t="str">
        <x:f>IF(CA42="","",IF(CK42="","",CK42-CJ42*365/CM42))</x:f>
      </x:c>
      <x:c r="CM42" s="164"/>
      <x:c r="CN42" s="172" t="str">
        <x:f>IF(CA42="","",IFERROR(CF42*(CE42/CD42-1),0))</x:f>
      </x:c>
      <x:c r="CO42" s="147"/>
      <x:c r="CP42" s="147"/>
      <x:c r="CQ42" s="147"/>
      <x:c r="CR42" s="167"/>
      <x:c r="CS42" s="167"/>
      <x:c r="CT42" s="166"/>
      <x:c r="CU42" s="171" t="str">
        <x:f>IF(CO42="","",IFERROR(F42*CT42/CR42,0))</x:f>
      </x:c>
      <x:c r="CV42" s="171" t="str">
        <x:f>IF(CO42="","",F42*ABS(CT42))</x:f>
      </x:c>
      <x:c r="CW42" s="165"/>
      <x:c r="CX42" s="172" t="str">
        <x:f>IF(CO42="","",IF(CW42="","",IFERROR(CR42/CW42-1,0)))</x:f>
      </x:c>
      <x:c r="CY42" s="166"/>
      <x:c r="CZ42" s="172" t="str">
        <x:f>IF(CO42="","",IF(CY42="","",CY42-CX42*365/DA42))</x:f>
      </x:c>
      <x:c r="DA42" s="164"/>
      <x:c r="DB42" s="172" t="str">
        <x:f>IF(CO42="","",IFERROR(CT42*(CS42/CR42-1),0))</x:f>
      </x:c>
      <x:c r="DC42" s="147"/>
      <x:c r="DD42" s="147"/>
      <x:c r="DE42" s="147"/>
      <x:c r="DF42" s="167"/>
      <x:c r="DG42" s="167"/>
      <x:c r="DH42" s="166"/>
      <x:c r="DI42" s="171" t="str">
        <x:f>IF(DC42="","",IFERROR(F42*DH42/DF42,0))</x:f>
      </x:c>
      <x:c r="DJ42" s="171" t="str">
        <x:f>IF(DC42="","",F42*ABS(DH42))</x:f>
      </x:c>
      <x:c r="DK42" s="165"/>
      <x:c r="DL42" s="172" t="str">
        <x:f>IF(DC42="","",IF(DK42="","",IFERROR(DF42/DK42-1,0)))</x:f>
      </x:c>
      <x:c r="DM42" s="166"/>
      <x:c r="DN42" s="172" t="str">
        <x:f>IF(DC42="","",IF(DM42="","",DM42-DL42*365/DO42))</x:f>
      </x:c>
      <x:c r="DO42" s="164"/>
      <x:c r="DP42" s="172" t="str">
        <x:f>IF(DC42="","",IFERROR(DH42*(DG42/DF42-1),0))</x:f>
      </x:c>
      <x:c r="DQ42" s="147"/>
      <x:c r="DR42" s="147"/>
      <x:c r="DS42" s="147"/>
      <x:c r="DT42" s="167"/>
      <x:c r="DU42" s="167"/>
      <x:c r="DV42" s="166"/>
      <x:c r="DW42" s="171" t="str">
        <x:f>IF(DQ42="","",IFERROR(F42*DV42/DT42,0))</x:f>
      </x:c>
      <x:c r="DX42" s="171" t="str">
        <x:f>IF(DQ42="","",F42*ABS(DV42))</x:f>
      </x:c>
      <x:c r="DY42" s="165"/>
      <x:c r="DZ42" s="172" t="str">
        <x:f>IF(DQ42="","",IF(DY42="","",IFERROR(DT42/DY42-1,0)))</x:f>
      </x:c>
      <x:c r="EA42" s="166"/>
      <x:c r="EB42" s="172" t="str">
        <x:f>IF(DQ42="","",IF(EA42="","",EA42-DZ42*365/EC42))</x:f>
      </x:c>
      <x:c r="EC42" s="164"/>
      <x:c r="ED42" s="172" t="str">
        <x:f>IF(DQ42="","",IFERROR(DV42*(DU42/DT42-1),0))</x:f>
      </x:c>
      <x:c r="EE42" s="147"/>
      <x:c r="EF42" s="147"/>
      <x:c r="EG42" s="147"/>
      <x:c r="EH42" s="167"/>
      <x:c r="EI42" s="167"/>
      <x:c r="EJ42" s="166"/>
      <x:c r="EK42" s="171" t="str">
        <x:f>IF(EE42="","",IFERROR(F42*EJ42/EH42,0))</x:f>
      </x:c>
      <x:c r="EL42" s="171" t="str">
        <x:f>IF(EE42="","",F42*ABS(EJ42))</x:f>
      </x:c>
      <x:c r="EM42" s="165"/>
      <x:c r="EN42" s="172" t="str">
        <x:f>IF(EE42="","",IF(EM42="","",IFERROR(EH42/EM42-1,0)))</x:f>
      </x:c>
      <x:c r="EO42" s="166"/>
      <x:c r="EP42" s="172" t="str">
        <x:f>IF(EE42="","",IF(EO42="","",EO42-EN42*365/EQ42))</x:f>
      </x:c>
      <x:c r="EQ42" s="164"/>
      <x:c r="ER42" s="172" t="str">
        <x:f>IF(EE42="","",IFERROR(EJ42*(EI42/EH42-1),0))</x:f>
      </x:c>
      <x:c r="ES42" s="147"/>
      <x:c r="ET42" s="147"/>
      <x:c r="EU42" s="147"/>
      <x:c r="EV42" s="167"/>
      <x:c r="EW42" s="167"/>
      <x:c r="EX42" s="166"/>
      <x:c r="EY42" s="171" t="str">
        <x:f>IF(ES42="","",IFERROR(F42*EX42/EV42,0))</x:f>
      </x:c>
      <x:c r="EZ42" s="171" t="str">
        <x:f>IF(ES42="","",F42*ABS(EX42))</x:f>
      </x:c>
      <x:c r="FA42" s="165"/>
      <x:c r="FB42" s="172" t="str">
        <x:f>IF(ES42="","",IF(FA42="","",IFERROR(EV42/FA42-1,0)))</x:f>
      </x:c>
      <x:c r="FC42" s="166"/>
      <x:c r="FD42" s="172" t="str">
        <x:f>IF(ES42="","",IF(FC42="","",FC42-FB42*365/FE42))</x:f>
      </x:c>
      <x:c r="FE42" s="164"/>
      <x:c r="FF42" s="172" t="str">
        <x:f>IF(ES42="","",IFERROR(EX42*(EW42/EV42-1),0))</x:f>
      </x:c>
      <x:c r="FG42" s="147"/>
      <x:c r="FH42" s="147"/>
      <x:c r="FI42" s="147"/>
      <x:c r="FJ42" s="167"/>
      <x:c r="FK42" s="167"/>
      <x:c r="FL42" s="166"/>
      <x:c r="FM42" s="171" t="str">
        <x:f>IF(FG42="","",IFERROR(F42*FL42/FJ42,0))</x:f>
      </x:c>
      <x:c r="FN42" s="171" t="str">
        <x:f>IF(FG42="","",F42*ABS(FL42))</x:f>
      </x:c>
      <x:c r="FO42" s="165"/>
      <x:c r="FP42" s="172" t="str">
        <x:f>IF(FG42="","",IF(FO42="","",IFERROR(FJ42/FO42-1,0)))</x:f>
      </x:c>
      <x:c r="FQ42" s="166"/>
      <x:c r="FR42" s="172" t="str">
        <x:f>IF(FG42="","",IF(FQ42="","",FQ42-FP42*365/FS42))</x:f>
      </x:c>
      <x:c r="FS42" s="164"/>
      <x:c r="FT42" s="172" t="str">
        <x:f>IF(FG42="","",IFERROR(FL42*(FK42/FJ42-1),0))</x:f>
      </x:c>
    </x:row>
    <x:row r="43" ht="18" customHeight="1">
      <x:c r="A43" s="163" t="n">
        <x:v>25266</x:v>
      </x:c>
      <x:c r="B43" s="163" t="n">
        <x:v>25267</x:v>
      </x:c>
      <x:c r="C43" s="170" t="n">
        <x:f>B43-A43</x:f>
        <x:v>1</x:v>
      </x:c>
      <x:c r="D43" s="163" t="n">
        <x:v>25266</x:v>
      </x:c>
      <x:c r="E43" s="147" t="str">
        <x:v>neutral</x:v>
      </x:c>
      <x:c r="F43" s="165" t="n">
        <x:v>1.1011507759282786</x:v>
      </x:c>
      <x:c r="G43" s="168" t="n">
        <x:v>0.03616454745732995</x:v>
      </x:c>
      <x:c r="H43" s="172" t="n">
        <x:f>SUM(AX43,BL43,BZ43,CN43,DB43,DP43,ED43,ER43,FF43,FT43)</x:f>
        <x:v>0.03616454745732995</x:v>
      </x:c>
      <x:c r="I43" s="174" t="n">
        <x:f>G43-H43</x:f>
        <x:v>0</x:v>
      </x:c>
      <x:c r="J43" s="171" t="n">
        <x:f>F43*(1+H43)</x:f>
        <x:v>1.1409733954220125</x:v>
      </x:c>
      <x:c r="K43" s="169" t="n">
        <x:v>1.1409733954220125</x:v>
      </x:c>
      <x:c r="L43" s="175" t="n">
        <x:f>K43-J43</x:f>
        <x:v>0</x:v>
      </x:c>
      <x:c r="M43" s="167" t="n">
        <x:v>1.797</x:v>
      </x:c>
      <x:c r="N43" s="167" t="n">
        <x:v>1.862</x:v>
      </x:c>
      <x:c r="O43" s="172" t="n">
        <x:f>IFERROR(N43/M43-1,0)</x:f>
        <x:v>0.036171396772398445</x:v>
      </x:c>
      <x:c r="P43" s="171" t="n">
        <x:f>IFERROR(AD43/AH43,0)</x:f>
        <x:v>1.199807022408219</x:v>
      </x:c>
      <x:c r="Q43" s="171" t="n">
        <x:f>IFERROR(AE43/AI43,0)</x:f>
        <x:v>1.1997990914265844</x:v>
      </x:c>
      <x:c r="R43" s="172" t="n">
        <x:f>IFERROR((Q43-P43)/(P43+S43),0)</x:f>
        <x:v>-0.000006610214381494379</x:v>
      </x:c>
      <x:c r="S43" s="172" t="n">
        <x:f>IFERROR(AF43/AH43,0)</x:f>
        <x:v>0</x:v>
      </x:c>
      <x:c r="T43" s="172" t="n">
        <x:f>IFERROR(AG43/AI43,0)</x:f>
        <x:v>0</x:v>
      </x:c>
      <x:c r="U43" s="172" t="n">
        <x:f>IFERROR((T43-S43)/(P43+S43),0)</x:f>
        <x:v>0</x:v>
      </x:c>
      <x:c r="V43" s="172" t="n">
        <x:f>R43+U43</x:f>
        <x:v>-0.000006610214381494379</x:v>
      </x:c>
      <x:c r="W43" s="172" t="n">
        <x:f>(1+O43)*(1+V43)-1</x:f>
        <x:v>0.036164547457329776</x:v>
      </x:c>
      <x:c r="X43" s="174" t="n">
        <x:f>G43-W43</x:f>
        <x:v>1.734723475976807e-16</x:v>
      </x:c>
      <x:c r="Y43" s="172" t="n">
        <x:f>AX43</x:f>
        <x:v>0.03616454745732995</x:v>
      </x:c>
      <x:c r="Z43" s="172" t="str">
        <x:f>BL43</x:f>
      </x:c>
      <x:c r="AA43" s="172" t="n">
        <x:f>SUM(BZ43,CN43,DB43,DP43,ED43,ER43,FF43,FT43)</x:f>
        <x:v>0</x:v>
      </x:c>
      <x:c r="AB43" s="172" t="n">
        <x:f>SUM(Y43:AA43)</x:f>
        <x:v>0.03616454745732995</x:v>
      </x:c>
      <x:c r="AC43" s="174" t="n">
        <x:f>G43-AB43</x:f>
        <x:v>0</x:v>
      </x:c>
      <x:c r="AD43" s="169" t="n">
        <x:v>1.1011507759282786</x:v>
      </x:c>
      <x:c r="AE43" s="169" t="n">
        <x:v>1.1409733954220125</x:v>
      </x:c>
      <x:c r="AF43" s="169" t="n">
        <x:v>0</x:v>
      </x:c>
      <x:c r="AG43" s="169" t="n">
        <x:v>0</x:v>
      </x:c>
      <x:c r="AH43" s="171" t="n">
        <x:f>M43/$M$3</x:f>
        <x:v>0.9177732379979571</x:v>
      </x:c>
      <x:c r="AI43" s="171" t="n">
        <x:f>N43/$M$3</x:f>
        <x:v>0.9509703779366702</x:v>
      </x:c>
      <x:c r="AJ43" s="170" t="n">
        <x:f>IF(AK43&lt;&gt;"",1,0)+IF(AY43&lt;&gt;"",1,0)+IF(BM43&lt;&gt;"",1,0)+IF(CA43&lt;&gt;"",1,0)+IF(CO43&lt;&gt;"",1,0)+IF(DC43&lt;&gt;"",1,0)+IF(DQ43&lt;&gt;"",1,0)+IF(EE43&lt;&gt;"",1,0)+IF(ES43&lt;&gt;"",1,0)+IF(FG43&lt;&gt;"",1,0)</x:f>
        <x:v>1</x:v>
      </x:c>
      <x:c r="AK43" s="147" t="str">
        <x:v>Silver replicating holding (LBMA/SLV proxy)</x:v>
      </x:c>
      <x:c r="AL43" s="147" t="str">
        <x:v>Physical-backed proxy</x:v>
      </x:c>
      <x:c r="AM43" s="147" t="str">
        <x:v>Long</x:v>
      </x:c>
      <x:c r="AN43" s="167" t="n">
        <x:v>1.797</x:v>
      </x:c>
      <x:c r="AO43" s="167" t="n">
        <x:v>1.862</x:v>
      </x:c>
      <x:c r="AP43" s="166" t="n">
        <x:v>1</x:v>
      </x:c>
      <x:c r="AQ43" s="171" t="n">
        <x:f>IF(AK43="","",IFERROR(F43*AP43/AN43,0))</x:f>
        <x:v>0.6127717172667104</x:v>
      </x:c>
      <x:c r="AR43" s="171" t="n">
        <x:f>IF(AK43="","",F43*ABS(AP43))</x:f>
        <x:v>1.1011507759282786</x:v>
      </x:c>
      <x:c r="AS43" s="165"/>
      <x:c r="AT43" s="172" t="str">
        <x:f>IF(AK43="","",IF(AS43="","",IFERROR(AN43/AS43-1,0)))</x:f>
      </x:c>
      <x:c r="AU43" s="166"/>
      <x:c r="AV43" s="172" t="str">
        <x:f>IF(AK43="","",IF(AU43="","",AU43-AT43*365/AW43))</x:f>
      </x:c>
      <x:c r="AW43" s="164"/>
      <x:c r="AX43" s="173" t="n">
        <x:f>IF(AK43="","",IFERROR(AP43*(AO43/AN43-1-'Parameters'!$C$6*C43/365),0))</x:f>
        <x:v>0.03616454745732995</x:v>
      </x:c>
      <x:c r="AY43" s="147"/>
      <x:c r="AZ43" s="147"/>
      <x:c r="BA43" s="147"/>
      <x:c r="BB43" s="167"/>
      <x:c r="BC43" s="167"/>
      <x:c r="BD43" s="166"/>
      <x:c r="BE43" s="171" t="str">
        <x:f>IF(AY43="","",IFERROR(F43*BD43/BB43,0))</x:f>
      </x:c>
      <x:c r="BF43" s="171" t="str">
        <x:f>IF(AY43="","",F43*ABS(BD43))</x:f>
      </x:c>
      <x:c r="BG43" s="165"/>
      <x:c r="BH43" s="172" t="str">
        <x:f>IF(AY43="","",IF(BG43="","",IFERROR(BB43/BG43-1,0)))</x:f>
      </x:c>
      <x:c r="BI43" s="166"/>
      <x:c r="BJ43" s="172" t="str">
        <x:f>IF(AY43="","",IF(BI43="","",BI43-BH43*365/BK43))</x:f>
      </x:c>
      <x:c r="BK43" s="164"/>
      <x:c r="BL43" s="172" t="str">
        <x:f>IF(AY43="","",IFERROR(BD43*(BC43/BB43-1),0))</x:f>
      </x:c>
      <x:c r="BM43" s="147"/>
      <x:c r="BN43" s="147"/>
      <x:c r="BO43" s="147"/>
      <x:c r="BP43" s="167"/>
      <x:c r="BQ43" s="167"/>
      <x:c r="BR43" s="166"/>
      <x:c r="BS43" s="171" t="str">
        <x:f>IF(BM43="","",IFERROR(F43*BR43/BP43,0))</x:f>
      </x:c>
      <x:c r="BT43" s="171" t="str">
        <x:f>IF(BM43="","",F43*ABS(BR43))</x:f>
      </x:c>
      <x:c r="BU43" s="165"/>
      <x:c r="BV43" s="172" t="str">
        <x:f>IF(BM43="","",IF(BU43="","",IFERROR(BP43/BU43-1,0)))</x:f>
      </x:c>
      <x:c r="BW43" s="166"/>
      <x:c r="BX43" s="172" t="str">
        <x:f>IF(BM43="","",IF(BW43="","",BW43-BV43*365/BY43))</x:f>
      </x:c>
      <x:c r="BY43" s="164"/>
      <x:c r="BZ43" s="172" t="str">
        <x:f>IF(BM43="","",IFERROR(BR43*(BQ43/BP43-1),0))</x:f>
      </x:c>
      <x:c r="CA43" s="147"/>
      <x:c r="CB43" s="147"/>
      <x:c r="CC43" s="147"/>
      <x:c r="CD43" s="167"/>
      <x:c r="CE43" s="167"/>
      <x:c r="CF43" s="166"/>
      <x:c r="CG43" s="171" t="str">
        <x:f>IF(CA43="","",IFERROR(F43*CF43/CD43,0))</x:f>
      </x:c>
      <x:c r="CH43" s="171" t="str">
        <x:f>IF(CA43="","",F43*ABS(CF43))</x:f>
      </x:c>
      <x:c r="CI43" s="165"/>
      <x:c r="CJ43" s="172" t="str">
        <x:f>IF(CA43="","",IF(CI43="","",IFERROR(CD43/CI43-1,0)))</x:f>
      </x:c>
      <x:c r="CK43" s="166"/>
      <x:c r="CL43" s="172" t="str">
        <x:f>IF(CA43="","",IF(CK43="","",CK43-CJ43*365/CM43))</x:f>
      </x:c>
      <x:c r="CM43" s="164"/>
      <x:c r="CN43" s="172" t="str">
        <x:f>IF(CA43="","",IFERROR(CF43*(CE43/CD43-1),0))</x:f>
      </x:c>
      <x:c r="CO43" s="147"/>
      <x:c r="CP43" s="147"/>
      <x:c r="CQ43" s="147"/>
      <x:c r="CR43" s="167"/>
      <x:c r="CS43" s="167"/>
      <x:c r="CT43" s="166"/>
      <x:c r="CU43" s="171" t="str">
        <x:f>IF(CO43="","",IFERROR(F43*CT43/CR43,0))</x:f>
      </x:c>
      <x:c r="CV43" s="171" t="str">
        <x:f>IF(CO43="","",F43*ABS(CT43))</x:f>
      </x:c>
      <x:c r="CW43" s="165"/>
      <x:c r="CX43" s="172" t="str">
        <x:f>IF(CO43="","",IF(CW43="","",IFERROR(CR43/CW43-1,0)))</x:f>
      </x:c>
      <x:c r="CY43" s="166"/>
      <x:c r="CZ43" s="172" t="str">
        <x:f>IF(CO43="","",IF(CY43="","",CY43-CX43*365/DA43))</x:f>
      </x:c>
      <x:c r="DA43" s="164"/>
      <x:c r="DB43" s="172" t="str">
        <x:f>IF(CO43="","",IFERROR(CT43*(CS43/CR43-1),0))</x:f>
      </x:c>
      <x:c r="DC43" s="147"/>
      <x:c r="DD43" s="147"/>
      <x:c r="DE43" s="147"/>
      <x:c r="DF43" s="167"/>
      <x:c r="DG43" s="167"/>
      <x:c r="DH43" s="166"/>
      <x:c r="DI43" s="171" t="str">
        <x:f>IF(DC43="","",IFERROR(F43*DH43/DF43,0))</x:f>
      </x:c>
      <x:c r="DJ43" s="171" t="str">
        <x:f>IF(DC43="","",F43*ABS(DH43))</x:f>
      </x:c>
      <x:c r="DK43" s="165"/>
      <x:c r="DL43" s="172" t="str">
        <x:f>IF(DC43="","",IF(DK43="","",IFERROR(DF43/DK43-1,0)))</x:f>
      </x:c>
      <x:c r="DM43" s="166"/>
      <x:c r="DN43" s="172" t="str">
        <x:f>IF(DC43="","",IF(DM43="","",DM43-DL43*365/DO43))</x:f>
      </x:c>
      <x:c r="DO43" s="164"/>
      <x:c r="DP43" s="172" t="str">
        <x:f>IF(DC43="","",IFERROR(DH43*(DG43/DF43-1),0))</x:f>
      </x:c>
      <x:c r="DQ43" s="147"/>
      <x:c r="DR43" s="147"/>
      <x:c r="DS43" s="147"/>
      <x:c r="DT43" s="167"/>
      <x:c r="DU43" s="167"/>
      <x:c r="DV43" s="166"/>
      <x:c r="DW43" s="171" t="str">
        <x:f>IF(DQ43="","",IFERROR(F43*DV43/DT43,0))</x:f>
      </x:c>
      <x:c r="DX43" s="171" t="str">
        <x:f>IF(DQ43="","",F43*ABS(DV43))</x:f>
      </x:c>
      <x:c r="DY43" s="165"/>
      <x:c r="DZ43" s="172" t="str">
        <x:f>IF(DQ43="","",IF(DY43="","",IFERROR(DT43/DY43-1,0)))</x:f>
      </x:c>
      <x:c r="EA43" s="166"/>
      <x:c r="EB43" s="172" t="str">
        <x:f>IF(DQ43="","",IF(EA43="","",EA43-DZ43*365/EC43))</x:f>
      </x:c>
      <x:c r="EC43" s="164"/>
      <x:c r="ED43" s="172" t="str">
        <x:f>IF(DQ43="","",IFERROR(DV43*(DU43/DT43-1),0))</x:f>
      </x:c>
      <x:c r="EE43" s="147"/>
      <x:c r="EF43" s="147"/>
      <x:c r="EG43" s="147"/>
      <x:c r="EH43" s="167"/>
      <x:c r="EI43" s="167"/>
      <x:c r="EJ43" s="166"/>
      <x:c r="EK43" s="171" t="str">
        <x:f>IF(EE43="","",IFERROR(F43*EJ43/EH43,0))</x:f>
      </x:c>
      <x:c r="EL43" s="171" t="str">
        <x:f>IF(EE43="","",F43*ABS(EJ43))</x:f>
      </x:c>
      <x:c r="EM43" s="165"/>
      <x:c r="EN43" s="172" t="str">
        <x:f>IF(EE43="","",IF(EM43="","",IFERROR(EH43/EM43-1,0)))</x:f>
      </x:c>
      <x:c r="EO43" s="166"/>
      <x:c r="EP43" s="172" t="str">
        <x:f>IF(EE43="","",IF(EO43="","",EO43-EN43*365/EQ43))</x:f>
      </x:c>
      <x:c r="EQ43" s="164"/>
      <x:c r="ER43" s="172" t="str">
        <x:f>IF(EE43="","",IFERROR(EJ43*(EI43/EH43-1),0))</x:f>
      </x:c>
      <x:c r="ES43" s="147"/>
      <x:c r="ET43" s="147"/>
      <x:c r="EU43" s="147"/>
      <x:c r="EV43" s="167"/>
      <x:c r="EW43" s="167"/>
      <x:c r="EX43" s="166"/>
      <x:c r="EY43" s="171" t="str">
        <x:f>IF(ES43="","",IFERROR(F43*EX43/EV43,0))</x:f>
      </x:c>
      <x:c r="EZ43" s="171" t="str">
        <x:f>IF(ES43="","",F43*ABS(EX43))</x:f>
      </x:c>
      <x:c r="FA43" s="165"/>
      <x:c r="FB43" s="172" t="str">
        <x:f>IF(ES43="","",IF(FA43="","",IFERROR(EV43/FA43-1,0)))</x:f>
      </x:c>
      <x:c r="FC43" s="166"/>
      <x:c r="FD43" s="172" t="str">
        <x:f>IF(ES43="","",IF(FC43="","",FC43-FB43*365/FE43))</x:f>
      </x:c>
      <x:c r="FE43" s="164"/>
      <x:c r="FF43" s="172" t="str">
        <x:f>IF(ES43="","",IFERROR(EX43*(EW43/EV43-1),0))</x:f>
      </x:c>
      <x:c r="FG43" s="147"/>
      <x:c r="FH43" s="147"/>
      <x:c r="FI43" s="147"/>
      <x:c r="FJ43" s="167"/>
      <x:c r="FK43" s="167"/>
      <x:c r="FL43" s="166"/>
      <x:c r="FM43" s="171" t="str">
        <x:f>IF(FG43="","",IFERROR(F43*FL43/FJ43,0))</x:f>
      </x:c>
      <x:c r="FN43" s="171" t="str">
        <x:f>IF(FG43="","",F43*ABS(FL43))</x:f>
      </x:c>
      <x:c r="FO43" s="165"/>
      <x:c r="FP43" s="172" t="str">
        <x:f>IF(FG43="","",IF(FO43="","",IFERROR(FJ43/FO43-1,0)))</x:f>
      </x:c>
      <x:c r="FQ43" s="166"/>
      <x:c r="FR43" s="172" t="str">
        <x:f>IF(FG43="","",IF(FQ43="","",FQ43-FP43*365/FS43))</x:f>
      </x:c>
      <x:c r="FS43" s="164"/>
      <x:c r="FT43" s="172" t="str">
        <x:f>IF(FG43="","",IFERROR(FL43*(FK43/FJ43-1),0))</x:f>
      </x:c>
    </x:row>
    <x:row r="44" ht="18" customHeight="1">
      <x:c r="A44" s="163" t="n">
        <x:v>25267</x:v>
      </x:c>
      <x:c r="B44" s="163" t="n">
        <x:v>25268</x:v>
      </x:c>
      <x:c r="C44" s="170" t="n">
        <x:f>B44-A44</x:f>
        <x:v>1</x:v>
      </x:c>
      <x:c r="D44" s="163" t="n">
        <x:v>25267</x:v>
      </x:c>
      <x:c r="E44" s="147" t="str">
        <x:v>positive</x:v>
      </x:c>
      <x:c r="F44" s="165" t="n">
        <x:v>1.1409733954220125</x:v>
      </x:c>
      <x:c r="G44" s="168" t="n">
        <x:v>0.021226671053592775</x:v>
      </x:c>
      <x:c r="H44" s="172" t="n">
        <x:f>SUM(AX44,BL44,BZ44,CN44,DB44,DP44,ED44,ER44,FF44,FT44)</x:f>
        <x:v>0.021226671053592674</x:v>
      </x:c>
      <x:c r="I44" s="174" t="n">
        <x:f>G44-H44</x:f>
        <x:v>1.0061396160665481e-16</x:v>
      </x:c>
      <x:c r="J44" s="171" t="n">
        <x:f>F44*(1+H44)</x:f>
        <x:v>1.1651924623675363</x:v>
      </x:c>
      <x:c r="K44" s="169" t="n">
        <x:v>1.1651924623675365</x:v>
      </x:c>
      <x:c r="L44" s="175" t="n">
        <x:f>K44-J44</x:f>
        <x:v>2.220446049250313e-16</x:v>
      </x:c>
      <x:c r="M44" s="167" t="n">
        <x:v>1.862</x:v>
      </x:c>
      <x:c r="N44" s="167" t="n">
        <x:v>1.886</x:v>
      </x:c>
      <x:c r="O44" s="172" t="n">
        <x:f>IFERROR(N44/M44-1,0)</x:f>
        <x:v>0.012889366272824887</x:v>
      </x:c>
      <x:c r="P44" s="171" t="n">
        <x:f>IFERROR(AD44/AH44,0)</x:f>
        <x:v>1.1997990914265844</x:v>
      </x:c>
      <x:c r="Q44" s="171" t="n">
        <x:f>IFERROR(AE44/AI44,0)</x:f>
        <x:v>1.2096748893508147</x:v>
      </x:c>
      <x:c r="R44" s="172" t="n">
        <x:f>IFERROR((Q44-P44)/(P44+S44),0)</x:f>
        <x:v>0.008231209704024536</x:v>
      </x:c>
      <x:c r="S44" s="172" t="n">
        <x:f>IFERROR(AF44/AH44,0)</x:f>
        <x:v>0</x:v>
      </x:c>
      <x:c r="T44" s="172" t="n">
        <x:f>IFERROR(AG44/AI44,0)</x:f>
        <x:v>0</x:v>
      </x:c>
      <x:c r="U44" s="172" t="n">
        <x:f>IFERROR((T44-S44)/(P44+S44),0)</x:f>
        <x:v>0</x:v>
      </x:c>
      <x:c r="V44" s="172" t="n">
        <x:f>R44+U44</x:f>
        <x:v>0.008231209704024536</x:v>
      </x:c>
      <x:c r="W44" s="172" t="n">
        <x:f>(1+O44)*(1+V44)-1</x:f>
        <x:v>0.021226671053592883</x:v>
      </x:c>
      <x:c r="X44" s="174" t="n">
        <x:f>G44-W44</x:f>
        <x:v>-1.0755285551056204e-16</x:v>
      </x:c>
      <x:c r="Y44" s="172" t="n">
        <x:f>AX44</x:f>
        <x:v>0.0007650184765088899</x:v>
      </x:c>
      <x:c r="Z44" s="172" t="n">
        <x:f>BL44</x:f>
        <x:v>0.00015694109532850576</x:v>
      </x:c>
      <x:c r="AA44" s="172" t="n">
        <x:f>SUM(BZ44,CN44,DB44,DP44,ED44,ER44,FF44,FT44)</x:f>
        <x:v>0.020304711481755278</x:v>
      </x:c>
      <x:c r="AB44" s="172" t="n">
        <x:f>SUM(Y44:AA44)</x:f>
        <x:v>0.021226671053592674</x:v>
      </x:c>
      <x:c r="AC44" s="174" t="n">
        <x:f>G44-AB44</x:f>
        <x:v>1.0061396160665481e-16</x:v>
      </x:c>
      <x:c r="AD44" s="169" t="n">
        <x:v>1.1409733954220125</x:v>
      </x:c>
      <x:c r="AE44" s="169" t="n">
        <x:v>1.1651924623675365</x:v>
      </x:c>
      <x:c r="AF44" s="169" t="n">
        <x:v>0</x:v>
      </x:c>
      <x:c r="AG44" s="169" t="n">
        <x:v>0</x:v>
      </x:c>
      <x:c r="AH44" s="171" t="n">
        <x:f>M44/$M$3</x:f>
        <x:v>0.9509703779366702</x:v>
      </x:c>
      <x:c r="AI44" s="171" t="n">
        <x:f>N44/$M$3</x:f>
        <x:v>0.9632277834525025</x:v>
      </x:c>
      <x:c r="AJ44" s="170" t="n">
        <x:f>IF(AK44&lt;&gt;"",1,0)+IF(AY44&lt;&gt;"",1,0)+IF(BM44&lt;&gt;"",1,0)+IF(CA44&lt;&gt;"",1,0)+IF(CO44&lt;&gt;"",1,0)+IF(DC44&lt;&gt;"",1,0)+IF(DQ44&lt;&gt;"",1,0)+IF(EE44&lt;&gt;"",1,0)+IF(ES44&lt;&gt;"",1,0)+IF(FG44&lt;&gt;"",1,0)</x:f>
        <x:v>4</x:v>
      </x:c>
      <x:c r="AK44" s="147" t="str">
        <x:v>Silver replicating holding (LBMA/SLV proxy)</x:v>
      </x:c>
      <x:c r="AL44" s="147" t="str">
        <x:v>Physical-backed proxy</x:v>
      </x:c>
      <x:c r="AM44" s="147" t="str">
        <x:v>Long</x:v>
      </x:c>
      <x:c r="AN44" s="167" t="n">
        <x:v>1.862</x:v>
      </x:c>
      <x:c r="AO44" s="167" t="n">
        <x:v>1.886</x:v>
      </x:c>
      <x:c r="AP44" s="166" t="n">
        <x:v>0.05938423982033125</x:v>
      </x:c>
      <x:c r="AQ44" s="171" t="n">
        <x:f>IF(AK44="","",IFERROR(F44*AP44/AN44,0))</x:f>
        <x:v>0.03638874207430635</x:v>
      </x:c>
      <x:c r="AR44" s="171" t="n">
        <x:f>IF(AK44="","",F44*ABS(AP44))</x:f>
        <x:v>0.06775583774235842</x:v>
      </x:c>
      <x:c r="AS44" s="165"/>
      <x:c r="AT44" s="172" t="str">
        <x:f>IF(AK44="","",IF(AS44="","",IFERROR(AN44/AS44-1,0)))</x:f>
      </x:c>
      <x:c r="AU44" s="166"/>
      <x:c r="AV44" s="172" t="str">
        <x:f>IF(AK44="","",IF(AU44="","",AU44-AT44*365/AW44))</x:f>
      </x:c>
      <x:c r="AW44" s="164"/>
      <x:c r="AX44" s="173" t="n">
        <x:f>IF(AK44="","",IFERROR(AP44*(AO44/AN44-1-'Parameters'!$C$6*C44/365),0))</x:f>
        <x:v>0.0007650184765088899</x:v>
      </x:c>
      <x:c r="AY44" s="147" t="str">
        <x:v>Matched-maturity Treasury collateral</x:v>
      </x:c>
      <x:c r="AZ44" s="147" t="str">
        <x:v>Treasury</x:v>
      </x:c>
      <x:c r="BA44" s="147" t="str">
        <x:v>Long</x:v>
      </x:c>
      <x:c r="BB44" s="167" t="n">
        <x:v>101.0466537084127</x:v>
      </x:c>
      <x:c r="BC44" s="167" t="n">
        <x:v>101.0635132733739</x:v>
      </x:c>
      <x:c r="BD44" s="166" t="n">
        <x:v>0.9406157601796687</x:v>
      </x:c>
      <x:c r="BE44" s="171" t="n">
        <x:f>IF(AY44="","",IFERROR(F44*BD44/BB44,0))</x:f>
        <x:v>0.010621010377806333</x:v>
      </x:c>
      <x:c r="BF44" s="171" t="n">
        <x:f>IF(AY44="","",F44*ABS(BD44))</x:f>
        <x:v>1.073217557679654</x:v>
      </x:c>
      <x:c r="BG44" s="165"/>
      <x:c r="BH44" s="172" t="str">
        <x:f>IF(AY44="","",IF(BG44="","",IFERROR(BB44/BG44-1,0)))</x:f>
      </x:c>
      <x:c r="BI44" s="166"/>
      <x:c r="BJ44" s="172" t="str">
        <x:f>IF(AY44="","",IF(BI44="","",BI44-BH44*365/BK44))</x:f>
      </x:c>
      <x:c r="BK44" s="164" t="n">
        <x:v>22.0000030571082</x:v>
      </x:c>
      <x:c r="BL44" s="172" t="n">
        <x:f>IF(AY44="","",IFERROR(BD44*(BC44/BB44-1),0))</x:f>
        <x:v>0.00015694109532850576</x:v>
      </x:c>
      <x:c r="BM44" s="147" t="str">
        <x:v>SI69H</x:v>
      </x:c>
      <x:c r="BN44" s="147" t="str">
        <x:v>Silver future (regular)</x:v>
      </x:c>
      <x:c r="BO44" s="147" t="str">
        <x:v>Long</x:v>
      </x:c>
      <x:c r="BP44" s="167" t="n">
        <x:v>1.8530000000000002</x:v>
      </x:c>
      <x:c r="BQ44" s="167" t="n">
        <x:v>1.893</x:v>
      </x:c>
      <x:c r="BR44" s="166" t="n">
        <x:v>0.9406157137996018</x:v>
      </x:c>
      <x:c r="BS44" s="171" t="n">
        <x:f>IF(BM44="","",IFERROR(F44*BR44/BP44,0))</x:f>
        <x:v>0.5791783619866333</x:v>
      </x:c>
      <x:c r="BT44" s="171" t="n">
        <x:f>IF(BM44="","",F44*ABS(BR44))</x:f>
        <x:v>1.0732175047612316</x:v>
      </x:c>
      <x:c r="BU44" s="165" t="n">
        <x:v>1.862</x:v>
      </x:c>
      <x:c r="BV44" s="172" t="n">
        <x:f>IF(BM44="","",IF(BU44="","",IFERROR(BP44/BU44-1,0)))</x:f>
        <x:v>-0.004833512352309333</x:v>
      </x:c>
      <x:c r="BW44" s="166" t="n">
        <x:v>0.060899999999999996</x:v>
      </x:c>
      <x:c r="BX44" s="172" t="n">
        <x:f>IF(BM44="","",IF(BW44="","",BW44-BV44*365/BY44))</x:f>
        <x:v>0.1410923640269503</x:v>
      </x:c>
      <x:c r="BY44" s="164" t="n">
        <x:v>22</x:v>
      </x:c>
      <x:c r="BZ44" s="172" t="n">
        <x:f>IF(BM44="","",IFERROR(BR44*(BQ44/BP44-1),0))</x:f>
        <x:v>0.020304710497562876</x:v>
      </x:c>
      <x:c r="CA44" s="147" t="str">
        <x:v>SI69K</x:v>
      </x:c>
      <x:c r="CB44" s="147" t="str">
        <x:v>Silver future (regular)</x:v>
      </x:c>
      <x:c r="CC44" s="147" t="str">
        <x:v>Long</x:v>
      </x:c>
      <x:c r="CD44" s="167" t="n">
        <x:v>1.885</x:v>
      </x:c>
      <x:c r="CE44" s="167" t="n">
        <x:v>1.925</x:v>
      </x:c>
      <x:c r="CF44" s="166" t="n">
        <x:v>4.638006693924411e-8</x:v>
      </x:c>
      <x:c r="CG44" s="171" t="n">
        <x:f>IF(CA44="","",IFERROR(F44*CF44/CD44,0))</x:f>
        <x:v>2.8073433663432135e-8</x:v>
      </x:c>
      <x:c r="CH44" s="171" t="n">
        <x:f>IF(CA44="","",F44*ABS(CF44))</x:f>
        <x:v>5.291842245556958e-8</x:v>
      </x:c>
      <x:c r="CI44" s="165" t="n">
        <x:v>1.862</x:v>
      </x:c>
      <x:c r="CJ44" s="172" t="n">
        <x:f>IF(CA44="","",IF(CI44="","",IFERROR(CD44/CI44-1,0)))</x:f>
        <x:v>0.01235230934479059</x:v>
      </x:c>
      <x:c r="CK44" s="166" t="n">
        <x:v>0.060899999999999996</x:v>
      </x:c>
      <x:c r="CL44" s="172" t="n">
        <x:f>IF(CA44="","",IF(CK44="","",CK44-CJ44*365/CM44))</x:f>
        <x:v>0.0072262748708504035</x:v>
      </x:c>
      <x:c r="CM44" s="164" t="n">
        <x:v>84</x:v>
      </x:c>
      <x:c r="CN44" s="172" t="n">
        <x:f>IF(CA44="","",IFERROR(CF44*(CE44/CD44-1),0))</x:f>
        <x:v>9.841924018937713e-10</x:v>
      </x:c>
      <x:c r="CO44" s="147"/>
      <x:c r="CP44" s="147"/>
      <x:c r="CQ44" s="147"/>
      <x:c r="CR44" s="167"/>
      <x:c r="CS44" s="167"/>
      <x:c r="CT44" s="166"/>
      <x:c r="CU44" s="171" t="str">
        <x:f>IF(CO44="","",IFERROR(F44*CT44/CR44,0))</x:f>
      </x:c>
      <x:c r="CV44" s="171" t="str">
        <x:f>IF(CO44="","",F44*ABS(CT44))</x:f>
      </x:c>
      <x:c r="CW44" s="165"/>
      <x:c r="CX44" s="172" t="str">
        <x:f>IF(CO44="","",IF(CW44="","",IFERROR(CR44/CW44-1,0)))</x:f>
      </x:c>
      <x:c r="CY44" s="166"/>
      <x:c r="CZ44" s="172" t="str">
        <x:f>IF(CO44="","",IF(CY44="","",CY44-CX44*365/DA44))</x:f>
      </x:c>
      <x:c r="DA44" s="164"/>
      <x:c r="DB44" s="172" t="str">
        <x:f>IF(CO44="","",IFERROR(CT44*(CS44/CR44-1),0))</x:f>
      </x:c>
      <x:c r="DC44" s="147"/>
      <x:c r="DD44" s="147"/>
      <x:c r="DE44" s="147"/>
      <x:c r="DF44" s="167"/>
      <x:c r="DG44" s="167"/>
      <x:c r="DH44" s="166"/>
      <x:c r="DI44" s="171" t="str">
        <x:f>IF(DC44="","",IFERROR(F44*DH44/DF44,0))</x:f>
      </x:c>
      <x:c r="DJ44" s="171" t="str">
        <x:f>IF(DC44="","",F44*ABS(DH44))</x:f>
      </x:c>
      <x:c r="DK44" s="165"/>
      <x:c r="DL44" s="172" t="str">
        <x:f>IF(DC44="","",IF(DK44="","",IFERROR(DF44/DK44-1,0)))</x:f>
      </x:c>
      <x:c r="DM44" s="166"/>
      <x:c r="DN44" s="172" t="str">
        <x:f>IF(DC44="","",IF(DM44="","",DM44-DL44*365/DO44))</x:f>
      </x:c>
      <x:c r="DO44" s="164"/>
      <x:c r="DP44" s="172" t="str">
        <x:f>IF(DC44="","",IFERROR(DH44*(DG44/DF44-1),0))</x:f>
      </x:c>
      <x:c r="DQ44" s="147"/>
      <x:c r="DR44" s="147"/>
      <x:c r="DS44" s="147"/>
      <x:c r="DT44" s="167"/>
      <x:c r="DU44" s="167"/>
      <x:c r="DV44" s="166"/>
      <x:c r="DW44" s="171" t="str">
        <x:f>IF(DQ44="","",IFERROR(F44*DV44/DT44,0))</x:f>
      </x:c>
      <x:c r="DX44" s="171" t="str">
        <x:f>IF(DQ44="","",F44*ABS(DV44))</x:f>
      </x:c>
      <x:c r="DY44" s="165"/>
      <x:c r="DZ44" s="172" t="str">
        <x:f>IF(DQ44="","",IF(DY44="","",IFERROR(DT44/DY44-1,0)))</x:f>
      </x:c>
      <x:c r="EA44" s="166"/>
      <x:c r="EB44" s="172" t="str">
        <x:f>IF(DQ44="","",IF(EA44="","",EA44-DZ44*365/EC44))</x:f>
      </x:c>
      <x:c r="EC44" s="164"/>
      <x:c r="ED44" s="172" t="str">
        <x:f>IF(DQ44="","",IFERROR(DV44*(DU44/DT44-1),0))</x:f>
      </x:c>
      <x:c r="EE44" s="147"/>
      <x:c r="EF44" s="147"/>
      <x:c r="EG44" s="147"/>
      <x:c r="EH44" s="167"/>
      <x:c r="EI44" s="167"/>
      <x:c r="EJ44" s="166"/>
      <x:c r="EK44" s="171" t="str">
        <x:f>IF(EE44="","",IFERROR(F44*EJ44/EH44,0))</x:f>
      </x:c>
      <x:c r="EL44" s="171" t="str">
        <x:f>IF(EE44="","",F44*ABS(EJ44))</x:f>
      </x:c>
      <x:c r="EM44" s="165"/>
      <x:c r="EN44" s="172" t="str">
        <x:f>IF(EE44="","",IF(EM44="","",IFERROR(EH44/EM44-1,0)))</x:f>
      </x:c>
      <x:c r="EO44" s="166"/>
      <x:c r="EP44" s="172" t="str">
        <x:f>IF(EE44="","",IF(EO44="","",EO44-EN44*365/EQ44))</x:f>
      </x:c>
      <x:c r="EQ44" s="164"/>
      <x:c r="ER44" s="172" t="str">
        <x:f>IF(EE44="","",IFERROR(EJ44*(EI44/EH44-1),0))</x:f>
      </x:c>
      <x:c r="ES44" s="147"/>
      <x:c r="ET44" s="147"/>
      <x:c r="EU44" s="147"/>
      <x:c r="EV44" s="167"/>
      <x:c r="EW44" s="167"/>
      <x:c r="EX44" s="166"/>
      <x:c r="EY44" s="171" t="str">
        <x:f>IF(ES44="","",IFERROR(F44*EX44/EV44,0))</x:f>
      </x:c>
      <x:c r="EZ44" s="171" t="str">
        <x:f>IF(ES44="","",F44*ABS(EX44))</x:f>
      </x:c>
      <x:c r="FA44" s="165"/>
      <x:c r="FB44" s="172" t="str">
        <x:f>IF(ES44="","",IF(FA44="","",IFERROR(EV44/FA44-1,0)))</x:f>
      </x:c>
      <x:c r="FC44" s="166"/>
      <x:c r="FD44" s="172" t="str">
        <x:f>IF(ES44="","",IF(FC44="","",FC44-FB44*365/FE44))</x:f>
      </x:c>
      <x:c r="FE44" s="164"/>
      <x:c r="FF44" s="172" t="str">
        <x:f>IF(ES44="","",IFERROR(EX44*(EW44/EV44-1),0))</x:f>
      </x:c>
      <x:c r="FG44" s="147"/>
      <x:c r="FH44" s="147"/>
      <x:c r="FI44" s="147"/>
      <x:c r="FJ44" s="167"/>
      <x:c r="FK44" s="167"/>
      <x:c r="FL44" s="166"/>
      <x:c r="FM44" s="171" t="str">
        <x:f>IF(FG44="","",IFERROR(F44*FL44/FJ44,0))</x:f>
      </x:c>
      <x:c r="FN44" s="171" t="str">
        <x:f>IF(FG44="","",F44*ABS(FL44))</x:f>
      </x:c>
      <x:c r="FO44" s="165"/>
      <x:c r="FP44" s="172" t="str">
        <x:f>IF(FG44="","",IF(FO44="","",IFERROR(FJ44/FO44-1,0)))</x:f>
      </x:c>
      <x:c r="FQ44" s="166"/>
      <x:c r="FR44" s="172" t="str">
        <x:f>IF(FG44="","",IF(FQ44="","",FQ44-FP44*365/FS44))</x:f>
      </x:c>
      <x:c r="FS44" s="164"/>
      <x:c r="FT44" s="172" t="str">
        <x:f>IF(FG44="","",IFERROR(FL44*(FK44/FJ44-1),0))</x:f>
      </x:c>
    </x:row>
    <x:row r="45" ht="18" customHeight="1">
      <x:c r="A45" s="163" t="n">
        <x:v>25268</x:v>
      </x:c>
      <x:c r="B45" s="163" t="n">
        <x:v>25269</x:v>
      </x:c>
      <x:c r="C45" s="170" t="n">
        <x:f>B45-A45</x:f>
        <x:v>1</x:v>
      </x:c>
      <x:c r="D45" s="163" t="n">
        <x:v>25268</x:v>
      </x:c>
      <x:c r="E45" s="147" t="str">
        <x:v>neutral</x:v>
      </x:c>
      <x:c r="F45" s="165" t="n">
        <x:v>1.1651924623675365</x:v>
      </x:c>
      <x:c r="G45" s="168" t="n">
        <x:v>0.020671835732651588</x:v>
      </x:c>
      <x:c r="H45" s="172" t="n">
        <x:f>SUM(AX45,BL45,BZ45,CN45,DB45,DP45,ED45,ER45,FF45,FT45)</x:f>
        <x:v>0.020671835732651588</x:v>
      </x:c>
      <x:c r="I45" s="174" t="n">
        <x:f>G45-H45</x:f>
        <x:v>0</x:v>
      </x:c>
      <x:c r="J45" s="171" t="n">
        <x:f>F45*(1+H45)</x:f>
        <x:v>1.1892791295465222</x:v>
      </x:c>
      <x:c r="K45" s="169" t="n">
        <x:v>1.1892791295465222</x:v>
      </x:c>
      <x:c r="L45" s="175" t="n">
        <x:f>K45-J45</x:f>
        <x:v>0</x:v>
      </x:c>
      <x:c r="M45" s="167" t="n">
        <x:v>1.886</x:v>
      </x:c>
      <x:c r="N45" s="167" t="n">
        <x:v>1.925</x:v>
      </x:c>
      <x:c r="O45" s="172" t="n">
        <x:f>IFERROR(N45/M45-1,0)</x:f>
        <x:v>0.02067868504772008</x:v>
      </x:c>
      <x:c r="P45" s="171" t="n">
        <x:f>IFERROR(AD45/AH45,0)</x:f>
        <x:v>1.2096748893508147</x:v>
      </x:c>
      <x:c r="Q45" s="171" t="n">
        <x:f>IFERROR(AE45/AI45,0)</x:f>
        <x:v>1.2096667717673193</x:v>
      </x:c>
      <x:c r="R45" s="172" t="n">
        <x:f>IFERROR((Q45-P45)/(P45+S45),0)</x:f>
        <x:v>-0.000006710549724438119</x:v>
      </x:c>
      <x:c r="S45" s="172" t="n">
        <x:f>IFERROR(AF45/AH45,0)</x:f>
        <x:v>0</x:v>
      </x:c>
      <x:c r="T45" s="172" t="n">
        <x:f>IFERROR(AG45/AI45,0)</x:f>
        <x:v>0</x:v>
      </x:c>
      <x:c r="U45" s="172" t="n">
        <x:f>IFERROR((T45-S45)/(P45+S45),0)</x:f>
        <x:v>0</x:v>
      </x:c>
      <x:c r="V45" s="172" t="n">
        <x:f>R45+U45</x:f>
        <x:v>-0.000006710549724438119</x:v>
      </x:c>
      <x:c r="W45" s="172" t="n">
        <x:f>(1+O45)*(1+V45)-1</x:f>
        <x:v>0.02067183573265141</x:v>
      </x:c>
      <x:c r="X45" s="174" t="n">
        <x:f>G45-W45</x:f>
        <x:v>1.7694179454963432e-16</x:v>
      </x:c>
      <x:c r="Y45" s="172" t="n">
        <x:f>AX45</x:f>
        <x:v>0.020671835732651588</x:v>
      </x:c>
      <x:c r="Z45" s="172" t="str">
        <x:f>BL45</x:f>
      </x:c>
      <x:c r="AA45" s="172" t="n">
        <x:f>SUM(BZ45,CN45,DB45,DP45,ED45,ER45,FF45,FT45)</x:f>
        <x:v>0</x:v>
      </x:c>
      <x:c r="AB45" s="172" t="n">
        <x:f>SUM(Y45:AA45)</x:f>
        <x:v>0.020671835732651588</x:v>
      </x:c>
      <x:c r="AC45" s="174" t="n">
        <x:f>G45-AB45</x:f>
        <x:v>0</x:v>
      </x:c>
      <x:c r="AD45" s="169" t="n">
        <x:v>1.1651924623675365</x:v>
      </x:c>
      <x:c r="AE45" s="169" t="n">
        <x:v>1.189279129546522</x:v>
      </x:c>
      <x:c r="AF45" s="169" t="n">
        <x:v>0</x:v>
      </x:c>
      <x:c r="AG45" s="169" t="n">
        <x:v>0</x:v>
      </x:c>
      <x:c r="AH45" s="171" t="n">
        <x:f>M45/$M$3</x:f>
        <x:v>0.9632277834525025</x:v>
      </x:c>
      <x:c r="AI45" s="171" t="n">
        <x:f>N45/$M$3</x:f>
        <x:v>0.9831460674157304</x:v>
      </x:c>
      <x:c r="AJ45" s="170" t="n">
        <x:f>IF(AK45&lt;&gt;"",1,0)+IF(AY45&lt;&gt;"",1,0)+IF(BM45&lt;&gt;"",1,0)+IF(CA45&lt;&gt;"",1,0)+IF(CO45&lt;&gt;"",1,0)+IF(DC45&lt;&gt;"",1,0)+IF(DQ45&lt;&gt;"",1,0)+IF(EE45&lt;&gt;"",1,0)+IF(ES45&lt;&gt;"",1,0)+IF(FG45&lt;&gt;"",1,0)</x:f>
        <x:v>1</x:v>
      </x:c>
      <x:c r="AK45" s="147" t="str">
        <x:v>Silver replicating holding (LBMA/SLV proxy)</x:v>
      </x:c>
      <x:c r="AL45" s="147" t="str">
        <x:v>Physical-backed proxy</x:v>
      </x:c>
      <x:c r="AM45" s="147" t="str">
        <x:v>Long</x:v>
      </x:c>
      <x:c r="AN45" s="167" t="n">
        <x:v>1.886</x:v>
      </x:c>
      <x:c r="AO45" s="167" t="n">
        <x:v>1.925</x:v>
      </x:c>
      <x:c r="AP45" s="166" t="n">
        <x:v>1</x:v>
      </x:c>
      <x:c r="AQ45" s="171" t="n">
        <x:f>IF(AK45="","",IFERROR(F45*AP45/AN45,0))</x:f>
        <x:v>0.6178114858788635</x:v>
      </x:c>
      <x:c r="AR45" s="171" t="n">
        <x:f>IF(AK45="","",F45*ABS(AP45))</x:f>
        <x:v>1.1651924623675365</x:v>
      </x:c>
      <x:c r="AS45" s="165"/>
      <x:c r="AT45" s="172" t="str">
        <x:f>IF(AK45="","",IF(AS45="","",IFERROR(AN45/AS45-1,0)))</x:f>
      </x:c>
      <x:c r="AU45" s="166"/>
      <x:c r="AV45" s="172" t="str">
        <x:f>IF(AK45="","",IF(AU45="","",AU45-AT45*365/AW45))</x:f>
      </x:c>
      <x:c r="AW45" s="164"/>
      <x:c r="AX45" s="173" t="n">
        <x:f>IF(AK45="","",IFERROR(AP45*(AO45/AN45-1-'Parameters'!$C$6*C45/365),0))</x:f>
        <x:v>0.020671835732651588</x:v>
      </x:c>
      <x:c r="AY45" s="147"/>
      <x:c r="AZ45" s="147"/>
      <x:c r="BA45" s="147"/>
      <x:c r="BB45" s="167"/>
      <x:c r="BC45" s="167"/>
      <x:c r="BD45" s="166"/>
      <x:c r="BE45" s="171" t="str">
        <x:f>IF(AY45="","",IFERROR(F45*BD45/BB45,0))</x:f>
      </x:c>
      <x:c r="BF45" s="171" t="str">
        <x:f>IF(AY45="","",F45*ABS(BD45))</x:f>
      </x:c>
      <x:c r="BG45" s="165"/>
      <x:c r="BH45" s="172" t="str">
        <x:f>IF(AY45="","",IF(BG45="","",IFERROR(BB45/BG45-1,0)))</x:f>
      </x:c>
      <x:c r="BI45" s="166"/>
      <x:c r="BJ45" s="172" t="str">
        <x:f>IF(AY45="","",IF(BI45="","",BI45-BH45*365/BK45))</x:f>
      </x:c>
      <x:c r="BK45" s="164"/>
      <x:c r="BL45" s="172" t="str">
        <x:f>IF(AY45="","",IFERROR(BD45*(BC45/BB45-1),0))</x:f>
      </x:c>
      <x:c r="BM45" s="147"/>
      <x:c r="BN45" s="147"/>
      <x:c r="BO45" s="147"/>
      <x:c r="BP45" s="167"/>
      <x:c r="BQ45" s="167"/>
      <x:c r="BR45" s="166"/>
      <x:c r="BS45" s="171" t="str">
        <x:f>IF(BM45="","",IFERROR(F45*BR45/BP45,0))</x:f>
      </x:c>
      <x:c r="BT45" s="171" t="str">
        <x:f>IF(BM45="","",F45*ABS(BR45))</x:f>
      </x:c>
      <x:c r="BU45" s="165"/>
      <x:c r="BV45" s="172" t="str">
        <x:f>IF(BM45="","",IF(BU45="","",IFERROR(BP45/BU45-1,0)))</x:f>
      </x:c>
      <x:c r="BW45" s="166"/>
      <x:c r="BX45" s="172" t="str">
        <x:f>IF(BM45="","",IF(BW45="","",BW45-BV45*365/BY45))</x:f>
      </x:c>
      <x:c r="BY45" s="164"/>
      <x:c r="BZ45" s="172" t="str">
        <x:f>IF(BM45="","",IFERROR(BR45*(BQ45/BP45-1),0))</x:f>
      </x:c>
      <x:c r="CA45" s="147"/>
      <x:c r="CB45" s="147"/>
      <x:c r="CC45" s="147"/>
      <x:c r="CD45" s="167"/>
      <x:c r="CE45" s="167"/>
      <x:c r="CF45" s="166"/>
      <x:c r="CG45" s="171" t="str">
        <x:f>IF(CA45="","",IFERROR(F45*CF45/CD45,0))</x:f>
      </x:c>
      <x:c r="CH45" s="171" t="str">
        <x:f>IF(CA45="","",F45*ABS(CF45))</x:f>
      </x:c>
      <x:c r="CI45" s="165"/>
      <x:c r="CJ45" s="172" t="str">
        <x:f>IF(CA45="","",IF(CI45="","",IFERROR(CD45/CI45-1,0)))</x:f>
      </x:c>
      <x:c r="CK45" s="166"/>
      <x:c r="CL45" s="172" t="str">
        <x:f>IF(CA45="","",IF(CK45="","",CK45-CJ45*365/CM45))</x:f>
      </x:c>
      <x:c r="CM45" s="164"/>
      <x:c r="CN45" s="172" t="str">
        <x:f>IF(CA45="","",IFERROR(CF45*(CE45/CD45-1),0))</x:f>
      </x:c>
      <x:c r="CO45" s="147"/>
      <x:c r="CP45" s="147"/>
      <x:c r="CQ45" s="147"/>
      <x:c r="CR45" s="167"/>
      <x:c r="CS45" s="167"/>
      <x:c r="CT45" s="166"/>
      <x:c r="CU45" s="171" t="str">
        <x:f>IF(CO45="","",IFERROR(F45*CT45/CR45,0))</x:f>
      </x:c>
      <x:c r="CV45" s="171" t="str">
        <x:f>IF(CO45="","",F45*ABS(CT45))</x:f>
      </x:c>
      <x:c r="CW45" s="165"/>
      <x:c r="CX45" s="172" t="str">
        <x:f>IF(CO45="","",IF(CW45="","",IFERROR(CR45/CW45-1,0)))</x:f>
      </x:c>
      <x:c r="CY45" s="166"/>
      <x:c r="CZ45" s="172" t="str">
        <x:f>IF(CO45="","",IF(CY45="","",CY45-CX45*365/DA45))</x:f>
      </x:c>
      <x:c r="DA45" s="164"/>
      <x:c r="DB45" s="172" t="str">
        <x:f>IF(CO45="","",IFERROR(CT45*(CS45/CR45-1),0))</x:f>
      </x:c>
      <x:c r="DC45" s="147"/>
      <x:c r="DD45" s="147"/>
      <x:c r="DE45" s="147"/>
      <x:c r="DF45" s="167"/>
      <x:c r="DG45" s="167"/>
      <x:c r="DH45" s="166"/>
      <x:c r="DI45" s="171" t="str">
        <x:f>IF(DC45="","",IFERROR(F45*DH45/DF45,0))</x:f>
      </x:c>
      <x:c r="DJ45" s="171" t="str">
        <x:f>IF(DC45="","",F45*ABS(DH45))</x:f>
      </x:c>
      <x:c r="DK45" s="165"/>
      <x:c r="DL45" s="172" t="str">
        <x:f>IF(DC45="","",IF(DK45="","",IFERROR(DF45/DK45-1,0)))</x:f>
      </x:c>
      <x:c r="DM45" s="166"/>
      <x:c r="DN45" s="172" t="str">
        <x:f>IF(DC45="","",IF(DM45="","",DM45-DL45*365/DO45))</x:f>
      </x:c>
      <x:c r="DO45" s="164"/>
      <x:c r="DP45" s="172" t="str">
        <x:f>IF(DC45="","",IFERROR(DH45*(DG45/DF45-1),0))</x:f>
      </x:c>
      <x:c r="DQ45" s="147"/>
      <x:c r="DR45" s="147"/>
      <x:c r="DS45" s="147"/>
      <x:c r="DT45" s="167"/>
      <x:c r="DU45" s="167"/>
      <x:c r="DV45" s="166"/>
      <x:c r="DW45" s="171" t="str">
        <x:f>IF(DQ45="","",IFERROR(F45*DV45/DT45,0))</x:f>
      </x:c>
      <x:c r="DX45" s="171" t="str">
        <x:f>IF(DQ45="","",F45*ABS(DV45))</x:f>
      </x:c>
      <x:c r="DY45" s="165"/>
      <x:c r="DZ45" s="172" t="str">
        <x:f>IF(DQ45="","",IF(DY45="","",IFERROR(DT45/DY45-1,0)))</x:f>
      </x:c>
      <x:c r="EA45" s="166"/>
      <x:c r="EB45" s="172" t="str">
        <x:f>IF(DQ45="","",IF(EA45="","",EA45-DZ45*365/EC45))</x:f>
      </x:c>
      <x:c r="EC45" s="164"/>
      <x:c r="ED45" s="172" t="str">
        <x:f>IF(DQ45="","",IFERROR(DV45*(DU45/DT45-1),0))</x:f>
      </x:c>
      <x:c r="EE45" s="147"/>
      <x:c r="EF45" s="147"/>
      <x:c r="EG45" s="147"/>
      <x:c r="EH45" s="167"/>
      <x:c r="EI45" s="167"/>
      <x:c r="EJ45" s="166"/>
      <x:c r="EK45" s="171" t="str">
        <x:f>IF(EE45="","",IFERROR(F45*EJ45/EH45,0))</x:f>
      </x:c>
      <x:c r="EL45" s="171" t="str">
        <x:f>IF(EE45="","",F45*ABS(EJ45))</x:f>
      </x:c>
      <x:c r="EM45" s="165"/>
      <x:c r="EN45" s="172" t="str">
        <x:f>IF(EE45="","",IF(EM45="","",IFERROR(EH45/EM45-1,0)))</x:f>
      </x:c>
      <x:c r="EO45" s="166"/>
      <x:c r="EP45" s="172" t="str">
        <x:f>IF(EE45="","",IF(EO45="","",EO45-EN45*365/EQ45))</x:f>
      </x:c>
      <x:c r="EQ45" s="164"/>
      <x:c r="ER45" s="172" t="str">
        <x:f>IF(EE45="","",IFERROR(EJ45*(EI45/EH45-1),0))</x:f>
      </x:c>
      <x:c r="ES45" s="147"/>
      <x:c r="ET45" s="147"/>
      <x:c r="EU45" s="147"/>
      <x:c r="EV45" s="167"/>
      <x:c r="EW45" s="167"/>
      <x:c r="EX45" s="166"/>
      <x:c r="EY45" s="171" t="str">
        <x:f>IF(ES45="","",IFERROR(F45*EX45/EV45,0))</x:f>
      </x:c>
      <x:c r="EZ45" s="171" t="str">
        <x:f>IF(ES45="","",F45*ABS(EX45))</x:f>
      </x:c>
      <x:c r="FA45" s="165"/>
      <x:c r="FB45" s="172" t="str">
        <x:f>IF(ES45="","",IF(FA45="","",IFERROR(EV45/FA45-1,0)))</x:f>
      </x:c>
      <x:c r="FC45" s="166"/>
      <x:c r="FD45" s="172" t="str">
        <x:f>IF(ES45="","",IF(FC45="","",FC45-FB45*365/FE45))</x:f>
      </x:c>
      <x:c r="FE45" s="164"/>
      <x:c r="FF45" s="172" t="str">
        <x:f>IF(ES45="","",IFERROR(EX45*(EW45/EV45-1),0))</x:f>
      </x:c>
      <x:c r="FG45" s="147"/>
      <x:c r="FH45" s="147"/>
      <x:c r="FI45" s="147"/>
      <x:c r="FJ45" s="167"/>
      <x:c r="FK45" s="167"/>
      <x:c r="FL45" s="166"/>
      <x:c r="FM45" s="171" t="str">
        <x:f>IF(FG45="","",IFERROR(F45*FL45/FJ45,0))</x:f>
      </x:c>
      <x:c r="FN45" s="171" t="str">
        <x:f>IF(FG45="","",F45*ABS(FL45))</x:f>
      </x:c>
      <x:c r="FO45" s="165"/>
      <x:c r="FP45" s="172" t="str">
        <x:f>IF(FG45="","",IF(FO45="","",IFERROR(FJ45/FO45-1,0)))</x:f>
      </x:c>
      <x:c r="FQ45" s="166"/>
      <x:c r="FR45" s="172" t="str">
        <x:f>IF(FG45="","",IF(FQ45="","",FQ45-FP45*365/FS45))</x:f>
      </x:c>
      <x:c r="FS45" s="164"/>
      <x:c r="FT45" s="172" t="str">
        <x:f>IF(FG45="","",IFERROR(FL45*(FK45/FJ45-1),0))</x:f>
      </x:c>
    </x:row>
    <x:row r="46" ht="18" customHeight="1">
      <x:c r="A46" s="163" t="n">
        <x:v>25269</x:v>
      </x:c>
      <x:c r="B46" s="163" t="n">
        <x:v>25272</x:v>
      </x:c>
      <x:c r="C46" s="170" t="n">
        <x:f>B46-A46</x:f>
        <x:v>3</x:v>
      </x:c>
      <x:c r="D46" s="163" t="n">
        <x:v>25269</x:v>
      </x:c>
      <x:c r="E46" s="147" t="str">
        <x:v>positive</x:v>
      </x:c>
      <x:c r="F46" s="165" t="n">
        <x:v>1.1892791295465222</x:v>
      </x:c>
      <x:c r="G46" s="168" t="n">
        <x:v>-0.0005771866254235005</x:v>
      </x:c>
      <x:c r="H46" s="172" t="n">
        <x:f>SUM(AX46,BL46,BZ46,CN46,DB46,DP46,ED46,ER46,FF46,FT46)</x:f>
        <x:v>-0.0005771866254234981</x:v>
      </x:c>
      <x:c r="I46" s="174" t="n">
        <x:f>G46-H46</x:f>
        <x:v>-2.3852447794681098e-18</x:v>
      </x:c>
      <x:c r="J46" s="171" t="n">
        <x:f>F46*(1+H46)</x:f>
        <x:v>1.1885926935390525</x:v>
      </x:c>
      <x:c r="K46" s="169" t="n">
        <x:v>1.1885926935390525</x:v>
      </x:c>
      <x:c r="L46" s="175" t="n">
        <x:f>K46-J46</x:f>
        <x:v>0</x:v>
      </x:c>
      <x:c r="M46" s="167" t="n">
        <x:v>1.925</x:v>
      </x:c>
      <x:c r="N46" s="167" t="n">
        <x:v>1.901</x:v>
      </x:c>
      <x:c r="O46" s="172" t="n">
        <x:f>IFERROR(N46/M46-1,0)</x:f>
        <x:v>-0.012467532467532516</x:v>
      </x:c>
      <x:c r="P46" s="171" t="n">
        <x:f>IFERROR(AD46/AH46,0)</x:f>
        <x:v>1.2096667717673193</x:v>
      </x:c>
      <x:c r="Q46" s="171" t="n">
        <x:f>IFERROR(AE46/AI46,0)</x:f>
        <x:v>1.2242317169644736</x:v>
      </x:c>
      <x:c r="R46" s="172" t="n">
        <x:f>IFERROR((Q46-P46)/(P46+S46),0)</x:f>
        <x:v>0.012040460676517555</x:v>
      </x:c>
      <x:c r="S46" s="172" t="n">
        <x:f>IFERROR(AF46/AH46,0)</x:f>
        <x:v>0</x:v>
      </x:c>
      <x:c r="T46" s="172" t="n">
        <x:f>IFERROR(AG46/AI46,0)</x:f>
        <x:v>0</x:v>
      </x:c>
      <x:c r="U46" s="172" t="n">
        <x:f>IFERROR((T46-S46)/(P46+S46),0)</x:f>
        <x:v>0</x:v>
      </x:c>
      <x:c r="V46" s="172" t="n">
        <x:f>R46+U46</x:f>
        <x:v>0.012040460676517555</x:v>
      </x:c>
      <x:c r="W46" s="172" t="n">
        <x:f>(1+O46)*(1+V46)-1</x:f>
        <x:v>-0.0005771866254233871</x:v>
      </x:c>
      <x:c r="X46" s="174" t="n">
        <x:f>G46-W46</x:f>
        <x:v>-1.1340754724198376e-16</x:v>
      </x:c>
      <x:c r="Y46" s="172" t="str">
        <x:f>AX46</x:f>
      </x:c>
      <x:c r="Z46" s="172" t="n">
        <x:f>BL46</x:f>
        <x:v>0.0004980821917808242</x:v>
      </x:c>
      <x:c r="AA46" s="172" t="n">
        <x:f>SUM(BZ46,CN46,DB46,DP46,ED46,ER46,FF46,FT46)</x:f>
        <x:v>-0.0010752688172043223</x:v>
      </x:c>
      <x:c r="AB46" s="172" t="n">
        <x:f>SUM(Y46:AA46)</x:f>
        <x:v>-0.0005771866254234981</x:v>
      </x:c>
      <x:c r="AC46" s="174" t="n">
        <x:f>G46-AB46</x:f>
        <x:v>-2.3852447794681098e-18</x:v>
      </x:c>
      <x:c r="AD46" s="169" t="n">
        <x:v>1.189279129546522</x:v>
      </x:c>
      <x:c r="AE46" s="169" t="n">
        <x:v>1.1885926935390523</x:v>
      </x:c>
      <x:c r="AF46" s="169" t="n">
        <x:v>0</x:v>
      </x:c>
      <x:c r="AG46" s="169" t="n">
        <x:v>0</x:v>
      </x:c>
      <x:c r="AH46" s="171" t="n">
        <x:f>M46/$M$3</x:f>
        <x:v>0.9831460674157304</x:v>
      </x:c>
      <x:c r="AI46" s="171" t="n">
        <x:f>N46/$M$3</x:f>
        <x:v>0.9708886618998979</x:v>
      </x:c>
      <x:c r="AJ46" s="170" t="n">
        <x:f>IF(AK46&lt;&gt;"",1,0)+IF(AY46&lt;&gt;"",1,0)+IF(BM46&lt;&gt;"",1,0)+IF(CA46&lt;&gt;"",1,0)+IF(CO46&lt;&gt;"",1,0)+IF(DC46&lt;&gt;"",1,0)+IF(DQ46&lt;&gt;"",1,0)+IF(EE46&lt;&gt;"",1,0)+IF(ES46&lt;&gt;"",1,0)+IF(FG46&lt;&gt;"",1,0)</x:f>
        <x:v>7</x:v>
      </x:c>
      <x:c r="AK46" s="147"/>
      <x:c r="AL46" s="147"/>
      <x:c r="AM46" s="147"/>
      <x:c r="AN46" s="167"/>
      <x:c r="AO46" s="167"/>
      <x:c r="AP46" s="166"/>
      <x:c r="AQ46" s="171" t="str">
        <x:f>IF(AK46="","",IFERROR(F46*AP46/AN46,0))</x:f>
      </x:c>
      <x:c r="AR46" s="171" t="str">
        <x:f>IF(AK46="","",F46*ABS(AP46))</x:f>
      </x:c>
      <x:c r="AS46" s="165"/>
      <x:c r="AT46" s="172" t="str">
        <x:f>IF(AK46="","",IF(AS46="","",IFERROR(AN46/AS46-1,0)))</x:f>
      </x:c>
      <x:c r="AU46" s="166"/>
      <x:c r="AV46" s="172" t="str">
        <x:f>IF(AK46="","",IF(AU46="","",AU46-AT46*365/AW46))</x:f>
      </x:c>
      <x:c r="AW46" s="164"/>
      <x:c r="AX46" s="173" t="str">
        <x:f>IF(AK46="","",IFERROR(AP46*(AO46/AN46-1),0))</x:f>
      </x:c>
      <x:c r="AY46" s="147" t="str">
        <x:v>Matched-maturity Treasury collateral</x:v>
      </x:c>
      <x:c r="AZ46" s="147" t="str">
        <x:v>Treasury</x:v>
      </x:c>
      <x:c r="BA46" s="147" t="str">
        <x:v>Long</x:v>
      </x:c>
      <x:c r="BB46" s="167" t="n">
        <x:v>101.08034796270822</x:v>
      </x:c>
      <x:c r="BC46" s="167" t="n">
        <x:v>101.13069428396746</x:v>
      </x:c>
      <x:c r="BD46" s="166" t="n">
        <x:v>1</x:v>
      </x:c>
      <x:c r="BE46" s="171" t="n">
        <x:f>IF(AY46="","",IFERROR(F46*BD46/BB46,0))</x:f>
        <x:v>0.011765681000477812</x:v>
      </x:c>
      <x:c r="BF46" s="171" t="n">
        <x:f>IF(AY46="","",F46*ABS(BD46))</x:f>
        <x:v>1.1892791295465222</x:v>
      </x:c>
      <x:c r="BG46" s="165"/>
      <x:c r="BH46" s="172" t="str">
        <x:f>IF(AY46="","",IF(BG46="","",IFERROR(BB46/BG46-1,0)))</x:f>
      </x:c>
      <x:c r="BI46" s="166"/>
      <x:c r="BJ46" s="172" t="str">
        <x:f>IF(AY46="","",IF(BI46="","",BI46-BH46*365/BK46))</x:f>
      </x:c>
      <x:c r="BK46" s="164" t="n">
        <x:v>20</x:v>
      </x:c>
      <x:c r="BL46" s="172" t="n">
        <x:f>IF(AY46="","",IFERROR(BD46*(BC46/BB46-1),0))</x:f>
        <x:v>0.0004980821917808242</x:v>
      </x:c>
      <x:c r="BM46" s="147" t="str">
        <x:v>SI69H</x:v>
      </x:c>
      <x:c r="BN46" s="147" t="str">
        <x:v>Silver future (regular)</x:v>
      </x:c>
      <x:c r="BO46" s="147" t="str">
        <x:v>Long</x:v>
      </x:c>
      <x:c r="BP46" s="167" t="n">
        <x:v>1.86</x:v>
      </x:c>
      <x:c r="BQ46" s="167" t="n">
        <x:v>1.858</x:v>
      </x:c>
      <x:c r="BR46" s="166" t="n">
        <x:v>1</x:v>
      </x:c>
      <x:c r="BS46" s="171" t="n">
        <x:f>IF(BM46="","",IFERROR(F46*BR46/BP46,0))</x:f>
        <x:v>0.6393973814766247</x:v>
      </x:c>
      <x:c r="BT46" s="171" t="n">
        <x:f>IF(BM46="","",F46*ABS(BR46))</x:f>
        <x:v>1.1892791295465222</x:v>
      </x:c>
      <x:c r="BU46" s="165" t="n">
        <x:v>1.925</x:v>
      </x:c>
      <x:c r="BV46" s="172" t="n">
        <x:f>IF(BM46="","",IF(BU46="","",IFERROR(BP46/BU46-1,0)))</x:f>
        <x:v>-0.03376623376623378</x:v>
      </x:c>
      <x:c r="BW46" s="166" t="n">
        <x:v>0.06060000000000001</x:v>
      </x:c>
      <x:c r="BX46" s="172" t="n">
        <x:f>IF(BM46="","",IF(BW46="","",BW46-BV46*365/BY46))</x:f>
        <x:v>0.6768337662337665</x:v>
      </x:c>
      <x:c r="BY46" s="164" t="n">
        <x:v>20</x:v>
      </x:c>
      <x:c r="BZ46" s="172" t="n">
        <x:f>IF(BM46="","",IFERROR(BR46*(BQ46/BP46-1),0))</x:f>
        <x:v>-0.0010752688172043223</x:v>
      </x:c>
      <x:c r="CA46" s="147" t="str">
        <x:v>SI69K</x:v>
      </x:c>
      <x:c r="CB46" s="147" t="str">
        <x:v>Silver future (regular)</x:v>
      </x:c>
      <x:c r="CC46" s="147" t="str">
        <x:v>Long</x:v>
      </x:c>
      <x:c r="CD46" s="167" t="n">
        <x:v>1.89</x:v>
      </x:c>
      <x:c r="CE46" s="167" t="n">
        <x:v>1.885</x:v>
      </x:c>
      <x:c r="CF46" s="166" t="n">
        <x:v>5.6507709901920605e-24</x:v>
      </x:c>
      <x:c r="CG46" s="171" t="n">
        <x:f>IF(CA46="","",IFERROR(F46*CF46/CD46,0))</x:f>
        <x:v>3.555737568509182e-24</x:v>
      </x:c>
      <x:c r="CH46" s="171" t="n">
        <x:f>IF(CA46="","",F46*ABS(CF46))</x:f>
        <x:v>6.720344004482353e-24</x:v>
      </x:c>
      <x:c r="CI46" s="165" t="n">
        <x:v>1.925</x:v>
      </x:c>
      <x:c r="CJ46" s="172" t="n">
        <x:f>IF(CA46="","",IF(CI46="","",IFERROR(CD46/CI46-1,0)))</x:f>
        <x:v>-0.0181818181818183</x:v>
      </x:c>
      <x:c r="CK46" s="166" t="n">
        <x:v>0.06060000000000001</x:v>
      </x:c>
      <x:c r="CL46" s="172" t="n">
        <x:f>IF(CA46="","",IF(CK46="","",CK46-CJ46*365/CM46))</x:f>
        <x:v>0.14153126385809367</x:v>
      </x:c>
      <x:c r="CM46" s="164" t="n">
        <x:v>82</x:v>
      </x:c>
      <x:c r="CN46" s="172" t="n">
        <x:f>IF(CA46="","",IFERROR(CF46*(CE46/CD46-1),0))</x:f>
        <x:v>-1.4949129603682228e-26</x:v>
      </x:c>
      <x:c r="CO46" s="147" t="str">
        <x:v>SI69N</x:v>
      </x:c>
      <x:c r="CP46" s="147" t="str">
        <x:v>Silver future (regular)</x:v>
      </x:c>
      <x:c r="CQ46" s="147" t="str">
        <x:v>Long</x:v>
      </x:c>
      <x:c r="CR46" s="167" t="n">
        <x:v>1.922</x:v>
      </x:c>
      <x:c r="CS46" s="167" t="n">
        <x:v>1.9169999999999998</x:v>
      </x:c>
      <x:c r="CT46" s="166" t="n">
        <x:v>2.8803910004208643e-27</x:v>
      </x:c>
      <x:c r="CU46" s="171" t="n">
        <x:f>IF(CO46="","",IFERROR(F46*CT46/CR46,0))</x:f>
        <x:v>1.7823043193205836e-27</x:v>
      </x:c>
      <x:c r="CV46" s="171" t="n">
        <x:f>IF(CO46="","",F46*ABS(CT46))</x:f>
        <x:v>3.425588901734161e-27</x:v>
      </x:c>
      <x:c r="CW46" s="165" t="n">
        <x:v>1.925</x:v>
      </x:c>
      <x:c r="CX46" s="172" t="n">
        <x:f>IF(CO46="","",IF(CW46="","",IFERROR(CR46/CW46-1,0)))</x:f>
        <x:v>-0.0015584415584416478</x:v>
      </x:c>
      <x:c r="CY46" s="166" t="n">
        <x:v>0.06176483516483518</x:v>
      </x:c>
      <x:c r="CZ46" s="172" t="n">
        <x:f>IF(CO46="","",IF(CY46="","",CY46-CX46*365/DA46))</x:f>
        <x:v>0.06571505161505185</x:v>
      </x:c>
      <x:c r="DA46" s="164" t="n">
        <x:v>144</x:v>
      </x:c>
      <x:c r="DB46" s="172" t="n">
        <x:f>IF(CO46="","",IFERROR(CT46*(CS46/CR46-1),0))</x:f>
        <x:v>-7.493212800262563e-30</x:v>
      </x:c>
      <x:c r="DC46" s="147" t="str">
        <x:v>SI69U</x:v>
      </x:c>
      <x:c r="DD46" s="147" t="str">
        <x:v>Silver future (regular)</x:v>
      </x:c>
      <x:c r="DE46" s="147" t="str">
        <x:v>Long</x:v>
      </x:c>
      <x:c r="DF46" s="167" t="n">
        <x:v>1.9569999999999999</x:v>
      </x:c>
      <x:c r="DG46" s="167" t="n">
        <x:v>1.95</x:v>
      </x:c>
      <x:c r="DH46" s="166" t="n">
        <x:v>3.178231965279689e-29</x:v>
      </x:c>
      <x:c r="DI46" s="171" t="n">
        <x:f>IF(DC46="","",IFERROR(F46*DH46/DF46,0))</x:f>
        <x:v>1.9314281784183756e-29</x:v>
      </x:c>
      <x:c r="DJ46" s="171" t="n">
        <x:f>IF(DC46="","",F46*ABS(DH46))</x:f>
        <x:v>3.779804945164761e-29</x:v>
      </x:c>
      <x:c r="DK46" s="165" t="n">
        <x:v>1.925</x:v>
      </x:c>
      <x:c r="DL46" s="172" t="n">
        <x:f>IF(DC46="","",IF(DK46="","",IFERROR(DF46/DK46-1,0)))</x:f>
        <x:v>0.01662337662337654</x:v>
      </x:c>
      <x:c r="DM46" s="166" t="n">
        <x:v>0.06279508196721312</x:v>
      </x:c>
      <x:c r="DN46" s="172" t="n">
        <x:f>IF(DC46="","",IF(DM46="","",DM46-DL46*365/DO46))</x:f>
        <x:v>0.032905759467053326</x:v>
      </x:c>
      <x:c r="DO46" s="164" t="n">
        <x:v>203</x:v>
      </x:c>
      <x:c r="DP46" s="172" t="n">
        <x:f>IF(DC46="","",IFERROR(DH46*(DG46/DF46-1),0))</x:f>
        <x:v>-1.1368228797627723e-31</x:v>
      </x:c>
      <x:c r="DQ46" s="147" t="str">
        <x:v>SI69Z</x:v>
      </x:c>
      <x:c r="DR46" s="147" t="str">
        <x:v>Silver future (regular)</x:v>
      </x:c>
      <x:c r="DS46" s="147" t="str">
        <x:v>Long</x:v>
      </x:c>
      <x:c r="DT46" s="167" t="n">
        <x:v>2.008</x:v>
      </x:c>
      <x:c r="DU46" s="167" t="n">
        <x:v>2</x:v>
      </x:c>
      <x:c r="DV46" s="166" t="n">
        <x:v>2.8169510731433854e-31</x:v>
      </x:c>
      <x:c r="DW46" s="171" t="n">
        <x:f>IF(DQ46="","",IFERROR(F46*DV46/DT46,0))</x:f>
        <x:v>1.6683969722326228e-31</x:v>
      </x:c>
      <x:c r="DX46" s="171" t="n">
        <x:f>IF(DQ46="","",F46*ABS(DV46))</x:f>
        <x:v>3.3501411202431067e-31</x:v>
      </x:c>
      <x:c r="DY46" s="165" t="n">
        <x:v>1.925</x:v>
      </x:c>
      <x:c r="DZ46" s="172" t="n">
        <x:f>IF(DQ46="","",IF(DY46="","",IFERROR(DT46/DY46-1,0)))</x:f>
        <x:v>0.04311688311688311</x:v>
      </x:c>
      <x:c r="EA46" s="166" t="n">
        <x:v>0.06366830601092896</x:v>
      </x:c>
      <x:c r="EB46" s="172" t="n">
        <x:f>IF(DQ46="","",IF(EA46="","",EA46-DZ46*365/EC46))</x:f>
        <x:v>0.010679543931257793</x:v>
      </x:c>
      <x:c r="EC46" s="164" t="n">
        <x:v>297</x:v>
      </x:c>
      <x:c r="ED46" s="172" t="n">
        <x:f>IF(DQ46="","",IFERROR(DV46*(DU46/DT46-1),0))</x:f>
        <x:v>-1.122291264200551e-33</x:v>
      </x:c>
      <x:c r="EE46" s="147" t="str">
        <x:v>SI70F</x:v>
      </x:c>
      <x:c r="EF46" s="147" t="str">
        <x:v>Silver future (regular)</x:v>
      </x:c>
      <x:c r="EG46" s="147" t="str">
        <x:v>Long</x:v>
      </x:c>
      <x:c r="EH46" s="167" t="n">
        <x:v>2.0269999999999997</x:v>
      </x:c>
      <x:c r="EI46" s="167" t="n">
        <x:v>2.019</x:v>
      </x:c>
      <x:c r="EJ46" s="166" t="n">
        <x:v>7.950803998530522e-32</x:v>
      </x:c>
      <x:c r="EK46" s="171" t="n">
        <x:f>IF(EE46="","",IFERROR(F46*EJ46/EH46,0))</x:f>
        <x:v>4.664886659382037e-32</x:v>
      </x:c>
      <x:c r="EL46" s="171" t="n">
        <x:f>IF(EE46="","",F46*ABS(EJ46))</x:f>
        <x:v>9.455725258567387e-32</x:v>
      </x:c>
      <x:c r="EM46" s="165" t="n">
        <x:v>1.925</x:v>
      </x:c>
      <x:c r="EN46" s="172" t="n">
        <x:f>IF(EE46="","",IF(EM46="","",IFERROR(EH46/EM46-1,0)))</x:f>
        <x:v>0.052987012987012694</x:v>
      </x:c>
      <x:c r="EO46" s="166" t="n">
        <x:v>0.06394699453551912</x:v>
      </x:c>
      <x:c r="EP46" s="172" t="n">
        <x:f>IF(EE46="","",IF(EO46="","",EO46-EN46*365/EQ46))</x:f>
        <x:v>0.004802469335948377</x:v>
      </x:c>
      <x:c r="EQ46" s="164" t="n">
        <x:v>327</x:v>
      </x:c>
      <x:c r="ER46" s="172" t="n">
        <x:f>IF(EE46="","",IFERROR(EJ46*(EI46/EH46-1),0))</x:f>
        <x:v>-3.137959150875241e-34</x:v>
      </x:c>
      <x:c r="ES46" s="147"/>
      <x:c r="ET46" s="147"/>
      <x:c r="EU46" s="147"/>
      <x:c r="EV46" s="167"/>
      <x:c r="EW46" s="167"/>
      <x:c r="EX46" s="166"/>
      <x:c r="EY46" s="171" t="str">
        <x:f>IF(ES46="","",IFERROR(F46*EX46/EV46,0))</x:f>
      </x:c>
      <x:c r="EZ46" s="171" t="str">
        <x:f>IF(ES46="","",F46*ABS(EX46))</x:f>
      </x:c>
      <x:c r="FA46" s="165"/>
      <x:c r="FB46" s="172" t="str">
        <x:f>IF(ES46="","",IF(FA46="","",IFERROR(EV46/FA46-1,0)))</x:f>
      </x:c>
      <x:c r="FC46" s="166"/>
      <x:c r="FD46" s="172" t="str">
        <x:f>IF(ES46="","",IF(FC46="","",FC46-FB46*365/FE46))</x:f>
      </x:c>
      <x:c r="FE46" s="164"/>
      <x:c r="FF46" s="172" t="str">
        <x:f>IF(ES46="","",IFERROR(EX46*(EW46/EV46-1),0))</x:f>
      </x:c>
      <x:c r="FG46" s="147"/>
      <x:c r="FH46" s="147"/>
      <x:c r="FI46" s="147"/>
      <x:c r="FJ46" s="167"/>
      <x:c r="FK46" s="167"/>
      <x:c r="FL46" s="166"/>
      <x:c r="FM46" s="171" t="str">
        <x:f>IF(FG46="","",IFERROR(F46*FL46/FJ46,0))</x:f>
      </x:c>
      <x:c r="FN46" s="171" t="str">
        <x:f>IF(FG46="","",F46*ABS(FL46))</x:f>
      </x:c>
      <x:c r="FO46" s="165"/>
      <x:c r="FP46" s="172" t="str">
        <x:f>IF(FG46="","",IF(FO46="","",IFERROR(FJ46/FO46-1,0)))</x:f>
      </x:c>
      <x:c r="FQ46" s="166"/>
      <x:c r="FR46" s="172" t="str">
        <x:f>IF(FG46="","",IF(FQ46="","",FQ46-FP46*365/FS46))</x:f>
      </x:c>
      <x:c r="FS46" s="164"/>
      <x:c r="FT46" s="172" t="str">
        <x:f>IF(FG46="","",IFERROR(FL46*(FK46/FJ46-1),0))</x:f>
      </x:c>
    </x:row>
    <x:row r="47" ht="18" customHeight="1">
      <x:c r="A47" s="163" t="n">
        <x:v>25272</x:v>
      </x:c>
      <x:c r="B47" s="163" t="n">
        <x:v>25273</x:v>
      </x:c>
      <x:c r="C47" s="170" t="n">
        <x:f>B47-A47</x:f>
        <x:v>1</x:v>
      </x:c>
      <x:c r="D47" s="163" t="n">
        <x:v>25272</x:v>
      </x:c>
      <x:c r="E47" s="147" t="str">
        <x:v>positive</x:v>
      </x:c>
      <x:c r="F47" s="165" t="n">
        <x:v>1.1885926935390525</x:v>
      </x:c>
      <x:c r="G47" s="168" t="n">
        <x:v>-0.022978507158972067</x:v>
      </x:c>
      <x:c r="H47" s="172" t="n">
        <x:f>SUM(AX47,BL47,BZ47,CN47,DB47,DP47,ED47,ER47,FF47,FT47)</x:f>
        <x:v>-0.022978507158971984</x:v>
      </x:c>
      <x:c r="I47" s="174" t="n">
        <x:f>G47-H47</x:f>
        <x:v>-8.326672684688674e-17</x:v>
      </x:c>
      <x:c r="J47" s="171" t="n">
        <x:f>F47*(1+H47)</x:f>
        <x:v>1.1612806078214637</x:v>
      </x:c>
      <x:c r="K47" s="169" t="n">
        <x:v>1.1612806078214635</x:v>
      </x:c>
      <x:c r="L47" s="175" t="n">
        <x:f>K47-J47</x:f>
        <x:v>-2.220446049250313e-16</x:v>
      </x:c>
      <x:c r="M47" s="167" t="n">
        <x:v>1.901</x:v>
      </x:c>
      <x:c r="N47" s="167" t="n">
        <x:v>1.879</x:v>
      </x:c>
      <x:c r="O47" s="172" t="n">
        <x:f>IFERROR(N47/M47-1,0)</x:f>
        <x:v>-0.011572856391372954</x:v>
      </x:c>
      <x:c r="P47" s="171" t="n">
        <x:f>IFERROR(AD47/AH47,0)</x:f>
        <x:v>1.2242317169644736</x:v>
      </x:c>
      <x:c r="Q47" s="171" t="n">
        <x:f>IFERROR(AE47/AI47,0)</x:f>
        <x:v>1.2101050719076238</x:v>
      </x:c>
      <x:c r="R47" s="172" t="n">
        <x:f>IFERROR((Q47-P47)/(P47+S47),0)</x:f>
        <x:v>-0.011539192181589053</x:v>
      </x:c>
      <x:c r="S47" s="172" t="n">
        <x:f>IFERROR(AF47/AH47,0)</x:f>
        <x:v>0</x:v>
      </x:c>
      <x:c r="T47" s="172" t="n">
        <x:f>IFERROR(AG47/AI47,0)</x:f>
        <x:v>0</x:v>
      </x:c>
      <x:c r="U47" s="172" t="n">
        <x:f>IFERROR((T47-S47)/(P47+S47),0)</x:f>
        <x:v>0</x:v>
      </x:c>
      <x:c r="V47" s="172" t="n">
        <x:f>R47+U47</x:f>
        <x:v>-0.011539192181589053</x:v>
      </x:c>
      <x:c r="W47" s="172" t="n">
        <x:f>(1+O47)*(1+V47)-1</x:f>
        <x:v>-0.022978507158971984</x:v>
      </x:c>
      <x:c r="X47" s="174" t="n">
        <x:f>G47-W47</x:f>
        <x:v>-8.326672684688674e-17</x:v>
      </x:c>
      <x:c r="Y47" s="172" t="str">
        <x:f>AX47</x:f>
      </x:c>
      <x:c r="Z47" s="172" t="n">
        <x:f>BL47</x:f>
        <x:v>0.0001646575342466594</x:v>
      </x:c>
      <x:c r="AA47" s="172" t="n">
        <x:f>SUM(BZ47,CN47,DB47,DP47,ED47,ER47,FF47,FT47)</x:f>
        <x:v>-0.023143164693218643</x:v>
      </x:c>
      <x:c r="AB47" s="172" t="n">
        <x:f>SUM(Y47:AA47)</x:f>
        <x:v>-0.022978507158971984</x:v>
      </x:c>
      <x:c r="AC47" s="174" t="n">
        <x:f>G47-AB47</x:f>
        <x:v>-8.326672684688674e-17</x:v>
      </x:c>
      <x:c r="AD47" s="169" t="n">
        <x:v>1.1885926935390523</x:v>
      </x:c>
      <x:c r="AE47" s="169" t="n">
        <x:v>1.1612806078214633</x:v>
      </x:c>
      <x:c r="AF47" s="169" t="n">
        <x:v>0</x:v>
      </x:c>
      <x:c r="AG47" s="169" t="n">
        <x:v>0</x:v>
      </x:c>
      <x:c r="AH47" s="171" t="n">
        <x:f>M47/$M$3</x:f>
        <x:v>0.9708886618998979</x:v>
      </x:c>
      <x:c r="AI47" s="171" t="n">
        <x:f>N47/$M$3</x:f>
        <x:v>0.9596527068437181</x:v>
      </x:c>
      <x:c r="AJ47" s="170" t="n">
        <x:f>IF(AK47&lt;&gt;"",1,0)+IF(AY47&lt;&gt;"",1,0)+IF(BM47&lt;&gt;"",1,0)+IF(CA47&lt;&gt;"",1,0)+IF(CO47&lt;&gt;"",1,0)+IF(DC47&lt;&gt;"",1,0)+IF(DQ47&lt;&gt;"",1,0)+IF(EE47&lt;&gt;"",1,0)+IF(ES47&lt;&gt;"",1,0)+IF(FG47&lt;&gt;"",1,0)</x:f>
        <x:v>5</x:v>
      </x:c>
      <x:c r="AK47" s="147"/>
      <x:c r="AL47" s="147"/>
      <x:c r="AM47" s="147"/>
      <x:c r="AN47" s="167"/>
      <x:c r="AO47" s="167"/>
      <x:c r="AP47" s="166"/>
      <x:c r="AQ47" s="171" t="str">
        <x:f>IF(AK47="","",IFERROR(F47*AP47/AN47,0))</x:f>
      </x:c>
      <x:c r="AR47" s="171" t="str">
        <x:f>IF(AK47="","",F47*ABS(AP47))</x:f>
      </x:c>
      <x:c r="AS47" s="165"/>
      <x:c r="AT47" s="172" t="str">
        <x:f>IF(AK47="","",IF(AS47="","",IFERROR(AN47/AS47-1,0)))</x:f>
      </x:c>
      <x:c r="AU47" s="166"/>
      <x:c r="AV47" s="172" t="str">
        <x:f>IF(AK47="","",IF(AU47="","",AU47-AT47*365/AW47))</x:f>
      </x:c>
      <x:c r="AW47" s="164"/>
      <x:c r="AX47" s="173" t="str">
        <x:f>IF(AK47="","",IFERROR(AP47*(AO47/AN47-1),0))</x:f>
      </x:c>
      <x:c r="AY47" s="147" t="str">
        <x:v>Matched-maturity Treasury collateral</x:v>
      </x:c>
      <x:c r="AZ47" s="147" t="str">
        <x:v>Treasury</x:v>
      </x:c>
      <x:c r="BA47" s="147" t="str">
        <x:v>Long</x:v>
      </x:c>
      <x:c r="BB47" s="167" t="n">
        <x:v>101.13069428396746</x:v>
      </x:c>
      <x:c r="BC47" s="167" t="n">
        <x:v>101.14734621472492</x:v>
      </x:c>
      <x:c r="BD47" s="166" t="n">
        <x:v>1</x:v>
      </x:c>
      <x:c r="BE47" s="171" t="n">
        <x:f>IF(AY47="","",IFERROR(F47*BD47/BB47,0))</x:f>
        <x:v>0.01175303602882002</x:v>
      </x:c>
      <x:c r="BF47" s="171" t="n">
        <x:f>IF(AY47="","",F47*ABS(BD47))</x:f>
        <x:v>1.1885926935390525</x:v>
      </x:c>
      <x:c r="BG47" s="165"/>
      <x:c r="BH47" s="172" t="str">
        <x:f>IF(AY47="","",IF(BG47="","",IFERROR(BB47/BG47-1,0)))</x:f>
      </x:c>
      <x:c r="BI47" s="166"/>
      <x:c r="BJ47" s="172" t="str">
        <x:f>IF(AY47="","",IF(BI47="","",BI47-BH47*365/BK47))</x:f>
      </x:c>
      <x:c r="BK47" s="164" t="n">
        <x:v>17</x:v>
      </x:c>
      <x:c r="BL47" s="172" t="n">
        <x:f>IF(AY47="","",IFERROR(BD47*(BC47/BB47-1),0))</x:f>
        <x:v>0.0001646575342466594</x:v>
      </x:c>
      <x:c r="BM47" s="147" t="str">
        <x:v>SI69H</x:v>
      </x:c>
      <x:c r="BN47" s="147" t="str">
        <x:v>Silver future (regular)</x:v>
      </x:c>
      <x:c r="BO47" s="147" t="str">
        <x:v>Long</x:v>
      </x:c>
      <x:c r="BP47" s="167" t="n">
        <x:v>1.858</x:v>
      </x:c>
      <x:c r="BQ47" s="167" t="n">
        <x:v>1.815</x:v>
      </x:c>
      <x:c r="BR47" s="166" t="n">
        <x:v>1</x:v>
      </x:c>
      <x:c r="BS47" s="171" t="n">
        <x:f>IF(BM47="","",IFERROR(F47*BR47/BP47,0))</x:f>
        <x:v>0.6397161967379185</x:v>
      </x:c>
      <x:c r="BT47" s="171" t="n">
        <x:f>IF(BM47="","",F47*ABS(BR47))</x:f>
        <x:v>1.1885926935390525</x:v>
      </x:c>
      <x:c r="BU47" s="165" t="n">
        <x:v>1.901</x:v>
      </x:c>
      <x:c r="BV47" s="172" t="n">
        <x:f>IF(BM47="","",IF(BU47="","",IFERROR(BP47/BU47-1,0)))</x:f>
        <x:v>-0.022619673855865274</x:v>
      </x:c>
      <x:c r="BW47" s="166" t="n">
        <x:v>0.0601</x:v>
      </x:c>
      <x:c r="BX47" s="172" t="n">
        <x:f>IF(BM47="","",IF(BW47="","",BW47-BV47*365/BY47))</x:f>
        <x:v>0.5457577033759309</x:v>
      </x:c>
      <x:c r="BY47" s="164" t="n">
        <x:v>17</x:v>
      </x:c>
      <x:c r="BZ47" s="172" t="n">
        <x:f>IF(BM47="","",IFERROR(BR47*(BQ47/BP47-1),0))</x:f>
        <x:v>-0.023143164693218643</x:v>
      </x:c>
      <x:c r="CA47" s="147" t="str">
        <x:v>SI69K</x:v>
      </x:c>
      <x:c r="CB47" s="147" t="str">
        <x:v>Silver future (regular)</x:v>
      </x:c>
      <x:c r="CC47" s="147" t="str">
        <x:v>Long</x:v>
      </x:c>
      <x:c r="CD47" s="167" t="n">
        <x:v>1.885</x:v>
      </x:c>
      <x:c r="CE47" s="167" t="n">
        <x:v>1.84</x:v>
      </x:c>
      <x:c r="CF47" s="166" t="n">
        <x:v>5.6507709901920605e-24</x:v>
      </x:c>
      <x:c r="CG47" s="171" t="n">
        <x:f>IF(CA47="","",IFERROR(F47*CF47/CD47,0))</x:f>
        <x:v>3.563111465148392e-24</x:v>
      </x:c>
      <x:c r="CH47" s="171" t="n">
        <x:f>IF(CA47="","",F47*ABS(CF47))</x:f>
        <x:v>6.71646511180472e-24</x:v>
      </x:c>
      <x:c r="CI47" s="165" t="n">
        <x:v>1.901</x:v>
      </x:c>
      <x:c r="CJ47" s="172" t="n">
        <x:f>IF(CA47="","",IF(CI47="","",IFERROR(CD47/CI47-1,0)))</x:f>
        <x:v>-0.008416622830089482</x:v>
      </x:c>
      <x:c r="CK47" s="166" t="n">
        <x:v>0.0601</x:v>
      </x:c>
      <x:c r="CL47" s="172" t="n">
        <x:f>IF(CA47="","",IF(CK47="","",CK47-CJ47*365/CM47))</x:f>
        <x:v>0.09898692826560329</x:v>
      </x:c>
      <x:c r="CM47" s="164" t="n">
        <x:v>79</x:v>
      </x:c>
      <x:c r="CN47" s="172" t="n">
        <x:f>IF(CA47="","",IFERROR(CF47*(CE47/CD47-1),0))</x:f>
        <x:v>-1.3489904220617644e-25</x:v>
      </x:c>
      <x:c r="CO47" s="147" t="str">
        <x:v>SI69N</x:v>
      </x:c>
      <x:c r="CP47" s="147" t="str">
        <x:v>Silver future (regular)</x:v>
      </x:c>
      <x:c r="CQ47" s="147" t="str">
        <x:v>Long</x:v>
      </x:c>
      <x:c r="CR47" s="167" t="n">
        <x:v>1.9169999999999998</x:v>
      </x:c>
      <x:c r="CS47" s="167" t="n">
        <x:v>1.871</x:v>
      </x:c>
      <x:c r="CT47" s="166" t="n">
        <x:v>2.8803910004208643e-27</x:v>
      </x:c>
      <x:c r="CU47" s="171" t="n">
        <x:f>IF(CO47="","",IFERROR(F47*CT47/CR47,0))</x:f>
        <x:v>1.7859215950108928e-27</x:v>
      </x:c>
      <x:c r="CV47" s="171" t="n">
        <x:f>IF(CO47="","",F47*ABS(CT47))</x:f>
        <x:v>3.423611697635881e-27</x:v>
      </x:c>
      <x:c r="CW47" s="165" t="n">
        <x:v>1.901</x:v>
      </x:c>
      <x:c r="CX47" s="172" t="n">
        <x:f>IF(CO47="","",IF(CW47="","",IFERROR(CR47/CW47-1,0)))</x:f>
        <x:v>0.00841662283008926</x:v>
      </x:c>
      <x:c r="CY47" s="166" t="n">
        <x:v>0.06114395604395604</x:v>
      </x:c>
      <x:c r="CZ47" s="172" t="n">
        <x:f>IF(CO47="","",IF(CY47="","",CY47-CX47*365/DA47))</x:f>
        <x:v>0.0393562444625193</x:v>
      </x:c>
      <x:c r="DA47" s="164" t="n">
        <x:v>141</x:v>
      </x:c>
      <x:c r="DB47" s="172" t="n">
        <x:f>IF(CO47="","",IFERROR(CT47*(CS47/CR47-1),0))</x:f>
        <x:v>-6.911736359903986e-29</x:v>
      </x:c>
      <x:c r="DC47" s="147" t="str">
        <x:v>SI69U</x:v>
      </x:c>
      <x:c r="DD47" s="147" t="str">
        <x:v>Silver future (regular)</x:v>
      </x:c>
      <x:c r="DE47" s="147" t="str">
        <x:v>Long</x:v>
      </x:c>
      <x:c r="DF47" s="167" t="n">
        <x:v>1.95</x:v>
      </x:c>
      <x:c r="DG47" s="167" t="n">
        <x:v>1.9040000000000001</x:v>
      </x:c>
      <x:c r="DH47" s="166" t="n">
        <x:v>3.178231965279689e-29</x:v>
      </x:c>
      <x:c r="DI47" s="171" t="n">
        <x:f>IF(DC47="","",IFERROR(F47*DH47/DF47,0))</x:f>
        <x:v>1.9372427140018984e-29</x:v>
      </x:c>
      <x:c r="DJ47" s="171" t="n">
        <x:f>IF(DC47="","",F47*ABS(DH47))</x:f>
        <x:v>3.777623292303702e-29</x:v>
      </x:c>
      <x:c r="DK47" s="165" t="n">
        <x:v>1.901</x:v>
      </x:c>
      <x:c r="DL47" s="172" t="n">
        <x:f>IF(DC47="","",IF(DK47="","",IFERROR(DF47/DK47-1,0)))</x:f>
        <x:v>0.025775907417148858</x:v>
      </x:c>
      <x:c r="DM47" s="166" t="n">
        <x:v>0.06220655737704917</x:v>
      </x:c>
      <x:c r="DN47" s="172" t="n">
        <x:f>IF(DC47="","",IF(DM47="","",DM47-DL47*365/DO47))</x:f>
        <x:v>0.015165526340752508</x:v>
      </x:c>
      <x:c r="DO47" s="164" t="n">
        <x:v>200</x:v>
      </x:c>
      <x:c r="DP47" s="172" t="n">
        <x:f>IF(DC47="","",IFERROR(DH47*(DG47/DF47-1),0))</x:f>
        <x:v>-7.497367712967453e-31</x:v>
      </x:c>
      <x:c r="DQ47" s="147"/>
      <x:c r="DR47" s="147"/>
      <x:c r="DS47" s="147"/>
      <x:c r="DT47" s="167"/>
      <x:c r="DU47" s="167"/>
      <x:c r="DV47" s="166"/>
      <x:c r="DW47" s="171" t="str">
        <x:f>IF(DQ47="","",IFERROR(F47*DV47/DT47,0))</x:f>
      </x:c>
      <x:c r="DX47" s="171" t="str">
        <x:f>IF(DQ47="","",F47*ABS(DV47))</x:f>
      </x:c>
      <x:c r="DY47" s="165"/>
      <x:c r="DZ47" s="172" t="str">
        <x:f>IF(DQ47="","",IF(DY47="","",IFERROR(DT47/DY47-1,0)))</x:f>
      </x:c>
      <x:c r="EA47" s="166"/>
      <x:c r="EB47" s="172" t="str">
        <x:f>IF(DQ47="","",IF(EA47="","",EA47-DZ47*365/EC47))</x:f>
      </x:c>
      <x:c r="EC47" s="164"/>
      <x:c r="ED47" s="172" t="str">
        <x:f>IF(DQ47="","",IFERROR(DV47*(DU47/DT47-1),0))</x:f>
      </x:c>
      <x:c r="EE47" s="147"/>
      <x:c r="EF47" s="147"/>
      <x:c r="EG47" s="147"/>
      <x:c r="EH47" s="167"/>
      <x:c r="EI47" s="167"/>
      <x:c r="EJ47" s="166"/>
      <x:c r="EK47" s="171" t="str">
        <x:f>IF(EE47="","",IFERROR(F47*EJ47/EH47,0))</x:f>
      </x:c>
      <x:c r="EL47" s="171" t="str">
        <x:f>IF(EE47="","",F47*ABS(EJ47))</x:f>
      </x:c>
      <x:c r="EM47" s="165"/>
      <x:c r="EN47" s="172" t="str">
        <x:f>IF(EE47="","",IF(EM47="","",IFERROR(EH47/EM47-1,0)))</x:f>
      </x:c>
      <x:c r="EO47" s="166"/>
      <x:c r="EP47" s="172" t="str">
        <x:f>IF(EE47="","",IF(EO47="","",EO47-EN47*365/EQ47))</x:f>
      </x:c>
      <x:c r="EQ47" s="164"/>
      <x:c r="ER47" s="172" t="str">
        <x:f>IF(EE47="","",IFERROR(EJ47*(EI47/EH47-1),0))</x:f>
      </x:c>
      <x:c r="ES47" s="147"/>
      <x:c r="ET47" s="147"/>
      <x:c r="EU47" s="147"/>
      <x:c r="EV47" s="167"/>
      <x:c r="EW47" s="167"/>
      <x:c r="EX47" s="166"/>
      <x:c r="EY47" s="171" t="str">
        <x:f>IF(ES47="","",IFERROR(F47*EX47/EV47,0))</x:f>
      </x:c>
      <x:c r="EZ47" s="171" t="str">
        <x:f>IF(ES47="","",F47*ABS(EX47))</x:f>
      </x:c>
      <x:c r="FA47" s="165"/>
      <x:c r="FB47" s="172" t="str">
        <x:f>IF(ES47="","",IF(FA47="","",IFERROR(EV47/FA47-1,0)))</x:f>
      </x:c>
      <x:c r="FC47" s="166"/>
      <x:c r="FD47" s="172" t="str">
        <x:f>IF(ES47="","",IF(FC47="","",FC47-FB47*365/FE47))</x:f>
      </x:c>
      <x:c r="FE47" s="164"/>
      <x:c r="FF47" s="172" t="str">
        <x:f>IF(ES47="","",IFERROR(EX47*(EW47/EV47-1),0))</x:f>
      </x:c>
      <x:c r="FG47" s="147"/>
      <x:c r="FH47" s="147"/>
      <x:c r="FI47" s="147"/>
      <x:c r="FJ47" s="167"/>
      <x:c r="FK47" s="167"/>
      <x:c r="FL47" s="166"/>
      <x:c r="FM47" s="171" t="str">
        <x:f>IF(FG47="","",IFERROR(F47*FL47/FJ47,0))</x:f>
      </x:c>
      <x:c r="FN47" s="171" t="str">
        <x:f>IF(FG47="","",F47*ABS(FL47))</x:f>
      </x:c>
      <x:c r="FO47" s="165"/>
      <x:c r="FP47" s="172" t="str">
        <x:f>IF(FG47="","",IF(FO47="","",IFERROR(FJ47/FO47-1,0)))</x:f>
      </x:c>
      <x:c r="FQ47" s="166"/>
      <x:c r="FR47" s="172" t="str">
        <x:f>IF(FG47="","",IF(FQ47="","",FQ47-FP47*365/FS47))</x:f>
      </x:c>
      <x:c r="FS47" s="164"/>
      <x:c r="FT47" s="172" t="str">
        <x:f>IF(FG47="","",IFERROR(FL47*(FK47/FJ47-1),0))</x:f>
      </x:c>
    </x:row>
    <x:row r="48" ht="18" customHeight="1">
      <x:c r="A48" s="163" t="n">
        <x:v>25273</x:v>
      </x:c>
      <x:c r="B48" s="163" t="n">
        <x:v>25274</x:v>
      </x:c>
      <x:c r="C48" s="170" t="n">
        <x:f>B48-A48</x:f>
        <x:v>1</x:v>
      </x:c>
      <x:c r="D48" s="163" t="n">
        <x:v>25273</x:v>
      </x:c>
      <x:c r="E48" s="147" t="str">
        <x:v>positive</x:v>
      </x:c>
      <x:c r="F48" s="165" t="n">
        <x:v>1.1612806078214635</x:v>
      </x:c>
      <x:c r="G48" s="168" t="n">
        <x:v>0.009531048718819518</x:v>
      </x:c>
      <x:c r="H48" s="172" t="n">
        <x:f>SUM(AX48,BL48,BZ48,CN48,DB48,DP48,ED48,ER48,FF48,FT48)</x:f>
        <x:v>0.009531048718819601</x:v>
      </x:c>
      <x:c r="I48" s="174" t="n">
        <x:f>G48-H48</x:f>
        <x:v>-8.326672684688674e-17</x:v>
      </x:c>
      <x:c r="J48" s="171" t="n">
        <x:f>F48*(1+H48)</x:f>
        <x:v>1.1723488298708302</x:v>
      </x:c>
      <x:c r="K48" s="169" t="n">
        <x:v>1.1723488298708302</x:v>
      </x:c>
      <x:c r="L48" s="175" t="n">
        <x:f>K48-J48</x:f>
        <x:v>0</x:v>
      </x:c>
      <x:c r="M48" s="167" t="n">
        <x:v>1.879</x:v>
      </x:c>
      <x:c r="N48" s="167" t="n">
        <x:v>1.833</x:v>
      </x:c>
      <x:c r="O48" s="172" t="n">
        <x:f>IFERROR(N48/M48-1,0)</x:f>
        <x:v>-0.02448110697179351</x:v>
      </x:c>
      <x:c r="P48" s="171" t="n">
        <x:f>IFERROR(AD48/AH48,0)</x:f>
        <x:v>1.2101050719076238</x:v>
      </x:c>
      <x:c r="Q48" s="171" t="n">
        <x:f>IFERROR(AE48/AI48,0)</x:f>
        <x:v>1.2522962405275968</x:v>
      </x:c>
      <x:c r="R48" s="172" t="n">
        <x:f>IFERROR((Q48-P48)/(P48+S48),0)</x:f>
        <x:v>0.03486570678814056</x:v>
      </x:c>
      <x:c r="S48" s="172" t="n">
        <x:f>IFERROR(AF48/AH48,0)</x:f>
        <x:v>0</x:v>
      </x:c>
      <x:c r="T48" s="172" t="n">
        <x:f>IFERROR(AG48/AI48,0)</x:f>
        <x:v>0</x:v>
      </x:c>
      <x:c r="U48" s="172" t="n">
        <x:f>IFERROR((T48-S48)/(P48+S48),0)</x:f>
        <x:v>0</x:v>
      </x:c>
      <x:c r="V48" s="172" t="n">
        <x:f>R48+U48</x:f>
        <x:v>0.03486570678814056</x:v>
      </x:c>
      <x:c r="W48" s="172" t="n">
        <x:f>(1+O48)*(1+V48)-1</x:f>
        <x:v>0.00953104871881938</x:v>
      </x:c>
      <x:c r="X48" s="174" t="n">
        <x:f>G48-W48</x:f>
        <x:v>1.3877787807814457e-16</x:v>
      </x:c>
      <x:c r="Y48" s="172" t="str">
        <x:f>AX48</x:f>
      </x:c>
      <x:c r="Z48" s="172" t="n">
        <x:f>BL48</x:f>
        <x:v>0.0001646575342466594</x:v>
      </x:c>
      <x:c r="AA48" s="172" t="n">
        <x:f>SUM(BZ48,CN48,DB48,DP48,ED48,ER48,FF48,FT48)</x:f>
        <x:v>0.009366391184572942</x:v>
      </x:c>
      <x:c r="AB48" s="172" t="n">
        <x:f>SUM(Y48:AA48)</x:f>
        <x:v>0.009531048718819601</x:v>
      </x:c>
      <x:c r="AC48" s="174" t="n">
        <x:f>G48-AB48</x:f>
        <x:v>-8.326672684688674e-17</x:v>
      </x:c>
      <x:c r="AD48" s="169" t="n">
        <x:v>1.1612806078214633</x:v>
      </x:c>
      <x:c r="AE48" s="169" t="n">
        <x:v>1.17234882987083</x:v>
      </x:c>
      <x:c r="AF48" s="169" t="n">
        <x:v>0</x:v>
      </x:c>
      <x:c r="AG48" s="169" t="n">
        <x:v>0</x:v>
      </x:c>
      <x:c r="AH48" s="171" t="n">
        <x:f>M48/$M$3</x:f>
        <x:v>0.9596527068437181</x:v>
      </x:c>
      <x:c r="AI48" s="171" t="n">
        <x:f>N48/$M$3</x:f>
        <x:v>0.9361593462717058</x:v>
      </x:c>
      <x:c r="AJ48" s="170" t="n">
        <x:f>IF(AK48&lt;&gt;"",1,0)+IF(AY48&lt;&gt;"",1,0)+IF(BM48&lt;&gt;"",1,0)+IF(CA48&lt;&gt;"",1,0)+IF(CO48&lt;&gt;"",1,0)+IF(DC48&lt;&gt;"",1,0)+IF(DQ48&lt;&gt;"",1,0)+IF(EE48&lt;&gt;"",1,0)+IF(ES48&lt;&gt;"",1,0)+IF(FG48&lt;&gt;"",1,0)</x:f>
        <x:v>5</x:v>
      </x:c>
      <x:c r="AK48" s="147"/>
      <x:c r="AL48" s="147"/>
      <x:c r="AM48" s="147"/>
      <x:c r="AN48" s="167"/>
      <x:c r="AO48" s="167"/>
      <x:c r="AP48" s="166"/>
      <x:c r="AQ48" s="171" t="str">
        <x:f>IF(AK48="","",IFERROR(F48*AP48/AN48,0))</x:f>
      </x:c>
      <x:c r="AR48" s="171" t="str">
        <x:f>IF(AK48="","",F48*ABS(AP48))</x:f>
      </x:c>
      <x:c r="AS48" s="165"/>
      <x:c r="AT48" s="172" t="str">
        <x:f>IF(AK48="","",IF(AS48="","",IFERROR(AN48/AS48-1,0)))</x:f>
      </x:c>
      <x:c r="AU48" s="166"/>
      <x:c r="AV48" s="172" t="str">
        <x:f>IF(AK48="","",IF(AU48="","",AU48-AT48*365/AW48))</x:f>
      </x:c>
      <x:c r="AW48" s="164"/>
      <x:c r="AX48" s="173" t="str">
        <x:f>IF(AK48="","",IFERROR(AP48*(AO48/AN48-1),0))</x:f>
      </x:c>
      <x:c r="AY48" s="147" t="str">
        <x:v>Matched-maturity Treasury collateral</x:v>
      </x:c>
      <x:c r="AZ48" s="147" t="str">
        <x:v>Treasury</x:v>
      </x:c>
      <x:c r="BA48" s="147" t="str">
        <x:v>Long</x:v>
      </x:c>
      <x:c r="BB48" s="167" t="n">
        <x:v>101.14734621472492</x:v>
      </x:c>
      <x:c r="BC48" s="167" t="n">
        <x:v>101.16400088734822</x:v>
      </x:c>
      <x:c r="BD48" s="166" t="n">
        <x:v>1</x:v>
      </x:c>
      <x:c r="BE48" s="171" t="n">
        <x:f>IF(AY48="","",IFERROR(F48*BD48/BB48,0))</x:f>
        <x:v>0.011481078360238832</x:v>
      </x:c>
      <x:c r="BF48" s="171" t="n">
        <x:f>IF(AY48="","",F48*ABS(BD48))</x:f>
        <x:v>1.1612806078214635</x:v>
      </x:c>
      <x:c r="BG48" s="165"/>
      <x:c r="BH48" s="172" t="str">
        <x:f>IF(AY48="","",IF(BG48="","",IFERROR(BB48/BG48-1,0)))</x:f>
      </x:c>
      <x:c r="BI48" s="166"/>
      <x:c r="BJ48" s="172" t="str">
        <x:f>IF(AY48="","",IF(BI48="","",BI48-BH48*365/BK48))</x:f>
      </x:c>
      <x:c r="BK48" s="164" t="n">
        <x:v>16</x:v>
      </x:c>
      <x:c r="BL48" s="172" t="n">
        <x:f>IF(AY48="","",IFERROR(BD48*(BC48/BB48-1),0))</x:f>
        <x:v>0.0001646575342466594</x:v>
      </x:c>
      <x:c r="BM48" s="147" t="str">
        <x:v>SI69H</x:v>
      </x:c>
      <x:c r="BN48" s="147" t="str">
        <x:v>Silver future (regular)</x:v>
      </x:c>
      <x:c r="BO48" s="147" t="str">
        <x:v>Long</x:v>
      </x:c>
      <x:c r="BP48" s="167" t="n">
        <x:v>1.815</x:v>
      </x:c>
      <x:c r="BQ48" s="167" t="n">
        <x:v>1.8319999999999999</x:v>
      </x:c>
      <x:c r="BR48" s="166" t="n">
        <x:v>1</x:v>
      </x:c>
      <x:c r="BS48" s="171" t="n">
        <x:f>IF(BM48="","",IFERROR(F48*BR48/BP48,0))</x:f>
        <x:v>0.6398240263479138</x:v>
      </x:c>
      <x:c r="BT48" s="171" t="n">
        <x:f>IF(BM48="","",F48*ABS(BR48))</x:f>
        <x:v>1.1612806078214635</x:v>
      </x:c>
      <x:c r="BU48" s="165" t="n">
        <x:v>1.879</x:v>
      </x:c>
      <x:c r="BV48" s="172" t="n">
        <x:f>IF(BM48="","",IF(BU48="","",IFERROR(BP48/BU48-1,0)))</x:f>
        <x:v>-0.034060670569451834</x:v>
      </x:c>
      <x:c r="BW48" s="166" t="n">
        <x:v>0.0601</x:v>
      </x:c>
      <x:c r="BX48" s="172" t="n">
        <x:f>IF(BM48="","",IF(BW48="","",BW48-BV48*365/BY48))</x:f>
        <x:v>0.83710904736562</x:v>
      </x:c>
      <x:c r="BY48" s="164" t="n">
        <x:v>16</x:v>
      </x:c>
      <x:c r="BZ48" s="172" t="n">
        <x:f>IF(BM48="","",IFERROR(BR48*(BQ48/BP48-1),0))</x:f>
        <x:v>0.009366391184572942</x:v>
      </x:c>
      <x:c r="CA48" s="147" t="str">
        <x:v>SI69K</x:v>
      </x:c>
      <x:c r="CB48" s="147" t="str">
        <x:v>Silver future (regular)</x:v>
      </x:c>
      <x:c r="CC48" s="147" t="str">
        <x:v>Long</x:v>
      </x:c>
      <x:c r="CD48" s="167" t="n">
        <x:v>1.84</x:v>
      </x:c>
      <x:c r="CE48" s="167" t="n">
        <x:v>1.855</x:v>
      </x:c>
      <x:c r="CF48" s="166" t="n">
        <x:v>5.6507709901920605e-24</x:v>
      </x:c>
      <x:c r="CG48" s="171" t="n">
        <x:f>IF(CA48="","",IFERROR(F48*CF48/CD48,0))</x:f>
        <x:v>3.5663754185598526e-24</x:v>
      </x:c>
      <x:c r="CH48" s="171" t="n">
        <x:f>IF(CA48="","",F48*ABS(CF48))</x:f>
        <x:v>6.562130770150129e-24</x:v>
      </x:c>
      <x:c r="CI48" s="165" t="n">
        <x:v>1.879</x:v>
      </x:c>
      <x:c r="CJ48" s="172" t="n">
        <x:f>IF(CA48="","",IF(CI48="","",IFERROR(CD48/CI48-1,0)))</x:f>
        <x:v>-0.02075572112825963</x:v>
      </x:c>
      <x:c r="CK48" s="166" t="n">
        <x:v>0.0601</x:v>
      </x:c>
      <x:c r="CL48" s="172" t="n">
        <x:f>IF(CA48="","",IF(CK48="","",CK48-CJ48*365/CM48))</x:f>
        <x:v>0.15722613092070212</x:v>
      </x:c>
      <x:c r="CM48" s="164" t="n">
        <x:v>78</x:v>
      </x:c>
      <x:c r="CN48" s="172" t="n">
        <x:f>IF(CA48="","",IFERROR(CF48*(CE48/CD48-1),0))</x:f>
        <x:v>4.606606785482647e-26</x:v>
      </x:c>
      <x:c r="CO48" s="147" t="str">
        <x:v>SI69N</x:v>
      </x:c>
      <x:c r="CP48" s="147" t="str">
        <x:v>Silver future (regular)</x:v>
      </x:c>
      <x:c r="CQ48" s="147" t="str">
        <x:v>Long</x:v>
      </x:c>
      <x:c r="CR48" s="167" t="n">
        <x:v>1.871</x:v>
      </x:c>
      <x:c r="CS48" s="167" t="n">
        <x:v>1.885</x:v>
      </x:c>
      <x:c r="CT48" s="166" t="n">
        <x:v>2.8803910004208643e-27</x:v>
      </x:c>
      <x:c r="CU48" s="171" t="n">
        <x:f>IF(CO48="","",IFERROR(F48*CT48/CR48,0))</x:f>
        <x:v>1.787783116906582e-27</x:v>
      </x:c>
      <x:c r="CV48" s="171" t="n">
        <x:f>IF(CO48="","",F48*ABS(CT48))</x:f>
        <x:v>3.3449422117322144e-27</x:v>
      </x:c>
      <x:c r="CW48" s="165" t="n">
        <x:v>1.879</x:v>
      </x:c>
      <x:c r="CX48" s="172" t="n">
        <x:f>IF(CO48="","",IF(CW48="","",IFERROR(CR48/CW48-1,0)))</x:f>
        <x:v>-0.004257583821181465</x:v>
      </x:c>
      <x:c r="CY48" s="166" t="n">
        <x:v>0.06096153846153847</x:v>
      </x:c>
      <x:c r="CZ48" s="172" t="n">
        <x:f>IF(CO48="","",IF(CY48="","",CY48-CX48*365/DA48))</x:f>
        <x:v>0.07206166770961872</x:v>
      </x:c>
      <x:c r="DA48" s="164" t="n">
        <x:v>140</x:v>
      </x:c>
      <x:c r="DB48" s="172" t="n">
        <x:f>IF(CO48="","",IFERROR(CT48*(CS48/CR48-1),0))</x:f>
        <x:v>2.1552898987649276e-29</x:v>
      </x:c>
      <x:c r="DC48" s="147" t="str">
        <x:v>SI69U</x:v>
      </x:c>
      <x:c r="DD48" s="147" t="str">
        <x:v>Silver future (regular)</x:v>
      </x:c>
      <x:c r="DE48" s="147" t="str">
        <x:v>Long</x:v>
      </x:c>
      <x:c r="DF48" s="167" t="n">
        <x:v>1.9040000000000001</x:v>
      </x:c>
      <x:c r="DG48" s="167" t="n">
        <x:v>1.9180000000000001</x:v>
      </x:c>
      <x:c r="DH48" s="166" t="n">
        <x:v>3.178231965279689e-29</x:v>
      </x:c>
      <x:c r="DI48" s="171" t="n">
        <x:f>IF(DC48="","",IFERROR(F48*DH48/DF48,0))</x:f>
        <x:v>1.9384554351037826e-29</x:v>
      </x:c>
      <x:c r="DJ48" s="171" t="n">
        <x:f>IF(DC48="","",F48*ABS(DH48))</x:f>
        <x:v>3.690819148437602e-29</x:v>
      </x:c>
      <x:c r="DK48" s="165" t="n">
        <x:v>1.879</x:v>
      </x:c>
      <x:c r="DL48" s="172" t="n">
        <x:f>IF(DC48="","",IF(DK48="","",IFERROR(DF48/DK48-1,0)))</x:f>
        <x:v>0.013304949441192093</x:v>
      </x:c>
      <x:c r="DM48" s="166" t="n">
        <x:v>0.06188579234972677</x:v>
      </x:c>
      <x:c r="DN48" s="172" t="n">
        <x:f>IF(DC48="","",IF(DM48="","",DM48-DL48*365/DO48))</x:f>
        <x:v>0.037482241867138257</x:v>
      </x:c>
      <x:c r="DO48" s="164" t="n">
        <x:v>199</x:v>
      </x:c>
      <x:c r="DP48" s="172" t="n">
        <x:f>IF(DC48="","",IFERROR(DH48*(DG48/DF48-1),0))</x:f>
        <x:v>2.3369352685879987e-31</x:v>
      </x:c>
      <x:c r="DQ48" s="147"/>
      <x:c r="DR48" s="147"/>
      <x:c r="DS48" s="147"/>
      <x:c r="DT48" s="167"/>
      <x:c r="DU48" s="167"/>
      <x:c r="DV48" s="166"/>
      <x:c r="DW48" s="171" t="str">
        <x:f>IF(DQ48="","",IFERROR(F48*DV48/DT48,0))</x:f>
      </x:c>
      <x:c r="DX48" s="171" t="str">
        <x:f>IF(DQ48="","",F48*ABS(DV48))</x:f>
      </x:c>
      <x:c r="DY48" s="165"/>
      <x:c r="DZ48" s="172" t="str">
        <x:f>IF(DQ48="","",IF(DY48="","",IFERROR(DT48/DY48-1,0)))</x:f>
      </x:c>
      <x:c r="EA48" s="166"/>
      <x:c r="EB48" s="172" t="str">
        <x:f>IF(DQ48="","",IF(EA48="","",EA48-DZ48*365/EC48))</x:f>
      </x:c>
      <x:c r="EC48" s="164"/>
      <x:c r="ED48" s="172" t="str">
        <x:f>IF(DQ48="","",IFERROR(DV48*(DU48/DT48-1),0))</x:f>
      </x:c>
      <x:c r="EE48" s="147"/>
      <x:c r="EF48" s="147"/>
      <x:c r="EG48" s="147"/>
      <x:c r="EH48" s="167"/>
      <x:c r="EI48" s="167"/>
      <x:c r="EJ48" s="166"/>
      <x:c r="EK48" s="171" t="str">
        <x:f>IF(EE48="","",IFERROR(F48*EJ48/EH48,0))</x:f>
      </x:c>
      <x:c r="EL48" s="171" t="str">
        <x:f>IF(EE48="","",F48*ABS(EJ48))</x:f>
      </x:c>
      <x:c r="EM48" s="165"/>
      <x:c r="EN48" s="172" t="str">
        <x:f>IF(EE48="","",IF(EM48="","",IFERROR(EH48/EM48-1,0)))</x:f>
      </x:c>
      <x:c r="EO48" s="166"/>
      <x:c r="EP48" s="172" t="str">
        <x:f>IF(EE48="","",IF(EO48="","",EO48-EN48*365/EQ48))</x:f>
      </x:c>
      <x:c r="EQ48" s="164"/>
      <x:c r="ER48" s="172" t="str">
        <x:f>IF(EE48="","",IFERROR(EJ48*(EI48/EH48-1),0))</x:f>
      </x:c>
      <x:c r="ES48" s="147"/>
      <x:c r="ET48" s="147"/>
      <x:c r="EU48" s="147"/>
      <x:c r="EV48" s="167"/>
      <x:c r="EW48" s="167"/>
      <x:c r="EX48" s="166"/>
      <x:c r="EY48" s="171" t="str">
        <x:f>IF(ES48="","",IFERROR(F48*EX48/EV48,0))</x:f>
      </x:c>
      <x:c r="EZ48" s="171" t="str">
        <x:f>IF(ES48="","",F48*ABS(EX48))</x:f>
      </x:c>
      <x:c r="FA48" s="165"/>
      <x:c r="FB48" s="172" t="str">
        <x:f>IF(ES48="","",IF(FA48="","",IFERROR(EV48/FA48-1,0)))</x:f>
      </x:c>
      <x:c r="FC48" s="166"/>
      <x:c r="FD48" s="172" t="str">
        <x:f>IF(ES48="","",IF(FC48="","",FC48-FB48*365/FE48))</x:f>
      </x:c>
      <x:c r="FE48" s="164"/>
      <x:c r="FF48" s="172" t="str">
        <x:f>IF(ES48="","",IFERROR(EX48*(EW48/EV48-1),0))</x:f>
      </x:c>
      <x:c r="FG48" s="147"/>
      <x:c r="FH48" s="147"/>
      <x:c r="FI48" s="147"/>
      <x:c r="FJ48" s="167"/>
      <x:c r="FK48" s="167"/>
      <x:c r="FL48" s="166"/>
      <x:c r="FM48" s="171" t="str">
        <x:f>IF(FG48="","",IFERROR(F48*FL48/FJ48,0))</x:f>
      </x:c>
      <x:c r="FN48" s="171" t="str">
        <x:f>IF(FG48="","",F48*ABS(FL48))</x:f>
      </x:c>
      <x:c r="FO48" s="165"/>
      <x:c r="FP48" s="172" t="str">
        <x:f>IF(FG48="","",IF(FO48="","",IFERROR(FJ48/FO48-1,0)))</x:f>
      </x:c>
      <x:c r="FQ48" s="166"/>
      <x:c r="FR48" s="172" t="str">
        <x:f>IF(FG48="","",IF(FQ48="","",FQ48-FP48*365/FS48))</x:f>
      </x:c>
      <x:c r="FS48" s="164"/>
      <x:c r="FT48" s="172" t="str">
        <x:f>IF(FG48="","",IFERROR(FL48*(FK48/FJ48-1),0))</x:f>
      </x:c>
    </x:row>
    <x:row r="49" ht="18" customHeight="1">
      <x:c r="A49" s="163" t="n">
        <x:v>25274</x:v>
      </x:c>
      <x:c r="B49" s="163" t="n">
        <x:v>25275</x:v>
      </x:c>
      <x:c r="C49" s="170" t="n">
        <x:f>B49-A49</x:f>
        <x:v>1</x:v>
      </x:c>
      <x:c r="D49" s="163" t="n">
        <x:v>25274</x:v>
      </x:c>
      <x:c r="E49" s="147" t="str">
        <x:v>positive</x:v>
      </x:c>
      <x:c r="F49" s="165" t="n">
        <x:v>1.1723488298708302</x:v>
      </x:c>
      <x:c r="G49" s="168" t="n">
        <x:v>0.00084173141302739</x:v>
      </x:c>
      <x:c r="H49" s="172" t="n">
        <x:f>SUM(AX49,BL49,BZ49,CN49,DB49,DP49,ED49,ER49,FF49,FT49)</x:f>
        <x:v>0.0008417314130273468</x:v>
      </x:c>
      <x:c r="I49" s="174" t="n">
        <x:f>G49-H49</x:f>
        <x:v>4.3259666682171627e-17</x:v>
      </x:c>
      <x:c r="J49" s="171" t="n">
        <x:f>F49*(1+H49)</x:f>
        <x:v>1.1733356327079583</x:v>
      </x:c>
      <x:c r="K49" s="169" t="n">
        <x:v>1.1733356327079583</x:v>
      </x:c>
      <x:c r="L49" s="175" t="n">
        <x:f>K49-J49</x:f>
        <x:v>0</x:v>
      </x:c>
      <x:c r="M49" s="167" t="n">
        <x:v>1.833</x:v>
      </x:c>
      <x:c r="N49" s="167" t="n">
        <x:v>1.871</x:v>
      </x:c>
      <x:c r="O49" s="172" t="n">
        <x:f>IFERROR(N49/M49-1,0)</x:f>
        <x:v>0.020731042007637868</x:v>
      </x:c>
      <x:c r="P49" s="171" t="n">
        <x:f>IFERROR(AD49/AH49,0)</x:f>
        <x:v>1.2522962405275968</x:v>
      </x:c>
      <x:c r="Q49" s="171" t="n">
        <x:f>IFERROR(AE49/AI49,0)</x:f>
        <x:v>1.2278947989535982</x:v>
      </x:c>
      <x:c r="R49" s="172" t="n">
        <x:f>IFERROR((Q49-P49)/(P49+S49),0)</x:f>
        <x:v>-0.019485358802736788</x:v>
      </x:c>
      <x:c r="S49" s="172" t="n">
        <x:f>IFERROR(AF49/AH49,0)</x:f>
        <x:v>0</x:v>
      </x:c>
      <x:c r="T49" s="172" t="n">
        <x:f>IFERROR(AG49/AI49,0)</x:f>
        <x:v>0</x:v>
      </x:c>
      <x:c r="U49" s="172" t="n">
        <x:f>IFERROR((T49-S49)/(P49+S49),0)</x:f>
        <x:v>0</x:v>
      </x:c>
      <x:c r="V49" s="172" t="n">
        <x:f>R49+U49</x:f>
        <x:v>-0.019485358802736788</x:v>
      </x:c>
      <x:c r="W49" s="172" t="n">
        <x:f>(1+O49)*(1+V49)-1</x:f>
        <x:v>0.0008417314130275688</x:v>
      </x:c>
      <x:c r="X49" s="174" t="n">
        <x:f>G49-W49</x:f>
        <x:v>-1.7878493824285968e-16</x:v>
      </x:c>
      <x:c r="Y49" s="172" t="n">
        <x:f>AX49</x:f>
        <x:v>0.01061422121898953</x:v>
      </x:c>
      <x:c r="Z49" s="172" t="n">
        <x:f>BL49</x:f>
        <x:v>0.00008005828204542633</x:v>
      </x:c>
      <x:c r="AA49" s="172" t="n">
        <x:f>SUM(BZ49,CN49,DB49,DP49,ED49,ER49,FF49,FT49)</x:f>
        <x:v>-0.009852548088007609</x:v>
      </x:c>
      <x:c r="AB49" s="172" t="n">
        <x:f>SUM(Y49:AA49)</x:f>
        <x:v>0.0008417314130273468</x:v>
      </x:c>
      <x:c r="AC49" s="174" t="n">
        <x:f>G49-AB49</x:f>
        <x:v>4.3259666682171627e-17</x:v>
      </x:c>
      <x:c r="AD49" s="169" t="n">
        <x:v>1.17234882987083</x:v>
      </x:c>
      <x:c r="AE49" s="169" t="n">
        <x:v>1.1733356327079583</x:v>
      </x:c>
      <x:c r="AF49" s="169" t="n">
        <x:v>0</x:v>
      </x:c>
      <x:c r="AG49" s="169" t="n">
        <x:v>0</x:v>
      </x:c>
      <x:c r="AH49" s="171" t="n">
        <x:f>M49/$M$3</x:f>
        <x:v>0.9361593462717058</x:v>
      </x:c>
      <x:c r="AI49" s="171" t="n">
        <x:f>N49/$M$3</x:f>
        <x:v>0.9555669050051072</x:v>
      </x:c>
      <x:c r="AJ49" s="170" t="n">
        <x:f>IF(AK49&lt;&gt;"",1,0)+IF(AY49&lt;&gt;"",1,0)+IF(BM49&lt;&gt;"",1,0)+IF(CA49&lt;&gt;"",1,0)+IF(CO49&lt;&gt;"",1,0)+IF(DC49&lt;&gt;"",1,0)+IF(DQ49&lt;&gt;"",1,0)+IF(EE49&lt;&gt;"",1,0)+IF(ES49&lt;&gt;"",1,0)+IF(FG49&lt;&gt;"",1,0)</x:f>
        <x:v>4</x:v>
      </x:c>
      <x:c r="AK49" s="147" t="str">
        <x:v>Silver replicating holding (LBMA/SLV proxy)</x:v>
      </x:c>
      <x:c r="AL49" s="147" t="str">
        <x:v>Physical-backed proxy</x:v>
      </x:c>
      <x:c r="AM49" s="147" t="str">
        <x:v>Long</x:v>
      </x:c>
      <x:c r="AN49" s="167" t="n">
        <x:v>1.833</x:v>
      </x:c>
      <x:c r="AO49" s="167" t="n">
        <x:v>1.871</x:v>
      </x:c>
      <x:c r="AP49" s="166" t="n">
        <x:v>0.5121657271018929</x:v>
      </x:c>
      <x:c r="AQ49" s="171" t="n">
        <x:f>IF(AK49="","",IFERROR(F49*AP49/AN49,0))</x:f>
        <x:v>0.3275705896714933</x:v>
      </x:c>
      <x:c r="AR49" s="171" t="n">
        <x:f>IF(AK49="","",F49*ABS(AP49))</x:f>
        <x:v>0.6004368908678471</x:v>
      </x:c>
      <x:c r="AS49" s="165"/>
      <x:c r="AT49" s="172" t="str">
        <x:f>IF(AK49="","",IF(AS49="","",IFERROR(AN49/AS49-1,0)))</x:f>
      </x:c>
      <x:c r="AU49" s="166"/>
      <x:c r="AV49" s="172" t="str">
        <x:f>IF(AK49="","",IF(AU49="","",AU49-AT49*365/AW49))</x:f>
      </x:c>
      <x:c r="AW49" s="164"/>
      <x:c r="AX49" s="173" t="n">
        <x:f>IF(AK49="","",IFERROR(AP49*(AO49/AN49-1-'Parameters'!$C$6*C49/365),0))</x:f>
        <x:v>0.01061422121898953</x:v>
      </x:c>
      <x:c r="AY49" s="147" t="str">
        <x:v>Matched-maturity Treasury collateral</x:v>
      </x:c>
      <x:c r="AZ49" s="147" t="str">
        <x:v>Treasury</x:v>
      </x:c>
      <x:c r="BA49" s="147" t="str">
        <x:v>Long</x:v>
      </x:c>
      <x:c r="BB49" s="167" t="n">
        <x:v>101.16400088734822</x:v>
      </x:c>
      <x:c r="BC49" s="167" t="n">
        <x:v>101.1806028699596</x:v>
      </x:c>
      <x:c r="BD49" s="166" t="n">
        <x:v>0.48783427289810705</x:v>
      </x:c>
      <x:c r="BE49" s="171" t="n">
        <x:f>IF(AY49="","",IFERROR(F49*BD49/BB49,0))</x:f>
        <x:v>0.00565331475610419</x:v>
      </x:c>
      <x:c r="BF49" s="171" t="n">
        <x:f>IF(AY49="","",F49*ABS(BD49))</x:f>
        <x:v>0.5719119390029831</x:v>
      </x:c>
      <x:c r="BG49" s="165"/>
      <x:c r="BH49" s="172" t="str">
        <x:f>IF(AY49="","",IF(BG49="","",IFERROR(BB49/BG49-1,0)))</x:f>
      </x:c>
      <x:c r="BI49" s="166"/>
      <x:c r="BJ49" s="172" t="str">
        <x:f>IF(AY49="","",IF(BI49="","",BI49-BH49*365/BK49))</x:f>
      </x:c>
      <x:c r="BK49" s="164" t="n">
        <x:v>15</x:v>
      </x:c>
      <x:c r="BL49" s="172" t="n">
        <x:f>IF(AY49="","",IFERROR(BD49*(BC49/BB49-1),0))</x:f>
        <x:v>0.00008005828204542633</x:v>
      </x:c>
      <x:c r="BM49" s="147" t="str">
        <x:v>SI69H</x:v>
      </x:c>
      <x:c r="BN49" s="147" t="str">
        <x:v>Silver future (regular)</x:v>
      </x:c>
      <x:c r="BO49" s="147" t="str">
        <x:v>Long</x:v>
      </x:c>
      <x:c r="BP49" s="167" t="n">
        <x:v>1.8319999999999999</x:v>
      </x:c>
      <x:c r="BQ49" s="167" t="n">
        <x:v>1.795</x:v>
      </x:c>
      <x:c r="BR49" s="166" t="n">
        <x:v>0.48783427289810705</x:v>
      </x:c>
      <x:c r="BS49" s="171" t="n">
        <x:f>IF(BM49="","",IFERROR(F49*BR49/BP49,0))</x:f>
        <x:v>0.3121790060059952</x:v>
      </x:c>
      <x:c r="BT49" s="171" t="n">
        <x:f>IF(BM49="","",F49*ABS(BR49))</x:f>
        <x:v>0.5719119390029831</x:v>
      </x:c>
      <x:c r="BU49" s="165" t="n">
        <x:v>1.833</x:v>
      </x:c>
      <x:c r="BV49" s="172" t="n">
        <x:f>IF(BM49="","",IF(BU49="","",IFERROR(BP49/BU49-1,0)))</x:f>
        <x:v>-0.0005455537370431252</x:v>
      </x:c>
      <x:c r="BW49" s="166" t="n">
        <x:v>0.0599</x:v>
      </x:c>
      <x:c r="BX49" s="172" t="n">
        <x:f>IF(BM49="","",IF(BW49="","",BW49-BV49*365/BY49))</x:f>
        <x:v>0.07317514093471605</x:v>
      </x:c>
      <x:c r="BY49" s="164" t="n">
        <x:v>15</x:v>
      </x:c>
      <x:c r="BZ49" s="172" t="n">
        <x:f>IF(BM49="","",IFERROR(BR49*(BQ49/BP49-1),0))</x:f>
        <x:v>-0.009852548088007609</x:v>
      </x:c>
      <x:c r="CA49" s="147" t="str">
        <x:v>SI69K</x:v>
      </x:c>
      <x:c r="CB49" s="147" t="str">
        <x:v>Silver future (regular)</x:v>
      </x:c>
      <x:c r="CC49" s="147" t="str">
        <x:v>Long</x:v>
      </x:c>
      <x:c r="CD49" s="167" t="n">
        <x:v>1.855</x:v>
      </x:c>
      <x:c r="CE49" s="167" t="n">
        <x:v>1.817</x:v>
      </x:c>
      <x:c r="CF49" s="166" t="n">
        <x:v>2.7566397573140604e-24</x:v>
      </x:c>
      <x:c r="CG49" s="171" t="n">
        <x:f>IF(CA49="","",IFERROR(F49*CF49/CD49,0))</x:f>
        <x:v>1.7421797271496216e-24</x:v>
      </x:c>
      <x:c r="CH49" s="171" t="n">
        <x:f>IF(CA49="","",F49*ABS(CF49))</x:f>
        <x:v>3.231743393862548e-24</x:v>
      </x:c>
      <x:c r="CI49" s="165" t="n">
        <x:v>1.833</x:v>
      </x:c>
      <x:c r="CJ49" s="172" t="n">
        <x:f>IF(CA49="","",IF(CI49="","",IFERROR(CD49/CI49-1,0)))</x:f>
        <x:v>0.012002182214948087</x:v>
      </x:c>
      <x:c r="CK49" s="166" t="n">
        <x:v>0.0599</x:v>
      </x:c>
      <x:c r="CL49" s="172" t="n">
        <x:f>IF(CA49="","",IF(CK49="","",CK49-CJ49*365/CM49))</x:f>
        <x:v>0.0030065388512201113</x:v>
      </x:c>
      <x:c r="CM49" s="164" t="n">
        <x:v>77</x:v>
      </x:c>
      <x:c r="CN49" s="172" t="n">
        <x:f>IF(CA49="","",IFERROR(CF49*(CE49/CD49-1),0))</x:f>
        <x:v>-5.647024839780819e-26</x:v>
      </x:c>
      <x:c r="CO49" s="147"/>
      <x:c r="CP49" s="147"/>
      <x:c r="CQ49" s="147"/>
      <x:c r="CR49" s="167"/>
      <x:c r="CS49" s="167"/>
      <x:c r="CT49" s="166"/>
      <x:c r="CU49" s="171" t="str">
        <x:f>IF(CO49="","",IFERROR(F49*CT49/CR49,0))</x:f>
      </x:c>
      <x:c r="CV49" s="171" t="str">
        <x:f>IF(CO49="","",F49*ABS(CT49))</x:f>
      </x:c>
      <x:c r="CW49" s="165"/>
      <x:c r="CX49" s="172" t="str">
        <x:f>IF(CO49="","",IF(CW49="","",IFERROR(CR49/CW49-1,0)))</x:f>
      </x:c>
      <x:c r="CY49" s="166"/>
      <x:c r="CZ49" s="172" t="str">
        <x:f>IF(CO49="","",IF(CY49="","",CY49-CX49*365/DA49))</x:f>
      </x:c>
      <x:c r="DA49" s="164"/>
      <x:c r="DB49" s="172" t="str">
        <x:f>IF(CO49="","",IFERROR(CT49*(CS49/CR49-1),0))</x:f>
      </x:c>
      <x:c r="DC49" s="147"/>
      <x:c r="DD49" s="147"/>
      <x:c r="DE49" s="147"/>
      <x:c r="DF49" s="167"/>
      <x:c r="DG49" s="167"/>
      <x:c r="DH49" s="166"/>
      <x:c r="DI49" s="171" t="str">
        <x:f>IF(DC49="","",IFERROR(F49*DH49/DF49,0))</x:f>
      </x:c>
      <x:c r="DJ49" s="171" t="str">
        <x:f>IF(DC49="","",F49*ABS(DH49))</x:f>
      </x:c>
      <x:c r="DK49" s="165"/>
      <x:c r="DL49" s="172" t="str">
        <x:f>IF(DC49="","",IF(DK49="","",IFERROR(DF49/DK49-1,0)))</x:f>
      </x:c>
      <x:c r="DM49" s="166"/>
      <x:c r="DN49" s="172" t="str">
        <x:f>IF(DC49="","",IF(DM49="","",DM49-DL49*365/DO49))</x:f>
      </x:c>
      <x:c r="DO49" s="164"/>
      <x:c r="DP49" s="172" t="str">
        <x:f>IF(DC49="","",IFERROR(DH49*(DG49/DF49-1),0))</x:f>
      </x:c>
      <x:c r="DQ49" s="147"/>
      <x:c r="DR49" s="147"/>
      <x:c r="DS49" s="147"/>
      <x:c r="DT49" s="167"/>
      <x:c r="DU49" s="167"/>
      <x:c r="DV49" s="166"/>
      <x:c r="DW49" s="171" t="str">
        <x:f>IF(DQ49="","",IFERROR(F49*DV49/DT49,0))</x:f>
      </x:c>
      <x:c r="DX49" s="171" t="str">
        <x:f>IF(DQ49="","",F49*ABS(DV49))</x:f>
      </x:c>
      <x:c r="DY49" s="165"/>
      <x:c r="DZ49" s="172" t="str">
        <x:f>IF(DQ49="","",IF(DY49="","",IFERROR(DT49/DY49-1,0)))</x:f>
      </x:c>
      <x:c r="EA49" s="166"/>
      <x:c r="EB49" s="172" t="str">
        <x:f>IF(DQ49="","",IF(EA49="","",EA49-DZ49*365/EC49))</x:f>
      </x:c>
      <x:c r="EC49" s="164"/>
      <x:c r="ED49" s="172" t="str">
        <x:f>IF(DQ49="","",IFERROR(DV49*(DU49/DT49-1),0))</x:f>
      </x:c>
      <x:c r="EE49" s="147"/>
      <x:c r="EF49" s="147"/>
      <x:c r="EG49" s="147"/>
      <x:c r="EH49" s="167"/>
      <x:c r="EI49" s="167"/>
      <x:c r="EJ49" s="166"/>
      <x:c r="EK49" s="171" t="str">
        <x:f>IF(EE49="","",IFERROR(F49*EJ49/EH49,0))</x:f>
      </x:c>
      <x:c r="EL49" s="171" t="str">
        <x:f>IF(EE49="","",F49*ABS(EJ49))</x:f>
      </x:c>
      <x:c r="EM49" s="165"/>
      <x:c r="EN49" s="172" t="str">
        <x:f>IF(EE49="","",IF(EM49="","",IFERROR(EH49/EM49-1,0)))</x:f>
      </x:c>
      <x:c r="EO49" s="166"/>
      <x:c r="EP49" s="172" t="str">
        <x:f>IF(EE49="","",IF(EO49="","",EO49-EN49*365/EQ49))</x:f>
      </x:c>
      <x:c r="EQ49" s="164"/>
      <x:c r="ER49" s="172" t="str">
        <x:f>IF(EE49="","",IFERROR(EJ49*(EI49/EH49-1),0))</x:f>
      </x:c>
      <x:c r="ES49" s="147"/>
      <x:c r="ET49" s="147"/>
      <x:c r="EU49" s="147"/>
      <x:c r="EV49" s="167"/>
      <x:c r="EW49" s="167"/>
      <x:c r="EX49" s="166"/>
      <x:c r="EY49" s="171" t="str">
        <x:f>IF(ES49="","",IFERROR(F49*EX49/EV49,0))</x:f>
      </x:c>
      <x:c r="EZ49" s="171" t="str">
        <x:f>IF(ES49="","",F49*ABS(EX49))</x:f>
      </x:c>
      <x:c r="FA49" s="165"/>
      <x:c r="FB49" s="172" t="str">
        <x:f>IF(ES49="","",IF(FA49="","",IFERROR(EV49/FA49-1,0)))</x:f>
      </x:c>
      <x:c r="FC49" s="166"/>
      <x:c r="FD49" s="172" t="str">
        <x:f>IF(ES49="","",IF(FC49="","",FC49-FB49*365/FE49))</x:f>
      </x:c>
      <x:c r="FE49" s="164"/>
      <x:c r="FF49" s="172" t="str">
        <x:f>IF(ES49="","",IFERROR(EX49*(EW49/EV49-1),0))</x:f>
      </x:c>
      <x:c r="FG49" s="147"/>
      <x:c r="FH49" s="147"/>
      <x:c r="FI49" s="147"/>
      <x:c r="FJ49" s="167"/>
      <x:c r="FK49" s="167"/>
      <x:c r="FL49" s="166"/>
      <x:c r="FM49" s="171" t="str">
        <x:f>IF(FG49="","",IFERROR(F49*FL49/FJ49,0))</x:f>
      </x:c>
      <x:c r="FN49" s="171" t="str">
        <x:f>IF(FG49="","",F49*ABS(FL49))</x:f>
      </x:c>
      <x:c r="FO49" s="165"/>
      <x:c r="FP49" s="172" t="str">
        <x:f>IF(FG49="","",IF(FO49="","",IFERROR(FJ49/FO49-1,0)))</x:f>
      </x:c>
      <x:c r="FQ49" s="166"/>
      <x:c r="FR49" s="172" t="str">
        <x:f>IF(FG49="","",IF(FQ49="","",FQ49-FP49*365/FS49))</x:f>
      </x:c>
      <x:c r="FS49" s="164"/>
      <x:c r="FT49" s="172" t="str">
        <x:f>IF(FG49="","",IFERROR(FL49*(FK49/FJ49-1),0))</x:f>
      </x:c>
    </x:row>
    <x:row r="50" ht="18" customHeight="1">
      <x:c r="A50" s="163" t="n">
        <x:v>25275</x:v>
      </x:c>
      <x:c r="B50" s="163" t="n">
        <x:v>25276</x:v>
      </x:c>
      <x:c r="C50" s="170" t="n">
        <x:f>B50-A50</x:f>
        <x:v>1</x:v>
      </x:c>
      <x:c r="D50" s="163" t="n">
        <x:v>25275</x:v>
      </x:c>
      <x:c r="E50" s="147" t="str">
        <x:v>positive</x:v>
      </x:c>
      <x:c r="F50" s="165" t="n">
        <x:v>1.1733356327079583</x:v>
      </x:c>
      <x:c r="G50" s="168" t="n">
        <x:v>0.00796464837638818</x:v>
      </x:c>
      <x:c r="H50" s="172" t="n">
        <x:f>SUM(AX50,BL50,BZ50,CN50,DB50,DP50,ED50,ER50,FF50,FT50)</x:f>
        <x:v>0.007964648376388217</x:v>
      </x:c>
      <x:c r="I50" s="174" t="n">
        <x:f>G50-H50</x:f>
        <x:v>-3.642919299551295e-17</x:v>
      </x:c>
      <x:c r="J50" s="171" t="n">
        <x:f>F50*(1+H50)</x:f>
        <x:v>1.182680838449964</x:v>
      </x:c>
      <x:c r="K50" s="169" t="n">
        <x:v>1.182680838449964</x:v>
      </x:c>
      <x:c r="L50" s="175" t="n">
        <x:f>K50-J50</x:f>
        <x:v>0</x:v>
      </x:c>
      <x:c r="M50" s="167" t="n">
        <x:v>1.871</x:v>
      </x:c>
      <x:c r="N50" s="167" t="n">
        <x:v>1.836</x:v>
      </x:c>
      <x:c r="O50" s="172" t="n">
        <x:f>IFERROR(N50/M50-1,0)</x:f>
        <x:v>-0.018706574024585754</x:v>
      </x:c>
      <x:c r="P50" s="171" t="n">
        <x:f>IFERROR(AD50/AH50,0)</x:f>
        <x:v>1.2278947989535982</x:v>
      </x:c>
      <x:c r="Q50" s="171" t="n">
        <x:f>IFERROR(AE50/AI50,0)</x:f>
        <x:v>1.2612685630092753</x:v>
      </x:c>
      <x:c r="R50" s="172" t="n">
        <x:f>IFERROR((Q50-P50)/(P50+S50),0)</x:f>
        <x:v>0.027179660736504376</x:v>
      </x:c>
      <x:c r="S50" s="172" t="n">
        <x:f>IFERROR(AF50/AH50,0)</x:f>
        <x:v>0</x:v>
      </x:c>
      <x:c r="T50" s="172" t="n">
        <x:f>IFERROR(AG50/AI50,0)</x:f>
        <x:v>0</x:v>
      </x:c>
      <x:c r="U50" s="172" t="n">
        <x:f>IFERROR((T50-S50)/(P50+S50),0)</x:f>
        <x:v>0</x:v>
      </x:c>
      <x:c r="V50" s="172" t="n">
        <x:f>R50+U50</x:f>
        <x:v>0.027179660736504376</x:v>
      </x:c>
      <x:c r="W50" s="172" t="n">
        <x:f>(1+O50)*(1+V50)-1</x:f>
        <x:v>0.007964648376388217</x:v>
      </x:c>
      <x:c r="X50" s="174" t="n">
        <x:f>G50-W50</x:f>
        <x:v>-3.642919299551295e-17</x:v>
      </x:c>
      <x:c r="Y50" s="172" t="str">
        <x:f>AX50</x:f>
      </x:c>
      <x:c r="Z50" s="172" t="n">
        <x:f>BL50</x:f>
        <x:v>0.00016520547945209074</x:v>
      </x:c>
      <x:c r="AA50" s="172" t="n">
        <x:f>SUM(BZ50,CN50,DB50,DP50,ED50,ER50,FF50,FT50)</x:f>
        <x:v>0.007799442896936126</x:v>
      </x:c>
      <x:c r="AB50" s="172" t="n">
        <x:f>SUM(Y50:AA50)</x:f>
        <x:v>0.007964648376388217</x:v>
      </x:c>
      <x:c r="AC50" s="174" t="n">
        <x:f>G50-AB50</x:f>
        <x:v>-3.642919299551295e-17</x:v>
      </x:c>
      <x:c r="AD50" s="169" t="n">
        <x:v>1.1733356327079583</x:v>
      </x:c>
      <x:c r="AE50" s="169" t="n">
        <x:v>1.182680838449964</x:v>
      </x:c>
      <x:c r="AF50" s="169" t="n">
        <x:v>0</x:v>
      </x:c>
      <x:c r="AG50" s="169" t="n">
        <x:v>0</x:v>
      </x:c>
      <x:c r="AH50" s="171" t="n">
        <x:f>M50/$M$3</x:f>
        <x:v>0.9555669050051072</x:v>
      </x:c>
      <x:c r="AI50" s="171" t="n">
        <x:f>N50/$M$3</x:f>
        <x:v>0.937691521961185</x:v>
      </x:c>
      <x:c r="AJ50" s="170" t="n">
        <x:f>IF(AK50&lt;&gt;"",1,0)+IF(AY50&lt;&gt;"",1,0)+IF(BM50&lt;&gt;"",1,0)+IF(CA50&lt;&gt;"",1,0)+IF(CO50&lt;&gt;"",1,0)+IF(DC50&lt;&gt;"",1,0)+IF(DQ50&lt;&gt;"",1,0)+IF(EE50&lt;&gt;"",1,0)+IF(ES50&lt;&gt;"",1,0)+IF(FG50&lt;&gt;"",1,0)</x:f>
        <x:v>3</x:v>
      </x:c>
      <x:c r="AK50" s="147"/>
      <x:c r="AL50" s="147"/>
      <x:c r="AM50" s="147"/>
      <x:c r="AN50" s="167"/>
      <x:c r="AO50" s="167"/>
      <x:c r="AP50" s="166"/>
      <x:c r="AQ50" s="171" t="str">
        <x:f>IF(AK50="","",IFERROR(F50*AP50/AN50,0))</x:f>
      </x:c>
      <x:c r="AR50" s="171" t="str">
        <x:f>IF(AK50="","",F50*ABS(AP50))</x:f>
      </x:c>
      <x:c r="AS50" s="165"/>
      <x:c r="AT50" s="172" t="str">
        <x:f>IF(AK50="","",IF(AS50="","",IFERROR(AN50/AS50-1,0)))</x:f>
      </x:c>
      <x:c r="AU50" s="166"/>
      <x:c r="AV50" s="172" t="str">
        <x:f>IF(AK50="","",IF(AU50="","",AU50-AT50*365/AW50))</x:f>
      </x:c>
      <x:c r="AW50" s="164"/>
      <x:c r="AX50" s="173" t="str">
        <x:f>IF(AK50="","",IFERROR(AP50*(AO50/AN50-1),0))</x:f>
      </x:c>
      <x:c r="AY50" s="147" t="str">
        <x:v>Matched-maturity Treasury collateral</x:v>
      </x:c>
      <x:c r="AZ50" s="147" t="str">
        <x:v>Treasury</x:v>
      </x:c>
      <x:c r="BA50" s="147" t="str">
        <x:v>Long</x:v>
      </x:c>
      <x:c r="BB50" s="167" t="n">
        <x:v>101.1806028699596</x:v>
      </x:c>
      <x:c r="BC50" s="167" t="n">
        <x:v>101.19731845996797</x:v>
      </x:c>
      <x:c r="BD50" s="166" t="n">
        <x:v>1</x:v>
      </x:c>
      <x:c r="BE50" s="171" t="n">
        <x:f>IF(AY50="","",IFERROR(F50*BD50/BB50,0))</x:f>
        <x:v>0.011596448325337268</x:v>
      </x:c>
      <x:c r="BF50" s="171" t="n">
        <x:f>IF(AY50="","",F50*ABS(BD50))</x:f>
        <x:v>1.1733356327079583</x:v>
      </x:c>
      <x:c r="BG50" s="165"/>
      <x:c r="BH50" s="172" t="str">
        <x:f>IF(AY50="","",IF(BG50="","",IFERROR(BB50/BG50-1,0)))</x:f>
      </x:c>
      <x:c r="BI50" s="166"/>
      <x:c r="BJ50" s="172" t="str">
        <x:f>IF(AY50="","",IF(BI50="","",BI50-BH50*365/BK50))</x:f>
      </x:c>
      <x:c r="BK50" s="164" t="n">
        <x:v>14</x:v>
      </x:c>
      <x:c r="BL50" s="172" t="n">
        <x:f>IF(AY50="","",IFERROR(BD50*(BC50/BB50-1),0))</x:f>
        <x:v>0.00016520547945209074</x:v>
      </x:c>
      <x:c r="BM50" s="147" t="str">
        <x:v>SI69H</x:v>
      </x:c>
      <x:c r="BN50" s="147" t="str">
        <x:v>Silver future (regular)</x:v>
      </x:c>
      <x:c r="BO50" s="147" t="str">
        <x:v>Long</x:v>
      </x:c>
      <x:c r="BP50" s="167" t="n">
        <x:v>1.795</x:v>
      </x:c>
      <x:c r="BQ50" s="167" t="n">
        <x:v>1.8090000000000002</x:v>
      </x:c>
      <x:c r="BR50" s="166" t="n">
        <x:v>1</x:v>
      </x:c>
      <x:c r="BS50" s="171" t="n">
        <x:f>IF(BM50="","",IFERROR(F50*BR50/BP50,0))</x:f>
        <x:v>0.6536688761604225</x:v>
      </x:c>
      <x:c r="BT50" s="171" t="n">
        <x:f>IF(BM50="","",F50*ABS(BR50))</x:f>
        <x:v>1.1733356327079583</x:v>
      </x:c>
      <x:c r="BU50" s="165" t="n">
        <x:v>1.871</x:v>
      </x:c>
      <x:c r="BV50" s="172" t="n">
        <x:f>IF(BM50="","",IF(BU50="","",IFERROR(BP50/BU50-1,0)))</x:f>
        <x:v>-0.040619989310529125</x:v>
      </x:c>
      <x:c r="BW50" s="166" t="n">
        <x:v>0.0603</x:v>
      </x:c>
      <x:c r="BX50" s="172" t="n">
        <x:f>IF(BM50="","",IF(BW50="","",BW50-BV50*365/BY50))</x:f>
        <x:v>1.1193211498816522</x:v>
      </x:c>
      <x:c r="BY50" s="164" t="n">
        <x:v>14</x:v>
      </x:c>
      <x:c r="BZ50" s="172" t="n">
        <x:f>IF(BM50="","",IFERROR(BR50*(BQ50/BP50-1),0))</x:f>
        <x:v>0.007799442896936126</x:v>
      </x:c>
      <x:c r="CA50" s="147" t="str">
        <x:v>SI69K</x:v>
      </x:c>
      <x:c r="CB50" s="147" t="str">
        <x:v>Silver future (regular)</x:v>
      </x:c>
      <x:c r="CC50" s="147" t="str">
        <x:v>Long</x:v>
      </x:c>
      <x:c r="CD50" s="167" t="n">
        <x:v>1.817</x:v>
      </x:c>
      <x:c r="CE50" s="167" t="n">
        <x:v>1.8430000000000002</x:v>
      </x:c>
      <x:c r="CF50" s="166" t="n">
        <x:v>5.6507709901920605e-24</x:v>
      </x:c>
      <x:c r="CG50" s="171" t="n">
        <x:f>IF(CA50="","",IFERROR(F50*CF50/CD50,0))</x:f>
        <x:v>3.649009881708738e-24</x:v>
      </x:c>
      <x:c r="CH50" s="171" t="n">
        <x:f>IF(CA50="","",F50*ABS(CF50))</x:f>
        <x:v>6.630250955064777e-24</x:v>
      </x:c>
      <x:c r="CI50" s="165" t="n">
        <x:v>1.871</x:v>
      </x:c>
      <x:c r="CJ50" s="172" t="n">
        <x:f>IF(CA50="","",IF(CI50="","",IFERROR(CD50/CI50-1,0)))</x:f>
        <x:v>-0.02886157135221812</x:v>
      </x:c>
      <x:c r="CK50" s="166" t="n">
        <x:v>0.0603</x:v>
      </x:c>
      <x:c r="CL50" s="172" t="n">
        <x:f>IF(CA50="","",IF(CK50="","",CK50-CJ50*365/CM50))</x:f>
        <x:v>0.19891149399420543</x:v>
      </x:c>
      <x:c r="CM50" s="164" t="n">
        <x:v>76</x:v>
      </x:c>
      <x:c r="CN50" s="172" t="n">
        <x:f>IF(CA50="","",IFERROR(CF50*(CE50/CD50-1),0))</x:f>
        <x:v>8.085858323885259e-26</x:v>
      </x:c>
      <x:c r="CO50" s="147"/>
      <x:c r="CP50" s="147"/>
      <x:c r="CQ50" s="147"/>
      <x:c r="CR50" s="167"/>
      <x:c r="CS50" s="167"/>
      <x:c r="CT50" s="166"/>
      <x:c r="CU50" s="171" t="str">
        <x:f>IF(CO50="","",IFERROR(F50*CT50/CR50,0))</x:f>
      </x:c>
      <x:c r="CV50" s="171" t="str">
        <x:f>IF(CO50="","",F50*ABS(CT50))</x:f>
      </x:c>
      <x:c r="CW50" s="165"/>
      <x:c r="CX50" s="172" t="str">
        <x:f>IF(CO50="","",IF(CW50="","",IFERROR(CR50/CW50-1,0)))</x:f>
      </x:c>
      <x:c r="CY50" s="166"/>
      <x:c r="CZ50" s="172" t="str">
        <x:f>IF(CO50="","",IF(CY50="","",CY50-CX50*365/DA50))</x:f>
      </x:c>
      <x:c r="DA50" s="164"/>
      <x:c r="DB50" s="172" t="str">
        <x:f>IF(CO50="","",IFERROR(CT50*(CS50/CR50-1),0))</x:f>
      </x:c>
      <x:c r="DC50" s="147"/>
      <x:c r="DD50" s="147"/>
      <x:c r="DE50" s="147"/>
      <x:c r="DF50" s="167"/>
      <x:c r="DG50" s="167"/>
      <x:c r="DH50" s="166"/>
      <x:c r="DI50" s="171" t="str">
        <x:f>IF(DC50="","",IFERROR(F50*DH50/DF50,0))</x:f>
      </x:c>
      <x:c r="DJ50" s="171" t="str">
        <x:f>IF(DC50="","",F50*ABS(DH50))</x:f>
      </x:c>
      <x:c r="DK50" s="165"/>
      <x:c r="DL50" s="172" t="str">
        <x:f>IF(DC50="","",IF(DK50="","",IFERROR(DF50/DK50-1,0)))</x:f>
      </x:c>
      <x:c r="DM50" s="166"/>
      <x:c r="DN50" s="172" t="str">
        <x:f>IF(DC50="","",IF(DM50="","",DM50-DL50*365/DO50))</x:f>
      </x:c>
      <x:c r="DO50" s="164"/>
      <x:c r="DP50" s="172" t="str">
        <x:f>IF(DC50="","",IFERROR(DH50*(DG50/DF50-1),0))</x:f>
      </x:c>
      <x:c r="DQ50" s="147"/>
      <x:c r="DR50" s="147"/>
      <x:c r="DS50" s="147"/>
      <x:c r="DT50" s="167"/>
      <x:c r="DU50" s="167"/>
      <x:c r="DV50" s="166"/>
      <x:c r="DW50" s="171" t="str">
        <x:f>IF(DQ50="","",IFERROR(F50*DV50/DT50,0))</x:f>
      </x:c>
      <x:c r="DX50" s="171" t="str">
        <x:f>IF(DQ50="","",F50*ABS(DV50))</x:f>
      </x:c>
      <x:c r="DY50" s="165"/>
      <x:c r="DZ50" s="172" t="str">
        <x:f>IF(DQ50="","",IF(DY50="","",IFERROR(DT50/DY50-1,0)))</x:f>
      </x:c>
      <x:c r="EA50" s="166"/>
      <x:c r="EB50" s="172" t="str">
        <x:f>IF(DQ50="","",IF(EA50="","",EA50-DZ50*365/EC50))</x:f>
      </x:c>
      <x:c r="EC50" s="164"/>
      <x:c r="ED50" s="172" t="str">
        <x:f>IF(DQ50="","",IFERROR(DV50*(DU50/DT50-1),0))</x:f>
      </x:c>
      <x:c r="EE50" s="147"/>
      <x:c r="EF50" s="147"/>
      <x:c r="EG50" s="147"/>
      <x:c r="EH50" s="167"/>
      <x:c r="EI50" s="167"/>
      <x:c r="EJ50" s="166"/>
      <x:c r="EK50" s="171" t="str">
        <x:f>IF(EE50="","",IFERROR(F50*EJ50/EH50,0))</x:f>
      </x:c>
      <x:c r="EL50" s="171" t="str">
        <x:f>IF(EE50="","",F50*ABS(EJ50))</x:f>
      </x:c>
      <x:c r="EM50" s="165"/>
      <x:c r="EN50" s="172" t="str">
        <x:f>IF(EE50="","",IF(EM50="","",IFERROR(EH50/EM50-1,0)))</x:f>
      </x:c>
      <x:c r="EO50" s="166"/>
      <x:c r="EP50" s="172" t="str">
        <x:f>IF(EE50="","",IF(EO50="","",EO50-EN50*365/EQ50))</x:f>
      </x:c>
      <x:c r="EQ50" s="164"/>
      <x:c r="ER50" s="172" t="str">
        <x:f>IF(EE50="","",IFERROR(EJ50*(EI50/EH50-1),0))</x:f>
      </x:c>
      <x:c r="ES50" s="147"/>
      <x:c r="ET50" s="147"/>
      <x:c r="EU50" s="147"/>
      <x:c r="EV50" s="167"/>
      <x:c r="EW50" s="167"/>
      <x:c r="EX50" s="166"/>
      <x:c r="EY50" s="171" t="str">
        <x:f>IF(ES50="","",IFERROR(F50*EX50/EV50,0))</x:f>
      </x:c>
      <x:c r="EZ50" s="171" t="str">
        <x:f>IF(ES50="","",F50*ABS(EX50))</x:f>
      </x:c>
      <x:c r="FA50" s="165"/>
      <x:c r="FB50" s="172" t="str">
        <x:f>IF(ES50="","",IF(FA50="","",IFERROR(EV50/FA50-1,0)))</x:f>
      </x:c>
      <x:c r="FC50" s="166"/>
      <x:c r="FD50" s="172" t="str">
        <x:f>IF(ES50="","",IF(FC50="","",FC50-FB50*365/FE50))</x:f>
      </x:c>
      <x:c r="FE50" s="164"/>
      <x:c r="FF50" s="172" t="str">
        <x:f>IF(ES50="","",IFERROR(EX50*(EW50/EV50-1),0))</x:f>
      </x:c>
      <x:c r="FG50" s="147"/>
      <x:c r="FH50" s="147"/>
      <x:c r="FI50" s="147"/>
      <x:c r="FJ50" s="167"/>
      <x:c r="FK50" s="167"/>
      <x:c r="FL50" s="166"/>
      <x:c r="FM50" s="171" t="str">
        <x:f>IF(FG50="","",IFERROR(F50*FL50/FJ50,0))</x:f>
      </x:c>
      <x:c r="FN50" s="171" t="str">
        <x:f>IF(FG50="","",F50*ABS(FL50))</x:f>
      </x:c>
      <x:c r="FO50" s="165"/>
      <x:c r="FP50" s="172" t="str">
        <x:f>IF(FG50="","",IF(FO50="","",IFERROR(FJ50/FO50-1,0)))</x:f>
      </x:c>
      <x:c r="FQ50" s="166"/>
      <x:c r="FR50" s="172" t="str">
        <x:f>IF(FG50="","",IF(FQ50="","",FQ50-FP50*365/FS50))</x:f>
      </x:c>
      <x:c r="FS50" s="164"/>
      <x:c r="FT50" s="172" t="str">
        <x:f>IF(FG50="","",IFERROR(FL50*(FK50/FJ50-1),0))</x:f>
      </x:c>
    </x:row>
    <x:row r="51" ht="18" customHeight="1">
      <x:c r="A51" s="163" t="n">
        <x:v>25276</x:v>
      </x:c>
      <x:c r="B51" s="163" t="n">
        <x:v>25279</x:v>
      </x:c>
      <x:c r="C51" s="170" t="n">
        <x:f>B51-A51</x:f>
        <x:v>3</x:v>
      </x:c>
      <x:c r="D51" s="163" t="n">
        <x:v>25276</x:v>
      </x:c>
      <x:c r="E51" s="147" t="str">
        <x:v>positive</x:v>
      </x:c>
      <x:c r="F51" s="165" t="n">
        <x:v>1.182680838449964</x:v>
      </x:c>
      <x:c r="G51" s="168" t="n">
        <x:v>-0.002269163467290738</x:v>
      </x:c>
      <x:c r="H51" s="172" t="n">
        <x:f>SUM(AX51,BL51,BZ51,CN51,DB51,DP51,ED51,ER51,FF51,FT51)</x:f>
        <x:v>-0.002269163467290669</x:v>
      </x:c>
      <x:c r="I51" s="174" t="n">
        <x:f>G51-H51</x:f>
        <x:v>-6.895525817007808e-17</x:v>
      </x:c>
      <x:c r="J51" s="171" t="n">
        <x:f>F51*(1+H51)</x:f>
        <x:v>1.1799971422978888</x:v>
      </x:c>
      <x:c r="K51" s="169" t="n">
        <x:v>1.1799971422978885</x:v>
      </x:c>
      <x:c r="L51" s="175" t="n">
        <x:f>K51-J51</x:f>
        <x:v>-2.220446049250313e-16</x:v>
      </x:c>
      <x:c r="M51" s="167" t="n">
        <x:v>1.836</x:v>
      </x:c>
      <x:c r="N51" s="167" t="n">
        <x:v>1.831</x:v>
      </x:c>
      <x:c r="O51" s="172" t="n">
        <x:f>IFERROR(N51/M51-1,0)</x:f>
        <x:v>-0.002723311546841023</x:v>
      </x:c>
      <x:c r="P51" s="171" t="n">
        <x:f>IFERROR(AD51/AH51,0)</x:f>
        <x:v>1.2612685630092753</x:v>
      </x:c>
      <x:c r="Q51" s="171" t="n">
        <x:f>IFERROR(AE51/AI51,0)</x:f>
        <x:v>1.2618429298849076</x:v>
      </x:c>
      <x:c r="R51" s="172" t="n">
        <x:f>IFERROR((Q51-P51)/(P51+S51),0)</x:f>
        <x:v>0.00045538824361245013</x:v>
      </x:c>
      <x:c r="S51" s="172" t="n">
        <x:f>IFERROR(AF51/AH51,0)</x:f>
        <x:v>0</x:v>
      </x:c>
      <x:c r="T51" s="172" t="n">
        <x:f>IFERROR(AG51/AI51,0)</x:f>
        <x:v>0</x:v>
      </x:c>
      <x:c r="U51" s="172" t="n">
        <x:f>IFERROR((T51-S51)/(P51+S51),0)</x:f>
        <x:v>0</x:v>
      </x:c>
      <x:c r="V51" s="172" t="n">
        <x:f>R51+U51</x:f>
        <x:v>0.00045538824361245013</x:v>
      </x:c>
      <x:c r="W51" s="172" t="n">
        <x:f>(1+O51)*(1+V51)-1</x:f>
        <x:v>-0.002269163467290669</x:v>
      </x:c>
      <x:c r="X51" s="174" t="n">
        <x:f>G51-W51</x:f>
        <x:v>-6.895525817007808e-17</x:v>
      </x:c>
      <x:c r="Y51" s="172" t="str">
        <x:f>AX51</x:f>
      </x:c>
      <x:c r="Z51" s="172" t="n">
        <x:f>BL51</x:f>
        <x:v>0.0004947945205480142</x:v>
      </x:c>
      <x:c r="AA51" s="172" t="n">
        <x:f>SUM(BZ51,CN51,DB51,DP51,ED51,ER51,FF51,FT51)</x:f>
        <x:v>-0.0027639579878386833</x:v>
      </x:c>
      <x:c r="AB51" s="172" t="n">
        <x:f>SUM(Y51:AA51)</x:f>
        <x:v>-0.002269163467290669</x:v>
      </x:c>
      <x:c r="AC51" s="174" t="n">
        <x:f>G51-AB51</x:f>
        <x:v>-6.895525817007808e-17</x:v>
      </x:c>
      <x:c r="AD51" s="169" t="n">
        <x:v>1.182680838449964</x:v>
      </x:c>
      <x:c r="AE51" s="169" t="n">
        <x:v>1.1799971422978885</x:v>
      </x:c>
      <x:c r="AF51" s="169" t="n">
        <x:v>0</x:v>
      </x:c>
      <x:c r="AG51" s="169" t="n">
        <x:v>0</x:v>
      </x:c>
      <x:c r="AH51" s="171" t="n">
        <x:f>M51/$M$3</x:f>
        <x:v>0.937691521961185</x:v>
      </x:c>
      <x:c r="AI51" s="171" t="n">
        <x:f>N51/$M$3</x:f>
        <x:v>0.9351378958120531</x:v>
      </x:c>
      <x:c r="AJ51" s="170" t="n">
        <x:f>IF(AK51&lt;&gt;"",1,0)+IF(AY51&lt;&gt;"",1,0)+IF(BM51&lt;&gt;"",1,0)+IF(CA51&lt;&gt;"",1,0)+IF(CO51&lt;&gt;"",1,0)+IF(DC51&lt;&gt;"",1,0)+IF(DQ51&lt;&gt;"",1,0)+IF(EE51&lt;&gt;"",1,0)+IF(ES51&lt;&gt;"",1,0)+IF(FG51&lt;&gt;"",1,0)</x:f>
        <x:v>3</x:v>
      </x:c>
      <x:c r="AK51" s="147"/>
      <x:c r="AL51" s="147"/>
      <x:c r="AM51" s="147"/>
      <x:c r="AN51" s="167"/>
      <x:c r="AO51" s="167"/>
      <x:c r="AP51" s="166"/>
      <x:c r="AQ51" s="171" t="str">
        <x:f>IF(AK51="","",IFERROR(F51*AP51/AN51,0))</x:f>
      </x:c>
      <x:c r="AR51" s="171" t="str">
        <x:f>IF(AK51="","",F51*ABS(AP51))</x:f>
      </x:c>
      <x:c r="AS51" s="165"/>
      <x:c r="AT51" s="172" t="str">
        <x:f>IF(AK51="","",IF(AS51="","",IFERROR(AN51/AS51-1,0)))</x:f>
      </x:c>
      <x:c r="AU51" s="166"/>
      <x:c r="AV51" s="172" t="str">
        <x:f>IF(AK51="","",IF(AU51="","",AU51-AT51*365/AW51))</x:f>
      </x:c>
      <x:c r="AW51" s="164"/>
      <x:c r="AX51" s="173" t="str">
        <x:f>IF(AK51="","",IFERROR(AP51*(AO51/AN51-1),0))</x:f>
      </x:c>
      <x:c r="AY51" s="147" t="str">
        <x:v>Matched-maturity Treasury collateral</x:v>
      </x:c>
      <x:c r="AZ51" s="147" t="str">
        <x:v>Treasury</x:v>
      </x:c>
      <x:c r="BA51" s="147" t="str">
        <x:v>Long</x:v>
      </x:c>
      <x:c r="BB51" s="167" t="n">
        <x:v>101.19731845996797</x:v>
      </x:c>
      <x:c r="BC51" s="167" t="n">
        <x:v>101.24739033863612</x:v>
      </x:c>
      <x:c r="BD51" s="166" t="n">
        <x:v>1</x:v>
      </x:c>
      <x:c r="BE51" s="171" t="n">
        <x:f>IF(AY51="","",IFERROR(F51*BD51/BB51,0))</x:f>
        <x:v>0.011686879222178337</x:v>
      </x:c>
      <x:c r="BF51" s="171" t="n">
        <x:f>IF(AY51="","",F51*ABS(BD51))</x:f>
        <x:v>1.182680838449964</x:v>
      </x:c>
      <x:c r="BG51" s="165"/>
      <x:c r="BH51" s="172" t="str">
        <x:f>IF(AY51="","",IF(BG51="","",IFERROR(BB51/BG51-1,0)))</x:f>
      </x:c>
      <x:c r="BI51" s="166"/>
      <x:c r="BJ51" s="172" t="str">
        <x:f>IF(AY51="","",IF(BI51="","",BI51-BH51*365/BK51))</x:f>
      </x:c>
      <x:c r="BK51" s="164" t="n">
        <x:v>13</x:v>
      </x:c>
      <x:c r="BL51" s="172" t="n">
        <x:f>IF(AY51="","",IFERROR(BD51*(BC51/BB51-1),0))</x:f>
        <x:v>0.0004947945205480142</x:v>
      </x:c>
      <x:c r="BM51" s="147" t="str">
        <x:v>SI69H</x:v>
      </x:c>
      <x:c r="BN51" s="147" t="str">
        <x:v>Silver future (regular)</x:v>
      </x:c>
      <x:c r="BO51" s="147" t="str">
        <x:v>Long</x:v>
      </x:c>
      <x:c r="BP51" s="167" t="n">
        <x:v>1.8090000000000002</x:v>
      </x:c>
      <x:c r="BQ51" s="167" t="n">
        <x:v>1.804</x:v>
      </x:c>
      <x:c r="BR51" s="166" t="n">
        <x:v>1</x:v>
      </x:c>
      <x:c r="BS51" s="171" t="n">
        <x:f>IF(BM51="","",IFERROR(F51*BR51/BP51,0))</x:f>
        <x:v>0.6537760300994826</x:v>
      </x:c>
      <x:c r="BT51" s="171" t="n">
        <x:f>IF(BM51="","",F51*ABS(BR51))</x:f>
        <x:v>1.182680838449964</x:v>
      </x:c>
      <x:c r="BU51" s="165" t="n">
        <x:v>1.836</x:v>
      </x:c>
      <x:c r="BV51" s="172" t="n">
        <x:f>IF(BM51="","",IF(BU51="","",IFERROR(BP51/BU51-1,0)))</x:f>
        <x:v>-0.014705882352941124</x:v>
      </x:c>
      <x:c r="BW51" s="166" t="n">
        <x:v>0.0602</x:v>
      </x:c>
      <x:c r="BX51" s="172" t="n">
        <x:f>IF(BM51="","",IF(BW51="","",BW51-BV51*365/BY51))</x:f>
        <x:v>0.47309592760180846</x:v>
      </x:c>
      <x:c r="BY51" s="164" t="n">
        <x:v>13</x:v>
      </x:c>
      <x:c r="BZ51" s="172" t="n">
        <x:f>IF(BM51="","",IFERROR(BR51*(BQ51/BP51-1),0))</x:f>
        <x:v>-0.0027639579878386833</x:v>
      </x:c>
      <x:c r="CA51" s="147" t="str">
        <x:v>SI69K</x:v>
      </x:c>
      <x:c r="CB51" s="147" t="str">
        <x:v>Silver future (regular)</x:v>
      </x:c>
      <x:c r="CC51" s="147" t="str">
        <x:v>Long</x:v>
      </x:c>
      <x:c r="CD51" s="167" t="n">
        <x:v>1.8430000000000002</x:v>
      </x:c>
      <x:c r="CE51" s="167" t="n">
        <x:v>1.824</x:v>
      </x:c>
      <x:c r="CF51" s="166" t="n">
        <x:v>5.6507709901920605e-24</x:v>
      </x:c>
      <x:c r="CG51" s="171" t="n">
        <x:f>IF(CA51="","",IFERROR(F51*CF51/CD51,0))</x:f>
        <x:v>3.6261847924954314e-24</x:v>
      </x:c>
      <x:c r="CH51" s="171" t="n">
        <x:f>IF(CA51="","",F51*ABS(CF51))</x:f>
        <x:v>6.68305857256908e-24</x:v>
      </x:c>
      <x:c r="CI51" s="165" t="n">
        <x:v>1.836</x:v>
      </x:c>
      <x:c r="CJ51" s="172" t="n">
        <x:f>IF(CA51="","",IF(CI51="","",IFERROR(CD51/CI51-1,0)))</x:f>
        <x:v>0.0038126361655774765</x:v>
      </x:c>
      <x:c r="CK51" s="166" t="n">
        <x:v>0.0602</x:v>
      </x:c>
      <x:c r="CL51" s="172" t="n">
        <x:f>IF(CA51="","",IF(CK51="","",CK51-CJ51*365/CM51))</x:f>
        <x:v>0.04164517066085628</x:v>
      </x:c>
      <x:c r="CM51" s="164" t="n">
        <x:v>75</x:v>
      </x:c>
      <x:c r="CN51" s="172" t="n">
        <x:f>IF(CA51="","",IFERROR(CF51*(CE51/CD51-1),0))</x:f>
        <x:v>-5.825537103290826e-26</x:v>
      </x:c>
      <x:c r="CO51" s="147"/>
      <x:c r="CP51" s="147"/>
      <x:c r="CQ51" s="147"/>
      <x:c r="CR51" s="167"/>
      <x:c r="CS51" s="167"/>
      <x:c r="CT51" s="166"/>
      <x:c r="CU51" s="171" t="str">
        <x:f>IF(CO51="","",IFERROR(F51*CT51/CR51,0))</x:f>
      </x:c>
      <x:c r="CV51" s="171" t="str">
        <x:f>IF(CO51="","",F51*ABS(CT51))</x:f>
      </x:c>
      <x:c r="CW51" s="165"/>
      <x:c r="CX51" s="172" t="str">
        <x:f>IF(CO51="","",IF(CW51="","",IFERROR(CR51/CW51-1,0)))</x:f>
      </x:c>
      <x:c r="CY51" s="166"/>
      <x:c r="CZ51" s="172" t="str">
        <x:f>IF(CO51="","",IF(CY51="","",CY51-CX51*365/DA51))</x:f>
      </x:c>
      <x:c r="DA51" s="164"/>
      <x:c r="DB51" s="172" t="str">
        <x:f>IF(CO51="","",IFERROR(CT51*(CS51/CR51-1),0))</x:f>
      </x:c>
      <x:c r="DC51" s="147"/>
      <x:c r="DD51" s="147"/>
      <x:c r="DE51" s="147"/>
      <x:c r="DF51" s="167"/>
      <x:c r="DG51" s="167"/>
      <x:c r="DH51" s="166"/>
      <x:c r="DI51" s="171" t="str">
        <x:f>IF(DC51="","",IFERROR(F51*DH51/DF51,0))</x:f>
      </x:c>
      <x:c r="DJ51" s="171" t="str">
        <x:f>IF(DC51="","",F51*ABS(DH51))</x:f>
      </x:c>
      <x:c r="DK51" s="165"/>
      <x:c r="DL51" s="172" t="str">
        <x:f>IF(DC51="","",IF(DK51="","",IFERROR(DF51/DK51-1,0)))</x:f>
      </x:c>
      <x:c r="DM51" s="166"/>
      <x:c r="DN51" s="172" t="str">
        <x:f>IF(DC51="","",IF(DM51="","",DM51-DL51*365/DO51))</x:f>
      </x:c>
      <x:c r="DO51" s="164"/>
      <x:c r="DP51" s="172" t="str">
        <x:f>IF(DC51="","",IFERROR(DH51*(DG51/DF51-1),0))</x:f>
      </x:c>
      <x:c r="DQ51" s="147"/>
      <x:c r="DR51" s="147"/>
      <x:c r="DS51" s="147"/>
      <x:c r="DT51" s="167"/>
      <x:c r="DU51" s="167"/>
      <x:c r="DV51" s="166"/>
      <x:c r="DW51" s="171" t="str">
        <x:f>IF(DQ51="","",IFERROR(F51*DV51/DT51,0))</x:f>
      </x:c>
      <x:c r="DX51" s="171" t="str">
        <x:f>IF(DQ51="","",F51*ABS(DV51))</x:f>
      </x:c>
      <x:c r="DY51" s="165"/>
      <x:c r="DZ51" s="172" t="str">
        <x:f>IF(DQ51="","",IF(DY51="","",IFERROR(DT51/DY51-1,0)))</x:f>
      </x:c>
      <x:c r="EA51" s="166"/>
      <x:c r="EB51" s="172" t="str">
        <x:f>IF(DQ51="","",IF(EA51="","",EA51-DZ51*365/EC51))</x:f>
      </x:c>
      <x:c r="EC51" s="164"/>
      <x:c r="ED51" s="172" t="str">
        <x:f>IF(DQ51="","",IFERROR(DV51*(DU51/DT51-1),0))</x:f>
      </x:c>
      <x:c r="EE51" s="147"/>
      <x:c r="EF51" s="147"/>
      <x:c r="EG51" s="147"/>
      <x:c r="EH51" s="167"/>
      <x:c r="EI51" s="167"/>
      <x:c r="EJ51" s="166"/>
      <x:c r="EK51" s="171" t="str">
        <x:f>IF(EE51="","",IFERROR(F51*EJ51/EH51,0))</x:f>
      </x:c>
      <x:c r="EL51" s="171" t="str">
        <x:f>IF(EE51="","",F51*ABS(EJ51))</x:f>
      </x:c>
      <x:c r="EM51" s="165"/>
      <x:c r="EN51" s="172" t="str">
        <x:f>IF(EE51="","",IF(EM51="","",IFERROR(EH51/EM51-1,0)))</x:f>
      </x:c>
      <x:c r="EO51" s="166"/>
      <x:c r="EP51" s="172" t="str">
        <x:f>IF(EE51="","",IF(EO51="","",EO51-EN51*365/EQ51))</x:f>
      </x:c>
      <x:c r="EQ51" s="164"/>
      <x:c r="ER51" s="172" t="str">
        <x:f>IF(EE51="","",IFERROR(EJ51*(EI51/EH51-1),0))</x:f>
      </x:c>
      <x:c r="ES51" s="147"/>
      <x:c r="ET51" s="147"/>
      <x:c r="EU51" s="147"/>
      <x:c r="EV51" s="167"/>
      <x:c r="EW51" s="167"/>
      <x:c r="EX51" s="166"/>
      <x:c r="EY51" s="171" t="str">
        <x:f>IF(ES51="","",IFERROR(F51*EX51/EV51,0))</x:f>
      </x:c>
      <x:c r="EZ51" s="171" t="str">
        <x:f>IF(ES51="","",F51*ABS(EX51))</x:f>
      </x:c>
      <x:c r="FA51" s="165"/>
      <x:c r="FB51" s="172" t="str">
        <x:f>IF(ES51="","",IF(FA51="","",IFERROR(EV51/FA51-1,0)))</x:f>
      </x:c>
      <x:c r="FC51" s="166"/>
      <x:c r="FD51" s="172" t="str">
        <x:f>IF(ES51="","",IF(FC51="","",FC51-FB51*365/FE51))</x:f>
      </x:c>
      <x:c r="FE51" s="164"/>
      <x:c r="FF51" s="172" t="str">
        <x:f>IF(ES51="","",IFERROR(EX51*(EW51/EV51-1),0))</x:f>
      </x:c>
      <x:c r="FG51" s="147"/>
      <x:c r="FH51" s="147"/>
      <x:c r="FI51" s="147"/>
      <x:c r="FJ51" s="167"/>
      <x:c r="FK51" s="167"/>
      <x:c r="FL51" s="166"/>
      <x:c r="FM51" s="171" t="str">
        <x:f>IF(FG51="","",IFERROR(F51*FL51/FJ51,0))</x:f>
      </x:c>
      <x:c r="FN51" s="171" t="str">
        <x:f>IF(FG51="","",F51*ABS(FL51))</x:f>
      </x:c>
      <x:c r="FO51" s="165"/>
      <x:c r="FP51" s="172" t="str">
        <x:f>IF(FG51="","",IF(FO51="","",IFERROR(FJ51/FO51-1,0)))</x:f>
      </x:c>
      <x:c r="FQ51" s="166"/>
      <x:c r="FR51" s="172" t="str">
        <x:f>IF(FG51="","",IF(FQ51="","",FQ51-FP51*365/FS51))</x:f>
      </x:c>
      <x:c r="FS51" s="164"/>
      <x:c r="FT51" s="172" t="str">
        <x:f>IF(FG51="","",IFERROR(FL51*(FK51/FJ51-1),0))</x:f>
      </x:c>
    </x:row>
    <x:row r="52" ht="18" customHeight="1">
      <x:c r="A52" s="163" t="n">
        <x:v>25279</x:v>
      </x:c>
      <x:c r="B52" s="163" t="n">
        <x:v>25280</x:v>
      </x:c>
      <x:c r="C52" s="170" t="n">
        <x:f>B52-A52</x:f>
        <x:v>1</x:v>
      </x:c>
      <x:c r="D52" s="163" t="n">
        <x:v>25279</x:v>
      </x:c>
      <x:c r="E52" s="147" t="str">
        <x:v>positive</x:v>
      </x:c>
      <x:c r="F52" s="165" t="n">
        <x:v>1.1799971422978885</x:v>
      </x:c>
      <x:c r="G52" s="168" t="n">
        <x:v>0.011807373568629683</x:v>
      </x:c>
      <x:c r="H52" s="172" t="n">
        <x:f>SUM(AX52,BL52,BZ52,CN52,DB52,DP52,ED52,ER52,FF52,FT52)</x:f>
        <x:v>0.011807373568629709</x:v>
      </x:c>
      <x:c r="I52" s="174" t="n">
        <x:f>G52-H52</x:f>
        <x:v>-2.6020852139652106e-17</x:v>
      </x:c>
      <x:c r="J52" s="171" t="n">
        <x:f>F52*(1+H52)</x:f>
        <x:v>1.1939298093669153</x:v>
      </x:c>
      <x:c r="K52" s="169" t="n">
        <x:v>1.1939298093669153</x:v>
      </x:c>
      <x:c r="L52" s="175" t="n">
        <x:f>K52-J52</x:f>
        <x:v>0</x:v>
      </x:c>
      <x:c r="M52" s="167" t="n">
        <x:v>1.831</x:v>
      </x:c>
      <x:c r="N52" s="167" t="n">
        <x:v>1.813</x:v>
      </x:c>
      <x:c r="O52" s="172" t="n">
        <x:f>IFERROR(N52/M52-1,0)</x:f>
        <x:v>-0.00983069361004918</x:v>
      </x:c>
      <x:c r="P52" s="171" t="n">
        <x:f>IFERROR(AD52/AH52,0)</x:f>
        <x:v>1.2618429298849076</x:v>
      </x:c>
      <x:c r="Q52" s="171" t="n">
        <x:f>IFERROR(AE52/AI52,0)</x:f>
        <x:v>1.2894178525871043</x:v>
      </x:c>
      <x:c r="R52" s="172" t="n">
        <x:f>IFERROR((Q52-P52)/(P52+S52),0)</x:f>
        <x:v>0.02185289630676279</x:v>
      </x:c>
      <x:c r="S52" s="172" t="n">
        <x:f>IFERROR(AF52/AH52,0)</x:f>
        <x:v>0</x:v>
      </x:c>
      <x:c r="T52" s="172" t="n">
        <x:f>IFERROR(AG52/AI52,0)</x:f>
        <x:v>0</x:v>
      </x:c>
      <x:c r="U52" s="172" t="n">
        <x:f>IFERROR((T52-S52)/(P52+S52),0)</x:f>
        <x:v>0</x:v>
      </x:c>
      <x:c r="V52" s="172" t="n">
        <x:f>R52+U52</x:f>
        <x:v>0.02185289630676279</x:v>
      </x:c>
      <x:c r="W52" s="172" t="n">
        <x:f>(1+O52)*(1+V52)-1</x:f>
        <x:v>0.011807373568629709</x:v>
      </x:c>
      <x:c r="X52" s="174" t="n">
        <x:f>G52-W52</x:f>
        <x:v>-2.6020852139652106e-17</x:v>
      </x:c>
      <x:c r="Y52" s="172" t="n">
        <x:f>AX52</x:f>
        <x:v>0</x:v>
      </x:c>
      <x:c r="Z52" s="172" t="n">
        <x:f>BL52</x:f>
        <x:v>0.0001665753424657801</x:v>
      </x:c>
      <x:c r="AA52" s="172" t="n">
        <x:f>SUM(BZ52,CN52,DB52,DP52,ED52,ER52,FF52,FT52)</x:f>
        <x:v>0.011640798226163929</x:v>
      </x:c>
      <x:c r="AB52" s="172" t="n">
        <x:f>SUM(Y52:AA52)</x:f>
        <x:v>0.011807373568629709</x:v>
      </x:c>
      <x:c r="AC52" s="174" t="n">
        <x:f>G52-AB52</x:f>
        <x:v>-2.6020852139652106e-17</x:v>
      </x:c>
      <x:c r="AD52" s="169" t="n">
        <x:v>1.1799971422978885</x:v>
      </x:c>
      <x:c r="AE52" s="169" t="n">
        <x:v>1.1939298093669153</x:v>
      </x:c>
      <x:c r="AF52" s="169" t="n">
        <x:v>0</x:v>
      </x:c>
      <x:c r="AG52" s="169" t="n">
        <x:v>0</x:v>
      </x:c>
      <x:c r="AH52" s="171" t="n">
        <x:f>M52/$M$3</x:f>
        <x:v>0.9351378958120531</x:v>
      </x:c>
      <x:c r="AI52" s="171" t="n">
        <x:f>N52/$M$3</x:f>
        <x:v>0.9259448416751788</x:v>
      </x:c>
      <x:c r="AJ52" s="170" t="n">
        <x:f>IF(AK52&lt;&gt;"",1,0)+IF(AY52&lt;&gt;"",1,0)+IF(BM52&lt;&gt;"",1,0)+IF(CA52&lt;&gt;"",1,0)+IF(CO52&lt;&gt;"",1,0)+IF(DC52&lt;&gt;"",1,0)+IF(DQ52&lt;&gt;"",1,0)+IF(EE52&lt;&gt;"",1,0)+IF(ES52&lt;&gt;"",1,0)+IF(FG52&lt;&gt;"",1,0)</x:f>
        <x:v>5</x:v>
      </x:c>
      <x:c r="AK52" s="147"/>
      <x:c r="AL52" s="147"/>
      <x:c r="AM52" s="147"/>
      <x:c r="AN52" s="167"/>
      <x:c r="AO52" s="167"/>
      <x:c r="AP52" s="166"/>
      <x:c r="AQ52" s="171" t="str">
        <x:f>IF(AK52="","",IFERROR(F52*AP52/AN52,0))</x:f>
      </x:c>
      <x:c r="AR52" s="171" t="str">
        <x:f>IF(AK52="","",F52*ABS(AP52))</x:f>
      </x:c>
      <x:c r="AS52" s="165"/>
      <x:c r="AT52" s="172" t="str">
        <x:f>IF(AK52="","",IF(AS52="","",IFERROR(AN52/AS52-1,0)))</x:f>
      </x:c>
      <x:c r="AU52" s="166"/>
      <x:c r="AV52" s="172" t="str">
        <x:f>IF(AK52="","",IF(AU52="","",AU52-AT52*365/AW52))</x:f>
      </x:c>
      <x:c r="AW52" s="164"/>
      <x:c r="AX52" s="173" t="str">
        <x:f>IF(AK52="","",IFERROR(AP52*(AO52/AN52-1),0))</x:f>
      </x:c>
      <x:c r="AY52" s="147" t="str">
        <x:v>Matched-maturity Treasury collateral</x:v>
      </x:c>
      <x:c r="AZ52" s="147" t="str">
        <x:v>Treasury</x:v>
      </x:c>
      <x:c r="BA52" s="147" t="str">
        <x:v>Long</x:v>
      </x:c>
      <x:c r="BB52" s="167" t="n">
        <x:v>101.24739033863612</x:v>
      </x:c>
      <x:c r="BC52" s="167" t="n">
        <x:v>101.26425565735555</x:v>
      </x:c>
      <x:c r="BD52" s="166" t="n">
        <x:v>1</x:v>
      </x:c>
      <x:c r="BE52" s="171" t="n">
        <x:f>IF(AY52="","",IFERROR(F52*BD52/BB52,0))</x:f>
        <x:v>0.01165459315396893</x:v>
      </x:c>
      <x:c r="BF52" s="171" t="n">
        <x:f>IF(AY52="","",F52*ABS(BD52))</x:f>
        <x:v>1.1799971422978885</x:v>
      </x:c>
      <x:c r="BG52" s="165"/>
      <x:c r="BH52" s="172" t="str">
        <x:f>IF(AY52="","",IF(BG52="","",IFERROR(BB52/BG52-1,0)))</x:f>
      </x:c>
      <x:c r="BI52" s="166"/>
      <x:c r="BJ52" s="172" t="str">
        <x:f>IF(AY52="","",IF(BI52="","",BI52-BH52*365/BK52))</x:f>
      </x:c>
      <x:c r="BK52" s="164" t="n">
        <x:v>10</x:v>
      </x:c>
      <x:c r="BL52" s="172" t="n">
        <x:f>IF(AY52="","",IFERROR(BD52*(BC52/BB52-1),0))</x:f>
        <x:v>0.0001665753424657801</x:v>
      </x:c>
      <x:c r="BM52" s="147" t="str">
        <x:v>SI69H</x:v>
      </x:c>
      <x:c r="BN52" s="147" t="str">
        <x:v>Silver future (regular)</x:v>
      </x:c>
      <x:c r="BO52" s="147" t="str">
        <x:v>Long</x:v>
      </x:c>
      <x:c r="BP52" s="167" t="n">
        <x:v>1.804</x:v>
      </x:c>
      <x:c r="BQ52" s="167" t="n">
        <x:v>1.825</x:v>
      </x:c>
      <x:c r="BR52" s="166" t="n">
        <x:v>1</x:v>
      </x:c>
      <x:c r="BS52" s="171" t="n">
        <x:f>IF(BM52="","",IFERROR(F52*BR52/BP52,0))</x:f>
        <x:v>0.6541004114733306</x:v>
      </x:c>
      <x:c r="BT52" s="171" t="n">
        <x:f>IF(BM52="","",F52*ABS(BR52))</x:f>
        <x:v>1.1799971422978885</x:v>
      </x:c>
      <x:c r="BU52" s="165" t="n">
        <x:v>1.831</x:v>
      </x:c>
      <x:c r="BV52" s="172" t="n">
        <x:f>IF(BM52="","",IF(BU52="","",IFERROR(BP52/BU52-1,0)))</x:f>
        <x:v>-0.014746040415073658</x:v>
      </x:c>
      <x:c r="BW52" s="166" t="n">
        <x:v>0.0608</x:v>
      </x:c>
      <x:c r="BX52" s="172" t="n">
        <x:f>IF(BM52="","",IF(BW52="","",BW52-BV52*365/BY52))</x:f>
        <x:v>0.5990304751501885</x:v>
      </x:c>
      <x:c r="BY52" s="164" t="n">
        <x:v>10</x:v>
      </x:c>
      <x:c r="BZ52" s="172" t="n">
        <x:f>IF(BM52="","",IFERROR(BR52*(BQ52/BP52-1),0))</x:f>
        <x:v>0.011640798226163929</x:v>
      </x:c>
      <x:c r="CA52" s="147" t="str">
        <x:v>SI69K</x:v>
      </x:c>
      <x:c r="CB52" s="147" t="str">
        <x:v>Silver future (regular)</x:v>
      </x:c>
      <x:c r="CC52" s="147" t="str">
        <x:v>Long</x:v>
      </x:c>
      <x:c r="CD52" s="167" t="n">
        <x:v>1.824</x:v>
      </x:c>
      <x:c r="CE52" s="167" t="n">
        <x:v>1.845</x:v>
      </x:c>
      <x:c r="CF52" s="166" t="n">
        <x:v>2.928476501466322e-23</x:v>
      </x:c>
      <x:c r="CG52" s="171" t="n">
        <x:f>IF(CA52="","",IFERROR(F52*CF52/CD52,0))</x:f>
        <x:v>1.894514201215339e-23</x:v>
      </x:c>
      <x:c r="CH52" s="171" t="n">
        <x:f>IF(CA52="","",F52*ABS(CF52))</x:f>
        <x:v>3.4555939030167783e-23</x:v>
      </x:c>
      <x:c r="CI52" s="165" t="n">
        <x:v>1.831</x:v>
      </x:c>
      <x:c r="CJ52" s="172" t="n">
        <x:f>IF(CA52="","",IF(CI52="","",IFERROR(CD52/CI52-1,0)))</x:f>
        <x:v>-0.0038230475150190513</x:v>
      </x:c>
      <x:c r="CK52" s="166" t="n">
        <x:v>0.0608</x:v>
      </x:c>
      <x:c r="CL52" s="172" t="n">
        <x:f>IF(CA52="","",IF(CK52="","",CK52-CJ52*365/CM52))</x:f>
        <x:v>0.08018072698586047</x:v>
      </x:c>
      <x:c r="CM52" s="164" t="n">
        <x:v>72</x:v>
      </x:c>
      <x:c r="CN52" s="172" t="n">
        <x:f>IF(CA52="","",IFERROR(CF52*(CE52/CD52-1),0))</x:f>
        <x:v>3.371601235240797e-25</x:v>
      </x:c>
      <x:c r="CO52" s="147" t="str">
        <x:v>SI69N</x:v>
      </x:c>
      <x:c r="CP52" s="147" t="str">
        <x:v>Silver future (regular)</x:v>
      </x:c>
      <x:c r="CQ52" s="147" t="str">
        <x:v>Long</x:v>
      </x:c>
      <x:c r="CR52" s="167" t="n">
        <x:v>1.854</x:v>
      </x:c>
      <x:c r="CS52" s="167" t="n">
        <x:v>1.875</x:v>
      </x:c>
      <x:c r="CT52" s="166" t="n">
        <x:v>2.9563346231844185e-26</x:v>
      </x:c>
      <x:c r="CU52" s="171" t="n">
        <x:f>IF(CO52="","",IFERROR(F52*CT52/CR52,0))</x:f>
        <x:v>1.8815892163073996e-26</x:v>
      </x:c>
      <x:c r="CV52" s="171" t="n">
        <x:f>IF(CO52="","",F52*ABS(CT52))</x:f>
        <x:v>3.488466407033919e-26</x:v>
      </x:c>
      <x:c r="CW52" s="165" t="n">
        <x:v>1.831</x:v>
      </x:c>
      <x:c r="CX52" s="172" t="n">
        <x:f>IF(CO52="","",IF(CW52="","",IFERROR(CR52/CW52-1,0)))</x:f>
        <x:v>0.012561441835062803</x:v>
      </x:c>
      <x:c r="CY52" s="166" t="n">
        <x:v>0.06136703296703297</x:v>
      </x:c>
      <x:c r="CZ52" s="172" t="n">
        <x:f>IF(CO52="","",IF(CY52="","",CY52-CX52*365/DA52))</x:f>
        <x:v>0.027151165281973845</x:v>
      </x:c>
      <x:c r="DA52" s="164" t="n">
        <x:v>134</x:v>
      </x:c>
      <x:c r="DB52" s="172" t="n">
        <x:f>IF(CO52="","",IFERROR(CT52*(CS52/CR52-1),0))</x:f>
        <x:v>3.348599087749318e-28</x:v>
      </x:c>
      <x:c r="DC52" s="147" t="str">
        <x:v>SI69U</x:v>
      </x:c>
      <x:c r="DD52" s="147" t="str">
        <x:v>Silver future (regular)</x:v>
      </x:c>
      <x:c r="DE52" s="147" t="str">
        <x:v>Long</x:v>
      </x:c>
      <x:c r="DF52" s="167" t="n">
        <x:v>1.886</x:v>
      </x:c>
      <x:c r="DG52" s="167" t="n">
        <x:v>1.9080000000000001</x:v>
      </x:c>
      <x:c r="DH52" s="166" t="n">
        <x:v>3.124237398475533e-28</x:v>
      </x:c>
      <x:c r="DI52" s="171" t="n">
        <x:f>IF(DC52="","",IFERROR(F52*DH52/DF52,0))</x:f>
        <x:v>1.9547143171056834e-28</x:v>
      </x:c>
      <x:c r="DJ52" s="171" t="n">
        <x:f>IF(DC52="","",F52*ABS(DH52))</x:f>
        <x:v>3.6865912020613186e-28</x:v>
      </x:c>
      <x:c r="DK52" s="165" t="n">
        <x:v>1.831</x:v>
      </x:c>
      <x:c r="DL52" s="172" t="n">
        <x:f>IF(DC52="","",IF(DK52="","",IFERROR(DF52/DK52-1,0)))</x:f>
        <x:v>0.030038230475150085</x:v>
      </x:c>
      <x:c r="DM52" s="166" t="n">
        <x:v>0.062090163934426235</x:v>
      </x:c>
      <x:c r="DN52" s="172" t="n">
        <x:f>IF(DC52="","",IF(DM52="","",DM52-DL52*365/DO52))</x:f>
        <x:v>0.005282111481422186</x:v>
      </x:c>
      <x:c r="DO52" s="164" t="n">
        <x:v>193</x:v>
      </x:c>
      <x:c r="DP52" s="172" t="n">
        <x:f>IF(DC52="","",IFERROR(DH52*(DG52/DF52-1),0))</x:f>
        <x:v>3.644391451031968e-30</x:v>
      </x:c>
      <x:c r="DQ52" s="147"/>
      <x:c r="DR52" s="147"/>
      <x:c r="DS52" s="147"/>
      <x:c r="DT52" s="167"/>
      <x:c r="DU52" s="167"/>
      <x:c r="DV52" s="166"/>
      <x:c r="DW52" s="171" t="str">
        <x:f>IF(DQ52="","",IFERROR(F52*DV52/DT52,0))</x:f>
      </x:c>
      <x:c r="DX52" s="171" t="str">
        <x:f>IF(DQ52="","",F52*ABS(DV52))</x:f>
      </x:c>
      <x:c r="DY52" s="165"/>
      <x:c r="DZ52" s="172" t="str">
        <x:f>IF(DQ52="","",IF(DY52="","",IFERROR(DT52/DY52-1,0)))</x:f>
      </x:c>
      <x:c r="EA52" s="166"/>
      <x:c r="EB52" s="172" t="str">
        <x:f>IF(DQ52="","",IF(EA52="","",EA52-DZ52*365/EC52))</x:f>
      </x:c>
      <x:c r="EC52" s="164"/>
      <x:c r="ED52" s="172" t="str">
        <x:f>IF(DQ52="","",IFERROR(DV52*(DU52/DT52-1),0))</x:f>
      </x:c>
      <x:c r="EE52" s="147"/>
      <x:c r="EF52" s="147"/>
      <x:c r="EG52" s="147"/>
      <x:c r="EH52" s="167"/>
      <x:c r="EI52" s="167"/>
      <x:c r="EJ52" s="166"/>
      <x:c r="EK52" s="171" t="str">
        <x:f>IF(EE52="","",IFERROR(F52*EJ52/EH52,0))</x:f>
      </x:c>
      <x:c r="EL52" s="171" t="str">
        <x:f>IF(EE52="","",F52*ABS(EJ52))</x:f>
      </x:c>
      <x:c r="EM52" s="165"/>
      <x:c r="EN52" s="172" t="str">
        <x:f>IF(EE52="","",IF(EM52="","",IFERROR(EH52/EM52-1,0)))</x:f>
      </x:c>
      <x:c r="EO52" s="166"/>
      <x:c r="EP52" s="172" t="str">
        <x:f>IF(EE52="","",IF(EO52="","",EO52-EN52*365/EQ52))</x:f>
      </x:c>
      <x:c r="EQ52" s="164"/>
      <x:c r="ER52" s="172" t="str">
        <x:f>IF(EE52="","",IFERROR(EJ52*(EI52/EH52-1),0))</x:f>
      </x:c>
      <x:c r="ES52" s="147"/>
      <x:c r="ET52" s="147"/>
      <x:c r="EU52" s="147"/>
      <x:c r="EV52" s="167"/>
      <x:c r="EW52" s="167"/>
      <x:c r="EX52" s="166"/>
      <x:c r="EY52" s="171" t="str">
        <x:f>IF(ES52="","",IFERROR(F52*EX52/EV52,0))</x:f>
      </x:c>
      <x:c r="EZ52" s="171" t="str">
        <x:f>IF(ES52="","",F52*ABS(EX52))</x:f>
      </x:c>
      <x:c r="FA52" s="165"/>
      <x:c r="FB52" s="172" t="str">
        <x:f>IF(ES52="","",IF(FA52="","",IFERROR(EV52/FA52-1,0)))</x:f>
      </x:c>
      <x:c r="FC52" s="166"/>
      <x:c r="FD52" s="172" t="str">
        <x:f>IF(ES52="","",IF(FC52="","",FC52-FB52*365/FE52))</x:f>
      </x:c>
      <x:c r="FE52" s="164"/>
      <x:c r="FF52" s="172" t="str">
        <x:f>IF(ES52="","",IFERROR(EX52*(EW52/EV52-1),0))</x:f>
      </x:c>
      <x:c r="FG52" s="147"/>
      <x:c r="FH52" s="147"/>
      <x:c r="FI52" s="147"/>
      <x:c r="FJ52" s="167"/>
      <x:c r="FK52" s="167"/>
      <x:c r="FL52" s="166"/>
      <x:c r="FM52" s="171" t="str">
        <x:f>IF(FG52="","",IFERROR(F52*FL52/FJ52,0))</x:f>
      </x:c>
      <x:c r="FN52" s="171" t="str">
        <x:f>IF(FG52="","",F52*ABS(FL52))</x:f>
      </x:c>
      <x:c r="FO52" s="165"/>
      <x:c r="FP52" s="172" t="str">
        <x:f>IF(FG52="","",IF(FO52="","",IFERROR(FJ52/FO52-1,0)))</x:f>
      </x:c>
      <x:c r="FQ52" s="166"/>
      <x:c r="FR52" s="172" t="str">
        <x:f>IF(FG52="","",IF(FQ52="","",FQ52-FP52*365/FS52))</x:f>
      </x:c>
      <x:c r="FS52" s="164"/>
      <x:c r="FT52" s="172" t="str">
        <x:f>IF(FG52="","",IFERROR(FL52*(FK52/FJ52-1),0))</x:f>
      </x:c>
    </x:row>
    <x:row r="53" ht="18" customHeight="1">
      <x:c r="A53" s="163" t="n">
        <x:v>25280</x:v>
      </x:c>
      <x:c r="B53" s="163" t="n">
        <x:v>25281</x:v>
      </x:c>
      <x:c r="C53" s="170" t="n">
        <x:f>B53-A53</x:f>
        <x:v>1</x:v>
      </x:c>
      <x:c r="D53" s="163" t="n">
        <x:v>25280</x:v>
      </x:c>
      <x:c r="E53" s="147" t="str">
        <x:v>neutral</x:v>
      </x:c>
      <x:c r="F53" s="165" t="n">
        <x:v>1.1939298093669153</x:v>
      </x:c>
      <x:c r="G53" s="168" t="n">
        <x:v>0.006060442466509119</x:v>
      </x:c>
      <x:c r="H53" s="172" t="n">
        <x:f>SUM(AX53,BL53,BZ53,CN53,DB53,DP53,ED53,ER53,FF53,FT53)</x:f>
        <x:v>0.006060442466509118</x:v>
      </x:c>
      <x:c r="I53" s="174" t="n">
        <x:f>G53-H53</x:f>
        <x:v>8.673617379884035e-19</x:v>
      </x:c>
      <x:c r="J53" s="171" t="n">
        <x:f>F53*(1+H53)</x:f>
        <x:v>1.2011655522856337</x:v>
      </x:c>
      <x:c r="K53" s="169" t="n">
        <x:v>1.2011655522856337</x:v>
      </x:c>
      <x:c r="L53" s="175" t="n">
        <x:f>K53-J53</x:f>
        <x:v>0</x:v>
      </x:c>
      <x:c r="M53" s="167" t="n">
        <x:v>1.813</x:v>
      </x:c>
      <x:c r="N53" s="167" t="n">
        <x:v>1.824</x:v>
      </x:c>
      <x:c r="O53" s="172" t="n">
        <x:f>IFERROR(N53/M53-1,0)</x:f>
        <x:v>0.006067291781577611</x:v>
      </x:c>
      <x:c r="P53" s="171" t="n">
        <x:f>IFERROR(AD53/AH53,0)</x:f>
        <x:v>1.2894178525871043</x:v>
      </x:c>
      <x:c r="Q53" s="171" t="n">
        <x:f>IFERROR(AE53/AI53,0)</x:f>
        <x:v>1.2894090742188984</x:v>
      </x:c>
      <x:c r="R53" s="172" t="n">
        <x:f>IFERROR((Q53-P53)/(P53+S53),0)</x:f>
        <x:v>-0.0000068080088919850545</x:v>
      </x:c>
      <x:c r="S53" s="172" t="n">
        <x:f>IFERROR(AF53/AH53,0)</x:f>
        <x:v>0</x:v>
      </x:c>
      <x:c r="T53" s="172" t="n">
        <x:f>IFERROR(AG53/AI53,0)</x:f>
        <x:v>0</x:v>
      </x:c>
      <x:c r="U53" s="172" t="n">
        <x:f>IFERROR((T53-S53)/(P53+S53),0)</x:f>
        <x:v>0</x:v>
      </x:c>
      <x:c r="V53" s="172" t="n">
        <x:f>R53+U53</x:f>
        <x:v>-0.0000068080088919850545</x:v>
      </x:c>
      <x:c r="W53" s="172" t="n">
        <x:f>(1+O53)*(1+V53)-1</x:f>
        <x:v>0.006060442466509164</x:v>
      </x:c>
      <x:c r="X53" s="174" t="n">
        <x:f>G53-W53</x:f>
        <x:v>-4.5102810375396984e-17</x:v>
      </x:c>
      <x:c r="Y53" s="172" t="n">
        <x:f>AX53</x:f>
        <x:v>0.006060442466509118</x:v>
      </x:c>
      <x:c r="Z53" s="172" t="str">
        <x:f>BL53</x:f>
      </x:c>
      <x:c r="AA53" s="172" t="n">
        <x:f>SUM(BZ53,CN53,DB53,DP53,ED53,ER53,FF53,FT53)</x:f>
        <x:v>0</x:v>
      </x:c>
      <x:c r="AB53" s="172" t="n">
        <x:f>SUM(Y53:AA53)</x:f>
        <x:v>0.006060442466509118</x:v>
      </x:c>
      <x:c r="AC53" s="174" t="n">
        <x:f>G53-AB53</x:f>
        <x:v>8.673617379884035e-19</x:v>
      </x:c>
      <x:c r="AD53" s="169" t="n">
        <x:v>1.1939298093669153</x:v>
      </x:c>
      <x:c r="AE53" s="169" t="n">
        <x:v>1.2011655522856337</x:v>
      </x:c>
      <x:c r="AF53" s="169" t="n">
        <x:v>0</x:v>
      </x:c>
      <x:c r="AG53" s="169" t="n">
        <x:v>0</x:v>
      </x:c>
      <x:c r="AH53" s="171" t="n">
        <x:f>M53/$M$3</x:f>
        <x:v>0.9259448416751788</x:v>
      </x:c>
      <x:c r="AI53" s="171" t="n">
        <x:f>N53/$M$3</x:f>
        <x:v>0.9315628192032687</x:v>
      </x:c>
      <x:c r="AJ53" s="170" t="n">
        <x:f>IF(AK53&lt;&gt;"",1,0)+IF(AY53&lt;&gt;"",1,0)+IF(BM53&lt;&gt;"",1,0)+IF(CA53&lt;&gt;"",1,0)+IF(CO53&lt;&gt;"",1,0)+IF(DC53&lt;&gt;"",1,0)+IF(DQ53&lt;&gt;"",1,0)+IF(EE53&lt;&gt;"",1,0)+IF(ES53&lt;&gt;"",1,0)+IF(FG53&lt;&gt;"",1,0)</x:f>
        <x:v>1</x:v>
      </x:c>
      <x:c r="AK53" s="147" t="str">
        <x:v>Silver replicating holding (LBMA/SLV proxy)</x:v>
      </x:c>
      <x:c r="AL53" s="147" t="str">
        <x:v>Physical-backed proxy</x:v>
      </x:c>
      <x:c r="AM53" s="147" t="str">
        <x:v>Long</x:v>
      </x:c>
      <x:c r="AN53" s="167" t="n">
        <x:v>1.813</x:v>
      </x:c>
      <x:c r="AO53" s="167" t="n">
        <x:v>1.824</x:v>
      </x:c>
      <x:c r="AP53" s="166" t="n">
        <x:v>1</x:v>
      </x:c>
      <x:c r="AQ53" s="171" t="n">
        <x:f>IF(AK53="","",IFERROR(F53*AP53/AN53,0))</x:f>
        <x:v>0.658538229104752</x:v>
      </x:c>
      <x:c r="AR53" s="171" t="n">
        <x:f>IF(AK53="","",F53*ABS(AP53))</x:f>
        <x:v>1.1939298093669153</x:v>
      </x:c>
      <x:c r="AS53" s="165"/>
      <x:c r="AT53" s="172" t="str">
        <x:f>IF(AK53="","",IF(AS53="","",IFERROR(AN53/AS53-1,0)))</x:f>
      </x:c>
      <x:c r="AU53" s="166"/>
      <x:c r="AV53" s="172" t="str">
        <x:f>IF(AK53="","",IF(AU53="","",AU53-AT53*365/AW53))</x:f>
      </x:c>
      <x:c r="AW53" s="164"/>
      <x:c r="AX53" s="173" t="n">
        <x:f>IF(AK53="","",IFERROR(AP53*(AO53/AN53-1-'Parameters'!$C$6*C53/365),0))</x:f>
        <x:v>0.006060442466509118</x:v>
      </x:c>
      <x:c r="AY53" s="147"/>
      <x:c r="AZ53" s="147"/>
      <x:c r="BA53" s="147"/>
      <x:c r="BB53" s="167"/>
      <x:c r="BC53" s="167"/>
      <x:c r="BD53" s="166"/>
      <x:c r="BE53" s="171" t="str">
        <x:f>IF(AY53="","",IFERROR(F53*BD53/BB53,0))</x:f>
      </x:c>
      <x:c r="BF53" s="171" t="str">
        <x:f>IF(AY53="","",F53*ABS(BD53))</x:f>
      </x:c>
      <x:c r="BG53" s="165"/>
      <x:c r="BH53" s="172" t="str">
        <x:f>IF(AY53="","",IF(BG53="","",IFERROR(BB53/BG53-1,0)))</x:f>
      </x:c>
      <x:c r="BI53" s="166"/>
      <x:c r="BJ53" s="172" t="str">
        <x:f>IF(AY53="","",IF(BI53="","",BI53-BH53*365/BK53))</x:f>
      </x:c>
      <x:c r="BK53" s="164"/>
      <x:c r="BL53" s="172" t="str">
        <x:f>IF(AY53="","",IFERROR(BD53*(BC53/BB53-1),0))</x:f>
      </x:c>
      <x:c r="BM53" s="147"/>
      <x:c r="BN53" s="147"/>
      <x:c r="BO53" s="147"/>
      <x:c r="BP53" s="167"/>
      <x:c r="BQ53" s="167"/>
      <x:c r="BR53" s="166"/>
      <x:c r="BS53" s="171" t="str">
        <x:f>IF(BM53="","",IFERROR(F53*BR53/BP53,0))</x:f>
      </x:c>
      <x:c r="BT53" s="171" t="str">
        <x:f>IF(BM53="","",F53*ABS(BR53))</x:f>
      </x:c>
      <x:c r="BU53" s="165"/>
      <x:c r="BV53" s="172" t="str">
        <x:f>IF(BM53="","",IF(BU53="","",IFERROR(BP53/BU53-1,0)))</x:f>
      </x:c>
      <x:c r="BW53" s="166"/>
      <x:c r="BX53" s="172" t="str">
        <x:f>IF(BM53="","",IF(BW53="","",BW53-BV53*365/BY53))</x:f>
      </x:c>
      <x:c r="BY53" s="164"/>
      <x:c r="BZ53" s="172" t="str">
        <x:f>IF(BM53="","",IFERROR(BR53*(BQ53/BP53-1),0))</x:f>
      </x:c>
      <x:c r="CA53" s="147"/>
      <x:c r="CB53" s="147"/>
      <x:c r="CC53" s="147"/>
      <x:c r="CD53" s="167"/>
      <x:c r="CE53" s="167"/>
      <x:c r="CF53" s="166"/>
      <x:c r="CG53" s="171" t="str">
        <x:f>IF(CA53="","",IFERROR(F53*CF53/CD53,0))</x:f>
      </x:c>
      <x:c r="CH53" s="171" t="str">
        <x:f>IF(CA53="","",F53*ABS(CF53))</x:f>
      </x:c>
      <x:c r="CI53" s="165"/>
      <x:c r="CJ53" s="172" t="str">
        <x:f>IF(CA53="","",IF(CI53="","",IFERROR(CD53/CI53-1,0)))</x:f>
      </x:c>
      <x:c r="CK53" s="166"/>
      <x:c r="CL53" s="172" t="str">
        <x:f>IF(CA53="","",IF(CK53="","",CK53-CJ53*365/CM53))</x:f>
      </x:c>
      <x:c r="CM53" s="164"/>
      <x:c r="CN53" s="172" t="str">
        <x:f>IF(CA53="","",IFERROR(CF53*(CE53/CD53-1),0))</x:f>
      </x:c>
      <x:c r="CO53" s="147"/>
      <x:c r="CP53" s="147"/>
      <x:c r="CQ53" s="147"/>
      <x:c r="CR53" s="167"/>
      <x:c r="CS53" s="167"/>
      <x:c r="CT53" s="166"/>
      <x:c r="CU53" s="171" t="str">
        <x:f>IF(CO53="","",IFERROR(F53*CT53/CR53,0))</x:f>
      </x:c>
      <x:c r="CV53" s="171" t="str">
        <x:f>IF(CO53="","",F53*ABS(CT53))</x:f>
      </x:c>
      <x:c r="CW53" s="165"/>
      <x:c r="CX53" s="172" t="str">
        <x:f>IF(CO53="","",IF(CW53="","",IFERROR(CR53/CW53-1,0)))</x:f>
      </x:c>
      <x:c r="CY53" s="166"/>
      <x:c r="CZ53" s="172" t="str">
        <x:f>IF(CO53="","",IF(CY53="","",CY53-CX53*365/DA53))</x:f>
      </x:c>
      <x:c r="DA53" s="164"/>
      <x:c r="DB53" s="172" t="str">
        <x:f>IF(CO53="","",IFERROR(CT53*(CS53/CR53-1),0))</x:f>
      </x:c>
      <x:c r="DC53" s="147"/>
      <x:c r="DD53" s="147"/>
      <x:c r="DE53" s="147"/>
      <x:c r="DF53" s="167"/>
      <x:c r="DG53" s="167"/>
      <x:c r="DH53" s="166"/>
      <x:c r="DI53" s="171" t="str">
        <x:f>IF(DC53="","",IFERROR(F53*DH53/DF53,0))</x:f>
      </x:c>
      <x:c r="DJ53" s="171" t="str">
        <x:f>IF(DC53="","",F53*ABS(DH53))</x:f>
      </x:c>
      <x:c r="DK53" s="165"/>
      <x:c r="DL53" s="172" t="str">
        <x:f>IF(DC53="","",IF(DK53="","",IFERROR(DF53/DK53-1,0)))</x:f>
      </x:c>
      <x:c r="DM53" s="166"/>
      <x:c r="DN53" s="172" t="str">
        <x:f>IF(DC53="","",IF(DM53="","",DM53-DL53*365/DO53))</x:f>
      </x:c>
      <x:c r="DO53" s="164"/>
      <x:c r="DP53" s="172" t="str">
        <x:f>IF(DC53="","",IFERROR(DH53*(DG53/DF53-1),0))</x:f>
      </x:c>
      <x:c r="DQ53" s="147"/>
      <x:c r="DR53" s="147"/>
      <x:c r="DS53" s="147"/>
      <x:c r="DT53" s="167"/>
      <x:c r="DU53" s="167"/>
      <x:c r="DV53" s="166"/>
      <x:c r="DW53" s="171" t="str">
        <x:f>IF(DQ53="","",IFERROR(F53*DV53/DT53,0))</x:f>
      </x:c>
      <x:c r="DX53" s="171" t="str">
        <x:f>IF(DQ53="","",F53*ABS(DV53))</x:f>
      </x:c>
      <x:c r="DY53" s="165"/>
      <x:c r="DZ53" s="172" t="str">
        <x:f>IF(DQ53="","",IF(DY53="","",IFERROR(DT53/DY53-1,0)))</x:f>
      </x:c>
      <x:c r="EA53" s="166"/>
      <x:c r="EB53" s="172" t="str">
        <x:f>IF(DQ53="","",IF(EA53="","",EA53-DZ53*365/EC53))</x:f>
      </x:c>
      <x:c r="EC53" s="164"/>
      <x:c r="ED53" s="172" t="str">
        <x:f>IF(DQ53="","",IFERROR(DV53*(DU53/DT53-1),0))</x:f>
      </x:c>
      <x:c r="EE53" s="147"/>
      <x:c r="EF53" s="147"/>
      <x:c r="EG53" s="147"/>
      <x:c r="EH53" s="167"/>
      <x:c r="EI53" s="167"/>
      <x:c r="EJ53" s="166"/>
      <x:c r="EK53" s="171" t="str">
        <x:f>IF(EE53="","",IFERROR(F53*EJ53/EH53,0))</x:f>
      </x:c>
      <x:c r="EL53" s="171" t="str">
        <x:f>IF(EE53="","",F53*ABS(EJ53))</x:f>
      </x:c>
      <x:c r="EM53" s="165"/>
      <x:c r="EN53" s="172" t="str">
        <x:f>IF(EE53="","",IF(EM53="","",IFERROR(EH53/EM53-1,0)))</x:f>
      </x:c>
      <x:c r="EO53" s="166"/>
      <x:c r="EP53" s="172" t="str">
        <x:f>IF(EE53="","",IF(EO53="","",EO53-EN53*365/EQ53))</x:f>
      </x:c>
      <x:c r="EQ53" s="164"/>
      <x:c r="ER53" s="172" t="str">
        <x:f>IF(EE53="","",IFERROR(EJ53*(EI53/EH53-1),0))</x:f>
      </x:c>
      <x:c r="ES53" s="147"/>
      <x:c r="ET53" s="147"/>
      <x:c r="EU53" s="147"/>
      <x:c r="EV53" s="167"/>
      <x:c r="EW53" s="167"/>
      <x:c r="EX53" s="166"/>
      <x:c r="EY53" s="171" t="str">
        <x:f>IF(ES53="","",IFERROR(F53*EX53/EV53,0))</x:f>
      </x:c>
      <x:c r="EZ53" s="171" t="str">
        <x:f>IF(ES53="","",F53*ABS(EX53))</x:f>
      </x:c>
      <x:c r="FA53" s="165"/>
      <x:c r="FB53" s="172" t="str">
        <x:f>IF(ES53="","",IF(FA53="","",IFERROR(EV53/FA53-1,0)))</x:f>
      </x:c>
      <x:c r="FC53" s="166"/>
      <x:c r="FD53" s="172" t="str">
        <x:f>IF(ES53="","",IF(FC53="","",FC53-FB53*365/FE53))</x:f>
      </x:c>
      <x:c r="FE53" s="164"/>
      <x:c r="FF53" s="172" t="str">
        <x:f>IF(ES53="","",IFERROR(EX53*(EW53/EV53-1),0))</x:f>
      </x:c>
      <x:c r="FG53" s="147"/>
      <x:c r="FH53" s="147"/>
      <x:c r="FI53" s="147"/>
      <x:c r="FJ53" s="167"/>
      <x:c r="FK53" s="167"/>
      <x:c r="FL53" s="166"/>
      <x:c r="FM53" s="171" t="str">
        <x:f>IF(FG53="","",IFERROR(F53*FL53/FJ53,0))</x:f>
      </x:c>
      <x:c r="FN53" s="171" t="str">
        <x:f>IF(FG53="","",F53*ABS(FL53))</x:f>
      </x:c>
      <x:c r="FO53" s="165"/>
      <x:c r="FP53" s="172" t="str">
        <x:f>IF(FG53="","",IF(FO53="","",IFERROR(FJ53/FO53-1,0)))</x:f>
      </x:c>
      <x:c r="FQ53" s="166"/>
      <x:c r="FR53" s="172" t="str">
        <x:f>IF(FG53="","",IF(FQ53="","",FQ53-FP53*365/FS53))</x:f>
      </x:c>
      <x:c r="FS53" s="164"/>
      <x:c r="FT53" s="172" t="str">
        <x:f>IF(FG53="","",IFERROR(FL53*(FK53/FJ53-1),0))</x:f>
      </x:c>
    </x:row>
    <x:row r="54" ht="18" customHeight="1">
      <x:c r="A54" s="163" t="n">
        <x:v>25281</x:v>
      </x:c>
      <x:c r="B54" s="163" t="n">
        <x:v>25282</x:v>
      </x:c>
      <x:c r="C54" s="170" t="n">
        <x:f>B54-A54</x:f>
        <x:v>1</x:v>
      </x:c>
      <x:c r="D54" s="163" t="n">
        <x:v>25281</x:v>
      </x:c>
      <x:c r="E54" s="147" t="str">
        <x:v>positive</x:v>
      </x:c>
      <x:c r="F54" s="165" t="n">
        <x:v>1.2011655522856337</x:v>
      </x:c>
      <x:c r="G54" s="168" t="n">
        <x:v>-0.002266294958433307</x:v>
      </x:c>
      <x:c r="H54" s="172" t="n">
        <x:f>SUM(AX54,BL54,BZ54,CN54,DB54,DP54,ED54,ER54,FF54,FT54)</x:f>
        <x:v>-0.0022662949584333347</x:v>
      </x:c>
      <x:c r="I54" s="174" t="n">
        <x:f>G54-H54</x:f>
        <x:v>2.7755575615628914e-17</x:v>
      </x:c>
      <x:c r="J54" s="171" t="n">
        <x:f>F54*(1+H54)</x:f>
        <x:v>1.198443356850245</x:v>
      </x:c>
      <x:c r="K54" s="169" t="n">
        <x:v>1.198443356850245</x:v>
      </x:c>
      <x:c r="L54" s="175" t="n">
        <x:f>K54-J54</x:f>
        <x:v>0</x:v>
      </x:c>
      <x:c r="M54" s="167" t="n">
        <x:v>1.824</x:v>
      </x:c>
      <x:c r="N54" s="167" t="n">
        <x:v>1.813</x:v>
      </x:c>
      <x:c r="O54" s="172" t="n">
        <x:f>IFERROR(N54/M54-1,0)</x:f>
        <x:v>-0.006030701754386025</x:v>
      </x:c>
      <x:c r="P54" s="171" t="n">
        <x:f>IFERROR(AD54/AH54,0)</x:f>
        <x:v>1.2894090742188984</x:v>
      </x:c>
      <x:c r="Q54" s="171" t="n">
        <x:f>IFERROR(AE54/AI54,0)</x:f>
        <x:v>1.2942923842872476</x:v>
      </x:c>
      <x:c r="R54" s="172" t="n">
        <x:f>IFERROR((Q54-P54)/(P54+S54),0)</x:f>
        <x:v>0.0037872465503683644</x:v>
      </x:c>
      <x:c r="S54" s="172" t="n">
        <x:f>IFERROR(AF54/AH54,0)</x:f>
        <x:v>0</x:v>
      </x:c>
      <x:c r="T54" s="172" t="n">
        <x:f>IFERROR(AG54/AI54,0)</x:f>
        <x:v>0</x:v>
      </x:c>
      <x:c r="U54" s="172" t="n">
        <x:f>IFERROR((T54-S54)/(P54+S54),0)</x:f>
        <x:v>0</x:v>
      </x:c>
      <x:c r="V54" s="172" t="n">
        <x:f>R54+U54</x:f>
        <x:v>0.0037872465503683644</x:v>
      </x:c>
      <x:c r="W54" s="172" t="n">
        <x:f>(1+O54)*(1+V54)-1</x:f>
        <x:v>-0.0022662949584333347</x:v>
      </x:c>
      <x:c r="X54" s="174" t="n">
        <x:f>G54-W54</x:f>
        <x:v>2.7755575615628914e-17</x:v>
      </x:c>
      <x:c r="Y54" s="172" t="n">
        <x:f>AX54</x:f>
        <x:v>-0.004086811761840768</x:v>
      </x:c>
      <x:c r="Z54" s="172" t="n">
        <x:f>BL54</x:f>
        <x:v>0.00005302398645011424</x:v>
      </x:c>
      <x:c r="AA54" s="172" t="n">
        <x:f>SUM(BZ54,CN54,DB54,DP54,ED54,ER54,FF54,FT54)</x:f>
        <x:v>0.0017674928169573187</x:v>
      </x:c>
      <x:c r="AB54" s="172" t="n">
        <x:f>SUM(Y54:AA54)</x:f>
        <x:v>-0.0022662949584333347</x:v>
      </x:c>
      <x:c r="AC54" s="174" t="n">
        <x:f>G54-AB54</x:f>
        <x:v>2.7755575615628914e-17</x:v>
      </x:c>
      <x:c r="AD54" s="169" t="n">
        <x:v>1.2011655522856337</x:v>
      </x:c>
      <x:c r="AE54" s="169" t="n">
        <x:v>1.198443356850245</x:v>
      </x:c>
      <x:c r="AF54" s="169" t="n">
        <x:v>0</x:v>
      </x:c>
      <x:c r="AG54" s="169" t="n">
        <x:v>0</x:v>
      </x:c>
      <x:c r="AH54" s="171" t="n">
        <x:f>M54/$M$3</x:f>
        <x:v>0.9315628192032687</x:v>
      </x:c>
      <x:c r="AI54" s="171" t="n">
        <x:f>N54/$M$3</x:f>
        <x:v>0.9259448416751788</x:v>
      </x:c>
      <x:c r="AJ54" s="170" t="n">
        <x:f>IF(AK54&lt;&gt;"",1,0)+IF(AY54&lt;&gt;"",1,0)+IF(BM54&lt;&gt;"",1,0)+IF(CA54&lt;&gt;"",1,0)+IF(CO54&lt;&gt;"",1,0)+IF(DC54&lt;&gt;"",1,0)+IF(DQ54&lt;&gt;"",1,0)+IF(EE54&lt;&gt;"",1,0)+IF(ES54&lt;&gt;"",1,0)+IF(FG54&lt;&gt;"",1,0)</x:f>
        <x:v>4</x:v>
      </x:c>
      <x:c r="AK54" s="147" t="str">
        <x:v>Silver replicating holding (LBMA/SLV proxy)</x:v>
      </x:c>
      <x:c r="AL54" s="147" t="str">
        <x:v>Physical-backed proxy</x:v>
      </x:c>
      <x:c r="AM54" s="147" t="str">
        <x:v>Long</x:v>
      </x:c>
      <x:c r="AN54" s="167" t="n">
        <x:v>1.824</x:v>
      </x:c>
      <x:c r="AO54" s="167" t="n">
        <x:v>1.813</x:v>
      </x:c>
      <x:c r="AP54" s="166" t="n">
        <x:v>0.6768989139515476</x:v>
      </x:c>
      <x:c r="AQ54" s="171" t="n">
        <x:f>IF(AK54="","",IFERROR(F54*AP54/AN54,0))</x:f>
        <x:v>0.4457607773125857</x:v>
      </x:c>
      <x:c r="AR54" s="171" t="n">
        <x:f>IF(AK54="","",F54*ABS(AP54))</x:f>
        <x:v>0.8130676578181563</x:v>
      </x:c>
      <x:c r="AS54" s="165"/>
      <x:c r="AT54" s="172" t="str">
        <x:f>IF(AK54="","",IF(AS54="","",IFERROR(AN54/AS54-1,0)))</x:f>
      </x:c>
      <x:c r="AU54" s="166"/>
      <x:c r="AV54" s="172" t="str">
        <x:f>IF(AK54="","",IF(AU54="","",AU54-AT54*365/AW54))</x:f>
      </x:c>
      <x:c r="AW54" s="164"/>
      <x:c r="AX54" s="173" t="n">
        <x:f>IF(AK54="","",IFERROR(AP54*(AO54/AN54-1-'Parameters'!$C$6*C54/365),0))</x:f>
        <x:v>-0.004086811761840768</x:v>
      </x:c>
      <x:c r="AY54" s="147" t="str">
        <x:v>Matched-maturity Treasury collateral</x:v>
      </x:c>
      <x:c r="AZ54" s="147" t="str">
        <x:v>Treasury</x:v>
      </x:c>
      <x:c r="BA54" s="147" t="str">
        <x:v>Long</x:v>
      </x:c>
      <x:c r="BB54" s="167" t="n">
        <x:v>101.28087409273603</x:v>
      </x:c>
      <x:c r="BC54" s="167" t="n">
        <x:v>101.2974952553611</x:v>
      </x:c>
      <x:c r="BD54" s="166" t="n">
        <x:v>0.32310108604845234</x:v>
      </x:c>
      <x:c r="BE54" s="171" t="n">
        <x:f>IF(AY54="","",IFERROR(F54*BD54/BB54,0))</x:f>
        <x:v>0.003831897166607413</x:v>
      </x:c>
      <x:c r="BF54" s="171" t="n">
        <x:f>IF(AY54="","",F54*ABS(BD54))</x:f>
        <x:v>0.38809789446747733</x:v>
      </x:c>
      <x:c r="BG54" s="165"/>
      <x:c r="BH54" s="172" t="str">
        <x:f>IF(AY54="","",IF(BG54="","",IFERROR(BB54/BG54-1,0)))</x:f>
      </x:c>
      <x:c r="BI54" s="166"/>
      <x:c r="BJ54" s="172" t="str">
        <x:f>IF(AY54="","",IF(BI54="","",BI54-BH54*365/BK54))</x:f>
      </x:c>
      <x:c r="BK54" s="164" t="n">
        <x:v>70.04039641017536</x:v>
      </x:c>
      <x:c r="BL54" s="172" t="n">
        <x:f>IF(AY54="","",IFERROR(BD54*(BC54/BB54-1),0))</x:f>
        <x:v>0.00005302398645011424</x:v>
      </x:c>
      <x:c r="BM54" s="147" t="str">
        <x:v>SI69K</x:v>
      </x:c>
      <x:c r="BN54" s="147" t="str">
        <x:v>Silver future (regular)</x:v>
      </x:c>
      <x:c r="BO54" s="147" t="str">
        <x:v>Long</x:v>
      </x:c>
      <x:c r="BP54" s="167" t="n">
        <x:v>1.828</x:v>
      </x:c>
      <x:c r="BQ54" s="167" t="n">
        <x:v>1.838</x:v>
      </x:c>
      <x:c r="BR54" s="166" t="n">
        <x:v>0.32289056791941817</x:v>
      </x:c>
      <x:c r="BS54" s="171" t="n">
        <x:f>IF(BM54="","",IFERROR(F54*BR54/BP54,0))</x:f>
        <x:v>0.21216905215686532</x:v>
      </x:c>
      <x:c r="BT54" s="171" t="n">
        <x:f>IF(BM54="","",F54*ABS(BR54))</x:f>
        <x:v>0.38784502734274984</x:v>
      </x:c>
      <x:c r="BU54" s="165" t="n">
        <x:v>1.824</x:v>
      </x:c>
      <x:c r="BV54" s="172" t="n">
        <x:f>IF(BM54="","",IF(BU54="","",IFERROR(BP54/BU54-1,0)))</x:f>
        <x:v>0.002192982456140413</x:v>
      </x:c>
      <x:c r="BW54" s="166" t="n">
        <x:v>0.0599</x:v>
      </x:c>
      <x:c r="BX54" s="172" t="n">
        <x:f>IF(BM54="","",IF(BW54="","",BW54-BV54*365/BY54))</x:f>
        <x:v>0.04846516290726785</x:v>
      </x:c>
      <x:c r="BY54" s="164" t="n">
        <x:v>70</x:v>
      </x:c>
      <x:c r="BZ54" s="172" t="n">
        <x:f>IF(BM54="","",IFERROR(BR54*(BQ54/BP54-1),0))</x:f>
        <x:v>0.001766359780740773</x:v>
      </x:c>
      <x:c r="CA54" s="147" t="str">
        <x:v>SI69N</x:v>
      </x:c>
      <x:c r="CB54" s="147" t="str">
        <x:v>Silver future (regular)</x:v>
      </x:c>
      <x:c r="CC54" s="147" t="str">
        <x:v>Long</x:v>
      </x:c>
      <x:c r="CD54" s="167" t="n">
        <x:v>1.858</x:v>
      </x:c>
      <x:c r="CE54" s="167" t="n">
        <x:v>1.868</x:v>
      </x:c>
      <x:c r="CF54" s="166" t="n">
        <x:v>0.00021051812903418322</x:v>
      </x:c>
      <x:c r="CG54" s="171" t="n">
        <x:f>IF(CA54="","",IFERROR(F54*CF54/CD54,0))</x:f>
        <x:v>0.00013609640728066898</x:v>
      </x:c>
      <x:c r="CH54" s="171" t="n">
        <x:f>IF(CA54="","",F54*ABS(CF54))</x:f>
        <x:v>0.000252867124727483</x:v>
      </x:c>
      <x:c r="CI54" s="165" t="n">
        <x:v>1.824</x:v>
      </x:c>
      <x:c r="CJ54" s="172" t="n">
        <x:f>IF(CA54="","",IF(CI54="","",IFERROR(CD54/CI54-1,0)))</x:f>
        <x:v>0.018640350877193068</x:v>
      </x:c>
      <x:c r="CK54" s="166" t="n">
        <x:v>0.060620879120879136</x:v>
      </x:c>
      <x:c r="CL54" s="172" t="n">
        <x:f>IF(CA54="","",IF(CK54="","",CK54-CJ54*365/CM54))</x:f>
        <x:v>0.009077484649852842</x:v>
      </x:c>
      <x:c r="CM54" s="164" t="n">
        <x:v>132</x:v>
      </x:c>
      <x:c r="CN54" s="172" t="n">
        <x:f>IF(CA54="","",IFERROR(CF54*(CE54/CD54-1),0))</x:f>
        <x:v>0.000001133036216545664</x:v>
      </x:c>
      <x:c r="CO54" s="147"/>
      <x:c r="CP54" s="147"/>
      <x:c r="CQ54" s="147"/>
      <x:c r="CR54" s="167"/>
      <x:c r="CS54" s="167"/>
      <x:c r="CT54" s="166"/>
      <x:c r="CU54" s="171" t="str">
        <x:f>IF(CO54="","",IFERROR(F54*CT54/CR54,0))</x:f>
      </x:c>
      <x:c r="CV54" s="171" t="str">
        <x:f>IF(CO54="","",F54*ABS(CT54))</x:f>
      </x:c>
      <x:c r="CW54" s="165"/>
      <x:c r="CX54" s="172" t="str">
        <x:f>IF(CO54="","",IF(CW54="","",IFERROR(CR54/CW54-1,0)))</x:f>
      </x:c>
      <x:c r="CY54" s="166"/>
      <x:c r="CZ54" s="172" t="str">
        <x:f>IF(CO54="","",IF(CY54="","",CY54-CX54*365/DA54))</x:f>
      </x:c>
      <x:c r="DA54" s="164"/>
      <x:c r="DB54" s="172" t="str">
        <x:f>IF(CO54="","",IFERROR(CT54*(CS54/CR54-1),0))</x:f>
      </x:c>
      <x:c r="DC54" s="147"/>
      <x:c r="DD54" s="147"/>
      <x:c r="DE54" s="147"/>
      <x:c r="DF54" s="167"/>
      <x:c r="DG54" s="167"/>
      <x:c r="DH54" s="166"/>
      <x:c r="DI54" s="171" t="str">
        <x:f>IF(DC54="","",IFERROR(F54*DH54/DF54,0))</x:f>
      </x:c>
      <x:c r="DJ54" s="171" t="str">
        <x:f>IF(DC54="","",F54*ABS(DH54))</x:f>
      </x:c>
      <x:c r="DK54" s="165"/>
      <x:c r="DL54" s="172" t="str">
        <x:f>IF(DC54="","",IF(DK54="","",IFERROR(DF54/DK54-1,0)))</x:f>
      </x:c>
      <x:c r="DM54" s="166"/>
      <x:c r="DN54" s="172" t="str">
        <x:f>IF(DC54="","",IF(DM54="","",DM54-DL54*365/DO54))</x:f>
      </x:c>
      <x:c r="DO54" s="164"/>
      <x:c r="DP54" s="172" t="str">
        <x:f>IF(DC54="","",IFERROR(DH54*(DG54/DF54-1),0))</x:f>
      </x:c>
      <x:c r="DQ54" s="147"/>
      <x:c r="DR54" s="147"/>
      <x:c r="DS54" s="147"/>
      <x:c r="DT54" s="167"/>
      <x:c r="DU54" s="167"/>
      <x:c r="DV54" s="166"/>
      <x:c r="DW54" s="171" t="str">
        <x:f>IF(DQ54="","",IFERROR(F54*DV54/DT54,0))</x:f>
      </x:c>
      <x:c r="DX54" s="171" t="str">
        <x:f>IF(DQ54="","",F54*ABS(DV54))</x:f>
      </x:c>
      <x:c r="DY54" s="165"/>
      <x:c r="DZ54" s="172" t="str">
        <x:f>IF(DQ54="","",IF(DY54="","",IFERROR(DT54/DY54-1,0)))</x:f>
      </x:c>
      <x:c r="EA54" s="166"/>
      <x:c r="EB54" s="172" t="str">
        <x:f>IF(DQ54="","",IF(EA54="","",EA54-DZ54*365/EC54))</x:f>
      </x:c>
      <x:c r="EC54" s="164"/>
      <x:c r="ED54" s="172" t="str">
        <x:f>IF(DQ54="","",IFERROR(DV54*(DU54/DT54-1),0))</x:f>
      </x:c>
      <x:c r="EE54" s="147"/>
      <x:c r="EF54" s="147"/>
      <x:c r="EG54" s="147"/>
      <x:c r="EH54" s="167"/>
      <x:c r="EI54" s="167"/>
      <x:c r="EJ54" s="166"/>
      <x:c r="EK54" s="171" t="str">
        <x:f>IF(EE54="","",IFERROR(F54*EJ54/EH54,0))</x:f>
      </x:c>
      <x:c r="EL54" s="171" t="str">
        <x:f>IF(EE54="","",F54*ABS(EJ54))</x:f>
      </x:c>
      <x:c r="EM54" s="165"/>
      <x:c r="EN54" s="172" t="str">
        <x:f>IF(EE54="","",IF(EM54="","",IFERROR(EH54/EM54-1,0)))</x:f>
      </x:c>
      <x:c r="EO54" s="166"/>
      <x:c r="EP54" s="172" t="str">
        <x:f>IF(EE54="","",IF(EO54="","",EO54-EN54*365/EQ54))</x:f>
      </x:c>
      <x:c r="EQ54" s="164"/>
      <x:c r="ER54" s="172" t="str">
        <x:f>IF(EE54="","",IFERROR(EJ54*(EI54/EH54-1),0))</x:f>
      </x:c>
      <x:c r="ES54" s="147"/>
      <x:c r="ET54" s="147"/>
      <x:c r="EU54" s="147"/>
      <x:c r="EV54" s="167"/>
      <x:c r="EW54" s="167"/>
      <x:c r="EX54" s="166"/>
      <x:c r="EY54" s="171" t="str">
        <x:f>IF(ES54="","",IFERROR(F54*EX54/EV54,0))</x:f>
      </x:c>
      <x:c r="EZ54" s="171" t="str">
        <x:f>IF(ES54="","",F54*ABS(EX54))</x:f>
      </x:c>
      <x:c r="FA54" s="165"/>
      <x:c r="FB54" s="172" t="str">
        <x:f>IF(ES54="","",IF(FA54="","",IFERROR(EV54/FA54-1,0)))</x:f>
      </x:c>
      <x:c r="FC54" s="166"/>
      <x:c r="FD54" s="172" t="str">
        <x:f>IF(ES54="","",IF(FC54="","",FC54-FB54*365/FE54))</x:f>
      </x:c>
      <x:c r="FE54" s="164"/>
      <x:c r="FF54" s="172" t="str">
        <x:f>IF(ES54="","",IFERROR(EX54*(EW54/EV54-1),0))</x:f>
      </x:c>
      <x:c r="FG54" s="147"/>
      <x:c r="FH54" s="147"/>
      <x:c r="FI54" s="147"/>
      <x:c r="FJ54" s="167"/>
      <x:c r="FK54" s="167"/>
      <x:c r="FL54" s="166"/>
      <x:c r="FM54" s="171" t="str">
        <x:f>IF(FG54="","",IFERROR(F54*FL54/FJ54,0))</x:f>
      </x:c>
      <x:c r="FN54" s="171" t="str">
        <x:f>IF(FG54="","",F54*ABS(FL54))</x:f>
      </x:c>
      <x:c r="FO54" s="165"/>
      <x:c r="FP54" s="172" t="str">
        <x:f>IF(FG54="","",IF(FO54="","",IFERROR(FJ54/FO54-1,0)))</x:f>
      </x:c>
      <x:c r="FQ54" s="166"/>
      <x:c r="FR54" s="172" t="str">
        <x:f>IF(FG54="","",IF(FQ54="","",FQ54-FP54*365/FS54))</x:f>
      </x:c>
      <x:c r="FS54" s="164"/>
      <x:c r="FT54" s="172" t="str">
        <x:f>IF(FG54="","",IFERROR(FL54*(FK54/FJ54-1),0))</x:f>
      </x:c>
    </x:row>
    <x:row r="55" ht="18" customHeight="1">
      <x:c r="A55" s="163" t="n">
        <x:v>25282</x:v>
      </x:c>
      <x:c r="B55" s="163" t="n">
        <x:v>25283</x:v>
      </x:c>
      <x:c r="C55" s="170" t="n">
        <x:f>B55-A55</x:f>
        <x:v>1</x:v>
      </x:c>
      <x:c r="D55" s="163" t="n">
        <x:v>25282</x:v>
      </x:c>
      <x:c r="E55" s="147" t="str">
        <x:v>neutral</x:v>
      </x:c>
      <x:c r="F55" s="165" t="n">
        <x:v>1.198443356850245</x:v>
      </x:c>
      <x:c r="G55" s="168" t="n">
        <x:v>0.011024590287799627</x:v>
      </x:c>
      <x:c r="H55" s="172" t="n">
        <x:f>SUM(AX55,BL55,BZ55,CN55,DB55,DP55,ED55,ER55,FF55,FT55)</x:f>
        <x:v>0.011024590287799627</x:v>
      </x:c>
      <x:c r="I55" s="174" t="n">
        <x:f>G55-H55</x:f>
        <x:v>0</x:v>
      </x:c>
      <x:c r="J55" s="171" t="n">
        <x:f>F55*(1+H55)</x:f>
        <x:v>1.2116557038426543</x:v>
      </x:c>
      <x:c r="K55" s="169" t="n">
        <x:v>1.2116557038426543</x:v>
      </x:c>
      <x:c r="L55" s="175" t="n">
        <x:f>K55-J55</x:f>
        <x:v>0</x:v>
      </x:c>
      <x:c r="M55" s="167" t="n">
        <x:v>1.813</x:v>
      </x:c>
      <x:c r="N55" s="167" t="n">
        <x:v>1.833</x:v>
      </x:c>
      <x:c r="O55" s="172" t="n">
        <x:f>IFERROR(N55/M55-1,0)</x:f>
        <x:v>0.01103143960286812</x:v>
      </x:c>
      <x:c r="P55" s="171" t="n">
        <x:f>IFERROR(AD55/AH55,0)</x:f>
        <x:v>1.2942923842872476</x:v>
      </x:c>
      <x:c r="Q55" s="171" t="n">
        <x:f>IFERROR(AE55/AI55,0)</x:f>
        <x:v>1.2942836159977726</x:v>
      </x:c>
      <x:c r="R55" s="172" t="n">
        <x:f>IFERROR((Q55-P55)/(P55+S55),0)</x:f>
        <x:v>-0.000006774581679830367</x:v>
      </x:c>
      <x:c r="S55" s="172" t="n">
        <x:f>IFERROR(AF55/AH55,0)</x:f>
        <x:v>0</x:v>
      </x:c>
      <x:c r="T55" s="172" t="n">
        <x:f>IFERROR(AG55/AI55,0)</x:f>
        <x:v>0</x:v>
      </x:c>
      <x:c r="U55" s="172" t="n">
        <x:f>IFERROR((T55-S55)/(P55+S55),0)</x:f>
        <x:v>0</x:v>
      </x:c>
      <x:c r="V55" s="172" t="n">
        <x:f>R55+U55</x:f>
        <x:v>-0.000006774581679830367</x:v>
      </x:c>
      <x:c r="W55" s="172" t="n">
        <x:f>(1+O55)*(1+V55)-1</x:f>
        <x:v>0.011024590287799674</x:v>
      </x:c>
      <x:c r="X55" s="174" t="n">
        <x:f>G55-W55</x:f>
        <x:v>-4.683753385137379e-17</x:v>
      </x:c>
      <x:c r="Y55" s="172" t="n">
        <x:f>AX55</x:f>
        <x:v>0.011024590287799627</x:v>
      </x:c>
      <x:c r="Z55" s="172" t="str">
        <x:f>BL55</x:f>
      </x:c>
      <x:c r="AA55" s="172" t="n">
        <x:f>SUM(BZ55,CN55,DB55,DP55,ED55,ER55,FF55,FT55)</x:f>
        <x:v>0</x:v>
      </x:c>
      <x:c r="AB55" s="172" t="n">
        <x:f>SUM(Y55:AA55)</x:f>
        <x:v>0.011024590287799627</x:v>
      </x:c>
      <x:c r="AC55" s="174" t="n">
        <x:f>G55-AB55</x:f>
        <x:v>0</x:v>
      </x:c>
      <x:c r="AD55" s="169" t="n">
        <x:v>1.198443356850245</x:v>
      </x:c>
      <x:c r="AE55" s="169" t="n">
        <x:v>1.2116557038426543</x:v>
      </x:c>
      <x:c r="AF55" s="169" t="n">
        <x:v>0</x:v>
      </x:c>
      <x:c r="AG55" s="169" t="n">
        <x:v>0</x:v>
      </x:c>
      <x:c r="AH55" s="171" t="n">
        <x:f>M55/$M$3</x:f>
        <x:v>0.9259448416751788</x:v>
      </x:c>
      <x:c r="AI55" s="171" t="n">
        <x:f>N55/$M$3</x:f>
        <x:v>0.9361593462717058</x:v>
      </x:c>
      <x:c r="AJ55" s="170" t="n">
        <x:f>IF(AK55&lt;&gt;"",1,0)+IF(AY55&lt;&gt;"",1,0)+IF(BM55&lt;&gt;"",1,0)+IF(CA55&lt;&gt;"",1,0)+IF(CO55&lt;&gt;"",1,0)+IF(DC55&lt;&gt;"",1,0)+IF(DQ55&lt;&gt;"",1,0)+IF(EE55&lt;&gt;"",1,0)+IF(ES55&lt;&gt;"",1,0)+IF(FG55&lt;&gt;"",1,0)</x:f>
        <x:v>1</x:v>
      </x:c>
      <x:c r="AK55" s="147" t="str">
        <x:v>Silver replicating holding (LBMA/SLV proxy)</x:v>
      </x:c>
      <x:c r="AL55" s="147" t="str">
        <x:v>Physical-backed proxy</x:v>
      </x:c>
      <x:c r="AM55" s="147" t="str">
        <x:v>Long</x:v>
      </x:c>
      <x:c r="AN55" s="167" t="n">
        <x:v>1.813</x:v>
      </x:c>
      <x:c r="AO55" s="167" t="n">
        <x:v>1.833</x:v>
      </x:c>
      <x:c r="AP55" s="166" t="n">
        <x:v>1</x:v>
      </x:c>
      <x:c r="AQ55" s="171" t="n">
        <x:f>IF(AK55="","",IFERROR(F55*AP55/AN55,0))</x:f>
        <x:v>0.6610277754276035</x:v>
      </x:c>
      <x:c r="AR55" s="171" t="n">
        <x:f>IF(AK55="","",F55*ABS(AP55))</x:f>
        <x:v>1.198443356850245</x:v>
      </x:c>
      <x:c r="AS55" s="165"/>
      <x:c r="AT55" s="172" t="str">
        <x:f>IF(AK55="","",IF(AS55="","",IFERROR(AN55/AS55-1,0)))</x:f>
      </x:c>
      <x:c r="AU55" s="166"/>
      <x:c r="AV55" s="172" t="str">
        <x:f>IF(AK55="","",IF(AU55="","",AU55-AT55*365/AW55))</x:f>
      </x:c>
      <x:c r="AW55" s="164"/>
      <x:c r="AX55" s="173" t="n">
        <x:f>IF(AK55="","",IFERROR(AP55*(AO55/AN55-1-'Parameters'!$C$6*C55/365),0))</x:f>
        <x:v>0.011024590287799627</x:v>
      </x:c>
      <x:c r="AY55" s="147"/>
      <x:c r="AZ55" s="147"/>
      <x:c r="BA55" s="147"/>
      <x:c r="BB55" s="167"/>
      <x:c r="BC55" s="167"/>
      <x:c r="BD55" s="166"/>
      <x:c r="BE55" s="171" t="str">
        <x:f>IF(AY55="","",IFERROR(F55*BD55/BB55,0))</x:f>
      </x:c>
      <x:c r="BF55" s="171" t="str">
        <x:f>IF(AY55="","",F55*ABS(BD55))</x:f>
      </x:c>
      <x:c r="BG55" s="165"/>
      <x:c r="BH55" s="172" t="str">
        <x:f>IF(AY55="","",IF(BG55="","",IFERROR(BB55/BG55-1,0)))</x:f>
      </x:c>
      <x:c r="BI55" s="166"/>
      <x:c r="BJ55" s="172" t="str">
        <x:f>IF(AY55="","",IF(BI55="","",BI55-BH55*365/BK55))</x:f>
      </x:c>
      <x:c r="BK55" s="164"/>
      <x:c r="BL55" s="172" t="str">
        <x:f>IF(AY55="","",IFERROR(BD55*(BC55/BB55-1),0))</x:f>
      </x:c>
      <x:c r="BM55" s="147"/>
      <x:c r="BN55" s="147"/>
      <x:c r="BO55" s="147"/>
      <x:c r="BP55" s="167"/>
      <x:c r="BQ55" s="167"/>
      <x:c r="BR55" s="166"/>
      <x:c r="BS55" s="171" t="str">
        <x:f>IF(BM55="","",IFERROR(F55*BR55/BP55,0))</x:f>
      </x:c>
      <x:c r="BT55" s="171" t="str">
        <x:f>IF(BM55="","",F55*ABS(BR55))</x:f>
      </x:c>
      <x:c r="BU55" s="165"/>
      <x:c r="BV55" s="172" t="str">
        <x:f>IF(BM55="","",IF(BU55="","",IFERROR(BP55/BU55-1,0)))</x:f>
      </x:c>
      <x:c r="BW55" s="166"/>
      <x:c r="BX55" s="172" t="str">
        <x:f>IF(BM55="","",IF(BW55="","",BW55-BV55*365/BY55))</x:f>
      </x:c>
      <x:c r="BY55" s="164"/>
      <x:c r="BZ55" s="172" t="str">
        <x:f>IF(BM55="","",IFERROR(BR55*(BQ55/BP55-1),0))</x:f>
      </x:c>
      <x:c r="CA55" s="147"/>
      <x:c r="CB55" s="147"/>
      <x:c r="CC55" s="147"/>
      <x:c r="CD55" s="167"/>
      <x:c r="CE55" s="167"/>
      <x:c r="CF55" s="166"/>
      <x:c r="CG55" s="171" t="str">
        <x:f>IF(CA55="","",IFERROR(F55*CF55/CD55,0))</x:f>
      </x:c>
      <x:c r="CH55" s="171" t="str">
        <x:f>IF(CA55="","",F55*ABS(CF55))</x:f>
      </x:c>
      <x:c r="CI55" s="165"/>
      <x:c r="CJ55" s="172" t="str">
        <x:f>IF(CA55="","",IF(CI55="","",IFERROR(CD55/CI55-1,0)))</x:f>
      </x:c>
      <x:c r="CK55" s="166"/>
      <x:c r="CL55" s="172" t="str">
        <x:f>IF(CA55="","",IF(CK55="","",CK55-CJ55*365/CM55))</x:f>
      </x:c>
      <x:c r="CM55" s="164"/>
      <x:c r="CN55" s="172" t="str">
        <x:f>IF(CA55="","",IFERROR(CF55*(CE55/CD55-1),0))</x:f>
      </x:c>
      <x:c r="CO55" s="147"/>
      <x:c r="CP55" s="147"/>
      <x:c r="CQ55" s="147"/>
      <x:c r="CR55" s="167"/>
      <x:c r="CS55" s="167"/>
      <x:c r="CT55" s="166"/>
      <x:c r="CU55" s="171" t="str">
        <x:f>IF(CO55="","",IFERROR(F55*CT55/CR55,0))</x:f>
      </x:c>
      <x:c r="CV55" s="171" t="str">
        <x:f>IF(CO55="","",F55*ABS(CT55))</x:f>
      </x:c>
      <x:c r="CW55" s="165"/>
      <x:c r="CX55" s="172" t="str">
        <x:f>IF(CO55="","",IF(CW55="","",IFERROR(CR55/CW55-1,0)))</x:f>
      </x:c>
      <x:c r="CY55" s="166"/>
      <x:c r="CZ55" s="172" t="str">
        <x:f>IF(CO55="","",IF(CY55="","",CY55-CX55*365/DA55))</x:f>
      </x:c>
      <x:c r="DA55" s="164"/>
      <x:c r="DB55" s="172" t="str">
        <x:f>IF(CO55="","",IFERROR(CT55*(CS55/CR55-1),0))</x:f>
      </x:c>
      <x:c r="DC55" s="147"/>
      <x:c r="DD55" s="147"/>
      <x:c r="DE55" s="147"/>
      <x:c r="DF55" s="167"/>
      <x:c r="DG55" s="167"/>
      <x:c r="DH55" s="166"/>
      <x:c r="DI55" s="171" t="str">
        <x:f>IF(DC55="","",IFERROR(F55*DH55/DF55,0))</x:f>
      </x:c>
      <x:c r="DJ55" s="171" t="str">
        <x:f>IF(DC55="","",F55*ABS(DH55))</x:f>
      </x:c>
      <x:c r="DK55" s="165"/>
      <x:c r="DL55" s="172" t="str">
        <x:f>IF(DC55="","",IF(DK55="","",IFERROR(DF55/DK55-1,0)))</x:f>
      </x:c>
      <x:c r="DM55" s="166"/>
      <x:c r="DN55" s="172" t="str">
        <x:f>IF(DC55="","",IF(DM55="","",DM55-DL55*365/DO55))</x:f>
      </x:c>
      <x:c r="DO55" s="164"/>
      <x:c r="DP55" s="172" t="str">
        <x:f>IF(DC55="","",IFERROR(DH55*(DG55/DF55-1),0))</x:f>
      </x:c>
      <x:c r="DQ55" s="147"/>
      <x:c r="DR55" s="147"/>
      <x:c r="DS55" s="147"/>
      <x:c r="DT55" s="167"/>
      <x:c r="DU55" s="167"/>
      <x:c r="DV55" s="166"/>
      <x:c r="DW55" s="171" t="str">
        <x:f>IF(DQ55="","",IFERROR(F55*DV55/DT55,0))</x:f>
      </x:c>
      <x:c r="DX55" s="171" t="str">
        <x:f>IF(DQ55="","",F55*ABS(DV55))</x:f>
      </x:c>
      <x:c r="DY55" s="165"/>
      <x:c r="DZ55" s="172" t="str">
        <x:f>IF(DQ55="","",IF(DY55="","",IFERROR(DT55/DY55-1,0)))</x:f>
      </x:c>
      <x:c r="EA55" s="166"/>
      <x:c r="EB55" s="172" t="str">
        <x:f>IF(DQ55="","",IF(EA55="","",EA55-DZ55*365/EC55))</x:f>
      </x:c>
      <x:c r="EC55" s="164"/>
      <x:c r="ED55" s="172" t="str">
        <x:f>IF(DQ55="","",IFERROR(DV55*(DU55/DT55-1),0))</x:f>
      </x:c>
      <x:c r="EE55" s="147"/>
      <x:c r="EF55" s="147"/>
      <x:c r="EG55" s="147"/>
      <x:c r="EH55" s="167"/>
      <x:c r="EI55" s="167"/>
      <x:c r="EJ55" s="166"/>
      <x:c r="EK55" s="171" t="str">
        <x:f>IF(EE55="","",IFERROR(F55*EJ55/EH55,0))</x:f>
      </x:c>
      <x:c r="EL55" s="171" t="str">
        <x:f>IF(EE55="","",F55*ABS(EJ55))</x:f>
      </x:c>
      <x:c r="EM55" s="165"/>
      <x:c r="EN55" s="172" t="str">
        <x:f>IF(EE55="","",IF(EM55="","",IFERROR(EH55/EM55-1,0)))</x:f>
      </x:c>
      <x:c r="EO55" s="166"/>
      <x:c r="EP55" s="172" t="str">
        <x:f>IF(EE55="","",IF(EO55="","",EO55-EN55*365/EQ55))</x:f>
      </x:c>
      <x:c r="EQ55" s="164"/>
      <x:c r="ER55" s="172" t="str">
        <x:f>IF(EE55="","",IFERROR(EJ55*(EI55/EH55-1),0))</x:f>
      </x:c>
      <x:c r="ES55" s="147"/>
      <x:c r="ET55" s="147"/>
      <x:c r="EU55" s="147"/>
      <x:c r="EV55" s="167"/>
      <x:c r="EW55" s="167"/>
      <x:c r="EX55" s="166"/>
      <x:c r="EY55" s="171" t="str">
        <x:f>IF(ES55="","",IFERROR(F55*EX55/EV55,0))</x:f>
      </x:c>
      <x:c r="EZ55" s="171" t="str">
        <x:f>IF(ES55="","",F55*ABS(EX55))</x:f>
      </x:c>
      <x:c r="FA55" s="165"/>
      <x:c r="FB55" s="172" t="str">
        <x:f>IF(ES55="","",IF(FA55="","",IFERROR(EV55/FA55-1,0)))</x:f>
      </x:c>
      <x:c r="FC55" s="166"/>
      <x:c r="FD55" s="172" t="str">
        <x:f>IF(ES55="","",IF(FC55="","",FC55-FB55*365/FE55))</x:f>
      </x:c>
      <x:c r="FE55" s="164"/>
      <x:c r="FF55" s="172" t="str">
        <x:f>IF(ES55="","",IFERROR(EX55*(EW55/EV55-1),0))</x:f>
      </x:c>
      <x:c r="FG55" s="147"/>
      <x:c r="FH55" s="147"/>
      <x:c r="FI55" s="147"/>
      <x:c r="FJ55" s="167"/>
      <x:c r="FK55" s="167"/>
      <x:c r="FL55" s="166"/>
      <x:c r="FM55" s="171" t="str">
        <x:f>IF(FG55="","",IFERROR(F55*FL55/FJ55,0))</x:f>
      </x:c>
      <x:c r="FN55" s="171" t="str">
        <x:f>IF(FG55="","",F55*ABS(FL55))</x:f>
      </x:c>
      <x:c r="FO55" s="165"/>
      <x:c r="FP55" s="172" t="str">
        <x:f>IF(FG55="","",IF(FO55="","",IFERROR(FJ55/FO55-1,0)))</x:f>
      </x:c>
      <x:c r="FQ55" s="166"/>
      <x:c r="FR55" s="172" t="str">
        <x:f>IF(FG55="","",IF(FQ55="","",FQ55-FP55*365/FS55))</x:f>
      </x:c>
      <x:c r="FS55" s="164"/>
      <x:c r="FT55" s="172" t="str">
        <x:f>IF(FG55="","",IFERROR(FL55*(FK55/FJ55-1),0))</x:f>
      </x:c>
    </x:row>
    <x:row r="56" ht="18" customHeight="1">
      <x:c r="A56" s="163" t="n">
        <x:v>25283</x:v>
      </x:c>
      <x:c r="B56" s="163" t="n">
        <x:v>25286</x:v>
      </x:c>
      <x:c r="C56" s="170" t="n">
        <x:f>B56-A56</x:f>
        <x:v>3</x:v>
      </x:c>
      <x:c r="D56" s="163" t="n">
        <x:v>25283</x:v>
      </x:c>
      <x:c r="E56" s="147" t="str">
        <x:v>positive</x:v>
      </x:c>
      <x:c r="F56" s="165" t="n">
        <x:v>1.2116557038426543</x:v>
      </x:c>
      <x:c r="G56" s="168" t="n">
        <x:v>0.006204634753119233</x:v>
      </x:c>
      <x:c r="H56" s="172" t="n">
        <x:f>SUM(AX56,BL56,BZ56,CN56,DB56,DP56,ED56,ER56,FF56,FT56)</x:f>
        <x:v>0.006204634753119242</x:v>
      </x:c>
      <x:c r="I56" s="174" t="n">
        <x:f>G56-H56</x:f>
        <x:v>-8.673617379884035e-18</x:v>
      </x:c>
      <x:c r="J56" s="171" t="n">
        <x:f>F56*(1+H56)</x:f>
        <x:v>1.2191735849315317</x:v>
      </x:c>
      <x:c r="K56" s="169" t="n">
        <x:v>1.2191735849315317</x:v>
      </x:c>
      <x:c r="L56" s="175" t="n">
        <x:f>K56-J56</x:f>
        <x:v>0</x:v>
      </x:c>
      <x:c r="M56" s="167" t="n">
        <x:v>1.833</x:v>
      </x:c>
      <x:c r="N56" s="167" t="n">
        <x:v>1.846</x:v>
      </x:c>
      <x:c r="O56" s="172" t="n">
        <x:f>IFERROR(N56/M56-1,0)</x:f>
        <x:v>0.007092198581560405</x:v>
      </x:c>
      <x:c r="P56" s="171" t="n">
        <x:f>IFERROR(AD56/AH56,0)</x:f>
        <x:v>1.2942836159977726</x:v>
      </x:c>
      <x:c r="Q56" s="171" t="n">
        <x:f>IFERROR(AE56/AI56,0)</x:f>
        <x:v>1.2931429465308444</x:v>
      </x:c>
      <x:c r="R56" s="172" t="n">
        <x:f>IFERROR((Q56-P56)/(P56+S56),0)</x:f>
        <x:v>-0.0008813133789450827</x:v>
      </x:c>
      <x:c r="S56" s="172" t="n">
        <x:f>IFERROR(AF56/AH56,0)</x:f>
        <x:v>0</x:v>
      </x:c>
      <x:c r="T56" s="172" t="n">
        <x:f>IFERROR(AG56/AI56,0)</x:f>
        <x:v>0</x:v>
      </x:c>
      <x:c r="U56" s="172" t="n">
        <x:f>IFERROR((T56-S56)/(P56+S56),0)</x:f>
        <x:v>0</x:v>
      </x:c>
      <x:c r="V56" s="172" t="n">
        <x:f>R56+U56</x:f>
        <x:v>-0.0008813133789450827</x:v>
      </x:c>
      <x:c r="W56" s="172" t="n">
        <x:f>(1+O56)*(1+V56)-1</x:f>
        <x:v>0.006204634753119276</x:v>
      </x:c>
      <x:c r="X56" s="174" t="n">
        <x:f>G56-W56</x:f>
        <x:v>-4.2500725161431774e-17</x:v>
      </x:c>
      <x:c r="Y56" s="172" t="n">
        <x:f>AX56</x:f>
        <x:v>0.006056558506406238</x:v>
      </x:c>
      <x:c r="Z56" s="172" t="n">
        <x:f>BL56</x:f>
        <x:v>0.00007031683485636593</x:v>
      </x:c>
      <x:c r="AA56" s="172" t="n">
        <x:f>SUM(BZ56,CN56,DB56,DP56,ED56,ER56,FF56,FT56)</x:f>
        <x:v>0.0000777594118566372</x:v>
      </x:c>
      <x:c r="AB56" s="172" t="n">
        <x:f>SUM(Y56:AA56)</x:f>
        <x:v>0.006204634753119242</x:v>
      </x:c>
      <x:c r="AC56" s="174" t="n">
        <x:f>G56-AB56</x:f>
        <x:v>-8.673617379884035e-18</x:v>
      </x:c>
      <x:c r="AD56" s="169" t="n">
        <x:v>1.2116557038426543</x:v>
      </x:c>
      <x:c r="AE56" s="169" t="n">
        <x:v>1.2191735849315315</x:v>
      </x:c>
      <x:c r="AF56" s="169" t="n">
        <x:v>0</x:v>
      </x:c>
      <x:c r="AG56" s="169" t="n">
        <x:v>0</x:v>
      </x:c>
      <x:c r="AH56" s="171" t="n">
        <x:f>M56/$M$3</x:f>
        <x:v>0.9361593462717058</x:v>
      </x:c>
      <x:c r="AI56" s="171" t="n">
        <x:f>N56/$M$3</x:f>
        <x:v>0.9427987742594485</x:v>
      </x:c>
      <x:c r="AJ56" s="170" t="n">
        <x:f>IF(AK56&lt;&gt;"",1,0)+IF(AY56&lt;&gt;"",1,0)+IF(BM56&lt;&gt;"",1,0)+IF(CA56&lt;&gt;"",1,0)+IF(CO56&lt;&gt;"",1,0)+IF(DC56&lt;&gt;"",1,0)+IF(DQ56&lt;&gt;"",1,0)+IF(EE56&lt;&gt;"",1,0)+IF(ES56&lt;&gt;"",1,0)+IF(FG56&lt;&gt;"",1,0)</x:f>
        <x:v>3</x:v>
      </x:c>
      <x:c r="AK56" s="147" t="str">
        <x:v>Silver replicating holding (LBMA/SLV proxy)</x:v>
      </x:c>
      <x:c r="AL56" s="147" t="str">
        <x:v>Physical-backed proxy</x:v>
      </x:c>
      <x:c r="AM56" s="147" t="str">
        <x:v>Long</x:v>
      </x:c>
      <x:c r="AN56" s="167" t="n">
        <x:v>1.833</x:v>
      </x:c>
      <x:c r="AO56" s="167" t="n">
        <x:v>1.846</x:v>
      </x:c>
      <x:c r="AP56" s="166" t="n">
        <x:v>0.8564561257126928</x:v>
      </x:c>
      <x:c r="AQ56" s="171" t="n">
        <x:f>IF(AK56="","",IFERROR(F56*AP56/AN56,0))</x:f>
        <x:v>0.5661374521608106</x:v>
      </x:c>
      <x:c r="AR56" s="171" t="n">
        <x:f>IF(AK56="","",F56*ABS(AP56))</x:f>
        <x:v>1.0377299498107657</x:v>
      </x:c>
      <x:c r="AS56" s="165"/>
      <x:c r="AT56" s="172" t="str">
        <x:f>IF(AK56="","",IF(AS56="","",IFERROR(AN56/AS56-1,0)))</x:f>
      </x:c>
      <x:c r="AU56" s="166"/>
      <x:c r="AV56" s="172" t="str">
        <x:f>IF(AK56="","",IF(AU56="","",AU56-AT56*365/AW56))</x:f>
      </x:c>
      <x:c r="AW56" s="164"/>
      <x:c r="AX56" s="173" t="n">
        <x:f>IF(AK56="","",IFERROR(AP56*(AO56/AN56-1-'Parameters'!$C$6*C56/365),0))</x:f>
        <x:v>0.006056558506406238</x:v>
      </x:c>
      <x:c r="AY56" s="147" t="str">
        <x:v>Matched-maturity Treasury collateral</x:v>
      </x:c>
      <x:c r="AZ56" s="147" t="str">
        <x:v>Treasury</x:v>
      </x:c>
      <x:c r="BA56" s="147" t="str">
        <x:v>Long</x:v>
      </x:c>
      <x:c r="BB56" s="167" t="n">
        <x:v>101.31411914567833</x:v>
      </x:c>
      <x:c r="BC56" s="167" t="n">
        <x:v>101.36374918541327</x:v>
      </x:c>
      <x:c r="BD56" s="166" t="n">
        <x:v>0.1435438742873072</x:v>
      </x:c>
      <x:c r="BE56" s="171" t="n">
        <x:f>IF(AY56="","",IFERROR(F56*BD56/BB56,0))</x:f>
        <x:v>0.0017166980821478885</x:v>
      </x:c>
      <x:c r="BF56" s="171" t="n">
        <x:f>IF(AY56="","",F56*ABS(BD56))</x:f>
        <x:v>0.17392575403188867</x:v>
      </x:c>
      <x:c r="BG56" s="165"/>
      <x:c r="BH56" s="172" t="str">
        <x:f>IF(AY56="","",IF(BG56="","",IFERROR(BB56/BG56-1,0)))</x:f>
      </x:c>
      <x:c r="BI56" s="166"/>
      <x:c r="BJ56" s="172" t="str">
        <x:f>IF(AY56="","",IF(BI56="","",BI56-BH56*365/BK56))</x:f>
      </x:c>
      <x:c r="BK56" s="164" t="n">
        <x:v>68</x:v>
      </x:c>
      <x:c r="BL56" s="172" t="n">
        <x:f>IF(AY56="","",IFERROR(BD56*(BC56/BB56-1),0))</x:f>
        <x:v>0.00007031683485636593</x:v>
      </x:c>
      <x:c r="BM56" s="147" t="str">
        <x:v>SI69K</x:v>
      </x:c>
      <x:c r="BN56" s="147" t="str">
        <x:v>Silver future (regular)</x:v>
      </x:c>
      <x:c r="BO56" s="147" t="str">
        <x:v>Long</x:v>
      </x:c>
      <x:c r="BP56" s="167" t="n">
        <x:v>1.8459999999999999</x:v>
      </x:c>
      <x:c r="BQ56" s="167" t="n">
        <x:v>1.847</x:v>
      </x:c>
      <x:c r="BR56" s="166" t="n">
        <x:v>0.1435438742873072</x:v>
      </x:c>
      <x:c r="BS56" s="171" t="n">
        <x:f>IF(BM56="","",IFERROR(F56*BR56/BP56,0))</x:f>
        <x:v>0.094217634903515</x:v>
      </x:c>
      <x:c r="BT56" s="171" t="n">
        <x:f>IF(BM56="","",F56*ABS(BR56))</x:f>
        <x:v>0.17392575403188867</x:v>
      </x:c>
      <x:c r="BU56" s="165" t="n">
        <x:v>1.833</x:v>
      </x:c>
      <x:c r="BV56" s="172" t="n">
        <x:f>IF(BM56="","",IF(BU56="","",IFERROR(BP56/BU56-1,0)))</x:f>
        <x:v>0.007092198581560183</x:v>
      </x:c>
      <x:c r="BW56" s="166" t="n">
        <x:v>0.0596</x:v>
      </x:c>
      <x:c r="BX56" s="172" t="n">
        <x:f>IF(BM56="","",IF(BW56="","",BW56-BV56*365/BY56))</x:f>
        <x:v>0.021531581143096078</x:v>
      </x:c>
      <x:c r="BY56" s="164" t="n">
        <x:v>68</x:v>
      </x:c>
      <x:c r="BZ56" s="172" t="n">
        <x:f>IF(BM56="","",IFERROR(BR56*(BQ56/BP56-1),0))</x:f>
        <x:v>0.0000777594118566372</x:v>
      </x:c>
      <x:c r="CA56" s="147"/>
      <x:c r="CB56" s="147"/>
      <x:c r="CC56" s="147"/>
      <x:c r="CD56" s="167"/>
      <x:c r="CE56" s="167"/>
      <x:c r="CF56" s="166"/>
      <x:c r="CG56" s="171" t="str">
        <x:f>IF(CA56="","",IFERROR(F56*CF56/CD56,0))</x:f>
      </x:c>
      <x:c r="CH56" s="171" t="str">
        <x:f>IF(CA56="","",F56*ABS(CF56))</x:f>
      </x:c>
      <x:c r="CI56" s="165"/>
      <x:c r="CJ56" s="172" t="str">
        <x:f>IF(CA56="","",IF(CI56="","",IFERROR(CD56/CI56-1,0)))</x:f>
      </x:c>
      <x:c r="CK56" s="166"/>
      <x:c r="CL56" s="172" t="str">
        <x:f>IF(CA56="","",IF(CK56="","",CK56-CJ56*365/CM56))</x:f>
      </x:c>
      <x:c r="CM56" s="164"/>
      <x:c r="CN56" s="172" t="str">
        <x:f>IF(CA56="","",IFERROR(CF56*(CE56/CD56-1),0))</x:f>
      </x:c>
      <x:c r="CO56" s="147"/>
      <x:c r="CP56" s="147"/>
      <x:c r="CQ56" s="147"/>
      <x:c r="CR56" s="167"/>
      <x:c r="CS56" s="167"/>
      <x:c r="CT56" s="166"/>
      <x:c r="CU56" s="171" t="str">
        <x:f>IF(CO56="","",IFERROR(F56*CT56/CR56,0))</x:f>
      </x:c>
      <x:c r="CV56" s="171" t="str">
        <x:f>IF(CO56="","",F56*ABS(CT56))</x:f>
      </x:c>
      <x:c r="CW56" s="165"/>
      <x:c r="CX56" s="172" t="str">
        <x:f>IF(CO56="","",IF(CW56="","",IFERROR(CR56/CW56-1,0)))</x:f>
      </x:c>
      <x:c r="CY56" s="166"/>
      <x:c r="CZ56" s="172" t="str">
        <x:f>IF(CO56="","",IF(CY56="","",CY56-CX56*365/DA56))</x:f>
      </x:c>
      <x:c r="DA56" s="164"/>
      <x:c r="DB56" s="172" t="str">
        <x:f>IF(CO56="","",IFERROR(CT56*(CS56/CR56-1),0))</x:f>
      </x:c>
      <x:c r="DC56" s="147"/>
      <x:c r="DD56" s="147"/>
      <x:c r="DE56" s="147"/>
      <x:c r="DF56" s="167"/>
      <x:c r="DG56" s="167"/>
      <x:c r="DH56" s="166"/>
      <x:c r="DI56" s="171" t="str">
        <x:f>IF(DC56="","",IFERROR(F56*DH56/DF56,0))</x:f>
      </x:c>
      <x:c r="DJ56" s="171" t="str">
        <x:f>IF(DC56="","",F56*ABS(DH56))</x:f>
      </x:c>
      <x:c r="DK56" s="165"/>
      <x:c r="DL56" s="172" t="str">
        <x:f>IF(DC56="","",IF(DK56="","",IFERROR(DF56/DK56-1,0)))</x:f>
      </x:c>
      <x:c r="DM56" s="166"/>
      <x:c r="DN56" s="172" t="str">
        <x:f>IF(DC56="","",IF(DM56="","",DM56-DL56*365/DO56))</x:f>
      </x:c>
      <x:c r="DO56" s="164"/>
      <x:c r="DP56" s="172" t="str">
        <x:f>IF(DC56="","",IFERROR(DH56*(DG56/DF56-1),0))</x:f>
      </x:c>
      <x:c r="DQ56" s="147"/>
      <x:c r="DR56" s="147"/>
      <x:c r="DS56" s="147"/>
      <x:c r="DT56" s="167"/>
      <x:c r="DU56" s="167"/>
      <x:c r="DV56" s="166"/>
      <x:c r="DW56" s="171" t="str">
        <x:f>IF(DQ56="","",IFERROR(F56*DV56/DT56,0))</x:f>
      </x:c>
      <x:c r="DX56" s="171" t="str">
        <x:f>IF(DQ56="","",F56*ABS(DV56))</x:f>
      </x:c>
      <x:c r="DY56" s="165"/>
      <x:c r="DZ56" s="172" t="str">
        <x:f>IF(DQ56="","",IF(DY56="","",IFERROR(DT56/DY56-1,0)))</x:f>
      </x:c>
      <x:c r="EA56" s="166"/>
      <x:c r="EB56" s="172" t="str">
        <x:f>IF(DQ56="","",IF(EA56="","",EA56-DZ56*365/EC56))</x:f>
      </x:c>
      <x:c r="EC56" s="164"/>
      <x:c r="ED56" s="172" t="str">
        <x:f>IF(DQ56="","",IFERROR(DV56*(DU56/DT56-1),0))</x:f>
      </x:c>
      <x:c r="EE56" s="147"/>
      <x:c r="EF56" s="147"/>
      <x:c r="EG56" s="147"/>
      <x:c r="EH56" s="167"/>
      <x:c r="EI56" s="167"/>
      <x:c r="EJ56" s="166"/>
      <x:c r="EK56" s="171" t="str">
        <x:f>IF(EE56="","",IFERROR(F56*EJ56/EH56,0))</x:f>
      </x:c>
      <x:c r="EL56" s="171" t="str">
        <x:f>IF(EE56="","",F56*ABS(EJ56))</x:f>
      </x:c>
      <x:c r="EM56" s="165"/>
      <x:c r="EN56" s="172" t="str">
        <x:f>IF(EE56="","",IF(EM56="","",IFERROR(EH56/EM56-1,0)))</x:f>
      </x:c>
      <x:c r="EO56" s="166"/>
      <x:c r="EP56" s="172" t="str">
        <x:f>IF(EE56="","",IF(EO56="","",EO56-EN56*365/EQ56))</x:f>
      </x:c>
      <x:c r="EQ56" s="164"/>
      <x:c r="ER56" s="172" t="str">
        <x:f>IF(EE56="","",IFERROR(EJ56*(EI56/EH56-1),0))</x:f>
      </x:c>
      <x:c r="ES56" s="147"/>
      <x:c r="ET56" s="147"/>
      <x:c r="EU56" s="147"/>
      <x:c r="EV56" s="167"/>
      <x:c r="EW56" s="167"/>
      <x:c r="EX56" s="166"/>
      <x:c r="EY56" s="171" t="str">
        <x:f>IF(ES56="","",IFERROR(F56*EX56/EV56,0))</x:f>
      </x:c>
      <x:c r="EZ56" s="171" t="str">
        <x:f>IF(ES56="","",F56*ABS(EX56))</x:f>
      </x:c>
      <x:c r="FA56" s="165"/>
      <x:c r="FB56" s="172" t="str">
        <x:f>IF(ES56="","",IF(FA56="","",IFERROR(EV56/FA56-1,0)))</x:f>
      </x:c>
      <x:c r="FC56" s="166"/>
      <x:c r="FD56" s="172" t="str">
        <x:f>IF(ES56="","",IF(FC56="","",FC56-FB56*365/FE56))</x:f>
      </x:c>
      <x:c r="FE56" s="164"/>
      <x:c r="FF56" s="172" t="str">
        <x:f>IF(ES56="","",IFERROR(EX56*(EW56/EV56-1),0))</x:f>
      </x:c>
      <x:c r="FG56" s="147"/>
      <x:c r="FH56" s="147"/>
      <x:c r="FI56" s="147"/>
      <x:c r="FJ56" s="167"/>
      <x:c r="FK56" s="167"/>
      <x:c r="FL56" s="166"/>
      <x:c r="FM56" s="171" t="str">
        <x:f>IF(FG56="","",IFERROR(F56*FL56/FJ56,0))</x:f>
      </x:c>
      <x:c r="FN56" s="171" t="str">
        <x:f>IF(FG56="","",F56*ABS(FL56))</x:f>
      </x:c>
      <x:c r="FO56" s="165"/>
      <x:c r="FP56" s="172" t="str">
        <x:f>IF(FG56="","",IF(FO56="","",IFERROR(FJ56/FO56-1,0)))</x:f>
      </x:c>
      <x:c r="FQ56" s="166"/>
      <x:c r="FR56" s="172" t="str">
        <x:f>IF(FG56="","",IF(FQ56="","",FQ56-FP56*365/FS56))</x:f>
      </x:c>
      <x:c r="FS56" s="164"/>
      <x:c r="FT56" s="172" t="str">
        <x:f>IF(FG56="","",IFERROR(FL56*(FK56/FJ56-1),0))</x:f>
      </x:c>
    </x:row>
    <x:row r="57" ht="18" customHeight="1">
      <x:c r="A57" s="163" t="n">
        <x:v>25286</x:v>
      </x:c>
      <x:c r="B57" s="163" t="n">
        <x:v>25287</x:v>
      </x:c>
      <x:c r="C57" s="170" t="n">
        <x:f>B57-A57</x:f>
        <x:v>1</x:v>
      </x:c>
      <x:c r="D57" s="163" t="n">
        <x:v>25286</x:v>
      </x:c>
      <x:c r="E57" s="147" t="str">
        <x:v>positive</x:v>
      </x:c>
      <x:c r="F57" s="165" t="n">
        <x:v>1.2191735849315317</x:v>
      </x:c>
      <x:c r="G57" s="168" t="n">
        <x:v>-0.012180010344685466</x:v>
      </x:c>
      <x:c r="H57" s="172" t="n">
        <x:f>SUM(AX57,BL57,BZ57,CN57,DB57,DP57,ED57,ER57,FF57,FT57)</x:f>
        <x:v>-0.012180010344685428</x:v>
      </x:c>
      <x:c r="I57" s="174" t="n">
        <x:f>G57-H57</x:f>
        <x:v>-3.8163916471489756e-17</x:v>
      </x:c>
      <x:c r="J57" s="171" t="n">
        <x:f>F57*(1+H57)</x:f>
        <x:v>1.2043240380550984</x:v>
      </x:c>
      <x:c r="K57" s="169" t="n">
        <x:v>1.2043240380550984</x:v>
      </x:c>
      <x:c r="L57" s="175" t="n">
        <x:f>K57-J57</x:f>
        <x:v>0</x:v>
      </x:c>
      <x:c r="M57" s="167" t="n">
        <x:v>1.846</x:v>
      </x:c>
      <x:c r="N57" s="167" t="n">
        <x:v>1.832</x:v>
      </x:c>
      <x:c r="O57" s="172" t="n">
        <x:f>IFERROR(N57/M57-1,0)</x:f>
        <x:v>-0.007583965330444253</x:v>
      </x:c>
      <x:c r="P57" s="171" t="n">
        <x:f>IFERROR(AD57/AH57,0)</x:f>
        <x:v>1.2931429465308444</x:v>
      </x:c>
      <x:c r="Q57" s="171" t="n">
        <x:f>IFERROR(AE57/AI57,0)</x:f>
        <x:v>1.287154184777228</x:v>
      </x:c>
      <x:c r="R57" s="172" t="n">
        <x:f>IFERROR((Q57-P57)/(P57+S57),0)</x:f>
        <x:v>-0.004631167628979094</x:v>
      </x:c>
      <x:c r="S57" s="172" t="n">
        <x:f>IFERROR(AF57/AH57,0)</x:f>
        <x:v>0</x:v>
      </x:c>
      <x:c r="T57" s="172" t="n">
        <x:f>IFERROR(AG57/AI57,0)</x:f>
        <x:v>0</x:v>
      </x:c>
      <x:c r="U57" s="172" t="n">
        <x:f>IFERROR((T57-S57)/(P57+S57),0)</x:f>
        <x:v>0</x:v>
      </x:c>
      <x:c r="V57" s="172" t="n">
        <x:f>R57+U57</x:f>
        <x:v>-0.004631167628979094</x:v>
      </x:c>
      <x:c r="W57" s="172" t="n">
        <x:f>(1+O57)*(1+V57)-1</x:f>
        <x:v>-0.012180010344685632</x:v>
      </x:c>
      <x:c r="X57" s="174" t="n">
        <x:f>G57-W57</x:f>
        <x:v>1.6653345369377348e-16</x:v>
      </x:c>
      <x:c r="Y57" s="172" t="n">
        <x:f>AX57</x:f>
        <x:v>-0.004753971355854774</x:v>
      </x:c>
      <x:c r="Z57" s="172" t="n">
        <x:f>BL57</x:f>
        <x:v>0.000060512009471147566</x:v>
      </x:c>
      <x:c r="AA57" s="172" t="n">
        <x:f>SUM(BZ57,CN57,DB57,DP57,ED57,ER57,FF57,FT57)</x:f>
        <x:v>-0.007486550998301801</x:v>
      </x:c>
      <x:c r="AB57" s="172" t="n">
        <x:f>SUM(Y57:AA57)</x:f>
        <x:v>-0.012180010344685428</x:v>
      </x:c>
      <x:c r="AC57" s="174" t="n">
        <x:f>G57-AB57</x:f>
        <x:v>-3.8163916471489756e-17</x:v>
      </x:c>
      <x:c r="AD57" s="169" t="n">
        <x:v>1.2191735849315315</x:v>
      </x:c>
      <x:c r="AE57" s="169" t="n">
        <x:v>1.2043240380550981</x:v>
      </x:c>
      <x:c r="AF57" s="169" t="n">
        <x:v>0</x:v>
      </x:c>
      <x:c r="AG57" s="169" t="n">
        <x:v>0</x:v>
      </x:c>
      <x:c r="AH57" s="171" t="n">
        <x:f>M57/$M$3</x:f>
        <x:v>0.9427987742594485</x:v>
      </x:c>
      <x:c r="AI57" s="171" t="n">
        <x:f>N57/$M$3</x:f>
        <x:v>0.9356486210418795</x:v>
      </x:c>
      <x:c r="AJ57" s="170" t="n">
        <x:f>IF(AK57&lt;&gt;"",1,0)+IF(AY57&lt;&gt;"",1,0)+IF(BM57&lt;&gt;"",1,0)+IF(CA57&lt;&gt;"",1,0)+IF(CO57&lt;&gt;"",1,0)+IF(DC57&lt;&gt;"",1,0)+IF(DQ57&lt;&gt;"",1,0)+IF(EE57&lt;&gt;"",1,0)+IF(ES57&lt;&gt;"",1,0)+IF(FG57&lt;&gt;"",1,0)</x:f>
        <x:v>3</x:v>
      </x:c>
      <x:c r="AK57" s="147" t="str">
        <x:v>Silver replicating holding (LBMA/SLV proxy)</x:v>
      </x:c>
      <x:c r="AL57" s="147" t="str">
        <x:v>Physical-backed proxy</x:v>
      </x:c>
      <x:c r="AM57" s="147" t="str">
        <x:v>Long</x:v>
      </x:c>
      <x:c r="AN57" s="167" t="n">
        <x:v>1.846</x:v>
      </x:c>
      <x:c r="AO57" s="167" t="n">
        <x:v>1.832</x:v>
      </x:c>
      <x:c r="AP57" s="166" t="n">
        <x:v>0.6262794677334202</x:v>
      </x:c>
      <x:c r="AQ57" s="171" t="n">
        <x:f>IF(AK57="","",IFERROR(F57*AP57/AN57,0))</x:f>
        <x:v>0.41362046795534424</x:v>
      </x:c>
      <x:c r="AR57" s="171" t="n">
        <x:f>IF(AK57="","",F57*ABS(AP57))</x:f>
        <x:v>0.7635433838455655</x:v>
      </x:c>
      <x:c r="AS57" s="165"/>
      <x:c r="AT57" s="172" t="str">
        <x:f>IF(AK57="","",IF(AS57="","",IFERROR(AN57/AS57-1,0)))</x:f>
      </x:c>
      <x:c r="AU57" s="166"/>
      <x:c r="AV57" s="172" t="str">
        <x:f>IF(AK57="","",IF(AU57="","",AU57-AT57*365/AW57))</x:f>
      </x:c>
      <x:c r="AW57" s="164"/>
      <x:c r="AX57" s="173" t="n">
        <x:f>IF(AK57="","",IFERROR(AP57*(AO57/AN57-1-'Parameters'!$C$6*C57/365),0))</x:f>
        <x:v>-0.004753971355854774</x:v>
      </x:c>
      <x:c r="AY57" s="147" t="str">
        <x:v>Matched-maturity Treasury collateral</x:v>
      </x:c>
      <x:c r="AZ57" s="147" t="str">
        <x:v>Treasury</x:v>
      </x:c>
      <x:c r="BA57" s="147" t="str">
        <x:v>Long</x:v>
      </x:c>
      <x:c r="BB57" s="167" t="n">
        <x:v>101.36374918541327</x:v>
      </x:c>
      <x:c r="BC57" s="167" t="n">
        <x:v>101.38016178151426</x:v>
      </x:c>
      <x:c r="BD57" s="166" t="n">
        <x:v>0.37372053226657975</x:v>
      </x:c>
      <x:c r="BE57" s="171" t="n">
        <x:f>IF(AY57="","",IFERROR(F57*BD57/BB57,0))</x:f>
        <x:v>0.004495001464996458</x:v>
      </x:c>
      <x:c r="BF57" s="171" t="n">
        <x:f>IF(AY57="","",F57*ABS(BD57))</x:f>
        <x:v>0.4556302010859662</x:v>
      </x:c>
      <x:c r="BG57" s="165"/>
      <x:c r="BH57" s="172" t="str">
        <x:f>IF(AY57="","",IF(BG57="","",IFERROR(BB57/BG57-1,0)))</x:f>
      </x:c>
      <x:c r="BI57" s="166"/>
      <x:c r="BJ57" s="172" t="str">
        <x:f>IF(AY57="","",IF(BI57="","",BI57-BH57*365/BK57))</x:f>
      </x:c>
      <x:c r="BK57" s="164" t="n">
        <x:v>65</x:v>
      </x:c>
      <x:c r="BL57" s="172" t="n">
        <x:f>IF(AY57="","",IFERROR(BD57*(BC57/BB57-1),0))</x:f>
        <x:v>0.000060512009471147566</x:v>
      </x:c>
      <x:c r="BM57" s="147" t="str">
        <x:v>SI69K</x:v>
      </x:c>
      <x:c r="BN57" s="147" t="str">
        <x:v>Silver future (regular)</x:v>
      </x:c>
      <x:c r="BO57" s="147" t="str">
        <x:v>Long</x:v>
      </x:c>
      <x:c r="BP57" s="167" t="n">
        <x:v>1.847</x:v>
      </x:c>
      <x:c r="BQ57" s="167" t="n">
        <x:v>1.81</x:v>
      </x:c>
      <x:c r="BR57" s="166" t="n">
        <x:v>0.37372053226657975</x:v>
      </x:c>
      <x:c r="BS57" s="171" t="n">
        <x:f>IF(BM57="","",IFERROR(F57*BR57/BP57,0))</x:f>
        <x:v>0.24668662755060433</x:v>
      </x:c>
      <x:c r="BT57" s="171" t="n">
        <x:f>IF(BM57="","",F57*ABS(BR57))</x:f>
        <x:v>0.4556302010859662</x:v>
      </x:c>
      <x:c r="BU57" s="165" t="n">
        <x:v>1.846</x:v>
      </x:c>
      <x:c r="BV57" s="172" t="n">
        <x:f>IF(BM57="","",IF(BU57="","",IFERROR(BP57/BU57-1,0)))</x:f>
        <x:v>0.0005417118093173912</x:v>
      </x:c>
      <x:c r="BW57" s="166" t="n">
        <x:v>0.0591</x:v>
      </x:c>
      <x:c r="BX57" s="172" t="n">
        <x:f>IF(BM57="","",IF(BW57="","",BW57-BV57*365/BY57))</x:f>
        <x:v>0.05605807983998696</x:v>
      </x:c>
      <x:c r="BY57" s="164" t="n">
        <x:v>65</x:v>
      </x:c>
      <x:c r="BZ57" s="172" t="n">
        <x:f>IF(BM57="","",IFERROR(BR57*(BQ57/BP57-1),0))</x:f>
        <x:v>-0.007486550998301801</x:v>
      </x:c>
      <x:c r="CA57" s="147"/>
      <x:c r="CB57" s="147"/>
      <x:c r="CC57" s="147"/>
      <x:c r="CD57" s="167"/>
      <x:c r="CE57" s="167"/>
      <x:c r="CF57" s="166"/>
      <x:c r="CG57" s="171" t="str">
        <x:f>IF(CA57="","",IFERROR(F57*CF57/CD57,0))</x:f>
      </x:c>
      <x:c r="CH57" s="171" t="str">
        <x:f>IF(CA57="","",F57*ABS(CF57))</x:f>
      </x:c>
      <x:c r="CI57" s="165"/>
      <x:c r="CJ57" s="172" t="str">
        <x:f>IF(CA57="","",IF(CI57="","",IFERROR(CD57/CI57-1,0)))</x:f>
      </x:c>
      <x:c r="CK57" s="166"/>
      <x:c r="CL57" s="172" t="str">
        <x:f>IF(CA57="","",IF(CK57="","",CK57-CJ57*365/CM57))</x:f>
      </x:c>
      <x:c r="CM57" s="164"/>
      <x:c r="CN57" s="172" t="str">
        <x:f>IF(CA57="","",IFERROR(CF57*(CE57/CD57-1),0))</x:f>
      </x:c>
      <x:c r="CO57" s="147"/>
      <x:c r="CP57" s="147"/>
      <x:c r="CQ57" s="147"/>
      <x:c r="CR57" s="167"/>
      <x:c r="CS57" s="167"/>
      <x:c r="CT57" s="166"/>
      <x:c r="CU57" s="171" t="str">
        <x:f>IF(CO57="","",IFERROR(F57*CT57/CR57,0))</x:f>
      </x:c>
      <x:c r="CV57" s="171" t="str">
        <x:f>IF(CO57="","",F57*ABS(CT57))</x:f>
      </x:c>
      <x:c r="CW57" s="165"/>
      <x:c r="CX57" s="172" t="str">
        <x:f>IF(CO57="","",IF(CW57="","",IFERROR(CR57/CW57-1,0)))</x:f>
      </x:c>
      <x:c r="CY57" s="166"/>
      <x:c r="CZ57" s="172" t="str">
        <x:f>IF(CO57="","",IF(CY57="","",CY57-CX57*365/DA57))</x:f>
      </x:c>
      <x:c r="DA57" s="164"/>
      <x:c r="DB57" s="172" t="str">
        <x:f>IF(CO57="","",IFERROR(CT57*(CS57/CR57-1),0))</x:f>
      </x:c>
      <x:c r="DC57" s="147"/>
      <x:c r="DD57" s="147"/>
      <x:c r="DE57" s="147"/>
      <x:c r="DF57" s="167"/>
      <x:c r="DG57" s="167"/>
      <x:c r="DH57" s="166"/>
      <x:c r="DI57" s="171" t="str">
        <x:f>IF(DC57="","",IFERROR(F57*DH57/DF57,0))</x:f>
      </x:c>
      <x:c r="DJ57" s="171" t="str">
        <x:f>IF(DC57="","",F57*ABS(DH57))</x:f>
      </x:c>
      <x:c r="DK57" s="165"/>
      <x:c r="DL57" s="172" t="str">
        <x:f>IF(DC57="","",IF(DK57="","",IFERROR(DF57/DK57-1,0)))</x:f>
      </x:c>
      <x:c r="DM57" s="166"/>
      <x:c r="DN57" s="172" t="str">
        <x:f>IF(DC57="","",IF(DM57="","",DM57-DL57*365/DO57))</x:f>
      </x:c>
      <x:c r="DO57" s="164"/>
      <x:c r="DP57" s="172" t="str">
        <x:f>IF(DC57="","",IFERROR(DH57*(DG57/DF57-1),0))</x:f>
      </x:c>
      <x:c r="DQ57" s="147"/>
      <x:c r="DR57" s="147"/>
      <x:c r="DS57" s="147"/>
      <x:c r="DT57" s="167"/>
      <x:c r="DU57" s="167"/>
      <x:c r="DV57" s="166"/>
      <x:c r="DW57" s="171" t="str">
        <x:f>IF(DQ57="","",IFERROR(F57*DV57/DT57,0))</x:f>
      </x:c>
      <x:c r="DX57" s="171" t="str">
        <x:f>IF(DQ57="","",F57*ABS(DV57))</x:f>
      </x:c>
      <x:c r="DY57" s="165"/>
      <x:c r="DZ57" s="172" t="str">
        <x:f>IF(DQ57="","",IF(DY57="","",IFERROR(DT57/DY57-1,0)))</x:f>
      </x:c>
      <x:c r="EA57" s="166"/>
      <x:c r="EB57" s="172" t="str">
        <x:f>IF(DQ57="","",IF(EA57="","",EA57-DZ57*365/EC57))</x:f>
      </x:c>
      <x:c r="EC57" s="164"/>
      <x:c r="ED57" s="172" t="str">
        <x:f>IF(DQ57="","",IFERROR(DV57*(DU57/DT57-1),0))</x:f>
      </x:c>
      <x:c r="EE57" s="147"/>
      <x:c r="EF57" s="147"/>
      <x:c r="EG57" s="147"/>
      <x:c r="EH57" s="167"/>
      <x:c r="EI57" s="167"/>
      <x:c r="EJ57" s="166"/>
      <x:c r="EK57" s="171" t="str">
        <x:f>IF(EE57="","",IFERROR(F57*EJ57/EH57,0))</x:f>
      </x:c>
      <x:c r="EL57" s="171" t="str">
        <x:f>IF(EE57="","",F57*ABS(EJ57))</x:f>
      </x:c>
      <x:c r="EM57" s="165"/>
      <x:c r="EN57" s="172" t="str">
        <x:f>IF(EE57="","",IF(EM57="","",IFERROR(EH57/EM57-1,0)))</x:f>
      </x:c>
      <x:c r="EO57" s="166"/>
      <x:c r="EP57" s="172" t="str">
        <x:f>IF(EE57="","",IF(EO57="","",EO57-EN57*365/EQ57))</x:f>
      </x:c>
      <x:c r="EQ57" s="164"/>
      <x:c r="ER57" s="172" t="str">
        <x:f>IF(EE57="","",IFERROR(EJ57*(EI57/EH57-1),0))</x:f>
      </x:c>
      <x:c r="ES57" s="147"/>
      <x:c r="ET57" s="147"/>
      <x:c r="EU57" s="147"/>
      <x:c r="EV57" s="167"/>
      <x:c r="EW57" s="167"/>
      <x:c r="EX57" s="166"/>
      <x:c r="EY57" s="171" t="str">
        <x:f>IF(ES57="","",IFERROR(F57*EX57/EV57,0))</x:f>
      </x:c>
      <x:c r="EZ57" s="171" t="str">
        <x:f>IF(ES57="","",F57*ABS(EX57))</x:f>
      </x:c>
      <x:c r="FA57" s="165"/>
      <x:c r="FB57" s="172" t="str">
        <x:f>IF(ES57="","",IF(FA57="","",IFERROR(EV57/FA57-1,0)))</x:f>
      </x:c>
      <x:c r="FC57" s="166"/>
      <x:c r="FD57" s="172" t="str">
        <x:f>IF(ES57="","",IF(FC57="","",FC57-FB57*365/FE57))</x:f>
      </x:c>
      <x:c r="FE57" s="164"/>
      <x:c r="FF57" s="172" t="str">
        <x:f>IF(ES57="","",IFERROR(EX57*(EW57/EV57-1),0))</x:f>
      </x:c>
      <x:c r="FG57" s="147"/>
      <x:c r="FH57" s="147"/>
      <x:c r="FI57" s="147"/>
      <x:c r="FJ57" s="167"/>
      <x:c r="FK57" s="167"/>
      <x:c r="FL57" s="166"/>
      <x:c r="FM57" s="171" t="str">
        <x:f>IF(FG57="","",IFERROR(F57*FL57/FJ57,0))</x:f>
      </x:c>
      <x:c r="FN57" s="171" t="str">
        <x:f>IF(FG57="","",F57*ABS(FL57))</x:f>
      </x:c>
      <x:c r="FO57" s="165"/>
      <x:c r="FP57" s="172" t="str">
        <x:f>IF(FG57="","",IF(FO57="","",IFERROR(FJ57/FO57-1,0)))</x:f>
      </x:c>
      <x:c r="FQ57" s="166"/>
      <x:c r="FR57" s="172" t="str">
        <x:f>IF(FG57="","",IF(FQ57="","",FQ57-FP57*365/FS57))</x:f>
      </x:c>
      <x:c r="FS57" s="164"/>
      <x:c r="FT57" s="172" t="str">
        <x:f>IF(FG57="","",IFERROR(FL57*(FK57/FJ57-1),0))</x:f>
      </x:c>
    </x:row>
    <x:row r="58" ht="18" customHeight="1">
      <x:c r="A58" s="163" t="n">
        <x:v>25287</x:v>
      </x:c>
      <x:c r="B58" s="163" t="n">
        <x:v>25288</x:v>
      </x:c>
      <x:c r="C58" s="170" t="n">
        <x:f>B58-A58</x:f>
        <x:v>1</x:v>
      </x:c>
      <x:c r="D58" s="163" t="n">
        <x:v>25287</x:v>
      </x:c>
      <x:c r="E58" s="147" t="str">
        <x:v>positive</x:v>
      </x:c>
      <x:c r="F58" s="165" t="n">
        <x:v>1.2043240380550984</x:v>
      </x:c>
      <x:c r="G58" s="168" t="n">
        <x:v>-0.007421550910548842</x:v>
      </x:c>
      <x:c r="H58" s="172" t="n">
        <x:f>SUM(AX58,BL58,BZ58,CN58,DB58,DP58,ED58,ER58,FF58,FT58)</x:f>
        <x:v>-0.007421550910548868</x:v>
      </x:c>
      <x:c r="I58" s="174" t="n">
        <x:f>G58-H58</x:f>
        <x:v>2.6020852139652106e-17</x:v>
      </x:c>
      <x:c r="J58" s="171" t="n">
        <x:f>F58*(1+H58)</x:f>
        <x:v>1.1953860858938747</x:v>
      </x:c>
      <x:c r="K58" s="169" t="n">
        <x:v>1.1953860858938747</x:v>
      </x:c>
      <x:c r="L58" s="175" t="n">
        <x:f>K58-J58</x:f>
        <x:v>0</x:v>
      </x:c>
      <x:c r="M58" s="167" t="n">
        <x:v>1.832</x:v>
      </x:c>
      <x:c r="N58" s="167" t="n">
        <x:v>1.82</x:v>
      </x:c>
      <x:c r="O58" s="172" t="n">
        <x:f>IFERROR(N58/M58-1,0)</x:f>
        <x:v>-0.0065502183406113135</x:v>
      </x:c>
      <x:c r="P58" s="171" t="n">
        <x:f>IFERROR(AD58/AH58,0)</x:f>
        <x:v>1.287154184777228</x:v>
      </x:c>
      <x:c r="Q58" s="171" t="n">
        <x:f>IFERROR(AE58/AI58,0)</x:f>
        <x:v>1.2860252506484648</x:v>
      </x:c>
      <x:c r="R58" s="172" t="n">
        <x:f>IFERROR((Q58-P58)/(P58+S58),0)</x:f>
        <x:v>-0.000877077619849122</x:v>
      </x:c>
      <x:c r="S58" s="172" t="n">
        <x:f>IFERROR(AF58/AH58,0)</x:f>
        <x:v>0</x:v>
      </x:c>
      <x:c r="T58" s="172" t="n">
        <x:f>IFERROR(AG58/AI58,0)</x:f>
        <x:v>0</x:v>
      </x:c>
      <x:c r="U58" s="172" t="n">
        <x:f>IFERROR((T58-S58)/(P58+S58),0)</x:f>
        <x:v>0</x:v>
      </x:c>
      <x:c r="V58" s="172" t="n">
        <x:f>R58+U58</x:f>
        <x:v>-0.000877077619849122</x:v>
      </x:c>
      <x:c r="W58" s="172" t="n">
        <x:f>(1+O58)*(1+V58)-1</x:f>
        <x:v>-0.0074215509105487465</x:v>
      </x:c>
      <x:c r="X58" s="174" t="n">
        <x:f>G58-W58</x:f>
        <x:v>-9.540979117872439e-17</x:v>
      </x:c>
      <x:c r="Y58" s="172" t="n">
        <x:f>AX58</x:f>
        <x:v>-0.0009753721652149602</x:v>
      </x:c>
      <x:c r="Z58" s="172" t="n">
        <x:f>BL58</x:f>
        <x:v>0.0001380655468484902</x:v>
      </x:c>
      <x:c r="AA58" s="172" t="n">
        <x:f>SUM(BZ58,CN58,DB58,DP58,ED58,ER58,FF58,FT58)</x:f>
        <x:v>-0.0065842442921823984</x:v>
      </x:c>
      <x:c r="AB58" s="172" t="n">
        <x:f>SUM(Y58:AA58)</x:f>
        <x:v>-0.007421550910548868</x:v>
      </x:c>
      <x:c r="AC58" s="174" t="n">
        <x:f>G58-AB58</x:f>
        <x:v>2.6020852139652106e-17</x:v>
      </x:c>
      <x:c r="AD58" s="169" t="n">
        <x:v>1.2043240380550981</x:v>
      </x:c>
      <x:c r="AE58" s="169" t="n">
        <x:v>1.1953860858938745</x:v>
      </x:c>
      <x:c r="AF58" s="169" t="n">
        <x:v>0</x:v>
      </x:c>
      <x:c r="AG58" s="169" t="n">
        <x:v>0</x:v>
      </x:c>
      <x:c r="AH58" s="171" t="n">
        <x:f>M58/$M$3</x:f>
        <x:v>0.9356486210418795</x:v>
      </x:c>
      <x:c r="AI58" s="171" t="n">
        <x:f>N58/$M$3</x:f>
        <x:v>0.9295199182839633</x:v>
      </x:c>
      <x:c r="AJ58" s="170" t="n">
        <x:f>IF(AK58&lt;&gt;"",1,0)+IF(AY58&lt;&gt;"",1,0)+IF(BM58&lt;&gt;"",1,0)+IF(CA58&lt;&gt;"",1,0)+IF(CO58&lt;&gt;"",1,0)+IF(DC58&lt;&gt;"",1,0)+IF(DQ58&lt;&gt;"",1,0)+IF(EE58&lt;&gt;"",1,0)+IF(ES58&lt;&gt;"",1,0)+IF(FG58&lt;&gt;"",1,0)</x:f>
        <x:v>3</x:v>
      </x:c>
      <x:c r="AK58" s="147" t="str">
        <x:v>Silver replicating holding (LBMA/SLV proxy)</x:v>
      </x:c>
      <x:c r="AL58" s="147" t="str">
        <x:v>Physical-backed proxy</x:v>
      </x:c>
      <x:c r="AM58" s="147" t="str">
        <x:v>Long</x:v>
      </x:c>
      <x:c r="AN58" s="167" t="n">
        <x:v>1.832</x:v>
      </x:c>
      <x:c r="AO58" s="167" t="n">
        <x:v>1.82</x:v>
      </x:c>
      <x:c r="AP58" s="166" t="n">
        <x:v>0.148751273653564</x:v>
      </x:c>
      <x:c r="AQ58" s="171" t="n">
        <x:f>IF(AK58="","",IFERROR(F58*AP58/AN58,0))</x:f>
        <x:v>0.09778642715736853</x:v>
      </x:c>
      <x:c r="AR58" s="171" t="n">
        <x:f>IF(AK58="","",F58*ABS(AP58))</x:f>
        <x:v>0.17914473455229915</x:v>
      </x:c>
      <x:c r="AS58" s="165"/>
      <x:c r="AT58" s="172" t="str">
        <x:f>IF(AK58="","",IF(AS58="","",IFERROR(AN58/AS58-1,0)))</x:f>
      </x:c>
      <x:c r="AU58" s="166"/>
      <x:c r="AV58" s="172" t="str">
        <x:f>IF(AK58="","",IF(AU58="","",AU58-AT58*365/AW58))</x:f>
      </x:c>
      <x:c r="AW58" s="164"/>
      <x:c r="AX58" s="173" t="n">
        <x:f>IF(AK58="","",IFERROR(AP58*(AO58/AN58-1-'Parameters'!$C$6*C58/365),0))</x:f>
        <x:v>-0.0009753721652149602</x:v>
      </x:c>
      <x:c r="AY58" s="147" t="str">
        <x:v>Matched-maturity Treasury collateral</x:v>
      </x:c>
      <x:c r="AZ58" s="147" t="str">
        <x:v>Treasury</x:v>
      </x:c>
      <x:c r="BA58" s="147" t="str">
        <x:v>Long</x:v>
      </x:c>
      <x:c r="BB58" s="167" t="n">
        <x:v>101.38016178151426</x:v>
      </x:c>
      <x:c r="BC58" s="167" t="n">
        <x:v>101.39660481049361</x:v>
      </x:c>
      <x:c r="BD58" s="166" t="n">
        <x:v>0.8512487263464359</x:v>
      </x:c>
      <x:c r="BE58" s="171" t="n">
        <x:f>IF(AY58="","",IFERROR(F58*BD58/BB58,0))</x:f>
        <x:v>0.010112227929880173</x:v>
      </x:c>
      <x:c r="BF58" s="171" t="n">
        <x:f>IF(AY58="","",F58*ABS(BD58))</x:f>
        <x:v>1.025179303502799</x:v>
      </x:c>
      <x:c r="BG58" s="165"/>
      <x:c r="BH58" s="172" t="str">
        <x:f>IF(AY58="","",IF(BG58="","",IFERROR(BB58/BG58-1,0)))</x:f>
      </x:c>
      <x:c r="BI58" s="166"/>
      <x:c r="BJ58" s="172" t="str">
        <x:f>IF(AY58="","",IF(BI58="","",BI58-BH58*365/BK58))</x:f>
      </x:c>
      <x:c r="BK58" s="164" t="n">
        <x:v>64</x:v>
      </x:c>
      <x:c r="BL58" s="172" t="n">
        <x:f>IF(AY58="","",IFERROR(BD58*(BC58/BB58-1),0))</x:f>
        <x:v>0.0001380655468484902</x:v>
      </x:c>
      <x:c r="BM58" s="147" t="str">
        <x:v>SI69K</x:v>
      </x:c>
      <x:c r="BN58" s="147" t="str">
        <x:v>Silver future (regular)</x:v>
      </x:c>
      <x:c r="BO58" s="147" t="str">
        <x:v>Long</x:v>
      </x:c>
      <x:c r="BP58" s="167" t="n">
        <x:v>1.81</x:v>
      </x:c>
      <x:c r="BQ58" s="167" t="n">
        <x:v>1.796</x:v>
      </x:c>
      <x:c r="BR58" s="166" t="n">
        <x:v>0.8512487263464359</x:v>
      </x:c>
      <x:c r="BS58" s="171" t="n">
        <x:f>IF(BM58="","",IFERROR(F58*BR58/BP58,0))</x:f>
        <x:v>0.5663974052501651</x:v>
      </x:c>
      <x:c r="BT58" s="171" t="n">
        <x:f>IF(BM58="","",F58*ABS(BR58))</x:f>
        <x:v>1.025179303502799</x:v>
      </x:c>
      <x:c r="BU58" s="165" t="n">
        <x:v>1.832</x:v>
      </x:c>
      <x:c r="BV58" s="172" t="n">
        <x:f>IF(BM58="","",IF(BU58="","",IFERROR(BP58/BU58-1,0)))</x:f>
        <x:v>-0.012008733624454204</x:v>
      </x:c>
      <x:c r="BW58" s="166" t="n">
        <x:v>0.0592</x:v>
      </x:c>
      <x:c r="BX58" s="172" t="n">
        <x:f>IF(BM58="","",IF(BW58="","",BW58-BV58*365/BY58))</x:f>
        <x:v>0.1276873089519654</x:v>
      </x:c>
      <x:c r="BY58" s="164" t="n">
        <x:v>64</x:v>
      </x:c>
      <x:c r="BZ58" s="172" t="n">
        <x:f>IF(BM58="","",IFERROR(BR58*(BQ58/BP58-1),0))</x:f>
        <x:v>-0.0065842442921823984</x:v>
      </x:c>
      <x:c r="CA58" s="147"/>
      <x:c r="CB58" s="147"/>
      <x:c r="CC58" s="147"/>
      <x:c r="CD58" s="167"/>
      <x:c r="CE58" s="167"/>
      <x:c r="CF58" s="166"/>
      <x:c r="CG58" s="171" t="str">
        <x:f>IF(CA58="","",IFERROR(F58*CF58/CD58,0))</x:f>
      </x:c>
      <x:c r="CH58" s="171" t="str">
        <x:f>IF(CA58="","",F58*ABS(CF58))</x:f>
      </x:c>
      <x:c r="CI58" s="165"/>
      <x:c r="CJ58" s="172" t="str">
        <x:f>IF(CA58="","",IF(CI58="","",IFERROR(CD58/CI58-1,0)))</x:f>
      </x:c>
      <x:c r="CK58" s="166"/>
      <x:c r="CL58" s="172" t="str">
        <x:f>IF(CA58="","",IF(CK58="","",CK58-CJ58*365/CM58))</x:f>
      </x:c>
      <x:c r="CM58" s="164"/>
      <x:c r="CN58" s="172" t="str">
        <x:f>IF(CA58="","",IFERROR(CF58*(CE58/CD58-1),0))</x:f>
      </x:c>
      <x:c r="CO58" s="147"/>
      <x:c r="CP58" s="147"/>
      <x:c r="CQ58" s="147"/>
      <x:c r="CR58" s="167"/>
      <x:c r="CS58" s="167"/>
      <x:c r="CT58" s="166"/>
      <x:c r="CU58" s="171" t="str">
        <x:f>IF(CO58="","",IFERROR(F58*CT58/CR58,0))</x:f>
      </x:c>
      <x:c r="CV58" s="171" t="str">
        <x:f>IF(CO58="","",F58*ABS(CT58))</x:f>
      </x:c>
      <x:c r="CW58" s="165"/>
      <x:c r="CX58" s="172" t="str">
        <x:f>IF(CO58="","",IF(CW58="","",IFERROR(CR58/CW58-1,0)))</x:f>
      </x:c>
      <x:c r="CY58" s="166"/>
      <x:c r="CZ58" s="172" t="str">
        <x:f>IF(CO58="","",IF(CY58="","",CY58-CX58*365/DA58))</x:f>
      </x:c>
      <x:c r="DA58" s="164"/>
      <x:c r="DB58" s="172" t="str">
        <x:f>IF(CO58="","",IFERROR(CT58*(CS58/CR58-1),0))</x:f>
      </x:c>
      <x:c r="DC58" s="147"/>
      <x:c r="DD58" s="147"/>
      <x:c r="DE58" s="147"/>
      <x:c r="DF58" s="167"/>
      <x:c r="DG58" s="167"/>
      <x:c r="DH58" s="166"/>
      <x:c r="DI58" s="171" t="str">
        <x:f>IF(DC58="","",IFERROR(F58*DH58/DF58,0))</x:f>
      </x:c>
      <x:c r="DJ58" s="171" t="str">
        <x:f>IF(DC58="","",F58*ABS(DH58))</x:f>
      </x:c>
      <x:c r="DK58" s="165"/>
      <x:c r="DL58" s="172" t="str">
        <x:f>IF(DC58="","",IF(DK58="","",IFERROR(DF58/DK58-1,0)))</x:f>
      </x:c>
      <x:c r="DM58" s="166"/>
      <x:c r="DN58" s="172" t="str">
        <x:f>IF(DC58="","",IF(DM58="","",DM58-DL58*365/DO58))</x:f>
      </x:c>
      <x:c r="DO58" s="164"/>
      <x:c r="DP58" s="172" t="str">
        <x:f>IF(DC58="","",IFERROR(DH58*(DG58/DF58-1),0))</x:f>
      </x:c>
      <x:c r="DQ58" s="147"/>
      <x:c r="DR58" s="147"/>
      <x:c r="DS58" s="147"/>
      <x:c r="DT58" s="167"/>
      <x:c r="DU58" s="167"/>
      <x:c r="DV58" s="166"/>
      <x:c r="DW58" s="171" t="str">
        <x:f>IF(DQ58="","",IFERROR(F58*DV58/DT58,0))</x:f>
      </x:c>
      <x:c r="DX58" s="171" t="str">
        <x:f>IF(DQ58="","",F58*ABS(DV58))</x:f>
      </x:c>
      <x:c r="DY58" s="165"/>
      <x:c r="DZ58" s="172" t="str">
        <x:f>IF(DQ58="","",IF(DY58="","",IFERROR(DT58/DY58-1,0)))</x:f>
      </x:c>
      <x:c r="EA58" s="166"/>
      <x:c r="EB58" s="172" t="str">
        <x:f>IF(DQ58="","",IF(EA58="","",EA58-DZ58*365/EC58))</x:f>
      </x:c>
      <x:c r="EC58" s="164"/>
      <x:c r="ED58" s="172" t="str">
        <x:f>IF(DQ58="","",IFERROR(DV58*(DU58/DT58-1),0))</x:f>
      </x:c>
      <x:c r="EE58" s="147"/>
      <x:c r="EF58" s="147"/>
      <x:c r="EG58" s="147"/>
      <x:c r="EH58" s="167"/>
      <x:c r="EI58" s="167"/>
      <x:c r="EJ58" s="166"/>
      <x:c r="EK58" s="171" t="str">
        <x:f>IF(EE58="","",IFERROR(F58*EJ58/EH58,0))</x:f>
      </x:c>
      <x:c r="EL58" s="171" t="str">
        <x:f>IF(EE58="","",F58*ABS(EJ58))</x:f>
      </x:c>
      <x:c r="EM58" s="165"/>
      <x:c r="EN58" s="172" t="str">
        <x:f>IF(EE58="","",IF(EM58="","",IFERROR(EH58/EM58-1,0)))</x:f>
      </x:c>
      <x:c r="EO58" s="166"/>
      <x:c r="EP58" s="172" t="str">
        <x:f>IF(EE58="","",IF(EO58="","",EO58-EN58*365/EQ58))</x:f>
      </x:c>
      <x:c r="EQ58" s="164"/>
      <x:c r="ER58" s="172" t="str">
        <x:f>IF(EE58="","",IFERROR(EJ58*(EI58/EH58-1),0))</x:f>
      </x:c>
      <x:c r="ES58" s="147"/>
      <x:c r="ET58" s="147"/>
      <x:c r="EU58" s="147"/>
      <x:c r="EV58" s="167"/>
      <x:c r="EW58" s="167"/>
      <x:c r="EX58" s="166"/>
      <x:c r="EY58" s="171" t="str">
        <x:f>IF(ES58="","",IFERROR(F58*EX58/EV58,0))</x:f>
      </x:c>
      <x:c r="EZ58" s="171" t="str">
        <x:f>IF(ES58="","",F58*ABS(EX58))</x:f>
      </x:c>
      <x:c r="FA58" s="165"/>
      <x:c r="FB58" s="172" t="str">
        <x:f>IF(ES58="","",IF(FA58="","",IFERROR(EV58/FA58-1,0)))</x:f>
      </x:c>
      <x:c r="FC58" s="166"/>
      <x:c r="FD58" s="172" t="str">
        <x:f>IF(ES58="","",IF(FC58="","",FC58-FB58*365/FE58))</x:f>
      </x:c>
      <x:c r="FE58" s="164"/>
      <x:c r="FF58" s="172" t="str">
        <x:f>IF(ES58="","",IFERROR(EX58*(EW58/EV58-1),0))</x:f>
      </x:c>
      <x:c r="FG58" s="147"/>
      <x:c r="FH58" s="147"/>
      <x:c r="FI58" s="147"/>
      <x:c r="FJ58" s="167"/>
      <x:c r="FK58" s="167"/>
      <x:c r="FL58" s="166"/>
      <x:c r="FM58" s="171" t="str">
        <x:f>IF(FG58="","",IFERROR(F58*FL58/FJ58,0))</x:f>
      </x:c>
      <x:c r="FN58" s="171" t="str">
        <x:f>IF(FG58="","",F58*ABS(FL58))</x:f>
      </x:c>
      <x:c r="FO58" s="165"/>
      <x:c r="FP58" s="172" t="str">
        <x:f>IF(FG58="","",IF(FO58="","",IFERROR(FJ58/FO58-1,0)))</x:f>
      </x:c>
      <x:c r="FQ58" s="166"/>
      <x:c r="FR58" s="172" t="str">
        <x:f>IF(FG58="","",IF(FQ58="","",FQ58-FP58*365/FS58))</x:f>
      </x:c>
      <x:c r="FS58" s="164"/>
      <x:c r="FT58" s="172" t="str">
        <x:f>IF(FG58="","",IFERROR(FL58*(FK58/FJ58-1),0))</x:f>
      </x:c>
    </x:row>
    <x:row r="59" ht="18" customHeight="1">
      <x:c r="A59" s="163" t="n">
        <x:v>25288</x:v>
      </x:c>
      <x:c r="B59" s="163" t="n">
        <x:v>25289</x:v>
      </x:c>
      <x:c r="C59" s="170" t="n">
        <x:f>B59-A59</x:f>
        <x:v>1</x:v>
      </x:c>
      <x:c r="D59" s="163" t="n">
        <x:v>25288</x:v>
      </x:c>
      <x:c r="E59" s="147" t="str">
        <x:v>positive</x:v>
      </x:c>
      <x:c r="F59" s="165" t="n">
        <x:v>1.1953860858938747</x:v>
      </x:c>
      <x:c r="G59" s="168" t="n">
        <x:v>0.015965228412395466</x:v>
      </x:c>
      <x:c r="H59" s="172" t="n">
        <x:f>SUM(AX59,BL59,BZ59,CN59,DB59,DP59,ED59,ER59,FF59,FT59)</x:f>
        <x:v>0.015965228412395394</x:v>
      </x:c>
      <x:c r="I59" s="174" t="n">
        <x:f>G59-H59</x:f>
        <x:v>7.28583859910259e-17</x:v>
      </x:c>
      <x:c r="J59" s="171" t="n">
        <x:f>F59*(1+H59)</x:f>
        <x:v>1.21447069779617</x:v>
      </x:c>
      <x:c r="K59" s="169" t="n">
        <x:v>1.21447069779617</x:v>
      </x:c>
      <x:c r="L59" s="175" t="n">
        <x:f>K59-J59</x:f>
        <x:v>0</x:v>
      </x:c>
      <x:c r="M59" s="167" t="n">
        <x:v>1.82</x:v>
      </x:c>
      <x:c r="N59" s="167" t="n">
        <x:v>1.814</x:v>
      </x:c>
      <x:c r="O59" s="172" t="n">
        <x:f>IFERROR(N59/M59-1,0)</x:f>
        <x:v>-0.003296703296703285</x:v>
      </x:c>
      <x:c r="P59" s="171" t="n">
        <x:f>IFERROR(AD59/AH59,0)</x:f>
        <x:v>1.2860252506484648</x:v>
      </x:c>
      <x:c r="Q59" s="171" t="n">
        <x:f>IFERROR(AE59/AI59,0)</x:f>
        <x:v>1.31087851504129</x:v>
      </x:c>
      <x:c r="R59" s="172" t="n">
        <x:f>IFERROR((Q59-P59)/(P59+S59),0)</x:f>
        <x:v>0.01932564261883132</x:v>
      </x:c>
      <x:c r="S59" s="172" t="n">
        <x:f>IFERROR(AF59/AH59,0)</x:f>
        <x:v>0</x:v>
      </x:c>
      <x:c r="T59" s="172" t="n">
        <x:f>IFERROR(AG59/AI59,0)</x:f>
        <x:v>0</x:v>
      </x:c>
      <x:c r="U59" s="172" t="n">
        <x:f>IFERROR((T59-S59)/(P59+S59),0)</x:f>
        <x:v>0</x:v>
      </x:c>
      <x:c r="V59" s="172" t="n">
        <x:f>R59+U59</x:f>
        <x:v>0.01932564261883132</x:v>
      </x:c>
      <x:c r="W59" s="172" t="n">
        <x:f>(1+O59)*(1+V59)-1</x:f>
        <x:v>0.01596522841239567</x:v>
      </x:c>
      <x:c r="X59" s="174" t="n">
        <x:f>G59-W59</x:f>
        <x:v>-2.0469737016526324e-16</x:v>
      </x:c>
      <x:c r="Y59" s="172" t="n">
        <x:f>AX59</x:f>
        <x:v>-0.00031274092379069795</x:v>
      </x:c>
      <x:c r="Z59" s="172" t="n">
        <x:f>BL59</x:f>
        <x:v>0.00014733347153817397</x:v>
      </x:c>
      <x:c r="AA59" s="172" t="n">
        <x:f>SUM(BZ59,CN59,DB59,DP59,ED59,ER59,FF59,FT59)</x:f>
        <x:v>0.016130635864647917</x:v>
      </x:c>
      <x:c r="AB59" s="172" t="n">
        <x:f>SUM(Y59:AA59)</x:f>
        <x:v>0.015965228412395394</x:v>
      </x:c>
      <x:c r="AC59" s="174" t="n">
        <x:f>G59-AB59</x:f>
        <x:v>7.28583859910259e-17</x:v>
      </x:c>
      <x:c r="AD59" s="169" t="n">
        <x:v>1.1953860858938745</x:v>
      </x:c>
      <x:c r="AE59" s="169" t="n">
        <x:v>1.2144706977961697</x:v>
      </x:c>
      <x:c r="AF59" s="169" t="n">
        <x:v>0</x:v>
      </x:c>
      <x:c r="AG59" s="169" t="n">
        <x:v>0</x:v>
      </x:c>
      <x:c r="AH59" s="171" t="n">
        <x:f>M59/$M$3</x:f>
        <x:v>0.9295199182839633</x:v>
      </x:c>
      <x:c r="AI59" s="171" t="n">
        <x:f>N59/$M$3</x:f>
        <x:v>0.9264555669050052</x:v>
      </x:c>
      <x:c r="AJ59" s="170" t="n">
        <x:f>IF(AK59&lt;&gt;"",1,0)+IF(AY59&lt;&gt;"",1,0)+IF(BM59&lt;&gt;"",1,0)+IF(CA59&lt;&gt;"",1,0)+IF(CO59&lt;&gt;"",1,0)+IF(DC59&lt;&gt;"",1,0)+IF(DQ59&lt;&gt;"",1,0)+IF(EE59&lt;&gt;"",1,0)+IF(ES59&lt;&gt;"",1,0)+IF(FG59&lt;&gt;"",1,0)</x:f>
        <x:v>3</x:v>
      </x:c>
      <x:c r="AK59" s="147" t="str">
        <x:v>Silver replicating holding (LBMA/SLV proxy)</x:v>
      </x:c>
      <x:c r="AL59" s="147" t="str">
        <x:v>Physical-backed proxy</x:v>
      </x:c>
      <x:c r="AM59" s="147" t="str">
        <x:v>Long</x:v>
      </x:c>
      <x:c r="AN59" s="167" t="n">
        <x:v>1.82</x:v>
      </x:c>
      <x:c r="AO59" s="167" t="n">
        <x:v>1.814</x:v>
      </x:c>
      <x:c r="AP59" s="166" t="n">
        <x:v>0.09466806209663092</x:v>
      </x:c>
      <x:c r="AQ59" s="171" t="n">
        <x:f>IF(AK59="","",IFERROR(F59*AP59/AN59,0))</x:f>
        <x:v>0.06217850780706039</x:v>
      </x:c>
      <x:c r="AR59" s="171" t="n">
        <x:f>IF(AK59="","",F59*ABS(AP59))</x:f>
        <x:v>0.11316488420884992</x:v>
      </x:c>
      <x:c r="AS59" s="165"/>
      <x:c r="AT59" s="172" t="str">
        <x:f>IF(AK59="","",IF(AS59="","",IFERROR(AN59/AS59-1,0)))</x:f>
      </x:c>
      <x:c r="AU59" s="166"/>
      <x:c r="AV59" s="172" t="str">
        <x:f>IF(AK59="","",IF(AU59="","",AU59-AT59*365/AW59))</x:f>
      </x:c>
      <x:c r="AW59" s="164"/>
      <x:c r="AX59" s="173" t="n">
        <x:f>IF(AK59="","",IFERROR(AP59*(AO59/AN59-1-'Parameters'!$C$6*C59/365),0))</x:f>
        <x:v>-0.00031274092379069795</x:v>
      </x:c>
      <x:c r="AY59" s="147" t="str">
        <x:v>Matched-maturity Treasury collateral</x:v>
      </x:c>
      <x:c r="AZ59" s="147" t="str">
        <x:v>Treasury</x:v>
      </x:c>
      <x:c r="BA59" s="147" t="str">
        <x:v>Long</x:v>
      </x:c>
      <x:c r="BB59" s="167" t="n">
        <x:v>101.39660481049361</x:v>
      </x:c>
      <x:c r="BC59" s="167" t="n">
        <x:v>101.41310606618057</x:v>
      </x:c>
      <x:c r="BD59" s="166" t="n">
        <x:v>0.9053319379033691</x:v>
      </x:c>
      <x:c r="BE59" s="171" t="n">
        <x:f>IF(AY59="","",IFERROR(F59*BD59/BB59,0))</x:f>
        <x:v>0.010673150286517531</x:v>
      </x:c>
      <x:c r="BF59" s="171" t="n">
        <x:f>IF(AY59="","",F59*ABS(BD59))</x:f>
        <x:v>1.0822212016850248</x:v>
      </x:c>
      <x:c r="BG59" s="165"/>
      <x:c r="BH59" s="172" t="str">
        <x:f>IF(AY59="","",IF(BG59="","",IFERROR(BB59/BG59-1,0)))</x:f>
      </x:c>
      <x:c r="BI59" s="166"/>
      <x:c r="BJ59" s="172" t="str">
        <x:f>IF(AY59="","",IF(BI59="","",BI59-BH59*365/BK59))</x:f>
      </x:c>
      <x:c r="BK59" s="164" t="n">
        <x:v>63</x:v>
      </x:c>
      <x:c r="BL59" s="172" t="n">
        <x:f>IF(AY59="","",IFERROR(BD59*(BC59/BB59-1),0))</x:f>
        <x:v>0.00014733347153817397</x:v>
      </x:c>
      <x:c r="BM59" s="147" t="str">
        <x:v>SI69K</x:v>
      </x:c>
      <x:c r="BN59" s="147" t="str">
        <x:v>Silver future (regular)</x:v>
      </x:c>
      <x:c r="BO59" s="147" t="str">
        <x:v>Long</x:v>
      </x:c>
      <x:c r="BP59" s="167" t="n">
        <x:v>1.796</x:v>
      </x:c>
      <x:c r="BQ59" s="167" t="n">
        <x:v>1.828</x:v>
      </x:c>
      <x:c r="BR59" s="166" t="n">
        <x:v>0.9053319379033691</x:v>
      </x:c>
      <x:c r="BS59" s="171" t="n">
        <x:f>IF(BM59="","",IFERROR(F59*BR59/BP59,0))</x:f>
        <x:v>0.602573052163154</x:v>
      </x:c>
      <x:c r="BT59" s="171" t="n">
        <x:f>IF(BM59="","",F59*ABS(BR59))</x:f>
        <x:v>1.0822212016850248</x:v>
      </x:c>
      <x:c r="BU59" s="165" t="n">
        <x:v>1.82</x:v>
      </x:c>
      <x:c r="BV59" s="172" t="n">
        <x:f>IF(BM59="","",IF(BU59="","",IFERROR(BP59/BU59-1,0)))</x:f>
        <x:v>-0.013186813186813251</x:v>
      </x:c>
      <x:c r="BW59" s="166" t="n">
        <x:v>0.0594</x:v>
      </x:c>
      <x:c r="BX59" s="172" t="n">
        <x:f>IF(BM59="","",IF(BW59="","",BW59-BV59*365/BY59))</x:f>
        <x:v>0.13579979068550535</x:v>
      </x:c>
      <x:c r="BY59" s="164" t="n">
        <x:v>63</x:v>
      </x:c>
      <x:c r="BZ59" s="172" t="n">
        <x:f>IF(BM59="","",IFERROR(BR59*(BQ59/BP59-1),0))</x:f>
        <x:v>0.016130635864647917</x:v>
      </x:c>
      <x:c r="CA59" s="147"/>
      <x:c r="CB59" s="147"/>
      <x:c r="CC59" s="147"/>
      <x:c r="CD59" s="167"/>
      <x:c r="CE59" s="167"/>
      <x:c r="CF59" s="166"/>
      <x:c r="CG59" s="171" t="str">
        <x:f>IF(CA59="","",IFERROR(F59*CF59/CD59,0))</x:f>
      </x:c>
      <x:c r="CH59" s="171" t="str">
        <x:f>IF(CA59="","",F59*ABS(CF59))</x:f>
      </x:c>
      <x:c r="CI59" s="165"/>
      <x:c r="CJ59" s="172" t="str">
        <x:f>IF(CA59="","",IF(CI59="","",IFERROR(CD59/CI59-1,0)))</x:f>
      </x:c>
      <x:c r="CK59" s="166"/>
      <x:c r="CL59" s="172" t="str">
        <x:f>IF(CA59="","",IF(CK59="","",CK59-CJ59*365/CM59))</x:f>
      </x:c>
      <x:c r="CM59" s="164"/>
      <x:c r="CN59" s="172" t="str">
        <x:f>IF(CA59="","",IFERROR(CF59*(CE59/CD59-1),0))</x:f>
      </x:c>
      <x:c r="CO59" s="147"/>
      <x:c r="CP59" s="147"/>
      <x:c r="CQ59" s="147"/>
      <x:c r="CR59" s="167"/>
      <x:c r="CS59" s="167"/>
      <x:c r="CT59" s="166"/>
      <x:c r="CU59" s="171" t="str">
        <x:f>IF(CO59="","",IFERROR(F59*CT59/CR59,0))</x:f>
      </x:c>
      <x:c r="CV59" s="171" t="str">
        <x:f>IF(CO59="","",F59*ABS(CT59))</x:f>
      </x:c>
      <x:c r="CW59" s="165"/>
      <x:c r="CX59" s="172" t="str">
        <x:f>IF(CO59="","",IF(CW59="","",IFERROR(CR59/CW59-1,0)))</x:f>
      </x:c>
      <x:c r="CY59" s="166"/>
      <x:c r="CZ59" s="172" t="str">
        <x:f>IF(CO59="","",IF(CY59="","",CY59-CX59*365/DA59))</x:f>
      </x:c>
      <x:c r="DA59" s="164"/>
      <x:c r="DB59" s="172" t="str">
        <x:f>IF(CO59="","",IFERROR(CT59*(CS59/CR59-1),0))</x:f>
      </x:c>
      <x:c r="DC59" s="147"/>
      <x:c r="DD59" s="147"/>
      <x:c r="DE59" s="147"/>
      <x:c r="DF59" s="167"/>
      <x:c r="DG59" s="167"/>
      <x:c r="DH59" s="166"/>
      <x:c r="DI59" s="171" t="str">
        <x:f>IF(DC59="","",IFERROR(F59*DH59/DF59,0))</x:f>
      </x:c>
      <x:c r="DJ59" s="171" t="str">
        <x:f>IF(DC59="","",F59*ABS(DH59))</x:f>
      </x:c>
      <x:c r="DK59" s="165"/>
      <x:c r="DL59" s="172" t="str">
        <x:f>IF(DC59="","",IF(DK59="","",IFERROR(DF59/DK59-1,0)))</x:f>
      </x:c>
      <x:c r="DM59" s="166"/>
      <x:c r="DN59" s="172" t="str">
        <x:f>IF(DC59="","",IF(DM59="","",DM59-DL59*365/DO59))</x:f>
      </x:c>
      <x:c r="DO59" s="164"/>
      <x:c r="DP59" s="172" t="str">
        <x:f>IF(DC59="","",IFERROR(DH59*(DG59/DF59-1),0))</x:f>
      </x:c>
      <x:c r="DQ59" s="147"/>
      <x:c r="DR59" s="147"/>
      <x:c r="DS59" s="147"/>
      <x:c r="DT59" s="167"/>
      <x:c r="DU59" s="167"/>
      <x:c r="DV59" s="166"/>
      <x:c r="DW59" s="171" t="str">
        <x:f>IF(DQ59="","",IFERROR(F59*DV59/DT59,0))</x:f>
      </x:c>
      <x:c r="DX59" s="171" t="str">
        <x:f>IF(DQ59="","",F59*ABS(DV59))</x:f>
      </x:c>
      <x:c r="DY59" s="165"/>
      <x:c r="DZ59" s="172" t="str">
        <x:f>IF(DQ59="","",IF(DY59="","",IFERROR(DT59/DY59-1,0)))</x:f>
      </x:c>
      <x:c r="EA59" s="166"/>
      <x:c r="EB59" s="172" t="str">
        <x:f>IF(DQ59="","",IF(EA59="","",EA59-DZ59*365/EC59))</x:f>
      </x:c>
      <x:c r="EC59" s="164"/>
      <x:c r="ED59" s="172" t="str">
        <x:f>IF(DQ59="","",IFERROR(DV59*(DU59/DT59-1),0))</x:f>
      </x:c>
      <x:c r="EE59" s="147"/>
      <x:c r="EF59" s="147"/>
      <x:c r="EG59" s="147"/>
      <x:c r="EH59" s="167"/>
      <x:c r="EI59" s="167"/>
      <x:c r="EJ59" s="166"/>
      <x:c r="EK59" s="171" t="str">
        <x:f>IF(EE59="","",IFERROR(F59*EJ59/EH59,0))</x:f>
      </x:c>
      <x:c r="EL59" s="171" t="str">
        <x:f>IF(EE59="","",F59*ABS(EJ59))</x:f>
      </x:c>
      <x:c r="EM59" s="165"/>
      <x:c r="EN59" s="172" t="str">
        <x:f>IF(EE59="","",IF(EM59="","",IFERROR(EH59/EM59-1,0)))</x:f>
      </x:c>
      <x:c r="EO59" s="166"/>
      <x:c r="EP59" s="172" t="str">
        <x:f>IF(EE59="","",IF(EO59="","",EO59-EN59*365/EQ59))</x:f>
      </x:c>
      <x:c r="EQ59" s="164"/>
      <x:c r="ER59" s="172" t="str">
        <x:f>IF(EE59="","",IFERROR(EJ59*(EI59/EH59-1),0))</x:f>
      </x:c>
      <x:c r="ES59" s="147"/>
      <x:c r="ET59" s="147"/>
      <x:c r="EU59" s="147"/>
      <x:c r="EV59" s="167"/>
      <x:c r="EW59" s="167"/>
      <x:c r="EX59" s="166"/>
      <x:c r="EY59" s="171" t="str">
        <x:f>IF(ES59="","",IFERROR(F59*EX59/EV59,0))</x:f>
      </x:c>
      <x:c r="EZ59" s="171" t="str">
        <x:f>IF(ES59="","",F59*ABS(EX59))</x:f>
      </x:c>
      <x:c r="FA59" s="165"/>
      <x:c r="FB59" s="172" t="str">
        <x:f>IF(ES59="","",IF(FA59="","",IFERROR(EV59/FA59-1,0)))</x:f>
      </x:c>
      <x:c r="FC59" s="166"/>
      <x:c r="FD59" s="172" t="str">
        <x:f>IF(ES59="","",IF(FC59="","",FC59-FB59*365/FE59))</x:f>
      </x:c>
      <x:c r="FE59" s="164"/>
      <x:c r="FF59" s="172" t="str">
        <x:f>IF(ES59="","",IFERROR(EX59*(EW59/EV59-1),0))</x:f>
      </x:c>
      <x:c r="FG59" s="147"/>
      <x:c r="FH59" s="147"/>
      <x:c r="FI59" s="147"/>
      <x:c r="FJ59" s="167"/>
      <x:c r="FK59" s="167"/>
      <x:c r="FL59" s="166"/>
      <x:c r="FM59" s="171" t="str">
        <x:f>IF(FG59="","",IFERROR(F59*FL59/FJ59,0))</x:f>
      </x:c>
      <x:c r="FN59" s="171" t="str">
        <x:f>IF(FG59="","",F59*ABS(FL59))</x:f>
      </x:c>
      <x:c r="FO59" s="165"/>
      <x:c r="FP59" s="172" t="str">
        <x:f>IF(FG59="","",IF(FO59="","",IFERROR(FJ59/FO59-1,0)))</x:f>
      </x:c>
      <x:c r="FQ59" s="166"/>
      <x:c r="FR59" s="172" t="str">
        <x:f>IF(FG59="","",IF(FQ59="","",FQ59-FP59*365/FS59))</x:f>
      </x:c>
      <x:c r="FS59" s="164"/>
      <x:c r="FT59" s="172" t="str">
        <x:f>IF(FG59="","",IFERROR(FL59*(FK59/FJ59-1),0))</x:f>
      </x:c>
    </x:row>
    <x:row r="60" ht="18" customHeight="1">
      <x:c r="A60" s="163" t="n">
        <x:v>25289</x:v>
      </x:c>
      <x:c r="B60" s="163" t="n">
        <x:v>25290</x:v>
      </x:c>
      <x:c r="C60" s="170" t="n">
        <x:f>B60-A60</x:f>
        <x:v>1</x:v>
      </x:c>
      <x:c r="D60" s="163" t="n">
        <x:v>25289</x:v>
      </x:c>
      <x:c r="E60" s="147" t="str">
        <x:v>positive</x:v>
      </x:c>
      <x:c r="F60" s="165" t="n">
        <x:v>1.21447069779617</x:v>
      </x:c>
      <x:c r="G60" s="168" t="n">
        <x:v>0.008109924707177174</x:v>
      </x:c>
      <x:c r="H60" s="172" t="n">
        <x:f>SUM(AX60,BL60,BZ60,CN60,DB60,DP60,ED60,ER60,FF60,FT60)</x:f>
        <x:v>0.008109924707177146</x:v>
      </x:c>
      <x:c r="I60" s="174" t="n">
        <x:f>G60-H60</x:f>
        <x:v>2.7755575615628914e-17</x:v>
      </x:c>
      <x:c r="J60" s="171" t="n">
        <x:f>F60*(1+H60)</x:f>
        <x:v>1.2243199637143698</x:v>
      </x:c>
      <x:c r="K60" s="169" t="n">
        <x:v>1.2243199637143698</x:v>
      </x:c>
      <x:c r="L60" s="175" t="n">
        <x:f>K60-J60</x:f>
        <x:v>0</x:v>
      </x:c>
      <x:c r="M60" s="167" t="n">
        <x:v>1.814</x:v>
      </x:c>
      <x:c r="N60" s="167" t="n">
        <x:v>1.83</x:v>
      </x:c>
      <x:c r="O60" s="172" t="n">
        <x:f>IFERROR(N60/M60-1,0)</x:f>
        <x:v>0.008820286659316334</x:v>
      </x:c>
      <x:c r="P60" s="171" t="n">
        <x:f>IFERROR(AD60/AH60,0)</x:f>
        <x:v>1.31087851504129</x:v>
      </x:c>
      <x:c r="Q60" s="171" t="n">
        <x:f>IFERROR(AE60/AI60,0)</x:f>
        <x:v>1.3099554584441178</x:v>
      </x:c>
      <x:c r="R60" s="172" t="n">
        <x:f>IFERROR((Q60-P60)/(P60+S60),0)</x:f>
        <x:v>-0.0007041511372571507</x:v>
      </x:c>
      <x:c r="S60" s="172" t="n">
        <x:f>IFERROR(AF60/AH60,0)</x:f>
        <x:v>0</x:v>
      </x:c>
      <x:c r="T60" s="172" t="n">
        <x:f>IFERROR(AG60/AI60,0)</x:f>
        <x:v>0</x:v>
      </x:c>
      <x:c r="U60" s="172" t="n">
        <x:f>IFERROR((T60-S60)/(P60+S60),0)</x:f>
        <x:v>0</x:v>
      </x:c>
      <x:c r="V60" s="172" t="n">
        <x:f>R60+U60</x:f>
        <x:v>-0.0007041511372571507</x:v>
      </x:c>
      <x:c r="W60" s="172" t="n">
        <x:f>(1+O60)*(1+V60)-1</x:f>
        <x:v>0.008109924707176974</x:v>
      </x:c>
      <x:c r="X60" s="174" t="n">
        <x:f>G60-W60</x:f>
        <x:v>1.9949319973733282e-16</x:v>
      </x:c>
      <x:c r="Y60" s="172" t="n">
        <x:f>AX60</x:f>
        <x:v>0.007992914905739388</x:v>
      </x:c>
      <x:c r="Z60" s="172" t="n">
        <x:f>BL60</x:f>
        <x:v>0.00001515091009628605</x:v>
      </x:c>
      <x:c r="AA60" s="172" t="n">
        <x:f>SUM(BZ60,CN60,DB60,DP60,ED60,ER60,FF60,FT60)</x:f>
        <x:v>0.00010185889134147102</x:v>
      </x:c>
      <x:c r="AB60" s="172" t="n">
        <x:f>SUM(Y60:AA60)</x:f>
        <x:v>0.008109924707177146</x:v>
      </x:c>
      <x:c r="AC60" s="174" t="n">
        <x:f>G60-AB60</x:f>
        <x:v>2.7755575615628914e-17</x:v>
      </x:c>
      <x:c r="AD60" s="169" t="n">
        <x:v>1.2144706977961697</x:v>
      </x:c>
      <x:c r="AE60" s="169" t="n">
        <x:v>1.2243199637143696</x:v>
      </x:c>
      <x:c r="AF60" s="169" t="n">
        <x:v>0</x:v>
      </x:c>
      <x:c r="AG60" s="169" t="n">
        <x:v>0</x:v>
      </x:c>
      <x:c r="AH60" s="171" t="n">
        <x:f>M60/$M$3</x:f>
        <x:v>0.9264555669050052</x:v>
      </x:c>
      <x:c r="AI60" s="171" t="n">
        <x:f>N60/$M$3</x:f>
        <x:v>0.9346271705822268</x:v>
      </x:c>
      <x:c r="AJ60" s="170" t="n">
        <x:f>IF(AK60&lt;&gt;"",1,0)+IF(AY60&lt;&gt;"",1,0)+IF(BM60&lt;&gt;"",1,0)+IF(CA60&lt;&gt;"",1,0)+IF(CO60&lt;&gt;"",1,0)+IF(DC60&lt;&gt;"",1,0)+IF(DQ60&lt;&gt;"",1,0)+IF(EE60&lt;&gt;"",1,0)+IF(ES60&lt;&gt;"",1,0)+IF(FG60&lt;&gt;"",1,0)</x:f>
        <x:v>3</x:v>
      </x:c>
      <x:c r="AK60" s="147" t="str">
        <x:v>Silver replicating holding (LBMA/SLV proxy)</x:v>
      </x:c>
      <x:c r="AL60" s="147" t="str">
        <x:v>Physical-backed proxy</x:v>
      </x:c>
      <x:c r="AM60" s="147" t="str">
        <x:v>Long</x:v>
      </x:c>
      <x:c r="AN60" s="167" t="n">
        <x:v>1.814</x:v>
      </x:c>
      <x:c r="AO60" s="167" t="n">
        <x:v>1.83</x:v>
      </x:c>
      <x:c r="AP60" s="166" t="n">
        <x:v>0.9069009733138941</x:v>
      </x:c>
      <x:c r="AQ60" s="171" t="n">
        <x:f>IF(AK60="","",IFERROR(F60*AP60/AN60,0))</x:f>
        <x:v>0.6071690506574148</x:v>
      </x:c>
      <x:c r="AR60" s="171" t="n">
        <x:f>IF(AK60="","",F60*ABS(AP60))</x:f>
        <x:v>1.1014046578925505</x:v>
      </x:c>
      <x:c r="AS60" s="165"/>
      <x:c r="AT60" s="172" t="str">
        <x:f>IF(AK60="","",IF(AS60="","",IFERROR(AN60/AS60-1,0)))</x:f>
      </x:c>
      <x:c r="AU60" s="166"/>
      <x:c r="AV60" s="172" t="str">
        <x:f>IF(AK60="","",IF(AU60="","",AU60-AT60*365/AW60))</x:f>
      </x:c>
      <x:c r="AW60" s="164"/>
      <x:c r="AX60" s="173" t="n">
        <x:f>IF(AK60="","",IFERROR(AP60*(AO60/AN60-1-'Parameters'!$C$6*C60/365),0))</x:f>
        <x:v>0.007992914905739388</x:v>
      </x:c>
      <x:c r="AY60" s="147" t="str">
        <x:v>Matched-maturity Treasury collateral</x:v>
      </x:c>
      <x:c r="AZ60" s="147" t="str">
        <x:v>Treasury</x:v>
      </x:c>
      <x:c r="BA60" s="147" t="str">
        <x:v>Long</x:v>
      </x:c>
      <x:c r="BB60" s="167" t="n">
        <x:v>101.41310606618057</x:v>
      </x:c>
      <x:c r="BC60" s="167" t="n">
        <x:v>101.42961000727735</x:v>
      </x:c>
      <x:c r="BD60" s="166" t="n">
        <x:v>0.09309902668610592</x:v>
      </x:c>
      <x:c r="BE60" s="171" t="n">
        <x:f>IF(AY60="","",IFERROR(F60*BD60/BB60,0))</x:f>
        <x:v>0.0011149056003652447</x:v>
      </x:c>
      <x:c r="BF60" s="171" t="n">
        <x:f>IF(AY60="","",F60*ABS(BD60))</x:f>
        <x:v>0.1130660399036193</x:v>
      </x:c>
      <x:c r="BG60" s="165"/>
      <x:c r="BH60" s="172" t="str">
        <x:f>IF(AY60="","",IF(BG60="","",IFERROR(BB60/BG60-1,0)))</x:f>
      </x:c>
      <x:c r="BI60" s="166"/>
      <x:c r="BJ60" s="172" t="str">
        <x:f>IF(AY60="","",IF(BI60="","",BI60-BH60*365/BK60))</x:f>
      </x:c>
      <x:c r="BK60" s="164" t="n">
        <x:v>62</x:v>
      </x:c>
      <x:c r="BL60" s="172" t="n">
        <x:f>IF(AY60="","",IFERROR(BD60*(BC60/BB60-1),0))</x:f>
        <x:v>0.00001515091009628605</x:v>
      </x:c>
      <x:c r="BM60" s="147" t="str">
        <x:v>SI69K</x:v>
      </x:c>
      <x:c r="BN60" s="147" t="str">
        <x:v>Silver future (regular)</x:v>
      </x:c>
      <x:c r="BO60" s="147" t="str">
        <x:v>Long</x:v>
      </x:c>
      <x:c r="BP60" s="167" t="n">
        <x:v>1.828</x:v>
      </x:c>
      <x:c r="BQ60" s="167" t="n">
        <x:v>1.83</x:v>
      </x:c>
      <x:c r="BR60" s="166" t="n">
        <x:v>0.09309902668610592</x:v>
      </x:c>
      <x:c r="BS60" s="171" t="n">
        <x:f>IF(BM60="","",IFERROR(F60*BR60/BP60,0))</x:f>
        <x:v>0.06185231942211121</x:v>
      </x:c>
      <x:c r="BT60" s="171" t="n">
        <x:f>IF(BM60="","",F60*ABS(BR60))</x:f>
        <x:v>0.1130660399036193</x:v>
      </x:c>
      <x:c r="BU60" s="165" t="n">
        <x:v>1.814</x:v>
      </x:c>
      <x:c r="BV60" s="172" t="n">
        <x:f>IF(BM60="","",IF(BU60="","",IFERROR(BP60/BU60-1,0)))</x:f>
        <x:v>0.007717750826901959</x:v>
      </x:c>
      <x:c r="BW60" s="166" t="n">
        <x:v>0.0594</x:v>
      </x:c>
      <x:c r="BX60" s="172" t="n">
        <x:f>IF(BM60="","",IF(BW60="","",BW60-BV60*365/BY60))</x:f>
        <x:v>0.013964854002915889</x:v>
      </x:c>
      <x:c r="BY60" s="164" t="n">
        <x:v>62</x:v>
      </x:c>
      <x:c r="BZ60" s="172" t="n">
        <x:f>IF(BM60="","",IFERROR(BR60*(BQ60/BP60-1),0))</x:f>
        <x:v>0.00010185889134147102</x:v>
      </x:c>
      <x:c r="CA60" s="147"/>
      <x:c r="CB60" s="147"/>
      <x:c r="CC60" s="147"/>
      <x:c r="CD60" s="167"/>
      <x:c r="CE60" s="167"/>
      <x:c r="CF60" s="166"/>
      <x:c r="CG60" s="171" t="str">
        <x:f>IF(CA60="","",IFERROR(F60*CF60/CD60,0))</x:f>
      </x:c>
      <x:c r="CH60" s="171" t="str">
        <x:f>IF(CA60="","",F60*ABS(CF60))</x:f>
      </x:c>
      <x:c r="CI60" s="165"/>
      <x:c r="CJ60" s="172" t="str">
        <x:f>IF(CA60="","",IF(CI60="","",IFERROR(CD60/CI60-1,0)))</x:f>
      </x:c>
      <x:c r="CK60" s="166"/>
      <x:c r="CL60" s="172" t="str">
        <x:f>IF(CA60="","",IF(CK60="","",CK60-CJ60*365/CM60))</x:f>
      </x:c>
      <x:c r="CM60" s="164"/>
      <x:c r="CN60" s="172" t="str">
        <x:f>IF(CA60="","",IFERROR(CF60*(CE60/CD60-1),0))</x:f>
      </x:c>
      <x:c r="CO60" s="147"/>
      <x:c r="CP60" s="147"/>
      <x:c r="CQ60" s="147"/>
      <x:c r="CR60" s="167"/>
      <x:c r="CS60" s="167"/>
      <x:c r="CT60" s="166"/>
      <x:c r="CU60" s="171" t="str">
        <x:f>IF(CO60="","",IFERROR(F60*CT60/CR60,0))</x:f>
      </x:c>
      <x:c r="CV60" s="171" t="str">
        <x:f>IF(CO60="","",F60*ABS(CT60))</x:f>
      </x:c>
      <x:c r="CW60" s="165"/>
      <x:c r="CX60" s="172" t="str">
        <x:f>IF(CO60="","",IF(CW60="","",IFERROR(CR60/CW60-1,0)))</x:f>
      </x:c>
      <x:c r="CY60" s="166"/>
      <x:c r="CZ60" s="172" t="str">
        <x:f>IF(CO60="","",IF(CY60="","",CY60-CX60*365/DA60))</x:f>
      </x:c>
      <x:c r="DA60" s="164"/>
      <x:c r="DB60" s="172" t="str">
        <x:f>IF(CO60="","",IFERROR(CT60*(CS60/CR60-1),0))</x:f>
      </x:c>
      <x:c r="DC60" s="147"/>
      <x:c r="DD60" s="147"/>
      <x:c r="DE60" s="147"/>
      <x:c r="DF60" s="167"/>
      <x:c r="DG60" s="167"/>
      <x:c r="DH60" s="166"/>
      <x:c r="DI60" s="171" t="str">
        <x:f>IF(DC60="","",IFERROR(F60*DH60/DF60,0))</x:f>
      </x:c>
      <x:c r="DJ60" s="171" t="str">
        <x:f>IF(DC60="","",F60*ABS(DH60))</x:f>
      </x:c>
      <x:c r="DK60" s="165"/>
      <x:c r="DL60" s="172" t="str">
        <x:f>IF(DC60="","",IF(DK60="","",IFERROR(DF60/DK60-1,0)))</x:f>
      </x:c>
      <x:c r="DM60" s="166"/>
      <x:c r="DN60" s="172" t="str">
        <x:f>IF(DC60="","",IF(DM60="","",DM60-DL60*365/DO60))</x:f>
      </x:c>
      <x:c r="DO60" s="164"/>
      <x:c r="DP60" s="172" t="str">
        <x:f>IF(DC60="","",IFERROR(DH60*(DG60/DF60-1),0))</x:f>
      </x:c>
      <x:c r="DQ60" s="147"/>
      <x:c r="DR60" s="147"/>
      <x:c r="DS60" s="147"/>
      <x:c r="DT60" s="167"/>
      <x:c r="DU60" s="167"/>
      <x:c r="DV60" s="166"/>
      <x:c r="DW60" s="171" t="str">
        <x:f>IF(DQ60="","",IFERROR(F60*DV60/DT60,0))</x:f>
      </x:c>
      <x:c r="DX60" s="171" t="str">
        <x:f>IF(DQ60="","",F60*ABS(DV60))</x:f>
      </x:c>
      <x:c r="DY60" s="165"/>
      <x:c r="DZ60" s="172" t="str">
        <x:f>IF(DQ60="","",IF(DY60="","",IFERROR(DT60/DY60-1,0)))</x:f>
      </x:c>
      <x:c r="EA60" s="166"/>
      <x:c r="EB60" s="172" t="str">
        <x:f>IF(DQ60="","",IF(EA60="","",EA60-DZ60*365/EC60))</x:f>
      </x:c>
      <x:c r="EC60" s="164"/>
      <x:c r="ED60" s="172" t="str">
        <x:f>IF(DQ60="","",IFERROR(DV60*(DU60/DT60-1),0))</x:f>
      </x:c>
      <x:c r="EE60" s="147"/>
      <x:c r="EF60" s="147"/>
      <x:c r="EG60" s="147"/>
      <x:c r="EH60" s="167"/>
      <x:c r="EI60" s="167"/>
      <x:c r="EJ60" s="166"/>
      <x:c r="EK60" s="171" t="str">
        <x:f>IF(EE60="","",IFERROR(F60*EJ60/EH60,0))</x:f>
      </x:c>
      <x:c r="EL60" s="171" t="str">
        <x:f>IF(EE60="","",F60*ABS(EJ60))</x:f>
      </x:c>
      <x:c r="EM60" s="165"/>
      <x:c r="EN60" s="172" t="str">
        <x:f>IF(EE60="","",IF(EM60="","",IFERROR(EH60/EM60-1,0)))</x:f>
      </x:c>
      <x:c r="EO60" s="166"/>
      <x:c r="EP60" s="172" t="str">
        <x:f>IF(EE60="","",IF(EO60="","",EO60-EN60*365/EQ60))</x:f>
      </x:c>
      <x:c r="EQ60" s="164"/>
      <x:c r="ER60" s="172" t="str">
        <x:f>IF(EE60="","",IFERROR(EJ60*(EI60/EH60-1),0))</x:f>
      </x:c>
      <x:c r="ES60" s="147"/>
      <x:c r="ET60" s="147"/>
      <x:c r="EU60" s="147"/>
      <x:c r="EV60" s="167"/>
      <x:c r="EW60" s="167"/>
      <x:c r="EX60" s="166"/>
      <x:c r="EY60" s="171" t="str">
        <x:f>IF(ES60="","",IFERROR(F60*EX60/EV60,0))</x:f>
      </x:c>
      <x:c r="EZ60" s="171" t="str">
        <x:f>IF(ES60="","",F60*ABS(EX60))</x:f>
      </x:c>
      <x:c r="FA60" s="165"/>
      <x:c r="FB60" s="172" t="str">
        <x:f>IF(ES60="","",IF(FA60="","",IFERROR(EV60/FA60-1,0)))</x:f>
      </x:c>
      <x:c r="FC60" s="166"/>
      <x:c r="FD60" s="172" t="str">
        <x:f>IF(ES60="","",IF(FC60="","",FC60-FB60*365/FE60))</x:f>
      </x:c>
      <x:c r="FE60" s="164"/>
      <x:c r="FF60" s="172" t="str">
        <x:f>IF(ES60="","",IFERROR(EX60*(EW60/EV60-1),0))</x:f>
      </x:c>
      <x:c r="FG60" s="147"/>
      <x:c r="FH60" s="147"/>
      <x:c r="FI60" s="147"/>
      <x:c r="FJ60" s="167"/>
      <x:c r="FK60" s="167"/>
      <x:c r="FL60" s="166"/>
      <x:c r="FM60" s="171" t="str">
        <x:f>IF(FG60="","",IFERROR(F60*FL60/FJ60,0))</x:f>
      </x:c>
      <x:c r="FN60" s="171" t="str">
        <x:f>IF(FG60="","",F60*ABS(FL60))</x:f>
      </x:c>
      <x:c r="FO60" s="165"/>
      <x:c r="FP60" s="172" t="str">
        <x:f>IF(FG60="","",IF(FO60="","",IFERROR(FJ60/FO60-1,0)))</x:f>
      </x:c>
      <x:c r="FQ60" s="166"/>
      <x:c r="FR60" s="172" t="str">
        <x:f>IF(FG60="","",IF(FQ60="","",FQ60-FP60*365/FS60))</x:f>
      </x:c>
      <x:c r="FS60" s="164"/>
      <x:c r="FT60" s="172" t="str">
        <x:f>IF(FG60="","",IFERROR(FL60*(FK60/FJ60-1),0))</x:f>
      </x:c>
    </x:row>
    <x:row r="61" ht="18" customHeight="1">
      <x:c r="A61" s="163" t="n">
        <x:v>25290</x:v>
      </x:c>
      <x:c r="B61" s="163" t="n">
        <x:v>25294</x:v>
      </x:c>
      <x:c r="C61" s="170" t="n">
        <x:f>B61-A61</x:f>
        <x:v>4</x:v>
      </x:c>
      <x:c r="D61" s="163" t="n">
        <x:v>25290</x:v>
      </x:c>
      <x:c r="E61" s="147" t="str">
        <x:v>positive</x:v>
      </x:c>
      <x:c r="F61" s="165" t="n">
        <x:v>1.2243199637143698</x:v>
      </x:c>
      <x:c r="G61" s="168" t="n">
        <x:v>-0.013952861709209743</x:v>
      </x:c>
      <x:c r="H61" s="172" t="n">
        <x:f>SUM(AX61,BL61,BZ61,CN61,DB61,DP61,ED61,ER61,FF61,FT61)</x:f>
        <x:v>-0.013952861709209709</x:v>
      </x:c>
      <x:c r="I61" s="174" t="n">
        <x:f>G61-H61</x:f>
        <x:v>-3.469446951953614e-17</x:v>
      </x:c>
      <x:c r="J61" s="171" t="n">
        <x:f>F61*(1+H61)</x:f>
        <x:v>1.2072371965728386</x:v>
      </x:c>
      <x:c r="K61" s="169" t="n">
        <x:v>1.2072371965728386</x:v>
      </x:c>
      <x:c r="L61" s="175" t="n">
        <x:f>K61-J61</x:f>
        <x:v>0</x:v>
      </x:c>
      <x:c r="M61" s="167" t="n">
        <x:v>1.83</x:v>
      </x:c>
      <x:c r="N61" s="167" t="n">
        <x:v>1.814</x:v>
      </x:c>
      <x:c r="O61" s="172" t="n">
        <x:f>IFERROR(N61/M61-1,0)</x:f>
        <x:v>-0.008743169398907069</x:v>
      </x:c>
      <x:c r="P61" s="171" t="n">
        <x:f>IFERROR(AD61/AH61,0)</x:f>
        <x:v>1.3099554584441178</x:v>
      </x:c>
      <x:c r="Q61" s="171" t="n">
        <x:f>IFERROR(AE61/AI61,0)</x:f>
        <x:v>1.303070799828896</x:v>
      </x:c>
      <x:c r="R61" s="172" t="n">
        <x:f>IFERROR((Q61-P61)/(P61+S61),0)</x:f>
        <x:v>-0.005255643289886335</x:v>
      </x:c>
      <x:c r="S61" s="172" t="n">
        <x:f>IFERROR(AF61/AH61,0)</x:f>
        <x:v>0</x:v>
      </x:c>
      <x:c r="T61" s="172" t="n">
        <x:f>IFERROR(AG61/AI61,0)</x:f>
        <x:v>0</x:v>
      </x:c>
      <x:c r="U61" s="172" t="n">
        <x:f>IFERROR((T61-S61)/(P61+S61),0)</x:f>
        <x:v>0</x:v>
      </x:c>
      <x:c r="V61" s="172" t="n">
        <x:f>R61+U61</x:f>
        <x:v>-0.005255643289886335</x:v>
      </x:c>
      <x:c r="W61" s="172" t="n">
        <x:f>(1+O61)*(1+V61)-1</x:f>
        <x:v>-0.01395286170920973</x:v>
      </x:c>
      <x:c r="X61" s="174" t="n">
        <x:f>G61-W61</x:f>
        <x:v>-1.3877787807814457e-17</x:v>
      </x:c>
      <x:c r="Y61" s="172" t="n">
        <x:f>AX61</x:f>
        <x:v>-0.005268187039948079</x:v>
      </x:c>
      <x:c r="Z61" s="172" t="n">
        <x:f>BL61</x:f>
        <x:v>0.000262137716895011</x:v>
      </x:c>
      <x:c r="AA61" s="172" t="n">
        <x:f>SUM(BZ61,CN61,DB61,DP61,ED61,ER61,FF61,FT61)</x:f>
        <x:v>-0.008946812386156642</x:v>
      </x:c>
      <x:c r="AB61" s="172" t="n">
        <x:f>SUM(Y61:AA61)</x:f>
        <x:v>-0.013952861709209709</x:v>
      </x:c>
      <x:c r="AC61" s="174" t="n">
        <x:f>G61-AB61</x:f>
        <x:v>-3.469446951953614e-17</x:v>
      </x:c>
      <x:c r="AD61" s="169" t="n">
        <x:v>1.2243199637143696</x:v>
      </x:c>
      <x:c r="AE61" s="169" t="n">
        <x:v>1.2072371965728383</x:v>
      </x:c>
      <x:c r="AF61" s="169" t="n">
        <x:v>0</x:v>
      </x:c>
      <x:c r="AG61" s="169" t="n">
        <x:v>0</x:v>
      </x:c>
      <x:c r="AH61" s="171" t="n">
        <x:f>M61/$M$3</x:f>
        <x:v>0.9346271705822268</x:v>
      </x:c>
      <x:c r="AI61" s="171" t="n">
        <x:f>N61/$M$3</x:f>
        <x:v>0.9264555669050052</x:v>
      </x:c>
      <x:c r="AJ61" s="170" t="n">
        <x:f>IF(AK61&lt;&gt;"",1,0)+IF(AY61&lt;&gt;"",1,0)+IF(BM61&lt;&gt;"",1,0)+IF(CA61&lt;&gt;"",1,0)+IF(CO61&lt;&gt;"",1,0)+IF(DC61&lt;&gt;"",1,0)+IF(DQ61&lt;&gt;"",1,0)+IF(EE61&lt;&gt;"",1,0)+IF(ES61&lt;&gt;"",1,0)+IF(FG61&lt;&gt;"",1,0)</x:f>
        <x:v>3</x:v>
      </x:c>
      <x:c r="AK61" s="147" t="str">
        <x:v>Silver replicating holding (LBMA/SLV proxy)</x:v>
      </x:c>
      <x:c r="AL61" s="147" t="str">
        <x:v>Physical-backed proxy</x:v>
      </x:c>
      <x:c r="AM61" s="147" t="str">
        <x:v>Long</x:v>
      </x:c>
      <x:c r="AN61" s="167" t="n">
        <x:v>1.83</x:v>
      </x:c>
      <x:c r="AO61" s="167" t="n">
        <x:v>1.814</x:v>
      </x:c>
      <x:c r="AP61" s="166" t="n">
        <x:v>0.6006666666666667</x:v>
      </x:c>
      <x:c r="AQ61" s="171" t="n">
        <x:f>IF(AK61="","",IFERROR(F61*AP61/AN61,0))</x:f>
        <x:v>0.40186239974741245</x:v>
      </x:c>
      <x:c r="AR61" s="171" t="n">
        <x:f>IF(AK61="","",F61*ABS(AP61))</x:f>
        <x:v>0.7354081915377648</x:v>
      </x:c>
      <x:c r="AS61" s="165"/>
      <x:c r="AT61" s="172" t="str">
        <x:f>IF(AK61="","",IF(AS61="","",IFERROR(AN61/AS61-1,0)))</x:f>
      </x:c>
      <x:c r="AU61" s="166"/>
      <x:c r="AV61" s="172" t="str">
        <x:f>IF(AK61="","",IF(AU61="","",AU61-AT61*365/AW61))</x:f>
      </x:c>
      <x:c r="AW61" s="164"/>
      <x:c r="AX61" s="173" t="n">
        <x:f>IF(AK61="","",IFERROR(AP61*(AO61/AN61-1-'Parameters'!$C$6*C61/365),0))</x:f>
        <x:v>-0.005268187039948079</x:v>
      </x:c>
      <x:c r="AY61" s="147" t="str">
        <x:v>Matched-maturity Treasury collateral</x:v>
      </x:c>
      <x:c r="AZ61" s="147" t="str">
        <x:v>Treasury</x:v>
      </x:c>
      <x:c r="BA61" s="147" t="str">
        <x:v>Long</x:v>
      </x:c>
      <x:c r="BB61" s="167" t="n">
        <x:v>101.42961000727735</x:v>
      </x:c>
      <x:c r="BC61" s="167" t="n">
        <x:v>101.49619229373693</x:v>
      </x:c>
      <x:c r="BD61" s="166" t="n">
        <x:v>0.3993333333333334</x:v>
      </x:c>
      <x:c r="BE61" s="171" t="n">
        <x:f>IF(AY61="","",IFERROR(F61*BD61/BB61,0))</x:f>
        <x:v>0.004820207552227862</x:v>
      </x:c>
      <x:c r="BF61" s="171" t="n">
        <x:f>IF(AY61="","",F61*ABS(BD61))</x:f>
        <x:v>0.48891177217660503</x:v>
      </x:c>
      <x:c r="BG61" s="165"/>
      <x:c r="BH61" s="172" t="str">
        <x:f>IF(AY61="","",IF(BG61="","",IFERROR(BB61/BG61-1,0)))</x:f>
      </x:c>
      <x:c r="BI61" s="166"/>
      <x:c r="BJ61" s="172" t="str">
        <x:f>IF(AY61="","",IF(BI61="","",BI61-BH61*365/BK61))</x:f>
      </x:c>
      <x:c r="BK61" s="164" t="n">
        <x:v>61</x:v>
      </x:c>
      <x:c r="BL61" s="172" t="n">
        <x:f>IF(AY61="","",IFERROR(BD61*(BC61/BB61-1),0))</x:f>
        <x:v>0.000262137716895011</x:v>
      </x:c>
      <x:c r="BM61" s="147" t="str">
        <x:v>SI69K</x:v>
      </x:c>
      <x:c r="BN61" s="147" t="str">
        <x:v>Silver future (regular)</x:v>
      </x:c>
      <x:c r="BO61" s="147" t="str">
        <x:v>Long</x:v>
      </x:c>
      <x:c r="BP61" s="167" t="n">
        <x:v>1.83</x:v>
      </x:c>
      <x:c r="BQ61" s="167" t="n">
        <x:v>1.7890000000000001</x:v>
      </x:c>
      <x:c r="BR61" s="166" t="n">
        <x:v>0.3993333333333334</x:v>
      </x:c>
      <x:c r="BS61" s="171" t="n">
        <x:f>IF(BM61="","",IFERROR(F61*BR61/BP61,0))</x:f>
        <x:v>0.2671649028287459</x:v>
      </x:c>
      <x:c r="BT61" s="171" t="n">
        <x:f>IF(BM61="","",F61*ABS(BR61))</x:f>
        <x:v>0.48891177217660503</x:v>
      </x:c>
      <x:c r="BU61" s="165" t="n">
        <x:v>1.83</x:v>
      </x:c>
      <x:c r="BV61" s="172" t="n">
        <x:f>IF(BM61="","",IF(BU61="","",IFERROR(BP61/BU61-1,0)))</x:f>
        <x:v>0</x:v>
      </x:c>
      <x:c r="BW61" s="166" t="n">
        <x:v>0.0599</x:v>
      </x:c>
      <x:c r="BX61" s="172" t="n">
        <x:f>IF(BM61="","",IF(BW61="","",BW61-BV61*365/BY61))</x:f>
        <x:v>0.0599</x:v>
      </x:c>
      <x:c r="BY61" s="164" t="n">
        <x:v>61</x:v>
      </x:c>
      <x:c r="BZ61" s="172" t="n">
        <x:f>IF(BM61="","",IFERROR(BR61*(BQ61/BP61-1),0))</x:f>
        <x:v>-0.008946812386156642</x:v>
      </x:c>
      <x:c r="CA61" s="147"/>
      <x:c r="CB61" s="147"/>
      <x:c r="CC61" s="147"/>
      <x:c r="CD61" s="167"/>
      <x:c r="CE61" s="167"/>
      <x:c r="CF61" s="166"/>
      <x:c r="CG61" s="171" t="str">
        <x:f>IF(CA61="","",IFERROR(F61*CF61/CD61,0))</x:f>
      </x:c>
      <x:c r="CH61" s="171" t="str">
        <x:f>IF(CA61="","",F61*ABS(CF61))</x:f>
      </x:c>
      <x:c r="CI61" s="165"/>
      <x:c r="CJ61" s="172" t="str">
        <x:f>IF(CA61="","",IF(CI61="","",IFERROR(CD61/CI61-1,0)))</x:f>
      </x:c>
      <x:c r="CK61" s="166"/>
      <x:c r="CL61" s="172" t="str">
        <x:f>IF(CA61="","",IF(CK61="","",CK61-CJ61*365/CM61))</x:f>
      </x:c>
      <x:c r="CM61" s="164"/>
      <x:c r="CN61" s="172" t="str">
        <x:f>IF(CA61="","",IFERROR(CF61*(CE61/CD61-1),0))</x:f>
      </x:c>
      <x:c r="CO61" s="147"/>
      <x:c r="CP61" s="147"/>
      <x:c r="CQ61" s="147"/>
      <x:c r="CR61" s="167"/>
      <x:c r="CS61" s="167"/>
      <x:c r="CT61" s="166"/>
      <x:c r="CU61" s="171" t="str">
        <x:f>IF(CO61="","",IFERROR(F61*CT61/CR61,0))</x:f>
      </x:c>
      <x:c r="CV61" s="171" t="str">
        <x:f>IF(CO61="","",F61*ABS(CT61))</x:f>
      </x:c>
      <x:c r="CW61" s="165"/>
      <x:c r="CX61" s="172" t="str">
        <x:f>IF(CO61="","",IF(CW61="","",IFERROR(CR61/CW61-1,0)))</x:f>
      </x:c>
      <x:c r="CY61" s="166"/>
      <x:c r="CZ61" s="172" t="str">
        <x:f>IF(CO61="","",IF(CY61="","",CY61-CX61*365/DA61))</x:f>
      </x:c>
      <x:c r="DA61" s="164"/>
      <x:c r="DB61" s="172" t="str">
        <x:f>IF(CO61="","",IFERROR(CT61*(CS61/CR61-1),0))</x:f>
      </x:c>
      <x:c r="DC61" s="147"/>
      <x:c r="DD61" s="147"/>
      <x:c r="DE61" s="147"/>
      <x:c r="DF61" s="167"/>
      <x:c r="DG61" s="167"/>
      <x:c r="DH61" s="166"/>
      <x:c r="DI61" s="171" t="str">
        <x:f>IF(DC61="","",IFERROR(F61*DH61/DF61,0))</x:f>
      </x:c>
      <x:c r="DJ61" s="171" t="str">
        <x:f>IF(DC61="","",F61*ABS(DH61))</x:f>
      </x:c>
      <x:c r="DK61" s="165"/>
      <x:c r="DL61" s="172" t="str">
        <x:f>IF(DC61="","",IF(DK61="","",IFERROR(DF61/DK61-1,0)))</x:f>
      </x:c>
      <x:c r="DM61" s="166"/>
      <x:c r="DN61" s="172" t="str">
        <x:f>IF(DC61="","",IF(DM61="","",DM61-DL61*365/DO61))</x:f>
      </x:c>
      <x:c r="DO61" s="164"/>
      <x:c r="DP61" s="172" t="str">
        <x:f>IF(DC61="","",IFERROR(DH61*(DG61/DF61-1),0))</x:f>
      </x:c>
      <x:c r="DQ61" s="147"/>
      <x:c r="DR61" s="147"/>
      <x:c r="DS61" s="147"/>
      <x:c r="DT61" s="167"/>
      <x:c r="DU61" s="167"/>
      <x:c r="DV61" s="166"/>
      <x:c r="DW61" s="171" t="str">
        <x:f>IF(DQ61="","",IFERROR(F61*DV61/DT61,0))</x:f>
      </x:c>
      <x:c r="DX61" s="171" t="str">
        <x:f>IF(DQ61="","",F61*ABS(DV61))</x:f>
      </x:c>
      <x:c r="DY61" s="165"/>
      <x:c r="DZ61" s="172" t="str">
        <x:f>IF(DQ61="","",IF(DY61="","",IFERROR(DT61/DY61-1,0)))</x:f>
      </x:c>
      <x:c r="EA61" s="166"/>
      <x:c r="EB61" s="172" t="str">
        <x:f>IF(DQ61="","",IF(EA61="","",EA61-DZ61*365/EC61))</x:f>
      </x:c>
      <x:c r="EC61" s="164"/>
      <x:c r="ED61" s="172" t="str">
        <x:f>IF(DQ61="","",IFERROR(DV61*(DU61/DT61-1),0))</x:f>
      </x:c>
      <x:c r="EE61" s="147"/>
      <x:c r="EF61" s="147"/>
      <x:c r="EG61" s="147"/>
      <x:c r="EH61" s="167"/>
      <x:c r="EI61" s="167"/>
      <x:c r="EJ61" s="166"/>
      <x:c r="EK61" s="171" t="str">
        <x:f>IF(EE61="","",IFERROR(F61*EJ61/EH61,0))</x:f>
      </x:c>
      <x:c r="EL61" s="171" t="str">
        <x:f>IF(EE61="","",F61*ABS(EJ61))</x:f>
      </x:c>
      <x:c r="EM61" s="165"/>
      <x:c r="EN61" s="172" t="str">
        <x:f>IF(EE61="","",IF(EM61="","",IFERROR(EH61/EM61-1,0)))</x:f>
      </x:c>
      <x:c r="EO61" s="166"/>
      <x:c r="EP61" s="172" t="str">
        <x:f>IF(EE61="","",IF(EO61="","",EO61-EN61*365/EQ61))</x:f>
      </x:c>
      <x:c r="EQ61" s="164"/>
      <x:c r="ER61" s="172" t="str">
        <x:f>IF(EE61="","",IFERROR(EJ61*(EI61/EH61-1),0))</x:f>
      </x:c>
      <x:c r="ES61" s="147"/>
      <x:c r="ET61" s="147"/>
      <x:c r="EU61" s="147"/>
      <x:c r="EV61" s="167"/>
      <x:c r="EW61" s="167"/>
      <x:c r="EX61" s="166"/>
      <x:c r="EY61" s="171" t="str">
        <x:f>IF(ES61="","",IFERROR(F61*EX61/EV61,0))</x:f>
      </x:c>
      <x:c r="EZ61" s="171" t="str">
        <x:f>IF(ES61="","",F61*ABS(EX61))</x:f>
      </x:c>
      <x:c r="FA61" s="165"/>
      <x:c r="FB61" s="172" t="str">
        <x:f>IF(ES61="","",IF(FA61="","",IFERROR(EV61/FA61-1,0)))</x:f>
      </x:c>
      <x:c r="FC61" s="166"/>
      <x:c r="FD61" s="172" t="str">
        <x:f>IF(ES61="","",IF(FC61="","",FC61-FB61*365/FE61))</x:f>
      </x:c>
      <x:c r="FE61" s="164"/>
      <x:c r="FF61" s="172" t="str">
        <x:f>IF(ES61="","",IFERROR(EX61*(EW61/EV61-1),0))</x:f>
      </x:c>
      <x:c r="FG61" s="147"/>
      <x:c r="FH61" s="147"/>
      <x:c r="FI61" s="147"/>
      <x:c r="FJ61" s="167"/>
      <x:c r="FK61" s="167"/>
      <x:c r="FL61" s="166"/>
      <x:c r="FM61" s="171" t="str">
        <x:f>IF(FG61="","",IFERROR(F61*FL61/FJ61,0))</x:f>
      </x:c>
      <x:c r="FN61" s="171" t="str">
        <x:f>IF(FG61="","",F61*ABS(FL61))</x:f>
      </x:c>
      <x:c r="FO61" s="165"/>
      <x:c r="FP61" s="172" t="str">
        <x:f>IF(FG61="","",IF(FO61="","",IFERROR(FJ61/FO61-1,0)))</x:f>
      </x:c>
      <x:c r="FQ61" s="166"/>
      <x:c r="FR61" s="172" t="str">
        <x:f>IF(FG61="","",IF(FQ61="","",FQ61-FP61*365/FS61))</x:f>
      </x:c>
      <x:c r="FS61" s="164"/>
      <x:c r="FT61" s="172" t="str">
        <x:f>IF(FG61="","",IFERROR(FL61*(FK61/FJ61-1),0))</x:f>
      </x:c>
    </x:row>
    <x:row r="62" ht="18" customHeight="1">
      <x:c r="A62" s="163" t="n">
        <x:v>25294</x:v>
      </x:c>
      <x:c r="B62" s="163" t="n">
        <x:v>25295</x:v>
      </x:c>
      <x:c r="C62" s="170" t="n">
        <x:f>B62-A62</x:f>
        <x:v>1</x:v>
      </x:c>
      <x:c r="D62" s="163" t="n">
        <x:v>25294</x:v>
      </x:c>
      <x:c r="E62" s="147" t="str">
        <x:v>positive</x:v>
      </x:c>
      <x:c r="F62" s="165" t="n">
        <x:v>1.2072371965728386</x:v>
      </x:c>
      <x:c r="G62" s="168" t="n">
        <x:v>0.01883087574225198</x:v>
      </x:c>
      <x:c r="H62" s="172" t="n">
        <x:f>SUM(AX62,BL62,BZ62,CN62,DB62,DP62,ED62,ER62,FF62,FT62)</x:f>
        <x:v>0.018830875742251674</x:v>
      </x:c>
      <x:c r="I62" s="174" t="n">
        <x:f>G62-H62</x:f>
        <x:v>3.0531133177191805e-16</x:v>
      </x:c>
      <x:c r="J62" s="171" t="n">
        <x:f>F62*(1+H62)</x:f>
        <x:v>1.229970530212926</x:v>
      </x:c>
      <x:c r="K62" s="169" t="n">
        <x:v>1.2299705302129262</x:v>
      </x:c>
      <x:c r="L62" s="175" t="n">
        <x:f>K62-J62</x:f>
        <x:v>2.220446049250313e-16</x:v>
      </x:c>
      <x:c r="M62" s="167" t="n">
        <x:v>1.814</x:v>
      </x:c>
      <x:c r="N62" s="167" t="n">
        <x:v>1.799</x:v>
      </x:c>
      <x:c r="O62" s="172" t="n">
        <x:f>IFERROR(N62/M62-1,0)</x:f>
        <x:v>-0.008269018743109258</x:v>
      </x:c>
      <x:c r="P62" s="171" t="n">
        <x:f>IFERROR(AD62/AH62,0)</x:f>
        <x:v>1.303070799828896</x:v>
      </x:c>
      <x:c r="Q62" s="171" t="n">
        <x:f>IFERROR(AE62/AI62,0)</x:f>
        <x:v>1.3386783202650967</x:v>
      </x:c>
      <x:c r="R62" s="172" t="n">
        <x:f>IFERROR((Q62-P62)/(P62+S62),0)</x:f>
        <x:v>0.02732585247162035</x:v>
      </x:c>
      <x:c r="S62" s="172" t="n">
        <x:f>IFERROR(AF62/AH62,0)</x:f>
        <x:v>0</x:v>
      </x:c>
      <x:c r="T62" s="172" t="n">
        <x:f>IFERROR(AG62/AI62,0)</x:f>
        <x:v>0</x:v>
      </x:c>
      <x:c r="U62" s="172" t="n">
        <x:f>IFERROR((T62-S62)/(P62+S62),0)</x:f>
        <x:v>0</x:v>
      </x:c>
      <x:c r="V62" s="172" t="n">
        <x:f>R62+U62</x:f>
        <x:v>0.02732585247162035</x:v>
      </x:c>
      <x:c r="W62" s="172" t="n">
        <x:f>(1+O62)*(1+V62)-1</x:f>
        <x:v>0.01883087574225195</x:v>
      </x:c>
      <x:c r="X62" s="174" t="n">
        <x:f>G62-W62</x:f>
        <x:v>2.7755575615628914e-17</x:v>
      </x:c>
      <x:c r="Y62" s="172" t="n">
        <x:f>AX62</x:f>
        <x:v>-0.0001020015398639357</x:v>
      </x:c>
      <x:c r="Z62" s="172" t="n">
        <x:f>BL62</x:f>
        <x:v>0.00016208690928430134</x:v>
      </x:c>
      <x:c r="AA62" s="172" t="n">
        <x:f>SUM(BZ62,CN62,DB62,DP62,ED62,ER62,FF62,FT62)</x:f>
        <x:v>0.018770790372831306</x:v>
      </x:c>
      <x:c r="AB62" s="172" t="n">
        <x:f>SUM(Y62:AA62)</x:f>
        <x:v>0.018830875742251674</x:v>
      </x:c>
      <x:c r="AC62" s="174" t="n">
        <x:f>G62-AB62</x:f>
        <x:v>3.0531133177191805e-16</x:v>
      </x:c>
      <x:c r="AD62" s="169" t="n">
        <x:v>1.2072371965728383</x:v>
      </x:c>
      <x:c r="AE62" s="169" t="n">
        <x:v>1.229970530212926</x:v>
      </x:c>
      <x:c r="AF62" s="169" t="n">
        <x:v>0</x:v>
      </x:c>
      <x:c r="AG62" s="169" t="n">
        <x:v>0</x:v>
      </x:c>
      <x:c r="AH62" s="171" t="n">
        <x:f>M62/$M$3</x:f>
        <x:v>0.9264555669050052</x:v>
      </x:c>
      <x:c r="AI62" s="171" t="n">
        <x:f>N62/$M$3</x:f>
        <x:v>0.9187946884576098</x:v>
      </x:c>
      <x:c r="AJ62" s="170" t="n">
        <x:f>IF(AK62&lt;&gt;"",1,0)+IF(AY62&lt;&gt;"",1,0)+IF(BM62&lt;&gt;"",1,0)+IF(CA62&lt;&gt;"",1,0)+IF(CO62&lt;&gt;"",1,0)+IF(DC62&lt;&gt;"",1,0)+IF(DQ62&lt;&gt;"",1,0)+IF(EE62&lt;&gt;"",1,0)+IF(ES62&lt;&gt;"",1,0)+IF(FG62&lt;&gt;"",1,0)</x:f>
        <x:v>3</x:v>
      </x:c>
      <x:c r="AK62" s="147" t="str">
        <x:v>Silver replicating holding (LBMA/SLV proxy)</x:v>
      </x:c>
      <x:c r="AL62" s="147" t="str">
        <x:v>Physical-backed proxy</x:v>
      </x:c>
      <x:c r="AM62" s="147" t="str">
        <x:v>Long</x:v>
      </x:c>
      <x:c r="AN62" s="167" t="n">
        <x:v>1.814</x:v>
      </x:c>
      <x:c r="AO62" s="167" t="n">
        <x:v>1.799</x:v>
      </x:c>
      <x:c r="AP62" s="166" t="n">
        <x:v>0.012325177147204935</x:v>
      </x:c>
      <x:c r="AQ62" s="171" t="n">
        <x:f>IF(AK62="","",IFERROR(F62*AP62/AN62,0))</x:f>
        <x:v>0.008202542616568524</x:v>
      </x:c>
      <x:c r="AR62" s="171" t="n">
        <x:f>IF(AK62="","",F62*ABS(AP62))</x:f>
        <x:v>0.014879412306455302</x:v>
      </x:c>
      <x:c r="AS62" s="165"/>
      <x:c r="AT62" s="172" t="str">
        <x:f>IF(AK62="","",IF(AS62="","",IFERROR(AN62/AS62-1,0)))</x:f>
      </x:c>
      <x:c r="AU62" s="166"/>
      <x:c r="AV62" s="172" t="str">
        <x:f>IF(AK62="","",IF(AU62="","",AU62-AT62*365/AW62))</x:f>
      </x:c>
      <x:c r="AW62" s="164"/>
      <x:c r="AX62" s="173" t="n">
        <x:f>IF(AK62="","",IFERROR(AP62*(AO62/AN62-1-'Parameters'!$C$6*C62/365),0))</x:f>
        <x:v>-0.0001020015398639357</x:v>
      </x:c>
      <x:c r="AY62" s="147" t="str">
        <x:v>Matched-maturity Treasury collateral</x:v>
      </x:c>
      <x:c r="AZ62" s="147" t="str">
        <x:v>Treasury</x:v>
      </x:c>
      <x:c r="BA62" s="147" t="str">
        <x:v>Long</x:v>
      </x:c>
      <x:c r="BB62" s="167" t="n">
        <x:v>101.49619229373693</x:v>
      </x:c>
      <x:c r="BC62" s="167" t="n">
        <x:v>101.51284879214346</x:v>
      </x:c>
      <x:c r="BD62" s="166" t="n">
        <x:v>0.9876748228527952</x:v>
      </x:c>
      <x:c r="BE62" s="171" t="n">
        <x:f>IF(AY62="","",IFERROR(F62*BD62/BB62,0))</x:f>
        <x:v>0.01174780804402611</x:v>
      </x:c>
      <x:c r="BF62" s="171" t="n">
        <x:f>IF(AY62="","",F62*ABS(BD62))</x:f>
        <x:v>1.1923577842663835</x:v>
      </x:c>
      <x:c r="BG62" s="165"/>
      <x:c r="BH62" s="172" t="str">
        <x:f>IF(AY62="","",IF(BG62="","",IFERROR(BB62/BG62-1,0)))</x:f>
      </x:c>
      <x:c r="BI62" s="166"/>
      <x:c r="BJ62" s="172" t="str">
        <x:f>IF(AY62="","",IF(BI62="","",BI62-BH62*365/BK62))</x:f>
      </x:c>
      <x:c r="BK62" s="164" t="n">
        <x:v>57</x:v>
      </x:c>
      <x:c r="BL62" s="172" t="n">
        <x:f>IF(AY62="","",IFERROR(BD62*(BC62/BB62-1),0))</x:f>
        <x:v>0.00016208690928430134</x:v>
      </x:c>
      <x:c r="BM62" s="147" t="str">
        <x:v>SI69K</x:v>
      </x:c>
      <x:c r="BN62" s="147" t="str">
        <x:v>Silver future (regular)</x:v>
      </x:c>
      <x:c r="BO62" s="147" t="str">
        <x:v>Long</x:v>
      </x:c>
      <x:c r="BP62" s="167" t="n">
        <x:v>1.7890000000000001</x:v>
      </x:c>
      <x:c r="BQ62" s="167" t="n">
        <x:v>1.8230000000000002</x:v>
      </x:c>
      <x:c r="BR62" s="166" t="n">
        <x:v>0.9876748228527952</x:v>
      </x:c>
      <x:c r="BS62" s="171" t="n">
        <x:f>IF(BM62="","",IFERROR(F62*BR62/BP62,0))</x:f>
        <x:v>0.6664940102103876</x:v>
      </x:c>
      <x:c r="BT62" s="171" t="n">
        <x:f>IF(BM62="","",F62*ABS(BR62))</x:f>
        <x:v>1.1923577842663835</x:v>
      </x:c>
      <x:c r="BU62" s="165" t="n">
        <x:v>1.814</x:v>
      </x:c>
      <x:c r="BV62" s="172" t="n">
        <x:f>IF(BM62="","",IF(BU62="","",IFERROR(BP62/BU62-1,0)))</x:f>
        <x:v>-0.013781697905181911</x:v>
      </x:c>
      <x:c r="BW62" s="166" t="n">
        <x:v>0.0599</x:v>
      </x:c>
      <x:c r="BX62" s="172" t="n">
        <x:f>IF(BM62="","",IF(BW62="","",BW62-BV62*365/BY62))</x:f>
        <x:v>0.14815122342791925</x:v>
      </x:c>
      <x:c r="BY62" s="164" t="n">
        <x:v>57</x:v>
      </x:c>
      <x:c r="BZ62" s="172" t="n">
        <x:f>IF(BM62="","",IFERROR(BR62*(BQ62/BP62-1),0))</x:f>
        <x:v>0.018770790372831306</x:v>
      </x:c>
      <x:c r="CA62" s="147"/>
      <x:c r="CB62" s="147"/>
      <x:c r="CC62" s="147"/>
      <x:c r="CD62" s="167"/>
      <x:c r="CE62" s="167"/>
      <x:c r="CF62" s="166"/>
      <x:c r="CG62" s="171" t="str">
        <x:f>IF(CA62="","",IFERROR(F62*CF62/CD62,0))</x:f>
      </x:c>
      <x:c r="CH62" s="171" t="str">
        <x:f>IF(CA62="","",F62*ABS(CF62))</x:f>
      </x:c>
      <x:c r="CI62" s="165"/>
      <x:c r="CJ62" s="172" t="str">
        <x:f>IF(CA62="","",IF(CI62="","",IFERROR(CD62/CI62-1,0)))</x:f>
      </x:c>
      <x:c r="CK62" s="166"/>
      <x:c r="CL62" s="172" t="str">
        <x:f>IF(CA62="","",IF(CK62="","",CK62-CJ62*365/CM62))</x:f>
      </x:c>
      <x:c r="CM62" s="164"/>
      <x:c r="CN62" s="172" t="str">
        <x:f>IF(CA62="","",IFERROR(CF62*(CE62/CD62-1),0))</x:f>
      </x:c>
      <x:c r="CO62" s="147"/>
      <x:c r="CP62" s="147"/>
      <x:c r="CQ62" s="147"/>
      <x:c r="CR62" s="167"/>
      <x:c r="CS62" s="167"/>
      <x:c r="CT62" s="166"/>
      <x:c r="CU62" s="171" t="str">
        <x:f>IF(CO62="","",IFERROR(F62*CT62/CR62,0))</x:f>
      </x:c>
      <x:c r="CV62" s="171" t="str">
        <x:f>IF(CO62="","",F62*ABS(CT62))</x:f>
      </x:c>
      <x:c r="CW62" s="165"/>
      <x:c r="CX62" s="172" t="str">
        <x:f>IF(CO62="","",IF(CW62="","",IFERROR(CR62/CW62-1,0)))</x:f>
      </x:c>
      <x:c r="CY62" s="166"/>
      <x:c r="CZ62" s="172" t="str">
        <x:f>IF(CO62="","",IF(CY62="","",CY62-CX62*365/DA62))</x:f>
      </x:c>
      <x:c r="DA62" s="164"/>
      <x:c r="DB62" s="172" t="str">
        <x:f>IF(CO62="","",IFERROR(CT62*(CS62/CR62-1),0))</x:f>
      </x:c>
      <x:c r="DC62" s="147"/>
      <x:c r="DD62" s="147"/>
      <x:c r="DE62" s="147"/>
      <x:c r="DF62" s="167"/>
      <x:c r="DG62" s="167"/>
      <x:c r="DH62" s="166"/>
      <x:c r="DI62" s="171" t="str">
        <x:f>IF(DC62="","",IFERROR(F62*DH62/DF62,0))</x:f>
      </x:c>
      <x:c r="DJ62" s="171" t="str">
        <x:f>IF(DC62="","",F62*ABS(DH62))</x:f>
      </x:c>
      <x:c r="DK62" s="165"/>
      <x:c r="DL62" s="172" t="str">
        <x:f>IF(DC62="","",IF(DK62="","",IFERROR(DF62/DK62-1,0)))</x:f>
      </x:c>
      <x:c r="DM62" s="166"/>
      <x:c r="DN62" s="172" t="str">
        <x:f>IF(DC62="","",IF(DM62="","",DM62-DL62*365/DO62))</x:f>
      </x:c>
      <x:c r="DO62" s="164"/>
      <x:c r="DP62" s="172" t="str">
        <x:f>IF(DC62="","",IFERROR(DH62*(DG62/DF62-1),0))</x:f>
      </x:c>
      <x:c r="DQ62" s="147"/>
      <x:c r="DR62" s="147"/>
      <x:c r="DS62" s="147"/>
      <x:c r="DT62" s="167"/>
      <x:c r="DU62" s="167"/>
      <x:c r="DV62" s="166"/>
      <x:c r="DW62" s="171" t="str">
        <x:f>IF(DQ62="","",IFERROR(F62*DV62/DT62,0))</x:f>
      </x:c>
      <x:c r="DX62" s="171" t="str">
        <x:f>IF(DQ62="","",F62*ABS(DV62))</x:f>
      </x:c>
      <x:c r="DY62" s="165"/>
      <x:c r="DZ62" s="172" t="str">
        <x:f>IF(DQ62="","",IF(DY62="","",IFERROR(DT62/DY62-1,0)))</x:f>
      </x:c>
      <x:c r="EA62" s="166"/>
      <x:c r="EB62" s="172" t="str">
        <x:f>IF(DQ62="","",IF(EA62="","",EA62-DZ62*365/EC62))</x:f>
      </x:c>
      <x:c r="EC62" s="164"/>
      <x:c r="ED62" s="172" t="str">
        <x:f>IF(DQ62="","",IFERROR(DV62*(DU62/DT62-1),0))</x:f>
      </x:c>
      <x:c r="EE62" s="147"/>
      <x:c r="EF62" s="147"/>
      <x:c r="EG62" s="147"/>
      <x:c r="EH62" s="167"/>
      <x:c r="EI62" s="167"/>
      <x:c r="EJ62" s="166"/>
      <x:c r="EK62" s="171" t="str">
        <x:f>IF(EE62="","",IFERROR(F62*EJ62/EH62,0))</x:f>
      </x:c>
      <x:c r="EL62" s="171" t="str">
        <x:f>IF(EE62="","",F62*ABS(EJ62))</x:f>
      </x:c>
      <x:c r="EM62" s="165"/>
      <x:c r="EN62" s="172" t="str">
        <x:f>IF(EE62="","",IF(EM62="","",IFERROR(EH62/EM62-1,0)))</x:f>
      </x:c>
      <x:c r="EO62" s="166"/>
      <x:c r="EP62" s="172" t="str">
        <x:f>IF(EE62="","",IF(EO62="","",EO62-EN62*365/EQ62))</x:f>
      </x:c>
      <x:c r="EQ62" s="164"/>
      <x:c r="ER62" s="172" t="str">
        <x:f>IF(EE62="","",IFERROR(EJ62*(EI62/EH62-1),0))</x:f>
      </x:c>
      <x:c r="ES62" s="147"/>
      <x:c r="ET62" s="147"/>
      <x:c r="EU62" s="147"/>
      <x:c r="EV62" s="167"/>
      <x:c r="EW62" s="167"/>
      <x:c r="EX62" s="166"/>
      <x:c r="EY62" s="171" t="str">
        <x:f>IF(ES62="","",IFERROR(F62*EX62/EV62,0))</x:f>
      </x:c>
      <x:c r="EZ62" s="171" t="str">
        <x:f>IF(ES62="","",F62*ABS(EX62))</x:f>
      </x:c>
      <x:c r="FA62" s="165"/>
      <x:c r="FB62" s="172" t="str">
        <x:f>IF(ES62="","",IF(FA62="","",IFERROR(EV62/FA62-1,0)))</x:f>
      </x:c>
      <x:c r="FC62" s="166"/>
      <x:c r="FD62" s="172" t="str">
        <x:f>IF(ES62="","",IF(FC62="","",FC62-FB62*365/FE62))</x:f>
      </x:c>
      <x:c r="FE62" s="164"/>
      <x:c r="FF62" s="172" t="str">
        <x:f>IF(ES62="","",IFERROR(EX62*(EW62/EV62-1),0))</x:f>
      </x:c>
      <x:c r="FG62" s="147"/>
      <x:c r="FH62" s="147"/>
      <x:c r="FI62" s="147"/>
      <x:c r="FJ62" s="167"/>
      <x:c r="FK62" s="167"/>
      <x:c r="FL62" s="166"/>
      <x:c r="FM62" s="171" t="str">
        <x:f>IF(FG62="","",IFERROR(F62*FL62/FJ62,0))</x:f>
      </x:c>
      <x:c r="FN62" s="171" t="str">
        <x:f>IF(FG62="","",F62*ABS(FL62))</x:f>
      </x:c>
      <x:c r="FO62" s="165"/>
      <x:c r="FP62" s="172" t="str">
        <x:f>IF(FG62="","",IF(FO62="","",IFERROR(FJ62/FO62-1,0)))</x:f>
      </x:c>
      <x:c r="FQ62" s="166"/>
      <x:c r="FR62" s="172" t="str">
        <x:f>IF(FG62="","",IF(FQ62="","",FQ62-FP62*365/FS62))</x:f>
      </x:c>
      <x:c r="FS62" s="164"/>
      <x:c r="FT62" s="172" t="str">
        <x:f>IF(FG62="","",IFERROR(FL62*(FK62/FJ62-1),0))</x:f>
      </x:c>
    </x:row>
    <x:row r="63" ht="18" customHeight="1">
      <x:c r="A63" s="163" t="n">
        <x:v>25295</x:v>
      </x:c>
      <x:c r="B63" s="163" t="n">
        <x:v>25296</x:v>
      </x:c>
      <x:c r="C63" s="170" t="n">
        <x:f>B63-A63</x:f>
        <x:v>1</x:v>
      </x:c>
      <x:c r="D63" s="163" t="n">
        <x:v>25295</x:v>
      </x:c>
      <x:c r="E63" s="147" t="str">
        <x:v>neutral</x:v>
      </x:c>
      <x:c r="F63" s="165" t="n">
        <x:v>1.2299705302129262</x:v>
      </x:c>
      <x:c r="G63" s="168" t="n">
        <x:v>0.020004267972313316</x:v>
      </x:c>
      <x:c r="H63" s="172" t="n">
        <x:f>SUM(AX63,BL63,BZ63,CN63,DB63,DP63,ED63,ER63,FF63,FT63)</x:f>
        <x:v>0.020004267972313316</x:v>
      </x:c>
      <x:c r="I63" s="174" t="n">
        <x:f>G63-H63</x:f>
        <x:v>0</x:v>
      </x:c>
      <x:c r="J63" s="171" t="n">
        <x:f>F63*(1+H63)</x:f>
        <x:v>1.2545751902973539</x:v>
      </x:c>
      <x:c r="K63" s="169" t="n">
        <x:v>1.2545751902973539</x:v>
      </x:c>
      <x:c r="L63" s="175" t="n">
        <x:f>K63-J63</x:f>
        <x:v>0</x:v>
      </x:c>
      <x:c r="M63" s="167" t="n">
        <x:v>1.799</x:v>
      </x:c>
      <x:c r="N63" s="167" t="n">
        <x:v>1.835</x:v>
      </x:c>
      <x:c r="O63" s="172" t="n">
        <x:f>IFERROR(N63/M63-1,0)</x:f>
        <x:v>0.020011117287381808</x:v>
      </x:c>
      <x:c r="P63" s="171" t="n">
        <x:f>IFERROR(AD63/AH63,0)</x:f>
        <x:v>1.3386783202650967</x:v>
      </x:c>
      <x:c r="Q63" s="171" t="n">
        <x:f>IFERROR(AE63/AI63,0)</x:f>
        <x:v>1.338669331118375</x:v>
      </x:c>
      <x:c r="R63" s="172" t="n">
        <x:f>IFERROR((Q63-P63)/(P63+S63),0)</x:f>
        <x:v>-0.000006714941584972799</x:v>
      </x:c>
      <x:c r="S63" s="172" t="n">
        <x:f>IFERROR(AF63/AH63,0)</x:f>
        <x:v>0</x:v>
      </x:c>
      <x:c r="T63" s="172" t="n">
        <x:f>IFERROR(AG63/AI63,0)</x:f>
        <x:v>0</x:v>
      </x:c>
      <x:c r="U63" s="172" t="n">
        <x:f>IFERROR((T63-S63)/(P63+S63),0)</x:f>
        <x:v>0</x:v>
      </x:c>
      <x:c r="V63" s="172" t="n">
        <x:f>R63+U63</x:f>
        <x:v>-0.000006714941584972799</x:v>
      </x:c>
      <x:c r="W63" s="172" t="n">
        <x:f>(1+O63)*(1+V63)-1</x:f>
        <x:v>0.02000426797231314</x:v>
      </x:c>
      <x:c r="X63" s="174" t="n">
        <x:f>G63-W63</x:f>
        <x:v>1.7694179454963432e-16</x:v>
      </x:c>
      <x:c r="Y63" s="172" t="n">
        <x:f>AX63</x:f>
        <x:v>0.020004267972313316</x:v>
      </x:c>
      <x:c r="Z63" s="172" t="str">
        <x:f>BL63</x:f>
      </x:c>
      <x:c r="AA63" s="172" t="n">
        <x:f>SUM(BZ63,CN63,DB63,DP63,ED63,ER63,FF63,FT63)</x:f>
        <x:v>0</x:v>
      </x:c>
      <x:c r="AB63" s="172" t="n">
        <x:f>SUM(Y63:AA63)</x:f>
        <x:v>0.020004267972313316</x:v>
      </x:c>
      <x:c r="AC63" s="174" t="n">
        <x:f>G63-AB63</x:f>
        <x:v>0</x:v>
      </x:c>
      <x:c r="AD63" s="169" t="n">
        <x:v>1.229970530212926</x:v>
      </x:c>
      <x:c r="AE63" s="169" t="n">
        <x:v>1.2545751902973536</x:v>
      </x:c>
      <x:c r="AF63" s="169" t="n">
        <x:v>0</x:v>
      </x:c>
      <x:c r="AG63" s="169" t="n">
        <x:v>0</x:v>
      </x:c>
      <x:c r="AH63" s="171" t="n">
        <x:f>M63/$M$3</x:f>
        <x:v>0.9187946884576098</x:v>
      </x:c>
      <x:c r="AI63" s="171" t="n">
        <x:f>N63/$M$3</x:f>
        <x:v>0.9371807967313586</x:v>
      </x:c>
      <x:c r="AJ63" s="170" t="n">
        <x:f>IF(AK63&lt;&gt;"",1,0)+IF(AY63&lt;&gt;"",1,0)+IF(BM63&lt;&gt;"",1,0)+IF(CA63&lt;&gt;"",1,0)+IF(CO63&lt;&gt;"",1,0)+IF(DC63&lt;&gt;"",1,0)+IF(DQ63&lt;&gt;"",1,0)+IF(EE63&lt;&gt;"",1,0)+IF(ES63&lt;&gt;"",1,0)+IF(FG63&lt;&gt;"",1,0)</x:f>
        <x:v>1</x:v>
      </x:c>
      <x:c r="AK63" s="147" t="str">
        <x:v>Silver replicating holding (LBMA/SLV proxy)</x:v>
      </x:c>
      <x:c r="AL63" s="147" t="str">
        <x:v>Physical-backed proxy</x:v>
      </x:c>
      <x:c r="AM63" s="147" t="str">
        <x:v>Long</x:v>
      </x:c>
      <x:c r="AN63" s="167" t="n">
        <x:v>1.799</x:v>
      </x:c>
      <x:c r="AO63" s="167" t="n">
        <x:v>1.835</x:v>
      </x:c>
      <x:c r="AP63" s="166" t="n">
        <x:v>1</x:v>
      </x:c>
      <x:c r="AQ63" s="171" t="n">
        <x:f>IF(AK63="","",IFERROR(F63*AP63/AN63,0))</x:f>
        <x:v>0.6836967927809484</x:v>
      </x:c>
      <x:c r="AR63" s="171" t="n">
        <x:f>IF(AK63="","",F63*ABS(AP63))</x:f>
        <x:v>1.2299705302129262</x:v>
      </x:c>
      <x:c r="AS63" s="165"/>
      <x:c r="AT63" s="172" t="str">
        <x:f>IF(AK63="","",IF(AS63="","",IFERROR(AN63/AS63-1,0)))</x:f>
      </x:c>
      <x:c r="AU63" s="166"/>
      <x:c r="AV63" s="172" t="str">
        <x:f>IF(AK63="","",IF(AU63="","",AU63-AT63*365/AW63))</x:f>
      </x:c>
      <x:c r="AW63" s="164"/>
      <x:c r="AX63" s="173" t="n">
        <x:f>IF(AK63="","",IFERROR(AP63*(AO63/AN63-1-'Parameters'!$C$6*C63/365),0))</x:f>
        <x:v>0.020004267972313316</x:v>
      </x:c>
      <x:c r="AY63" s="147"/>
      <x:c r="AZ63" s="147"/>
      <x:c r="BA63" s="147"/>
      <x:c r="BB63" s="167"/>
      <x:c r="BC63" s="167"/>
      <x:c r="BD63" s="166"/>
      <x:c r="BE63" s="171" t="str">
        <x:f>IF(AY63="","",IFERROR(F63*BD63/BB63,0))</x:f>
      </x:c>
      <x:c r="BF63" s="171" t="str">
        <x:f>IF(AY63="","",F63*ABS(BD63))</x:f>
      </x:c>
      <x:c r="BG63" s="165"/>
      <x:c r="BH63" s="172" t="str">
        <x:f>IF(AY63="","",IF(BG63="","",IFERROR(BB63/BG63-1,0)))</x:f>
      </x:c>
      <x:c r="BI63" s="166"/>
      <x:c r="BJ63" s="172" t="str">
        <x:f>IF(AY63="","",IF(BI63="","",BI63-BH63*365/BK63))</x:f>
      </x:c>
      <x:c r="BK63" s="164"/>
      <x:c r="BL63" s="172" t="str">
        <x:f>IF(AY63="","",IFERROR(BD63*(BC63/BB63-1),0))</x:f>
      </x:c>
      <x:c r="BM63" s="147"/>
      <x:c r="BN63" s="147"/>
      <x:c r="BO63" s="147"/>
      <x:c r="BP63" s="167"/>
      <x:c r="BQ63" s="167"/>
      <x:c r="BR63" s="166"/>
      <x:c r="BS63" s="171" t="str">
        <x:f>IF(BM63="","",IFERROR(F63*BR63/BP63,0))</x:f>
      </x:c>
      <x:c r="BT63" s="171" t="str">
        <x:f>IF(BM63="","",F63*ABS(BR63))</x:f>
      </x:c>
      <x:c r="BU63" s="165"/>
      <x:c r="BV63" s="172" t="str">
        <x:f>IF(BM63="","",IF(BU63="","",IFERROR(BP63/BU63-1,0)))</x:f>
      </x:c>
      <x:c r="BW63" s="166"/>
      <x:c r="BX63" s="172" t="str">
        <x:f>IF(BM63="","",IF(BW63="","",BW63-BV63*365/BY63))</x:f>
      </x:c>
      <x:c r="BY63" s="164"/>
      <x:c r="BZ63" s="172" t="str">
        <x:f>IF(BM63="","",IFERROR(BR63*(BQ63/BP63-1),0))</x:f>
      </x:c>
      <x:c r="CA63" s="147"/>
      <x:c r="CB63" s="147"/>
      <x:c r="CC63" s="147"/>
      <x:c r="CD63" s="167"/>
      <x:c r="CE63" s="167"/>
      <x:c r="CF63" s="166"/>
      <x:c r="CG63" s="171" t="str">
        <x:f>IF(CA63="","",IFERROR(F63*CF63/CD63,0))</x:f>
      </x:c>
      <x:c r="CH63" s="171" t="str">
        <x:f>IF(CA63="","",F63*ABS(CF63))</x:f>
      </x:c>
      <x:c r="CI63" s="165"/>
      <x:c r="CJ63" s="172" t="str">
        <x:f>IF(CA63="","",IF(CI63="","",IFERROR(CD63/CI63-1,0)))</x:f>
      </x:c>
      <x:c r="CK63" s="166"/>
      <x:c r="CL63" s="172" t="str">
        <x:f>IF(CA63="","",IF(CK63="","",CK63-CJ63*365/CM63))</x:f>
      </x:c>
      <x:c r="CM63" s="164"/>
      <x:c r="CN63" s="172" t="str">
        <x:f>IF(CA63="","",IFERROR(CF63*(CE63/CD63-1),0))</x:f>
      </x:c>
      <x:c r="CO63" s="147"/>
      <x:c r="CP63" s="147"/>
      <x:c r="CQ63" s="147"/>
      <x:c r="CR63" s="167"/>
      <x:c r="CS63" s="167"/>
      <x:c r="CT63" s="166"/>
      <x:c r="CU63" s="171" t="str">
        <x:f>IF(CO63="","",IFERROR(F63*CT63/CR63,0))</x:f>
      </x:c>
      <x:c r="CV63" s="171" t="str">
        <x:f>IF(CO63="","",F63*ABS(CT63))</x:f>
      </x:c>
      <x:c r="CW63" s="165"/>
      <x:c r="CX63" s="172" t="str">
        <x:f>IF(CO63="","",IF(CW63="","",IFERROR(CR63/CW63-1,0)))</x:f>
      </x:c>
      <x:c r="CY63" s="166"/>
      <x:c r="CZ63" s="172" t="str">
        <x:f>IF(CO63="","",IF(CY63="","",CY63-CX63*365/DA63))</x:f>
      </x:c>
      <x:c r="DA63" s="164"/>
      <x:c r="DB63" s="172" t="str">
        <x:f>IF(CO63="","",IFERROR(CT63*(CS63/CR63-1),0))</x:f>
      </x:c>
      <x:c r="DC63" s="147"/>
      <x:c r="DD63" s="147"/>
      <x:c r="DE63" s="147"/>
      <x:c r="DF63" s="167"/>
      <x:c r="DG63" s="167"/>
      <x:c r="DH63" s="166"/>
      <x:c r="DI63" s="171" t="str">
        <x:f>IF(DC63="","",IFERROR(F63*DH63/DF63,0))</x:f>
      </x:c>
      <x:c r="DJ63" s="171" t="str">
        <x:f>IF(DC63="","",F63*ABS(DH63))</x:f>
      </x:c>
      <x:c r="DK63" s="165"/>
      <x:c r="DL63" s="172" t="str">
        <x:f>IF(DC63="","",IF(DK63="","",IFERROR(DF63/DK63-1,0)))</x:f>
      </x:c>
      <x:c r="DM63" s="166"/>
      <x:c r="DN63" s="172" t="str">
        <x:f>IF(DC63="","",IF(DM63="","",DM63-DL63*365/DO63))</x:f>
      </x:c>
      <x:c r="DO63" s="164"/>
      <x:c r="DP63" s="172" t="str">
        <x:f>IF(DC63="","",IFERROR(DH63*(DG63/DF63-1),0))</x:f>
      </x:c>
      <x:c r="DQ63" s="147"/>
      <x:c r="DR63" s="147"/>
      <x:c r="DS63" s="147"/>
      <x:c r="DT63" s="167"/>
      <x:c r="DU63" s="167"/>
      <x:c r="DV63" s="166"/>
      <x:c r="DW63" s="171" t="str">
        <x:f>IF(DQ63="","",IFERROR(F63*DV63/DT63,0))</x:f>
      </x:c>
      <x:c r="DX63" s="171" t="str">
        <x:f>IF(DQ63="","",F63*ABS(DV63))</x:f>
      </x:c>
      <x:c r="DY63" s="165"/>
      <x:c r="DZ63" s="172" t="str">
        <x:f>IF(DQ63="","",IF(DY63="","",IFERROR(DT63/DY63-1,0)))</x:f>
      </x:c>
      <x:c r="EA63" s="166"/>
      <x:c r="EB63" s="172" t="str">
        <x:f>IF(DQ63="","",IF(EA63="","",EA63-DZ63*365/EC63))</x:f>
      </x:c>
      <x:c r="EC63" s="164"/>
      <x:c r="ED63" s="172" t="str">
        <x:f>IF(DQ63="","",IFERROR(DV63*(DU63/DT63-1),0))</x:f>
      </x:c>
      <x:c r="EE63" s="147"/>
      <x:c r="EF63" s="147"/>
      <x:c r="EG63" s="147"/>
      <x:c r="EH63" s="167"/>
      <x:c r="EI63" s="167"/>
      <x:c r="EJ63" s="166"/>
      <x:c r="EK63" s="171" t="str">
        <x:f>IF(EE63="","",IFERROR(F63*EJ63/EH63,0))</x:f>
      </x:c>
      <x:c r="EL63" s="171" t="str">
        <x:f>IF(EE63="","",F63*ABS(EJ63))</x:f>
      </x:c>
      <x:c r="EM63" s="165"/>
      <x:c r="EN63" s="172" t="str">
        <x:f>IF(EE63="","",IF(EM63="","",IFERROR(EH63/EM63-1,0)))</x:f>
      </x:c>
      <x:c r="EO63" s="166"/>
      <x:c r="EP63" s="172" t="str">
        <x:f>IF(EE63="","",IF(EO63="","",EO63-EN63*365/EQ63))</x:f>
      </x:c>
      <x:c r="EQ63" s="164"/>
      <x:c r="ER63" s="172" t="str">
        <x:f>IF(EE63="","",IFERROR(EJ63*(EI63/EH63-1),0))</x:f>
      </x:c>
      <x:c r="ES63" s="147"/>
      <x:c r="ET63" s="147"/>
      <x:c r="EU63" s="147"/>
      <x:c r="EV63" s="167"/>
      <x:c r="EW63" s="167"/>
      <x:c r="EX63" s="166"/>
      <x:c r="EY63" s="171" t="str">
        <x:f>IF(ES63="","",IFERROR(F63*EX63/EV63,0))</x:f>
      </x:c>
      <x:c r="EZ63" s="171" t="str">
        <x:f>IF(ES63="","",F63*ABS(EX63))</x:f>
      </x:c>
      <x:c r="FA63" s="165"/>
      <x:c r="FB63" s="172" t="str">
        <x:f>IF(ES63="","",IF(FA63="","",IFERROR(EV63/FA63-1,0)))</x:f>
      </x:c>
      <x:c r="FC63" s="166"/>
      <x:c r="FD63" s="172" t="str">
        <x:f>IF(ES63="","",IF(FC63="","",FC63-FB63*365/FE63))</x:f>
      </x:c>
      <x:c r="FE63" s="164"/>
      <x:c r="FF63" s="172" t="str">
        <x:f>IF(ES63="","",IFERROR(EX63*(EW63/EV63-1),0))</x:f>
      </x:c>
      <x:c r="FG63" s="147"/>
      <x:c r="FH63" s="147"/>
      <x:c r="FI63" s="147"/>
      <x:c r="FJ63" s="167"/>
      <x:c r="FK63" s="167"/>
      <x:c r="FL63" s="166"/>
      <x:c r="FM63" s="171" t="str">
        <x:f>IF(FG63="","",IFERROR(F63*FL63/FJ63,0))</x:f>
      </x:c>
      <x:c r="FN63" s="171" t="str">
        <x:f>IF(FG63="","",F63*ABS(FL63))</x:f>
      </x:c>
      <x:c r="FO63" s="165"/>
      <x:c r="FP63" s="172" t="str">
        <x:f>IF(FG63="","",IF(FO63="","",IFERROR(FJ63/FO63-1,0)))</x:f>
      </x:c>
      <x:c r="FQ63" s="166"/>
      <x:c r="FR63" s="172" t="str">
        <x:f>IF(FG63="","",IF(FQ63="","",FQ63-FP63*365/FS63))</x:f>
      </x:c>
      <x:c r="FS63" s="164"/>
      <x:c r="FT63" s="172" t="str">
        <x:f>IF(FG63="","",IFERROR(FL63*(FK63/FJ63-1),0))</x:f>
      </x:c>
    </x:row>
    <x:row r="64" ht="18" customHeight="1">
      <x:c r="A64" s="163" t="n">
        <x:v>25296</x:v>
      </x:c>
      <x:c r="B64" s="163" t="n">
        <x:v>25301</x:v>
      </x:c>
      <x:c r="C64" s="170" t="n">
        <x:f>B64-A64</x:f>
        <x:v>5</x:v>
      </x:c>
      <x:c r="D64" s="163" t="n">
        <x:v>25296</x:v>
      </x:c>
      <x:c r="E64" s="147" t="str">
        <x:v>positive</x:v>
      </x:c>
      <x:c r="F64" s="165" t="n">
        <x:v>1.2545751902973539</x:v>
      </x:c>
      <x:c r="G64" s="168" t="n">
        <x:v>-0.012317166217148203</x:v>
      </x:c>
      <x:c r="H64" s="172" t="n">
        <x:f>SUM(AX64,BL64,BZ64,CN64,DB64,DP64,ED64,ER64,FF64,FT64)</x:f>
        <x:v>-0.01231716621714828</x:v>
      </x:c>
      <x:c r="I64" s="174" t="n">
        <x:f>G64-H64</x:f>
        <x:v>7.632783294297951e-17</x:v>
      </x:c>
      <x:c r="J64" s="171" t="n">
        <x:f>F64*(1+H64)</x:f>
        <x:v>1.2391223791465509</x:v>
      </x:c>
      <x:c r="K64" s="169" t="n">
        <x:v>1.239122379146551</x:v>
      </x:c>
      <x:c r="L64" s="175" t="n">
        <x:f>K64-J64</x:f>
        <x:v>2.220446049250313e-16</x:v>
      </x:c>
      <x:c r="M64" s="167" t="n">
        <x:v>1.835</x:v>
      </x:c>
      <x:c r="N64" s="167" t="n">
        <x:v>1.826</x:v>
      </x:c>
      <x:c r="O64" s="172" t="n">
        <x:f>IFERROR(N64/M64-1,0)</x:f>
        <x:v>-0.004904632152588517</x:v>
      </x:c>
      <x:c r="P64" s="171" t="n">
        <x:f>IFERROR(AD64/AH64,0)</x:f>
        <x:v>1.338669331118375</x:v>
      </x:c>
      <x:c r="Q64" s="171" t="n">
        <x:f>IFERROR(AE64/AI64,0)</x:f>
        <x:v>1.3286974908920846</x:v>
      </x:c>
      <x:c r="R64" s="172" t="n">
        <x:f>IFERROR((Q64-P64)/(P64+S64),0)</x:f>
        <x:v>-0.007449069007922698</x:v>
      </x:c>
      <x:c r="S64" s="172" t="n">
        <x:f>IFERROR(AF64/AH64,0)</x:f>
        <x:v>0</x:v>
      </x:c>
      <x:c r="T64" s="172" t="n">
        <x:f>IFERROR(AG64/AI64,0)</x:f>
        <x:v>0</x:v>
      </x:c>
      <x:c r="U64" s="172" t="n">
        <x:f>IFERROR((T64-S64)/(P64+S64),0)</x:f>
        <x:v>0</x:v>
      </x:c>
      <x:c r="V64" s="172" t="n">
        <x:f>R64+U64</x:f>
        <x:v>-0.007449069007922698</x:v>
      </x:c>
      <x:c r="W64" s="172" t="n">
        <x:f>(1+O64)*(1+V64)-1</x:f>
        <x:v>-0.012317166217148179</x:v>
      </x:c>
      <x:c r="X64" s="174" t="n">
        <x:f>G64-W64</x:f>
        <x:v>-2.42861286636753e-17</x:v>
      </x:c>
      <x:c r="Y64" s="172" t="n">
        <x:f>AX64</x:f>
        <x:v>-0.0011475252889441006</x:v>
      </x:c>
      <x:c r="Z64" s="172" t="n">
        <x:f>BL64</x:f>
        <x:v>0.000640413299581531</x:v>
      </x:c>
      <x:c r="AA64" s="172" t="n">
        <x:f>SUM(BZ64,CN64,DB64,DP64,ED64,ER64,FF64,FT64)</x:f>
        <x:v>-0.011810054227785709</x:v>
      </x:c>
      <x:c r="AB64" s="172" t="n">
        <x:f>SUM(Y64:AA64)</x:f>
        <x:v>-0.01231716621714828</x:v>
      </x:c>
      <x:c r="AC64" s="174" t="n">
        <x:f>G64-AB64</x:f>
        <x:v>7.632783294297951e-17</x:v>
      </x:c>
      <x:c r="AD64" s="169" t="n">
        <x:v>1.2545751902973536</x:v>
      </x:c>
      <x:c r="AE64" s="169" t="n">
        <x:v>1.2391223791465509</x:v>
      </x:c>
      <x:c r="AF64" s="169" t="n">
        <x:v>0</x:v>
      </x:c>
      <x:c r="AG64" s="169" t="n">
        <x:v>0</x:v>
      </x:c>
      <x:c r="AH64" s="171" t="n">
        <x:f>M64/$M$3</x:f>
        <x:v>0.9371807967313586</x:v>
      </x:c>
      <x:c r="AI64" s="171" t="n">
        <x:f>N64/$M$3</x:f>
        <x:v>0.9325842696629214</x:v>
      </x:c>
      <x:c r="AJ64" s="170" t="n">
        <x:f>IF(AK64&lt;&gt;"",1,0)+IF(AY64&lt;&gt;"",1,0)+IF(BM64&lt;&gt;"",1,0)+IF(CA64&lt;&gt;"",1,0)+IF(CO64&lt;&gt;"",1,0)+IF(DC64&lt;&gt;"",1,0)+IF(DQ64&lt;&gt;"",1,0)+IF(EE64&lt;&gt;"",1,0)+IF(ES64&lt;&gt;"",1,0)+IF(FG64&lt;&gt;"",1,0)</x:f>
        <x:v>5</x:v>
      </x:c>
      <x:c r="AK64" s="147" t="str">
        <x:v>Silver replicating holding (LBMA/SLV proxy)</x:v>
      </x:c>
      <x:c r="AL64" s="147" t="str">
        <x:v>Physical-backed proxy</x:v>
      </x:c>
      <x:c r="AM64" s="147" t="str">
        <x:v>Long</x:v>
      </x:c>
      <x:c r="AN64" s="167" t="n">
        <x:v>1.835</x:v>
      </x:c>
      <x:c r="AO64" s="167" t="n">
        <x:v>1.826</x:v>
      </x:c>
      <x:c r="AP64" s="166" t="n">
        <x:v>0.23234530592024216</x:v>
      </x:c>
      <x:c r="AQ64" s="171" t="n">
        <x:f>IF(AK64="","",IFERROR(F64*AP64/AN64,0))</x:f>
        <x:v>0.15885267378179005</x:v>
      </x:c>
      <x:c r="AR64" s="171" t="n">
        <x:f>IF(AK64="","",F64*ABS(AP64))</x:f>
        <x:v>0.2914946563895847</x:v>
      </x:c>
      <x:c r="AS64" s="165"/>
      <x:c r="AT64" s="172" t="str">
        <x:f>IF(AK64="","",IF(AS64="","",IFERROR(AN64/AS64-1,0)))</x:f>
      </x:c>
      <x:c r="AU64" s="166"/>
      <x:c r="AV64" s="172" t="str">
        <x:f>IF(AK64="","",IF(AU64="","",AU64-AT64*365/AW64))</x:f>
      </x:c>
      <x:c r="AW64" s="164"/>
      <x:c r="AX64" s="173" t="n">
        <x:f>IF(AK64="","",IFERROR(AP64*(AO64/AN64-1-'Parameters'!$C$6*C64/365),0))</x:f>
        <x:v>-0.0011475252889441006</x:v>
      </x:c>
      <x:c r="AY64" s="147" t="str">
        <x:v>Matched-maturity Treasury collateral</x:v>
      </x:c>
      <x:c r="AZ64" s="147" t="str">
        <x:v>Treasury</x:v>
      </x:c>
      <x:c r="BA64" s="147" t="str">
        <x:v>Long</x:v>
      </x:c>
      <x:c r="BB64" s="167" t="n">
        <x:v>101.52975832969568</x:v>
      </x:c>
      <x:c r="BC64" s="167" t="n">
        <x:v>101.61445918287757</x:v>
      </x:c>
      <x:c r="BD64" s="166" t="n">
        <x:v>0.7676546940797578</x:v>
      </x:c>
      <x:c r="BE64" s="171" t="n">
        <x:f>IF(AY64="","",IFERROR(F64*BD64/BB64,0))</x:f>
        <x:v>0.009485697097597492</x:v>
      </x:c>
      <x:c r="BF64" s="171" t="n">
        <x:f>IF(AY64="","",F64*ABS(BD64))</x:f>
        <x:v>0.9630805339077692</x:v>
      </x:c>
      <x:c r="BG64" s="165"/>
      <x:c r="BH64" s="172" t="str">
        <x:f>IF(AY64="","",IF(BG64="","",IFERROR(BB64/BG64-1,0)))</x:f>
      </x:c>
      <x:c r="BI64" s="166"/>
      <x:c r="BJ64" s="172" t="str">
        <x:f>IF(AY64="","",IF(BI64="","",BI64-BH64*365/BK64))</x:f>
      </x:c>
      <x:c r="BK64" s="164" t="n">
        <x:v>55.00540740773512</x:v>
      </x:c>
      <x:c r="BL64" s="172" t="n">
        <x:f>IF(AY64="","",IFERROR(BD64*(BC64/BB64-1),0))</x:f>
        <x:v>0.000640413299581531</x:v>
      </x:c>
      <x:c r="BM64" s="147" t="str">
        <x:v>SI69K</x:v>
      </x:c>
      <x:c r="BN64" s="147" t="str">
        <x:v>Silver future (regular)</x:v>
      </x:c>
      <x:c r="BO64" s="147" t="str">
        <x:v>Long</x:v>
      </x:c>
      <x:c r="BP64" s="167" t="n">
        <x:v>1.82</x:v>
      </x:c>
      <x:c r="BQ64" s="167" t="n">
        <x:v>1.7919999999999998</x:v>
      </x:c>
      <x:c r="BR64" s="166" t="n">
        <x:v>0.7675880875910386</x:v>
      </x:c>
      <x:c r="BS64" s="171" t="n">
        <x:f>IF(BM64="","",IFERROR(F64*BR64/BP64,0))</x:f>
        <x:v>0.5291192148678622</x:v>
      </x:c>
      <x:c r="BT64" s="171" t="n">
        <x:f>IF(BM64="","",F64*ABS(BR64))</x:f>
        <x:v>0.9629969710595092</x:v>
      </x:c>
      <x:c r="BU64" s="165" t="n">
        <x:v>1.835</x:v>
      </x:c>
      <x:c r="BV64" s="172" t="n">
        <x:f>IF(BM64="","",IF(BU64="","",IFERROR(BP64/BU64-1,0)))</x:f>
        <x:v>-0.008174386920980825</x:v>
      </x:c>
      <x:c r="BW64" s="166" t="n">
        <x:v>0.060899999999999996</x:v>
      </x:c>
      <x:c r="BX64" s="172" t="n">
        <x:f>IF(BM64="","",IF(BW64="","",BW64-BV64*365/BY64))</x:f>
        <x:v>0.11514820411196366</x:v>
      </x:c>
      <x:c r="BY64" s="164" t="n">
        <x:v>55</x:v>
      </x:c>
      <x:c r="BZ64" s="172" t="n">
        <x:f>IF(BM64="","",IFERROR(BR64*(BQ64/BP64-1),0))</x:f>
        <x:v>-0.011809047501400723</x:v>
      </x:c>
      <x:c r="CA64" s="147" t="str">
        <x:v>SI69N</x:v>
      </x:c>
      <x:c r="CB64" s="147" t="str">
        <x:v>Silver future (regular)</x:v>
      </x:c>
      <x:c r="CC64" s="147" t="str">
        <x:v>Long</x:v>
      </x:c>
      <x:c r="CD64" s="167" t="n">
        <x:v>1.8519999999999999</x:v>
      </x:c>
      <x:c r="CE64" s="167" t="n">
        <x:v>1.824</x:v>
      </x:c>
      <x:c r="CF64" s="166" t="n">
        <x:v>0.0000662434441417548</x:v>
      </x:c>
      <x:c r="CG64" s="171" t="n">
        <x:f>IF(CA64="","",IFERROR(F64*CF64/CD64,0))</x:f>
        <x:v>0.00004487439607996445</x:v>
      </x:c>
      <x:c r="CH64" s="171" t="n">
        <x:f>IF(CA64="","",F64*ABS(CF64))</x:f>
        <x:v>0.00008310738154009416</x:v>
      </x:c>
      <x:c r="CI64" s="165" t="n">
        <x:v>1.835</x:v>
      </x:c>
      <x:c r="CJ64" s="172" t="n">
        <x:f>IF(CA64="","",IF(CI64="","",IFERROR(CD64/CI64-1,0)))</x:f>
        <x:v>0.009264305177111742</x:v>
      </x:c>
      <x:c r="CK64" s="166" t="n">
        <x:v>0.06098571428571428</x:v>
      </x:c>
      <x:c r="CL64" s="172" t="n">
        <x:f>IF(CA64="","",IF(CK64="","",CK64-CJ64*365/CM64))</x:f>
        <x:v>0.032084249416946875</x:v>
      </x:c>
      <x:c r="CM64" s="164" t="n">
        <x:v>117</x:v>
      </x:c>
      <x:c r="CN64" s="172" t="n">
        <x:f>IF(CA64="","",IFERROR(CF64*(CE64/CD64-1),0))</x:f>
        <x:v>-0.0000010015207537630226</x:v>
      </x:c>
      <x:c r="CO64" s="147" t="str">
        <x:v>SI69U</x:v>
      </x:c>
      <x:c r="CP64" s="147" t="str">
        <x:v>Silver future (regular)</x:v>
      </x:c>
      <x:c r="CQ64" s="147" t="str">
        <x:v>Long</x:v>
      </x:c>
      <x:c r="CR64" s="167" t="n">
        <x:v>1.883</x:v>
      </x:c>
      <x:c r="CS64" s="167" t="n">
        <x:v>1.8559999999999999</x:v>
      </x:c>
      <x:c r="CT64" s="166" t="n">
        <x:v>3.630445775443935e-7</x:v>
      </x:c>
      <x:c r="CU64" s="171" t="n">
        <x:f>IF(CO64="","",IFERROR(F64*CT64/CR64,0))</x:f>
        <x:v>2.4188354750885816e-7</x:v>
      </x:c>
      <x:c r="CV64" s="171" t="n">
        <x:f>IF(CO64="","",F64*ABS(CT64))</x:f>
        <x:v>4.5546671995917995e-7</x:v>
      </x:c>
      <x:c r="CW64" s="165" t="n">
        <x:v>1.835</x:v>
      </x:c>
      <x:c r="CX64" s="172" t="n">
        <x:f>IF(CO64="","",IF(CW64="","",IFERROR(CR64/CW64-1,0)))</x:f>
        <x:v>0.026158038147138907</x:v>
      </x:c>
      <x:c r="CY64" s="166" t="n">
        <x:v>0.06118021978021979</x:v>
      </x:c>
      <x:c r="CZ64" s="172" t="n">
        <x:f>IF(CO64="","",IF(CY64="","",CY64-CX64*365/DA64))</x:f>
        <x:v>0.0069320156682555825</x:v>
      </x:c>
      <x:c r="DA64" s="164" t="n">
        <x:v>176</x:v>
      </x:c>
      <x:c r="DB64" s="172" t="n">
        <x:f>IF(CO64="","",IFERROR(CT64*(CS64/CR64-1),0))</x:f>
        <x:v>-5.2056312234193835e-9</x:v>
      </x:c>
      <x:c r="DC64" s="147"/>
      <x:c r="DD64" s="147"/>
      <x:c r="DE64" s="147"/>
      <x:c r="DF64" s="167"/>
      <x:c r="DG64" s="167"/>
      <x:c r="DH64" s="166"/>
      <x:c r="DI64" s="171" t="str">
        <x:f>IF(DC64="","",IFERROR(F64*DH64/DF64,0))</x:f>
      </x:c>
      <x:c r="DJ64" s="171" t="str">
        <x:f>IF(DC64="","",F64*ABS(DH64))</x:f>
      </x:c>
      <x:c r="DK64" s="165"/>
      <x:c r="DL64" s="172" t="str">
        <x:f>IF(DC64="","",IF(DK64="","",IFERROR(DF64/DK64-1,0)))</x:f>
      </x:c>
      <x:c r="DM64" s="166"/>
      <x:c r="DN64" s="172" t="str">
        <x:f>IF(DC64="","",IF(DM64="","",DM64-DL64*365/DO64))</x:f>
      </x:c>
      <x:c r="DO64" s="164"/>
      <x:c r="DP64" s="172" t="str">
        <x:f>IF(DC64="","",IFERROR(DH64*(DG64/DF64-1),0))</x:f>
      </x:c>
      <x:c r="DQ64" s="147"/>
      <x:c r="DR64" s="147"/>
      <x:c r="DS64" s="147"/>
      <x:c r="DT64" s="167"/>
      <x:c r="DU64" s="167"/>
      <x:c r="DV64" s="166"/>
      <x:c r="DW64" s="171" t="str">
        <x:f>IF(DQ64="","",IFERROR(F64*DV64/DT64,0))</x:f>
      </x:c>
      <x:c r="DX64" s="171" t="str">
        <x:f>IF(DQ64="","",F64*ABS(DV64))</x:f>
      </x:c>
      <x:c r="DY64" s="165"/>
      <x:c r="DZ64" s="172" t="str">
        <x:f>IF(DQ64="","",IF(DY64="","",IFERROR(DT64/DY64-1,0)))</x:f>
      </x:c>
      <x:c r="EA64" s="166"/>
      <x:c r="EB64" s="172" t="str">
        <x:f>IF(DQ64="","",IF(EA64="","",EA64-DZ64*365/EC64))</x:f>
      </x:c>
      <x:c r="EC64" s="164"/>
      <x:c r="ED64" s="172" t="str">
        <x:f>IF(DQ64="","",IFERROR(DV64*(DU64/DT64-1),0))</x:f>
      </x:c>
      <x:c r="EE64" s="147"/>
      <x:c r="EF64" s="147"/>
      <x:c r="EG64" s="147"/>
      <x:c r="EH64" s="167"/>
      <x:c r="EI64" s="167"/>
      <x:c r="EJ64" s="166"/>
      <x:c r="EK64" s="171" t="str">
        <x:f>IF(EE64="","",IFERROR(F64*EJ64/EH64,0))</x:f>
      </x:c>
      <x:c r="EL64" s="171" t="str">
        <x:f>IF(EE64="","",F64*ABS(EJ64))</x:f>
      </x:c>
      <x:c r="EM64" s="165"/>
      <x:c r="EN64" s="172" t="str">
        <x:f>IF(EE64="","",IF(EM64="","",IFERROR(EH64/EM64-1,0)))</x:f>
      </x:c>
      <x:c r="EO64" s="166"/>
      <x:c r="EP64" s="172" t="str">
        <x:f>IF(EE64="","",IF(EO64="","",EO64-EN64*365/EQ64))</x:f>
      </x:c>
      <x:c r="EQ64" s="164"/>
      <x:c r="ER64" s="172" t="str">
        <x:f>IF(EE64="","",IFERROR(EJ64*(EI64/EH64-1),0))</x:f>
      </x:c>
      <x:c r="ES64" s="147"/>
      <x:c r="ET64" s="147"/>
      <x:c r="EU64" s="147"/>
      <x:c r="EV64" s="167"/>
      <x:c r="EW64" s="167"/>
      <x:c r="EX64" s="166"/>
      <x:c r="EY64" s="171" t="str">
        <x:f>IF(ES64="","",IFERROR(F64*EX64/EV64,0))</x:f>
      </x:c>
      <x:c r="EZ64" s="171" t="str">
        <x:f>IF(ES64="","",F64*ABS(EX64))</x:f>
      </x:c>
      <x:c r="FA64" s="165"/>
      <x:c r="FB64" s="172" t="str">
        <x:f>IF(ES64="","",IF(FA64="","",IFERROR(EV64/FA64-1,0)))</x:f>
      </x:c>
      <x:c r="FC64" s="166"/>
      <x:c r="FD64" s="172" t="str">
        <x:f>IF(ES64="","",IF(FC64="","",FC64-FB64*365/FE64))</x:f>
      </x:c>
      <x:c r="FE64" s="164"/>
      <x:c r="FF64" s="172" t="str">
        <x:f>IF(ES64="","",IFERROR(EX64*(EW64/EV64-1),0))</x:f>
      </x:c>
      <x:c r="FG64" s="147"/>
      <x:c r="FH64" s="147"/>
      <x:c r="FI64" s="147"/>
      <x:c r="FJ64" s="167"/>
      <x:c r="FK64" s="167"/>
      <x:c r="FL64" s="166"/>
      <x:c r="FM64" s="171" t="str">
        <x:f>IF(FG64="","",IFERROR(F64*FL64/FJ64,0))</x:f>
      </x:c>
      <x:c r="FN64" s="171" t="str">
        <x:f>IF(FG64="","",F64*ABS(FL64))</x:f>
      </x:c>
      <x:c r="FO64" s="165"/>
      <x:c r="FP64" s="172" t="str">
        <x:f>IF(FG64="","",IF(FO64="","",IFERROR(FJ64/FO64-1,0)))</x:f>
      </x:c>
      <x:c r="FQ64" s="166"/>
      <x:c r="FR64" s="172" t="str">
        <x:f>IF(FG64="","",IF(FQ64="","",FQ64-FP64*365/FS64))</x:f>
      </x:c>
      <x:c r="FS64" s="164"/>
      <x:c r="FT64" s="172" t="str">
        <x:f>IF(FG64="","",IFERROR(FL64*(FK64/FJ64-1),0))</x:f>
      </x:c>
    </x:row>
    <x:row r="65" ht="18" customHeight="1">
      <x:c r="A65" s="163" t="n">
        <x:v>25301</x:v>
      </x:c>
      <x:c r="B65" s="163" t="n">
        <x:v>25302</x:v>
      </x:c>
      <x:c r="C65" s="170" t="n">
        <x:f>B65-A65</x:f>
        <x:v>1</x:v>
      </x:c>
      <x:c r="D65" s="163" t="n">
        <x:v>25301</x:v>
      </x:c>
      <x:c r="E65" s="147" t="str">
        <x:v>positive</x:v>
      </x:c>
      <x:c r="F65" s="165" t="n">
        <x:v>1.239122379146551</x:v>
      </x:c>
      <x:c r="G65" s="168" t="n">
        <x:v>0.015235729957889597</x:v>
      </x:c>
      <x:c r="H65" s="172" t="n">
        <x:f>SUM(AX65,BL65,BZ65,CN65,DB65,DP65,ED65,ER65,FF65,FT65)</x:f>
        <x:v>0.015235729957889655</x:v>
      </x:c>
      <x:c r="I65" s="174" t="n">
        <x:f>G65-H65</x:f>
        <x:v>-5.724587470723463e-17</x:v>
      </x:c>
      <x:c r="J65" s="171" t="n">
        <x:f>F65*(1+H65)</x:f>
        <x:v>1.2580013131000056</x:v>
      </x:c>
      <x:c r="K65" s="169" t="n">
        <x:v>1.2580013131000056</x:v>
      </x:c>
      <x:c r="L65" s="175" t="n">
        <x:f>K65-J65</x:f>
        <x:v>0</x:v>
      </x:c>
      <x:c r="M65" s="167" t="n">
        <x:v>1.826</x:v>
      </x:c>
      <x:c r="N65" s="167" t="n">
        <x:v>1.802</x:v>
      </x:c>
      <x:c r="O65" s="172" t="n">
        <x:f>IFERROR(N65/M65-1,0)</x:f>
        <x:v>-0.013143483023001057</x:v>
      </x:c>
      <x:c r="P65" s="171" t="n">
        <x:f>IFERROR(AD65/AH65,0)</x:f>
        <x:v>1.3286974908920846</x:v>
      </x:c>
      <x:c r="Q65" s="171" t="n">
        <x:f>IFERROR(AE65/AI65,0)</x:f>
        <x:v>1.366907087153058</x:v>
      </x:c>
      <x:c r="R65" s="172" t="n">
        <x:f>IFERROR((Q65-P65)/(P65+S65),0)</x:f>
        <x:v>0.028757182521146767</x:v>
      </x:c>
      <x:c r="S65" s="172" t="n">
        <x:f>IFERROR(AF65/AH65,0)</x:f>
        <x:v>0</x:v>
      </x:c>
      <x:c r="T65" s="172" t="n">
        <x:f>IFERROR(AG65/AI65,0)</x:f>
        <x:v>0</x:v>
      </x:c>
      <x:c r="U65" s="172" t="n">
        <x:f>IFERROR((T65-S65)/(P65+S65),0)</x:f>
        <x:v>0</x:v>
      </x:c>
      <x:c r="V65" s="172" t="n">
        <x:f>R65+U65</x:f>
        <x:v>0.028757182521146767</x:v>
      </x:c>
      <x:c r="W65" s="172" t="n">
        <x:f>(1+O65)*(1+V65)-1</x:f>
        <x:v>0.015235729957889799</x:v>
      </x:c>
      <x:c r="X65" s="174" t="n">
        <x:f>G65-W65</x:f>
        <x:v>-2.0122792321330962e-16</x:v>
      </x:c>
      <x:c r="Y65" s="172" t="n">
        <x:f>AX65</x:f>
        <x:v>0</x:v>
      </x:c>
      <x:c r="Z65" s="172" t="n">
        <x:f>BL65</x:f>
        <x:v>0.00016876712328772747</x:v>
      </x:c>
      <x:c r="AA65" s="172" t="n">
        <x:f>SUM(BZ65,CN65,DB65,DP65,ED65,ER65,FF65,FT65)</x:f>
        <x:v>0.015066962834601927</x:v>
      </x:c>
      <x:c r="AB65" s="172" t="n">
        <x:f>SUM(Y65:AA65)</x:f>
        <x:v>0.015235729957889655</x:v>
      </x:c>
      <x:c r="AC65" s="174" t="n">
        <x:f>G65-AB65</x:f>
        <x:v>-5.724587470723463e-17</x:v>
      </x:c>
      <x:c r="AD65" s="169" t="n">
        <x:v>1.2391223791465509</x:v>
      </x:c>
      <x:c r="AE65" s="169" t="n">
        <x:v>1.2580013131000054</x:v>
      </x:c>
      <x:c r="AF65" s="169" t="n">
        <x:v>0</x:v>
      </x:c>
      <x:c r="AG65" s="169" t="n">
        <x:v>0</x:v>
      </x:c>
      <x:c r="AH65" s="171" t="n">
        <x:f>M65/$M$3</x:f>
        <x:v>0.9325842696629214</x:v>
      </x:c>
      <x:c r="AI65" s="171" t="n">
        <x:f>N65/$M$3</x:f>
        <x:v>0.9203268641470889</x:v>
      </x:c>
      <x:c r="AJ65" s="170" t="n">
        <x:f>IF(AK65&lt;&gt;"",1,0)+IF(AY65&lt;&gt;"",1,0)+IF(BM65&lt;&gt;"",1,0)+IF(CA65&lt;&gt;"",1,0)+IF(CO65&lt;&gt;"",1,0)+IF(DC65&lt;&gt;"",1,0)+IF(DQ65&lt;&gt;"",1,0)+IF(EE65&lt;&gt;"",1,0)+IF(ES65&lt;&gt;"",1,0)+IF(FG65&lt;&gt;"",1,0)</x:f>
        <x:v>5</x:v>
      </x:c>
      <x:c r="AK65" s="147"/>
      <x:c r="AL65" s="147"/>
      <x:c r="AM65" s="147"/>
      <x:c r="AN65" s="167"/>
      <x:c r="AO65" s="167"/>
      <x:c r="AP65" s="166"/>
      <x:c r="AQ65" s="171" t="str">
        <x:f>IF(AK65="","",IFERROR(F65*AP65/AN65,0))</x:f>
      </x:c>
      <x:c r="AR65" s="171" t="str">
        <x:f>IF(AK65="","",F65*ABS(AP65))</x:f>
      </x:c>
      <x:c r="AS65" s="165"/>
      <x:c r="AT65" s="172" t="str">
        <x:f>IF(AK65="","",IF(AS65="","",IFERROR(AN65/AS65-1,0)))</x:f>
      </x:c>
      <x:c r="AU65" s="166"/>
      <x:c r="AV65" s="172" t="str">
        <x:f>IF(AK65="","",IF(AU65="","",AU65-AT65*365/AW65))</x:f>
      </x:c>
      <x:c r="AW65" s="164"/>
      <x:c r="AX65" s="173" t="str">
        <x:f>IF(AK65="","",IFERROR(AP65*(AO65/AN65-1),0))</x:f>
      </x:c>
      <x:c r="AY65" s="147" t="str">
        <x:v>Matched-maturity Treasury collateral</x:v>
      </x:c>
      <x:c r="AZ65" s="147" t="str">
        <x:v>Treasury</x:v>
      </x:c>
      <x:c r="BA65" s="147" t="str">
        <x:v>Long</x:v>
      </x:c>
      <x:c r="BB65" s="167" t="n">
        <x:v>101.61445918287757</x:v>
      </x:c>
      <x:c r="BC65" s="167" t="n">
        <x:v>101.6316083628383</x:v>
      </x:c>
      <x:c r="BD65" s="166" t="n">
        <x:v>1</x:v>
      </x:c>
      <x:c r="BE65" s="171" t="n">
        <x:f>IF(AY65="","",IFERROR(F65*BD65/BB65,0))</x:f>
        <x:v>0.012194350972399291</x:v>
      </x:c>
      <x:c r="BF65" s="171" t="n">
        <x:f>IF(AY65="","",F65*ABS(BD65))</x:f>
        <x:v>1.239122379146551</x:v>
      </x:c>
      <x:c r="BG65" s="165"/>
      <x:c r="BH65" s="172" t="str">
        <x:f>IF(AY65="","",IF(BG65="","",IFERROR(BB65/BG65-1,0)))</x:f>
      </x:c>
      <x:c r="BI65" s="166"/>
      <x:c r="BJ65" s="172" t="str">
        <x:f>IF(AY65="","",IF(BI65="","",BI65-BH65*365/BK65))</x:f>
      </x:c>
      <x:c r="BK65" s="164" t="n">
        <x:v>50.00011123749175</x:v>
      </x:c>
      <x:c r="BL65" s="172" t="n">
        <x:f>IF(AY65="","",IFERROR(BD65*(BC65/BB65-1),0))</x:f>
        <x:v>0.00016876712328772747</x:v>
      </x:c>
      <x:c r="BM65" s="147" t="str">
        <x:v>SI69K</x:v>
      </x:c>
      <x:c r="BN65" s="147" t="str">
        <x:v>Silver future (regular)</x:v>
      </x:c>
      <x:c r="BO65" s="147" t="str">
        <x:v>Long</x:v>
      </x:c>
      <x:c r="BP65" s="167" t="n">
        <x:v>1.7919999999999998</x:v>
      </x:c>
      <x:c r="BQ65" s="167" t="n">
        <x:v>1.819</x:v>
      </x:c>
      <x:c r="BR65" s="166" t="n">
        <x:v>0.9999982119240517</x:v>
      </x:c>
      <x:c r="BS65" s="171" t="n">
        <x:f>IF(BM65="","",IFERROR(F65*BR65/BP65,0))</x:f>
        <x:v>0.6914733055254622</x:v>
      </x:c>
      <x:c r="BT65" s="171" t="n">
        <x:f>IF(BM65="","",F65*ABS(BR65))</x:f>
        <x:v>1.239120163501628</x:v>
      </x:c>
      <x:c r="BU65" s="165" t="n">
        <x:v>1.826</x:v>
      </x:c>
      <x:c r="BV65" s="172" t="n">
        <x:f>IF(BM65="","",IF(BU65="","",IFERROR(BP65/BU65-1,0)))</x:f>
        <x:v>-0.018619934282585016</x:v>
      </x:c>
      <x:c r="BW65" s="166" t="n">
        <x:v>0.0616</x:v>
      </x:c>
      <x:c r="BX65" s="172" t="n">
        <x:f>IF(BM65="","",IF(BW65="","",BW65-BV65*365/BY65))</x:f>
        <x:v>0.19752552026287062</x:v>
      </x:c>
      <x:c r="BY65" s="164" t="n">
        <x:v>50</x:v>
      </x:c>
      <x:c r="BZ65" s="172" t="n">
        <x:f>IF(BM65="","",IFERROR(BR65*(BQ65/BP65-1),0))</x:f>
        <x:v>0.01506693734483796</x:v>
      </x:c>
      <x:c r="CA65" s="147" t="str">
        <x:v>SI69N</x:v>
      </x:c>
      <x:c r="CB65" s="147" t="str">
        <x:v>Silver future (regular)</x:v>
      </x:c>
      <x:c r="CC65" s="147" t="str">
        <x:v>Long</x:v>
      </x:c>
      <x:c r="CD65" s="167" t="n">
        <x:v>1.824</x:v>
      </x:c>
      <x:c r="CE65" s="167" t="n">
        <x:v>1.85</x:v>
      </x:c>
      <x:c r="CF65" s="166" t="n">
        <x:v>0.0000017817505229259037</x:v>
      </x:c>
      <x:c r="CG65" s="171" t="n">
        <x:f>IF(CA65="","",IFERROR(F65*CF65/CD65,0))</x:f>
        <x:v>0.00000121042047533638</x:v>
      </x:c>
      <x:c r="CH65" s="171" t="n">
        <x:f>IF(CA65="","",F65*ABS(CF65))</x:f>
        <x:v>0.0000022078069470135574</x:v>
      </x:c>
      <x:c r="CI65" s="165" t="n">
        <x:v>1.826</x:v>
      </x:c>
      <x:c r="CJ65" s="172" t="n">
        <x:f>IF(CA65="","",IF(CI65="","",IFERROR(CD65/CI65-1,0)))</x:f>
        <x:v>-0.0010952902519167917</x:v>
      </x:c>
      <x:c r="CK65" s="166" t="n">
        <x:v>0.06157692307692307</x:v>
      </x:c>
      <x:c r="CL65" s="172" t="n">
        <x:f>IF(CA65="","",IF(CK65="","",CK65-CJ65*365/CM65))</x:f>
        <x:v>0.0651463957729019</x:v>
      </x:c>
      <x:c r="CM65" s="164" t="n">
        <x:v>112</x:v>
      </x:c>
      <x:c r="CN65" s="172" t="n">
        <x:f>IF(CA65="","",IFERROR(CF65*(CE65/CD65-1),0))</x:f>
        <x:v>2.5397759646970048e-8</x:v>
      </x:c>
      <x:c r="CO65" s="147" t="str">
        <x:v>SI69U</x:v>
      </x:c>
      <x:c r="CP65" s="147" t="str">
        <x:v>Silver future (regular)</x:v>
      </x:c>
      <x:c r="CQ65" s="147" t="str">
        <x:v>Long</x:v>
      </x:c>
      <x:c r="CR65" s="167" t="n">
        <x:v>1.8559999999999999</x:v>
      </x:c>
      <x:c r="CS65" s="167" t="n">
        <x:v>1.883</x:v>
      </x:c>
      <x:c r="CT65" s="166" t="n">
        <x:v>6.287310190957035e-9</x:v>
      </x:c>
      <x:c r="CU65" s="171" t="n">
        <x:f>IF(CO65="","",IFERROR(F65*CT65/CR65,0))</x:f>
        <x:v>4.197600626212844e-9</x:v>
      </x:c>
      <x:c r="CV65" s="171" t="n">
        <x:f>IF(CO65="","",F65*ABS(CT65))</x:f>
        <x:v>7.790746762251037e-9</x:v>
      </x:c>
      <x:c r="CW65" s="165" t="n">
        <x:v>1.826</x:v>
      </x:c>
      <x:c r="CX65" s="172" t="n">
        <x:f>IF(CO65="","",IF(CW65="","",IFERROR(CR65/CW65-1,0)))</x:f>
        <x:v>0.01642935377875121</x:v>
      </x:c>
      <x:c r="CY65" s="166" t="n">
        <x:v>0.061512087912087926</x:v>
      </x:c>
      <x:c r="CZ65" s="172" t="n">
        <x:f>IF(CO65="","",IF(CY65="","",CY65-CX65*365/DA65))</x:f>
        <x:v>0.026443584232297333</x:v>
      </x:c>
      <x:c r="DA65" s="164" t="n">
        <x:v>171</x:v>
      </x:c>
      <x:c r="DB65" s="172" t="n">
        <x:f>IF(CO65="","",IFERROR(CT65*(CS65/CR65-1),0))</x:f>
        <x:v>9.146410299344809e-11</x:v>
      </x:c>
      <x:c r="DC65" s="147" t="str">
        <x:v>SI69Z</x:v>
      </x:c>
      <x:c r="DD65" s="147" t="str">
        <x:v>Silver future (regular)</x:v>
      </x:c>
      <x:c r="DE65" s="147" t="str">
        <x:v>Long</x:v>
      </x:c>
      <x:c r="DF65" s="167" t="n">
        <x:v>1.905</x:v>
      </x:c>
      <x:c r="DG65" s="167" t="n">
        <x:v>1.932</x:v>
      </x:c>
      <x:c r="DH65" s="166" t="n">
        <x:v>3.811531677468813e-11</x:v>
      </x:c>
      <x:c r="DI65" s="171" t="n">
        <x:f>IF(DC65="","",IFERROR(F65*DH65/DF65,0))</x:f>
        <x:v>2.4792410500669817e-11</x:v>
      </x:c>
      <x:c r="DJ65" s="171" t="n">
        <x:f>IF(DC65="","",F65*ABS(DH65))</x:f>
        <x:v>4.7229542003776004e-11</x:v>
      </x:c>
      <x:c r="DK65" s="165" t="n">
        <x:v>1.826</x:v>
      </x:c>
      <x:c r="DL65" s="172" t="n">
        <x:f>IF(DC65="","",IF(DK65="","",IFERROR(DF65/DK65-1,0)))</x:f>
        <x:v>0.04326396495071183</x:v>
      </x:c>
      <x:c r="DM65" s="166" t="n">
        <x:v>0.06190819672131147</x:v>
      </x:c>
      <x:c r="DN65" s="172" t="n">
        <x:f>IF(DC65="","",IF(DM65="","",DM65-DL65*365/DO65))</x:f>
        <x:v>0.0023182072608970636</x:v>
      </x:c>
      <x:c r="DO65" s="164" t="n">
        <x:v>265</x:v>
      </x:c>
      <x:c r="DP65" s="172" t="n">
        <x:f>IF(DC65="","",IFERROR(DH65*(DG65/DF65-1),0))</x:f>
        <x:v>5.402170881451834e-13</x:v>
      </x:c>
      <x:c r="DQ65" s="147"/>
      <x:c r="DR65" s="147"/>
      <x:c r="DS65" s="147"/>
      <x:c r="DT65" s="167"/>
      <x:c r="DU65" s="167"/>
      <x:c r="DV65" s="166"/>
      <x:c r="DW65" s="171" t="str">
        <x:f>IF(DQ65="","",IFERROR(F65*DV65/DT65,0))</x:f>
      </x:c>
      <x:c r="DX65" s="171" t="str">
        <x:f>IF(DQ65="","",F65*ABS(DV65))</x:f>
      </x:c>
      <x:c r="DY65" s="165"/>
      <x:c r="DZ65" s="172" t="str">
        <x:f>IF(DQ65="","",IF(DY65="","",IFERROR(DT65/DY65-1,0)))</x:f>
      </x:c>
      <x:c r="EA65" s="166"/>
      <x:c r="EB65" s="172" t="str">
        <x:f>IF(DQ65="","",IF(EA65="","",EA65-DZ65*365/EC65))</x:f>
      </x:c>
      <x:c r="EC65" s="164"/>
      <x:c r="ED65" s="172" t="str">
        <x:f>IF(DQ65="","",IFERROR(DV65*(DU65/DT65-1),0))</x:f>
      </x:c>
      <x:c r="EE65" s="147"/>
      <x:c r="EF65" s="147"/>
      <x:c r="EG65" s="147"/>
      <x:c r="EH65" s="167"/>
      <x:c r="EI65" s="167"/>
      <x:c r="EJ65" s="166"/>
      <x:c r="EK65" s="171" t="str">
        <x:f>IF(EE65="","",IFERROR(F65*EJ65/EH65,0))</x:f>
      </x:c>
      <x:c r="EL65" s="171" t="str">
        <x:f>IF(EE65="","",F65*ABS(EJ65))</x:f>
      </x:c>
      <x:c r="EM65" s="165"/>
      <x:c r="EN65" s="172" t="str">
        <x:f>IF(EE65="","",IF(EM65="","",IFERROR(EH65/EM65-1,0)))</x:f>
      </x:c>
      <x:c r="EO65" s="166"/>
      <x:c r="EP65" s="172" t="str">
        <x:f>IF(EE65="","",IF(EO65="","",EO65-EN65*365/EQ65))</x:f>
      </x:c>
      <x:c r="EQ65" s="164"/>
      <x:c r="ER65" s="172" t="str">
        <x:f>IF(EE65="","",IFERROR(EJ65*(EI65/EH65-1),0))</x:f>
      </x:c>
      <x:c r="ES65" s="147"/>
      <x:c r="ET65" s="147"/>
      <x:c r="EU65" s="147"/>
      <x:c r="EV65" s="167"/>
      <x:c r="EW65" s="167"/>
      <x:c r="EX65" s="166"/>
      <x:c r="EY65" s="171" t="str">
        <x:f>IF(ES65="","",IFERROR(F65*EX65/EV65,0))</x:f>
      </x:c>
      <x:c r="EZ65" s="171" t="str">
        <x:f>IF(ES65="","",F65*ABS(EX65))</x:f>
      </x:c>
      <x:c r="FA65" s="165"/>
      <x:c r="FB65" s="172" t="str">
        <x:f>IF(ES65="","",IF(FA65="","",IFERROR(EV65/FA65-1,0)))</x:f>
      </x:c>
      <x:c r="FC65" s="166"/>
      <x:c r="FD65" s="172" t="str">
        <x:f>IF(ES65="","",IF(FC65="","",FC65-FB65*365/FE65))</x:f>
      </x:c>
      <x:c r="FE65" s="164"/>
      <x:c r="FF65" s="172" t="str">
        <x:f>IF(ES65="","",IFERROR(EX65*(EW65/EV65-1),0))</x:f>
      </x:c>
      <x:c r="FG65" s="147"/>
      <x:c r="FH65" s="147"/>
      <x:c r="FI65" s="147"/>
      <x:c r="FJ65" s="167"/>
      <x:c r="FK65" s="167"/>
      <x:c r="FL65" s="166"/>
      <x:c r="FM65" s="171" t="str">
        <x:f>IF(FG65="","",IFERROR(F65*FL65/FJ65,0))</x:f>
      </x:c>
      <x:c r="FN65" s="171" t="str">
        <x:f>IF(FG65="","",F65*ABS(FL65))</x:f>
      </x:c>
      <x:c r="FO65" s="165"/>
      <x:c r="FP65" s="172" t="str">
        <x:f>IF(FG65="","",IF(FO65="","",IFERROR(FJ65/FO65-1,0)))</x:f>
      </x:c>
      <x:c r="FQ65" s="166"/>
      <x:c r="FR65" s="172" t="str">
        <x:f>IF(FG65="","",IF(FQ65="","",FQ65-FP65*365/FS65))</x:f>
      </x:c>
      <x:c r="FS65" s="164"/>
      <x:c r="FT65" s="172" t="str">
        <x:f>IF(FG65="","",IFERROR(FL65*(FK65/FJ65-1),0))</x:f>
      </x:c>
    </x:row>
    <x:row r="66" ht="18" customHeight="1">
      <x:c r="A66" s="163" t="n">
        <x:v>25302</x:v>
      </x:c>
      <x:c r="B66" s="163" t="n">
        <x:v>25303</x:v>
      </x:c>
      <x:c r="C66" s="170" t="n">
        <x:f>B66-A66</x:f>
        <x:v>1</x:v>
      </x:c>
      <x:c r="D66" s="163" t="n">
        <x:v>25302</x:v>
      </x:c>
      <x:c r="E66" s="147" t="str">
        <x:v>neutral</x:v>
      </x:c>
      <x:c r="F66" s="165" t="n">
        <x:v>1.2580013131000056</x:v>
      </x:c>
      <x:c r="G66" s="168" t="n">
        <x:v>0.0066524181655087215</x:v>
      </x:c>
      <x:c r="H66" s="172" t="n">
        <x:f>SUM(AX66,BL66,BZ66,CN66,DB66,DP66,ED66,ER66,FF66,FT66)</x:f>
        <x:v>0.006652418165508721</x:v>
      </x:c>
      <x:c r="I66" s="174" t="n">
        <x:f>G66-H66</x:f>
        <x:v>8.673617379884035e-19</x:v>
      </x:c>
      <x:c r="J66" s="171" t="n">
        <x:f>F66*(1+H66)</x:f>
        <x:v>1.266370063887506</x:v>
      </x:c>
      <x:c r="K66" s="169" t="n">
        <x:v>1.266370063887506</x:v>
      </x:c>
      <x:c r="L66" s="175" t="n">
        <x:f>K66-J66</x:f>
        <x:v>0</x:v>
      </x:c>
      <x:c r="M66" s="167" t="n">
        <x:v>1.802</x:v>
      </x:c>
      <x:c r="N66" s="167" t="n">
        <x:v>1.814</x:v>
      </x:c>
      <x:c r="O66" s="172" t="n">
        <x:f>IFERROR(N66/M66-1,0)</x:f>
        <x:v>0.006659267480577213</x:v>
      </x:c>
      <x:c r="P66" s="171" t="n">
        <x:f>IFERROR(AD66/AH66,0)</x:f>
        <x:v>1.366907087153058</x:v>
      </x:c>
      <x:c r="Q66" s="171" t="n">
        <x:f>IFERROR(AE66/AI66,0)</x:f>
        <x:v>1.3668977867098875</x:v>
      </x:c>
      <x:c r="R66" s="172" t="n">
        <x:f>IFERROR((Q66-P66)/(P66+S66),0)</x:f>
        <x:v>-0.000006804005376737623</x:v>
      </x:c>
      <x:c r="S66" s="172" t="n">
        <x:f>IFERROR(AF66/AH66,0)</x:f>
        <x:v>0</x:v>
      </x:c>
      <x:c r="T66" s="172" t="n">
        <x:f>IFERROR(AG66/AI66,0)</x:f>
        <x:v>0</x:v>
      </x:c>
      <x:c r="U66" s="172" t="n">
        <x:f>IFERROR((T66-S66)/(P66+S66),0)</x:f>
        <x:v>0</x:v>
      </x:c>
      <x:c r="V66" s="172" t="n">
        <x:f>R66+U66</x:f>
        <x:v>-0.000006804005376737623</x:v>
      </x:c>
      <x:c r="W66" s="172" t="n">
        <x:f>(1+O66)*(1+V66)-1</x:f>
        <x:v>0.006652418165508767</x:v>
      </x:c>
      <x:c r="X66" s="174" t="n">
        <x:f>G66-W66</x:f>
        <x:v>-4.5102810375396984e-17</x:v>
      </x:c>
      <x:c r="Y66" s="172" t="n">
        <x:f>AX66</x:f>
        <x:v>0.006652418165508721</x:v>
      </x:c>
      <x:c r="Z66" s="172" t="str">
        <x:f>BL66</x:f>
      </x:c>
      <x:c r="AA66" s="172" t="n">
        <x:f>SUM(BZ66,CN66,DB66,DP66,ED66,ER66,FF66,FT66)</x:f>
        <x:v>0</x:v>
      </x:c>
      <x:c r="AB66" s="172" t="n">
        <x:f>SUM(Y66:AA66)</x:f>
        <x:v>0.006652418165508721</x:v>
      </x:c>
      <x:c r="AC66" s="174" t="n">
        <x:f>G66-AB66</x:f>
        <x:v>8.673617379884035e-19</x:v>
      </x:c>
      <x:c r="AD66" s="169" t="n">
        <x:v>1.2580013131000054</x:v>
      </x:c>
      <x:c r="AE66" s="169" t="n">
        <x:v>1.2663700638875057</x:v>
      </x:c>
      <x:c r="AF66" s="169" t="n">
        <x:v>0</x:v>
      </x:c>
      <x:c r="AG66" s="169" t="n">
        <x:v>0</x:v>
      </x:c>
      <x:c r="AH66" s="171" t="n">
        <x:f>M66/$M$3</x:f>
        <x:v>0.9203268641470889</x:v>
      </x:c>
      <x:c r="AI66" s="171" t="n">
        <x:f>N66/$M$3</x:f>
        <x:v>0.9264555669050052</x:v>
      </x:c>
      <x:c r="AJ66" s="170" t="n">
        <x:f>IF(AK66&lt;&gt;"",1,0)+IF(AY66&lt;&gt;"",1,0)+IF(BM66&lt;&gt;"",1,0)+IF(CA66&lt;&gt;"",1,0)+IF(CO66&lt;&gt;"",1,0)+IF(DC66&lt;&gt;"",1,0)+IF(DQ66&lt;&gt;"",1,0)+IF(EE66&lt;&gt;"",1,0)+IF(ES66&lt;&gt;"",1,0)+IF(FG66&lt;&gt;"",1,0)</x:f>
        <x:v>1</x:v>
      </x:c>
      <x:c r="AK66" s="147" t="str">
        <x:v>Silver replicating holding (LBMA/SLV proxy)</x:v>
      </x:c>
      <x:c r="AL66" s="147" t="str">
        <x:v>Physical-backed proxy</x:v>
      </x:c>
      <x:c r="AM66" s="147" t="str">
        <x:v>Long</x:v>
      </x:c>
      <x:c r="AN66" s="167" t="n">
        <x:v>1.802</x:v>
      </x:c>
      <x:c r="AO66" s="167" t="n">
        <x:v>1.814</x:v>
      </x:c>
      <x:c r="AP66" s="166" t="n">
        <x:v>1</x:v>
      </x:c>
      <x:c r="AQ66" s="171" t="n">
        <x:f>IF(AK66="","",IFERROR(F66*AP66/AN66,0))</x:f>
        <x:v>0.6981139362375169</x:v>
      </x:c>
      <x:c r="AR66" s="171" t="n">
        <x:f>IF(AK66="","",F66*ABS(AP66))</x:f>
        <x:v>1.2580013131000056</x:v>
      </x:c>
      <x:c r="AS66" s="165"/>
      <x:c r="AT66" s="172" t="str">
        <x:f>IF(AK66="","",IF(AS66="","",IFERROR(AN66/AS66-1,0)))</x:f>
      </x:c>
      <x:c r="AU66" s="166"/>
      <x:c r="AV66" s="172" t="str">
        <x:f>IF(AK66="","",IF(AU66="","",AU66-AT66*365/AW66))</x:f>
      </x:c>
      <x:c r="AW66" s="164"/>
      <x:c r="AX66" s="173" t="n">
        <x:f>IF(AK66="","",IFERROR(AP66*(AO66/AN66-1-'Parameters'!$C$6*C66/365),0))</x:f>
        <x:v>0.006652418165508721</x:v>
      </x:c>
      <x:c r="AY66" s="147"/>
      <x:c r="AZ66" s="147"/>
      <x:c r="BA66" s="147"/>
      <x:c r="BB66" s="167"/>
      <x:c r="BC66" s="167"/>
      <x:c r="BD66" s="166"/>
      <x:c r="BE66" s="171" t="str">
        <x:f>IF(AY66="","",IFERROR(F66*BD66/BB66,0))</x:f>
      </x:c>
      <x:c r="BF66" s="171" t="str">
        <x:f>IF(AY66="","",F66*ABS(BD66))</x:f>
      </x:c>
      <x:c r="BG66" s="165"/>
      <x:c r="BH66" s="172" t="str">
        <x:f>IF(AY66="","",IF(BG66="","",IFERROR(BB66/BG66-1,0)))</x:f>
      </x:c>
      <x:c r="BI66" s="166"/>
      <x:c r="BJ66" s="172" t="str">
        <x:f>IF(AY66="","",IF(BI66="","",BI66-BH66*365/BK66))</x:f>
      </x:c>
      <x:c r="BK66" s="164"/>
      <x:c r="BL66" s="172" t="str">
        <x:f>IF(AY66="","",IFERROR(BD66*(BC66/BB66-1),0))</x:f>
      </x:c>
      <x:c r="BM66" s="147"/>
      <x:c r="BN66" s="147"/>
      <x:c r="BO66" s="147"/>
      <x:c r="BP66" s="167"/>
      <x:c r="BQ66" s="167"/>
      <x:c r="BR66" s="166"/>
      <x:c r="BS66" s="171" t="str">
        <x:f>IF(BM66="","",IFERROR(F66*BR66/BP66,0))</x:f>
      </x:c>
      <x:c r="BT66" s="171" t="str">
        <x:f>IF(BM66="","",F66*ABS(BR66))</x:f>
      </x:c>
      <x:c r="BU66" s="165"/>
      <x:c r="BV66" s="172" t="str">
        <x:f>IF(BM66="","",IF(BU66="","",IFERROR(BP66/BU66-1,0)))</x:f>
      </x:c>
      <x:c r="BW66" s="166"/>
      <x:c r="BX66" s="172" t="str">
        <x:f>IF(BM66="","",IF(BW66="","",BW66-BV66*365/BY66))</x:f>
      </x:c>
      <x:c r="BY66" s="164"/>
      <x:c r="BZ66" s="172" t="str">
        <x:f>IF(BM66="","",IFERROR(BR66*(BQ66/BP66-1),0))</x:f>
      </x:c>
      <x:c r="CA66" s="147"/>
      <x:c r="CB66" s="147"/>
      <x:c r="CC66" s="147"/>
      <x:c r="CD66" s="167"/>
      <x:c r="CE66" s="167"/>
      <x:c r="CF66" s="166"/>
      <x:c r="CG66" s="171" t="str">
        <x:f>IF(CA66="","",IFERROR(F66*CF66/CD66,0))</x:f>
      </x:c>
      <x:c r="CH66" s="171" t="str">
        <x:f>IF(CA66="","",F66*ABS(CF66))</x:f>
      </x:c>
      <x:c r="CI66" s="165"/>
      <x:c r="CJ66" s="172" t="str">
        <x:f>IF(CA66="","",IF(CI66="","",IFERROR(CD66/CI66-1,0)))</x:f>
      </x:c>
      <x:c r="CK66" s="166"/>
      <x:c r="CL66" s="172" t="str">
        <x:f>IF(CA66="","",IF(CK66="","",CK66-CJ66*365/CM66))</x:f>
      </x:c>
      <x:c r="CM66" s="164"/>
      <x:c r="CN66" s="172" t="str">
        <x:f>IF(CA66="","",IFERROR(CF66*(CE66/CD66-1),0))</x:f>
      </x:c>
      <x:c r="CO66" s="147"/>
      <x:c r="CP66" s="147"/>
      <x:c r="CQ66" s="147"/>
      <x:c r="CR66" s="167"/>
      <x:c r="CS66" s="167"/>
      <x:c r="CT66" s="166"/>
      <x:c r="CU66" s="171" t="str">
        <x:f>IF(CO66="","",IFERROR(F66*CT66/CR66,0))</x:f>
      </x:c>
      <x:c r="CV66" s="171" t="str">
        <x:f>IF(CO66="","",F66*ABS(CT66))</x:f>
      </x:c>
      <x:c r="CW66" s="165"/>
      <x:c r="CX66" s="172" t="str">
        <x:f>IF(CO66="","",IF(CW66="","",IFERROR(CR66/CW66-1,0)))</x:f>
      </x:c>
      <x:c r="CY66" s="166"/>
      <x:c r="CZ66" s="172" t="str">
        <x:f>IF(CO66="","",IF(CY66="","",CY66-CX66*365/DA66))</x:f>
      </x:c>
      <x:c r="DA66" s="164"/>
      <x:c r="DB66" s="172" t="str">
        <x:f>IF(CO66="","",IFERROR(CT66*(CS66/CR66-1),0))</x:f>
      </x:c>
      <x:c r="DC66" s="147"/>
      <x:c r="DD66" s="147"/>
      <x:c r="DE66" s="147"/>
      <x:c r="DF66" s="167"/>
      <x:c r="DG66" s="167"/>
      <x:c r="DH66" s="166"/>
      <x:c r="DI66" s="171" t="str">
        <x:f>IF(DC66="","",IFERROR(F66*DH66/DF66,0))</x:f>
      </x:c>
      <x:c r="DJ66" s="171" t="str">
        <x:f>IF(DC66="","",F66*ABS(DH66))</x:f>
      </x:c>
      <x:c r="DK66" s="165"/>
      <x:c r="DL66" s="172" t="str">
        <x:f>IF(DC66="","",IF(DK66="","",IFERROR(DF66/DK66-1,0)))</x:f>
      </x:c>
      <x:c r="DM66" s="166"/>
      <x:c r="DN66" s="172" t="str">
        <x:f>IF(DC66="","",IF(DM66="","",DM66-DL66*365/DO66))</x:f>
      </x:c>
      <x:c r="DO66" s="164"/>
      <x:c r="DP66" s="172" t="str">
        <x:f>IF(DC66="","",IFERROR(DH66*(DG66/DF66-1),0))</x:f>
      </x:c>
      <x:c r="DQ66" s="147"/>
      <x:c r="DR66" s="147"/>
      <x:c r="DS66" s="147"/>
      <x:c r="DT66" s="167"/>
      <x:c r="DU66" s="167"/>
      <x:c r="DV66" s="166"/>
      <x:c r="DW66" s="171" t="str">
        <x:f>IF(DQ66="","",IFERROR(F66*DV66/DT66,0))</x:f>
      </x:c>
      <x:c r="DX66" s="171" t="str">
        <x:f>IF(DQ66="","",F66*ABS(DV66))</x:f>
      </x:c>
      <x:c r="DY66" s="165"/>
      <x:c r="DZ66" s="172" t="str">
        <x:f>IF(DQ66="","",IF(DY66="","",IFERROR(DT66/DY66-1,0)))</x:f>
      </x:c>
      <x:c r="EA66" s="166"/>
      <x:c r="EB66" s="172" t="str">
        <x:f>IF(DQ66="","",IF(EA66="","",EA66-DZ66*365/EC66))</x:f>
      </x:c>
      <x:c r="EC66" s="164"/>
      <x:c r="ED66" s="172" t="str">
        <x:f>IF(DQ66="","",IFERROR(DV66*(DU66/DT66-1),0))</x:f>
      </x:c>
      <x:c r="EE66" s="147"/>
      <x:c r="EF66" s="147"/>
      <x:c r="EG66" s="147"/>
      <x:c r="EH66" s="167"/>
      <x:c r="EI66" s="167"/>
      <x:c r="EJ66" s="166"/>
      <x:c r="EK66" s="171" t="str">
        <x:f>IF(EE66="","",IFERROR(F66*EJ66/EH66,0))</x:f>
      </x:c>
      <x:c r="EL66" s="171" t="str">
        <x:f>IF(EE66="","",F66*ABS(EJ66))</x:f>
      </x:c>
      <x:c r="EM66" s="165"/>
      <x:c r="EN66" s="172" t="str">
        <x:f>IF(EE66="","",IF(EM66="","",IFERROR(EH66/EM66-1,0)))</x:f>
      </x:c>
      <x:c r="EO66" s="166"/>
      <x:c r="EP66" s="172" t="str">
        <x:f>IF(EE66="","",IF(EO66="","",EO66-EN66*365/EQ66))</x:f>
      </x:c>
      <x:c r="EQ66" s="164"/>
      <x:c r="ER66" s="172" t="str">
        <x:f>IF(EE66="","",IFERROR(EJ66*(EI66/EH66-1),0))</x:f>
      </x:c>
      <x:c r="ES66" s="147"/>
      <x:c r="ET66" s="147"/>
      <x:c r="EU66" s="147"/>
      <x:c r="EV66" s="167"/>
      <x:c r="EW66" s="167"/>
      <x:c r="EX66" s="166"/>
      <x:c r="EY66" s="171" t="str">
        <x:f>IF(ES66="","",IFERROR(F66*EX66/EV66,0))</x:f>
      </x:c>
      <x:c r="EZ66" s="171" t="str">
        <x:f>IF(ES66="","",F66*ABS(EX66))</x:f>
      </x:c>
      <x:c r="FA66" s="165"/>
      <x:c r="FB66" s="172" t="str">
        <x:f>IF(ES66="","",IF(FA66="","",IFERROR(EV66/FA66-1,0)))</x:f>
      </x:c>
      <x:c r="FC66" s="166"/>
      <x:c r="FD66" s="172" t="str">
        <x:f>IF(ES66="","",IF(FC66="","",FC66-FB66*365/FE66))</x:f>
      </x:c>
      <x:c r="FE66" s="164"/>
      <x:c r="FF66" s="172" t="str">
        <x:f>IF(ES66="","",IFERROR(EX66*(EW66/EV66-1),0))</x:f>
      </x:c>
      <x:c r="FG66" s="147"/>
      <x:c r="FH66" s="147"/>
      <x:c r="FI66" s="147"/>
      <x:c r="FJ66" s="167"/>
      <x:c r="FK66" s="167"/>
      <x:c r="FL66" s="166"/>
      <x:c r="FM66" s="171" t="str">
        <x:f>IF(FG66="","",IFERROR(F66*FL66/FJ66,0))</x:f>
      </x:c>
      <x:c r="FN66" s="171" t="str">
        <x:f>IF(FG66="","",F66*ABS(FL66))</x:f>
      </x:c>
      <x:c r="FO66" s="165"/>
      <x:c r="FP66" s="172" t="str">
        <x:f>IF(FG66="","",IF(FO66="","",IFERROR(FJ66/FO66-1,0)))</x:f>
      </x:c>
      <x:c r="FQ66" s="166"/>
      <x:c r="FR66" s="172" t="str">
        <x:f>IF(FG66="","",IF(FQ66="","",FQ66-FP66*365/FS66))</x:f>
      </x:c>
      <x:c r="FS66" s="164"/>
      <x:c r="FT66" s="172" t="str">
        <x:f>IF(FG66="","",IFERROR(FL66*(FK66/FJ66-1),0))</x:f>
      </x:c>
    </x:row>
    <x:row r="67" ht="18" customHeight="1">
      <x:c r="A67" s="163" t="n">
        <x:v>25303</x:v>
      </x:c>
      <x:c r="B67" s="163" t="n">
        <x:v>25304</x:v>
      </x:c>
      <x:c r="C67" s="170" t="n">
        <x:f>B67-A67</x:f>
        <x:v>1</x:v>
      </x:c>
      <x:c r="D67" s="163" t="n">
        <x:v>25303</x:v>
      </x:c>
      <x:c r="E67" s="147" t="str">
        <x:v>positive</x:v>
      </x:c>
      <x:c r="F67" s="165" t="n">
        <x:v>1.266370063887506</x:v>
      </x:c>
      <x:c r="G67" s="168" t="n">
        <x:v>-0.0008440987927475109</x:v>
      </x:c>
      <x:c r="H67" s="172" t="n">
        <x:f>SUM(AX67,BL67,BZ67,CN67,DB67,DP67,ED67,ER67,FF67,FT67)</x:f>
        <x:v>-0.0008440987927476206</x:v>
      </x:c>
      <x:c r="I67" s="174" t="n">
        <x:f>G67-H67</x:f>
        <x:v>1.0972125985553305e-16</x:v>
      </x:c>
      <x:c r="J67" s="171" t="n">
        <x:f>F67*(1+H67)</x:f>
        <x:v>1.2653011224454067</x:v>
      </x:c>
      <x:c r="K67" s="169" t="n">
        <x:v>1.265301122445407</x:v>
      </x:c>
      <x:c r="L67" s="175" t="n">
        <x:f>K67-J67</x:f>
        <x:v>2.220446049250313e-16</x:v>
      </x:c>
      <x:c r="M67" s="167" t="n">
        <x:v>1.814</x:v>
      </x:c>
      <x:c r="N67" s="167" t="n">
        <x:v>1.801</x:v>
      </x:c>
      <x:c r="O67" s="172" t="n">
        <x:f>IFERROR(N67/M67-1,0)</x:f>
        <x:v>-0.00716648291069466</x:v>
      </x:c>
      <x:c r="P67" s="171" t="n">
        <x:f>IFERROR(AD67/AH67,0)</x:f>
        <x:v>1.3668977867098875</x:v>
      </x:c>
      <x:c r="Q67" s="171" t="n">
        <x:f>IFERROR(AE67/AI67,0)</x:f>
        <x:v>1.3756022197379825</x:v>
      </x:c>
      <x:c r="R67" s="172" t="n">
        <x:f>IFERROR((Q67-P67)/(P67+S67),0)</x:f>
        <x:v>0.006368020427516007</x:v>
      </x:c>
      <x:c r="S67" s="172" t="n">
        <x:f>IFERROR(AF67/AH67,0)</x:f>
        <x:v>0</x:v>
      </x:c>
      <x:c r="T67" s="172" t="n">
        <x:f>IFERROR(AG67/AI67,0)</x:f>
        <x:v>0</x:v>
      </x:c>
      <x:c r="U67" s="172" t="n">
        <x:f>IFERROR((T67-S67)/(P67+S67),0)</x:f>
        <x:v>0</x:v>
      </x:c>
      <x:c r="V67" s="172" t="n">
        <x:f>R67+U67</x:f>
        <x:v>0.006368020427516007</x:v>
      </x:c>
      <x:c r="W67" s="172" t="n">
        <x:f>(1+O67)*(1+V67)-1</x:f>
        <x:v>-0.0008440987927473831</x:v>
      </x:c>
      <x:c r="X67" s="174" t="n">
        <x:f>G67-W67</x:f>
        <x:v>-1.2782743613604097e-16</x:v>
      </x:c>
      <x:c r="Y67" s="172" t="n">
        <x:f>AX67</x:f>
        <x:v>-0.0024232760585276105</x:v>
      </x:c>
      <x:c r="Z67" s="172" t="n">
        <x:f>BL67</x:f>
        <x:v>0.00011175466151132159</x:v>
      </x:c>
      <x:c r="AA67" s="172" t="n">
        <x:f>SUM(BZ67,CN67,DB67,DP67,ED67,ER67,FF67,FT67)</x:f>
        <x:v>0.001467422604268668</x:v>
      </x:c>
      <x:c r="AB67" s="172" t="n">
        <x:f>SUM(Y67:AA67)</x:f>
        <x:v>-0.0008440987927476207</x:v>
      </x:c>
      <x:c r="AC67" s="174" t="n">
        <x:f>G67-AB67</x:f>
        <x:v>1.098296800727816e-16</x:v>
      </x:c>
      <x:c r="AD67" s="169" t="n">
        <x:v>1.2663700638875057</x:v>
      </x:c>
      <x:c r="AE67" s="169" t="n">
        <x:v>1.2653011224454067</x:v>
      </x:c>
      <x:c r="AF67" s="169" t="n">
        <x:v>0</x:v>
      </x:c>
      <x:c r="AG67" s="169" t="n">
        <x:v>0</x:v>
      </x:c>
      <x:c r="AH67" s="171" t="n">
        <x:f>M67/$M$3</x:f>
        <x:v>0.9264555669050052</x:v>
      </x:c>
      <x:c r="AI67" s="171" t="n">
        <x:f>N67/$M$3</x:f>
        <x:v>0.9198161389172625</x:v>
      </x:c>
      <x:c r="AJ67" s="170" t="n">
        <x:f>IF(AK67&lt;&gt;"",1,0)+IF(AY67&lt;&gt;"",1,0)+IF(BM67&lt;&gt;"",1,0)+IF(CA67&lt;&gt;"",1,0)+IF(CO67&lt;&gt;"",1,0)+IF(DC67&lt;&gt;"",1,0)+IF(DQ67&lt;&gt;"",1,0)+IF(EE67&lt;&gt;"",1,0)+IF(ES67&lt;&gt;"",1,0)+IF(FG67&lt;&gt;"",1,0)</x:f>
        <x:v>4</x:v>
      </x:c>
      <x:c r="AK67" s="147" t="str">
        <x:v>Silver replicating holding (LBMA/SLV proxy)</x:v>
      </x:c>
      <x:c r="AL67" s="147" t="str">
        <x:v>Physical-backed proxy</x:v>
      </x:c>
      <x:c r="AM67" s="147" t="str">
        <x:v>Long</x:v>
      </x:c>
      <x:c r="AN67" s="167" t="n">
        <x:v>1.814</x:v>
      </x:c>
      <x:c r="AO67" s="167" t="n">
        <x:v>1.801</x:v>
      </x:c>
      <x:c r="AP67" s="166" t="n">
        <x:v>0.33781734656375884</x:v>
      </x:c>
      <x:c r="AQ67" s="171" t="n">
        <x:f>IF(AK67="","",IFERROR(F67*AP67/AN67,0))</x:f>
        <x:v>0.23583339291634783</x:v>
      </x:c>
      <x:c r="AR67" s="171" t="n">
        <x:f>IF(AK67="","",F67*ABS(AP67))</x:f>
        <x:v>0.427801774750255</x:v>
      </x:c>
      <x:c r="AS67" s="165"/>
      <x:c r="AT67" s="172" t="str">
        <x:f>IF(AK67="","",IF(AS67="","",IFERROR(AN67/AS67-1,0)))</x:f>
      </x:c>
      <x:c r="AU67" s="166"/>
      <x:c r="AV67" s="172" t="str">
        <x:f>IF(AK67="","",IF(AU67="","",AU67-AT67*365/AW67))</x:f>
      </x:c>
      <x:c r="AW67" s="164"/>
      <x:c r="AX67" s="173" t="n">
        <x:f>IF(AK67="","",IFERROR(AP67*(AO67/AN67-1-'Parameters'!$C$6*C67/365),0))</x:f>
        <x:v>-0.0024232760585276105</x:v>
      </x:c>
      <x:c r="AY67" s="147" t="str">
        <x:v>Matched-maturity Treasury collateral</x:v>
      </x:c>
      <x:c r="AZ67" s="147" t="str">
        <x:v>Treasury</x:v>
      </x:c>
      <x:c r="BA67" s="147" t="str">
        <x:v>Long</x:v>
      </x:c>
      <x:c r="BB67" s="167" t="n">
        <x:v>101.64867690418802</x:v>
      </x:c>
      <x:c r="BC67" s="167" t="n">
        <x:v>101.66583185897512</x:v>
      </x:c>
      <x:c r="BD67" s="166" t="n">
        <x:v>0.6621826534362412</x:v>
      </x:c>
      <x:c r="BE67" s="171" t="n">
        <x:f>IF(AY67="","",IFERROR(F67*BD67/BB67,0))</x:f>
        <x:v>0.00824967244706656</x:v>
      </x:c>
      <x:c r="BF67" s="171" t="n">
        <x:f>IF(AY67="","",F67*ABS(BD67))</x:f>
        <x:v>0.8385682891372509</x:v>
      </x:c>
      <x:c r="BG67" s="165"/>
      <x:c r="BH67" s="172" t="str">
        <x:f>IF(AY67="","",IF(BG67="","",IFERROR(BB67/BG67-1,0)))</x:f>
      </x:c>
      <x:c r="BI67" s="166"/>
      <x:c r="BJ67" s="172" t="str">
        <x:f>IF(AY67="","",IF(BI67="","",BI67-BH67*365/BK67))</x:f>
      </x:c>
      <x:c r="BK67" s="164" t="n">
        <x:v>48.00150904462775</x:v>
      </x:c>
      <x:c r="BL67" s="172" t="n">
        <x:f>IF(AY67="","",IFERROR(BD67*(BC67/BB67-1),0))</x:f>
        <x:v>0.00011175466151132159</x:v>
      </x:c>
      <x:c r="BM67" s="147" t="str">
        <x:v>SI69K</x:v>
      </x:c>
      <x:c r="BN67" s="147" t="str">
        <x:v>Silver future (regular)</x:v>
      </x:c>
      <x:c r="BO67" s="147" t="str">
        <x:v>Long</x:v>
      </x:c>
      <x:c r="BP67" s="167" t="n">
        <x:v>1.805</x:v>
      </x:c>
      <x:c r="BQ67" s="167" t="n">
        <x:v>1.8090000000000002</x:v>
      </x:c>
      <x:c r="BR67" s="166" t="n">
        <x:v>0.6621665362882452</x:v>
      </x:c>
      <x:c r="BS67" s="171" t="n">
        <x:f>IF(BM67="","",IFERROR(F67*BR67/BP67,0))</x:f>
        <x:v>0.46456946197424576</x:v>
      </x:c>
      <x:c r="BT67" s="171" t="n">
        <x:f>IF(BM67="","",F67*ABS(BR67))</x:f>
        <x:v>0.8385478788635136</x:v>
      </x:c>
      <x:c r="BU67" s="165" t="n">
        <x:v>1.814</x:v>
      </x:c>
      <x:c r="BV67" s="172" t="n">
        <x:f>IF(BM67="","",IF(BU67="","",IFERROR(BP67/BU67-1,0)))</x:f>
        <x:v>-0.004961411245865577</x:v>
      </x:c>
      <x:c r="BW67" s="166" t="n">
        <x:v>0.0616</x:v>
      </x:c>
      <x:c r="BX67" s="172" t="n">
        <x:f>IF(BM67="","",IF(BW67="","",BW67-BV67*365/BY67))</x:f>
        <x:v>0.09932739801543616</x:v>
      </x:c>
      <x:c r="BY67" s="164" t="n">
        <x:v>48</x:v>
      </x:c>
      <x:c r="BZ67" s="172" t="n">
        <x:f>IF(BM67="","",IFERROR(BR67*(BQ67/BP67-1),0))</x:f>
        <x:v>0.0014674050665668226</x:v>
      </x:c>
      <x:c r="CA67" s="147" t="str">
        <x:v>SI69N</x:v>
      </x:c>
      <x:c r="CB67" s="147" t="str">
        <x:v>Silver future (regular)</x:v>
      </x:c>
      <x:c r="CC67" s="147" t="str">
        <x:v>Long</x:v>
      </x:c>
      <x:c r="CD67" s="167" t="n">
        <x:v>1.838</x:v>
      </x:c>
      <x:c r="CE67" s="167" t="n">
        <x:v>1.84</x:v>
      </x:c>
      <x:c r="CF67" s="166" t="n">
        <x:v>0.0000161171479960231</x:v>
      </x:c>
      <x:c r="CG67" s="171" t="n">
        <x:f>IF(CA67="","",IFERROR(F67*CF67/CD67,0))</x:f>
        <x:v>0.000011104610303268857</x:v>
      </x:c>
      <x:c r="CH67" s="171" t="n">
        <x:f>IF(CA67="","",F67*ABS(CF67))</x:f>
        <x:v>0.00002041027373740816</x:v>
      </x:c>
      <x:c r="CI67" s="165" t="n">
        <x:v>1.814</x:v>
      </x:c>
      <x:c r="CJ67" s="172" t="n">
        <x:f>IF(CA67="","",IF(CI67="","",IFERROR(CD67/CI67-1,0)))</x:f>
        <x:v>0.013230429988974723</x:v>
      </x:c>
      <x:c r="CK67" s="166" t="n">
        <x:v>0.06164175824175824</x:v>
      </x:c>
      <x:c r="CL67" s="172" t="n">
        <x:f>IF(CA67="","",IF(CK67="","",CK67-CJ67*365/CM67))</x:f>
        <x:v>0.017740786005614843</x:v>
      </x:c>
      <x:c r="CM67" s="164" t="n">
        <x:v>110</x:v>
      </x:c>
      <x:c r="CN67" s="172" t="n">
        <x:f>IF(CA67="","",IFERROR(CF67*(CE67/CD67-1),0))</x:f>
        <x:v>1.753770184550895e-8</x:v>
      </x:c>
      <x:c r="CO67" s="147"/>
      <x:c r="CP67" s="147"/>
      <x:c r="CQ67" s="147"/>
      <x:c r="CR67" s="167"/>
      <x:c r="CS67" s="167"/>
      <x:c r="CT67" s="166"/>
      <x:c r="CU67" s="171" t="str">
        <x:f>IF(CO67="","",IFERROR(F67*CT67/CR67,0))</x:f>
      </x:c>
      <x:c r="CV67" s="171" t="str">
        <x:f>IF(CO67="","",F67*ABS(CT67))</x:f>
      </x:c>
      <x:c r="CW67" s="165"/>
      <x:c r="CX67" s="172" t="str">
        <x:f>IF(CO67="","",IF(CW67="","",IFERROR(CR67/CW67-1,0)))</x:f>
      </x:c>
      <x:c r="CY67" s="166"/>
      <x:c r="CZ67" s="172" t="str">
        <x:f>IF(CO67="","",IF(CY67="","",CY67-CX67*365/DA67))</x:f>
      </x:c>
      <x:c r="DA67" s="164"/>
      <x:c r="DB67" s="172" t="str">
        <x:f>IF(CO67="","",IFERROR(CT67*(CS67/CR67-1),0))</x:f>
      </x:c>
      <x:c r="DC67" s="147"/>
      <x:c r="DD67" s="147"/>
      <x:c r="DE67" s="147"/>
      <x:c r="DF67" s="167"/>
      <x:c r="DG67" s="167"/>
      <x:c r="DH67" s="166"/>
      <x:c r="DI67" s="171" t="str">
        <x:f>IF(DC67="","",IFERROR(F67*DH67/DF67,0))</x:f>
      </x:c>
      <x:c r="DJ67" s="171" t="str">
        <x:f>IF(DC67="","",F67*ABS(DH67))</x:f>
      </x:c>
      <x:c r="DK67" s="165"/>
      <x:c r="DL67" s="172" t="str">
        <x:f>IF(DC67="","",IF(DK67="","",IFERROR(DF67/DK67-1,0)))</x:f>
      </x:c>
      <x:c r="DM67" s="166"/>
      <x:c r="DN67" s="172" t="str">
        <x:f>IF(DC67="","",IF(DM67="","",DM67-DL67*365/DO67))</x:f>
      </x:c>
      <x:c r="DO67" s="164"/>
      <x:c r="DP67" s="172" t="str">
        <x:f>IF(DC67="","",IFERROR(DH67*(DG67/DF67-1),0))</x:f>
      </x:c>
      <x:c r="DQ67" s="147"/>
      <x:c r="DR67" s="147"/>
      <x:c r="DS67" s="147"/>
      <x:c r="DT67" s="167"/>
      <x:c r="DU67" s="167"/>
      <x:c r="DV67" s="166"/>
      <x:c r="DW67" s="171" t="str">
        <x:f>IF(DQ67="","",IFERROR(F67*DV67/DT67,0))</x:f>
      </x:c>
      <x:c r="DX67" s="171" t="str">
        <x:f>IF(DQ67="","",F67*ABS(DV67))</x:f>
      </x:c>
      <x:c r="DY67" s="165"/>
      <x:c r="DZ67" s="172" t="str">
        <x:f>IF(DQ67="","",IF(DY67="","",IFERROR(DT67/DY67-1,0)))</x:f>
      </x:c>
      <x:c r="EA67" s="166"/>
      <x:c r="EB67" s="172" t="str">
        <x:f>IF(DQ67="","",IF(EA67="","",EA67-DZ67*365/EC67))</x:f>
      </x:c>
      <x:c r="EC67" s="164"/>
      <x:c r="ED67" s="172" t="str">
        <x:f>IF(DQ67="","",IFERROR(DV67*(DU67/DT67-1),0))</x:f>
      </x:c>
      <x:c r="EE67" s="147"/>
      <x:c r="EF67" s="147"/>
      <x:c r="EG67" s="147"/>
      <x:c r="EH67" s="167"/>
      <x:c r="EI67" s="167"/>
      <x:c r="EJ67" s="166"/>
      <x:c r="EK67" s="171" t="str">
        <x:f>IF(EE67="","",IFERROR(F67*EJ67/EH67,0))</x:f>
      </x:c>
      <x:c r="EL67" s="171" t="str">
        <x:f>IF(EE67="","",F67*ABS(EJ67))</x:f>
      </x:c>
      <x:c r="EM67" s="165"/>
      <x:c r="EN67" s="172" t="str">
        <x:f>IF(EE67="","",IF(EM67="","",IFERROR(EH67/EM67-1,0)))</x:f>
      </x:c>
      <x:c r="EO67" s="166"/>
      <x:c r="EP67" s="172" t="str">
        <x:f>IF(EE67="","",IF(EO67="","",EO67-EN67*365/EQ67))</x:f>
      </x:c>
      <x:c r="EQ67" s="164"/>
      <x:c r="ER67" s="172" t="str">
        <x:f>IF(EE67="","",IFERROR(EJ67*(EI67/EH67-1),0))</x:f>
      </x:c>
      <x:c r="ES67" s="147"/>
      <x:c r="ET67" s="147"/>
      <x:c r="EU67" s="147"/>
      <x:c r="EV67" s="167"/>
      <x:c r="EW67" s="167"/>
      <x:c r="EX67" s="166"/>
      <x:c r="EY67" s="171" t="str">
        <x:f>IF(ES67="","",IFERROR(F67*EX67/EV67,0))</x:f>
      </x:c>
      <x:c r="EZ67" s="171" t="str">
        <x:f>IF(ES67="","",F67*ABS(EX67))</x:f>
      </x:c>
      <x:c r="FA67" s="165"/>
      <x:c r="FB67" s="172" t="str">
        <x:f>IF(ES67="","",IF(FA67="","",IFERROR(EV67/FA67-1,0)))</x:f>
      </x:c>
      <x:c r="FC67" s="166"/>
      <x:c r="FD67" s="172" t="str">
        <x:f>IF(ES67="","",IF(FC67="","",FC67-FB67*365/FE67))</x:f>
      </x:c>
      <x:c r="FE67" s="164"/>
      <x:c r="FF67" s="172" t="str">
        <x:f>IF(ES67="","",IFERROR(EX67*(EW67/EV67-1),0))</x:f>
      </x:c>
      <x:c r="FG67" s="147"/>
      <x:c r="FH67" s="147"/>
      <x:c r="FI67" s="147"/>
      <x:c r="FJ67" s="167"/>
      <x:c r="FK67" s="167"/>
      <x:c r="FL67" s="166"/>
      <x:c r="FM67" s="171" t="str">
        <x:f>IF(FG67="","",IFERROR(F67*FL67/FJ67,0))</x:f>
      </x:c>
      <x:c r="FN67" s="171" t="str">
        <x:f>IF(FG67="","",F67*ABS(FL67))</x:f>
      </x:c>
      <x:c r="FO67" s="165"/>
      <x:c r="FP67" s="172" t="str">
        <x:f>IF(FG67="","",IF(FO67="","",IFERROR(FJ67/FO67-1,0)))</x:f>
      </x:c>
      <x:c r="FQ67" s="166"/>
      <x:c r="FR67" s="172" t="str">
        <x:f>IF(FG67="","",IF(FQ67="","",FQ67-FP67*365/FS67))</x:f>
      </x:c>
      <x:c r="FS67" s="164"/>
      <x:c r="FT67" s="172" t="str">
        <x:f>IF(FG67="","",IFERROR(FL67*(FK67/FJ67-1),0))</x:f>
      </x:c>
    </x:row>
    <x:row r="68" ht="18" customHeight="1">
      <x:c r="A68" s="163" t="n">
        <x:v>25304</x:v>
      </x:c>
      <x:c r="B68" s="163" t="n">
        <x:v>25307</x:v>
      </x:c>
      <x:c r="C68" s="170" t="n">
        <x:f>B68-A68</x:f>
        <x:v>3</x:v>
      </x:c>
      <x:c r="D68" s="163" t="n">
        <x:v>25304</x:v>
      </x:c>
      <x:c r="E68" s="147" t="str">
        <x:v>positive</x:v>
      </x:c>
      <x:c r="F68" s="165" t="n">
        <x:v>1.265301122445407</x:v>
      </x:c>
      <x:c r="G68" s="168" t="n">
        <x:v>-0.0018832015240712022</x:v>
      </x:c>
      <x:c r="H68" s="172" t="n">
        <x:f>SUM(AX68,BL68,BZ68,CN68,DB68,DP68,ED68,ER68,FF68,FT68)</x:f>
        <x:v>-0.0018832015240712048</x:v>
      </x:c>
      <x:c r="I68" s="174" t="n">
        <x:f>G68-H68</x:f>
        <x:v>2.6020852139652106e-18</x:v>
      </x:c>
      <x:c r="J68" s="171" t="n">
        <x:f>F68*(1+H68)</x:f>
        <x:v>1.2629183054432087</x:v>
      </x:c>
      <x:c r="K68" s="169" t="n">
        <x:v>1.2629183054432087</x:v>
      </x:c>
      <x:c r="L68" s="175" t="n">
        <x:f>K68-J68</x:f>
        <x:v>0</x:v>
      </x:c>
      <x:c r="M68" s="167" t="n">
        <x:v>1.801</x:v>
      </x:c>
      <x:c r="N68" s="167" t="n">
        <x:v>1.8</x:v>
      </x:c>
      <x:c r="O68" s="172" t="n">
        <x:f>IFERROR(N68/M68-1,0)</x:f>
        <x:v>-0.0005552470849526925</x:v>
      </x:c>
      <x:c r="P68" s="171" t="n">
        <x:f>IFERROR(AD68/AH68,0)</x:f>
        <x:v>1.3756022197379825</x:v>
      </x:c>
      <x:c r="Q68" s="171" t="n">
        <x:f>IFERROR(AE68/AI68,0)</x:f>
        <x:v>1.37377446780989</x:v>
      </x:c>
      <x:c r="R68" s="172" t="n">
        <x:f>IFERROR((Q68-P68)/(P68+S68),0)</x:f>
        <x:v>-0.0013286921915847307</x:v>
      </x:c>
      <x:c r="S68" s="172" t="n">
        <x:f>IFERROR(AF68/AH68,0)</x:f>
        <x:v>0</x:v>
      </x:c>
      <x:c r="T68" s="172" t="n">
        <x:f>IFERROR(AG68/AI68,0)</x:f>
        <x:v>0</x:v>
      </x:c>
      <x:c r="U68" s="172" t="n">
        <x:f>IFERROR((T68-S68)/(P68+S68),0)</x:f>
        <x:v>0</x:v>
      </x:c>
      <x:c r="V68" s="172" t="n">
        <x:f>R68+U68</x:f>
        <x:v>-0.0013286921915847307</x:v>
      </x:c>
      <x:c r="W68" s="172" t="n">
        <x:f>(1+O68)*(1+V68)-1</x:f>
        <x:v>-0.0018832015240711764</x:v>
      </x:c>
      <x:c r="X68" s="174" t="n">
        <x:f>G68-W68</x:f>
        <x:v>-2.5804011705155006e-17</x:v>
      </x:c>
      <x:c r="Y68" s="172" t="n">
        <x:f>AX68</x:f>
        <x:v>-0.00047136961840770695</x:v>
      </x:c>
      <x:c r="Z68" s="172" t="n">
        <x:f>BL68</x:f>
        <x:v>0.00009197119695314001</x:v>
      </x:c>
      <x:c r="AA68" s="172" t="n">
        <x:f>SUM(BZ68,CN68,DB68,DP68,ED68,ER68,FF68,FT68)</x:f>
        <x:v>-0.0015038031026166378</x:v>
      </x:c>
      <x:c r="AB68" s="172" t="n">
        <x:f>SUM(Y68:AA68)</x:f>
        <x:v>-0.0018832015240712048</x:v>
      </x:c>
      <x:c r="AC68" s="174" t="n">
        <x:f>G68-AB68</x:f>
        <x:v>2.6020852139652106e-18</x:v>
      </x:c>
      <x:c r="AD68" s="169" t="n">
        <x:v>1.2653011224454067</x:v>
      </x:c>
      <x:c r="AE68" s="169" t="n">
        <x:v>1.2629183054432085</x:v>
      </x:c>
      <x:c r="AF68" s="169" t="n">
        <x:v>0</x:v>
      </x:c>
      <x:c r="AG68" s="169" t="n">
        <x:v>0</x:v>
      </x:c>
      <x:c r="AH68" s="171" t="n">
        <x:f>M68/$M$3</x:f>
        <x:v>0.9198161389172625</x:v>
      </x:c>
      <x:c r="AI68" s="171" t="n">
        <x:f>N68/$M$3</x:f>
        <x:v>0.9193054136874362</x:v>
      </x:c>
      <x:c r="AJ68" s="170" t="n">
        <x:f>IF(AK68&lt;&gt;"",1,0)+IF(AY68&lt;&gt;"",1,0)+IF(BM68&lt;&gt;"",1,0)+IF(CA68&lt;&gt;"",1,0)+IF(CO68&lt;&gt;"",1,0)+IF(DC68&lt;&gt;"",1,0)+IF(DQ68&lt;&gt;"",1,0)+IF(EE68&lt;&gt;"",1,0)+IF(ES68&lt;&gt;"",1,0)+IF(FG68&lt;&gt;"",1,0)</x:f>
        <x:v>3</x:v>
      </x:c>
      <x:c r="AK68" s="147" t="str">
        <x:v>Silver replicating holding (LBMA/SLV proxy)</x:v>
      </x:c>
      <x:c r="AL68" s="147" t="str">
        <x:v>Physical-backed proxy</x:v>
      </x:c>
      <x:c r="AM68" s="147" t="str">
        <x:v>Long</x:v>
      </x:c>
      <x:c r="AN68" s="167" t="n">
        <x:v>1.801</x:v>
      </x:c>
      <x:c r="AO68" s="167" t="n">
        <x:v>1.8</x:v>
      </x:c>
      <x:c r="AP68" s="166" t="n">
        <x:v>0.8186413458244349</x:v>
      </x:c>
      <x:c r="AQ68" s="171" t="n">
        <x:f>IF(AK68="","",IFERROR(F68*AP68/AN68,0))</x:f>
        <x:v>0.5751403740987653</x:v>
      </x:c>
      <x:c r="AR68" s="171" t="n">
        <x:f>IF(AK68="","",F68*ABS(AP68))</x:f>
        <x:v>1.0358278137518762</x:v>
      </x:c>
      <x:c r="AS68" s="165"/>
      <x:c r="AT68" s="172" t="str">
        <x:f>IF(AK68="","",IF(AS68="","",IFERROR(AN68/AS68-1,0)))</x:f>
      </x:c>
      <x:c r="AU68" s="166"/>
      <x:c r="AV68" s="172" t="str">
        <x:f>IF(AK68="","",IF(AU68="","",AU68-AT68*365/AW68))</x:f>
      </x:c>
      <x:c r="AW68" s="164"/>
      <x:c r="AX68" s="173" t="n">
        <x:f>IF(AK68="","",IFERROR(AP68*(AO68/AN68-1-'Parameters'!$C$6*C68/365),0))</x:f>
        <x:v>-0.00047136961840770695</x:v>
      </x:c>
      <x:c r="AY68" s="147" t="str">
        <x:v>Matched-maturity Treasury collateral</x:v>
      </x:c>
      <x:c r="AZ68" s="147" t="str">
        <x:v>Treasury</x:v>
      </x:c>
      <x:c r="BA68" s="147" t="str">
        <x:v>Long</x:v>
      </x:c>
      <x:c r="BB68" s="167" t="n">
        <x:v>101.66583185897512</x:v>
      </x:c>
      <x:c r="BC68" s="167" t="n">
        <x:v>101.71738896987128</x:v>
      </x:c>
      <x:c r="BD68" s="166" t="n">
        <x:v>0.1813586541755649</x:v>
      </x:c>
      <x:c r="BE68" s="171" t="n">
        <x:f>IF(AY68="","",IFERROR(F68*BD68/BB68,0))</x:f>
        <x:v>0.002257133045562865</x:v>
      </x:c>
      <x:c r="BF68" s="171" t="n">
        <x:f>IF(AY68="","",F68*ABS(BD68))</x:f>
        <x:v>0.22947330869353066</x:v>
      </x:c>
      <x:c r="BG68" s="165"/>
      <x:c r="BH68" s="172" t="str">
        <x:f>IF(AY68="","",IF(BG68="","",IFERROR(BB68/BG68-1,0)))</x:f>
      </x:c>
      <x:c r="BI68" s="166"/>
      <x:c r="BJ68" s="172" t="str">
        <x:f>IF(AY68="","",IF(BI68="","",BI68-BH68*365/BK68))</x:f>
      </x:c>
      <x:c r="BK68" s="164" t="n">
        <x:v>46.99999999999999</x:v>
      </x:c>
      <x:c r="BL68" s="172" t="n">
        <x:f>IF(AY68="","",IFERROR(BD68*(BC68/BB68-1),0))</x:f>
        <x:v>0.00009197119695314001</x:v>
      </x:c>
      <x:c r="BM68" s="147" t="str">
        <x:v>SI69K</x:v>
      </x:c>
      <x:c r="BN68" s="147" t="str">
        <x:v>Silver future (regular)</x:v>
      </x:c>
      <x:c r="BO68" s="147" t="str">
        <x:v>Long</x:v>
      </x:c>
      <x:c r="BP68" s="167" t="n">
        <x:v>1.8090000000000002</x:v>
      </x:c>
      <x:c r="BQ68" s="167" t="n">
        <x:v>1.794</x:v>
      </x:c>
      <x:c r="BR68" s="166" t="n">
        <x:v>0.1813586541755649</x:v>
      </x:c>
      <x:c r="BS68" s="171" t="n">
        <x:f>IF(BM68="","",IFERROR(F68*BR68/BP68,0))</x:f>
        <x:v>0.1268509169118467</x:v>
      </x:c>
      <x:c r="BT68" s="171" t="n">
        <x:f>IF(BM68="","",F68*ABS(BR68))</x:f>
        <x:v>0.22947330869353066</x:v>
      </x:c>
      <x:c r="BU68" s="165" t="n">
        <x:v>1.801</x:v>
      </x:c>
      <x:c r="BV68" s="172" t="n">
        <x:f>IF(BM68="","",IF(BU68="","",IFERROR(BP68/BU68-1,0)))</x:f>
        <x:v>0.00444197667962265</x:v>
      </x:c>
      <x:c r="BW68" s="166" t="n">
        <x:v>0.0617</x:v>
      </x:c>
      <x:c r="BX68" s="172" t="n">
        <x:f>IF(BM68="","",IF(BW68="","",BW68-BV68*365/BY68))</x:f>
        <x:v>0.027203798126334736</x:v>
      </x:c>
      <x:c r="BY68" s="164" t="n">
        <x:v>47</x:v>
      </x:c>
      <x:c r="BZ68" s="172" t="n">
        <x:f>IF(BM68="","",IFERROR(BR68*(BQ68/BP68-1),0))</x:f>
        <x:v>-0.0015038031026166378</x:v>
      </x:c>
      <x:c r="CA68" s="147"/>
      <x:c r="CB68" s="147"/>
      <x:c r="CC68" s="147"/>
      <x:c r="CD68" s="167"/>
      <x:c r="CE68" s="167"/>
      <x:c r="CF68" s="166"/>
      <x:c r="CG68" s="171" t="str">
        <x:f>IF(CA68="","",IFERROR(F68*CF68/CD68,0))</x:f>
      </x:c>
      <x:c r="CH68" s="171" t="str">
        <x:f>IF(CA68="","",F68*ABS(CF68))</x:f>
      </x:c>
      <x:c r="CI68" s="165"/>
      <x:c r="CJ68" s="172" t="str">
        <x:f>IF(CA68="","",IF(CI68="","",IFERROR(CD68/CI68-1,0)))</x:f>
      </x:c>
      <x:c r="CK68" s="166"/>
      <x:c r="CL68" s="172" t="str">
        <x:f>IF(CA68="","",IF(CK68="","",CK68-CJ68*365/CM68))</x:f>
      </x:c>
      <x:c r="CM68" s="164"/>
      <x:c r="CN68" s="172" t="str">
        <x:f>IF(CA68="","",IFERROR(CF68*(CE68/CD68-1),0))</x:f>
      </x:c>
      <x:c r="CO68" s="147"/>
      <x:c r="CP68" s="147"/>
      <x:c r="CQ68" s="147"/>
      <x:c r="CR68" s="167"/>
      <x:c r="CS68" s="167"/>
      <x:c r="CT68" s="166"/>
      <x:c r="CU68" s="171" t="str">
        <x:f>IF(CO68="","",IFERROR(F68*CT68/CR68,0))</x:f>
      </x:c>
      <x:c r="CV68" s="171" t="str">
        <x:f>IF(CO68="","",F68*ABS(CT68))</x:f>
      </x:c>
      <x:c r="CW68" s="165"/>
      <x:c r="CX68" s="172" t="str">
        <x:f>IF(CO68="","",IF(CW68="","",IFERROR(CR68/CW68-1,0)))</x:f>
      </x:c>
      <x:c r="CY68" s="166"/>
      <x:c r="CZ68" s="172" t="str">
        <x:f>IF(CO68="","",IF(CY68="","",CY68-CX68*365/DA68))</x:f>
      </x:c>
      <x:c r="DA68" s="164"/>
      <x:c r="DB68" s="172" t="str">
        <x:f>IF(CO68="","",IFERROR(CT68*(CS68/CR68-1),0))</x:f>
      </x:c>
      <x:c r="DC68" s="147"/>
      <x:c r="DD68" s="147"/>
      <x:c r="DE68" s="147"/>
      <x:c r="DF68" s="167"/>
      <x:c r="DG68" s="167"/>
      <x:c r="DH68" s="166"/>
      <x:c r="DI68" s="171" t="str">
        <x:f>IF(DC68="","",IFERROR(F68*DH68/DF68,0))</x:f>
      </x:c>
      <x:c r="DJ68" s="171" t="str">
        <x:f>IF(DC68="","",F68*ABS(DH68))</x:f>
      </x:c>
      <x:c r="DK68" s="165"/>
      <x:c r="DL68" s="172" t="str">
        <x:f>IF(DC68="","",IF(DK68="","",IFERROR(DF68/DK68-1,0)))</x:f>
      </x:c>
      <x:c r="DM68" s="166"/>
      <x:c r="DN68" s="172" t="str">
        <x:f>IF(DC68="","",IF(DM68="","",DM68-DL68*365/DO68))</x:f>
      </x:c>
      <x:c r="DO68" s="164"/>
      <x:c r="DP68" s="172" t="str">
        <x:f>IF(DC68="","",IFERROR(DH68*(DG68/DF68-1),0))</x:f>
      </x:c>
      <x:c r="DQ68" s="147"/>
      <x:c r="DR68" s="147"/>
      <x:c r="DS68" s="147"/>
      <x:c r="DT68" s="167"/>
      <x:c r="DU68" s="167"/>
      <x:c r="DV68" s="166"/>
      <x:c r="DW68" s="171" t="str">
        <x:f>IF(DQ68="","",IFERROR(F68*DV68/DT68,0))</x:f>
      </x:c>
      <x:c r="DX68" s="171" t="str">
        <x:f>IF(DQ68="","",F68*ABS(DV68))</x:f>
      </x:c>
      <x:c r="DY68" s="165"/>
      <x:c r="DZ68" s="172" t="str">
        <x:f>IF(DQ68="","",IF(DY68="","",IFERROR(DT68/DY68-1,0)))</x:f>
      </x:c>
      <x:c r="EA68" s="166"/>
      <x:c r="EB68" s="172" t="str">
        <x:f>IF(DQ68="","",IF(EA68="","",EA68-DZ68*365/EC68))</x:f>
      </x:c>
      <x:c r="EC68" s="164"/>
      <x:c r="ED68" s="172" t="str">
        <x:f>IF(DQ68="","",IFERROR(DV68*(DU68/DT68-1),0))</x:f>
      </x:c>
      <x:c r="EE68" s="147"/>
      <x:c r="EF68" s="147"/>
      <x:c r="EG68" s="147"/>
      <x:c r="EH68" s="167"/>
      <x:c r="EI68" s="167"/>
      <x:c r="EJ68" s="166"/>
      <x:c r="EK68" s="171" t="str">
        <x:f>IF(EE68="","",IFERROR(F68*EJ68/EH68,0))</x:f>
      </x:c>
      <x:c r="EL68" s="171" t="str">
        <x:f>IF(EE68="","",F68*ABS(EJ68))</x:f>
      </x:c>
      <x:c r="EM68" s="165"/>
      <x:c r="EN68" s="172" t="str">
        <x:f>IF(EE68="","",IF(EM68="","",IFERROR(EH68/EM68-1,0)))</x:f>
      </x:c>
      <x:c r="EO68" s="166"/>
      <x:c r="EP68" s="172" t="str">
        <x:f>IF(EE68="","",IF(EO68="","",EO68-EN68*365/EQ68))</x:f>
      </x:c>
      <x:c r="EQ68" s="164"/>
      <x:c r="ER68" s="172" t="str">
        <x:f>IF(EE68="","",IFERROR(EJ68*(EI68/EH68-1),0))</x:f>
      </x:c>
      <x:c r="ES68" s="147"/>
      <x:c r="ET68" s="147"/>
      <x:c r="EU68" s="147"/>
      <x:c r="EV68" s="167"/>
      <x:c r="EW68" s="167"/>
      <x:c r="EX68" s="166"/>
      <x:c r="EY68" s="171" t="str">
        <x:f>IF(ES68="","",IFERROR(F68*EX68/EV68,0))</x:f>
      </x:c>
      <x:c r="EZ68" s="171" t="str">
        <x:f>IF(ES68="","",F68*ABS(EX68))</x:f>
      </x:c>
      <x:c r="FA68" s="165"/>
      <x:c r="FB68" s="172" t="str">
        <x:f>IF(ES68="","",IF(FA68="","",IFERROR(EV68/FA68-1,0)))</x:f>
      </x:c>
      <x:c r="FC68" s="166"/>
      <x:c r="FD68" s="172" t="str">
        <x:f>IF(ES68="","",IF(FC68="","",FC68-FB68*365/FE68))</x:f>
      </x:c>
      <x:c r="FE68" s="164"/>
      <x:c r="FF68" s="172" t="str">
        <x:f>IF(ES68="","",IFERROR(EX68*(EW68/EV68-1),0))</x:f>
      </x:c>
      <x:c r="FG68" s="147"/>
      <x:c r="FH68" s="147"/>
      <x:c r="FI68" s="147"/>
      <x:c r="FJ68" s="167"/>
      <x:c r="FK68" s="167"/>
      <x:c r="FL68" s="166"/>
      <x:c r="FM68" s="171" t="str">
        <x:f>IF(FG68="","",IFERROR(F68*FL68/FJ68,0))</x:f>
      </x:c>
      <x:c r="FN68" s="171" t="str">
        <x:f>IF(FG68="","",F68*ABS(FL68))</x:f>
      </x:c>
      <x:c r="FO68" s="165"/>
      <x:c r="FP68" s="172" t="str">
        <x:f>IF(FG68="","",IF(FO68="","",IFERROR(FJ68/FO68-1,0)))</x:f>
      </x:c>
      <x:c r="FQ68" s="166"/>
      <x:c r="FR68" s="172" t="str">
        <x:f>IF(FG68="","",IF(FQ68="","",FQ68-FP68*365/FS68))</x:f>
      </x:c>
      <x:c r="FS68" s="164"/>
      <x:c r="FT68" s="172" t="str">
        <x:f>IF(FG68="","",IFERROR(FL68*(FK68/FJ68-1),0))</x:f>
      </x:c>
    </x:row>
    <x:row r="69" ht="18" customHeight="1">
      <x:c r="A69" s="163" t="n">
        <x:v>25307</x:v>
      </x:c>
      <x:c r="B69" s="163" t="n">
        <x:v>25308</x:v>
      </x:c>
      <x:c r="C69" s="170" t="n">
        <x:f>B69-A69</x:f>
        <x:v>1</x:v>
      </x:c>
      <x:c r="D69" s="163" t="n">
        <x:v>25307</x:v>
      </x:c>
      <x:c r="E69" s="147" t="str">
        <x:v>positive</x:v>
      </x:c>
      <x:c r="F69" s="165" t="n">
        <x:v>1.2629183054432087</x:v>
      </x:c>
      <x:c r="G69" s="168" t="n">
        <x:v>-0.0038940061550370593</x:v>
      </x:c>
      <x:c r="H69" s="172" t="n">
        <x:f>SUM(AX69,BL69,BZ69,CN69,DB69,DP69,ED69,ER69,FF69,FT69)</x:f>
        <x:v>-0.0038940061550370255</x:v>
      </x:c>
      <x:c r="I69" s="174" t="n">
        <x:f>G69-H69</x:f>
        <x:v>-3.382710778154774e-17</x:v>
      </x:c>
      <x:c r="J69" s="171" t="n">
        <x:f>F69*(1+H69)</x:f>
        <x:v>1.2580004937885039</x:v>
      </x:c>
      <x:c r="K69" s="169" t="n">
        <x:v>1.2580004937885039</x:v>
      </x:c>
      <x:c r="L69" s="175" t="n">
        <x:f>K69-J69</x:f>
        <x:v>0</x:v>
      </x:c>
      <x:c r="M69" s="167" t="n">
        <x:v>1.8</x:v>
      </x:c>
      <x:c r="N69" s="167" t="n">
        <x:v>1.797</x:v>
      </x:c>
      <x:c r="O69" s="172" t="n">
        <x:f>IFERROR(N69/M69-1,0)</x:f>
        <x:v>-0.0016666666666667052</x:v>
      </x:c>
      <x:c r="P69" s="171" t="n">
        <x:f>IFERROR(AD69/AH69,0)</x:f>
        <x:v>1.37377446780989</x:v>
      </x:c>
      <x:c r="Q69" s="171" t="n">
        <x:f>IFERROR(AE69/AI69,0)</x:f>
        <x:v>1.370709497405615</x:v>
      </x:c>
      <x:c r="R69" s="172" t="n">
        <x:f>IFERROR((Q69-P69)/(P69+S69),0)</x:f>
        <x:v>-0.0022310579182339544</x:v>
      </x:c>
      <x:c r="S69" s="172" t="n">
        <x:f>IFERROR(AF69/AH69,0)</x:f>
        <x:v>0</x:v>
      </x:c>
      <x:c r="T69" s="172" t="n">
        <x:f>IFERROR(AG69/AI69,0)</x:f>
        <x:v>0</x:v>
      </x:c>
      <x:c r="U69" s="172" t="n">
        <x:f>IFERROR((T69-S69)/(P69+S69),0)</x:f>
        <x:v>0</x:v>
      </x:c>
      <x:c r="V69" s="172" t="n">
        <x:f>R69+U69</x:f>
        <x:v>-0.0022310579182339544</x:v>
      </x:c>
      <x:c r="W69" s="172" t="n">
        <x:f>(1+O69)*(1+V69)-1</x:f>
        <x:v>-0.0038940061550369887</x:v>
      </x:c>
      <x:c r="X69" s="174" t="n">
        <x:f>G69-W69</x:f>
        <x:v>-7.068998164605489e-17</x:v>
      </x:c>
      <x:c r="Y69" s="172" t="n">
        <x:f>AX69</x:f>
        <x:v>-0.0006777570684009225</x:v>
      </x:c>
      <x:c r="Z69" s="172" t="n">
        <x:f>BL69</x:f>
        <x:v>0.00010041814307461459</x:v>
      </x:c>
      <x:c r="AA69" s="172" t="n">
        <x:f>SUM(BZ69,CN69,DB69,DP69,ED69,ER69,FF69,FT69)</x:f>
        <x:v>-0.0033166672297107176</x:v>
      </x:c>
      <x:c r="AB69" s="172" t="n">
        <x:f>SUM(Y69:AA69)</x:f>
        <x:v>-0.0038940061550370255</x:v>
      </x:c>
      <x:c r="AC69" s="174" t="n">
        <x:f>G69-AB69</x:f>
        <x:v>-3.382710778154774e-17</x:v>
      </x:c>
      <x:c r="AD69" s="169" t="n">
        <x:v>1.2629183054432085</x:v>
      </x:c>
      <x:c r="AE69" s="169" t="n">
        <x:v>1.2580004937885036</x:v>
      </x:c>
      <x:c r="AF69" s="169" t="n">
        <x:v>0</x:v>
      </x:c>
      <x:c r="AG69" s="169" t="n">
        <x:v>0</x:v>
      </x:c>
      <x:c r="AH69" s="171" t="n">
        <x:f>M69/$M$3</x:f>
        <x:v>0.9193054136874362</x:v>
      </x:c>
      <x:c r="AI69" s="171" t="n">
        <x:f>N69/$M$3</x:f>
        <x:v>0.9177732379979571</x:v>
      </x:c>
      <x:c r="AJ69" s="170" t="n">
        <x:f>IF(AK69&lt;&gt;"",1,0)+IF(AY69&lt;&gt;"",1,0)+IF(BM69&lt;&gt;"",1,0)+IF(CA69&lt;&gt;"",1,0)+IF(CO69&lt;&gt;"",1,0)+IF(DC69&lt;&gt;"",1,0)+IF(DQ69&lt;&gt;"",1,0)+IF(EE69&lt;&gt;"",1,0)+IF(ES69&lt;&gt;"",1,0)+IF(FG69&lt;&gt;"",1,0)</x:f>
        <x:v>3</x:v>
      </x:c>
      <x:c r="AK69" s="147" t="str">
        <x:v>Silver replicating holding (LBMA/SLV proxy)</x:v>
      </x:c>
      <x:c r="AL69" s="147" t="str">
        <x:v>Physical-backed proxy</x:v>
      </x:c>
      <x:c r="AM69" s="147" t="str">
        <x:v>Long</x:v>
      </x:c>
      <x:c r="AN69" s="167" t="n">
        <x:v>1.8</x:v>
      </x:c>
      <x:c r="AO69" s="167" t="n">
        <x:v>1.797</x:v>
      </x:c>
      <x:c r="AP69" s="166" t="n">
        <x:v>0.40498989898990073</x:v>
      </x:c>
      <x:c r="AQ69" s="171" t="n">
        <x:f>IF(AK69="","",IFERROR(F69*AP69/AN69,0))</x:f>
        <x:v>0.2841495316410787</x:v>
      </x:c>
      <x:c r="AR69" s="171" t="n">
        <x:f>IF(AK69="","",F69*ABS(AP69))</x:f>
        <x:v>0.5114691569539417</x:v>
      </x:c>
      <x:c r="AS69" s="165"/>
      <x:c r="AT69" s="172" t="str">
        <x:f>IF(AK69="","",IF(AS69="","",IFERROR(AN69/AS69-1,0)))</x:f>
      </x:c>
      <x:c r="AU69" s="166"/>
      <x:c r="AV69" s="172" t="str">
        <x:f>IF(AK69="","",IF(AU69="","",AU69-AT69*365/AW69))</x:f>
      </x:c>
      <x:c r="AW69" s="164"/>
      <x:c r="AX69" s="173" t="n">
        <x:f>IF(AK69="","",IFERROR(AP69*(AO69/AN69-1-'Parameters'!$C$6*C69/365),0))</x:f>
        <x:v>-0.0006777570684009225</x:v>
      </x:c>
      <x:c r="AY69" s="147" t="str">
        <x:v>Matched-maturity Treasury collateral</x:v>
      </x:c>
      <x:c r="AZ69" s="147" t="str">
        <x:v>Treasury</x:v>
      </x:c>
      <x:c r="BA69" s="147" t="str">
        <x:v>Long</x:v>
      </x:c>
      <x:c r="BB69" s="167" t="n">
        <x:v>101.71738896987128</x:v>
      </x:c>
      <x:c r="BC69" s="167" t="n">
        <x:v>101.73455552099607</x:v>
      </x:c>
      <x:c r="BD69" s="166" t="n">
        <x:v>0.5950101010100992</x:v>
      </x:c>
      <x:c r="BE69" s="171" t="n">
        <x:f>IF(AY69="","",IFERROR(F69*BD69/BB69,0))</x:f>
        <x:v>0.007387617359228975</x:v>
      </x:c>
      <x:c r="BF69" s="171" t="n">
        <x:f>IF(AY69="","",F69*ABS(BD69))</x:f>
        <x:v>0.7514491484892669</x:v>
      </x:c>
      <x:c r="BG69" s="165"/>
      <x:c r="BH69" s="172" t="str">
        <x:f>IF(AY69="","",IF(BG69="","",IFERROR(BB69/BG69-1,0)))</x:f>
      </x:c>
      <x:c r="BI69" s="166"/>
      <x:c r="BJ69" s="172" t="str">
        <x:f>IF(AY69="","",IF(BI69="","",BI69-BH69*365/BK69))</x:f>
      </x:c>
      <x:c r="BK69" s="164" t="n">
        <x:v>44</x:v>
      </x:c>
      <x:c r="BL69" s="172" t="n">
        <x:f>IF(AY69="","",IFERROR(BD69*(BC69/BB69-1),0))</x:f>
        <x:v>0.00010041814307461459</x:v>
      </x:c>
      <x:c r="BM69" s="147" t="str">
        <x:v>SI69K</x:v>
      </x:c>
      <x:c r="BN69" s="147" t="str">
        <x:v>Silver future (regular)</x:v>
      </x:c>
      <x:c r="BO69" s="147" t="str">
        <x:v>Long</x:v>
      </x:c>
      <x:c r="BP69" s="167" t="n">
        <x:v>1.794</x:v>
      </x:c>
      <x:c r="BQ69" s="167" t="n">
        <x:v>1.784</x:v>
      </x:c>
      <x:c r="BR69" s="166" t="n">
        <x:v>0.5950101010100992</x:v>
      </x:c>
      <x:c r="BS69" s="171" t="n">
        <x:f>IF(BM69="","",IFERROR(F69*BR69/BP69,0))</x:f>
        <x:v>0.41886797574652557</x:v>
      </x:c>
      <x:c r="BT69" s="171" t="n">
        <x:f>IF(BM69="","",F69*ABS(BR69))</x:f>
        <x:v>0.7514491484892669</x:v>
      </x:c>
      <x:c r="BU69" s="165" t="n">
        <x:v>1.8</x:v>
      </x:c>
      <x:c r="BV69" s="172" t="n">
        <x:f>IF(BM69="","",IF(BU69="","",IFERROR(BP69/BU69-1,0)))</x:f>
        <x:v>-0.0033333333333332993</x:v>
      </x:c>
      <x:c r="BW69" s="166" t="n">
        <x:v>0.0616</x:v>
      </x:c>
      <x:c r="BX69" s="172" t="n">
        <x:f>IF(BM69="","",IF(BW69="","",BW69-BV69*365/BY69))</x:f>
        <x:v>0.08925151515151487</x:v>
      </x:c>
      <x:c r="BY69" s="164" t="n">
        <x:v>44</x:v>
      </x:c>
      <x:c r="BZ69" s="172" t="n">
        <x:f>IF(BM69="","",IFERROR(BR69*(BQ69/BP69-1),0))</x:f>
        <x:v>-0.0033166672297107176</x:v>
      </x:c>
      <x:c r="CA69" s="147"/>
      <x:c r="CB69" s="147"/>
      <x:c r="CC69" s="147"/>
      <x:c r="CD69" s="167"/>
      <x:c r="CE69" s="167"/>
      <x:c r="CF69" s="166"/>
      <x:c r="CG69" s="171" t="str">
        <x:f>IF(CA69="","",IFERROR(F69*CF69/CD69,0))</x:f>
      </x:c>
      <x:c r="CH69" s="171" t="str">
        <x:f>IF(CA69="","",F69*ABS(CF69))</x:f>
      </x:c>
      <x:c r="CI69" s="165"/>
      <x:c r="CJ69" s="172" t="str">
        <x:f>IF(CA69="","",IF(CI69="","",IFERROR(CD69/CI69-1,0)))</x:f>
      </x:c>
      <x:c r="CK69" s="166"/>
      <x:c r="CL69" s="172" t="str">
        <x:f>IF(CA69="","",IF(CK69="","",CK69-CJ69*365/CM69))</x:f>
      </x:c>
      <x:c r="CM69" s="164"/>
      <x:c r="CN69" s="172" t="str">
        <x:f>IF(CA69="","",IFERROR(CF69*(CE69/CD69-1),0))</x:f>
      </x:c>
      <x:c r="CO69" s="147"/>
      <x:c r="CP69" s="147"/>
      <x:c r="CQ69" s="147"/>
      <x:c r="CR69" s="167"/>
      <x:c r="CS69" s="167"/>
      <x:c r="CT69" s="166"/>
      <x:c r="CU69" s="171" t="str">
        <x:f>IF(CO69="","",IFERROR(F69*CT69/CR69,0))</x:f>
      </x:c>
      <x:c r="CV69" s="171" t="str">
        <x:f>IF(CO69="","",F69*ABS(CT69))</x:f>
      </x:c>
      <x:c r="CW69" s="165"/>
      <x:c r="CX69" s="172" t="str">
        <x:f>IF(CO69="","",IF(CW69="","",IFERROR(CR69/CW69-1,0)))</x:f>
      </x:c>
      <x:c r="CY69" s="166"/>
      <x:c r="CZ69" s="172" t="str">
        <x:f>IF(CO69="","",IF(CY69="","",CY69-CX69*365/DA69))</x:f>
      </x:c>
      <x:c r="DA69" s="164"/>
      <x:c r="DB69" s="172" t="str">
        <x:f>IF(CO69="","",IFERROR(CT69*(CS69/CR69-1),0))</x:f>
      </x:c>
      <x:c r="DC69" s="147"/>
      <x:c r="DD69" s="147"/>
      <x:c r="DE69" s="147"/>
      <x:c r="DF69" s="167"/>
      <x:c r="DG69" s="167"/>
      <x:c r="DH69" s="166"/>
      <x:c r="DI69" s="171" t="str">
        <x:f>IF(DC69="","",IFERROR(F69*DH69/DF69,0))</x:f>
      </x:c>
      <x:c r="DJ69" s="171" t="str">
        <x:f>IF(DC69="","",F69*ABS(DH69))</x:f>
      </x:c>
      <x:c r="DK69" s="165"/>
      <x:c r="DL69" s="172" t="str">
        <x:f>IF(DC69="","",IF(DK69="","",IFERROR(DF69/DK69-1,0)))</x:f>
      </x:c>
      <x:c r="DM69" s="166"/>
      <x:c r="DN69" s="172" t="str">
        <x:f>IF(DC69="","",IF(DM69="","",DM69-DL69*365/DO69))</x:f>
      </x:c>
      <x:c r="DO69" s="164"/>
      <x:c r="DP69" s="172" t="str">
        <x:f>IF(DC69="","",IFERROR(DH69*(DG69/DF69-1),0))</x:f>
      </x:c>
      <x:c r="DQ69" s="147"/>
      <x:c r="DR69" s="147"/>
      <x:c r="DS69" s="147"/>
      <x:c r="DT69" s="167"/>
      <x:c r="DU69" s="167"/>
      <x:c r="DV69" s="166"/>
      <x:c r="DW69" s="171" t="str">
        <x:f>IF(DQ69="","",IFERROR(F69*DV69/DT69,0))</x:f>
      </x:c>
      <x:c r="DX69" s="171" t="str">
        <x:f>IF(DQ69="","",F69*ABS(DV69))</x:f>
      </x:c>
      <x:c r="DY69" s="165"/>
      <x:c r="DZ69" s="172" t="str">
        <x:f>IF(DQ69="","",IF(DY69="","",IFERROR(DT69/DY69-1,0)))</x:f>
      </x:c>
      <x:c r="EA69" s="166"/>
      <x:c r="EB69" s="172" t="str">
        <x:f>IF(DQ69="","",IF(EA69="","",EA69-DZ69*365/EC69))</x:f>
      </x:c>
      <x:c r="EC69" s="164"/>
      <x:c r="ED69" s="172" t="str">
        <x:f>IF(DQ69="","",IFERROR(DV69*(DU69/DT69-1),0))</x:f>
      </x:c>
      <x:c r="EE69" s="147"/>
      <x:c r="EF69" s="147"/>
      <x:c r="EG69" s="147"/>
      <x:c r="EH69" s="167"/>
      <x:c r="EI69" s="167"/>
      <x:c r="EJ69" s="166"/>
      <x:c r="EK69" s="171" t="str">
        <x:f>IF(EE69="","",IFERROR(F69*EJ69/EH69,0))</x:f>
      </x:c>
      <x:c r="EL69" s="171" t="str">
        <x:f>IF(EE69="","",F69*ABS(EJ69))</x:f>
      </x:c>
      <x:c r="EM69" s="165"/>
      <x:c r="EN69" s="172" t="str">
        <x:f>IF(EE69="","",IF(EM69="","",IFERROR(EH69/EM69-1,0)))</x:f>
      </x:c>
      <x:c r="EO69" s="166"/>
      <x:c r="EP69" s="172" t="str">
        <x:f>IF(EE69="","",IF(EO69="","",EO69-EN69*365/EQ69))</x:f>
      </x:c>
      <x:c r="EQ69" s="164"/>
      <x:c r="ER69" s="172" t="str">
        <x:f>IF(EE69="","",IFERROR(EJ69*(EI69/EH69-1),0))</x:f>
      </x:c>
      <x:c r="ES69" s="147"/>
      <x:c r="ET69" s="147"/>
      <x:c r="EU69" s="147"/>
      <x:c r="EV69" s="167"/>
      <x:c r="EW69" s="167"/>
      <x:c r="EX69" s="166"/>
      <x:c r="EY69" s="171" t="str">
        <x:f>IF(ES69="","",IFERROR(F69*EX69/EV69,0))</x:f>
      </x:c>
      <x:c r="EZ69" s="171" t="str">
        <x:f>IF(ES69="","",F69*ABS(EX69))</x:f>
      </x:c>
      <x:c r="FA69" s="165"/>
      <x:c r="FB69" s="172" t="str">
        <x:f>IF(ES69="","",IF(FA69="","",IFERROR(EV69/FA69-1,0)))</x:f>
      </x:c>
      <x:c r="FC69" s="166"/>
      <x:c r="FD69" s="172" t="str">
        <x:f>IF(ES69="","",IF(FC69="","",FC69-FB69*365/FE69))</x:f>
      </x:c>
      <x:c r="FE69" s="164"/>
      <x:c r="FF69" s="172" t="str">
        <x:f>IF(ES69="","",IFERROR(EX69*(EW69/EV69-1),0))</x:f>
      </x:c>
      <x:c r="FG69" s="147"/>
      <x:c r="FH69" s="147"/>
      <x:c r="FI69" s="147"/>
      <x:c r="FJ69" s="167"/>
      <x:c r="FK69" s="167"/>
      <x:c r="FL69" s="166"/>
      <x:c r="FM69" s="171" t="str">
        <x:f>IF(FG69="","",IFERROR(F69*FL69/FJ69,0))</x:f>
      </x:c>
      <x:c r="FN69" s="171" t="str">
        <x:f>IF(FG69="","",F69*ABS(FL69))</x:f>
      </x:c>
      <x:c r="FO69" s="165"/>
      <x:c r="FP69" s="172" t="str">
        <x:f>IF(FG69="","",IF(FO69="","",IFERROR(FJ69/FO69-1,0)))</x:f>
      </x:c>
      <x:c r="FQ69" s="166"/>
      <x:c r="FR69" s="172" t="str">
        <x:f>IF(FG69="","",IF(FQ69="","",FQ69-FP69*365/FS69))</x:f>
      </x:c>
      <x:c r="FS69" s="164"/>
      <x:c r="FT69" s="172" t="str">
        <x:f>IF(FG69="","",IFERROR(FL69*(FK69/FJ69-1),0))</x:f>
      </x:c>
    </x:row>
    <x:row r="70" ht="18" customHeight="1">
      <x:c r="A70" s="163" t="n">
        <x:v>25308</x:v>
      </x:c>
      <x:c r="B70" s="163" t="n">
        <x:v>25309</x:v>
      </x:c>
      <x:c r="C70" s="170" t="n">
        <x:f>B70-A70</x:f>
        <x:v>1</x:v>
      </x:c>
      <x:c r="D70" s="163" t="n">
        <x:v>25308</x:v>
      </x:c>
      <x:c r="E70" s="147" t="str">
        <x:v>positive</x:v>
      </x:c>
      <x:c r="F70" s="165" t="n">
        <x:v>1.2580004937885039</x:v>
      </x:c>
      <x:c r="G70" s="168" t="n">
        <x:v>0.005686976384471995</x:v>
      </x:c>
      <x:c r="H70" s="172" t="n">
        <x:f>SUM(AX70,BL70,BZ70,CN70,DB70,DP70,ED70,ER70,FF70,FT70)</x:f>
        <x:v>0.005686976384471994</x:v>
      </x:c>
      <x:c r="I70" s="174" t="n">
        <x:f>G70-H70</x:f>
        <x:v>8.673617379884035e-19</x:v>
      </x:c>
      <x:c r="J70" s="171" t="n">
        <x:f>F70*(1+H70)</x:f>
        <x:v>1.2651547128883331</x:v>
      </x:c>
      <x:c r="K70" s="169" t="n">
        <x:v>1.2651547128883331</x:v>
      </x:c>
      <x:c r="L70" s="175" t="n">
        <x:f>K70-J70</x:f>
        <x:v>0</x:v>
      </x:c>
      <x:c r="M70" s="167" t="n">
        <x:v>1.797</x:v>
      </x:c>
      <x:c r="N70" s="167" t="n">
        <x:v>1.797</x:v>
      </x:c>
      <x:c r="O70" s="172" t="n">
        <x:f>IFERROR(N70/M70-1,0)</x:f>
        <x:v>0</x:v>
      </x:c>
      <x:c r="P70" s="171" t="n">
        <x:f>IFERROR(AD70/AH70,0)</x:f>
        <x:v>1.370709497405615</x:v>
      </x:c>
      <x:c r="Q70" s="171" t="n">
        <x:f>IFERROR(AE70/AI70,0)</x:f>
        <x:v>1.378504689947332</x:v>
      </x:c>
      <x:c r="R70" s="172" t="n">
        <x:f>IFERROR((Q70-P70)/(P70+S70),0)</x:f>
        <x:v>0.005686976384471849</x:v>
      </x:c>
      <x:c r="S70" s="172" t="n">
        <x:f>IFERROR(AF70/AH70,0)</x:f>
        <x:v>0</x:v>
      </x:c>
      <x:c r="T70" s="172" t="n">
        <x:f>IFERROR(AG70/AI70,0)</x:f>
        <x:v>0</x:v>
      </x:c>
      <x:c r="U70" s="172" t="n">
        <x:f>IFERROR((T70-S70)/(P70+S70),0)</x:f>
        <x:v>0</x:v>
      </x:c>
      <x:c r="V70" s="172" t="n">
        <x:f>R70+U70</x:f>
        <x:v>0.005686976384471849</x:v>
      </x:c>
      <x:c r="W70" s="172" t="n">
        <x:f>(1+O70)*(1+V70)-1</x:f>
        <x:v>0.005686976384471798</x:v>
      </x:c>
      <x:c r="X70" s="174" t="n">
        <x:f>G70-W70</x:f>
        <x:v>1.968911145233676e-16</x:v>
      </x:c>
      <x:c r="Y70" s="172" t="n">
        <x:f>AX70</x:f>
        <x:v>-0.0000012005819641233274</x:v>
      </x:c>
      <x:c r="Z70" s="172" t="n">
        <x:f>BL70</x:f>
        <x:v>0.00014076642896089506</x:v>
      </x:c>
      <x:c r="AA70" s="172" t="n">
        <x:f>SUM(BZ70,CN70,DB70,DP70,ED70,ER70,FF70,FT70)</x:f>
        <x:v>0.005547410537475222</x:v>
      </x:c>
      <x:c r="AB70" s="172" t="n">
        <x:f>SUM(Y70:AA70)</x:f>
        <x:v>0.005686976384471994</x:v>
      </x:c>
      <x:c r="AC70" s="174" t="n">
        <x:f>G70-AB70</x:f>
        <x:v>8.673617379884035e-19</x:v>
      </x:c>
      <x:c r="AD70" s="169" t="n">
        <x:v>1.2580004937885036</x:v>
      </x:c>
      <x:c r="AE70" s="169" t="n">
        <x:v>1.265154712888333</x:v>
      </x:c>
      <x:c r="AF70" s="169" t="n">
        <x:v>0</x:v>
      </x:c>
      <x:c r="AG70" s="169" t="n">
        <x:v>0</x:v>
      </x:c>
      <x:c r="AH70" s="171" t="n">
        <x:f>M70/$M$3</x:f>
        <x:v>0.9177732379979571</x:v>
      </x:c>
      <x:c r="AI70" s="171" t="n">
        <x:f>N70/$M$3</x:f>
        <x:v>0.9177732379979571</x:v>
      </x:c>
      <x:c r="AJ70" s="170" t="n">
        <x:f>IF(AK70&lt;&gt;"",1,0)+IF(AY70&lt;&gt;"",1,0)+IF(BM70&lt;&gt;"",1,0)+IF(CA70&lt;&gt;"",1,0)+IF(CO70&lt;&gt;"",1,0)+IF(DC70&lt;&gt;"",1,0)+IF(DQ70&lt;&gt;"",1,0)+IF(EE70&lt;&gt;"",1,0)+IF(ES70&lt;&gt;"",1,0)+IF(FG70&lt;&gt;"",1,0)</x:f>
        <x:v>3</x:v>
      </x:c>
      <x:c r="AK70" s="147" t="str">
        <x:v>Silver replicating holding (LBMA/SLV proxy)</x:v>
      </x:c>
      <x:c r="AL70" s="147" t="str">
        <x:v>Physical-backed proxy</x:v>
      </x:c>
      <x:c r="AM70" s="147" t="str">
        <x:v>Long</x:v>
      </x:c>
      <x:c r="AN70" s="167" t="n">
        <x:v>1.797</x:v>
      </x:c>
      <x:c r="AO70" s="167" t="n">
        <x:v>1.797</x:v>
      </x:c>
      <x:c r="AP70" s="166" t="n">
        <x:v>0.17528496676200578</x:v>
      </x:c>
      <x:c r="AQ70" s="171" t="n">
        <x:f>IF(AK70="","",IFERROR(F70*AP70/AN70,0))</x:f>
        <x:v>0.12270927920996369</x:v>
      </x:c>
      <x:c r="AR70" s="171" t="n">
        <x:f>IF(AK70="","",F70*ABS(AP70))</x:f>
        <x:v>0.22050857474030475</x:v>
      </x:c>
      <x:c r="AS70" s="165"/>
      <x:c r="AT70" s="172" t="str">
        <x:f>IF(AK70="","",IF(AS70="","",IFERROR(AN70/AS70-1,0)))</x:f>
      </x:c>
      <x:c r="AU70" s="166"/>
      <x:c r="AV70" s="172" t="str">
        <x:f>IF(AK70="","",IF(AU70="","",AU70-AT70*365/AW70))</x:f>
      </x:c>
      <x:c r="AW70" s="164"/>
      <x:c r="AX70" s="173" t="n">
        <x:f>IF(AK70="","",IFERROR(AP70*(AO70/AN70-1-'Parameters'!$C$6*C70/365),0))</x:f>
        <x:v>-0.0000012005819641233274</x:v>
      </x:c>
      <x:c r="AY70" s="147" t="str">
        <x:v>Matched-maturity Treasury collateral</x:v>
      </x:c>
      <x:c r="AZ70" s="147" t="str">
        <x:v>Treasury</x:v>
      </x:c>
      <x:c r="BA70" s="147" t="str">
        <x:v>Long</x:v>
      </x:c>
      <x:c r="BB70" s="167" t="n">
        <x:v>101.73455552099607</x:v>
      </x:c>
      <x:c r="BC70" s="167" t="n">
        <x:v>101.75192007663705</x:v>
      </x:c>
      <x:c r="BD70" s="166" t="n">
        <x:v>0.8247150332379942</x:v>
      </x:c>
      <x:c r="BE70" s="171" t="n">
        <x:f>IF(AY70="","",IFERROR(F70*BD70/BB70,0))</x:f>
        <x:v>0.010198028720281582</x:v>
      </x:c>
      <x:c r="BF70" s="171" t="n">
        <x:f>IF(AY70="","",F70*ABS(BD70))</x:f>
        <x:v>1.037491919048199</x:v>
      </x:c>
      <x:c r="BG70" s="165"/>
      <x:c r="BH70" s="172" t="str">
        <x:f>IF(AY70="","",IF(BG70="","",IFERROR(BB70/BG70-1,0)))</x:f>
      </x:c>
      <x:c r="BI70" s="166"/>
      <x:c r="BJ70" s="172" t="str">
        <x:f>IF(AY70="","",IF(BI70="","",BI70-BH70*365/BK70))</x:f>
      </x:c>
      <x:c r="BK70" s="164" t="n">
        <x:v>43</x:v>
      </x:c>
      <x:c r="BL70" s="172" t="n">
        <x:f>IF(AY70="","",IFERROR(BD70*(BC70/BB70-1),0))</x:f>
        <x:v>0.00014076642896089506</x:v>
      </x:c>
      <x:c r="BM70" s="147" t="str">
        <x:v>SI69K</x:v>
      </x:c>
      <x:c r="BN70" s="147" t="str">
        <x:v>Silver future (regular)</x:v>
      </x:c>
      <x:c r="BO70" s="147" t="str">
        <x:v>Long</x:v>
      </x:c>
      <x:c r="BP70" s="167" t="n">
        <x:v>1.784</x:v>
      </x:c>
      <x:c r="BQ70" s="167" t="n">
        <x:v>1.796</x:v>
      </x:c>
      <x:c r="BR70" s="166" t="n">
        <x:v>0.8247150332379942</x:v>
      </x:c>
      <x:c r="BS70" s="171" t="n">
        <x:f>IF(BM70="","",IFERROR(F70*BR70/BP70,0))</x:f>
        <x:v>0.5815537662826228</x:v>
      </x:c>
      <x:c r="BT70" s="171" t="n">
        <x:f>IF(BM70="","",F70*ABS(BR70))</x:f>
        <x:v>1.037491919048199</x:v>
      </x:c>
      <x:c r="BU70" s="165" t="n">
        <x:v>1.797</x:v>
      </x:c>
      <x:c r="BV70" s="172" t="n">
        <x:f>IF(BM70="","",IF(BU70="","",IFERROR(BP70/BU70-1,0)))</x:f>
        <x:v>-0.0072342793544796224</x:v>
      </x:c>
      <x:c r="BW70" s="166" t="n">
        <x:v>0.0623</x:v>
      </x:c>
      <x:c r="BX70" s="172" t="n">
        <x:f>IF(BM70="","",IF(BW70="","",BW70-BV70*365/BY70))</x:f>
        <x:v>0.12370725498569912</x:v>
      </x:c>
      <x:c r="BY70" s="164" t="n">
        <x:v>43</x:v>
      </x:c>
      <x:c r="BZ70" s="172" t="n">
        <x:f>IF(BM70="","",IFERROR(BR70*(BQ70/BP70-1),0))</x:f>
        <x:v>0.005547410537475222</x:v>
      </x:c>
      <x:c r="CA70" s="147"/>
      <x:c r="CB70" s="147"/>
      <x:c r="CC70" s="147"/>
      <x:c r="CD70" s="167"/>
      <x:c r="CE70" s="167"/>
      <x:c r="CF70" s="166"/>
      <x:c r="CG70" s="171" t="str">
        <x:f>IF(CA70="","",IFERROR(F70*CF70/CD70,0))</x:f>
      </x:c>
      <x:c r="CH70" s="171" t="str">
        <x:f>IF(CA70="","",F70*ABS(CF70))</x:f>
      </x:c>
      <x:c r="CI70" s="165"/>
      <x:c r="CJ70" s="172" t="str">
        <x:f>IF(CA70="","",IF(CI70="","",IFERROR(CD70/CI70-1,0)))</x:f>
      </x:c>
      <x:c r="CK70" s="166"/>
      <x:c r="CL70" s="172" t="str">
        <x:f>IF(CA70="","",IF(CK70="","",CK70-CJ70*365/CM70))</x:f>
      </x:c>
      <x:c r="CM70" s="164"/>
      <x:c r="CN70" s="172" t="str">
        <x:f>IF(CA70="","",IFERROR(CF70*(CE70/CD70-1),0))</x:f>
      </x:c>
      <x:c r="CO70" s="147"/>
      <x:c r="CP70" s="147"/>
      <x:c r="CQ70" s="147"/>
      <x:c r="CR70" s="167"/>
      <x:c r="CS70" s="167"/>
      <x:c r="CT70" s="166"/>
      <x:c r="CU70" s="171" t="str">
        <x:f>IF(CO70="","",IFERROR(F70*CT70/CR70,0))</x:f>
      </x:c>
      <x:c r="CV70" s="171" t="str">
        <x:f>IF(CO70="","",F70*ABS(CT70))</x:f>
      </x:c>
      <x:c r="CW70" s="165"/>
      <x:c r="CX70" s="172" t="str">
        <x:f>IF(CO70="","",IF(CW70="","",IFERROR(CR70/CW70-1,0)))</x:f>
      </x:c>
      <x:c r="CY70" s="166"/>
      <x:c r="CZ70" s="172" t="str">
        <x:f>IF(CO70="","",IF(CY70="","",CY70-CX70*365/DA70))</x:f>
      </x:c>
      <x:c r="DA70" s="164"/>
      <x:c r="DB70" s="172" t="str">
        <x:f>IF(CO70="","",IFERROR(CT70*(CS70/CR70-1),0))</x:f>
      </x:c>
      <x:c r="DC70" s="147"/>
      <x:c r="DD70" s="147"/>
      <x:c r="DE70" s="147"/>
      <x:c r="DF70" s="167"/>
      <x:c r="DG70" s="167"/>
      <x:c r="DH70" s="166"/>
      <x:c r="DI70" s="171" t="str">
        <x:f>IF(DC70="","",IFERROR(F70*DH70/DF70,0))</x:f>
      </x:c>
      <x:c r="DJ70" s="171" t="str">
        <x:f>IF(DC70="","",F70*ABS(DH70))</x:f>
      </x:c>
      <x:c r="DK70" s="165"/>
      <x:c r="DL70" s="172" t="str">
        <x:f>IF(DC70="","",IF(DK70="","",IFERROR(DF70/DK70-1,0)))</x:f>
      </x:c>
      <x:c r="DM70" s="166"/>
      <x:c r="DN70" s="172" t="str">
        <x:f>IF(DC70="","",IF(DM70="","",DM70-DL70*365/DO70))</x:f>
      </x:c>
      <x:c r="DO70" s="164"/>
      <x:c r="DP70" s="172" t="str">
        <x:f>IF(DC70="","",IFERROR(DH70*(DG70/DF70-1),0))</x:f>
      </x:c>
      <x:c r="DQ70" s="147"/>
      <x:c r="DR70" s="147"/>
      <x:c r="DS70" s="147"/>
      <x:c r="DT70" s="167"/>
      <x:c r="DU70" s="167"/>
      <x:c r="DV70" s="166"/>
      <x:c r="DW70" s="171" t="str">
        <x:f>IF(DQ70="","",IFERROR(F70*DV70/DT70,0))</x:f>
      </x:c>
      <x:c r="DX70" s="171" t="str">
        <x:f>IF(DQ70="","",F70*ABS(DV70))</x:f>
      </x:c>
      <x:c r="DY70" s="165"/>
      <x:c r="DZ70" s="172" t="str">
        <x:f>IF(DQ70="","",IF(DY70="","",IFERROR(DT70/DY70-1,0)))</x:f>
      </x:c>
      <x:c r="EA70" s="166"/>
      <x:c r="EB70" s="172" t="str">
        <x:f>IF(DQ70="","",IF(EA70="","",EA70-DZ70*365/EC70))</x:f>
      </x:c>
      <x:c r="EC70" s="164"/>
      <x:c r="ED70" s="172" t="str">
        <x:f>IF(DQ70="","",IFERROR(DV70*(DU70/DT70-1),0))</x:f>
      </x:c>
      <x:c r="EE70" s="147"/>
      <x:c r="EF70" s="147"/>
      <x:c r="EG70" s="147"/>
      <x:c r="EH70" s="167"/>
      <x:c r="EI70" s="167"/>
      <x:c r="EJ70" s="166"/>
      <x:c r="EK70" s="171" t="str">
        <x:f>IF(EE70="","",IFERROR(F70*EJ70/EH70,0))</x:f>
      </x:c>
      <x:c r="EL70" s="171" t="str">
        <x:f>IF(EE70="","",F70*ABS(EJ70))</x:f>
      </x:c>
      <x:c r="EM70" s="165"/>
      <x:c r="EN70" s="172" t="str">
        <x:f>IF(EE70="","",IF(EM70="","",IFERROR(EH70/EM70-1,0)))</x:f>
      </x:c>
      <x:c r="EO70" s="166"/>
      <x:c r="EP70" s="172" t="str">
        <x:f>IF(EE70="","",IF(EO70="","",EO70-EN70*365/EQ70))</x:f>
      </x:c>
      <x:c r="EQ70" s="164"/>
      <x:c r="ER70" s="172" t="str">
        <x:f>IF(EE70="","",IFERROR(EJ70*(EI70/EH70-1),0))</x:f>
      </x:c>
      <x:c r="ES70" s="147"/>
      <x:c r="ET70" s="147"/>
      <x:c r="EU70" s="147"/>
      <x:c r="EV70" s="167"/>
      <x:c r="EW70" s="167"/>
      <x:c r="EX70" s="166"/>
      <x:c r="EY70" s="171" t="str">
        <x:f>IF(ES70="","",IFERROR(F70*EX70/EV70,0))</x:f>
      </x:c>
      <x:c r="EZ70" s="171" t="str">
        <x:f>IF(ES70="","",F70*ABS(EX70))</x:f>
      </x:c>
      <x:c r="FA70" s="165"/>
      <x:c r="FB70" s="172" t="str">
        <x:f>IF(ES70="","",IF(FA70="","",IFERROR(EV70/FA70-1,0)))</x:f>
      </x:c>
      <x:c r="FC70" s="166"/>
      <x:c r="FD70" s="172" t="str">
        <x:f>IF(ES70="","",IF(FC70="","",FC70-FB70*365/FE70))</x:f>
      </x:c>
      <x:c r="FE70" s="164"/>
      <x:c r="FF70" s="172" t="str">
        <x:f>IF(ES70="","",IFERROR(EX70*(EW70/EV70-1),0))</x:f>
      </x:c>
      <x:c r="FG70" s="147"/>
      <x:c r="FH70" s="147"/>
      <x:c r="FI70" s="147"/>
      <x:c r="FJ70" s="167"/>
      <x:c r="FK70" s="167"/>
      <x:c r="FL70" s="166"/>
      <x:c r="FM70" s="171" t="str">
        <x:f>IF(FG70="","",IFERROR(F70*FL70/FJ70,0))</x:f>
      </x:c>
      <x:c r="FN70" s="171" t="str">
        <x:f>IF(FG70="","",F70*ABS(FL70))</x:f>
      </x:c>
      <x:c r="FO70" s="165"/>
      <x:c r="FP70" s="172" t="str">
        <x:f>IF(FG70="","",IF(FO70="","",IFERROR(FJ70/FO70-1,0)))</x:f>
      </x:c>
      <x:c r="FQ70" s="166"/>
      <x:c r="FR70" s="172" t="str">
        <x:f>IF(FG70="","",IF(FQ70="","",FQ70-FP70*365/FS70))</x:f>
      </x:c>
      <x:c r="FS70" s="164"/>
      <x:c r="FT70" s="172" t="str">
        <x:f>IF(FG70="","",IFERROR(FL70*(FK70/FJ70-1),0))</x:f>
      </x:c>
    </x:row>
    <x:row r="71" ht="18" customHeight="1">
      <x:c r="A71" s="163" t="n">
        <x:v>25309</x:v>
      </x:c>
      <x:c r="B71" s="163" t="n">
        <x:v>25310</x:v>
      </x:c>
      <x:c r="C71" s="170" t="n">
        <x:f>B71-A71</x:f>
        <x:v>1</x:v>
      </x:c>
      <x:c r="D71" s="163" t="n">
        <x:v>25309</x:v>
      </x:c>
      <x:c r="E71" s="147" t="str">
        <x:v>positive</x:v>
      </x:c>
      <x:c r="F71" s="165" t="n">
        <x:v>1.2651547128883331</x:v>
      </x:c>
      <x:c r="G71" s="168" t="n">
        <x:v>0.000413053225297983</x:v>
      </x:c>
      <x:c r="H71" s="172" t="n">
        <x:f>SUM(AX71,BL71,BZ71,CN71,DB71,DP71,ED71,ER71,FF71,FT71)</x:f>
        <x:v>0.0004130532252978442</x:v>
      </x:c>
      <x:c r="I71" s="174" t="n">
        <x:f>G71-H71</x:f>
        <x:v>1.3877787807814457e-16</x:v>
      </x:c>
      <x:c r="J71" s="171" t="n">
        <x:f>F71*(1+H71)</x:f>
        <x:v>1.2656772891229926</x:v>
      </x:c>
      <x:c r="K71" s="169" t="n">
        <x:v>1.2656772891229926</x:v>
      </x:c>
      <x:c r="L71" s="175" t="n">
        <x:f>K71-J71</x:f>
        <x:v>0</x:v>
      </x:c>
      <x:c r="M71" s="167" t="n">
        <x:v>1.797</x:v>
      </x:c>
      <x:c r="N71" s="167" t="n">
        <x:v>1.807</x:v>
      </x:c>
      <x:c r="O71" s="172" t="n">
        <x:f>IFERROR(N71/M71-1,0)</x:f>
        <x:v>0.005564830272676735</x:v>
      </x:c>
      <x:c r="P71" s="171" t="n">
        <x:f>IFERROR(AD71/AH71,0)</x:f>
        <x:v>1.378504689947332</x:v>
      </x:c>
      <x:c r="Q71" s="171" t="n">
        <x:f>IFERROR(AE71/AI71,0)</x:f>
        <x:v>1.3714422424476032</x:v>
      </x:c>
      <x:c r="R71" s="172" t="n">
        <x:f>IFERROR((Q71-P71)/(P71+S71),0)</x:f>
        <x:v>-0.005123266936435874</x:v>
      </x:c>
      <x:c r="S71" s="172" t="n">
        <x:f>IFERROR(AF71/AH71,0)</x:f>
        <x:v>0</x:v>
      </x:c>
      <x:c r="T71" s="172" t="n">
        <x:f>IFERROR(AG71/AI71,0)</x:f>
        <x:v>0</x:v>
      </x:c>
      <x:c r="U71" s="172" t="n">
        <x:f>IFERROR((T71-S71)/(P71+S71),0)</x:f>
        <x:v>0</x:v>
      </x:c>
      <x:c r="V71" s="172" t="n">
        <x:f>R71+U71</x:f>
        <x:v>-0.005123266936435874</x:v>
      </x:c>
      <x:c r="W71" s="172" t="n">
        <x:f>(1+O71)*(1+V71)-1</x:f>
        <x:v>0.0004130532252979435</x:v>
      </x:c>
      <x:c r="X71" s="174" t="n">
        <x:f>G71-W71</x:f>
        <x:v>3.946495907847236e-17</x:v>
      </x:c>
      <x:c r="Y71" s="172" t="n">
        <x:f>AX71</x:f>
        <x:v>0.003074078416534823</x:v>
      </x:c>
      <x:c r="Z71" s="172" t="n">
        <x:f>BL71</x:f>
        <x:v>0.00007615791005337606</x:v>
      </x:c>
      <x:c r="AA71" s="172" t="n">
        <x:f>SUM(BZ71,CN71,DB71,DP71,ED71,ER71,FF71,FT71)</x:f>
        <x:v>-0.002737183101290355</x:v>
      </x:c>
      <x:c r="AB71" s="172" t="n">
        <x:f>SUM(Y71:AA71)</x:f>
        <x:v>0.0004130532252978442</x:v>
      </x:c>
      <x:c r="AC71" s="174" t="n">
        <x:f>G71-AB71</x:f>
        <x:v>1.3877787807814457e-16</x:v>
      </x:c>
      <x:c r="AD71" s="169" t="n">
        <x:v>1.265154712888333</x:v>
      </x:c>
      <x:c r="AE71" s="169" t="n">
        <x:v>1.2656772891229924</x:v>
      </x:c>
      <x:c r="AF71" s="169" t="n">
        <x:v>0</x:v>
      </x:c>
      <x:c r="AG71" s="169" t="n">
        <x:v>0</x:v>
      </x:c>
      <x:c r="AH71" s="171" t="n">
        <x:f>M71/$M$3</x:f>
        <x:v>0.9177732379979571</x:v>
      </x:c>
      <x:c r="AI71" s="171" t="n">
        <x:f>N71/$M$3</x:f>
        <x:v>0.9228804902962207</x:v>
      </x:c>
      <x:c r="AJ71" s="170" t="n">
        <x:f>IF(AK71&lt;&gt;"",1,0)+IF(AY71&lt;&gt;"",1,0)+IF(BM71&lt;&gt;"",1,0)+IF(CA71&lt;&gt;"",1,0)+IF(CO71&lt;&gt;"",1,0)+IF(DC71&lt;&gt;"",1,0)+IF(DQ71&lt;&gt;"",1,0)+IF(EE71&lt;&gt;"",1,0)+IF(ES71&lt;&gt;"",1,0)+IF(FG71&lt;&gt;"",1,0)</x:f>
        <x:v>3</x:v>
      </x:c>
      <x:c r="AK71" s="147" t="str">
        <x:v>Silver replicating holding (LBMA/SLV proxy)</x:v>
      </x:c>
      <x:c r="AL71" s="147" t="str">
        <x:v>Physical-backed proxy</x:v>
      </x:c>
      <x:c r="AM71" s="147" t="str">
        <x:v>Long</x:v>
      </x:c>
      <x:c r="AN71" s="167" t="n">
        <x:v>1.797</x:v>
      </x:c>
      <x:c r="AO71" s="167" t="n">
        <x:v>1.807</x:v>
      </x:c>
      <x:c r="AP71" s="166" t="n">
        <x:v>0.5530926500075104</x:v>
      </x:c>
      <x:c r="AQ71" s="171" t="n">
        <x:f>IF(AK71="","",IFERROR(F71*AP71/AN71,0))</x:f>
        <x:v>0.3893977589431826</x:v>
      </x:c>
      <x:c r="AR71" s="171" t="n">
        <x:f>IF(AK71="","",F71*ABS(AP71))</x:f>
        <x:v>0.6997477728208992</x:v>
      </x:c>
      <x:c r="AS71" s="165"/>
      <x:c r="AT71" s="172" t="str">
        <x:f>IF(AK71="","",IF(AS71="","",IFERROR(AN71/AS71-1,0)))</x:f>
      </x:c>
      <x:c r="AU71" s="166"/>
      <x:c r="AV71" s="172" t="str">
        <x:f>IF(AK71="","",IF(AU71="","",AU71-AT71*365/AW71))</x:f>
      </x:c>
      <x:c r="AW71" s="164"/>
      <x:c r="AX71" s="173" t="n">
        <x:f>IF(AK71="","",IFERROR(AP71*(AO71/AN71-1-'Parameters'!$C$6*C71/365),0))</x:f>
        <x:v>0.003074078416534823</x:v>
      </x:c>
      <x:c r="AY71" s="147" t="str">
        <x:v>Matched-maturity Treasury collateral</x:v>
      </x:c>
      <x:c r="AZ71" s="147" t="str">
        <x:v>Treasury</x:v>
      </x:c>
      <x:c r="BA71" s="147" t="str">
        <x:v>Long</x:v>
      </x:c>
      <x:c r="BB71" s="167" t="n">
        <x:v>101.75192007663705</x:v>
      </x:c>
      <x:c r="BC71" s="167" t="n">
        <x:v>101.76925971890762</x:v>
      </x:c>
      <x:c r="BD71" s="166" t="n">
        <x:v>0.44690734999248966</x:v>
      </x:c>
      <x:c r="BE71" s="171" t="n">
        <x:f>IF(AY71="","",IFERROR(F71*BD71/BB71,0))</x:f>
        <x:v>0.005556720105542809</x:v>
      </x:c>
      <x:c r="BF71" s="171" t="n">
        <x:f>IF(AY71="","",F71*ABS(BD71))</x:f>
        <x:v>0.5654069400674341</x:v>
      </x:c>
      <x:c r="BG71" s="165"/>
      <x:c r="BH71" s="172" t="str">
        <x:f>IF(AY71="","",IF(BG71="","",IFERROR(BB71/BG71-1,0)))</x:f>
      </x:c>
      <x:c r="BI71" s="166"/>
      <x:c r="BJ71" s="172" t="str">
        <x:f>IF(AY71="","",IF(BI71="","",BI71-BH71*365/BK71))</x:f>
      </x:c>
      <x:c r="BK71" s="164" t="n">
        <x:v>42</x:v>
      </x:c>
      <x:c r="BL71" s="172" t="n">
        <x:f>IF(AY71="","",IFERROR(BD71*(BC71/BB71-1),0))</x:f>
        <x:v>0.00007615791005337606</x:v>
      </x:c>
      <x:c r="BM71" s="147" t="str">
        <x:v>SI69K</x:v>
      </x:c>
      <x:c r="BN71" s="147" t="str">
        <x:v>Silver future (regular)</x:v>
      </x:c>
      <x:c r="BO71" s="147" t="str">
        <x:v>Long</x:v>
      </x:c>
      <x:c r="BP71" s="167" t="n">
        <x:v>1.796</x:v>
      </x:c>
      <x:c r="BQ71" s="167" t="n">
        <x:v>1.785</x:v>
      </x:c>
      <x:c r="BR71" s="166" t="n">
        <x:v>0.44690734999248966</x:v>
      </x:c>
      <x:c r="BS71" s="171" t="n">
        <x:f>IF(BM71="","",IFERROR(F71*BR71/BP71,0))</x:f>
        <x:v>0.31481455460324836</x:v>
      </x:c>
      <x:c r="BT71" s="171" t="n">
        <x:f>IF(BM71="","",F71*ABS(BR71))</x:f>
        <x:v>0.5654069400674341</x:v>
      </x:c>
      <x:c r="BU71" s="165" t="n">
        <x:v>1.797</x:v>
      </x:c>
      <x:c r="BV71" s="172" t="n">
        <x:f>IF(BM71="","",IF(BU71="","",IFERROR(BP71/BU71-1,0)))</x:f>
        <x:v>-0.0005564830272676291</x:v>
      </x:c>
      <x:c r="BW71" s="166" t="n">
        <x:v>0.0622</x:v>
      </x:c>
      <x:c r="BX71" s="172" t="n">
        <x:f>IF(BM71="","",IF(BW71="","",BW71-BV71*365/BY71))</x:f>
        <x:v>0.06703610249887344</x:v>
      </x:c>
      <x:c r="BY71" s="164" t="n">
        <x:v>42</x:v>
      </x:c>
      <x:c r="BZ71" s="172" t="n">
        <x:f>IF(BM71="","",IFERROR(BR71*(BQ71/BP71-1),0))</x:f>
        <x:v>-0.002737183101290355</x:v>
      </x:c>
      <x:c r="CA71" s="147"/>
      <x:c r="CB71" s="147"/>
      <x:c r="CC71" s="147"/>
      <x:c r="CD71" s="167"/>
      <x:c r="CE71" s="167"/>
      <x:c r="CF71" s="166"/>
      <x:c r="CG71" s="171" t="str">
        <x:f>IF(CA71="","",IFERROR(F71*CF71/CD71,0))</x:f>
      </x:c>
      <x:c r="CH71" s="171" t="str">
        <x:f>IF(CA71="","",F71*ABS(CF71))</x:f>
      </x:c>
      <x:c r="CI71" s="165"/>
      <x:c r="CJ71" s="172" t="str">
        <x:f>IF(CA71="","",IF(CI71="","",IFERROR(CD71/CI71-1,0)))</x:f>
      </x:c>
      <x:c r="CK71" s="166"/>
      <x:c r="CL71" s="172" t="str">
        <x:f>IF(CA71="","",IF(CK71="","",CK71-CJ71*365/CM71))</x:f>
      </x:c>
      <x:c r="CM71" s="164"/>
      <x:c r="CN71" s="172" t="str">
        <x:f>IF(CA71="","",IFERROR(CF71*(CE71/CD71-1),0))</x:f>
      </x:c>
      <x:c r="CO71" s="147"/>
      <x:c r="CP71" s="147"/>
      <x:c r="CQ71" s="147"/>
      <x:c r="CR71" s="167"/>
      <x:c r="CS71" s="167"/>
      <x:c r="CT71" s="166"/>
      <x:c r="CU71" s="171" t="str">
        <x:f>IF(CO71="","",IFERROR(F71*CT71/CR71,0))</x:f>
      </x:c>
      <x:c r="CV71" s="171" t="str">
        <x:f>IF(CO71="","",F71*ABS(CT71))</x:f>
      </x:c>
      <x:c r="CW71" s="165"/>
      <x:c r="CX71" s="172" t="str">
        <x:f>IF(CO71="","",IF(CW71="","",IFERROR(CR71/CW71-1,0)))</x:f>
      </x:c>
      <x:c r="CY71" s="166"/>
      <x:c r="CZ71" s="172" t="str">
        <x:f>IF(CO71="","",IF(CY71="","",CY71-CX71*365/DA71))</x:f>
      </x:c>
      <x:c r="DA71" s="164"/>
      <x:c r="DB71" s="172" t="str">
        <x:f>IF(CO71="","",IFERROR(CT71*(CS71/CR71-1),0))</x:f>
      </x:c>
      <x:c r="DC71" s="147"/>
      <x:c r="DD71" s="147"/>
      <x:c r="DE71" s="147"/>
      <x:c r="DF71" s="167"/>
      <x:c r="DG71" s="167"/>
      <x:c r="DH71" s="166"/>
      <x:c r="DI71" s="171" t="str">
        <x:f>IF(DC71="","",IFERROR(F71*DH71/DF71,0))</x:f>
      </x:c>
      <x:c r="DJ71" s="171" t="str">
        <x:f>IF(DC71="","",F71*ABS(DH71))</x:f>
      </x:c>
      <x:c r="DK71" s="165"/>
      <x:c r="DL71" s="172" t="str">
        <x:f>IF(DC71="","",IF(DK71="","",IFERROR(DF71/DK71-1,0)))</x:f>
      </x:c>
      <x:c r="DM71" s="166"/>
      <x:c r="DN71" s="172" t="str">
        <x:f>IF(DC71="","",IF(DM71="","",DM71-DL71*365/DO71))</x:f>
      </x:c>
      <x:c r="DO71" s="164"/>
      <x:c r="DP71" s="172" t="str">
        <x:f>IF(DC71="","",IFERROR(DH71*(DG71/DF71-1),0))</x:f>
      </x:c>
      <x:c r="DQ71" s="147"/>
      <x:c r="DR71" s="147"/>
      <x:c r="DS71" s="147"/>
      <x:c r="DT71" s="167"/>
      <x:c r="DU71" s="167"/>
      <x:c r="DV71" s="166"/>
      <x:c r="DW71" s="171" t="str">
        <x:f>IF(DQ71="","",IFERROR(F71*DV71/DT71,0))</x:f>
      </x:c>
      <x:c r="DX71" s="171" t="str">
        <x:f>IF(DQ71="","",F71*ABS(DV71))</x:f>
      </x:c>
      <x:c r="DY71" s="165"/>
      <x:c r="DZ71" s="172" t="str">
        <x:f>IF(DQ71="","",IF(DY71="","",IFERROR(DT71/DY71-1,0)))</x:f>
      </x:c>
      <x:c r="EA71" s="166"/>
      <x:c r="EB71" s="172" t="str">
        <x:f>IF(DQ71="","",IF(EA71="","",EA71-DZ71*365/EC71))</x:f>
      </x:c>
      <x:c r="EC71" s="164"/>
      <x:c r="ED71" s="172" t="str">
        <x:f>IF(DQ71="","",IFERROR(DV71*(DU71/DT71-1),0))</x:f>
      </x:c>
      <x:c r="EE71" s="147"/>
      <x:c r="EF71" s="147"/>
      <x:c r="EG71" s="147"/>
      <x:c r="EH71" s="167"/>
      <x:c r="EI71" s="167"/>
      <x:c r="EJ71" s="166"/>
      <x:c r="EK71" s="171" t="str">
        <x:f>IF(EE71="","",IFERROR(F71*EJ71/EH71,0))</x:f>
      </x:c>
      <x:c r="EL71" s="171" t="str">
        <x:f>IF(EE71="","",F71*ABS(EJ71))</x:f>
      </x:c>
      <x:c r="EM71" s="165"/>
      <x:c r="EN71" s="172" t="str">
        <x:f>IF(EE71="","",IF(EM71="","",IFERROR(EH71/EM71-1,0)))</x:f>
      </x:c>
      <x:c r="EO71" s="166"/>
      <x:c r="EP71" s="172" t="str">
        <x:f>IF(EE71="","",IF(EO71="","",EO71-EN71*365/EQ71))</x:f>
      </x:c>
      <x:c r="EQ71" s="164"/>
      <x:c r="ER71" s="172" t="str">
        <x:f>IF(EE71="","",IFERROR(EJ71*(EI71/EH71-1),0))</x:f>
      </x:c>
      <x:c r="ES71" s="147"/>
      <x:c r="ET71" s="147"/>
      <x:c r="EU71" s="147"/>
      <x:c r="EV71" s="167"/>
      <x:c r="EW71" s="167"/>
      <x:c r="EX71" s="166"/>
      <x:c r="EY71" s="171" t="str">
        <x:f>IF(ES71="","",IFERROR(F71*EX71/EV71,0))</x:f>
      </x:c>
      <x:c r="EZ71" s="171" t="str">
        <x:f>IF(ES71="","",F71*ABS(EX71))</x:f>
      </x:c>
      <x:c r="FA71" s="165"/>
      <x:c r="FB71" s="172" t="str">
        <x:f>IF(ES71="","",IF(FA71="","",IFERROR(EV71/FA71-1,0)))</x:f>
      </x:c>
      <x:c r="FC71" s="166"/>
      <x:c r="FD71" s="172" t="str">
        <x:f>IF(ES71="","",IF(FC71="","",FC71-FB71*365/FE71))</x:f>
      </x:c>
      <x:c r="FE71" s="164"/>
      <x:c r="FF71" s="172" t="str">
        <x:f>IF(ES71="","",IFERROR(EX71*(EW71/EV71-1),0))</x:f>
      </x:c>
      <x:c r="FG71" s="147"/>
      <x:c r="FH71" s="147"/>
      <x:c r="FI71" s="147"/>
      <x:c r="FJ71" s="167"/>
      <x:c r="FK71" s="167"/>
      <x:c r="FL71" s="166"/>
      <x:c r="FM71" s="171" t="str">
        <x:f>IF(FG71="","",IFERROR(F71*FL71/FJ71,0))</x:f>
      </x:c>
      <x:c r="FN71" s="171" t="str">
        <x:f>IF(FG71="","",F71*ABS(FL71))</x:f>
      </x:c>
      <x:c r="FO71" s="165"/>
      <x:c r="FP71" s="172" t="str">
        <x:f>IF(FG71="","",IF(FO71="","",IFERROR(FJ71/FO71-1,0)))</x:f>
      </x:c>
      <x:c r="FQ71" s="166"/>
      <x:c r="FR71" s="172" t="str">
        <x:f>IF(FG71="","",IF(FQ71="","",FQ71-FP71*365/FS71))</x:f>
      </x:c>
      <x:c r="FS71" s="164"/>
      <x:c r="FT71" s="172" t="str">
        <x:f>IF(FG71="","",IFERROR(FL71*(FK71/FJ71-1),0))</x:f>
      </x:c>
    </x:row>
    <x:row r="72" ht="18" customHeight="1">
      <x:c r="A72" s="163" t="n">
        <x:v>25310</x:v>
      </x:c>
      <x:c r="B72" s="163" t="n">
        <x:v>25311</x:v>
      </x:c>
      <x:c r="C72" s="170" t="n">
        <x:f>B72-A72</x:f>
        <x:v>1</x:v>
      </x:c>
      <x:c r="D72" s="163" t="n">
        <x:v>25310</x:v>
      </x:c>
      <x:c r="E72" s="147" t="str">
        <x:v>positive</x:v>
      </x:c>
      <x:c r="F72" s="165" t="n">
        <x:v>1.2656772891229926</x:v>
      </x:c>
      <x:c r="G72" s="168" t="n">
        <x:v>-0.0009505851655729635</x:v>
      </x:c>
      <x:c r="H72" s="172" t="n">
        <x:f>SUM(AX72,BL72,BZ72,CN72,DB72,DP72,ED72,ER72,FF72,FT72)</x:f>
        <x:v>-0.0009505851655727815</x:v>
      </x:c>
      <x:c r="I72" s="174" t="n">
        <x:f>G72-H72</x:f>
        <x:v>-1.820375447603162e-16</x:v>
      </x:c>
      <x:c r="J72" s="171" t="n">
        <x:f>F72*(1+H72)</x:f>
        <x:v>1.26447415506755</x:v>
      </x:c>
      <x:c r="K72" s="169" t="n">
        <x:v>1.2644741550675496</x:v>
      </x:c>
      <x:c r="L72" s="175" t="n">
        <x:f>K72-J72</x:f>
        <x:v>-4.440892098500626e-16</x:v>
      </x:c>
      <x:c r="M72" s="167" t="n">
        <x:v>1.807</x:v>
      </x:c>
      <x:c r="N72" s="167" t="n">
        <x:v>1.802</x:v>
      </x:c>
      <x:c r="O72" s="172" t="n">
        <x:f>IFERROR(N72/M72-1,0)</x:f>
        <x:v>-0.0027670171555063128</x:v>
      </x:c>
      <x:c r="P72" s="171" t="n">
        <x:f>IFERROR(AD72/AH72,0)</x:f>
        <x:v>1.3714422424476032</x:v>
      </x:c>
      <x:c r="Q72" s="171" t="n">
        <x:f>IFERROR(AE72/AI72,0)</x:f>
        <x:v>1.37394028613888</x:v>
      </x:c>
      <x:c r="R72" s="172" t="n">
        <x:f>IFERROR((Q72-P72)/(P72+S72),0)</x:f>
        <x:v>0.0018214720343006858</x:v>
      </x:c>
      <x:c r="S72" s="172" t="n">
        <x:f>IFERROR(AF72/AH72,0)</x:f>
        <x:v>0</x:v>
      </x:c>
      <x:c r="T72" s="172" t="n">
        <x:f>IFERROR(AG72/AI72,0)</x:f>
        <x:v>0</x:v>
      </x:c>
      <x:c r="U72" s="172" t="n">
        <x:f>IFERROR((T72-S72)/(P72+S72),0)</x:f>
        <x:v>0</x:v>
      </x:c>
      <x:c r="V72" s="172" t="n">
        <x:f>R72+U72</x:f>
        <x:v>0.0018214720343006858</x:v>
      </x:c>
      <x:c r="W72" s="172" t="n">
        <x:f>(1+O72)*(1+V72)-1</x:f>
        <x:v>-0.0009505851655728925</x:v>
      </x:c>
      <x:c r="X72" s="174" t="n">
        <x:f>G72-W72</x:f>
        <x:v>-7.101524229780054e-17</x:v>
      </x:c>
      <x:c r="Y72" s="172" t="str">
        <x:f>AX72</x:f>
      </x:c>
      <x:c r="Z72" s="172" t="n">
        <x:f>BL72</x:f>
        <x:v>0.00016986301369881218</x:v>
      </x:c>
      <x:c r="AA72" s="172" t="n">
        <x:f>SUM(BZ72,CN72,DB72,DP72,ED72,ER72,FF72,FT72)</x:f>
        <x:v>-0.0011204481792715937</x:v>
      </x:c>
      <x:c r="AB72" s="172" t="n">
        <x:f>SUM(Y72:AA72)</x:f>
        <x:v>-0.0009505851655727815</x:v>
      </x:c>
      <x:c r="AC72" s="174" t="n">
        <x:f>G72-AB72</x:f>
        <x:v>-1.820375447603162e-16</x:v>
      </x:c>
      <x:c r="AD72" s="169" t="n">
        <x:v>1.2656772891229924</x:v>
      </x:c>
      <x:c r="AE72" s="169" t="n">
        <x:v>1.2644741550675496</x:v>
      </x:c>
      <x:c r="AF72" s="169" t="n">
        <x:v>0</x:v>
      </x:c>
      <x:c r="AG72" s="169" t="n">
        <x:v>0</x:v>
      </x:c>
      <x:c r="AH72" s="171" t="n">
        <x:f>M72/$M$3</x:f>
        <x:v>0.9228804902962207</x:v>
      </x:c>
      <x:c r="AI72" s="171" t="n">
        <x:f>N72/$M$3</x:f>
        <x:v>0.9203268641470889</x:v>
      </x:c>
      <x:c r="AJ72" s="170" t="n">
        <x:f>IF(AK72&lt;&gt;"",1,0)+IF(AY72&lt;&gt;"",1,0)+IF(BM72&lt;&gt;"",1,0)+IF(CA72&lt;&gt;"",1,0)+IF(CO72&lt;&gt;"",1,0)+IF(DC72&lt;&gt;"",1,0)+IF(DQ72&lt;&gt;"",1,0)+IF(EE72&lt;&gt;"",1,0)+IF(ES72&lt;&gt;"",1,0)+IF(FG72&lt;&gt;"",1,0)</x:f>
        <x:v>2</x:v>
      </x:c>
      <x:c r="AK72" s="147"/>
      <x:c r="AL72" s="147"/>
      <x:c r="AM72" s="147"/>
      <x:c r="AN72" s="167"/>
      <x:c r="AO72" s="167"/>
      <x:c r="AP72" s="166"/>
      <x:c r="AQ72" s="171" t="str">
        <x:f>IF(AK72="","",IFERROR(F72*AP72/AN72,0))</x:f>
      </x:c>
      <x:c r="AR72" s="171" t="str">
        <x:f>IF(AK72="","",F72*ABS(AP72))</x:f>
      </x:c>
      <x:c r="AS72" s="165"/>
      <x:c r="AT72" s="172" t="str">
        <x:f>IF(AK72="","",IF(AS72="","",IFERROR(AN72/AS72-1,0)))</x:f>
      </x:c>
      <x:c r="AU72" s="166"/>
      <x:c r="AV72" s="172" t="str">
        <x:f>IF(AK72="","",IF(AU72="","",AU72-AT72*365/AW72))</x:f>
      </x:c>
      <x:c r="AW72" s="164"/>
      <x:c r="AX72" s="173" t="str">
        <x:f>IF(AK72="","",IFERROR(AP72*(AO72/AN72-1),0))</x:f>
      </x:c>
      <x:c r="AY72" s="147" t="str">
        <x:v>Matched-maturity Treasury collateral</x:v>
      </x:c>
      <x:c r="AZ72" s="147" t="str">
        <x:v>Treasury</x:v>
      </x:c>
      <x:c r="BA72" s="147" t="str">
        <x:v>Long</x:v>
      </x:c>
      <x:c r="BB72" s="167" t="n">
        <x:v>101.76925971890762</x:v>
      </x:c>
      <x:c r="BC72" s="167" t="n">
        <x:v>101.78654655206536</x:v>
      </x:c>
      <x:c r="BD72" s="166" t="n">
        <x:v>1</x:v>
      </x:c>
      <x:c r="BE72" s="171" t="n">
        <x:f>IF(AY72="","",IFERROR(F72*BD72/BB72,0))</x:f>
        <x:v>0.01243673475289949</x:v>
      </x:c>
      <x:c r="BF72" s="171" t="n">
        <x:f>IF(AY72="","",F72*ABS(BD72))</x:f>
        <x:v>1.2656772891229926</x:v>
      </x:c>
      <x:c r="BG72" s="165"/>
      <x:c r="BH72" s="172" t="str">
        <x:f>IF(AY72="","",IF(BG72="","",IFERROR(BB72/BG72-1,0)))</x:f>
      </x:c>
      <x:c r="BI72" s="166"/>
      <x:c r="BJ72" s="172" t="str">
        <x:f>IF(AY72="","",IF(BI72="","",BI72-BH72*365/BK72))</x:f>
      </x:c>
      <x:c r="BK72" s="164" t="n">
        <x:v>41</x:v>
      </x:c>
      <x:c r="BL72" s="172" t="n">
        <x:f>IF(AY72="","",IFERROR(BD72*(BC72/BB72-1),0))</x:f>
        <x:v>0.00016986301369881218</x:v>
      </x:c>
      <x:c r="BM72" s="147" t="str">
        <x:v>SI69K</x:v>
      </x:c>
      <x:c r="BN72" s="147" t="str">
        <x:v>Silver future (regular)</x:v>
      </x:c>
      <x:c r="BO72" s="147" t="str">
        <x:v>Long</x:v>
      </x:c>
      <x:c r="BP72" s="167" t="n">
        <x:v>1.785</x:v>
      </x:c>
      <x:c r="BQ72" s="167" t="n">
        <x:v>1.7830000000000001</x:v>
      </x:c>
      <x:c r="BR72" s="166" t="n">
        <x:v>1</x:v>
      </x:c>
      <x:c r="BS72" s="171" t="n">
        <x:f>IF(BM72="","",IFERROR(F72*BR72/BP72,0))</x:f>
        <x:v>0.7090629070717046</x:v>
      </x:c>
      <x:c r="BT72" s="171" t="n">
        <x:f>IF(BM72="","",F72*ABS(BR72))</x:f>
        <x:v>1.2656772891229926</x:v>
      </x:c>
      <x:c r="BU72" s="165" t="n">
        <x:v>1.807</x:v>
      </x:c>
      <x:c r="BV72" s="172" t="n">
        <x:f>IF(BM72="","",IF(BU72="","",IFERROR(BP72/BU72-1,0)))</x:f>
        <x:v>-0.01217487548422802</x:v>
      </x:c>
      <x:c r="BW72" s="166" t="n">
        <x:v>0.062</x:v>
      </x:c>
      <x:c r="BX72" s="172" t="n">
        <x:f>IF(BM72="","",IF(BW72="","",BW72-BV72*365/BY72))</x:f>
        <x:v>0.17038608662788357</x:v>
      </x:c>
      <x:c r="BY72" s="164" t="n">
        <x:v>41</x:v>
      </x:c>
      <x:c r="BZ72" s="172" t="n">
        <x:f>IF(BM72="","",IFERROR(BR72*(BQ72/BP72-1),0))</x:f>
        <x:v>-0.0011204481792715937</x:v>
      </x:c>
      <x:c r="CA72" s="147"/>
      <x:c r="CB72" s="147"/>
      <x:c r="CC72" s="147"/>
      <x:c r="CD72" s="167"/>
      <x:c r="CE72" s="167"/>
      <x:c r="CF72" s="166"/>
      <x:c r="CG72" s="171" t="str">
        <x:f>IF(CA72="","",IFERROR(F72*CF72/CD72,0))</x:f>
      </x:c>
      <x:c r="CH72" s="171" t="str">
        <x:f>IF(CA72="","",F72*ABS(CF72))</x:f>
      </x:c>
      <x:c r="CI72" s="165"/>
      <x:c r="CJ72" s="172" t="str">
        <x:f>IF(CA72="","",IF(CI72="","",IFERROR(CD72/CI72-1,0)))</x:f>
      </x:c>
      <x:c r="CK72" s="166"/>
      <x:c r="CL72" s="172" t="str">
        <x:f>IF(CA72="","",IF(CK72="","",CK72-CJ72*365/CM72))</x:f>
      </x:c>
      <x:c r="CM72" s="164"/>
      <x:c r="CN72" s="172" t="str">
        <x:f>IF(CA72="","",IFERROR(CF72*(CE72/CD72-1),0))</x:f>
      </x:c>
      <x:c r="CO72" s="147"/>
      <x:c r="CP72" s="147"/>
      <x:c r="CQ72" s="147"/>
      <x:c r="CR72" s="167"/>
      <x:c r="CS72" s="167"/>
      <x:c r="CT72" s="166"/>
      <x:c r="CU72" s="171" t="str">
        <x:f>IF(CO72="","",IFERROR(F72*CT72/CR72,0))</x:f>
      </x:c>
      <x:c r="CV72" s="171" t="str">
        <x:f>IF(CO72="","",F72*ABS(CT72))</x:f>
      </x:c>
      <x:c r="CW72" s="165"/>
      <x:c r="CX72" s="172" t="str">
        <x:f>IF(CO72="","",IF(CW72="","",IFERROR(CR72/CW72-1,0)))</x:f>
      </x:c>
      <x:c r="CY72" s="166"/>
      <x:c r="CZ72" s="172" t="str">
        <x:f>IF(CO72="","",IF(CY72="","",CY72-CX72*365/DA72))</x:f>
      </x:c>
      <x:c r="DA72" s="164"/>
      <x:c r="DB72" s="172" t="str">
        <x:f>IF(CO72="","",IFERROR(CT72*(CS72/CR72-1),0))</x:f>
      </x:c>
      <x:c r="DC72" s="147"/>
      <x:c r="DD72" s="147"/>
      <x:c r="DE72" s="147"/>
      <x:c r="DF72" s="167"/>
      <x:c r="DG72" s="167"/>
      <x:c r="DH72" s="166"/>
      <x:c r="DI72" s="171" t="str">
        <x:f>IF(DC72="","",IFERROR(F72*DH72/DF72,0))</x:f>
      </x:c>
      <x:c r="DJ72" s="171" t="str">
        <x:f>IF(DC72="","",F72*ABS(DH72))</x:f>
      </x:c>
      <x:c r="DK72" s="165"/>
      <x:c r="DL72" s="172" t="str">
        <x:f>IF(DC72="","",IF(DK72="","",IFERROR(DF72/DK72-1,0)))</x:f>
      </x:c>
      <x:c r="DM72" s="166"/>
      <x:c r="DN72" s="172" t="str">
        <x:f>IF(DC72="","",IF(DM72="","",DM72-DL72*365/DO72))</x:f>
      </x:c>
      <x:c r="DO72" s="164"/>
      <x:c r="DP72" s="172" t="str">
        <x:f>IF(DC72="","",IFERROR(DH72*(DG72/DF72-1),0))</x:f>
      </x:c>
      <x:c r="DQ72" s="147"/>
      <x:c r="DR72" s="147"/>
      <x:c r="DS72" s="147"/>
      <x:c r="DT72" s="167"/>
      <x:c r="DU72" s="167"/>
      <x:c r="DV72" s="166"/>
      <x:c r="DW72" s="171" t="str">
        <x:f>IF(DQ72="","",IFERROR(F72*DV72/DT72,0))</x:f>
      </x:c>
      <x:c r="DX72" s="171" t="str">
        <x:f>IF(DQ72="","",F72*ABS(DV72))</x:f>
      </x:c>
      <x:c r="DY72" s="165"/>
      <x:c r="DZ72" s="172" t="str">
        <x:f>IF(DQ72="","",IF(DY72="","",IFERROR(DT72/DY72-1,0)))</x:f>
      </x:c>
      <x:c r="EA72" s="166"/>
      <x:c r="EB72" s="172" t="str">
        <x:f>IF(DQ72="","",IF(EA72="","",EA72-DZ72*365/EC72))</x:f>
      </x:c>
      <x:c r="EC72" s="164"/>
      <x:c r="ED72" s="172" t="str">
        <x:f>IF(DQ72="","",IFERROR(DV72*(DU72/DT72-1),0))</x:f>
      </x:c>
      <x:c r="EE72" s="147"/>
      <x:c r="EF72" s="147"/>
      <x:c r="EG72" s="147"/>
      <x:c r="EH72" s="167"/>
      <x:c r="EI72" s="167"/>
      <x:c r="EJ72" s="166"/>
      <x:c r="EK72" s="171" t="str">
        <x:f>IF(EE72="","",IFERROR(F72*EJ72/EH72,0))</x:f>
      </x:c>
      <x:c r="EL72" s="171" t="str">
        <x:f>IF(EE72="","",F72*ABS(EJ72))</x:f>
      </x:c>
      <x:c r="EM72" s="165"/>
      <x:c r="EN72" s="172" t="str">
        <x:f>IF(EE72="","",IF(EM72="","",IFERROR(EH72/EM72-1,0)))</x:f>
      </x:c>
      <x:c r="EO72" s="166"/>
      <x:c r="EP72" s="172" t="str">
        <x:f>IF(EE72="","",IF(EO72="","",EO72-EN72*365/EQ72))</x:f>
      </x:c>
      <x:c r="EQ72" s="164"/>
      <x:c r="ER72" s="172" t="str">
        <x:f>IF(EE72="","",IFERROR(EJ72*(EI72/EH72-1),0))</x:f>
      </x:c>
      <x:c r="ES72" s="147"/>
      <x:c r="ET72" s="147"/>
      <x:c r="EU72" s="147"/>
      <x:c r="EV72" s="167"/>
      <x:c r="EW72" s="167"/>
      <x:c r="EX72" s="166"/>
      <x:c r="EY72" s="171" t="str">
        <x:f>IF(ES72="","",IFERROR(F72*EX72/EV72,0))</x:f>
      </x:c>
      <x:c r="EZ72" s="171" t="str">
        <x:f>IF(ES72="","",F72*ABS(EX72))</x:f>
      </x:c>
      <x:c r="FA72" s="165"/>
      <x:c r="FB72" s="172" t="str">
        <x:f>IF(ES72="","",IF(FA72="","",IFERROR(EV72/FA72-1,0)))</x:f>
      </x:c>
      <x:c r="FC72" s="166"/>
      <x:c r="FD72" s="172" t="str">
        <x:f>IF(ES72="","",IF(FC72="","",FC72-FB72*365/FE72))</x:f>
      </x:c>
      <x:c r="FE72" s="164"/>
      <x:c r="FF72" s="172" t="str">
        <x:f>IF(ES72="","",IFERROR(EX72*(EW72/EV72-1),0))</x:f>
      </x:c>
      <x:c r="FG72" s="147"/>
      <x:c r="FH72" s="147"/>
      <x:c r="FI72" s="147"/>
      <x:c r="FJ72" s="167"/>
      <x:c r="FK72" s="167"/>
      <x:c r="FL72" s="166"/>
      <x:c r="FM72" s="171" t="str">
        <x:f>IF(FG72="","",IFERROR(F72*FL72/FJ72,0))</x:f>
      </x:c>
      <x:c r="FN72" s="171" t="str">
        <x:f>IF(FG72="","",F72*ABS(FL72))</x:f>
      </x:c>
      <x:c r="FO72" s="165"/>
      <x:c r="FP72" s="172" t="str">
        <x:f>IF(FG72="","",IF(FO72="","",IFERROR(FJ72/FO72-1,0)))</x:f>
      </x:c>
      <x:c r="FQ72" s="166"/>
      <x:c r="FR72" s="172" t="str">
        <x:f>IF(FG72="","",IF(FQ72="","",FQ72-FP72*365/FS72))</x:f>
      </x:c>
      <x:c r="FS72" s="164"/>
      <x:c r="FT72" s="172" t="str">
        <x:f>IF(FG72="","",IFERROR(FL72*(FK72/FJ72-1),0))</x:f>
      </x:c>
    </x:row>
    <x:row r="73" ht="18" customHeight="1">
      <x:c r="A73" s="163" t="n">
        <x:v>25311</x:v>
      </x:c>
      <x:c r="B73" s="163" t="n">
        <x:v>25314</x:v>
      </x:c>
      <x:c r="C73" s="170" t="n">
        <x:f>B73-A73</x:f>
        <x:v>3</x:v>
      </x:c>
      <x:c r="D73" s="163" t="n">
        <x:v>25311</x:v>
      </x:c>
      <x:c r="E73" s="147" t="str">
        <x:v>positive</x:v>
      </x:c>
      <x:c r="F73" s="165" t="n">
        <x:v>1.2644741550675496</x:v>
      </x:c>
      <x:c r="G73" s="168" t="n">
        <x:v>-0.029216415153773552</x:v>
      </x:c>
      <x:c r="H73" s="172" t="n">
        <x:f>SUM(AX73,BL73,BZ73,CN73,DB73,DP73,ED73,ER73,FF73,FT73)</x:f>
        <x:v>-0.029216415153773267</x:v>
      </x:c>
      <x:c r="I73" s="174" t="n">
        <x:f>G73-H73</x:f>
        <x:v>-2.8449465006019636e-16</x:v>
      </x:c>
      <x:c r="J73" s="171" t="n">
        <x:f>F73*(1+H73)</x:f>
        <x:v>1.2275307532018793</x:v>
      </x:c>
      <x:c r="K73" s="169" t="n">
        <x:v>1.2275307532018789</x:v>
      </x:c>
      <x:c r="L73" s="175" t="n">
        <x:f>K73-J73</x:f>
        <x:v>-4.440892098500626e-16</x:v>
      </x:c>
      <x:c r="M73" s="167" t="n">
        <x:v>1.802</x:v>
      </x:c>
      <x:c r="N73" s="167" t="n">
        <x:v>1.8</x:v>
      </x:c>
      <x:c r="O73" s="172" t="n">
        <x:f>IFERROR(N73/M73-1,0)</x:f>
        <x:v>-0.0011098779134295356</x:v>
      </x:c>
      <x:c r="P73" s="171" t="n">
        <x:f>IFERROR(AD73/AH73,0)</x:f>
        <x:v>1.37394028613888</x:v>
      </x:c>
      <x:c r="Q73" s="171" t="n">
        <x:f>IFERROR(AE73/AI73,0)</x:f>
        <x:v>1.3352806748718218</x:v>
      </x:c>
      <x:c r="R73" s="172" t="n">
        <x:f>IFERROR((Q73-P73)/(P73+S73),0)</x:f>
        <x:v>-0.02813776672616653</x:v>
      </x:c>
      <x:c r="S73" s="172" t="n">
        <x:f>IFERROR(AF73/AH73,0)</x:f>
        <x:v>0</x:v>
      </x:c>
      <x:c r="T73" s="172" t="n">
        <x:f>IFERROR(AG73/AI73,0)</x:f>
        <x:v>0</x:v>
      </x:c>
      <x:c r="U73" s="172" t="n">
        <x:f>IFERROR((T73-S73)/(P73+S73),0)</x:f>
        <x:v>0</x:v>
      </x:c>
      <x:c r="V73" s="172" t="n">
        <x:f>R73+U73</x:f>
        <x:v>-0.02813776672616653</x:v>
      </x:c>
      <x:c r="W73" s="172" t="n">
        <x:f>(1+O73)*(1+V73)-1</x:f>
        <x:v>-0.02921641515377349</x:v>
      </x:c>
      <x:c r="X73" s="174" t="n">
        <x:f>G73-W73</x:f>
        <x:v>-6.245004513516506e-17</x:v>
      </x:c>
      <x:c r="Y73" s="172" t="str">
        <x:f>AX73</x:f>
      </x:c>
      <x:c r="Z73" s="172" t="n">
        <x:f>BL73</x:f>
        <x:v>0.0005087671232879565</x:v>
      </x:c>
      <x:c r="AA73" s="172" t="n">
        <x:f>SUM(BZ73,CN73,DB73,DP73,ED73,ER73,FF73,FT73)</x:f>
        <x:v>-0.029725182277061224</x:v>
      </x:c>
      <x:c r="AB73" s="172" t="n">
        <x:f>SUM(Y73:AA73)</x:f>
        <x:v>-0.029216415153773267</x:v>
      </x:c>
      <x:c r="AC73" s="174" t="n">
        <x:f>G73-AB73</x:f>
        <x:v>-2.8449465006019636e-16</x:v>
      </x:c>
      <x:c r="AD73" s="169" t="n">
        <x:v>1.2644741550675496</x:v>
      </x:c>
      <x:c r="AE73" s="169" t="n">
        <x:v>1.227530753201879</x:v>
      </x:c>
      <x:c r="AF73" s="169" t="n">
        <x:v>0</x:v>
      </x:c>
      <x:c r="AG73" s="169" t="n">
        <x:v>0</x:v>
      </x:c>
      <x:c r="AH73" s="171" t="n">
        <x:f>M73/$M$3</x:f>
        <x:v>0.9203268641470889</x:v>
      </x:c>
      <x:c r="AI73" s="171" t="n">
        <x:f>N73/$M$3</x:f>
        <x:v>0.9193054136874362</x:v>
      </x:c>
      <x:c r="AJ73" s="170" t="n">
        <x:f>IF(AK73&lt;&gt;"",1,0)+IF(AY73&lt;&gt;"",1,0)+IF(BM73&lt;&gt;"",1,0)+IF(CA73&lt;&gt;"",1,0)+IF(CO73&lt;&gt;"",1,0)+IF(DC73&lt;&gt;"",1,0)+IF(DQ73&lt;&gt;"",1,0)+IF(EE73&lt;&gt;"",1,0)+IF(ES73&lt;&gt;"",1,0)+IF(FG73&lt;&gt;"",1,0)</x:f>
        <x:v>2</x:v>
      </x:c>
      <x:c r="AK73" s="147"/>
      <x:c r="AL73" s="147"/>
      <x:c r="AM73" s="147"/>
      <x:c r="AN73" s="167"/>
      <x:c r="AO73" s="167"/>
      <x:c r="AP73" s="166"/>
      <x:c r="AQ73" s="171" t="str">
        <x:f>IF(AK73="","",IFERROR(F73*AP73/AN73,0))</x:f>
      </x:c>
      <x:c r="AR73" s="171" t="str">
        <x:f>IF(AK73="","",F73*ABS(AP73))</x:f>
      </x:c>
      <x:c r="AS73" s="165"/>
      <x:c r="AT73" s="172" t="str">
        <x:f>IF(AK73="","",IF(AS73="","",IFERROR(AN73/AS73-1,0)))</x:f>
      </x:c>
      <x:c r="AU73" s="166"/>
      <x:c r="AV73" s="172" t="str">
        <x:f>IF(AK73="","",IF(AU73="","",AU73-AT73*365/AW73))</x:f>
      </x:c>
      <x:c r="AW73" s="164"/>
      <x:c r="AX73" s="173" t="str">
        <x:f>IF(AK73="","",IFERROR(AP73*(AO73/AN73-1),0))</x:f>
      </x:c>
      <x:c r="AY73" s="147" t="str">
        <x:v>Matched-maturity Treasury collateral</x:v>
      </x:c>
      <x:c r="AZ73" s="147" t="str">
        <x:v>Treasury</x:v>
      </x:c>
      <x:c r="BA73" s="147" t="str">
        <x:v>Long</x:v>
      </x:c>
      <x:c r="BB73" s="167" t="n">
        <x:v>101.78654655206536</x:v>
      </x:c>
      <x:c r="BC73" s="167" t="n">
        <x:v>101.83833220054406</x:v>
      </x:c>
      <x:c r="BD73" s="166" t="n">
        <x:v>1</x:v>
      </x:c>
      <x:c r="BE73" s="171" t="n">
        <x:f>IF(AY73="","",IFERROR(F73*BD73/BB73,0))</x:f>
        <x:v>0.012422802402680514</x:v>
      </x:c>
      <x:c r="BF73" s="171" t="n">
        <x:f>IF(AY73="","",F73*ABS(BD73))</x:f>
        <x:v>1.2644741550675496</x:v>
      </x:c>
      <x:c r="BG73" s="165"/>
      <x:c r="BH73" s="172" t="str">
        <x:f>IF(AY73="","",IF(BG73="","",IFERROR(BB73/BG73-1,0)))</x:f>
      </x:c>
      <x:c r="BI73" s="166"/>
      <x:c r="BJ73" s="172" t="str">
        <x:f>IF(AY73="","",IF(BI73="","",BI73-BH73*365/BK73))</x:f>
      </x:c>
      <x:c r="BK73" s="164" t="n">
        <x:v>40</x:v>
      </x:c>
      <x:c r="BL73" s="172" t="n">
        <x:f>IF(AY73="","",IFERROR(BD73*(BC73/BB73-1),0))</x:f>
        <x:v>0.0005087671232879565</x:v>
      </x:c>
      <x:c r="BM73" s="147" t="str">
        <x:v>SI69K</x:v>
      </x:c>
      <x:c r="BN73" s="147" t="str">
        <x:v>Silver future (regular)</x:v>
      </x:c>
      <x:c r="BO73" s="147" t="str">
        <x:v>Long</x:v>
      </x:c>
      <x:c r="BP73" s="167" t="n">
        <x:v>1.7830000000000001</x:v>
      </x:c>
      <x:c r="BQ73" s="167" t="n">
        <x:v>1.73</x:v>
      </x:c>
      <x:c r="BR73" s="166" t="n">
        <x:v>1</x:v>
      </x:c>
      <x:c r="BS73" s="171" t="n">
        <x:f>IF(BM73="","",IFERROR(F73*BR73/BP73,0))</x:f>
        <x:v>0.7091834857361466</x:v>
      </x:c>
      <x:c r="BT73" s="171" t="n">
        <x:f>IF(BM73="","",F73*ABS(BR73))</x:f>
        <x:v>1.2644741550675496</x:v>
      </x:c>
      <x:c r="BU73" s="165" t="n">
        <x:v>1.802</x:v>
      </x:c>
      <x:c r="BV73" s="172" t="n">
        <x:f>IF(BM73="","",IF(BU73="","",IFERROR(BP73/BU73-1,0)))</x:f>
        <x:v>-0.010543840177580366</x:v>
      </x:c>
      <x:c r="BW73" s="166" t="n">
        <x:v>0.0619</x:v>
      </x:c>
      <x:c r="BX73" s="172" t="n">
        <x:f>IF(BM73="","",IF(BW73="","",BW73-BV73*365/BY73))</x:f>
        <x:v>0.15811254162042082</x:v>
      </x:c>
      <x:c r="BY73" s="164" t="n">
        <x:v>40</x:v>
      </x:c>
      <x:c r="BZ73" s="172" t="n">
        <x:f>IF(BM73="","",IFERROR(BR73*(BQ73/BP73-1),0))</x:f>
        <x:v>-0.029725182277061224</x:v>
      </x:c>
      <x:c r="CA73" s="147"/>
      <x:c r="CB73" s="147"/>
      <x:c r="CC73" s="147"/>
      <x:c r="CD73" s="167"/>
      <x:c r="CE73" s="167"/>
      <x:c r="CF73" s="166"/>
      <x:c r="CG73" s="171" t="str">
        <x:f>IF(CA73="","",IFERROR(F73*CF73/CD73,0))</x:f>
      </x:c>
      <x:c r="CH73" s="171" t="str">
        <x:f>IF(CA73="","",F73*ABS(CF73))</x:f>
      </x:c>
      <x:c r="CI73" s="165"/>
      <x:c r="CJ73" s="172" t="str">
        <x:f>IF(CA73="","",IF(CI73="","",IFERROR(CD73/CI73-1,0)))</x:f>
      </x:c>
      <x:c r="CK73" s="166"/>
      <x:c r="CL73" s="172" t="str">
        <x:f>IF(CA73="","",IF(CK73="","",CK73-CJ73*365/CM73))</x:f>
      </x:c>
      <x:c r="CM73" s="164"/>
      <x:c r="CN73" s="172" t="str">
        <x:f>IF(CA73="","",IFERROR(CF73*(CE73/CD73-1),0))</x:f>
      </x:c>
      <x:c r="CO73" s="147"/>
      <x:c r="CP73" s="147"/>
      <x:c r="CQ73" s="147"/>
      <x:c r="CR73" s="167"/>
      <x:c r="CS73" s="167"/>
      <x:c r="CT73" s="166"/>
      <x:c r="CU73" s="171" t="str">
        <x:f>IF(CO73="","",IFERROR(F73*CT73/CR73,0))</x:f>
      </x:c>
      <x:c r="CV73" s="171" t="str">
        <x:f>IF(CO73="","",F73*ABS(CT73))</x:f>
      </x:c>
      <x:c r="CW73" s="165"/>
      <x:c r="CX73" s="172" t="str">
        <x:f>IF(CO73="","",IF(CW73="","",IFERROR(CR73/CW73-1,0)))</x:f>
      </x:c>
      <x:c r="CY73" s="166"/>
      <x:c r="CZ73" s="172" t="str">
        <x:f>IF(CO73="","",IF(CY73="","",CY73-CX73*365/DA73))</x:f>
      </x:c>
      <x:c r="DA73" s="164"/>
      <x:c r="DB73" s="172" t="str">
        <x:f>IF(CO73="","",IFERROR(CT73*(CS73/CR73-1),0))</x:f>
      </x:c>
      <x:c r="DC73" s="147"/>
      <x:c r="DD73" s="147"/>
      <x:c r="DE73" s="147"/>
      <x:c r="DF73" s="167"/>
      <x:c r="DG73" s="167"/>
      <x:c r="DH73" s="166"/>
      <x:c r="DI73" s="171" t="str">
        <x:f>IF(DC73="","",IFERROR(F73*DH73/DF73,0))</x:f>
      </x:c>
      <x:c r="DJ73" s="171" t="str">
        <x:f>IF(DC73="","",F73*ABS(DH73))</x:f>
      </x:c>
      <x:c r="DK73" s="165"/>
      <x:c r="DL73" s="172" t="str">
        <x:f>IF(DC73="","",IF(DK73="","",IFERROR(DF73/DK73-1,0)))</x:f>
      </x:c>
      <x:c r="DM73" s="166"/>
      <x:c r="DN73" s="172" t="str">
        <x:f>IF(DC73="","",IF(DM73="","",DM73-DL73*365/DO73))</x:f>
      </x:c>
      <x:c r="DO73" s="164"/>
      <x:c r="DP73" s="172" t="str">
        <x:f>IF(DC73="","",IFERROR(DH73*(DG73/DF73-1),0))</x:f>
      </x:c>
      <x:c r="DQ73" s="147"/>
      <x:c r="DR73" s="147"/>
      <x:c r="DS73" s="147"/>
      <x:c r="DT73" s="167"/>
      <x:c r="DU73" s="167"/>
      <x:c r="DV73" s="166"/>
      <x:c r="DW73" s="171" t="str">
        <x:f>IF(DQ73="","",IFERROR(F73*DV73/DT73,0))</x:f>
      </x:c>
      <x:c r="DX73" s="171" t="str">
        <x:f>IF(DQ73="","",F73*ABS(DV73))</x:f>
      </x:c>
      <x:c r="DY73" s="165"/>
      <x:c r="DZ73" s="172" t="str">
        <x:f>IF(DQ73="","",IF(DY73="","",IFERROR(DT73/DY73-1,0)))</x:f>
      </x:c>
      <x:c r="EA73" s="166"/>
      <x:c r="EB73" s="172" t="str">
        <x:f>IF(DQ73="","",IF(EA73="","",EA73-DZ73*365/EC73))</x:f>
      </x:c>
      <x:c r="EC73" s="164"/>
      <x:c r="ED73" s="172" t="str">
        <x:f>IF(DQ73="","",IFERROR(DV73*(DU73/DT73-1),0))</x:f>
      </x:c>
      <x:c r="EE73" s="147"/>
      <x:c r="EF73" s="147"/>
      <x:c r="EG73" s="147"/>
      <x:c r="EH73" s="167"/>
      <x:c r="EI73" s="167"/>
      <x:c r="EJ73" s="166"/>
      <x:c r="EK73" s="171" t="str">
        <x:f>IF(EE73="","",IFERROR(F73*EJ73/EH73,0))</x:f>
      </x:c>
      <x:c r="EL73" s="171" t="str">
        <x:f>IF(EE73="","",F73*ABS(EJ73))</x:f>
      </x:c>
      <x:c r="EM73" s="165"/>
      <x:c r="EN73" s="172" t="str">
        <x:f>IF(EE73="","",IF(EM73="","",IFERROR(EH73/EM73-1,0)))</x:f>
      </x:c>
      <x:c r="EO73" s="166"/>
      <x:c r="EP73" s="172" t="str">
        <x:f>IF(EE73="","",IF(EO73="","",EO73-EN73*365/EQ73))</x:f>
      </x:c>
      <x:c r="EQ73" s="164"/>
      <x:c r="ER73" s="172" t="str">
        <x:f>IF(EE73="","",IFERROR(EJ73*(EI73/EH73-1),0))</x:f>
      </x:c>
      <x:c r="ES73" s="147"/>
      <x:c r="ET73" s="147"/>
      <x:c r="EU73" s="147"/>
      <x:c r="EV73" s="167"/>
      <x:c r="EW73" s="167"/>
      <x:c r="EX73" s="166"/>
      <x:c r="EY73" s="171" t="str">
        <x:f>IF(ES73="","",IFERROR(F73*EX73/EV73,0))</x:f>
      </x:c>
      <x:c r="EZ73" s="171" t="str">
        <x:f>IF(ES73="","",F73*ABS(EX73))</x:f>
      </x:c>
      <x:c r="FA73" s="165"/>
      <x:c r="FB73" s="172" t="str">
        <x:f>IF(ES73="","",IF(FA73="","",IFERROR(EV73/FA73-1,0)))</x:f>
      </x:c>
      <x:c r="FC73" s="166"/>
      <x:c r="FD73" s="172" t="str">
        <x:f>IF(ES73="","",IF(FC73="","",FC73-FB73*365/FE73))</x:f>
      </x:c>
      <x:c r="FE73" s="164"/>
      <x:c r="FF73" s="172" t="str">
        <x:f>IF(ES73="","",IFERROR(EX73*(EW73/EV73-1),0))</x:f>
      </x:c>
      <x:c r="FG73" s="147"/>
      <x:c r="FH73" s="147"/>
      <x:c r="FI73" s="147"/>
      <x:c r="FJ73" s="167"/>
      <x:c r="FK73" s="167"/>
      <x:c r="FL73" s="166"/>
      <x:c r="FM73" s="171" t="str">
        <x:f>IF(FG73="","",IFERROR(F73*FL73/FJ73,0))</x:f>
      </x:c>
      <x:c r="FN73" s="171" t="str">
        <x:f>IF(FG73="","",F73*ABS(FL73))</x:f>
      </x:c>
      <x:c r="FO73" s="165"/>
      <x:c r="FP73" s="172" t="str">
        <x:f>IF(FG73="","",IF(FO73="","",IFERROR(FJ73/FO73-1,0)))</x:f>
      </x:c>
      <x:c r="FQ73" s="166"/>
      <x:c r="FR73" s="172" t="str">
        <x:f>IF(FG73="","",IF(FQ73="","",FQ73-FP73*365/FS73))</x:f>
      </x:c>
      <x:c r="FS73" s="164"/>
      <x:c r="FT73" s="172" t="str">
        <x:f>IF(FG73="","",IFERROR(FL73*(FK73/FJ73-1),0))</x:f>
      </x:c>
    </x:row>
    <x:row r="74" ht="18" customHeight="1">
      <x:c r="A74" s="163" t="n">
        <x:v>25314</x:v>
      </x:c>
      <x:c r="B74" s="163" t="n">
        <x:v>25315</x:v>
      </x:c>
      <x:c r="C74" s="170" t="n">
        <x:f>B74-A74</x:f>
        <x:v>1</x:v>
      </x:c>
      <x:c r="D74" s="163" t="n">
        <x:v>25314</x:v>
      </x:c>
      <x:c r="E74" s="147" t="str">
        <x:v>positive</x:v>
      </x:c>
      <x:c r="F74" s="165" t="n">
        <x:v>1.2275307532018789</x:v>
      </x:c>
      <x:c r="G74" s="168" t="n">
        <x:v>0.009417596009185203</x:v>
      </x:c>
      <x:c r="H74" s="172" t="n">
        <x:f>SUM(AX74,BL74,BZ74,CN74,DB74,DP74,ED74,ER74,FF74,FT74)</x:f>
        <x:v>0.009417596009184903</x:v>
      </x:c>
      <x:c r="I74" s="174" t="n">
        <x:f>G74-H74</x:f>
        <x:v>3.0010716134398763e-16</x:v>
      </x:c>
      <x:c r="J74" s="171" t="n">
        <x:f>F74*(1+H74)</x:f>
        <x:v>1.2390911419243846</x:v>
      </x:c>
      <x:c r="K74" s="169" t="n">
        <x:v>1.2390911419243849</x:v>
      </x:c>
      <x:c r="L74" s="175" t="n">
        <x:f>K74-J74</x:f>
        <x:v>2.220446049250313e-16</x:v>
      </x:c>
      <x:c r="M74" s="167" t="n">
        <x:v>1.8</x:v>
      </x:c>
      <x:c r="N74" s="167" t="n">
        <x:v>1.77</x:v>
      </x:c>
      <x:c r="O74" s="172" t="n">
        <x:f>IFERROR(N74/M74-1,0)</x:f>
        <x:v>-0.01666666666666672</x:v>
      </x:c>
      <x:c r="P74" s="171" t="n">
        <x:f>IFERROR(AD74/AH74,0)</x:f>
        <x:v>1.3352806748718218</x:v>
      </x:c>
      <x:c r="Q74" s="171" t="n">
        <x:f>IFERROR(AE74/AI74,0)</x:f>
        <x:v>1.3707008225355628</x:v>
      </x:c>
      <x:c r="R74" s="172" t="n">
        <x:f>IFERROR((Q74-P74)/(P74+S74),0)</x:f>
        <x:v>0.02652636882290019</x:v>
      </x:c>
      <x:c r="S74" s="172" t="n">
        <x:f>IFERROR(AF74/AH74,0)</x:f>
        <x:v>0</x:v>
      </x:c>
      <x:c r="T74" s="172" t="n">
        <x:f>IFERROR(AG74/AI74,0)</x:f>
        <x:v>0</x:v>
      </x:c>
      <x:c r="U74" s="172" t="n">
        <x:f>IFERROR((T74-S74)/(P74+S74),0)</x:f>
        <x:v>0</x:v>
      </x:c>
      <x:c r="V74" s="172" t="n">
        <x:f>R74+U74</x:f>
        <x:v>0.02652636882290019</x:v>
      </x:c>
      <x:c r="W74" s="172" t="n">
        <x:f>(1+O74)*(1+V74)-1</x:f>
        <x:v>0.009417596009185125</x:v>
      </x:c>
      <x:c r="X74" s="174" t="n">
        <x:f>G74-W74</x:f>
        <x:v>7.806255641895632e-17</x:v>
      </x:c>
      <x:c r="Y74" s="172" t="str">
        <x:f>AX74</x:f>
      </x:c>
      <x:c r="Z74" s="172" t="n">
        <x:f>BL74</x:f>
        <x:v>0.00016904109589011007</x:v>
      </x:c>
      <x:c r="AA74" s="172" t="n">
        <x:f>SUM(BZ74,CN74,DB74,DP74,ED74,ER74,FF74,FT74)</x:f>
        <x:v>0.009248554913294793</x:v>
      </x:c>
      <x:c r="AB74" s="172" t="n">
        <x:f>SUM(Y74:AA74)</x:f>
        <x:v>0.009417596009184903</x:v>
      </x:c>
      <x:c r="AC74" s="174" t="n">
        <x:f>G74-AB74</x:f>
        <x:v>3.0010716134398763e-16</x:v>
      </x:c>
      <x:c r="AD74" s="169" t="n">
        <x:v>1.227530753201879</x:v>
      </x:c>
      <x:c r="AE74" s="169" t="n">
        <x:v>1.2390911419243853</x:v>
      </x:c>
      <x:c r="AF74" s="169" t="n">
        <x:v>0</x:v>
      </x:c>
      <x:c r="AG74" s="169" t="n">
        <x:v>0</x:v>
      </x:c>
      <x:c r="AH74" s="171" t="n">
        <x:f>M74/$M$3</x:f>
        <x:v>0.9193054136874362</x:v>
      </x:c>
      <x:c r="AI74" s="171" t="n">
        <x:f>N74/$M$3</x:f>
        <x:v>0.9039836567926456</x:v>
      </x:c>
      <x:c r="AJ74" s="170" t="n">
        <x:f>IF(AK74&lt;&gt;"",1,0)+IF(AY74&lt;&gt;"",1,0)+IF(BM74&lt;&gt;"",1,0)+IF(CA74&lt;&gt;"",1,0)+IF(CO74&lt;&gt;"",1,0)+IF(DC74&lt;&gt;"",1,0)+IF(DQ74&lt;&gt;"",1,0)+IF(EE74&lt;&gt;"",1,0)+IF(ES74&lt;&gt;"",1,0)+IF(FG74&lt;&gt;"",1,0)</x:f>
        <x:v>2</x:v>
      </x:c>
      <x:c r="AK74" s="147"/>
      <x:c r="AL74" s="147"/>
      <x:c r="AM74" s="147"/>
      <x:c r="AN74" s="167"/>
      <x:c r="AO74" s="167"/>
      <x:c r="AP74" s="166"/>
      <x:c r="AQ74" s="171" t="str">
        <x:f>IF(AK74="","",IFERROR(F74*AP74/AN74,0))</x:f>
      </x:c>
      <x:c r="AR74" s="171" t="str">
        <x:f>IF(AK74="","",F74*ABS(AP74))</x:f>
      </x:c>
      <x:c r="AS74" s="165"/>
      <x:c r="AT74" s="172" t="str">
        <x:f>IF(AK74="","",IF(AS74="","",IFERROR(AN74/AS74-1,0)))</x:f>
      </x:c>
      <x:c r="AU74" s="166"/>
      <x:c r="AV74" s="172" t="str">
        <x:f>IF(AK74="","",IF(AU74="","",AU74-AT74*365/AW74))</x:f>
      </x:c>
      <x:c r="AW74" s="164"/>
      <x:c r="AX74" s="173" t="str">
        <x:f>IF(AK74="","",IFERROR(AP74*(AO74/AN74-1),0))</x:f>
      </x:c>
      <x:c r="AY74" s="147" t="str">
        <x:v>Matched-maturity Treasury collateral</x:v>
      </x:c>
      <x:c r="AZ74" s="147" t="str">
        <x:v>Treasury</x:v>
      </x:c>
      <x:c r="BA74" s="147" t="str">
        <x:v>Long</x:v>
      </x:c>
      <x:c r="BB74" s="167" t="n">
        <x:v>101.83833220054406</x:v>
      </x:c>
      <x:c r="BC74" s="167" t="n">
        <x:v>101.85554706382287</x:v>
      </x:c>
      <x:c r="BD74" s="166" t="n">
        <x:v>1</x:v>
      </x:c>
      <x:c r="BE74" s="171" t="n">
        <x:f>IF(AY74="","",IFERROR(F74*BD74/BB74,0))</x:f>
        <x:v>0.012053720113803287</x:v>
      </x:c>
      <x:c r="BF74" s="171" t="n">
        <x:f>IF(AY74="","",F74*ABS(BD74))</x:f>
        <x:v>1.2275307532018789</x:v>
      </x:c>
      <x:c r="BG74" s="165"/>
      <x:c r="BH74" s="172" t="str">
        <x:f>IF(AY74="","",IF(BG74="","",IFERROR(BB74/BG74-1,0)))</x:f>
      </x:c>
      <x:c r="BI74" s="166"/>
      <x:c r="BJ74" s="172" t="str">
        <x:f>IF(AY74="","",IF(BI74="","",BI74-BH74*365/BK74))</x:f>
      </x:c>
      <x:c r="BK74" s="164" t="n">
        <x:v>37</x:v>
      </x:c>
      <x:c r="BL74" s="172" t="n">
        <x:f>IF(AY74="","",IFERROR(BD74*(BC74/BB74-1),0))</x:f>
        <x:v>0.00016904109589011007</x:v>
      </x:c>
      <x:c r="BM74" s="147" t="str">
        <x:v>SI69K</x:v>
      </x:c>
      <x:c r="BN74" s="147" t="str">
        <x:v>Silver future (regular)</x:v>
      </x:c>
      <x:c r="BO74" s="147" t="str">
        <x:v>Long</x:v>
      </x:c>
      <x:c r="BP74" s="167" t="n">
        <x:v>1.73</x:v>
      </x:c>
      <x:c r="BQ74" s="167" t="n">
        <x:v>1.746</x:v>
      </x:c>
      <x:c r="BR74" s="166" t="n">
        <x:v>1</x:v>
      </x:c>
      <x:c r="BS74" s="171" t="n">
        <x:f>IF(BM74="","",IFERROR(F74*BR74/BP74,0))</x:f>
        <x:v>0.7095553486716063</x:v>
      </x:c>
      <x:c r="BT74" s="171" t="n">
        <x:f>IF(BM74="","",F74*ABS(BR74))</x:f>
        <x:v>1.2275307532018789</x:v>
      </x:c>
      <x:c r="BU74" s="165" t="n">
        <x:v>1.8</x:v>
      </x:c>
      <x:c r="BV74" s="172" t="n">
        <x:f>IF(BM74="","",IF(BU74="","",IFERROR(BP74/BU74-1,0)))</x:f>
        <x:v>-0.03888888888888897</x:v>
      </x:c>
      <x:c r="BW74" s="166" t="n">
        <x:v>0.0617</x:v>
      </x:c>
      <x:c r="BX74" s="172" t="n">
        <x:f>IF(BM74="","",IF(BW74="","",BW74-BV74*365/BY74))</x:f>
        <x:v>0.44533363363363443</x:v>
      </x:c>
      <x:c r="BY74" s="164" t="n">
        <x:v>37</x:v>
      </x:c>
      <x:c r="BZ74" s="172" t="n">
        <x:f>IF(BM74="","",IFERROR(BR74*(BQ74/BP74-1),0))</x:f>
        <x:v>0.009248554913294793</x:v>
      </x:c>
      <x:c r="CA74" s="147"/>
      <x:c r="CB74" s="147"/>
      <x:c r="CC74" s="147"/>
      <x:c r="CD74" s="167"/>
      <x:c r="CE74" s="167"/>
      <x:c r="CF74" s="166"/>
      <x:c r="CG74" s="171" t="str">
        <x:f>IF(CA74="","",IFERROR(F74*CF74/CD74,0))</x:f>
      </x:c>
      <x:c r="CH74" s="171" t="str">
        <x:f>IF(CA74="","",F74*ABS(CF74))</x:f>
      </x:c>
      <x:c r="CI74" s="165"/>
      <x:c r="CJ74" s="172" t="str">
        <x:f>IF(CA74="","",IF(CI74="","",IFERROR(CD74/CI74-1,0)))</x:f>
      </x:c>
      <x:c r="CK74" s="166"/>
      <x:c r="CL74" s="172" t="str">
        <x:f>IF(CA74="","",IF(CK74="","",CK74-CJ74*365/CM74))</x:f>
      </x:c>
      <x:c r="CM74" s="164"/>
      <x:c r="CN74" s="172" t="str">
        <x:f>IF(CA74="","",IFERROR(CF74*(CE74/CD74-1),0))</x:f>
      </x:c>
      <x:c r="CO74" s="147"/>
      <x:c r="CP74" s="147"/>
      <x:c r="CQ74" s="147"/>
      <x:c r="CR74" s="167"/>
      <x:c r="CS74" s="167"/>
      <x:c r="CT74" s="166"/>
      <x:c r="CU74" s="171" t="str">
        <x:f>IF(CO74="","",IFERROR(F74*CT74/CR74,0))</x:f>
      </x:c>
      <x:c r="CV74" s="171" t="str">
        <x:f>IF(CO74="","",F74*ABS(CT74))</x:f>
      </x:c>
      <x:c r="CW74" s="165"/>
      <x:c r="CX74" s="172" t="str">
        <x:f>IF(CO74="","",IF(CW74="","",IFERROR(CR74/CW74-1,0)))</x:f>
      </x:c>
      <x:c r="CY74" s="166"/>
      <x:c r="CZ74" s="172" t="str">
        <x:f>IF(CO74="","",IF(CY74="","",CY74-CX74*365/DA74))</x:f>
      </x:c>
      <x:c r="DA74" s="164"/>
      <x:c r="DB74" s="172" t="str">
        <x:f>IF(CO74="","",IFERROR(CT74*(CS74/CR74-1),0))</x:f>
      </x:c>
      <x:c r="DC74" s="147"/>
      <x:c r="DD74" s="147"/>
      <x:c r="DE74" s="147"/>
      <x:c r="DF74" s="167"/>
      <x:c r="DG74" s="167"/>
      <x:c r="DH74" s="166"/>
      <x:c r="DI74" s="171" t="str">
        <x:f>IF(DC74="","",IFERROR(F74*DH74/DF74,0))</x:f>
      </x:c>
      <x:c r="DJ74" s="171" t="str">
        <x:f>IF(DC74="","",F74*ABS(DH74))</x:f>
      </x:c>
      <x:c r="DK74" s="165"/>
      <x:c r="DL74" s="172" t="str">
        <x:f>IF(DC74="","",IF(DK74="","",IFERROR(DF74/DK74-1,0)))</x:f>
      </x:c>
      <x:c r="DM74" s="166"/>
      <x:c r="DN74" s="172" t="str">
        <x:f>IF(DC74="","",IF(DM74="","",DM74-DL74*365/DO74))</x:f>
      </x:c>
      <x:c r="DO74" s="164"/>
      <x:c r="DP74" s="172" t="str">
        <x:f>IF(DC74="","",IFERROR(DH74*(DG74/DF74-1),0))</x:f>
      </x:c>
      <x:c r="DQ74" s="147"/>
      <x:c r="DR74" s="147"/>
      <x:c r="DS74" s="147"/>
      <x:c r="DT74" s="167"/>
      <x:c r="DU74" s="167"/>
      <x:c r="DV74" s="166"/>
      <x:c r="DW74" s="171" t="str">
        <x:f>IF(DQ74="","",IFERROR(F74*DV74/DT74,0))</x:f>
      </x:c>
      <x:c r="DX74" s="171" t="str">
        <x:f>IF(DQ74="","",F74*ABS(DV74))</x:f>
      </x:c>
      <x:c r="DY74" s="165"/>
      <x:c r="DZ74" s="172" t="str">
        <x:f>IF(DQ74="","",IF(DY74="","",IFERROR(DT74/DY74-1,0)))</x:f>
      </x:c>
      <x:c r="EA74" s="166"/>
      <x:c r="EB74" s="172" t="str">
        <x:f>IF(DQ74="","",IF(EA74="","",EA74-DZ74*365/EC74))</x:f>
      </x:c>
      <x:c r="EC74" s="164"/>
      <x:c r="ED74" s="172" t="str">
        <x:f>IF(DQ74="","",IFERROR(DV74*(DU74/DT74-1),0))</x:f>
      </x:c>
      <x:c r="EE74" s="147"/>
      <x:c r="EF74" s="147"/>
      <x:c r="EG74" s="147"/>
      <x:c r="EH74" s="167"/>
      <x:c r="EI74" s="167"/>
      <x:c r="EJ74" s="166"/>
      <x:c r="EK74" s="171" t="str">
        <x:f>IF(EE74="","",IFERROR(F74*EJ74/EH74,0))</x:f>
      </x:c>
      <x:c r="EL74" s="171" t="str">
        <x:f>IF(EE74="","",F74*ABS(EJ74))</x:f>
      </x:c>
      <x:c r="EM74" s="165"/>
      <x:c r="EN74" s="172" t="str">
        <x:f>IF(EE74="","",IF(EM74="","",IFERROR(EH74/EM74-1,0)))</x:f>
      </x:c>
      <x:c r="EO74" s="166"/>
      <x:c r="EP74" s="172" t="str">
        <x:f>IF(EE74="","",IF(EO74="","",EO74-EN74*365/EQ74))</x:f>
      </x:c>
      <x:c r="EQ74" s="164"/>
      <x:c r="ER74" s="172" t="str">
        <x:f>IF(EE74="","",IFERROR(EJ74*(EI74/EH74-1),0))</x:f>
      </x:c>
      <x:c r="ES74" s="147"/>
      <x:c r="ET74" s="147"/>
      <x:c r="EU74" s="147"/>
      <x:c r="EV74" s="167"/>
      <x:c r="EW74" s="167"/>
      <x:c r="EX74" s="166"/>
      <x:c r="EY74" s="171" t="str">
        <x:f>IF(ES74="","",IFERROR(F74*EX74/EV74,0))</x:f>
      </x:c>
      <x:c r="EZ74" s="171" t="str">
        <x:f>IF(ES74="","",F74*ABS(EX74))</x:f>
      </x:c>
      <x:c r="FA74" s="165"/>
      <x:c r="FB74" s="172" t="str">
        <x:f>IF(ES74="","",IF(FA74="","",IFERROR(EV74/FA74-1,0)))</x:f>
      </x:c>
      <x:c r="FC74" s="166"/>
      <x:c r="FD74" s="172" t="str">
        <x:f>IF(ES74="","",IF(FC74="","",FC74-FB74*365/FE74))</x:f>
      </x:c>
      <x:c r="FE74" s="164"/>
      <x:c r="FF74" s="172" t="str">
        <x:f>IF(ES74="","",IFERROR(EX74*(EW74/EV74-1),0))</x:f>
      </x:c>
      <x:c r="FG74" s="147"/>
      <x:c r="FH74" s="147"/>
      <x:c r="FI74" s="147"/>
      <x:c r="FJ74" s="167"/>
      <x:c r="FK74" s="167"/>
      <x:c r="FL74" s="166"/>
      <x:c r="FM74" s="171" t="str">
        <x:f>IF(FG74="","",IFERROR(F74*FL74/FJ74,0))</x:f>
      </x:c>
      <x:c r="FN74" s="171" t="str">
        <x:f>IF(FG74="","",F74*ABS(FL74))</x:f>
      </x:c>
      <x:c r="FO74" s="165"/>
      <x:c r="FP74" s="172" t="str">
        <x:f>IF(FG74="","",IF(FO74="","",IFERROR(FJ74/FO74-1,0)))</x:f>
      </x:c>
      <x:c r="FQ74" s="166"/>
      <x:c r="FR74" s="172" t="str">
        <x:f>IF(FG74="","",IF(FQ74="","",FQ74-FP74*365/FS74))</x:f>
      </x:c>
      <x:c r="FS74" s="164"/>
      <x:c r="FT74" s="172" t="str">
        <x:f>IF(FG74="","",IFERROR(FL74*(FK74/FJ74-1),0))</x:f>
      </x:c>
    </x:row>
    <x:row r="75" ht="18" customHeight="1">
      <x:c r="A75" s="163" t="n">
        <x:v>25315</x:v>
      </x:c>
      <x:c r="B75" s="163" t="n">
        <x:v>25316</x:v>
      </x:c>
      <x:c r="C75" s="170" t="n">
        <x:f>B75-A75</x:f>
        <x:v>1</x:v>
      </x:c>
      <x:c r="D75" s="163" t="n">
        <x:v>25315</x:v>
      </x:c>
      <x:c r="E75" s="147" t="str">
        <x:v>positive</x:v>
      </x:c>
      <x:c r="F75" s="165" t="n">
        <x:v>1.2390911419243849</x:v>
      </x:c>
      <x:c r="G75" s="168" t="n">
        <x:v>0.01448748324938406</x:v>
      </x:c>
      <x:c r="H75" s="172" t="n">
        <x:f>SUM(AX75,BL75,BZ75,CN75,DB75,DP75,ED75,ER75,FF75,FT75)</x:f>
        <x:v>0.014487483249383981</x:v>
      </x:c>
      <x:c r="I75" s="174" t="n">
        <x:f>G75-H75</x:f>
        <x:v>7.806255641895632e-17</x:v>
      </x:c>
      <x:c r="J75" s="171" t="n">
        <x:f>F75*(1+H75)</x:f>
        <x:v>1.2570424540874745</x:v>
      </x:c>
      <x:c r="K75" s="169" t="n">
        <x:v>1.2570424540874745</x:v>
      </x:c>
      <x:c r="L75" s="175" t="n">
        <x:f>K75-J75</x:f>
        <x:v>0</x:v>
      </x:c>
      <x:c r="M75" s="167" t="n">
        <x:v>1.77</x:v>
      </x:c>
      <x:c r="N75" s="167" t="n">
        <x:v>1.785</x:v>
      </x:c>
      <x:c r="O75" s="172" t="n">
        <x:f>IFERROR(N75/M75-1,0)</x:f>
        <x:v>0.008474576271186418</x:v>
      </x:c>
      <x:c r="P75" s="171" t="n">
        <x:f>IFERROR(AD75/AH75,0)</x:f>
        <x:v>1.3707008225355628</x:v>
      </x:c>
      <x:c r="Q75" s="171" t="n">
        <x:f>IFERROR(AE75/AI75,0)</x:f>
        <x:v>1.3788734594416112</x:v>
      </x:c>
      <x:c r="R75" s="172" t="n">
        <x:f>IFERROR((Q75-P75)/(P75+S75),0)</x:f>
        <x:v>0.005962378348128827</x:v>
      </x:c>
      <x:c r="S75" s="172" t="n">
        <x:f>IFERROR(AF75/AH75,0)</x:f>
        <x:v>0</x:v>
      </x:c>
      <x:c r="T75" s="172" t="n">
        <x:f>IFERROR(AG75/AI75,0)</x:f>
        <x:v>0</x:v>
      </x:c>
      <x:c r="U75" s="172" t="n">
        <x:f>IFERROR((T75-S75)/(P75+S75),0)</x:f>
        <x:v>0</x:v>
      </x:c>
      <x:c r="V75" s="172" t="n">
        <x:f>R75+U75</x:f>
        <x:v>0.005962378348128827</x:v>
      </x:c>
      <x:c r="W75" s="172" t="n">
        <x:f>(1+O75)*(1+V75)-1</x:f>
        <x:v>0.014487483249384203</x:v>
      </x:c>
      <x:c r="X75" s="174" t="n">
        <x:f>G75-W75</x:f>
        <x:v>-1.43982048506075e-16</x:v>
      </x:c>
      <x:c r="Y75" s="172" t="str">
        <x:f>AX75</x:f>
      </x:c>
      <x:c r="Z75" s="172" t="n">
        <x:f>BL75</x:f>
        <x:v>0.00016904109589033212</x:v>
      </x:c>
      <x:c r="AA75" s="172" t="n">
        <x:f>SUM(BZ75,CN75,DB75,DP75,ED75,ER75,FF75,FT75)</x:f>
        <x:v>0.014318442153493649</x:v>
      </x:c>
      <x:c r="AB75" s="172" t="n">
        <x:f>SUM(Y75:AA75)</x:f>
        <x:v>0.014487483249383981</x:v>
      </x:c>
      <x:c r="AC75" s="174" t="n">
        <x:f>G75-AB75</x:f>
        <x:v>7.806255641895632e-17</x:v>
      </x:c>
      <x:c r="AD75" s="169" t="n">
        <x:v>1.2390911419243853</x:v>
      </x:c>
      <x:c r="AE75" s="169" t="n">
        <x:v>1.257042454087475</x:v>
      </x:c>
      <x:c r="AF75" s="169" t="n">
        <x:v>0</x:v>
      </x:c>
      <x:c r="AG75" s="169" t="n">
        <x:v>0</x:v>
      </x:c>
      <x:c r="AH75" s="171" t="n">
        <x:f>M75/$M$3</x:f>
        <x:v>0.9039836567926456</x:v>
      </x:c>
      <x:c r="AI75" s="171" t="n">
        <x:f>N75/$M$3</x:f>
        <x:v>0.9116445352400409</x:v>
      </x:c>
      <x:c r="AJ75" s="170" t="n">
        <x:f>IF(AK75&lt;&gt;"",1,0)+IF(AY75&lt;&gt;"",1,0)+IF(BM75&lt;&gt;"",1,0)+IF(CA75&lt;&gt;"",1,0)+IF(CO75&lt;&gt;"",1,0)+IF(DC75&lt;&gt;"",1,0)+IF(DQ75&lt;&gt;"",1,0)+IF(EE75&lt;&gt;"",1,0)+IF(ES75&lt;&gt;"",1,0)+IF(FG75&lt;&gt;"",1,0)</x:f>
        <x:v>2</x:v>
      </x:c>
      <x:c r="AK75" s="147"/>
      <x:c r="AL75" s="147"/>
      <x:c r="AM75" s="147"/>
      <x:c r="AN75" s="167"/>
      <x:c r="AO75" s="167"/>
      <x:c r="AP75" s="166"/>
      <x:c r="AQ75" s="171" t="str">
        <x:f>IF(AK75="","",IFERROR(F75*AP75/AN75,0))</x:f>
      </x:c>
      <x:c r="AR75" s="171" t="str">
        <x:f>IF(AK75="","",F75*ABS(AP75))</x:f>
      </x:c>
      <x:c r="AS75" s="165"/>
      <x:c r="AT75" s="172" t="str">
        <x:f>IF(AK75="","",IF(AS75="","",IFERROR(AN75/AS75-1,0)))</x:f>
      </x:c>
      <x:c r="AU75" s="166"/>
      <x:c r="AV75" s="172" t="str">
        <x:f>IF(AK75="","",IF(AU75="","",AU75-AT75*365/AW75))</x:f>
      </x:c>
      <x:c r="AW75" s="164"/>
      <x:c r="AX75" s="173" t="str">
        <x:f>IF(AK75="","",IFERROR(AP75*(AO75/AN75-1),0))</x:f>
      </x:c>
      <x:c r="AY75" s="147" t="str">
        <x:v>Matched-maturity Treasury collateral</x:v>
      </x:c>
      <x:c r="AZ75" s="147" t="str">
        <x:v>Treasury</x:v>
      </x:c>
      <x:c r="BA75" s="147" t="str">
        <x:v>Long</x:v>
      </x:c>
      <x:c r="BB75" s="167" t="n">
        <x:v>101.85554706382287</x:v>
      </x:c>
      <x:c r="BC75" s="167" t="n">
        <x:v>101.87276483712104</x:v>
      </x:c>
      <x:c r="BD75" s="166" t="n">
        <x:v>1</x:v>
      </x:c>
      <x:c r="BE75" s="171" t="n">
        <x:f>IF(AY75="","",IFERROR(F75*BD75/BB75,0))</x:f>
        <x:v>0.012165180764754698</x:v>
      </x:c>
      <x:c r="BF75" s="171" t="n">
        <x:f>IF(AY75="","",F75*ABS(BD75))</x:f>
        <x:v>1.2390911419243849</x:v>
      </x:c>
      <x:c r="BG75" s="165"/>
      <x:c r="BH75" s="172" t="str">
        <x:f>IF(AY75="","",IF(BG75="","",IFERROR(BB75/BG75-1,0)))</x:f>
      </x:c>
      <x:c r="BI75" s="166"/>
      <x:c r="BJ75" s="172" t="str">
        <x:f>IF(AY75="","",IF(BI75="","",BI75-BH75*365/BK75))</x:f>
      </x:c>
      <x:c r="BK75" s="164" t="n">
        <x:v>36</x:v>
      </x:c>
      <x:c r="BL75" s="172" t="n">
        <x:f>IF(AY75="","",IFERROR(BD75*(BC75/BB75-1),0))</x:f>
        <x:v>0.00016904109589033212</x:v>
      </x:c>
      <x:c r="BM75" s="147" t="str">
        <x:v>SI69K</x:v>
      </x:c>
      <x:c r="BN75" s="147" t="str">
        <x:v>Silver future (regular)</x:v>
      </x:c>
      <x:c r="BO75" s="147" t="str">
        <x:v>Long</x:v>
      </x:c>
      <x:c r="BP75" s="167" t="n">
        <x:v>1.746</x:v>
      </x:c>
      <x:c r="BQ75" s="167" t="n">
        <x:v>1.771</x:v>
      </x:c>
      <x:c r="BR75" s="166" t="n">
        <x:v>1</x:v>
      </x:c>
      <x:c r="BS75" s="171" t="n">
        <x:f>IF(BM75="","",IFERROR(F75*BR75/BP75,0))</x:f>
        <x:v>0.7096741935420303</x:v>
      </x:c>
      <x:c r="BT75" s="171" t="n">
        <x:f>IF(BM75="","",F75*ABS(BR75))</x:f>
        <x:v>1.2390911419243849</x:v>
      </x:c>
      <x:c r="BU75" s="165" t="n">
        <x:v>1.77</x:v>
      </x:c>
      <x:c r="BV75" s="172" t="n">
        <x:f>IF(BM75="","",IF(BU75="","",IFERROR(BP75/BU75-1,0)))</x:f>
        <x:v>-0.013559322033898313</x:v>
      </x:c>
      <x:c r="BW75" s="166" t="n">
        <x:v>0.0617</x:v>
      </x:c>
      <x:c r="BX75" s="172" t="n">
        <x:f>IF(BM75="","",IF(BW75="","",BW75-BV75*365/BY75))</x:f>
        <x:v>0.1991764595103579</x:v>
      </x:c>
      <x:c r="BY75" s="164" t="n">
        <x:v>36</x:v>
      </x:c>
      <x:c r="BZ75" s="172" t="n">
        <x:f>IF(BM75="","",IFERROR(BR75*(BQ75/BP75-1),0))</x:f>
        <x:v>0.014318442153493649</x:v>
      </x:c>
      <x:c r="CA75" s="147"/>
      <x:c r="CB75" s="147"/>
      <x:c r="CC75" s="147"/>
      <x:c r="CD75" s="167"/>
      <x:c r="CE75" s="167"/>
      <x:c r="CF75" s="166"/>
      <x:c r="CG75" s="171" t="str">
        <x:f>IF(CA75="","",IFERROR(F75*CF75/CD75,0))</x:f>
      </x:c>
      <x:c r="CH75" s="171" t="str">
        <x:f>IF(CA75="","",F75*ABS(CF75))</x:f>
      </x:c>
      <x:c r="CI75" s="165"/>
      <x:c r="CJ75" s="172" t="str">
        <x:f>IF(CA75="","",IF(CI75="","",IFERROR(CD75/CI75-1,0)))</x:f>
      </x:c>
      <x:c r="CK75" s="166"/>
      <x:c r="CL75" s="172" t="str">
        <x:f>IF(CA75="","",IF(CK75="","",CK75-CJ75*365/CM75))</x:f>
      </x:c>
      <x:c r="CM75" s="164"/>
      <x:c r="CN75" s="172" t="str">
        <x:f>IF(CA75="","",IFERROR(CF75*(CE75/CD75-1),0))</x:f>
      </x:c>
      <x:c r="CO75" s="147"/>
      <x:c r="CP75" s="147"/>
      <x:c r="CQ75" s="147"/>
      <x:c r="CR75" s="167"/>
      <x:c r="CS75" s="167"/>
      <x:c r="CT75" s="166"/>
      <x:c r="CU75" s="171" t="str">
        <x:f>IF(CO75="","",IFERROR(F75*CT75/CR75,0))</x:f>
      </x:c>
      <x:c r="CV75" s="171" t="str">
        <x:f>IF(CO75="","",F75*ABS(CT75))</x:f>
      </x:c>
      <x:c r="CW75" s="165"/>
      <x:c r="CX75" s="172" t="str">
        <x:f>IF(CO75="","",IF(CW75="","",IFERROR(CR75/CW75-1,0)))</x:f>
      </x:c>
      <x:c r="CY75" s="166"/>
      <x:c r="CZ75" s="172" t="str">
        <x:f>IF(CO75="","",IF(CY75="","",CY75-CX75*365/DA75))</x:f>
      </x:c>
      <x:c r="DA75" s="164"/>
      <x:c r="DB75" s="172" t="str">
        <x:f>IF(CO75="","",IFERROR(CT75*(CS75/CR75-1),0))</x:f>
      </x:c>
      <x:c r="DC75" s="147"/>
      <x:c r="DD75" s="147"/>
      <x:c r="DE75" s="147"/>
      <x:c r="DF75" s="167"/>
      <x:c r="DG75" s="167"/>
      <x:c r="DH75" s="166"/>
      <x:c r="DI75" s="171" t="str">
        <x:f>IF(DC75="","",IFERROR(F75*DH75/DF75,0))</x:f>
      </x:c>
      <x:c r="DJ75" s="171" t="str">
        <x:f>IF(DC75="","",F75*ABS(DH75))</x:f>
      </x:c>
      <x:c r="DK75" s="165"/>
      <x:c r="DL75" s="172" t="str">
        <x:f>IF(DC75="","",IF(DK75="","",IFERROR(DF75/DK75-1,0)))</x:f>
      </x:c>
      <x:c r="DM75" s="166"/>
      <x:c r="DN75" s="172" t="str">
        <x:f>IF(DC75="","",IF(DM75="","",DM75-DL75*365/DO75))</x:f>
      </x:c>
      <x:c r="DO75" s="164"/>
      <x:c r="DP75" s="172" t="str">
        <x:f>IF(DC75="","",IFERROR(DH75*(DG75/DF75-1),0))</x:f>
      </x:c>
      <x:c r="DQ75" s="147"/>
      <x:c r="DR75" s="147"/>
      <x:c r="DS75" s="147"/>
      <x:c r="DT75" s="167"/>
      <x:c r="DU75" s="167"/>
      <x:c r="DV75" s="166"/>
      <x:c r="DW75" s="171" t="str">
        <x:f>IF(DQ75="","",IFERROR(F75*DV75/DT75,0))</x:f>
      </x:c>
      <x:c r="DX75" s="171" t="str">
        <x:f>IF(DQ75="","",F75*ABS(DV75))</x:f>
      </x:c>
      <x:c r="DY75" s="165"/>
      <x:c r="DZ75" s="172" t="str">
        <x:f>IF(DQ75="","",IF(DY75="","",IFERROR(DT75/DY75-1,0)))</x:f>
      </x:c>
      <x:c r="EA75" s="166"/>
      <x:c r="EB75" s="172" t="str">
        <x:f>IF(DQ75="","",IF(EA75="","",EA75-DZ75*365/EC75))</x:f>
      </x:c>
      <x:c r="EC75" s="164"/>
      <x:c r="ED75" s="172" t="str">
        <x:f>IF(DQ75="","",IFERROR(DV75*(DU75/DT75-1),0))</x:f>
      </x:c>
      <x:c r="EE75" s="147"/>
      <x:c r="EF75" s="147"/>
      <x:c r="EG75" s="147"/>
      <x:c r="EH75" s="167"/>
      <x:c r="EI75" s="167"/>
      <x:c r="EJ75" s="166"/>
      <x:c r="EK75" s="171" t="str">
        <x:f>IF(EE75="","",IFERROR(F75*EJ75/EH75,0))</x:f>
      </x:c>
      <x:c r="EL75" s="171" t="str">
        <x:f>IF(EE75="","",F75*ABS(EJ75))</x:f>
      </x:c>
      <x:c r="EM75" s="165"/>
      <x:c r="EN75" s="172" t="str">
        <x:f>IF(EE75="","",IF(EM75="","",IFERROR(EH75/EM75-1,0)))</x:f>
      </x:c>
      <x:c r="EO75" s="166"/>
      <x:c r="EP75" s="172" t="str">
        <x:f>IF(EE75="","",IF(EO75="","",EO75-EN75*365/EQ75))</x:f>
      </x:c>
      <x:c r="EQ75" s="164"/>
      <x:c r="ER75" s="172" t="str">
        <x:f>IF(EE75="","",IFERROR(EJ75*(EI75/EH75-1),0))</x:f>
      </x:c>
      <x:c r="ES75" s="147"/>
      <x:c r="ET75" s="147"/>
      <x:c r="EU75" s="147"/>
      <x:c r="EV75" s="167"/>
      <x:c r="EW75" s="167"/>
      <x:c r="EX75" s="166"/>
      <x:c r="EY75" s="171" t="str">
        <x:f>IF(ES75="","",IFERROR(F75*EX75/EV75,0))</x:f>
      </x:c>
      <x:c r="EZ75" s="171" t="str">
        <x:f>IF(ES75="","",F75*ABS(EX75))</x:f>
      </x:c>
      <x:c r="FA75" s="165"/>
      <x:c r="FB75" s="172" t="str">
        <x:f>IF(ES75="","",IF(FA75="","",IFERROR(EV75/FA75-1,0)))</x:f>
      </x:c>
      <x:c r="FC75" s="166"/>
      <x:c r="FD75" s="172" t="str">
        <x:f>IF(ES75="","",IF(FC75="","",FC75-FB75*365/FE75))</x:f>
      </x:c>
      <x:c r="FE75" s="164"/>
      <x:c r="FF75" s="172" t="str">
        <x:f>IF(ES75="","",IFERROR(EX75*(EW75/EV75-1),0))</x:f>
      </x:c>
      <x:c r="FG75" s="147"/>
      <x:c r="FH75" s="147"/>
      <x:c r="FI75" s="147"/>
      <x:c r="FJ75" s="167"/>
      <x:c r="FK75" s="167"/>
      <x:c r="FL75" s="166"/>
      <x:c r="FM75" s="171" t="str">
        <x:f>IF(FG75="","",IFERROR(F75*FL75/FJ75,0))</x:f>
      </x:c>
      <x:c r="FN75" s="171" t="str">
        <x:f>IF(FG75="","",F75*ABS(FL75))</x:f>
      </x:c>
      <x:c r="FO75" s="165"/>
      <x:c r="FP75" s="172" t="str">
        <x:f>IF(FG75="","",IF(FO75="","",IFERROR(FJ75/FO75-1,0)))</x:f>
      </x:c>
      <x:c r="FQ75" s="166"/>
      <x:c r="FR75" s="172" t="str">
        <x:f>IF(FG75="","",IF(FQ75="","",FQ75-FP75*365/FS75))</x:f>
      </x:c>
      <x:c r="FS75" s="164"/>
      <x:c r="FT75" s="172" t="str">
        <x:f>IF(FG75="","",IFERROR(FL75*(FK75/FJ75-1),0))</x:f>
      </x:c>
    </x:row>
    <x:row r="76" ht="18" customHeight="1">
      <x:c r="A76" s="163" t="n">
        <x:v>25316</x:v>
      </x:c>
      <x:c r="B76" s="163" t="n">
        <x:v>25317</x:v>
      </x:c>
      <x:c r="C76" s="170" t="n">
        <x:f>B76-A76</x:f>
        <x:v>1</x:v>
      </x:c>
      <x:c r="D76" s="163" t="n">
        <x:v>25316</x:v>
      </x:c>
      <x:c r="E76" s="147" t="str">
        <x:v>positive</x:v>
      </x:c>
      <x:c r="F76" s="165" t="n">
        <x:v>1.2570424540874745</x:v>
      </x:c>
      <x:c r="G76" s="168" t="n">
        <x:v>-0.002900418529278196</x:v>
      </x:c>
      <x:c r="H76" s="172" t="n">
        <x:f>SUM(AX76,BL76,BZ76,CN76,DB76,DP76,ED76,ER76,FF76,FT76)</x:f>
        <x:v>-0.0029004185292782255</x:v>
      </x:c>
      <x:c r="I76" s="174" t="n">
        <x:f>G76-H76</x:f>
        <x:v>2.949029909160572e-17</x:v>
      </x:c>
      <x:c r="J76" s="171" t="n">
        <x:f>F76*(1+H76)</x:f>
        <x:v>1.2533965048615499</x:v>
      </x:c>
      <x:c r="K76" s="169" t="n">
        <x:v>1.2533965048615499</x:v>
      </x:c>
      <x:c r="L76" s="175" t="n">
        <x:f>K76-J76</x:f>
        <x:v>0</x:v>
      </x:c>
      <x:c r="M76" s="167" t="n">
        <x:v>1.785</x:v>
      </x:c>
      <x:c r="N76" s="167" t="n">
        <x:v>1.792</x:v>
      </x:c>
      <x:c r="O76" s="172" t="n">
        <x:f>IFERROR(N76/M76-1,0)</x:f>
        <x:v>0.0039215686274509665</x:v>
      </x:c>
      <x:c r="P76" s="171" t="n">
        <x:f>IFERROR(AD76/AH76,0)</x:f>
        <x:v>1.3788734594416112</x:v>
      </x:c>
      <x:c r="Q76" s="171" t="n">
        <x:f>IFERROR(AE76/AI76,0)</x:f>
        <x:v>1.3695035471645733</x:v>
      </x:c>
      <x:c r="R76" s="172" t="n">
        <x:f>IFERROR((Q76-P76)/(P76+S76),0)</x:f>
        <x:v>-0.006795338769398255</x:v>
      </x:c>
      <x:c r="S76" s="172" t="n">
        <x:f>IFERROR(AF76/AH76,0)</x:f>
        <x:v>0</x:v>
      </x:c>
      <x:c r="T76" s="172" t="n">
        <x:f>IFERROR(AG76/AI76,0)</x:f>
        <x:v>0</x:v>
      </x:c>
      <x:c r="U76" s="172" t="n">
        <x:f>IFERROR((T76-S76)/(P76+S76),0)</x:f>
        <x:v>0</x:v>
      </x:c>
      <x:c r="V76" s="172" t="n">
        <x:f>R76+U76</x:f>
        <x:v>-0.006795338769398255</x:v>
      </x:c>
      <x:c r="W76" s="172" t="n">
        <x:f>(1+O76)*(1+V76)-1</x:f>
        <x:v>-0.002900418529278359</x:v>
      </x:c>
      <x:c r="X76" s="174" t="n">
        <x:f>G76-W76</x:f>
        <x:v>1.6306400674181987e-16</x:v>
      </x:c>
      <x:c r="Y76" s="172" t="n">
        <x:f>AX76</x:f>
        <x:v>0.0001750475330252144</x:v>
      </x:c>
      <x:c r="Z76" s="172" t="n">
        <x:f>BL76</x:f>
        <x:v>0.00016095894248107235</x:v>
      </x:c>
      <x:c r="AA76" s="172" t="n">
        <x:f>SUM(BZ76,CN76,DB76,DP76,ED76,ER76,FF76,FT76)</x:f>
        <x:v>-0.0032364250047845124</x:v>
      </x:c>
      <x:c r="AB76" s="172" t="n">
        <x:f>SUM(Y76:AA76)</x:f>
        <x:v>-0.0029004185292782255</x:v>
      </x:c>
      <x:c r="AC76" s="174" t="n">
        <x:f>G76-AB76</x:f>
        <x:v>2.949029909160572e-17</x:v>
      </x:c>
      <x:c r="AD76" s="169" t="n">
        <x:v>1.257042454087475</x:v>
      </x:c>
      <x:c r="AE76" s="169" t="n">
        <x:v>1.2533965048615503</x:v>
      </x:c>
      <x:c r="AF76" s="169" t="n">
        <x:v>0</x:v>
      </x:c>
      <x:c r="AG76" s="169" t="n">
        <x:v>0</x:v>
      </x:c>
      <x:c r="AH76" s="171" t="n">
        <x:f>M76/$M$3</x:f>
        <x:v>0.9116445352400409</x:v>
      </x:c>
      <x:c r="AI76" s="171" t="n">
        <x:f>N76/$M$3</x:f>
        <x:v>0.9152196118488254</x:v>
      </x:c>
      <x:c r="AJ76" s="170" t="n">
        <x:f>IF(AK76&lt;&gt;"",1,0)+IF(AY76&lt;&gt;"",1,0)+IF(BM76&lt;&gt;"",1,0)+IF(CA76&lt;&gt;"",1,0)+IF(CO76&lt;&gt;"",1,0)+IF(DC76&lt;&gt;"",1,0)+IF(DQ76&lt;&gt;"",1,0)+IF(EE76&lt;&gt;"",1,0)+IF(ES76&lt;&gt;"",1,0)+IF(FG76&lt;&gt;"",1,0)</x:f>
        <x:v>3</x:v>
      </x:c>
      <x:c r="AK76" s="147" t="str">
        <x:v>Silver replicating holding (LBMA/SLV proxy)</x:v>
      </x:c>
      <x:c r="AL76" s="147" t="str">
        <x:v>Physical-backed proxy</x:v>
      </x:c>
      <x:c r="AM76" s="147" t="str">
        <x:v>Long</x:v>
      </x:c>
      <x:c r="AN76" s="167" t="n">
        <x:v>1.785</x:v>
      </x:c>
      <x:c r="AO76" s="167" t="n">
        <x:v>1.792</x:v>
      </x:c>
      <x:c r="AP76" s="166" t="n">
        <x:v>0.04471521942110367</x:v>
      </x:c>
      <x:c r="AQ76" s="171" t="n">
        <x:f>IF(AK76="","",IFERROR(F76*AP76/AN76,0))</x:f>
        <x:v>0.031489596165918246</x:v>
      </x:c>
      <x:c r="AR76" s="171" t="n">
        <x:f>IF(AK76="","",F76*ABS(AP76))</x:f>
        <x:v>0.056208929156164066</x:v>
      </x:c>
      <x:c r="AS76" s="165"/>
      <x:c r="AT76" s="172" t="str">
        <x:f>IF(AK76="","",IF(AS76="","",IFERROR(AN76/AS76-1,0)))</x:f>
      </x:c>
      <x:c r="AU76" s="166"/>
      <x:c r="AV76" s="172" t="str">
        <x:f>IF(AK76="","",IF(AU76="","",AU76-AT76*365/AW76))</x:f>
      </x:c>
      <x:c r="AW76" s="164"/>
      <x:c r="AX76" s="173" t="n">
        <x:f>IF(AK76="","",IFERROR(AP76*(AO76/AN76-1-'Parameters'!$C$6*C76/365),0))</x:f>
        <x:v>0.0001750475330252144</x:v>
      </x:c>
      <x:c r="AY76" s="147" t="str">
        <x:v>Matched-maturity Treasury collateral</x:v>
      </x:c>
      <x:c r="AZ76" s="147" t="str">
        <x:v>Treasury</x:v>
      </x:c>
      <x:c r="BA76" s="147" t="str">
        <x:v>Long</x:v>
      </x:c>
      <x:c r="BB76" s="167" t="n">
        <x:v>101.87276483712104</x:v>
      </x:c>
      <x:c r="BC76" s="167" t="n">
        <x:v>101.88992970023743</x:v>
      </x:c>
      <x:c r="BD76" s="166" t="n">
        <x:v>0.9552847805788963</x:v>
      </x:c>
      <x:c r="BE76" s="171" t="n">
        <x:f>IF(AY76="","",IFERROR(F76*BD76/BB76,0))</x:f>
        <x:v>0.0117875815665871</x:v>
      </x:c>
      <x:c r="BF76" s="171" t="n">
        <x:f>IF(AY76="","",F76*ABS(BD76))</x:f>
        <x:v>1.2008335249313105</x:v>
      </x:c>
      <x:c r="BG76" s="165"/>
      <x:c r="BH76" s="172" t="str">
        <x:f>IF(AY76="","",IF(BG76="","",IFERROR(BB76/BG76-1,0)))</x:f>
      </x:c>
      <x:c r="BI76" s="166"/>
      <x:c r="BJ76" s="172" t="str">
        <x:f>IF(AY76="","",IF(BI76="","",BI76-BH76*365/BK76))</x:f>
      </x:c>
      <x:c r="BK76" s="164" t="n">
        <x:v>35</x:v>
      </x:c>
      <x:c r="BL76" s="172" t="n">
        <x:f>IF(AY76="","",IFERROR(BD76*(BC76/BB76-1),0))</x:f>
        <x:v>0.00016095894248107235</x:v>
      </x:c>
      <x:c r="BM76" s="147" t="str">
        <x:v>SI69K</x:v>
      </x:c>
      <x:c r="BN76" s="147" t="str">
        <x:v>Silver future (regular)</x:v>
      </x:c>
      <x:c r="BO76" s="147" t="str">
        <x:v>Long</x:v>
      </x:c>
      <x:c r="BP76" s="167" t="n">
        <x:v>1.771</x:v>
      </x:c>
      <x:c r="BQ76" s="167" t="n">
        <x:v>1.765</x:v>
      </x:c>
      <x:c r="BR76" s="166" t="n">
        <x:v>0.9552847805788963</x:v>
      </x:c>
      <x:c r="BS76" s="171" t="n">
        <x:f>IF(BM76="","",IFERROR(F76*BR76/BP76,0))</x:f>
        <x:v>0.6780539384140658</x:v>
      </x:c>
      <x:c r="BT76" s="171" t="n">
        <x:f>IF(BM76="","",F76*ABS(BR76))</x:f>
        <x:v>1.2008335249313105</x:v>
      </x:c>
      <x:c r="BU76" s="165" t="n">
        <x:v>1.785</x:v>
      </x:c>
      <x:c r="BV76" s="172" t="n">
        <x:f>IF(BM76="","",IF(BU76="","",IFERROR(BP76/BU76-1,0)))</x:f>
        <x:v>-0.007843137254901933</x:v>
      </x:c>
      <x:c r="BW76" s="166" t="n">
        <x:v>0.061500000000000006</x:v>
      </x:c>
      <x:c r="BX76" s="172" t="n">
        <x:f>IF(BM76="","",IF(BW76="","",BW76-BV76*365/BY76))</x:f>
        <x:v>0.14329271708683444</x:v>
      </x:c>
      <x:c r="BY76" s="164" t="n">
        <x:v>35</x:v>
      </x:c>
      <x:c r="BZ76" s="172" t="n">
        <x:f>IF(BM76="","",IFERROR(BR76*(BQ76/BP76-1),0))</x:f>
        <x:v>-0.0032364250047845124</x:v>
      </x:c>
      <x:c r="CA76" s="147"/>
      <x:c r="CB76" s="147"/>
      <x:c r="CC76" s="147"/>
      <x:c r="CD76" s="167"/>
      <x:c r="CE76" s="167"/>
      <x:c r="CF76" s="166"/>
      <x:c r="CG76" s="171" t="str">
        <x:f>IF(CA76="","",IFERROR(F76*CF76/CD76,0))</x:f>
      </x:c>
      <x:c r="CH76" s="171" t="str">
        <x:f>IF(CA76="","",F76*ABS(CF76))</x:f>
      </x:c>
      <x:c r="CI76" s="165"/>
      <x:c r="CJ76" s="172" t="str">
        <x:f>IF(CA76="","",IF(CI76="","",IFERROR(CD76/CI76-1,0)))</x:f>
      </x:c>
      <x:c r="CK76" s="166"/>
      <x:c r="CL76" s="172" t="str">
        <x:f>IF(CA76="","",IF(CK76="","",CK76-CJ76*365/CM76))</x:f>
      </x:c>
      <x:c r="CM76" s="164"/>
      <x:c r="CN76" s="172" t="str">
        <x:f>IF(CA76="","",IFERROR(CF76*(CE76/CD76-1),0))</x:f>
      </x:c>
      <x:c r="CO76" s="147"/>
      <x:c r="CP76" s="147"/>
      <x:c r="CQ76" s="147"/>
      <x:c r="CR76" s="167"/>
      <x:c r="CS76" s="167"/>
      <x:c r="CT76" s="166"/>
      <x:c r="CU76" s="171" t="str">
        <x:f>IF(CO76="","",IFERROR(F76*CT76/CR76,0))</x:f>
      </x:c>
      <x:c r="CV76" s="171" t="str">
        <x:f>IF(CO76="","",F76*ABS(CT76))</x:f>
      </x:c>
      <x:c r="CW76" s="165"/>
      <x:c r="CX76" s="172" t="str">
        <x:f>IF(CO76="","",IF(CW76="","",IFERROR(CR76/CW76-1,0)))</x:f>
      </x:c>
      <x:c r="CY76" s="166"/>
      <x:c r="CZ76" s="172" t="str">
        <x:f>IF(CO76="","",IF(CY76="","",CY76-CX76*365/DA76))</x:f>
      </x:c>
      <x:c r="DA76" s="164"/>
      <x:c r="DB76" s="172" t="str">
        <x:f>IF(CO76="","",IFERROR(CT76*(CS76/CR76-1),0))</x:f>
      </x:c>
      <x:c r="DC76" s="147"/>
      <x:c r="DD76" s="147"/>
      <x:c r="DE76" s="147"/>
      <x:c r="DF76" s="167"/>
      <x:c r="DG76" s="167"/>
      <x:c r="DH76" s="166"/>
      <x:c r="DI76" s="171" t="str">
        <x:f>IF(DC76="","",IFERROR(F76*DH76/DF76,0))</x:f>
      </x:c>
      <x:c r="DJ76" s="171" t="str">
        <x:f>IF(DC76="","",F76*ABS(DH76))</x:f>
      </x:c>
      <x:c r="DK76" s="165"/>
      <x:c r="DL76" s="172" t="str">
        <x:f>IF(DC76="","",IF(DK76="","",IFERROR(DF76/DK76-1,0)))</x:f>
      </x:c>
      <x:c r="DM76" s="166"/>
      <x:c r="DN76" s="172" t="str">
        <x:f>IF(DC76="","",IF(DM76="","",DM76-DL76*365/DO76))</x:f>
      </x:c>
      <x:c r="DO76" s="164"/>
      <x:c r="DP76" s="172" t="str">
        <x:f>IF(DC76="","",IFERROR(DH76*(DG76/DF76-1),0))</x:f>
      </x:c>
      <x:c r="DQ76" s="147"/>
      <x:c r="DR76" s="147"/>
      <x:c r="DS76" s="147"/>
      <x:c r="DT76" s="167"/>
      <x:c r="DU76" s="167"/>
      <x:c r="DV76" s="166"/>
      <x:c r="DW76" s="171" t="str">
        <x:f>IF(DQ76="","",IFERROR(F76*DV76/DT76,0))</x:f>
      </x:c>
      <x:c r="DX76" s="171" t="str">
        <x:f>IF(DQ76="","",F76*ABS(DV76))</x:f>
      </x:c>
      <x:c r="DY76" s="165"/>
      <x:c r="DZ76" s="172" t="str">
        <x:f>IF(DQ76="","",IF(DY76="","",IFERROR(DT76/DY76-1,0)))</x:f>
      </x:c>
      <x:c r="EA76" s="166"/>
      <x:c r="EB76" s="172" t="str">
        <x:f>IF(DQ76="","",IF(EA76="","",EA76-DZ76*365/EC76))</x:f>
      </x:c>
      <x:c r="EC76" s="164"/>
      <x:c r="ED76" s="172" t="str">
        <x:f>IF(DQ76="","",IFERROR(DV76*(DU76/DT76-1),0))</x:f>
      </x:c>
      <x:c r="EE76" s="147"/>
      <x:c r="EF76" s="147"/>
      <x:c r="EG76" s="147"/>
      <x:c r="EH76" s="167"/>
      <x:c r="EI76" s="167"/>
      <x:c r="EJ76" s="166"/>
      <x:c r="EK76" s="171" t="str">
        <x:f>IF(EE76="","",IFERROR(F76*EJ76/EH76,0))</x:f>
      </x:c>
      <x:c r="EL76" s="171" t="str">
        <x:f>IF(EE76="","",F76*ABS(EJ76))</x:f>
      </x:c>
      <x:c r="EM76" s="165"/>
      <x:c r="EN76" s="172" t="str">
        <x:f>IF(EE76="","",IF(EM76="","",IFERROR(EH76/EM76-1,0)))</x:f>
      </x:c>
      <x:c r="EO76" s="166"/>
      <x:c r="EP76" s="172" t="str">
        <x:f>IF(EE76="","",IF(EO76="","",EO76-EN76*365/EQ76))</x:f>
      </x:c>
      <x:c r="EQ76" s="164"/>
      <x:c r="ER76" s="172" t="str">
        <x:f>IF(EE76="","",IFERROR(EJ76*(EI76/EH76-1),0))</x:f>
      </x:c>
      <x:c r="ES76" s="147"/>
      <x:c r="ET76" s="147"/>
      <x:c r="EU76" s="147"/>
      <x:c r="EV76" s="167"/>
      <x:c r="EW76" s="167"/>
      <x:c r="EX76" s="166"/>
      <x:c r="EY76" s="171" t="str">
        <x:f>IF(ES76="","",IFERROR(F76*EX76/EV76,0))</x:f>
      </x:c>
      <x:c r="EZ76" s="171" t="str">
        <x:f>IF(ES76="","",F76*ABS(EX76))</x:f>
      </x:c>
      <x:c r="FA76" s="165"/>
      <x:c r="FB76" s="172" t="str">
        <x:f>IF(ES76="","",IF(FA76="","",IFERROR(EV76/FA76-1,0)))</x:f>
      </x:c>
      <x:c r="FC76" s="166"/>
      <x:c r="FD76" s="172" t="str">
        <x:f>IF(ES76="","",IF(FC76="","",FC76-FB76*365/FE76))</x:f>
      </x:c>
      <x:c r="FE76" s="164"/>
      <x:c r="FF76" s="172" t="str">
        <x:f>IF(ES76="","",IFERROR(EX76*(EW76/EV76-1),0))</x:f>
      </x:c>
      <x:c r="FG76" s="147"/>
      <x:c r="FH76" s="147"/>
      <x:c r="FI76" s="147"/>
      <x:c r="FJ76" s="167"/>
      <x:c r="FK76" s="167"/>
      <x:c r="FL76" s="166"/>
      <x:c r="FM76" s="171" t="str">
        <x:f>IF(FG76="","",IFERROR(F76*FL76/FJ76,0))</x:f>
      </x:c>
      <x:c r="FN76" s="171" t="str">
        <x:f>IF(FG76="","",F76*ABS(FL76))</x:f>
      </x:c>
      <x:c r="FO76" s="165"/>
      <x:c r="FP76" s="172" t="str">
        <x:f>IF(FG76="","",IF(FO76="","",IFERROR(FJ76/FO76-1,0)))</x:f>
      </x:c>
      <x:c r="FQ76" s="166"/>
      <x:c r="FR76" s="172" t="str">
        <x:f>IF(FG76="","",IF(FQ76="","",FQ76-FP76*365/FS76))</x:f>
      </x:c>
      <x:c r="FS76" s="164"/>
      <x:c r="FT76" s="172" t="str">
        <x:f>IF(FG76="","",IFERROR(FL76*(FK76/FJ76-1),0))</x:f>
      </x:c>
    </x:row>
    <x:row r="77" ht="18" customHeight="1">
      <x:c r="A77" s="163" t="n">
        <x:v>25317</x:v>
      </x:c>
      <x:c r="B77" s="163" t="n">
        <x:v>25318</x:v>
      </x:c>
      <x:c r="C77" s="170" t="n">
        <x:f>B77-A77</x:f>
        <x:v>1</x:v>
      </x:c>
      <x:c r="D77" s="163" t="n">
        <x:v>25317</x:v>
      </x:c>
      <x:c r="E77" s="147" t="str">
        <x:v>positive</x:v>
      </x:c>
      <x:c r="F77" s="165" t="n">
        <x:v>1.2533965048615499</x:v>
      </x:c>
      <x:c r="G77" s="168" t="n">
        <x:v>-0.0054985990919321544</x:v>
      </x:c>
      <x:c r="H77" s="172" t="n">
        <x:f>SUM(AX77,BL77,BZ77,CN77,DB77,DP77,ED77,ER77,FF77,FT77)</x:f>
        <x:v>-0.005498599091932177</x:v>
      </x:c>
      <x:c r="I77" s="174" t="n">
        <x:f>G77-H77</x:f>
        <x:v>2.2551405187698492e-17</x:v>
      </x:c>
      <x:c r="J77" s="171" t="n">
        <x:f>F77*(1+H77)</x:f>
        <x:v>1.2465045799780872</x:v>
      </x:c>
      <x:c r="K77" s="169" t="n">
        <x:v>1.2465045799780872</x:v>
      </x:c>
      <x:c r="L77" s="175" t="n">
        <x:f>K77-J77</x:f>
        <x:v>0</x:v>
      </x:c>
      <x:c r="M77" s="167" t="n">
        <x:v>1.792</x:v>
      </x:c>
      <x:c r="N77" s="167" t="n">
        <x:v>1.782</x:v>
      </x:c>
      <x:c r="O77" s="172" t="n">
        <x:f>IFERROR(N77/M77-1,0)</x:f>
        <x:v>-0.005580357142857095</x:v>
      </x:c>
      <x:c r="P77" s="171" t="n">
        <x:f>IFERROR(AD77/AH77,0)</x:f>
        <x:v>1.3695035471645733</x:v>
      </x:c>
      <x:c r="Q77" s="171" t="n">
        <x:f>IFERROR(AE77/AI77,0)</x:f>
        <x:v>1.3696161434327137</x:v>
      </x:c>
      <x:c r="R77" s="172" t="n">
        <x:f>IFERROR((Q77-P77)/(P77+S77),0)</x:f>
        <x:v>0.00008221685031296776</x:v>
      </x:c>
      <x:c r="S77" s="172" t="n">
        <x:f>IFERROR(AF77/AH77,0)</x:f>
        <x:v>0</x:v>
      </x:c>
      <x:c r="T77" s="172" t="n">
        <x:f>IFERROR(AG77/AI77,0)</x:f>
        <x:v>0</x:v>
      </x:c>
      <x:c r="U77" s="172" t="n">
        <x:f>IFERROR((T77-S77)/(P77+S77),0)</x:f>
        <x:v>0</x:v>
      </x:c>
      <x:c r="V77" s="172" t="n">
        <x:f>R77+U77</x:f>
        <x:v>0.00008221685031296776</x:v>
      </x:c>
      <x:c r="W77" s="172" t="n">
        <x:f>(1+O77)*(1+V77)-1</x:f>
        <x:v>-0.005498599091932066</x:v>
      </x:c>
      <x:c r="X77" s="174" t="n">
        <x:f>G77-W77</x:f>
        <x:v>-8.847089727481716e-17</x:v>
      </x:c>
      <x:c r="Y77" s="172" t="str">
        <x:f>AX77</x:f>
      </x:c>
      <x:c r="Z77" s="172" t="n">
        <x:f>BL77</x:f>
        <x:v>0.00016712328767121143</x:v>
      </x:c>
      <x:c r="AA77" s="172" t="n">
        <x:f>SUM(BZ77,CN77,DB77,DP77,ED77,ER77,FF77,FT77)</x:f>
        <x:v>-0.005665722379603388</x:v>
      </x:c>
      <x:c r="AB77" s="172" t="n">
        <x:f>SUM(Y77:AA77)</x:f>
        <x:v>-0.005498599091932177</x:v>
      </x:c>
      <x:c r="AC77" s="174" t="n">
        <x:f>G77-AB77</x:f>
        <x:v>2.2551405187698492e-17</x:v>
      </x:c>
      <x:c r="AD77" s="169" t="n">
        <x:v>1.2533965048615503</x:v>
      </x:c>
      <x:c r="AE77" s="169" t="n">
        <x:v>1.2465045799780876</x:v>
      </x:c>
      <x:c r="AF77" s="169" t="n">
        <x:v>0</x:v>
      </x:c>
      <x:c r="AG77" s="169" t="n">
        <x:v>0</x:v>
      </x:c>
      <x:c r="AH77" s="171" t="n">
        <x:f>M77/$M$3</x:f>
        <x:v>0.9152196118488254</x:v>
      </x:c>
      <x:c r="AI77" s="171" t="n">
        <x:f>N77/$M$3</x:f>
        <x:v>0.9101123595505618</x:v>
      </x:c>
      <x:c r="AJ77" s="170" t="n">
        <x:f>IF(AK77&lt;&gt;"",1,0)+IF(AY77&lt;&gt;"",1,0)+IF(BM77&lt;&gt;"",1,0)+IF(CA77&lt;&gt;"",1,0)+IF(CO77&lt;&gt;"",1,0)+IF(DC77&lt;&gt;"",1,0)+IF(DQ77&lt;&gt;"",1,0)+IF(EE77&lt;&gt;"",1,0)+IF(ES77&lt;&gt;"",1,0)+IF(FG77&lt;&gt;"",1,0)</x:f>
        <x:v>2</x:v>
      </x:c>
      <x:c r="AK77" s="147"/>
      <x:c r="AL77" s="147"/>
      <x:c r="AM77" s="147"/>
      <x:c r="AN77" s="167"/>
      <x:c r="AO77" s="167"/>
      <x:c r="AP77" s="166"/>
      <x:c r="AQ77" s="171" t="str">
        <x:f>IF(AK77="","",IFERROR(F77*AP77/AN77,0))</x:f>
      </x:c>
      <x:c r="AR77" s="171" t="str">
        <x:f>IF(AK77="","",F77*ABS(AP77))</x:f>
      </x:c>
      <x:c r="AS77" s="165"/>
      <x:c r="AT77" s="172" t="str">
        <x:f>IF(AK77="","",IF(AS77="","",IFERROR(AN77/AS77-1,0)))</x:f>
      </x:c>
      <x:c r="AU77" s="166"/>
      <x:c r="AV77" s="172" t="str">
        <x:f>IF(AK77="","",IF(AU77="","",AU77-AT77*365/AW77))</x:f>
      </x:c>
      <x:c r="AW77" s="164"/>
      <x:c r="AX77" s="173" t="str">
        <x:f>IF(AK77="","",IFERROR(AP77*(AO77/AN77-1),0))</x:f>
      </x:c>
      <x:c r="AY77" s="147" t="str">
        <x:v>Matched-maturity Treasury collateral</x:v>
      </x:c>
      <x:c r="AZ77" s="147" t="str">
        <x:v>Treasury</x:v>
      </x:c>
      <x:c r="BA77" s="147" t="str">
        <x:v>Long</x:v>
      </x:c>
      <x:c r="BB77" s="167" t="n">
        <x:v>101.88992970023743</x:v>
      </x:c>
      <x:c r="BC77" s="167" t="n">
        <x:v>101.90695788026952</x:v>
      </x:c>
      <x:c r="BD77" s="166" t="n">
        <x:v>1</x:v>
      </x:c>
      <x:c r="BE77" s="171" t="n">
        <x:f>IF(AY77="","",IFERROR(F77*BD77/BB77,0))</x:f>
        <x:v>0.012301475803831369</x:v>
      </x:c>
      <x:c r="BF77" s="171" t="n">
        <x:f>IF(AY77="","",F77*ABS(BD77))</x:f>
        <x:v>1.2533965048615499</x:v>
      </x:c>
      <x:c r="BG77" s="165"/>
      <x:c r="BH77" s="172" t="str">
        <x:f>IF(AY77="","",IF(BG77="","",IFERROR(BB77/BG77-1,0)))</x:f>
      </x:c>
      <x:c r="BI77" s="166"/>
      <x:c r="BJ77" s="172" t="str">
        <x:f>IF(AY77="","",IF(BI77="","",BI77-BH77*365/BK77))</x:f>
      </x:c>
      <x:c r="BK77" s="164" t="n">
        <x:v>34</x:v>
      </x:c>
      <x:c r="BL77" s="172" t="n">
        <x:f>IF(AY77="","",IFERROR(BD77*(BC77/BB77-1),0))</x:f>
        <x:v>0.00016712328767121143</x:v>
      </x:c>
      <x:c r="BM77" s="147" t="str">
        <x:v>SI69K</x:v>
      </x:c>
      <x:c r="BN77" s="147" t="str">
        <x:v>Silver future (regular)</x:v>
      </x:c>
      <x:c r="BO77" s="147" t="str">
        <x:v>Long</x:v>
      </x:c>
      <x:c r="BP77" s="167" t="n">
        <x:v>1.765</x:v>
      </x:c>
      <x:c r="BQ77" s="167" t="n">
        <x:v>1.755</x:v>
      </x:c>
      <x:c r="BR77" s="166" t="n">
        <x:v>1</x:v>
      </x:c>
      <x:c r="BS77" s="171" t="n">
        <x:f>IF(BM77="","",IFERROR(F77*BR77/BP77,0))</x:f>
        <x:v>0.7101396628110764</x:v>
      </x:c>
      <x:c r="BT77" s="171" t="n">
        <x:f>IF(BM77="","",F77*ABS(BR77))</x:f>
        <x:v>1.2533965048615499</x:v>
      </x:c>
      <x:c r="BU77" s="165" t="n">
        <x:v>1.792</x:v>
      </x:c>
      <x:c r="BV77" s="172" t="n">
        <x:f>IF(BM77="","",IF(BU77="","",IFERROR(BP77/BU77-1,0)))</x:f>
        <x:v>-0.015066964285714413</x:v>
      </x:c>
      <x:c r="BW77" s="166" t="n">
        <x:v>0.061</x:v>
      </x:c>
      <x:c r="BX77" s="172" t="n">
        <x:f>IF(BM77="","",IF(BW77="","",BW77-BV77*365/BY77))</x:f>
        <x:v>0.22274829306722826</x:v>
      </x:c>
      <x:c r="BY77" s="164" t="n">
        <x:v>34</x:v>
      </x:c>
      <x:c r="BZ77" s="172" t="n">
        <x:f>IF(BM77="","",IFERROR(BR77*(BQ77/BP77-1),0))</x:f>
        <x:v>-0.005665722379603388</x:v>
      </x:c>
      <x:c r="CA77" s="147"/>
      <x:c r="CB77" s="147"/>
      <x:c r="CC77" s="147"/>
      <x:c r="CD77" s="167"/>
      <x:c r="CE77" s="167"/>
      <x:c r="CF77" s="166"/>
      <x:c r="CG77" s="171" t="str">
        <x:f>IF(CA77="","",IFERROR(F77*CF77/CD77,0))</x:f>
      </x:c>
      <x:c r="CH77" s="171" t="str">
        <x:f>IF(CA77="","",F77*ABS(CF77))</x:f>
      </x:c>
      <x:c r="CI77" s="165"/>
      <x:c r="CJ77" s="172" t="str">
        <x:f>IF(CA77="","",IF(CI77="","",IFERROR(CD77/CI77-1,0)))</x:f>
      </x:c>
      <x:c r="CK77" s="166"/>
      <x:c r="CL77" s="172" t="str">
        <x:f>IF(CA77="","",IF(CK77="","",CK77-CJ77*365/CM77))</x:f>
      </x:c>
      <x:c r="CM77" s="164"/>
      <x:c r="CN77" s="172" t="str">
        <x:f>IF(CA77="","",IFERROR(CF77*(CE77/CD77-1),0))</x:f>
      </x:c>
      <x:c r="CO77" s="147"/>
      <x:c r="CP77" s="147"/>
      <x:c r="CQ77" s="147"/>
      <x:c r="CR77" s="167"/>
      <x:c r="CS77" s="167"/>
      <x:c r="CT77" s="166"/>
      <x:c r="CU77" s="171" t="str">
        <x:f>IF(CO77="","",IFERROR(F77*CT77/CR77,0))</x:f>
      </x:c>
      <x:c r="CV77" s="171" t="str">
        <x:f>IF(CO77="","",F77*ABS(CT77))</x:f>
      </x:c>
      <x:c r="CW77" s="165"/>
      <x:c r="CX77" s="172" t="str">
        <x:f>IF(CO77="","",IF(CW77="","",IFERROR(CR77/CW77-1,0)))</x:f>
      </x:c>
      <x:c r="CY77" s="166"/>
      <x:c r="CZ77" s="172" t="str">
        <x:f>IF(CO77="","",IF(CY77="","",CY77-CX77*365/DA77))</x:f>
      </x:c>
      <x:c r="DA77" s="164"/>
      <x:c r="DB77" s="172" t="str">
        <x:f>IF(CO77="","",IFERROR(CT77*(CS77/CR77-1),0))</x:f>
      </x:c>
      <x:c r="DC77" s="147"/>
      <x:c r="DD77" s="147"/>
      <x:c r="DE77" s="147"/>
      <x:c r="DF77" s="167"/>
      <x:c r="DG77" s="167"/>
      <x:c r="DH77" s="166"/>
      <x:c r="DI77" s="171" t="str">
        <x:f>IF(DC77="","",IFERROR(F77*DH77/DF77,0))</x:f>
      </x:c>
      <x:c r="DJ77" s="171" t="str">
        <x:f>IF(DC77="","",F77*ABS(DH77))</x:f>
      </x:c>
      <x:c r="DK77" s="165"/>
      <x:c r="DL77" s="172" t="str">
        <x:f>IF(DC77="","",IF(DK77="","",IFERROR(DF77/DK77-1,0)))</x:f>
      </x:c>
      <x:c r="DM77" s="166"/>
      <x:c r="DN77" s="172" t="str">
        <x:f>IF(DC77="","",IF(DM77="","",DM77-DL77*365/DO77))</x:f>
      </x:c>
      <x:c r="DO77" s="164"/>
      <x:c r="DP77" s="172" t="str">
        <x:f>IF(DC77="","",IFERROR(DH77*(DG77/DF77-1),0))</x:f>
      </x:c>
      <x:c r="DQ77" s="147"/>
      <x:c r="DR77" s="147"/>
      <x:c r="DS77" s="147"/>
      <x:c r="DT77" s="167"/>
      <x:c r="DU77" s="167"/>
      <x:c r="DV77" s="166"/>
      <x:c r="DW77" s="171" t="str">
        <x:f>IF(DQ77="","",IFERROR(F77*DV77/DT77,0))</x:f>
      </x:c>
      <x:c r="DX77" s="171" t="str">
        <x:f>IF(DQ77="","",F77*ABS(DV77))</x:f>
      </x:c>
      <x:c r="DY77" s="165"/>
      <x:c r="DZ77" s="172" t="str">
        <x:f>IF(DQ77="","",IF(DY77="","",IFERROR(DT77/DY77-1,0)))</x:f>
      </x:c>
      <x:c r="EA77" s="166"/>
      <x:c r="EB77" s="172" t="str">
        <x:f>IF(DQ77="","",IF(EA77="","",EA77-DZ77*365/EC77))</x:f>
      </x:c>
      <x:c r="EC77" s="164"/>
      <x:c r="ED77" s="172" t="str">
        <x:f>IF(DQ77="","",IFERROR(DV77*(DU77/DT77-1),0))</x:f>
      </x:c>
      <x:c r="EE77" s="147"/>
      <x:c r="EF77" s="147"/>
      <x:c r="EG77" s="147"/>
      <x:c r="EH77" s="167"/>
      <x:c r="EI77" s="167"/>
      <x:c r="EJ77" s="166"/>
      <x:c r="EK77" s="171" t="str">
        <x:f>IF(EE77="","",IFERROR(F77*EJ77/EH77,0))</x:f>
      </x:c>
      <x:c r="EL77" s="171" t="str">
        <x:f>IF(EE77="","",F77*ABS(EJ77))</x:f>
      </x:c>
      <x:c r="EM77" s="165"/>
      <x:c r="EN77" s="172" t="str">
        <x:f>IF(EE77="","",IF(EM77="","",IFERROR(EH77/EM77-1,0)))</x:f>
      </x:c>
      <x:c r="EO77" s="166"/>
      <x:c r="EP77" s="172" t="str">
        <x:f>IF(EE77="","",IF(EO77="","",EO77-EN77*365/EQ77))</x:f>
      </x:c>
      <x:c r="EQ77" s="164"/>
      <x:c r="ER77" s="172" t="str">
        <x:f>IF(EE77="","",IFERROR(EJ77*(EI77/EH77-1),0))</x:f>
      </x:c>
      <x:c r="ES77" s="147"/>
      <x:c r="ET77" s="147"/>
      <x:c r="EU77" s="147"/>
      <x:c r="EV77" s="167"/>
      <x:c r="EW77" s="167"/>
      <x:c r="EX77" s="166"/>
      <x:c r="EY77" s="171" t="str">
        <x:f>IF(ES77="","",IFERROR(F77*EX77/EV77,0))</x:f>
      </x:c>
      <x:c r="EZ77" s="171" t="str">
        <x:f>IF(ES77="","",F77*ABS(EX77))</x:f>
      </x:c>
      <x:c r="FA77" s="165"/>
      <x:c r="FB77" s="172" t="str">
        <x:f>IF(ES77="","",IF(FA77="","",IFERROR(EV77/FA77-1,0)))</x:f>
      </x:c>
      <x:c r="FC77" s="166"/>
      <x:c r="FD77" s="172" t="str">
        <x:f>IF(ES77="","",IF(FC77="","",FC77-FB77*365/FE77))</x:f>
      </x:c>
      <x:c r="FE77" s="164"/>
      <x:c r="FF77" s="172" t="str">
        <x:f>IF(ES77="","",IFERROR(EX77*(EW77/EV77-1),0))</x:f>
      </x:c>
      <x:c r="FG77" s="147"/>
      <x:c r="FH77" s="147"/>
      <x:c r="FI77" s="147"/>
      <x:c r="FJ77" s="167"/>
      <x:c r="FK77" s="167"/>
      <x:c r="FL77" s="166"/>
      <x:c r="FM77" s="171" t="str">
        <x:f>IF(FG77="","",IFERROR(F77*FL77/FJ77,0))</x:f>
      </x:c>
      <x:c r="FN77" s="171" t="str">
        <x:f>IF(FG77="","",F77*ABS(FL77))</x:f>
      </x:c>
      <x:c r="FO77" s="165"/>
      <x:c r="FP77" s="172" t="str">
        <x:f>IF(FG77="","",IF(FO77="","",IFERROR(FJ77/FO77-1,0)))</x:f>
      </x:c>
      <x:c r="FQ77" s="166"/>
      <x:c r="FR77" s="172" t="str">
        <x:f>IF(FG77="","",IF(FQ77="","",FQ77-FP77*365/FS77))</x:f>
      </x:c>
      <x:c r="FS77" s="164"/>
      <x:c r="FT77" s="172" t="str">
        <x:f>IF(FG77="","",IFERROR(FL77*(FK77/FJ77-1),0))</x:f>
      </x:c>
    </x:row>
    <x:row r="78" ht="18" customHeight="1">
      <x:c r="A78" s="163" t="n">
        <x:v>25318</x:v>
      </x:c>
      <x:c r="B78" s="163" t="n">
        <x:v>25321</x:v>
      </x:c>
      <x:c r="C78" s="170" t="n">
        <x:f>B78-A78</x:f>
        <x:v>3</x:v>
      </x:c>
      <x:c r="D78" s="163" t="n">
        <x:v>25318</x:v>
      </x:c>
      <x:c r="E78" s="147" t="str">
        <x:v>positive</x:v>
      </x:c>
      <x:c r="F78" s="165" t="n">
        <x:v>1.2465045799780872</x:v>
      </x:c>
      <x:c r="G78" s="168" t="n">
        <x:v>0.00790713343480479</x:v>
      </x:c>
      <x:c r="H78" s="172" t="n">
        <x:f>SUM(AX78,BL78,BZ78,CN78,DB78,DP78,ED78,ER78,FF78,FT78)</x:f>
        <x:v>0.00790713343480487</x:v>
      </x:c>
      <x:c r="I78" s="174" t="n">
        <x:f>G78-H78</x:f>
        <x:v>-7.979727989493313e-17</x:v>
      </x:c>
      <x:c r="J78" s="171" t="n">
        <x:f>F78*(1+H78)</x:f>
        <x:v>1.2563608580190693</x:v>
      </x:c>
      <x:c r="K78" s="169" t="n">
        <x:v>1.2563608580190693</x:v>
      </x:c>
      <x:c r="L78" s="175" t="n">
        <x:f>K78-J78</x:f>
        <x:v>0</x:v>
      </x:c>
      <x:c r="M78" s="167" t="n">
        <x:v>1.782</x:v>
      </x:c>
      <x:c r="N78" s="167" t="n">
        <x:v>1.81</x:v>
      </x:c>
      <x:c r="O78" s="172" t="n">
        <x:f>IFERROR(N78/M78-1,0)</x:f>
        <x:v>0.015712682379348974</x:v>
      </x:c>
      <x:c r="P78" s="171" t="n">
        <x:f>IFERROR(AD78/AH78,0)</x:f>
        <x:v>1.3696161434327137</x:v>
      </x:c>
      <x:c r="Q78" s="171" t="n">
        <x:f>IFERROR(AE78/AI78,0)</x:f>
        <x:v>1.3590909171278114</x:v>
      </x:c>
      <x:c r="R78" s="172" t="n">
        <x:f>IFERROR((Q78-P78)/(P78+S78),0)</x:f>
        <x:v>-0.007684800121092725</x:v>
      </x:c>
      <x:c r="S78" s="172" t="n">
        <x:f>IFERROR(AF78/AH78,0)</x:f>
        <x:v>0</x:v>
      </x:c>
      <x:c r="T78" s="172" t="n">
        <x:f>IFERROR(AG78/AI78,0)</x:f>
        <x:v>0</x:v>
      </x:c>
      <x:c r="U78" s="172" t="n">
        <x:f>IFERROR((T78-S78)/(P78+S78),0)</x:f>
        <x:v>0</x:v>
      </x:c>
      <x:c r="V78" s="172" t="n">
        <x:f>R78+U78</x:f>
        <x:v>-0.007684800121092725</x:v>
      </x:c>
      <x:c r="W78" s="172" t="n">
        <x:f>(1+O78)*(1+V78)-1</x:f>
        <x:v>0.007907133434804647</x:v>
      </x:c>
      <x:c r="X78" s="174" t="n">
        <x:f>G78-W78</x:f>
        <x:v>1.4224732503009818e-16</x:v>
      </x:c>
      <x:c r="Y78" s="172" t="str">
        <x:f>AX78</x:f>
      </x:c>
      <x:c r="Z78" s="172" t="n">
        <x:f>BL78</x:f>
        <x:v>0.0004997260273973403</x:v>
      </x:c>
      <x:c r="AA78" s="172" t="n">
        <x:f>SUM(BZ78,CN78,DB78,DP78,ED78,ER78,FF78,FT78)</x:f>
        <x:v>0.007407407407407529</x:v>
      </x:c>
      <x:c r="AB78" s="172" t="n">
        <x:f>SUM(Y78:AA78)</x:f>
        <x:v>0.00790713343480487</x:v>
      </x:c>
      <x:c r="AC78" s="174" t="n">
        <x:f>G78-AB78</x:f>
        <x:v>-7.979727989493313e-17</x:v>
      </x:c>
      <x:c r="AD78" s="169" t="n">
        <x:v>1.2465045799780876</x:v>
      </x:c>
      <x:c r="AE78" s="169" t="n">
        <x:v>1.2563608580190697</x:v>
      </x:c>
      <x:c r="AF78" s="169" t="n">
        <x:v>0</x:v>
      </x:c>
      <x:c r="AG78" s="169" t="n">
        <x:v>0</x:v>
      </x:c>
      <x:c r="AH78" s="171" t="n">
        <x:f>M78/$M$3</x:f>
        <x:v>0.9101123595505618</x:v>
      </x:c>
      <x:c r="AI78" s="171" t="n">
        <x:f>N78/$M$3</x:f>
        <x:v>0.9244126659856997</x:v>
      </x:c>
      <x:c r="AJ78" s="170" t="n">
        <x:f>IF(AK78&lt;&gt;"",1,0)+IF(AY78&lt;&gt;"",1,0)+IF(BM78&lt;&gt;"",1,0)+IF(CA78&lt;&gt;"",1,0)+IF(CO78&lt;&gt;"",1,0)+IF(DC78&lt;&gt;"",1,0)+IF(DQ78&lt;&gt;"",1,0)+IF(EE78&lt;&gt;"",1,0)+IF(ES78&lt;&gt;"",1,0)+IF(FG78&lt;&gt;"",1,0)</x:f>
        <x:v>2</x:v>
      </x:c>
      <x:c r="AK78" s="147"/>
      <x:c r="AL78" s="147"/>
      <x:c r="AM78" s="147"/>
      <x:c r="AN78" s="167"/>
      <x:c r="AO78" s="167"/>
      <x:c r="AP78" s="166"/>
      <x:c r="AQ78" s="171" t="str">
        <x:f>IF(AK78="","",IFERROR(F78*AP78/AN78,0))</x:f>
      </x:c>
      <x:c r="AR78" s="171" t="str">
        <x:f>IF(AK78="","",F78*ABS(AP78))</x:f>
      </x:c>
      <x:c r="AS78" s="165"/>
      <x:c r="AT78" s="172" t="str">
        <x:f>IF(AK78="","",IF(AS78="","",IFERROR(AN78/AS78-1,0)))</x:f>
      </x:c>
      <x:c r="AU78" s="166"/>
      <x:c r="AV78" s="172" t="str">
        <x:f>IF(AK78="","",IF(AU78="","",AU78-AT78*365/AW78))</x:f>
      </x:c>
      <x:c r="AW78" s="164"/>
      <x:c r="AX78" s="173" t="str">
        <x:f>IF(AK78="","",IFERROR(AP78*(AO78/AN78-1),0))</x:f>
      </x:c>
      <x:c r="AY78" s="147" t="str">
        <x:v>Matched-maturity Treasury collateral</x:v>
      </x:c>
      <x:c r="AZ78" s="147" t="str">
        <x:v>Treasury</x:v>
      </x:c>
      <x:c r="BA78" s="147" t="str">
        <x:v>Long</x:v>
      </x:c>
      <x:c r="BB78" s="167" t="n">
        <x:v>101.90695788026952</x:v>
      </x:c>
      <x:c r="BC78" s="167" t="n">
        <x:v>101.95788343949516</x:v>
      </x:c>
      <x:c r="BD78" s="166" t="n">
        <x:v>1</x:v>
      </x:c>
      <x:c r="BE78" s="171" t="n">
        <x:f>IF(AY78="","",IFERROR(F78*BD78/BB78,0))</x:f>
        <x:v>0.012231790703070592</x:v>
      </x:c>
      <x:c r="BF78" s="171" t="n">
        <x:f>IF(AY78="","",F78*ABS(BD78))</x:f>
        <x:v>1.2465045799780872</x:v>
      </x:c>
      <x:c r="BG78" s="165"/>
      <x:c r="BH78" s="172" t="str">
        <x:f>IF(AY78="","",IF(BG78="","",IFERROR(BB78/BG78-1,0)))</x:f>
      </x:c>
      <x:c r="BI78" s="166"/>
      <x:c r="BJ78" s="172" t="str">
        <x:f>IF(AY78="","",IF(BI78="","",BI78-BH78*365/BK78))</x:f>
      </x:c>
      <x:c r="BK78" s="164" t="n">
        <x:v>33</x:v>
      </x:c>
      <x:c r="BL78" s="172" t="n">
        <x:f>IF(AY78="","",IFERROR(BD78*(BC78/BB78-1),0))</x:f>
        <x:v>0.0004997260273973403</x:v>
      </x:c>
      <x:c r="BM78" s="147" t="str">
        <x:v>SI69K</x:v>
      </x:c>
      <x:c r="BN78" s="147" t="str">
        <x:v>Silver future (regular)</x:v>
      </x:c>
      <x:c r="BO78" s="147" t="str">
        <x:v>Long</x:v>
      </x:c>
      <x:c r="BP78" s="167" t="n">
        <x:v>1.755</x:v>
      </x:c>
      <x:c r="BQ78" s="167" t="n">
        <x:v>1.768</x:v>
      </x:c>
      <x:c r="BR78" s="166" t="n">
        <x:v>1</x:v>
      </x:c>
      <x:c r="BS78" s="171" t="n">
        <x:f>IF(BM78="","",IFERROR(F78*BR78/BP78,0))</x:f>
        <x:v>0.7102590199305341</x:v>
      </x:c>
      <x:c r="BT78" s="171" t="n">
        <x:f>IF(BM78="","",F78*ABS(BR78))</x:f>
        <x:v>1.2465045799780872</x:v>
      </x:c>
      <x:c r="BU78" s="165" t="n">
        <x:v>1.782</x:v>
      </x:c>
      <x:c r="BV78" s="172" t="n">
        <x:f>IF(BM78="","",IF(BU78="","",IFERROR(BP78/BU78-1,0)))</x:f>
        <x:v>-0.015151515151515249</x:v>
      </x:c>
      <x:c r="BW78" s="166" t="n">
        <x:v>0.0608</x:v>
      </x:c>
      <x:c r="BX78" s="172" t="n">
        <x:f>IF(BM78="","",IF(BW78="","",BW78-BV78*365/BY78))</x:f>
        <x:v>0.2283849403122141</x:v>
      </x:c>
      <x:c r="BY78" s="164" t="n">
        <x:v>33</x:v>
      </x:c>
      <x:c r="BZ78" s="172" t="n">
        <x:f>IF(BM78="","",IFERROR(BR78*(BQ78/BP78-1),0))</x:f>
        <x:v>0.007407407407407529</x:v>
      </x:c>
      <x:c r="CA78" s="147"/>
      <x:c r="CB78" s="147"/>
      <x:c r="CC78" s="147"/>
      <x:c r="CD78" s="167"/>
      <x:c r="CE78" s="167"/>
      <x:c r="CF78" s="166"/>
      <x:c r="CG78" s="171" t="str">
        <x:f>IF(CA78="","",IFERROR(F78*CF78/CD78,0))</x:f>
      </x:c>
      <x:c r="CH78" s="171" t="str">
        <x:f>IF(CA78="","",F78*ABS(CF78))</x:f>
      </x:c>
      <x:c r="CI78" s="165"/>
      <x:c r="CJ78" s="172" t="str">
        <x:f>IF(CA78="","",IF(CI78="","",IFERROR(CD78/CI78-1,0)))</x:f>
      </x:c>
      <x:c r="CK78" s="166"/>
      <x:c r="CL78" s="172" t="str">
        <x:f>IF(CA78="","",IF(CK78="","",CK78-CJ78*365/CM78))</x:f>
      </x:c>
      <x:c r="CM78" s="164"/>
      <x:c r="CN78" s="172" t="str">
        <x:f>IF(CA78="","",IFERROR(CF78*(CE78/CD78-1),0))</x:f>
      </x:c>
      <x:c r="CO78" s="147"/>
      <x:c r="CP78" s="147"/>
      <x:c r="CQ78" s="147"/>
      <x:c r="CR78" s="167"/>
      <x:c r="CS78" s="167"/>
      <x:c r="CT78" s="166"/>
      <x:c r="CU78" s="171" t="str">
        <x:f>IF(CO78="","",IFERROR(F78*CT78/CR78,0))</x:f>
      </x:c>
      <x:c r="CV78" s="171" t="str">
        <x:f>IF(CO78="","",F78*ABS(CT78))</x:f>
      </x:c>
      <x:c r="CW78" s="165"/>
      <x:c r="CX78" s="172" t="str">
        <x:f>IF(CO78="","",IF(CW78="","",IFERROR(CR78/CW78-1,0)))</x:f>
      </x:c>
      <x:c r="CY78" s="166"/>
      <x:c r="CZ78" s="172" t="str">
        <x:f>IF(CO78="","",IF(CY78="","",CY78-CX78*365/DA78))</x:f>
      </x:c>
      <x:c r="DA78" s="164"/>
      <x:c r="DB78" s="172" t="str">
        <x:f>IF(CO78="","",IFERROR(CT78*(CS78/CR78-1),0))</x:f>
      </x:c>
      <x:c r="DC78" s="147"/>
      <x:c r="DD78" s="147"/>
      <x:c r="DE78" s="147"/>
      <x:c r="DF78" s="167"/>
      <x:c r="DG78" s="167"/>
      <x:c r="DH78" s="166"/>
      <x:c r="DI78" s="171" t="str">
        <x:f>IF(DC78="","",IFERROR(F78*DH78/DF78,0))</x:f>
      </x:c>
      <x:c r="DJ78" s="171" t="str">
        <x:f>IF(DC78="","",F78*ABS(DH78))</x:f>
      </x:c>
      <x:c r="DK78" s="165"/>
      <x:c r="DL78" s="172" t="str">
        <x:f>IF(DC78="","",IF(DK78="","",IFERROR(DF78/DK78-1,0)))</x:f>
      </x:c>
      <x:c r="DM78" s="166"/>
      <x:c r="DN78" s="172" t="str">
        <x:f>IF(DC78="","",IF(DM78="","",DM78-DL78*365/DO78))</x:f>
      </x:c>
      <x:c r="DO78" s="164"/>
      <x:c r="DP78" s="172" t="str">
        <x:f>IF(DC78="","",IFERROR(DH78*(DG78/DF78-1),0))</x:f>
      </x:c>
      <x:c r="DQ78" s="147"/>
      <x:c r="DR78" s="147"/>
      <x:c r="DS78" s="147"/>
      <x:c r="DT78" s="167"/>
      <x:c r="DU78" s="167"/>
      <x:c r="DV78" s="166"/>
      <x:c r="DW78" s="171" t="str">
        <x:f>IF(DQ78="","",IFERROR(F78*DV78/DT78,0))</x:f>
      </x:c>
      <x:c r="DX78" s="171" t="str">
        <x:f>IF(DQ78="","",F78*ABS(DV78))</x:f>
      </x:c>
      <x:c r="DY78" s="165"/>
      <x:c r="DZ78" s="172" t="str">
        <x:f>IF(DQ78="","",IF(DY78="","",IFERROR(DT78/DY78-1,0)))</x:f>
      </x:c>
      <x:c r="EA78" s="166"/>
      <x:c r="EB78" s="172" t="str">
        <x:f>IF(DQ78="","",IF(EA78="","",EA78-DZ78*365/EC78))</x:f>
      </x:c>
      <x:c r="EC78" s="164"/>
      <x:c r="ED78" s="172" t="str">
        <x:f>IF(DQ78="","",IFERROR(DV78*(DU78/DT78-1),0))</x:f>
      </x:c>
      <x:c r="EE78" s="147"/>
      <x:c r="EF78" s="147"/>
      <x:c r="EG78" s="147"/>
      <x:c r="EH78" s="167"/>
      <x:c r="EI78" s="167"/>
      <x:c r="EJ78" s="166"/>
      <x:c r="EK78" s="171" t="str">
        <x:f>IF(EE78="","",IFERROR(F78*EJ78/EH78,0))</x:f>
      </x:c>
      <x:c r="EL78" s="171" t="str">
        <x:f>IF(EE78="","",F78*ABS(EJ78))</x:f>
      </x:c>
      <x:c r="EM78" s="165"/>
      <x:c r="EN78" s="172" t="str">
        <x:f>IF(EE78="","",IF(EM78="","",IFERROR(EH78/EM78-1,0)))</x:f>
      </x:c>
      <x:c r="EO78" s="166"/>
      <x:c r="EP78" s="172" t="str">
        <x:f>IF(EE78="","",IF(EO78="","",EO78-EN78*365/EQ78))</x:f>
      </x:c>
      <x:c r="EQ78" s="164"/>
      <x:c r="ER78" s="172" t="str">
        <x:f>IF(EE78="","",IFERROR(EJ78*(EI78/EH78-1),0))</x:f>
      </x:c>
      <x:c r="ES78" s="147"/>
      <x:c r="ET78" s="147"/>
      <x:c r="EU78" s="147"/>
      <x:c r="EV78" s="167"/>
      <x:c r="EW78" s="167"/>
      <x:c r="EX78" s="166"/>
      <x:c r="EY78" s="171" t="str">
        <x:f>IF(ES78="","",IFERROR(F78*EX78/EV78,0))</x:f>
      </x:c>
      <x:c r="EZ78" s="171" t="str">
        <x:f>IF(ES78="","",F78*ABS(EX78))</x:f>
      </x:c>
      <x:c r="FA78" s="165"/>
      <x:c r="FB78" s="172" t="str">
        <x:f>IF(ES78="","",IF(FA78="","",IFERROR(EV78/FA78-1,0)))</x:f>
      </x:c>
      <x:c r="FC78" s="166"/>
      <x:c r="FD78" s="172" t="str">
        <x:f>IF(ES78="","",IF(FC78="","",FC78-FB78*365/FE78))</x:f>
      </x:c>
      <x:c r="FE78" s="164"/>
      <x:c r="FF78" s="172" t="str">
        <x:f>IF(ES78="","",IFERROR(EX78*(EW78/EV78-1),0))</x:f>
      </x:c>
      <x:c r="FG78" s="147"/>
      <x:c r="FH78" s="147"/>
      <x:c r="FI78" s="147"/>
      <x:c r="FJ78" s="167"/>
      <x:c r="FK78" s="167"/>
      <x:c r="FL78" s="166"/>
      <x:c r="FM78" s="171" t="str">
        <x:f>IF(FG78="","",IFERROR(F78*FL78/FJ78,0))</x:f>
      </x:c>
      <x:c r="FN78" s="171" t="str">
        <x:f>IF(FG78="","",F78*ABS(FL78))</x:f>
      </x:c>
      <x:c r="FO78" s="165"/>
      <x:c r="FP78" s="172" t="str">
        <x:f>IF(FG78="","",IF(FO78="","",IFERROR(FJ78/FO78-1,0)))</x:f>
      </x:c>
      <x:c r="FQ78" s="166"/>
      <x:c r="FR78" s="172" t="str">
        <x:f>IF(FG78="","",IF(FQ78="","",FQ78-FP78*365/FS78))</x:f>
      </x:c>
      <x:c r="FS78" s="164"/>
      <x:c r="FT78" s="172" t="str">
        <x:f>IF(FG78="","",IFERROR(FL78*(FK78/FJ78-1),0))</x:f>
      </x:c>
    </x:row>
    <x:row r="79" ht="18" customHeight="1">
      <x:c r="A79" s="163" t="n">
        <x:v>25321</x:v>
      </x:c>
      <x:c r="B79" s="163" t="n">
        <x:v>25322</x:v>
      </x:c>
      <x:c r="C79" s="170" t="n">
        <x:f>B79-A79</x:f>
        <x:v>1</x:v>
      </x:c>
      <x:c r="D79" s="163" t="n">
        <x:v>25321</x:v>
      </x:c>
      <x:c r="E79" s="147" t="str">
        <x:v>positive</x:v>
      </x:c>
      <x:c r="F79" s="165" t="n">
        <x:v>1.2563608580190693</x:v>
      </x:c>
      <x:c r="G79" s="168" t="n">
        <x:v>-0.01567272051075441</x:v>
      </x:c>
      <x:c r="H79" s="172" t="n">
        <x:f>SUM(AX79,BL79,BZ79,CN79,DB79,DP79,ED79,ER79,FF79,FT79)</x:f>
        <x:v>-0.015672720510754412</x:v>
      </x:c>
      <x:c r="I79" s="174" t="n">
        <x:f>G79-H79</x:f>
        <x:v>3.469446951953614e-18</x:v>
      </x:c>
      <x:c r="J79" s="171" t="n">
        <x:f>F79*(1+H79)</x:f>
        <x:v>1.2366702654306847</x:v>
      </x:c>
      <x:c r="K79" s="169" t="n">
        <x:v>1.2366702654306847</x:v>
      </x:c>
      <x:c r="L79" s="175" t="n">
        <x:f>K79-J79</x:f>
        <x:v>0</x:v>
      </x:c>
      <x:c r="M79" s="167" t="n">
        <x:v>1.81</x:v>
      </x:c>
      <x:c r="N79" s="167" t="n">
        <x:v>1.794</x:v>
      </x:c>
      <x:c r="O79" s="172" t="n">
        <x:f>IFERROR(N79/M79-1,0)</x:f>
        <x:v>-0.008839779005524906</x:v>
      </x:c>
      <x:c r="P79" s="171" t="n">
        <x:f>IFERROR(AD79/AH79,0)</x:f>
        <x:v>1.3590909171278114</x:v>
      </x:c>
      <x:c r="Q79" s="171" t="n">
        <x:f>IFERROR(AE79/AI79,0)</x:f>
        <x:v>1.3497215048569016</x:v>
      </x:c>
      <x:c r="R79" s="172" t="n">
        <x:f>IFERROR((Q79-P79)/(P79+S79),0)</x:f>
        <x:v>-0.006893881897695516</x:v>
      </x:c>
      <x:c r="S79" s="172" t="n">
        <x:f>IFERROR(AF79/AH79,0)</x:f>
        <x:v>0</x:v>
      </x:c>
      <x:c r="T79" s="172" t="n">
        <x:f>IFERROR(AG79/AI79,0)</x:f>
        <x:v>0</x:v>
      </x:c>
      <x:c r="U79" s="172" t="n">
        <x:f>IFERROR((T79-S79)/(P79+S79),0)</x:f>
        <x:v>0</x:v>
      </x:c>
      <x:c r="V79" s="172" t="n">
        <x:f>R79+U79</x:f>
        <x:v>-0.006893881897695516</x:v>
      </x:c>
      <x:c r="W79" s="172" t="n">
        <x:f>(1+O79)*(1+V79)-1</x:f>
        <x:v>-0.015672720510754523</x:v>
      </x:c>
      <x:c r="X79" s="174" t="n">
        <x:f>G79-W79</x:f>
        <x:v>1.1449174941446927e-16</x:v>
      </x:c>
      <x:c r="Y79" s="172" t="str">
        <x:f>AX79</x:f>
      </x:c>
      <x:c r="Z79" s="172" t="n">
        <x:f>BL79</x:f>
        <x:v>0.00016438356164383272</x:v>
      </x:c>
      <x:c r="AA79" s="172" t="n">
        <x:f>SUM(BZ79,CN79,DB79,DP79,ED79,ER79,FF79,FT79)</x:f>
        <x:v>-0.015837104072398245</x:v>
      </x:c>
      <x:c r="AB79" s="172" t="n">
        <x:f>SUM(Y79:AA79)</x:f>
        <x:v>-0.015672720510754412</x:v>
      </x:c>
      <x:c r="AC79" s="174" t="n">
        <x:f>G79-AB79</x:f>
        <x:v>3.469446951953614e-18</x:v>
      </x:c>
      <x:c r="AD79" s="169" t="n">
        <x:v>1.2563608580190697</x:v>
      </x:c>
      <x:c r="AE79" s="169" t="n">
        <x:v>1.2366702654306851</x:v>
      </x:c>
      <x:c r="AF79" s="169" t="n">
        <x:v>0</x:v>
      </x:c>
      <x:c r="AG79" s="169" t="n">
        <x:v>0</x:v>
      </x:c>
      <x:c r="AH79" s="171" t="n">
        <x:f>M79/$M$3</x:f>
        <x:v>0.9244126659856997</x:v>
      </x:c>
      <x:c r="AI79" s="171" t="n">
        <x:f>N79/$M$3</x:f>
        <x:v>0.9162410623084781</x:v>
      </x:c>
      <x:c r="AJ79" s="170" t="n">
        <x:f>IF(AK79&lt;&gt;"",1,0)+IF(AY79&lt;&gt;"",1,0)+IF(BM79&lt;&gt;"",1,0)+IF(CA79&lt;&gt;"",1,0)+IF(CO79&lt;&gt;"",1,0)+IF(DC79&lt;&gt;"",1,0)+IF(DQ79&lt;&gt;"",1,0)+IF(EE79&lt;&gt;"",1,0)+IF(ES79&lt;&gt;"",1,0)+IF(FG79&lt;&gt;"",1,0)</x:f>
        <x:v>2</x:v>
      </x:c>
      <x:c r="AK79" s="147"/>
      <x:c r="AL79" s="147"/>
      <x:c r="AM79" s="147"/>
      <x:c r="AN79" s="167"/>
      <x:c r="AO79" s="167"/>
      <x:c r="AP79" s="166"/>
      <x:c r="AQ79" s="171" t="str">
        <x:f>IF(AK79="","",IFERROR(F79*AP79/AN79,0))</x:f>
      </x:c>
      <x:c r="AR79" s="171" t="str">
        <x:f>IF(AK79="","",F79*ABS(AP79))</x:f>
      </x:c>
      <x:c r="AS79" s="165"/>
      <x:c r="AT79" s="172" t="str">
        <x:f>IF(AK79="","",IF(AS79="","",IFERROR(AN79/AS79-1,0)))</x:f>
      </x:c>
      <x:c r="AU79" s="166"/>
      <x:c r="AV79" s="172" t="str">
        <x:f>IF(AK79="","",IF(AU79="","",AU79-AT79*365/AW79))</x:f>
      </x:c>
      <x:c r="AW79" s="164"/>
      <x:c r="AX79" s="173" t="str">
        <x:f>IF(AK79="","",IFERROR(AP79*(AO79/AN79-1),0))</x:f>
      </x:c>
      <x:c r="AY79" s="147" t="str">
        <x:v>Matched-maturity Treasury collateral</x:v>
      </x:c>
      <x:c r="AZ79" s="147" t="str">
        <x:v>Treasury</x:v>
      </x:c>
      <x:c r="BA79" s="147" t="str">
        <x:v>Long</x:v>
      </x:c>
      <x:c r="BB79" s="167" t="n">
        <x:v>101.95788343949516</x:v>
      </x:c>
      <x:c r="BC79" s="167" t="n">
        <x:v>101.9746436395126</x:v>
      </x:c>
      <x:c r="BD79" s="166" t="n">
        <x:v>1</x:v>
      </x:c>
      <x:c r="BE79" s="171" t="n">
        <x:f>IF(AY79="","",IFERROR(F79*BD79/BB79,0))</x:f>
        <x:v>0.012322351304640716</x:v>
      </x:c>
      <x:c r="BF79" s="171" t="n">
        <x:f>IF(AY79="","",F79*ABS(BD79))</x:f>
        <x:v>1.2563608580190693</x:v>
      </x:c>
      <x:c r="BG79" s="165"/>
      <x:c r="BH79" s="172" t="str">
        <x:f>IF(AY79="","",IF(BG79="","",IFERROR(BB79/BG79-1,0)))</x:f>
      </x:c>
      <x:c r="BI79" s="166"/>
      <x:c r="BJ79" s="172" t="str">
        <x:f>IF(AY79="","",IF(BI79="","",BI79-BH79*365/BK79))</x:f>
      </x:c>
      <x:c r="BK79" s="164" t="n">
        <x:v>30</x:v>
      </x:c>
      <x:c r="BL79" s="172" t="n">
        <x:f>IF(AY79="","",IFERROR(BD79*(BC79/BB79-1),0))</x:f>
        <x:v>0.00016438356164383272</x:v>
      </x:c>
      <x:c r="BM79" s="147" t="str">
        <x:v>SI69K</x:v>
      </x:c>
      <x:c r="BN79" s="147" t="str">
        <x:v>Silver future (regular)</x:v>
      </x:c>
      <x:c r="BO79" s="147" t="str">
        <x:v>Long</x:v>
      </x:c>
      <x:c r="BP79" s="167" t="n">
        <x:v>1.768</x:v>
      </x:c>
      <x:c r="BQ79" s="167" t="n">
        <x:v>1.74</x:v>
      </x:c>
      <x:c r="BR79" s="166" t="n">
        <x:v>1</x:v>
      </x:c>
      <x:c r="BS79" s="171" t="n">
        <x:f>IF(BM79="","",IFERROR(F79*BR79/BP79,0))</x:f>
        <x:v>0.7106113450334102</x:v>
      </x:c>
      <x:c r="BT79" s="171" t="n">
        <x:f>IF(BM79="","",F79*ABS(BR79))</x:f>
        <x:v>1.2563608580190693</x:v>
      </x:c>
      <x:c r="BU79" s="165" t="n">
        <x:v>1.81</x:v>
      </x:c>
      <x:c r="BV79" s="172" t="n">
        <x:f>IF(BM79="","",IF(BU79="","",IFERROR(BP79/BU79-1,0)))</x:f>
        <x:v>-0.023204419889502836</x:v>
      </x:c>
      <x:c r="BW79" s="166" t="n">
        <x:v>0.06</x:v>
      </x:c>
      <x:c r="BX79" s="172" t="n">
        <x:f>IF(BM79="","",IF(BW79="","",BW79-BV79*365/BY79))</x:f>
        <x:v>0.3423204419889512</x:v>
      </x:c>
      <x:c r="BY79" s="164" t="n">
        <x:v>30</x:v>
      </x:c>
      <x:c r="BZ79" s="172" t="n">
        <x:f>IF(BM79="","",IFERROR(BR79*(BQ79/BP79-1),0))</x:f>
        <x:v>-0.015837104072398245</x:v>
      </x:c>
      <x:c r="CA79" s="147"/>
      <x:c r="CB79" s="147"/>
      <x:c r="CC79" s="147"/>
      <x:c r="CD79" s="167"/>
      <x:c r="CE79" s="167"/>
      <x:c r="CF79" s="166"/>
      <x:c r="CG79" s="171" t="str">
        <x:f>IF(CA79="","",IFERROR(F79*CF79/CD79,0))</x:f>
      </x:c>
      <x:c r="CH79" s="171" t="str">
        <x:f>IF(CA79="","",F79*ABS(CF79))</x:f>
      </x:c>
      <x:c r="CI79" s="165"/>
      <x:c r="CJ79" s="172" t="str">
        <x:f>IF(CA79="","",IF(CI79="","",IFERROR(CD79/CI79-1,0)))</x:f>
      </x:c>
      <x:c r="CK79" s="166"/>
      <x:c r="CL79" s="172" t="str">
        <x:f>IF(CA79="","",IF(CK79="","",CK79-CJ79*365/CM79))</x:f>
      </x:c>
      <x:c r="CM79" s="164"/>
      <x:c r="CN79" s="172" t="str">
        <x:f>IF(CA79="","",IFERROR(CF79*(CE79/CD79-1),0))</x:f>
      </x:c>
      <x:c r="CO79" s="147"/>
      <x:c r="CP79" s="147"/>
      <x:c r="CQ79" s="147"/>
      <x:c r="CR79" s="167"/>
      <x:c r="CS79" s="167"/>
      <x:c r="CT79" s="166"/>
      <x:c r="CU79" s="171" t="str">
        <x:f>IF(CO79="","",IFERROR(F79*CT79/CR79,0))</x:f>
      </x:c>
      <x:c r="CV79" s="171" t="str">
        <x:f>IF(CO79="","",F79*ABS(CT79))</x:f>
      </x:c>
      <x:c r="CW79" s="165"/>
      <x:c r="CX79" s="172" t="str">
        <x:f>IF(CO79="","",IF(CW79="","",IFERROR(CR79/CW79-1,0)))</x:f>
      </x:c>
      <x:c r="CY79" s="166"/>
      <x:c r="CZ79" s="172" t="str">
        <x:f>IF(CO79="","",IF(CY79="","",CY79-CX79*365/DA79))</x:f>
      </x:c>
      <x:c r="DA79" s="164"/>
      <x:c r="DB79" s="172" t="str">
        <x:f>IF(CO79="","",IFERROR(CT79*(CS79/CR79-1),0))</x:f>
      </x:c>
      <x:c r="DC79" s="147"/>
      <x:c r="DD79" s="147"/>
      <x:c r="DE79" s="147"/>
      <x:c r="DF79" s="167"/>
      <x:c r="DG79" s="167"/>
      <x:c r="DH79" s="166"/>
      <x:c r="DI79" s="171" t="str">
        <x:f>IF(DC79="","",IFERROR(F79*DH79/DF79,0))</x:f>
      </x:c>
      <x:c r="DJ79" s="171" t="str">
        <x:f>IF(DC79="","",F79*ABS(DH79))</x:f>
      </x:c>
      <x:c r="DK79" s="165"/>
      <x:c r="DL79" s="172" t="str">
        <x:f>IF(DC79="","",IF(DK79="","",IFERROR(DF79/DK79-1,0)))</x:f>
      </x:c>
      <x:c r="DM79" s="166"/>
      <x:c r="DN79" s="172" t="str">
        <x:f>IF(DC79="","",IF(DM79="","",DM79-DL79*365/DO79))</x:f>
      </x:c>
      <x:c r="DO79" s="164"/>
      <x:c r="DP79" s="172" t="str">
        <x:f>IF(DC79="","",IFERROR(DH79*(DG79/DF79-1),0))</x:f>
      </x:c>
      <x:c r="DQ79" s="147"/>
      <x:c r="DR79" s="147"/>
      <x:c r="DS79" s="147"/>
      <x:c r="DT79" s="167"/>
      <x:c r="DU79" s="167"/>
      <x:c r="DV79" s="166"/>
      <x:c r="DW79" s="171" t="str">
        <x:f>IF(DQ79="","",IFERROR(F79*DV79/DT79,0))</x:f>
      </x:c>
      <x:c r="DX79" s="171" t="str">
        <x:f>IF(DQ79="","",F79*ABS(DV79))</x:f>
      </x:c>
      <x:c r="DY79" s="165"/>
      <x:c r="DZ79" s="172" t="str">
        <x:f>IF(DQ79="","",IF(DY79="","",IFERROR(DT79/DY79-1,0)))</x:f>
      </x:c>
      <x:c r="EA79" s="166"/>
      <x:c r="EB79" s="172" t="str">
        <x:f>IF(DQ79="","",IF(EA79="","",EA79-DZ79*365/EC79))</x:f>
      </x:c>
      <x:c r="EC79" s="164"/>
      <x:c r="ED79" s="172" t="str">
        <x:f>IF(DQ79="","",IFERROR(DV79*(DU79/DT79-1),0))</x:f>
      </x:c>
      <x:c r="EE79" s="147"/>
      <x:c r="EF79" s="147"/>
      <x:c r="EG79" s="147"/>
      <x:c r="EH79" s="167"/>
      <x:c r="EI79" s="167"/>
      <x:c r="EJ79" s="166"/>
      <x:c r="EK79" s="171" t="str">
        <x:f>IF(EE79="","",IFERROR(F79*EJ79/EH79,0))</x:f>
      </x:c>
      <x:c r="EL79" s="171" t="str">
        <x:f>IF(EE79="","",F79*ABS(EJ79))</x:f>
      </x:c>
      <x:c r="EM79" s="165"/>
      <x:c r="EN79" s="172" t="str">
        <x:f>IF(EE79="","",IF(EM79="","",IFERROR(EH79/EM79-1,0)))</x:f>
      </x:c>
      <x:c r="EO79" s="166"/>
      <x:c r="EP79" s="172" t="str">
        <x:f>IF(EE79="","",IF(EO79="","",EO79-EN79*365/EQ79))</x:f>
      </x:c>
      <x:c r="EQ79" s="164"/>
      <x:c r="ER79" s="172" t="str">
        <x:f>IF(EE79="","",IFERROR(EJ79*(EI79/EH79-1),0))</x:f>
      </x:c>
      <x:c r="ES79" s="147"/>
      <x:c r="ET79" s="147"/>
      <x:c r="EU79" s="147"/>
      <x:c r="EV79" s="167"/>
      <x:c r="EW79" s="167"/>
      <x:c r="EX79" s="166"/>
      <x:c r="EY79" s="171" t="str">
        <x:f>IF(ES79="","",IFERROR(F79*EX79/EV79,0))</x:f>
      </x:c>
      <x:c r="EZ79" s="171" t="str">
        <x:f>IF(ES79="","",F79*ABS(EX79))</x:f>
      </x:c>
      <x:c r="FA79" s="165"/>
      <x:c r="FB79" s="172" t="str">
        <x:f>IF(ES79="","",IF(FA79="","",IFERROR(EV79/FA79-1,0)))</x:f>
      </x:c>
      <x:c r="FC79" s="166"/>
      <x:c r="FD79" s="172" t="str">
        <x:f>IF(ES79="","",IF(FC79="","",FC79-FB79*365/FE79))</x:f>
      </x:c>
      <x:c r="FE79" s="164"/>
      <x:c r="FF79" s="172" t="str">
        <x:f>IF(ES79="","",IFERROR(EX79*(EW79/EV79-1),0))</x:f>
      </x:c>
      <x:c r="FG79" s="147"/>
      <x:c r="FH79" s="147"/>
      <x:c r="FI79" s="147"/>
      <x:c r="FJ79" s="167"/>
      <x:c r="FK79" s="167"/>
      <x:c r="FL79" s="166"/>
      <x:c r="FM79" s="171" t="str">
        <x:f>IF(FG79="","",IFERROR(F79*FL79/FJ79,0))</x:f>
      </x:c>
      <x:c r="FN79" s="171" t="str">
        <x:f>IF(FG79="","",F79*ABS(FL79))</x:f>
      </x:c>
      <x:c r="FO79" s="165"/>
      <x:c r="FP79" s="172" t="str">
        <x:f>IF(FG79="","",IF(FO79="","",IFERROR(FJ79/FO79-1,0)))</x:f>
      </x:c>
      <x:c r="FQ79" s="166"/>
      <x:c r="FR79" s="172" t="str">
        <x:f>IF(FG79="","",IF(FQ79="","",FQ79-FP79*365/FS79))</x:f>
      </x:c>
      <x:c r="FS79" s="164"/>
      <x:c r="FT79" s="172" t="str">
        <x:f>IF(FG79="","",IFERROR(FL79*(FK79/FJ79-1),0))</x:f>
      </x:c>
    </x:row>
    <x:row r="80" ht="18" customHeight="1">
      <x:c r="A80" s="163" t="n">
        <x:v>25322</x:v>
      </x:c>
      <x:c r="B80" s="163" t="n">
        <x:v>25323</x:v>
      </x:c>
      <x:c r="C80" s="170" t="n">
        <x:f>B80-A80</x:f>
        <x:v>1</x:v>
      </x:c>
      <x:c r="D80" s="163" t="n">
        <x:v>25322</x:v>
      </x:c>
      <x:c r="E80" s="147" t="str">
        <x:v>positive</x:v>
      </x:c>
      <x:c r="F80" s="165" t="n">
        <x:v>1.2366702654306847</x:v>
      </x:c>
      <x:c r="G80" s="168" t="n">
        <x:v>0.0007369044245000614</x:v>
      </x:c>
      <x:c r="H80" s="172" t="n">
        <x:f>SUM(AX80,BL80,BZ80,CN80,DB80,DP80,ED80,ER80,FF80,FT80)</x:f>
        <x:v>0.000736904424500251</x:v>
      </x:c>
      <x:c r="I80" s="174" t="n">
        <x:f>G80-H80</x:f>
        <x:v>-1.8951853975046618e-16</x:v>
      </x:c>
      <x:c r="J80" s="171" t="n">
        <x:f>F80*(1+H80)</x:f>
        <x:v>1.2375815732209285</x:v>
      </x:c>
      <x:c r="K80" s="169" t="n">
        <x:v>1.237581573220928</x:v>
      </x:c>
      <x:c r="L80" s="175" t="n">
        <x:f>K80-J80</x:f>
        <x:v>-4.440892098500626e-16</x:v>
      </x:c>
      <x:c r="M80" s="167" t="n">
        <x:v>1.794</x:v>
      </x:c>
      <x:c r="N80" s="167" t="n">
        <x:v>1.776</x:v>
      </x:c>
      <x:c r="O80" s="172" t="n">
        <x:f>IFERROR(N80/M80-1,0)</x:f>
        <x:v>-0.010033444816053505</x:v>
      </x:c>
      <x:c r="P80" s="171" t="n">
        <x:f>IFERROR(AD80/AH80,0)</x:f>
        <x:v>1.3497215048569016</x:v>
      </x:c>
      <x:c r="Q80" s="171" t="n">
        <x:f>IFERROR(AE80/AI80,0)</x:f>
        <x:v>1.3644058110172177</x:v>
      </x:c>
      <x:c r="R80" s="172" t="n">
        <x:f>IFERROR((Q80-P80)/(P80+S80),0)</x:f>
        <x:v>0.010879508185559338</x:v>
      </x:c>
      <x:c r="S80" s="172" t="n">
        <x:f>IFERROR(AF80/AH80,0)</x:f>
        <x:v>0</x:v>
      </x:c>
      <x:c r="T80" s="172" t="n">
        <x:f>IFERROR(AG80/AI80,0)</x:f>
        <x:v>0</x:v>
      </x:c>
      <x:c r="U80" s="172" t="n">
        <x:f>IFERROR((T80-S80)/(P80+S80),0)</x:f>
        <x:v>0</x:v>
      </x:c>
      <x:c r="V80" s="172" t="n">
        <x:f>R80+U80</x:f>
        <x:v>0.010879508185559338</x:v>
      </x:c>
      <x:c r="W80" s="172" t="n">
        <x:f>(1+O80)*(1+V80)-1</x:f>
        <x:v>0.000736904424500251</x:v>
      </x:c>
      <x:c r="X80" s="174" t="n">
        <x:f>G80-W80</x:f>
        <x:v>-1.8951853975046618e-16</x:v>
      </x:c>
      <x:c r="Y80" s="172" t="str">
        <x:f>AX80</x:f>
      </x:c>
      <x:c r="Z80" s="172" t="n">
        <x:f>BL80</x:f>
        <x:v>0.0001621917808221074</x:v>
      </x:c>
      <x:c r="AA80" s="172" t="n">
        <x:f>SUM(BZ80,CN80,DB80,DP80,ED80,ER80,FF80,FT80)</x:f>
        <x:v>0.0005747126436781436</x:v>
      </x:c>
      <x:c r="AB80" s="172" t="n">
        <x:f>SUM(Y80:AA80)</x:f>
        <x:v>0.000736904424500251</x:v>
      </x:c>
      <x:c r="AC80" s="174" t="n">
        <x:f>G80-AB80</x:f>
        <x:v>-1.8951853975046618e-16</x:v>
      </x:c>
      <x:c r="AD80" s="169" t="n">
        <x:v>1.2366702654306851</x:v>
      </x:c>
      <x:c r="AE80" s="169" t="n">
        <x:v>1.2375815732209288</x:v>
      </x:c>
      <x:c r="AF80" s="169" t="n">
        <x:v>0</x:v>
      </x:c>
      <x:c r="AG80" s="169" t="n">
        <x:v>0</x:v>
      </x:c>
      <x:c r="AH80" s="171" t="n">
        <x:f>M80/$M$3</x:f>
        <x:v>0.9162410623084781</x:v>
      </x:c>
      <x:c r="AI80" s="171" t="n">
        <x:f>N80/$M$3</x:f>
        <x:v>0.9070480081716037</x:v>
      </x:c>
      <x:c r="AJ80" s="170" t="n">
        <x:f>IF(AK80&lt;&gt;"",1,0)+IF(AY80&lt;&gt;"",1,0)+IF(BM80&lt;&gt;"",1,0)+IF(CA80&lt;&gt;"",1,0)+IF(CO80&lt;&gt;"",1,0)+IF(DC80&lt;&gt;"",1,0)+IF(DQ80&lt;&gt;"",1,0)+IF(EE80&lt;&gt;"",1,0)+IF(ES80&lt;&gt;"",1,0)+IF(FG80&lt;&gt;"",1,0)</x:f>
        <x:v>2</x:v>
      </x:c>
      <x:c r="AK80" s="147"/>
      <x:c r="AL80" s="147"/>
      <x:c r="AM80" s="147"/>
      <x:c r="AN80" s="167"/>
      <x:c r="AO80" s="167"/>
      <x:c r="AP80" s="166"/>
      <x:c r="AQ80" s="171" t="str">
        <x:f>IF(AK80="","",IFERROR(F80*AP80/AN80,0))</x:f>
      </x:c>
      <x:c r="AR80" s="171" t="str">
        <x:f>IF(AK80="","",F80*ABS(AP80))</x:f>
      </x:c>
      <x:c r="AS80" s="165"/>
      <x:c r="AT80" s="172" t="str">
        <x:f>IF(AK80="","",IF(AS80="","",IFERROR(AN80/AS80-1,0)))</x:f>
      </x:c>
      <x:c r="AU80" s="166"/>
      <x:c r="AV80" s="172" t="str">
        <x:f>IF(AK80="","",IF(AU80="","",AU80-AT80*365/AW80))</x:f>
      </x:c>
      <x:c r="AW80" s="164"/>
      <x:c r="AX80" s="173" t="str">
        <x:f>IF(AK80="","",IFERROR(AP80*(AO80/AN80-1),0))</x:f>
      </x:c>
      <x:c r="AY80" s="147" t="str">
        <x:v>Matched-maturity Treasury collateral</x:v>
      </x:c>
      <x:c r="AZ80" s="147" t="str">
        <x:v>Treasury</x:v>
      </x:c>
      <x:c r="BA80" s="147" t="str">
        <x:v>Long</x:v>
      </x:c>
      <x:c r="BB80" s="167" t="n">
        <x:v>101.9746436395126</x:v>
      </x:c>
      <x:c r="BC80" s="167" t="n">
        <x:v>101.99118308856319</x:v>
      </x:c>
      <x:c r="BD80" s="166" t="n">
        <x:v>1</x:v>
      </x:c>
      <x:c r="BE80" s="171" t="n">
        <x:f>IF(AY80="","",IFERROR(F80*BD80/BB80,0))</x:f>
        <x:v>0.012127233018851229</x:v>
      </x:c>
      <x:c r="BF80" s="171" t="n">
        <x:f>IF(AY80="","",F80*ABS(BD80))</x:f>
        <x:v>1.2366702654306847</x:v>
      </x:c>
      <x:c r="BG80" s="165"/>
      <x:c r="BH80" s="172" t="str">
        <x:f>IF(AY80="","",IF(BG80="","",IFERROR(BB80/BG80-1,0)))</x:f>
      </x:c>
      <x:c r="BI80" s="166"/>
      <x:c r="BJ80" s="172" t="str">
        <x:f>IF(AY80="","",IF(BI80="","",BI80-BH80*365/BK80))</x:f>
      </x:c>
      <x:c r="BK80" s="164" t="n">
        <x:v>29</x:v>
      </x:c>
      <x:c r="BL80" s="172" t="n">
        <x:f>IF(AY80="","",IFERROR(BD80*(BC80/BB80-1),0))</x:f>
        <x:v>0.0001621917808221074</x:v>
      </x:c>
      <x:c r="BM80" s="147" t="str">
        <x:v>SI69K</x:v>
      </x:c>
      <x:c r="BN80" s="147" t="str">
        <x:v>Silver future (regular)</x:v>
      </x:c>
      <x:c r="BO80" s="147" t="str">
        <x:v>Long</x:v>
      </x:c>
      <x:c r="BP80" s="167" t="n">
        <x:v>1.74</x:v>
      </x:c>
      <x:c r="BQ80" s="167" t="n">
        <x:v>1.7409999999999999</x:v>
      </x:c>
      <x:c r="BR80" s="166" t="n">
        <x:v>1</x:v>
      </x:c>
      <x:c r="BS80" s="171" t="n">
        <x:f>IF(BM80="","",IFERROR(F80*BR80/BP80,0))</x:f>
        <x:v>0.7107300376038418</x:v>
      </x:c>
      <x:c r="BT80" s="171" t="n">
        <x:f>IF(BM80="","",F80*ABS(BR80))</x:f>
        <x:v>1.2366702654306847</x:v>
      </x:c>
      <x:c r="BU80" s="165" t="n">
        <x:v>1.794</x:v>
      </x:c>
      <x:c r="BV80" s="172" t="n">
        <x:f>IF(BM80="","",IF(BU80="","",IFERROR(BP80/BU80-1,0)))</x:f>
        <x:v>-0.030100334448160515</x:v>
      </x:c>
      <x:c r="BW80" s="166" t="n">
        <x:v>0.0592</x:v>
      </x:c>
      <x:c r="BX80" s="172" t="n">
        <x:f>IF(BM80="","",IF(BW80="","",BW80-BV80*365/BY80))</x:f>
        <x:v>0.43804903701995124</x:v>
      </x:c>
      <x:c r="BY80" s="164" t="n">
        <x:v>29</x:v>
      </x:c>
      <x:c r="BZ80" s="172" t="n">
        <x:f>IF(BM80="","",IFERROR(BR80*(BQ80/BP80-1),0))</x:f>
        <x:v>0.0005747126436781436</x:v>
      </x:c>
      <x:c r="CA80" s="147"/>
      <x:c r="CB80" s="147"/>
      <x:c r="CC80" s="147"/>
      <x:c r="CD80" s="167"/>
      <x:c r="CE80" s="167"/>
      <x:c r="CF80" s="166"/>
      <x:c r="CG80" s="171" t="str">
        <x:f>IF(CA80="","",IFERROR(F80*CF80/CD80,0))</x:f>
      </x:c>
      <x:c r="CH80" s="171" t="str">
        <x:f>IF(CA80="","",F80*ABS(CF80))</x:f>
      </x:c>
      <x:c r="CI80" s="165"/>
      <x:c r="CJ80" s="172" t="str">
        <x:f>IF(CA80="","",IF(CI80="","",IFERROR(CD80/CI80-1,0)))</x:f>
      </x:c>
      <x:c r="CK80" s="166"/>
      <x:c r="CL80" s="172" t="str">
        <x:f>IF(CA80="","",IF(CK80="","",CK80-CJ80*365/CM80))</x:f>
      </x:c>
      <x:c r="CM80" s="164"/>
      <x:c r="CN80" s="172" t="str">
        <x:f>IF(CA80="","",IFERROR(CF80*(CE80/CD80-1),0))</x:f>
      </x:c>
      <x:c r="CO80" s="147"/>
      <x:c r="CP80" s="147"/>
      <x:c r="CQ80" s="147"/>
      <x:c r="CR80" s="167"/>
      <x:c r="CS80" s="167"/>
      <x:c r="CT80" s="166"/>
      <x:c r="CU80" s="171" t="str">
        <x:f>IF(CO80="","",IFERROR(F80*CT80/CR80,0))</x:f>
      </x:c>
      <x:c r="CV80" s="171" t="str">
        <x:f>IF(CO80="","",F80*ABS(CT80))</x:f>
      </x:c>
      <x:c r="CW80" s="165"/>
      <x:c r="CX80" s="172" t="str">
        <x:f>IF(CO80="","",IF(CW80="","",IFERROR(CR80/CW80-1,0)))</x:f>
      </x:c>
      <x:c r="CY80" s="166"/>
      <x:c r="CZ80" s="172" t="str">
        <x:f>IF(CO80="","",IF(CY80="","",CY80-CX80*365/DA80))</x:f>
      </x:c>
      <x:c r="DA80" s="164"/>
      <x:c r="DB80" s="172" t="str">
        <x:f>IF(CO80="","",IFERROR(CT80*(CS80/CR80-1),0))</x:f>
      </x:c>
      <x:c r="DC80" s="147"/>
      <x:c r="DD80" s="147"/>
      <x:c r="DE80" s="147"/>
      <x:c r="DF80" s="167"/>
      <x:c r="DG80" s="167"/>
      <x:c r="DH80" s="166"/>
      <x:c r="DI80" s="171" t="str">
        <x:f>IF(DC80="","",IFERROR(F80*DH80/DF80,0))</x:f>
      </x:c>
      <x:c r="DJ80" s="171" t="str">
        <x:f>IF(DC80="","",F80*ABS(DH80))</x:f>
      </x:c>
      <x:c r="DK80" s="165"/>
      <x:c r="DL80" s="172" t="str">
        <x:f>IF(DC80="","",IF(DK80="","",IFERROR(DF80/DK80-1,0)))</x:f>
      </x:c>
      <x:c r="DM80" s="166"/>
      <x:c r="DN80" s="172" t="str">
        <x:f>IF(DC80="","",IF(DM80="","",DM80-DL80*365/DO80))</x:f>
      </x:c>
      <x:c r="DO80" s="164"/>
      <x:c r="DP80" s="172" t="str">
        <x:f>IF(DC80="","",IFERROR(DH80*(DG80/DF80-1),0))</x:f>
      </x:c>
      <x:c r="DQ80" s="147"/>
      <x:c r="DR80" s="147"/>
      <x:c r="DS80" s="147"/>
      <x:c r="DT80" s="167"/>
      <x:c r="DU80" s="167"/>
      <x:c r="DV80" s="166"/>
      <x:c r="DW80" s="171" t="str">
        <x:f>IF(DQ80="","",IFERROR(F80*DV80/DT80,0))</x:f>
      </x:c>
      <x:c r="DX80" s="171" t="str">
        <x:f>IF(DQ80="","",F80*ABS(DV80))</x:f>
      </x:c>
      <x:c r="DY80" s="165"/>
      <x:c r="DZ80" s="172" t="str">
        <x:f>IF(DQ80="","",IF(DY80="","",IFERROR(DT80/DY80-1,0)))</x:f>
      </x:c>
      <x:c r="EA80" s="166"/>
      <x:c r="EB80" s="172" t="str">
        <x:f>IF(DQ80="","",IF(EA80="","",EA80-DZ80*365/EC80))</x:f>
      </x:c>
      <x:c r="EC80" s="164"/>
      <x:c r="ED80" s="172" t="str">
        <x:f>IF(DQ80="","",IFERROR(DV80*(DU80/DT80-1),0))</x:f>
      </x:c>
      <x:c r="EE80" s="147"/>
      <x:c r="EF80" s="147"/>
      <x:c r="EG80" s="147"/>
      <x:c r="EH80" s="167"/>
      <x:c r="EI80" s="167"/>
      <x:c r="EJ80" s="166"/>
      <x:c r="EK80" s="171" t="str">
        <x:f>IF(EE80="","",IFERROR(F80*EJ80/EH80,0))</x:f>
      </x:c>
      <x:c r="EL80" s="171" t="str">
        <x:f>IF(EE80="","",F80*ABS(EJ80))</x:f>
      </x:c>
      <x:c r="EM80" s="165"/>
      <x:c r="EN80" s="172" t="str">
        <x:f>IF(EE80="","",IF(EM80="","",IFERROR(EH80/EM80-1,0)))</x:f>
      </x:c>
      <x:c r="EO80" s="166"/>
      <x:c r="EP80" s="172" t="str">
        <x:f>IF(EE80="","",IF(EO80="","",EO80-EN80*365/EQ80))</x:f>
      </x:c>
      <x:c r="EQ80" s="164"/>
      <x:c r="ER80" s="172" t="str">
        <x:f>IF(EE80="","",IFERROR(EJ80*(EI80/EH80-1),0))</x:f>
      </x:c>
      <x:c r="ES80" s="147"/>
      <x:c r="ET80" s="147"/>
      <x:c r="EU80" s="147"/>
      <x:c r="EV80" s="167"/>
      <x:c r="EW80" s="167"/>
      <x:c r="EX80" s="166"/>
      <x:c r="EY80" s="171" t="str">
        <x:f>IF(ES80="","",IFERROR(F80*EX80/EV80,0))</x:f>
      </x:c>
      <x:c r="EZ80" s="171" t="str">
        <x:f>IF(ES80="","",F80*ABS(EX80))</x:f>
      </x:c>
      <x:c r="FA80" s="165"/>
      <x:c r="FB80" s="172" t="str">
        <x:f>IF(ES80="","",IF(FA80="","",IFERROR(EV80/FA80-1,0)))</x:f>
      </x:c>
      <x:c r="FC80" s="166"/>
      <x:c r="FD80" s="172" t="str">
        <x:f>IF(ES80="","",IF(FC80="","",FC80-FB80*365/FE80))</x:f>
      </x:c>
      <x:c r="FE80" s="164"/>
      <x:c r="FF80" s="172" t="str">
        <x:f>IF(ES80="","",IFERROR(EX80*(EW80/EV80-1),0))</x:f>
      </x:c>
      <x:c r="FG80" s="147"/>
      <x:c r="FH80" s="147"/>
      <x:c r="FI80" s="147"/>
      <x:c r="FJ80" s="167"/>
      <x:c r="FK80" s="167"/>
      <x:c r="FL80" s="166"/>
      <x:c r="FM80" s="171" t="str">
        <x:f>IF(FG80="","",IFERROR(F80*FL80/FJ80,0))</x:f>
      </x:c>
      <x:c r="FN80" s="171" t="str">
        <x:f>IF(FG80="","",F80*ABS(FL80))</x:f>
      </x:c>
      <x:c r="FO80" s="165"/>
      <x:c r="FP80" s="172" t="str">
        <x:f>IF(FG80="","",IF(FO80="","",IFERROR(FJ80/FO80-1,0)))</x:f>
      </x:c>
      <x:c r="FQ80" s="166"/>
      <x:c r="FR80" s="172" t="str">
        <x:f>IF(FG80="","",IF(FQ80="","",FQ80-FP80*365/FS80))</x:f>
      </x:c>
      <x:c r="FS80" s="164"/>
      <x:c r="FT80" s="172" t="str">
        <x:f>IF(FG80="","",IFERROR(FL80*(FK80/FJ80-1),0))</x:f>
      </x:c>
    </x:row>
    <x:row r="81" ht="18" customHeight="1">
      <x:c r="A81" s="163" t="n">
        <x:v>25323</x:v>
      </x:c>
      <x:c r="B81" s="163" t="n">
        <x:v>25324</x:v>
      </x:c>
      <x:c r="C81" s="170" t="n">
        <x:f>B81-A81</x:f>
        <x:v>1</x:v>
      </x:c>
      <x:c r="D81" s="163" t="n">
        <x:v>25323</x:v>
      </x:c>
      <x:c r="E81" s="147" t="str">
        <x:v>positive</x:v>
      </x:c>
      <x:c r="F81" s="165" t="n">
        <x:v>1.237581573220928</x:v>
      </x:c>
      <x:c r="G81" s="168" t="n">
        <x:v>0.005904647305516454</x:v>
      </x:c>
      <x:c r="H81" s="172" t="n">
        <x:f>SUM(AX81,BL81,BZ81,CN81,DB81,DP81,ED81,ER81,FF81,FT81)</x:f>
        <x:v>0.005904647305516431</x:v>
      </x:c>
      <x:c r="I81" s="174" t="n">
        <x:f>G81-H81</x:f>
        <x:v>2.3418766925686896e-17</x:v>
      </x:c>
      <x:c r="J81" s="171" t="n">
        <x:f>F81*(1+H81)</x:f>
        <x:v>1.2448890559226038</x:v>
      </x:c>
      <x:c r="K81" s="169" t="n">
        <x:v>1.2448890559226038</x:v>
      </x:c>
      <x:c r="L81" s="175" t="n">
        <x:f>K81-J81</x:f>
        <x:v>0</x:v>
      </x:c>
      <x:c r="M81" s="167" t="n">
        <x:v>1.776</x:v>
      </x:c>
      <x:c r="N81" s="167" t="n">
        <x:v>1.778</x:v>
      </x:c>
      <x:c r="O81" s="172" t="n">
        <x:f>IFERROR(N81/M81-1,0)</x:f>
        <x:v>0.0011261261261261701</x:v>
      </x:c>
      <x:c r="P81" s="171" t="n">
        <x:f>IFERROR(AD81/AH81,0)</x:f>
        <x:v>1.3644058110172177</x:v>
      </x:c>
      <x:c r="Q81" s="171" t="n">
        <x:f>IFERROR(AE81/AI81,0)</x:f>
        <x:v>1.3709183191768612</x:v>
      </x:c>
      <x:c r="R81" s="172" t="n">
        <x:f>IFERROR((Q81-P81)/(P81+S81),0)</x:f>
        <x:v>0.004773146014958863</x:v>
      </x:c>
      <x:c r="S81" s="172" t="n">
        <x:f>IFERROR(AF81/AH81,0)</x:f>
        <x:v>0</x:v>
      </x:c>
      <x:c r="T81" s="172" t="n">
        <x:f>IFERROR(AG81/AI81,0)</x:f>
        <x:v>0</x:v>
      </x:c>
      <x:c r="U81" s="172" t="n">
        <x:f>IFERROR((T81-S81)/(P81+S81),0)</x:f>
        <x:v>0</x:v>
      </x:c>
      <x:c r="V81" s="172" t="n">
        <x:f>R81+U81</x:f>
        <x:v>0.004773146014958863</x:v>
      </x:c>
      <x:c r="W81" s="172" t="n">
        <x:f>(1+O81)*(1+V81)-1</x:f>
        <x:v>0.005904647305516431</x:v>
      </x:c>
      <x:c r="X81" s="174" t="n">
        <x:f>G81-W81</x:f>
        <x:v>2.3418766925686896e-17</x:v>
      </x:c>
      <x:c r="Y81" s="172" t="str">
        <x:f>AX81</x:f>
      </x:c>
      <x:c r="Z81" s="172" t="n">
        <x:f>BL81</x:f>
        <x:v>0.000160821917808196</x:v>
      </x:c>
      <x:c r="AA81" s="172" t="n">
        <x:f>SUM(BZ81,CN81,DB81,DP81,ED81,ER81,FF81,FT81)</x:f>
        <x:v>0.005743825387708235</x:v>
      </x:c>
      <x:c r="AB81" s="172" t="n">
        <x:f>SUM(Y81:AA81)</x:f>
        <x:v>0.005904647305516431</x:v>
      </x:c>
      <x:c r="AC81" s="174" t="n">
        <x:f>G81-AB81</x:f>
        <x:v>2.3418766925686896e-17</x:v>
      </x:c>
      <x:c r="AD81" s="169" t="n">
        <x:v>1.2375815732209288</x:v>
      </x:c>
      <x:c r="AE81" s="169" t="n">
        <x:v>1.2448890559226045</x:v>
      </x:c>
      <x:c r="AF81" s="169" t="n">
        <x:v>0</x:v>
      </x:c>
      <x:c r="AG81" s="169" t="n">
        <x:v>0</x:v>
      </x:c>
      <x:c r="AH81" s="171" t="n">
        <x:f>M81/$M$3</x:f>
        <x:v>0.9070480081716037</x:v>
      </x:c>
      <x:c r="AI81" s="171" t="n">
        <x:f>N81/$M$3</x:f>
        <x:v>0.9080694586312564</x:v>
      </x:c>
      <x:c r="AJ81" s="170" t="n">
        <x:f>IF(AK81&lt;&gt;"",1,0)+IF(AY81&lt;&gt;"",1,0)+IF(BM81&lt;&gt;"",1,0)+IF(CA81&lt;&gt;"",1,0)+IF(CO81&lt;&gt;"",1,0)+IF(DC81&lt;&gt;"",1,0)+IF(DQ81&lt;&gt;"",1,0)+IF(EE81&lt;&gt;"",1,0)+IF(ES81&lt;&gt;"",1,0)+IF(FG81&lt;&gt;"",1,0)</x:f>
        <x:v>2</x:v>
      </x:c>
      <x:c r="AK81" s="147"/>
      <x:c r="AL81" s="147"/>
      <x:c r="AM81" s="147"/>
      <x:c r="AN81" s="167"/>
      <x:c r="AO81" s="167"/>
      <x:c r="AP81" s="166"/>
      <x:c r="AQ81" s="171" t="str">
        <x:f>IF(AK81="","",IFERROR(F81*AP81/AN81,0))</x:f>
      </x:c>
      <x:c r="AR81" s="171" t="str">
        <x:f>IF(AK81="","",F81*ABS(AP81))</x:f>
      </x:c>
      <x:c r="AS81" s="165"/>
      <x:c r="AT81" s="172" t="str">
        <x:f>IF(AK81="","",IF(AS81="","",IFERROR(AN81/AS81-1,0)))</x:f>
      </x:c>
      <x:c r="AU81" s="166"/>
      <x:c r="AV81" s="172" t="str">
        <x:f>IF(AK81="","",IF(AU81="","",AU81-AT81*365/AW81))</x:f>
      </x:c>
      <x:c r="AW81" s="164"/>
      <x:c r="AX81" s="173" t="str">
        <x:f>IF(AK81="","",IFERROR(AP81*(AO81/AN81-1),0))</x:f>
      </x:c>
      <x:c r="AY81" s="147" t="str">
        <x:v>Matched-maturity Treasury collateral</x:v>
      </x:c>
      <x:c r="AZ81" s="147" t="str">
        <x:v>Treasury</x:v>
      </x:c>
      <x:c r="BA81" s="147" t="str">
        <x:v>Long</x:v>
      </x:c>
      <x:c r="BB81" s="167" t="n">
        <x:v>101.99118308856319</x:v>
      </x:c>
      <x:c r="BC81" s="167" t="n">
        <x:v>102.00758550622702</x:v>
      </x:c>
      <x:c r="BD81" s="166" t="n">
        <x:v>1</x:v>
      </x:c>
      <x:c r="BE81" s="171" t="n">
        <x:f>IF(AY81="","",IFERROR(F81*BD81/BB81,0))</x:f>
        <x:v>0.012134201562759444</x:v>
      </x:c>
      <x:c r="BF81" s="171" t="n">
        <x:f>IF(AY81="","",F81*ABS(BD81))</x:f>
        <x:v>1.237581573220928</x:v>
      </x:c>
      <x:c r="BG81" s="165"/>
      <x:c r="BH81" s="172" t="str">
        <x:f>IF(AY81="","",IF(BG81="","",IFERROR(BB81/BG81-1,0)))</x:f>
      </x:c>
      <x:c r="BI81" s="166"/>
      <x:c r="BJ81" s="172" t="str">
        <x:f>IF(AY81="","",IF(BI81="","",BI81-BH81*365/BK81))</x:f>
      </x:c>
      <x:c r="BK81" s="164" t="n">
        <x:v>28</x:v>
      </x:c>
      <x:c r="BL81" s="172" t="n">
        <x:f>IF(AY81="","",IFERROR(BD81*(BC81/BB81-1),0))</x:f>
        <x:v>0.000160821917808196</x:v>
      </x:c>
      <x:c r="BM81" s="147" t="str">
        <x:v>SI69K</x:v>
      </x:c>
      <x:c r="BN81" s="147" t="str">
        <x:v>Silver future (regular)</x:v>
      </x:c>
      <x:c r="BO81" s="147" t="str">
        <x:v>Long</x:v>
      </x:c>
      <x:c r="BP81" s="167" t="n">
        <x:v>1.7409999999999999</x:v>
      </x:c>
      <x:c r="BQ81" s="167" t="n">
        <x:v>1.751</x:v>
      </x:c>
      <x:c r="BR81" s="166" t="n">
        <x:v>1</x:v>
      </x:c>
      <x:c r="BS81" s="171" t="n">
        <x:f>IF(BM81="","",IFERROR(F81*BR81/BP81,0))</x:f>
        <x:v>0.7108452459626239</x:v>
      </x:c>
      <x:c r="BT81" s="171" t="n">
        <x:f>IF(BM81="","",F81*ABS(BR81))</x:f>
        <x:v>1.237581573220928</x:v>
      </x:c>
      <x:c r="BU81" s="165" t="n">
        <x:v>1.776</x:v>
      </x:c>
      <x:c r="BV81" s="172" t="n">
        <x:f>IF(BM81="","",IF(BU81="","",IFERROR(BP81/BU81-1,0)))</x:f>
        <x:v>-0.01970720720720731</x:v>
      </x:c>
      <x:c r="BW81" s="166" t="n">
        <x:v>0.0587</x:v>
      </x:c>
      <x:c r="BX81" s="172" t="n">
        <x:f>IF(BM81="","",IF(BW81="","",BW81-BV81*365/BY81))</x:f>
        <x:v>0.31559752252252393</x:v>
      </x:c>
      <x:c r="BY81" s="164" t="n">
        <x:v>28</x:v>
      </x:c>
      <x:c r="BZ81" s="172" t="n">
        <x:f>IF(BM81="","",IFERROR(BR81*(BQ81/BP81-1),0))</x:f>
        <x:v>0.005743825387708235</x:v>
      </x:c>
      <x:c r="CA81" s="147"/>
      <x:c r="CB81" s="147"/>
      <x:c r="CC81" s="147"/>
      <x:c r="CD81" s="167"/>
      <x:c r="CE81" s="167"/>
      <x:c r="CF81" s="166"/>
      <x:c r="CG81" s="171" t="str">
        <x:f>IF(CA81="","",IFERROR(F81*CF81/CD81,0))</x:f>
      </x:c>
      <x:c r="CH81" s="171" t="str">
        <x:f>IF(CA81="","",F81*ABS(CF81))</x:f>
      </x:c>
      <x:c r="CI81" s="165"/>
      <x:c r="CJ81" s="172" t="str">
        <x:f>IF(CA81="","",IF(CI81="","",IFERROR(CD81/CI81-1,0)))</x:f>
      </x:c>
      <x:c r="CK81" s="166"/>
      <x:c r="CL81" s="172" t="str">
        <x:f>IF(CA81="","",IF(CK81="","",CK81-CJ81*365/CM81))</x:f>
      </x:c>
      <x:c r="CM81" s="164"/>
      <x:c r="CN81" s="172" t="str">
        <x:f>IF(CA81="","",IFERROR(CF81*(CE81/CD81-1),0))</x:f>
      </x:c>
      <x:c r="CO81" s="147"/>
      <x:c r="CP81" s="147"/>
      <x:c r="CQ81" s="147"/>
      <x:c r="CR81" s="167"/>
      <x:c r="CS81" s="167"/>
      <x:c r="CT81" s="166"/>
      <x:c r="CU81" s="171" t="str">
        <x:f>IF(CO81="","",IFERROR(F81*CT81/CR81,0))</x:f>
      </x:c>
      <x:c r="CV81" s="171" t="str">
        <x:f>IF(CO81="","",F81*ABS(CT81))</x:f>
      </x:c>
      <x:c r="CW81" s="165"/>
      <x:c r="CX81" s="172" t="str">
        <x:f>IF(CO81="","",IF(CW81="","",IFERROR(CR81/CW81-1,0)))</x:f>
      </x:c>
      <x:c r="CY81" s="166"/>
      <x:c r="CZ81" s="172" t="str">
        <x:f>IF(CO81="","",IF(CY81="","",CY81-CX81*365/DA81))</x:f>
      </x:c>
      <x:c r="DA81" s="164"/>
      <x:c r="DB81" s="172" t="str">
        <x:f>IF(CO81="","",IFERROR(CT81*(CS81/CR81-1),0))</x:f>
      </x:c>
      <x:c r="DC81" s="147"/>
      <x:c r="DD81" s="147"/>
      <x:c r="DE81" s="147"/>
      <x:c r="DF81" s="167"/>
      <x:c r="DG81" s="167"/>
      <x:c r="DH81" s="166"/>
      <x:c r="DI81" s="171" t="str">
        <x:f>IF(DC81="","",IFERROR(F81*DH81/DF81,0))</x:f>
      </x:c>
      <x:c r="DJ81" s="171" t="str">
        <x:f>IF(DC81="","",F81*ABS(DH81))</x:f>
      </x:c>
      <x:c r="DK81" s="165"/>
      <x:c r="DL81" s="172" t="str">
        <x:f>IF(DC81="","",IF(DK81="","",IFERROR(DF81/DK81-1,0)))</x:f>
      </x:c>
      <x:c r="DM81" s="166"/>
      <x:c r="DN81" s="172" t="str">
        <x:f>IF(DC81="","",IF(DM81="","",DM81-DL81*365/DO81))</x:f>
      </x:c>
      <x:c r="DO81" s="164"/>
      <x:c r="DP81" s="172" t="str">
        <x:f>IF(DC81="","",IFERROR(DH81*(DG81/DF81-1),0))</x:f>
      </x:c>
      <x:c r="DQ81" s="147"/>
      <x:c r="DR81" s="147"/>
      <x:c r="DS81" s="147"/>
      <x:c r="DT81" s="167"/>
      <x:c r="DU81" s="167"/>
      <x:c r="DV81" s="166"/>
      <x:c r="DW81" s="171" t="str">
        <x:f>IF(DQ81="","",IFERROR(F81*DV81/DT81,0))</x:f>
      </x:c>
      <x:c r="DX81" s="171" t="str">
        <x:f>IF(DQ81="","",F81*ABS(DV81))</x:f>
      </x:c>
      <x:c r="DY81" s="165"/>
      <x:c r="DZ81" s="172" t="str">
        <x:f>IF(DQ81="","",IF(DY81="","",IFERROR(DT81/DY81-1,0)))</x:f>
      </x:c>
      <x:c r="EA81" s="166"/>
      <x:c r="EB81" s="172" t="str">
        <x:f>IF(DQ81="","",IF(EA81="","",EA81-DZ81*365/EC81))</x:f>
      </x:c>
      <x:c r="EC81" s="164"/>
      <x:c r="ED81" s="172" t="str">
        <x:f>IF(DQ81="","",IFERROR(DV81*(DU81/DT81-1),0))</x:f>
      </x:c>
      <x:c r="EE81" s="147"/>
      <x:c r="EF81" s="147"/>
      <x:c r="EG81" s="147"/>
      <x:c r="EH81" s="167"/>
      <x:c r="EI81" s="167"/>
      <x:c r="EJ81" s="166"/>
      <x:c r="EK81" s="171" t="str">
        <x:f>IF(EE81="","",IFERROR(F81*EJ81/EH81,0))</x:f>
      </x:c>
      <x:c r="EL81" s="171" t="str">
        <x:f>IF(EE81="","",F81*ABS(EJ81))</x:f>
      </x:c>
      <x:c r="EM81" s="165"/>
      <x:c r="EN81" s="172" t="str">
        <x:f>IF(EE81="","",IF(EM81="","",IFERROR(EH81/EM81-1,0)))</x:f>
      </x:c>
      <x:c r="EO81" s="166"/>
      <x:c r="EP81" s="172" t="str">
        <x:f>IF(EE81="","",IF(EO81="","",EO81-EN81*365/EQ81))</x:f>
      </x:c>
      <x:c r="EQ81" s="164"/>
      <x:c r="ER81" s="172" t="str">
        <x:f>IF(EE81="","",IFERROR(EJ81*(EI81/EH81-1),0))</x:f>
      </x:c>
      <x:c r="ES81" s="147"/>
      <x:c r="ET81" s="147"/>
      <x:c r="EU81" s="147"/>
      <x:c r="EV81" s="167"/>
      <x:c r="EW81" s="167"/>
      <x:c r="EX81" s="166"/>
      <x:c r="EY81" s="171" t="str">
        <x:f>IF(ES81="","",IFERROR(F81*EX81/EV81,0))</x:f>
      </x:c>
      <x:c r="EZ81" s="171" t="str">
        <x:f>IF(ES81="","",F81*ABS(EX81))</x:f>
      </x:c>
      <x:c r="FA81" s="165"/>
      <x:c r="FB81" s="172" t="str">
        <x:f>IF(ES81="","",IF(FA81="","",IFERROR(EV81/FA81-1,0)))</x:f>
      </x:c>
      <x:c r="FC81" s="166"/>
      <x:c r="FD81" s="172" t="str">
        <x:f>IF(ES81="","",IF(FC81="","",FC81-FB81*365/FE81))</x:f>
      </x:c>
      <x:c r="FE81" s="164"/>
      <x:c r="FF81" s="172" t="str">
        <x:f>IF(ES81="","",IFERROR(EX81*(EW81/EV81-1),0))</x:f>
      </x:c>
      <x:c r="FG81" s="147"/>
      <x:c r="FH81" s="147"/>
      <x:c r="FI81" s="147"/>
      <x:c r="FJ81" s="167"/>
      <x:c r="FK81" s="167"/>
      <x:c r="FL81" s="166"/>
      <x:c r="FM81" s="171" t="str">
        <x:f>IF(FG81="","",IFERROR(F81*FL81/FJ81,0))</x:f>
      </x:c>
      <x:c r="FN81" s="171" t="str">
        <x:f>IF(FG81="","",F81*ABS(FL81))</x:f>
      </x:c>
      <x:c r="FO81" s="165"/>
      <x:c r="FP81" s="172" t="str">
        <x:f>IF(FG81="","",IF(FO81="","",IFERROR(FJ81/FO81-1,0)))</x:f>
      </x:c>
      <x:c r="FQ81" s="166"/>
      <x:c r="FR81" s="172" t="str">
        <x:f>IF(FG81="","",IF(FQ81="","",FQ81-FP81*365/FS81))</x:f>
      </x:c>
      <x:c r="FS81" s="164"/>
      <x:c r="FT81" s="172" t="str">
        <x:f>IF(FG81="","",IFERROR(FL81*(FK81/FJ81-1),0))</x:f>
      </x:c>
    </x:row>
    <x:row r="82" ht="18" customHeight="1">
      <x:c r="A82" s="163" t="n">
        <x:v>25324</x:v>
      </x:c>
      <x:c r="B82" s="163" t="n">
        <x:v>25325</x:v>
      </x:c>
      <x:c r="C82" s="170" t="n">
        <x:f>B82-A82</x:f>
        <x:v>1</x:v>
      </x:c>
      <x:c r="D82" s="163" t="n">
        <x:v>25324</x:v>
      </x:c>
      <x:c r="E82" s="147" t="str">
        <x:v>positive</x:v>
      </x:c>
      <x:c r="F82" s="165" t="n">
        <x:v>1.2448890559226038</x:v>
      </x:c>
      <x:c r="G82" s="168" t="n">
        <x:v>-0.003264421582970101</x:v>
      </x:c>
      <x:c r="H82" s="172" t="n">
        <x:f>SUM(AX82,BL82,BZ82,CN82,DB82,DP82,ED82,ER82,FF82,FT82)</x:f>
        <x:v>-0.003264421582970134</x:v>
      </x:c>
      <x:c r="I82" s="174" t="n">
        <x:f>G82-H82</x:f>
        <x:v>3.2959746043559335e-17</x:v>
      </x:c>
      <x:c r="J82" s="171" t="n">
        <x:f>F82*(1+H82)</x:f>
        <x:v>1.2408252132200468</x:v>
      </x:c>
      <x:c r="K82" s="169" t="n">
        <x:v>1.2408252132200468</x:v>
      </x:c>
      <x:c r="L82" s="175" t="n">
        <x:f>K82-J82</x:f>
        <x:v>0</x:v>
      </x:c>
      <x:c r="M82" s="167" t="n">
        <x:v>1.778</x:v>
      </x:c>
      <x:c r="N82" s="167" t="n">
        <x:v>1.777</x:v>
      </x:c>
      <x:c r="O82" s="172" t="n">
        <x:f>IFERROR(N82/M82-1,0)</x:f>
        <x:v>-0.0005624296962880582</x:v>
      </x:c>
      <x:c r="P82" s="171" t="n">
        <x:f>IFERROR(AD82/AH82,0)</x:f>
        <x:v>1.3709183191768612</x:v>
      </x:c>
      <x:c r="Q82" s="171" t="n">
        <x:f>IFERROR(AE82/AI82,0)</x:f>
        <x:v>1.3672120244709358</x:v>
      </x:c>
      <x:c r="R82" s="172" t="n">
        <x:f>IFERROR((Q82-P82)/(P82+S82),0)</x:f>
        <x:v>-0.002703512422352627</x:v>
      </x:c>
      <x:c r="S82" s="172" t="n">
        <x:f>IFERROR(AF82/AH82,0)</x:f>
        <x:v>0</x:v>
      </x:c>
      <x:c r="T82" s="172" t="n">
        <x:f>IFERROR(AG82/AI82,0)</x:f>
        <x:v>0</x:v>
      </x:c>
      <x:c r="U82" s="172" t="n">
        <x:f>IFERROR((T82-S82)/(P82+S82),0)</x:f>
        <x:v>0</x:v>
      </x:c>
      <x:c r="V82" s="172" t="n">
        <x:f>R82+U82</x:f>
        <x:v>-0.002703512422352627</x:v>
      </x:c>
      <x:c r="W82" s="172" t="n">
        <x:f>(1+O82)*(1+V82)-1</x:f>
        <x:v>-0.003264421582970134</x:v>
      </x:c>
      <x:c r="X82" s="174" t="n">
        <x:f>G82-W82</x:f>
        <x:v>3.2959746043559335e-17</x:v>
      </x:c>
      <x:c r="Y82" s="172" t="str">
        <x:f>AX82</x:f>
      </x:c>
      <x:c r="Z82" s="172" t="n">
        <x:f>BL82</x:f>
        <x:v>0.00016219178082188535</x:v>
      </x:c>
      <x:c r="AA82" s="172" t="n">
        <x:f>SUM(BZ82,CN82,DB82,DP82,ED82,ER82,FF82,FT82)</x:f>
        <x:v>-0.0034266133637920193</x:v>
      </x:c>
      <x:c r="AB82" s="172" t="n">
        <x:f>SUM(Y82:AA82)</x:f>
        <x:v>-0.003264421582970134</x:v>
      </x:c>
      <x:c r="AC82" s="174" t="n">
        <x:f>G82-AB82</x:f>
        <x:v>3.2959746043559335e-17</x:v>
      </x:c>
      <x:c r="AD82" s="169" t="n">
        <x:v>1.2448890559226045</x:v>
      </x:c>
      <x:c r="AE82" s="169" t="n">
        <x:v>1.2408252132200475</x:v>
      </x:c>
      <x:c r="AF82" s="169" t="n">
        <x:v>0</x:v>
      </x:c>
      <x:c r="AG82" s="169" t="n">
        <x:v>0</x:v>
      </x:c>
      <x:c r="AH82" s="171" t="n">
        <x:f>M82/$M$3</x:f>
        <x:v>0.9080694586312564</x:v>
      </x:c>
      <x:c r="AI82" s="171" t="n">
        <x:f>N82/$M$3</x:f>
        <x:v>0.90755873340143</x:v>
      </x:c>
      <x:c r="AJ82" s="170" t="n">
        <x:f>IF(AK82&lt;&gt;"",1,0)+IF(AY82&lt;&gt;"",1,0)+IF(BM82&lt;&gt;"",1,0)+IF(CA82&lt;&gt;"",1,0)+IF(CO82&lt;&gt;"",1,0)+IF(DC82&lt;&gt;"",1,0)+IF(DQ82&lt;&gt;"",1,0)+IF(EE82&lt;&gt;"",1,0)+IF(ES82&lt;&gt;"",1,0)+IF(FG82&lt;&gt;"",1,0)</x:f>
        <x:v>2</x:v>
      </x:c>
      <x:c r="AK82" s="147"/>
      <x:c r="AL82" s="147"/>
      <x:c r="AM82" s="147"/>
      <x:c r="AN82" s="167"/>
      <x:c r="AO82" s="167"/>
      <x:c r="AP82" s="166"/>
      <x:c r="AQ82" s="171" t="str">
        <x:f>IF(AK82="","",IFERROR(F82*AP82/AN82,0))</x:f>
      </x:c>
      <x:c r="AR82" s="171" t="str">
        <x:f>IF(AK82="","",F82*ABS(AP82))</x:f>
      </x:c>
      <x:c r="AS82" s="165"/>
      <x:c r="AT82" s="172" t="str">
        <x:f>IF(AK82="","",IF(AS82="","",IFERROR(AN82/AS82-1,0)))</x:f>
      </x:c>
      <x:c r="AU82" s="166"/>
      <x:c r="AV82" s="172" t="str">
        <x:f>IF(AK82="","",IF(AU82="","",AU82-AT82*365/AW82))</x:f>
      </x:c>
      <x:c r="AW82" s="164"/>
      <x:c r="AX82" s="173" t="str">
        <x:f>IF(AK82="","",IFERROR(AP82*(AO82/AN82-1),0))</x:f>
      </x:c>
      <x:c r="AY82" s="147" t="str">
        <x:v>Matched-maturity Treasury collateral</x:v>
      </x:c>
      <x:c r="AZ82" s="147" t="str">
        <x:v>Treasury</x:v>
      </x:c>
      <x:c r="BA82" s="147" t="str">
        <x:v>Long</x:v>
      </x:c>
      <x:c r="BB82" s="167" t="n">
        <x:v>102.00758550622702</x:v>
      </x:c>
      <x:c r="BC82" s="167" t="n">
        <x:v>102.02413029817761</x:v>
      </x:c>
      <x:c r="BD82" s="166" t="n">
        <x:v>1</x:v>
      </x:c>
      <x:c r="BE82" s="171" t="n">
        <x:f>IF(AY82="","",IFERROR(F82*BD82/BB82,0))</x:f>
        <x:v>0.012203887090794929</x:v>
      </x:c>
      <x:c r="BF82" s="171" t="n">
        <x:f>IF(AY82="","",F82*ABS(BD82))</x:f>
        <x:v>1.2448890559226038</x:v>
      </x:c>
      <x:c r="BG82" s="165"/>
      <x:c r="BH82" s="172" t="str">
        <x:f>IF(AY82="","",IF(BG82="","",IFERROR(BB82/BG82-1,0)))</x:f>
      </x:c>
      <x:c r="BI82" s="166"/>
      <x:c r="BJ82" s="172" t="str">
        <x:f>IF(AY82="","",IF(BI82="","",BI82-BH82*365/BK82))</x:f>
      </x:c>
      <x:c r="BK82" s="164" t="n">
        <x:v>27</x:v>
      </x:c>
      <x:c r="BL82" s="172" t="n">
        <x:f>IF(AY82="","",IFERROR(BD82*(BC82/BB82-1),0))</x:f>
        <x:v>0.00016219178082188535</x:v>
      </x:c>
      <x:c r="BM82" s="147" t="str">
        <x:v>SI69K</x:v>
      </x:c>
      <x:c r="BN82" s="147" t="str">
        <x:v>Silver future (regular)</x:v>
      </x:c>
      <x:c r="BO82" s="147" t="str">
        <x:v>Long</x:v>
      </x:c>
      <x:c r="BP82" s="167" t="n">
        <x:v>1.751</x:v>
      </x:c>
      <x:c r="BQ82" s="167" t="n">
        <x:v>1.745</x:v>
      </x:c>
      <x:c r="BR82" s="166" t="n">
        <x:v>1</x:v>
      </x:c>
      <x:c r="BS82" s="171" t="n">
        <x:f>IF(BM82="","",IFERROR(F82*BR82/BP82,0))</x:f>
        <x:v>0.7109589125771582</x:v>
      </x:c>
      <x:c r="BT82" s="171" t="n">
        <x:f>IF(BM82="","",F82*ABS(BR82))</x:f>
        <x:v>1.2448890559226038</x:v>
      </x:c>
      <x:c r="BU82" s="165" t="n">
        <x:v>1.778</x:v>
      </x:c>
      <x:c r="BV82" s="172" t="n">
        <x:f>IF(BM82="","",IF(BU82="","",IFERROR(BP82/BU82-1,0)))</x:f>
        <x:v>-0.015185601799775128</x:v>
      </x:c>
      <x:c r="BW82" s="166" t="n">
        <x:v>0.0592</x:v>
      </x:c>
      <x:c r="BX82" s="172" t="n">
        <x:f>IF(BM82="","",IF(BW82="","",BW82-BV82*365/BY82))</x:f>
        <x:v>0.2644868391451082</x:v>
      </x:c>
      <x:c r="BY82" s="164" t="n">
        <x:v>27</x:v>
      </x:c>
      <x:c r="BZ82" s="172" t="n">
        <x:f>IF(BM82="","",IFERROR(BR82*(BQ82/BP82-1),0))</x:f>
        <x:v>-0.0034266133637920193</x:v>
      </x:c>
      <x:c r="CA82" s="147"/>
      <x:c r="CB82" s="147"/>
      <x:c r="CC82" s="147"/>
      <x:c r="CD82" s="167"/>
      <x:c r="CE82" s="167"/>
      <x:c r="CF82" s="166"/>
      <x:c r="CG82" s="171" t="str">
        <x:f>IF(CA82="","",IFERROR(F82*CF82/CD82,0))</x:f>
      </x:c>
      <x:c r="CH82" s="171" t="str">
        <x:f>IF(CA82="","",F82*ABS(CF82))</x:f>
      </x:c>
      <x:c r="CI82" s="165"/>
      <x:c r="CJ82" s="172" t="str">
        <x:f>IF(CA82="","",IF(CI82="","",IFERROR(CD82/CI82-1,0)))</x:f>
      </x:c>
      <x:c r="CK82" s="166"/>
      <x:c r="CL82" s="172" t="str">
        <x:f>IF(CA82="","",IF(CK82="","",CK82-CJ82*365/CM82))</x:f>
      </x:c>
      <x:c r="CM82" s="164"/>
      <x:c r="CN82" s="172" t="str">
        <x:f>IF(CA82="","",IFERROR(CF82*(CE82/CD82-1),0))</x:f>
      </x:c>
      <x:c r="CO82" s="147"/>
      <x:c r="CP82" s="147"/>
      <x:c r="CQ82" s="147"/>
      <x:c r="CR82" s="167"/>
      <x:c r="CS82" s="167"/>
      <x:c r="CT82" s="166"/>
      <x:c r="CU82" s="171" t="str">
        <x:f>IF(CO82="","",IFERROR(F82*CT82/CR82,0))</x:f>
      </x:c>
      <x:c r="CV82" s="171" t="str">
        <x:f>IF(CO82="","",F82*ABS(CT82))</x:f>
      </x:c>
      <x:c r="CW82" s="165"/>
      <x:c r="CX82" s="172" t="str">
        <x:f>IF(CO82="","",IF(CW82="","",IFERROR(CR82/CW82-1,0)))</x:f>
      </x:c>
      <x:c r="CY82" s="166"/>
      <x:c r="CZ82" s="172" t="str">
        <x:f>IF(CO82="","",IF(CY82="","",CY82-CX82*365/DA82))</x:f>
      </x:c>
      <x:c r="DA82" s="164"/>
      <x:c r="DB82" s="172" t="str">
        <x:f>IF(CO82="","",IFERROR(CT82*(CS82/CR82-1),0))</x:f>
      </x:c>
      <x:c r="DC82" s="147"/>
      <x:c r="DD82" s="147"/>
      <x:c r="DE82" s="147"/>
      <x:c r="DF82" s="167"/>
      <x:c r="DG82" s="167"/>
      <x:c r="DH82" s="166"/>
      <x:c r="DI82" s="171" t="str">
        <x:f>IF(DC82="","",IFERROR(F82*DH82/DF82,0))</x:f>
      </x:c>
      <x:c r="DJ82" s="171" t="str">
        <x:f>IF(DC82="","",F82*ABS(DH82))</x:f>
      </x:c>
      <x:c r="DK82" s="165"/>
      <x:c r="DL82" s="172" t="str">
        <x:f>IF(DC82="","",IF(DK82="","",IFERROR(DF82/DK82-1,0)))</x:f>
      </x:c>
      <x:c r="DM82" s="166"/>
      <x:c r="DN82" s="172" t="str">
        <x:f>IF(DC82="","",IF(DM82="","",DM82-DL82*365/DO82))</x:f>
      </x:c>
      <x:c r="DO82" s="164"/>
      <x:c r="DP82" s="172" t="str">
        <x:f>IF(DC82="","",IFERROR(DH82*(DG82/DF82-1),0))</x:f>
      </x:c>
      <x:c r="DQ82" s="147"/>
      <x:c r="DR82" s="147"/>
      <x:c r="DS82" s="147"/>
      <x:c r="DT82" s="167"/>
      <x:c r="DU82" s="167"/>
      <x:c r="DV82" s="166"/>
      <x:c r="DW82" s="171" t="str">
        <x:f>IF(DQ82="","",IFERROR(F82*DV82/DT82,0))</x:f>
      </x:c>
      <x:c r="DX82" s="171" t="str">
        <x:f>IF(DQ82="","",F82*ABS(DV82))</x:f>
      </x:c>
      <x:c r="DY82" s="165"/>
      <x:c r="DZ82" s="172" t="str">
        <x:f>IF(DQ82="","",IF(DY82="","",IFERROR(DT82/DY82-1,0)))</x:f>
      </x:c>
      <x:c r="EA82" s="166"/>
      <x:c r="EB82" s="172" t="str">
        <x:f>IF(DQ82="","",IF(EA82="","",EA82-DZ82*365/EC82))</x:f>
      </x:c>
      <x:c r="EC82" s="164"/>
      <x:c r="ED82" s="172" t="str">
        <x:f>IF(DQ82="","",IFERROR(DV82*(DU82/DT82-1),0))</x:f>
      </x:c>
      <x:c r="EE82" s="147"/>
      <x:c r="EF82" s="147"/>
      <x:c r="EG82" s="147"/>
      <x:c r="EH82" s="167"/>
      <x:c r="EI82" s="167"/>
      <x:c r="EJ82" s="166"/>
      <x:c r="EK82" s="171" t="str">
        <x:f>IF(EE82="","",IFERROR(F82*EJ82/EH82,0))</x:f>
      </x:c>
      <x:c r="EL82" s="171" t="str">
        <x:f>IF(EE82="","",F82*ABS(EJ82))</x:f>
      </x:c>
      <x:c r="EM82" s="165"/>
      <x:c r="EN82" s="172" t="str">
        <x:f>IF(EE82="","",IF(EM82="","",IFERROR(EH82/EM82-1,0)))</x:f>
      </x:c>
      <x:c r="EO82" s="166"/>
      <x:c r="EP82" s="172" t="str">
        <x:f>IF(EE82="","",IF(EO82="","",EO82-EN82*365/EQ82))</x:f>
      </x:c>
      <x:c r="EQ82" s="164"/>
      <x:c r="ER82" s="172" t="str">
        <x:f>IF(EE82="","",IFERROR(EJ82*(EI82/EH82-1),0))</x:f>
      </x:c>
      <x:c r="ES82" s="147"/>
      <x:c r="ET82" s="147"/>
      <x:c r="EU82" s="147"/>
      <x:c r="EV82" s="167"/>
      <x:c r="EW82" s="167"/>
      <x:c r="EX82" s="166"/>
      <x:c r="EY82" s="171" t="str">
        <x:f>IF(ES82="","",IFERROR(F82*EX82/EV82,0))</x:f>
      </x:c>
      <x:c r="EZ82" s="171" t="str">
        <x:f>IF(ES82="","",F82*ABS(EX82))</x:f>
      </x:c>
      <x:c r="FA82" s="165"/>
      <x:c r="FB82" s="172" t="str">
        <x:f>IF(ES82="","",IF(FA82="","",IFERROR(EV82/FA82-1,0)))</x:f>
      </x:c>
      <x:c r="FC82" s="166"/>
      <x:c r="FD82" s="172" t="str">
        <x:f>IF(ES82="","",IF(FC82="","",FC82-FB82*365/FE82))</x:f>
      </x:c>
      <x:c r="FE82" s="164"/>
      <x:c r="FF82" s="172" t="str">
        <x:f>IF(ES82="","",IFERROR(EX82*(EW82/EV82-1),0))</x:f>
      </x:c>
      <x:c r="FG82" s="147"/>
      <x:c r="FH82" s="147"/>
      <x:c r="FI82" s="147"/>
      <x:c r="FJ82" s="167"/>
      <x:c r="FK82" s="167"/>
      <x:c r="FL82" s="166"/>
      <x:c r="FM82" s="171" t="str">
        <x:f>IF(FG82="","",IFERROR(F82*FL82/FJ82,0))</x:f>
      </x:c>
      <x:c r="FN82" s="171" t="str">
        <x:f>IF(FG82="","",F82*ABS(FL82))</x:f>
      </x:c>
      <x:c r="FO82" s="165"/>
      <x:c r="FP82" s="172" t="str">
        <x:f>IF(FG82="","",IF(FO82="","",IFERROR(FJ82/FO82-1,0)))</x:f>
      </x:c>
      <x:c r="FQ82" s="166"/>
      <x:c r="FR82" s="172" t="str">
        <x:f>IF(FG82="","",IF(FQ82="","",FQ82-FP82*365/FS82))</x:f>
      </x:c>
      <x:c r="FS82" s="164"/>
      <x:c r="FT82" s="172" t="str">
        <x:f>IF(FG82="","",IFERROR(FL82*(FK82/FJ82-1),0))</x:f>
      </x:c>
    </x:row>
    <x:row r="83" ht="18" customHeight="1">
      <x:c r="A83" s="163" t="n">
        <x:v>25325</x:v>
      </x:c>
      <x:c r="B83" s="163" t="n">
        <x:v>25328</x:v>
      </x:c>
      <x:c r="C83" s="170" t="n">
        <x:f>B83-A83</x:f>
        <x:v>3</x:v>
      </x:c>
      <x:c r="D83" s="163" t="n">
        <x:v>25325</x:v>
      </x:c>
      <x:c r="E83" s="147" t="str">
        <x:v>positive</x:v>
      </x:c>
      <x:c r="F83" s="165" t="n">
        <x:v>1.2408252132200468</x:v>
      </x:c>
      <x:c r="G83" s="168" t="n">
        <x:v>-0.013836784550771366</x:v>
      </x:c>
      <x:c r="H83" s="172" t="n">
        <x:f>SUM(AX83,BL83,BZ83,CN83,DB83,DP83,ED83,ER83,FF83,FT83)</x:f>
        <x:v>-0.013836784550771308</x:v>
      </x:c>
      <x:c r="I83" s="174" t="n">
        <x:f>G83-H83</x:f>
        <x:v>-5.724587470723463e-17</x:v>
      </x:c>
      <x:c r="J83" s="171" t="n">
        <x:f>F83*(1+H83)</x:f>
        <x:v>1.2236561820795562</x:v>
      </x:c>
      <x:c r="K83" s="169" t="n">
        <x:v>1.223656182079556</x:v>
      </x:c>
      <x:c r="L83" s="175" t="n">
        <x:f>K83-J83</x:f>
        <x:v>-2.220446049250313e-16</x:v>
      </x:c>
      <x:c r="M83" s="167" t="n">
        <x:v>1.777</x:v>
      </x:c>
      <x:c r="N83" s="167" t="n">
        <x:v>1.769</x:v>
      </x:c>
      <x:c r="O83" s="172" t="n">
        <x:f>IFERROR(N83/M83-1,0)</x:f>
        <x:v>-0.0045019696117051256</x:v>
      </x:c>
      <x:c r="P83" s="171" t="n">
        <x:f>IFERROR(AD83/AH83,0)</x:f>
        <x:v>1.3672120244709358</x:v>
      </x:c>
      <x:c r="Q83" s="171" t="n">
        <x:f>IFERROR(AE83/AI83,0)</x:f>
        <x:v>1.354391636241816</x:v>
      </x:c>
      <x:c r="R83" s="172" t="n">
        <x:f>IFERROR((Q83-P83)/(P83+S83),0)</x:f>
        <x:v>-0.00937703004336935</x:v>
      </x:c>
      <x:c r="S83" s="172" t="n">
        <x:f>IFERROR(AF83/AH83,0)</x:f>
        <x:v>0</x:v>
      </x:c>
      <x:c r="T83" s="172" t="n">
        <x:f>IFERROR(AG83/AI83,0)</x:f>
        <x:v>0</x:v>
      </x:c>
      <x:c r="U83" s="172" t="n">
        <x:f>IFERROR((T83-S83)/(P83+S83),0)</x:f>
        <x:v>0</x:v>
      </x:c>
      <x:c r="V83" s="172" t="n">
        <x:f>R83+U83</x:f>
        <x:v>-0.00937703004336935</x:v>
      </x:c>
      <x:c r="W83" s="172" t="n">
        <x:f>(1+O83)*(1+V83)-1</x:f>
        <x:v>-0.013836784550771197</x:v>
      </x:c>
      <x:c r="X83" s="174" t="n">
        <x:f>G83-W83</x:f>
        <x:v>-1.682681771697503e-16</x:v>
      </x:c>
      <x:c r="Y83" s="172" t="str">
        <x:f>AX83</x:f>
      </x:c>
      <x:c r="Z83" s="172" t="n">
        <x:f>BL83</x:f>
        <x:v>0.0004898630136986881</x:v>
      </x:c>
      <x:c r="AA83" s="172" t="n">
        <x:f>SUM(BZ83,CN83,DB83,DP83,ED83,ER83,FF83,FT83)</x:f>
        <x:v>-0.014326647564469996</x:v>
      </x:c>
      <x:c r="AB83" s="172" t="n">
        <x:f>SUM(Y83:AA83)</x:f>
        <x:v>-0.013836784550771308</x:v>
      </x:c>
      <x:c r="AC83" s="174" t="n">
        <x:f>G83-AB83</x:f>
        <x:v>-5.724587470723463e-17</x:v>
      </x:c>
      <x:c r="AD83" s="169" t="n">
        <x:v>1.2408252132200475</x:v>
      </x:c>
      <x:c r="AE83" s="169" t="n">
        <x:v>1.2236561820795568</x:v>
      </x:c>
      <x:c r="AF83" s="169" t="n">
        <x:v>0</x:v>
      </x:c>
      <x:c r="AG83" s="169" t="n">
        <x:v>0</x:v>
      </x:c>
      <x:c r="AH83" s="171" t="n">
        <x:f>M83/$M$3</x:f>
        <x:v>0.90755873340143</x:v>
      </x:c>
      <x:c r="AI83" s="171" t="n">
        <x:f>N83/$M$3</x:f>
        <x:v>0.9034729315628192</x:v>
      </x:c>
      <x:c r="AJ83" s="170" t="n">
        <x:f>IF(AK83&lt;&gt;"",1,0)+IF(AY83&lt;&gt;"",1,0)+IF(BM83&lt;&gt;"",1,0)+IF(CA83&lt;&gt;"",1,0)+IF(CO83&lt;&gt;"",1,0)+IF(DC83&lt;&gt;"",1,0)+IF(DQ83&lt;&gt;"",1,0)+IF(EE83&lt;&gt;"",1,0)+IF(ES83&lt;&gt;"",1,0)+IF(FG83&lt;&gt;"",1,0)</x:f>
        <x:v>2</x:v>
      </x:c>
      <x:c r="AK83" s="147"/>
      <x:c r="AL83" s="147"/>
      <x:c r="AM83" s="147"/>
      <x:c r="AN83" s="167"/>
      <x:c r="AO83" s="167"/>
      <x:c r="AP83" s="166"/>
      <x:c r="AQ83" s="171" t="str">
        <x:f>IF(AK83="","",IFERROR(F83*AP83/AN83,0))</x:f>
      </x:c>
      <x:c r="AR83" s="171" t="str">
        <x:f>IF(AK83="","",F83*ABS(AP83))</x:f>
      </x:c>
      <x:c r="AS83" s="165"/>
      <x:c r="AT83" s="172" t="str">
        <x:f>IF(AK83="","",IF(AS83="","",IFERROR(AN83/AS83-1,0)))</x:f>
      </x:c>
      <x:c r="AU83" s="166"/>
      <x:c r="AV83" s="172" t="str">
        <x:f>IF(AK83="","",IF(AU83="","",AU83-AT83*365/AW83))</x:f>
      </x:c>
      <x:c r="AW83" s="164"/>
      <x:c r="AX83" s="173" t="str">
        <x:f>IF(AK83="","",IFERROR(AP83*(AO83/AN83-1),0))</x:f>
      </x:c>
      <x:c r="AY83" s="147" t="str">
        <x:v>Matched-maturity Treasury collateral</x:v>
      </x:c>
      <x:c r="AZ83" s="147" t="str">
        <x:v>Treasury</x:v>
      </x:c>
      <x:c r="BA83" s="147" t="str">
        <x:v>Long</x:v>
      </x:c>
      <x:c r="BB83" s="167" t="n">
        <x:v>102.02413029817761</x:v>
      </x:c>
      <x:c r="BC83" s="167" t="n">
        <x:v>102.07410814611546</x:v>
      </x:c>
      <x:c r="BD83" s="166" t="n">
        <x:v>1</x:v>
      </x:c>
      <x:c r="BE83" s="171" t="n">
        <x:f>IF(AY83="","",IFERROR(F83*BD83/BB83,0))</x:f>
        <x:v>0.012162075869635821</x:v>
      </x:c>
      <x:c r="BF83" s="171" t="n">
        <x:f>IF(AY83="","",F83*ABS(BD83))</x:f>
        <x:v>1.2408252132200468</x:v>
      </x:c>
      <x:c r="BG83" s="165"/>
      <x:c r="BH83" s="172" t="str">
        <x:f>IF(AY83="","",IF(BG83="","",IFERROR(BB83/BG83-1,0)))</x:f>
      </x:c>
      <x:c r="BI83" s="166"/>
      <x:c r="BJ83" s="172" t="str">
        <x:f>IF(AY83="","",IF(BI83="","",BI83-BH83*365/BK83))</x:f>
      </x:c>
      <x:c r="BK83" s="164" t="n">
        <x:v>26</x:v>
      </x:c>
      <x:c r="BL83" s="172" t="n">
        <x:f>IF(AY83="","",IFERROR(BD83*(BC83/BB83-1),0))</x:f>
        <x:v>0.0004898630136986881</x:v>
      </x:c>
      <x:c r="BM83" s="147" t="str">
        <x:v>SI69K</x:v>
      </x:c>
      <x:c r="BN83" s="147" t="str">
        <x:v>Silver future (regular)</x:v>
      </x:c>
      <x:c r="BO83" s="147" t="str">
        <x:v>Long</x:v>
      </x:c>
      <x:c r="BP83" s="167" t="n">
        <x:v>1.745</x:v>
      </x:c>
      <x:c r="BQ83" s="167" t="n">
        <x:v>1.72</x:v>
      </x:c>
      <x:c r="BR83" s="166" t="n">
        <x:v>1</x:v>
      </x:c>
      <x:c r="BS83" s="171" t="n">
        <x:f>IF(BM83="","",IFERROR(F83*BR83/BP83,0))</x:f>
        <x:v>0.7110746207564738</x:v>
      </x:c>
      <x:c r="BT83" s="171" t="n">
        <x:f>IF(BM83="","",F83*ABS(BR83))</x:f>
        <x:v>1.2408252132200468</x:v>
      </x:c>
      <x:c r="BU83" s="165" t="n">
        <x:v>1.777</x:v>
      </x:c>
      <x:c r="BV83" s="172" t="n">
        <x:f>IF(BM83="","",IF(BU83="","",IFERROR(BP83/BU83-1,0)))</x:f>
        <x:v>-0.01800787844682039</x:v>
      </x:c>
      <x:c r="BW83" s="166" t="n">
        <x:v>0.0596</x:v>
      </x:c>
      <x:c r="BX83" s="172" t="n">
        <x:f>IF(BM83="","",IF(BW83="","",BW83-BV83*365/BY83))</x:f>
        <x:v>0.3124029089649786</x:v>
      </x:c>
      <x:c r="BY83" s="164" t="n">
        <x:v>26</x:v>
      </x:c>
      <x:c r="BZ83" s="172" t="n">
        <x:f>IF(BM83="","",IFERROR(BR83*(BQ83/BP83-1),0))</x:f>
        <x:v>-0.014326647564469996</x:v>
      </x:c>
      <x:c r="CA83" s="147"/>
      <x:c r="CB83" s="147"/>
      <x:c r="CC83" s="147"/>
      <x:c r="CD83" s="167"/>
      <x:c r="CE83" s="167"/>
      <x:c r="CF83" s="166"/>
      <x:c r="CG83" s="171" t="str">
        <x:f>IF(CA83="","",IFERROR(F83*CF83/CD83,0))</x:f>
      </x:c>
      <x:c r="CH83" s="171" t="str">
        <x:f>IF(CA83="","",F83*ABS(CF83))</x:f>
      </x:c>
      <x:c r="CI83" s="165"/>
      <x:c r="CJ83" s="172" t="str">
        <x:f>IF(CA83="","",IF(CI83="","",IFERROR(CD83/CI83-1,0)))</x:f>
      </x:c>
      <x:c r="CK83" s="166"/>
      <x:c r="CL83" s="172" t="str">
        <x:f>IF(CA83="","",IF(CK83="","",CK83-CJ83*365/CM83))</x:f>
      </x:c>
      <x:c r="CM83" s="164"/>
      <x:c r="CN83" s="172" t="str">
        <x:f>IF(CA83="","",IFERROR(CF83*(CE83/CD83-1),0))</x:f>
      </x:c>
      <x:c r="CO83" s="147"/>
      <x:c r="CP83" s="147"/>
      <x:c r="CQ83" s="147"/>
      <x:c r="CR83" s="167"/>
      <x:c r="CS83" s="167"/>
      <x:c r="CT83" s="166"/>
      <x:c r="CU83" s="171" t="str">
        <x:f>IF(CO83="","",IFERROR(F83*CT83/CR83,0))</x:f>
      </x:c>
      <x:c r="CV83" s="171" t="str">
        <x:f>IF(CO83="","",F83*ABS(CT83))</x:f>
      </x:c>
      <x:c r="CW83" s="165"/>
      <x:c r="CX83" s="172" t="str">
        <x:f>IF(CO83="","",IF(CW83="","",IFERROR(CR83/CW83-1,0)))</x:f>
      </x:c>
      <x:c r="CY83" s="166"/>
      <x:c r="CZ83" s="172" t="str">
        <x:f>IF(CO83="","",IF(CY83="","",CY83-CX83*365/DA83))</x:f>
      </x:c>
      <x:c r="DA83" s="164"/>
      <x:c r="DB83" s="172" t="str">
        <x:f>IF(CO83="","",IFERROR(CT83*(CS83/CR83-1),0))</x:f>
      </x:c>
      <x:c r="DC83" s="147"/>
      <x:c r="DD83" s="147"/>
      <x:c r="DE83" s="147"/>
      <x:c r="DF83" s="167"/>
      <x:c r="DG83" s="167"/>
      <x:c r="DH83" s="166"/>
      <x:c r="DI83" s="171" t="str">
        <x:f>IF(DC83="","",IFERROR(F83*DH83/DF83,0))</x:f>
      </x:c>
      <x:c r="DJ83" s="171" t="str">
        <x:f>IF(DC83="","",F83*ABS(DH83))</x:f>
      </x:c>
      <x:c r="DK83" s="165"/>
      <x:c r="DL83" s="172" t="str">
        <x:f>IF(DC83="","",IF(DK83="","",IFERROR(DF83/DK83-1,0)))</x:f>
      </x:c>
      <x:c r="DM83" s="166"/>
      <x:c r="DN83" s="172" t="str">
        <x:f>IF(DC83="","",IF(DM83="","",DM83-DL83*365/DO83))</x:f>
      </x:c>
      <x:c r="DO83" s="164"/>
      <x:c r="DP83" s="172" t="str">
        <x:f>IF(DC83="","",IFERROR(DH83*(DG83/DF83-1),0))</x:f>
      </x:c>
      <x:c r="DQ83" s="147"/>
      <x:c r="DR83" s="147"/>
      <x:c r="DS83" s="147"/>
      <x:c r="DT83" s="167"/>
      <x:c r="DU83" s="167"/>
      <x:c r="DV83" s="166"/>
      <x:c r="DW83" s="171" t="str">
        <x:f>IF(DQ83="","",IFERROR(F83*DV83/DT83,0))</x:f>
      </x:c>
      <x:c r="DX83" s="171" t="str">
        <x:f>IF(DQ83="","",F83*ABS(DV83))</x:f>
      </x:c>
      <x:c r="DY83" s="165"/>
      <x:c r="DZ83" s="172" t="str">
        <x:f>IF(DQ83="","",IF(DY83="","",IFERROR(DT83/DY83-1,0)))</x:f>
      </x:c>
      <x:c r="EA83" s="166"/>
      <x:c r="EB83" s="172" t="str">
        <x:f>IF(DQ83="","",IF(EA83="","",EA83-DZ83*365/EC83))</x:f>
      </x:c>
      <x:c r="EC83" s="164"/>
      <x:c r="ED83" s="172" t="str">
        <x:f>IF(DQ83="","",IFERROR(DV83*(DU83/DT83-1),0))</x:f>
      </x:c>
      <x:c r="EE83" s="147"/>
      <x:c r="EF83" s="147"/>
      <x:c r="EG83" s="147"/>
      <x:c r="EH83" s="167"/>
      <x:c r="EI83" s="167"/>
      <x:c r="EJ83" s="166"/>
      <x:c r="EK83" s="171" t="str">
        <x:f>IF(EE83="","",IFERROR(F83*EJ83/EH83,0))</x:f>
      </x:c>
      <x:c r="EL83" s="171" t="str">
        <x:f>IF(EE83="","",F83*ABS(EJ83))</x:f>
      </x:c>
      <x:c r="EM83" s="165"/>
      <x:c r="EN83" s="172" t="str">
        <x:f>IF(EE83="","",IF(EM83="","",IFERROR(EH83/EM83-1,0)))</x:f>
      </x:c>
      <x:c r="EO83" s="166"/>
      <x:c r="EP83" s="172" t="str">
        <x:f>IF(EE83="","",IF(EO83="","",EO83-EN83*365/EQ83))</x:f>
      </x:c>
      <x:c r="EQ83" s="164"/>
      <x:c r="ER83" s="172" t="str">
        <x:f>IF(EE83="","",IFERROR(EJ83*(EI83/EH83-1),0))</x:f>
      </x:c>
      <x:c r="ES83" s="147"/>
      <x:c r="ET83" s="147"/>
      <x:c r="EU83" s="147"/>
      <x:c r="EV83" s="167"/>
      <x:c r="EW83" s="167"/>
      <x:c r="EX83" s="166"/>
      <x:c r="EY83" s="171" t="str">
        <x:f>IF(ES83="","",IFERROR(F83*EX83/EV83,0))</x:f>
      </x:c>
      <x:c r="EZ83" s="171" t="str">
        <x:f>IF(ES83="","",F83*ABS(EX83))</x:f>
      </x:c>
      <x:c r="FA83" s="165"/>
      <x:c r="FB83" s="172" t="str">
        <x:f>IF(ES83="","",IF(FA83="","",IFERROR(EV83/FA83-1,0)))</x:f>
      </x:c>
      <x:c r="FC83" s="166"/>
      <x:c r="FD83" s="172" t="str">
        <x:f>IF(ES83="","",IF(FC83="","",FC83-FB83*365/FE83))</x:f>
      </x:c>
      <x:c r="FE83" s="164"/>
      <x:c r="FF83" s="172" t="str">
        <x:f>IF(ES83="","",IFERROR(EX83*(EW83/EV83-1),0))</x:f>
      </x:c>
      <x:c r="FG83" s="147"/>
      <x:c r="FH83" s="147"/>
      <x:c r="FI83" s="147"/>
      <x:c r="FJ83" s="167"/>
      <x:c r="FK83" s="167"/>
      <x:c r="FL83" s="166"/>
      <x:c r="FM83" s="171" t="str">
        <x:f>IF(FG83="","",IFERROR(F83*FL83/FJ83,0))</x:f>
      </x:c>
      <x:c r="FN83" s="171" t="str">
        <x:f>IF(FG83="","",F83*ABS(FL83))</x:f>
      </x:c>
      <x:c r="FO83" s="165"/>
      <x:c r="FP83" s="172" t="str">
        <x:f>IF(FG83="","",IF(FO83="","",IFERROR(FJ83/FO83-1,0)))</x:f>
      </x:c>
      <x:c r="FQ83" s="166"/>
      <x:c r="FR83" s="172" t="str">
        <x:f>IF(FG83="","",IF(FQ83="","",FQ83-FP83*365/FS83))</x:f>
      </x:c>
      <x:c r="FS83" s="164"/>
      <x:c r="FT83" s="172" t="str">
        <x:f>IF(FG83="","",IFERROR(FL83*(FK83/FJ83-1),0))</x:f>
      </x:c>
    </x:row>
    <x:row r="84" ht="18" customHeight="1">
      <x:c r="A84" s="163" t="n">
        <x:v>25328</x:v>
      </x:c>
      <x:c r="B84" s="163" t="n">
        <x:v>25329</x:v>
      </x:c>
      <x:c r="C84" s="170" t="n">
        <x:f>B84-A84</x:f>
        <x:v>1</x:v>
      </x:c>
      <x:c r="D84" s="163" t="n">
        <x:v>25328</x:v>
      </x:c>
      <x:c r="E84" s="147" t="str">
        <x:v>positive</x:v>
      </x:c>
      <x:c r="F84" s="165" t="n">
        <x:v>1.223656182079556</x:v>
      </x:c>
      <x:c r="G84" s="168" t="n">
        <x:v>0.014697623446957655</x:v>
      </x:c>
      <x:c r="H84" s="172" t="n">
        <x:f>SUM(AX84,BL84,BZ84,CN84,DB84,DP84,ED84,ER84,FF84,FT84)</x:f>
        <x:v>0.014697623446957575</x:v>
      </x:c>
      <x:c r="I84" s="174" t="n">
        <x:f>G84-H84</x:f>
        <x:v>7.979727989493313e-17</x:v>
      </x:c>
      <x:c r="J84" s="171" t="n">
        <x:f>F84*(1+H84)</x:f>
        <x:v>1.2416410198723031</x:v>
      </x:c>
      <x:c r="K84" s="169" t="n">
        <x:v>1.2416410198723031</x:v>
      </x:c>
      <x:c r="L84" s="175" t="n">
        <x:f>K84-J84</x:f>
        <x:v>0</x:v>
      </x:c>
      <x:c r="M84" s="167" t="n">
        <x:v>1.769</x:v>
      </x:c>
      <x:c r="N84" s="167" t="n">
        <x:v>1.758</x:v>
      </x:c>
      <x:c r="O84" s="172" t="n">
        <x:f>IFERROR(N84/M84-1,0)</x:f>
        <x:v>-0.006218202374222659</x:v>
      </x:c>
      <x:c r="P84" s="171" t="n">
        <x:f>IFERROR(AD84/AH84,0)</x:f>
        <x:v>1.354391636241816</x:v>
      </x:c>
      <x:c r="Q84" s="171" t="n">
        <x:f>IFERROR(AE84/AI84,0)</x:f>
        <x:v>1.382897108594978</x:v>
      </x:c>
      <x:c r="R84" s="172" t="n">
        <x:f>IFERROR((Q84-P84)/(P84+S84),0)</x:f>
        <x:v>0.021046698451460677</x:v>
      </x:c>
      <x:c r="S84" s="172" t="n">
        <x:f>IFERROR(AF84/AH84,0)</x:f>
        <x:v>0</x:v>
      </x:c>
      <x:c r="T84" s="172" t="n">
        <x:f>IFERROR(AG84/AI84,0)</x:f>
        <x:v>0</x:v>
      </x:c>
      <x:c r="U84" s="172" t="n">
        <x:f>IFERROR((T84-S84)/(P84+S84),0)</x:f>
        <x:v>0</x:v>
      </x:c>
      <x:c r="V84" s="172" t="n">
        <x:f>R84+U84</x:f>
        <x:v>0.021046698451460677</x:v>
      </x:c>
      <x:c r="W84" s="172" t="n">
        <x:f>(1+O84)*(1+V84)-1</x:f>
        <x:v>0.014697623446957797</x:v>
      </x:c>
      <x:c r="X84" s="174" t="n">
        <x:f>G84-W84</x:f>
        <x:v>-1.4224732503009818e-16</x:v>
      </x:c>
      <x:c r="Y84" s="172" t="str">
        <x:f>AX84</x:f>
      </x:c>
      <x:c r="Z84" s="172" t="n">
        <x:f>BL84</x:f>
        <x:v>0.00016273972602731668</x:v>
      </x:c>
      <x:c r="AA84" s="172" t="n">
        <x:f>SUM(BZ84,CN84,DB84,DP84,ED84,ER84,FF84,FT84)</x:f>
        <x:v>0.014534883720930258</x:v>
      </x:c>
      <x:c r="AB84" s="172" t="n">
        <x:f>SUM(Y84:AA84)</x:f>
        <x:v>0.014697623446957575</x:v>
      </x:c>
      <x:c r="AC84" s="174" t="n">
        <x:f>G84-AB84</x:f>
        <x:v>7.979727989493313e-17</x:v>
      </x:c>
      <x:c r="AD84" s="169" t="n">
        <x:v>1.2236561820795568</x:v>
      </x:c>
      <x:c r="AE84" s="169" t="n">
        <x:v>1.241641019872304</x:v>
      </x:c>
      <x:c r="AF84" s="169" t="n">
        <x:v>0</x:v>
      </x:c>
      <x:c r="AG84" s="169" t="n">
        <x:v>0</x:v>
      </x:c>
      <x:c r="AH84" s="171" t="n">
        <x:f>M84/$M$3</x:f>
        <x:v>0.9034729315628192</x:v>
      </x:c>
      <x:c r="AI84" s="171" t="n">
        <x:f>N84/$M$3</x:f>
        <x:v>0.8978549540347294</x:v>
      </x:c>
      <x:c r="AJ84" s="170" t="n">
        <x:f>IF(AK84&lt;&gt;"",1,0)+IF(AY84&lt;&gt;"",1,0)+IF(BM84&lt;&gt;"",1,0)+IF(CA84&lt;&gt;"",1,0)+IF(CO84&lt;&gt;"",1,0)+IF(DC84&lt;&gt;"",1,0)+IF(DQ84&lt;&gt;"",1,0)+IF(EE84&lt;&gt;"",1,0)+IF(ES84&lt;&gt;"",1,0)+IF(FG84&lt;&gt;"",1,0)</x:f>
        <x:v>2</x:v>
      </x:c>
      <x:c r="AK84" s="147"/>
      <x:c r="AL84" s="147"/>
      <x:c r="AM84" s="147"/>
      <x:c r="AN84" s="167"/>
      <x:c r="AO84" s="167"/>
      <x:c r="AP84" s="166"/>
      <x:c r="AQ84" s="171" t="str">
        <x:f>IF(AK84="","",IFERROR(F84*AP84/AN84,0))</x:f>
      </x:c>
      <x:c r="AR84" s="171" t="str">
        <x:f>IF(AK84="","",F84*ABS(AP84))</x:f>
      </x:c>
      <x:c r="AS84" s="165"/>
      <x:c r="AT84" s="172" t="str">
        <x:f>IF(AK84="","",IF(AS84="","",IFERROR(AN84/AS84-1,0)))</x:f>
      </x:c>
      <x:c r="AU84" s="166"/>
      <x:c r="AV84" s="172" t="str">
        <x:f>IF(AK84="","",IF(AU84="","",AU84-AT84*365/AW84))</x:f>
      </x:c>
      <x:c r="AW84" s="164"/>
      <x:c r="AX84" s="173" t="str">
        <x:f>IF(AK84="","",IFERROR(AP84*(AO84/AN84-1),0))</x:f>
      </x:c>
      <x:c r="AY84" s="147" t="str">
        <x:v>Matched-maturity Treasury collateral</x:v>
      </x:c>
      <x:c r="AZ84" s="147" t="str">
        <x:v>Treasury</x:v>
      </x:c>
      <x:c r="BA84" s="147" t="str">
        <x:v>Long</x:v>
      </x:c>
      <x:c r="BB84" s="167" t="n">
        <x:v>102.07410814611546</x:v>
      </x:c>
      <x:c r="BC84" s="167" t="n">
        <x:v>102.09071965850964</x:v>
      </x:c>
      <x:c r="BD84" s="166" t="n">
        <x:v>1</x:v>
      </x:c>
      <x:c r="BE84" s="171" t="n">
        <x:f>IF(AY84="","",IFERROR(F84*BD84/BB84,0))</x:f>
        <x:v>0.011987919407808448</x:v>
      </x:c>
      <x:c r="BF84" s="171" t="n">
        <x:f>IF(AY84="","",F84*ABS(BD84))</x:f>
        <x:v>1.223656182079556</x:v>
      </x:c>
      <x:c r="BG84" s="165"/>
      <x:c r="BH84" s="172" t="str">
        <x:f>IF(AY84="","",IF(BG84="","",IFERROR(BB84/BG84-1,0)))</x:f>
      </x:c>
      <x:c r="BI84" s="166"/>
      <x:c r="BJ84" s="172" t="str">
        <x:f>IF(AY84="","",IF(BI84="","",BI84-BH84*365/BK84))</x:f>
      </x:c>
      <x:c r="BK84" s="164" t="n">
        <x:v>23</x:v>
      </x:c>
      <x:c r="BL84" s="172" t="n">
        <x:f>IF(AY84="","",IFERROR(BD84*(BC84/BB84-1),0))</x:f>
        <x:v>0.00016273972602731668</x:v>
      </x:c>
      <x:c r="BM84" s="147" t="str">
        <x:v>SI69K</x:v>
      </x:c>
      <x:c r="BN84" s="147" t="str">
        <x:v>Silver future (regular)</x:v>
      </x:c>
      <x:c r="BO84" s="147" t="str">
        <x:v>Long</x:v>
      </x:c>
      <x:c r="BP84" s="167" t="n">
        <x:v>1.72</x:v>
      </x:c>
      <x:c r="BQ84" s="167" t="n">
        <x:v>1.745</x:v>
      </x:c>
      <x:c r="BR84" s="166" t="n">
        <x:v>1</x:v>
      </x:c>
      <x:c r="BS84" s="171" t="n">
        <x:f>IF(BM84="","",IFERROR(F84*BR84/BP84,0))</x:f>
        <x:v>0.7114280128369511</x:v>
      </x:c>
      <x:c r="BT84" s="171" t="n">
        <x:f>IF(BM84="","",F84*ABS(BR84))</x:f>
        <x:v>1.223656182079556</x:v>
      </x:c>
      <x:c r="BU84" s="165" t="n">
        <x:v>1.769</x:v>
      </x:c>
      <x:c r="BV84" s="172" t="n">
        <x:f>IF(BM84="","",IF(BU84="","",IFERROR(BP84/BU84-1,0)))</x:f>
        <x:v>-0.02769926512153753</x:v>
      </x:c>
      <x:c r="BW84" s="166" t="n">
        <x:v>0.0594</x:v>
      </x:c>
      <x:c r="BX84" s="172" t="n">
        <x:f>IF(BM84="","",IF(BW84="","",BW84-BV84*365/BY84))</x:f>
        <x:v>0.49897529432005217</x:v>
      </x:c>
      <x:c r="BY84" s="164" t="n">
        <x:v>23</x:v>
      </x:c>
      <x:c r="BZ84" s="172" t="n">
        <x:f>IF(BM84="","",IFERROR(BR84*(BQ84/BP84-1),0))</x:f>
        <x:v>0.014534883720930258</x:v>
      </x:c>
      <x:c r="CA84" s="147"/>
      <x:c r="CB84" s="147"/>
      <x:c r="CC84" s="147"/>
      <x:c r="CD84" s="167"/>
      <x:c r="CE84" s="167"/>
      <x:c r="CF84" s="166"/>
      <x:c r="CG84" s="171" t="str">
        <x:f>IF(CA84="","",IFERROR(F84*CF84/CD84,0))</x:f>
      </x:c>
      <x:c r="CH84" s="171" t="str">
        <x:f>IF(CA84="","",F84*ABS(CF84))</x:f>
      </x:c>
      <x:c r="CI84" s="165"/>
      <x:c r="CJ84" s="172" t="str">
        <x:f>IF(CA84="","",IF(CI84="","",IFERROR(CD84/CI84-1,0)))</x:f>
      </x:c>
      <x:c r="CK84" s="166"/>
      <x:c r="CL84" s="172" t="str">
        <x:f>IF(CA84="","",IF(CK84="","",CK84-CJ84*365/CM84))</x:f>
      </x:c>
      <x:c r="CM84" s="164"/>
      <x:c r="CN84" s="172" t="str">
        <x:f>IF(CA84="","",IFERROR(CF84*(CE84/CD84-1),0))</x:f>
      </x:c>
      <x:c r="CO84" s="147"/>
      <x:c r="CP84" s="147"/>
      <x:c r="CQ84" s="147"/>
      <x:c r="CR84" s="167"/>
      <x:c r="CS84" s="167"/>
      <x:c r="CT84" s="166"/>
      <x:c r="CU84" s="171" t="str">
        <x:f>IF(CO84="","",IFERROR(F84*CT84/CR84,0))</x:f>
      </x:c>
      <x:c r="CV84" s="171" t="str">
        <x:f>IF(CO84="","",F84*ABS(CT84))</x:f>
      </x:c>
      <x:c r="CW84" s="165"/>
      <x:c r="CX84" s="172" t="str">
        <x:f>IF(CO84="","",IF(CW84="","",IFERROR(CR84/CW84-1,0)))</x:f>
      </x:c>
      <x:c r="CY84" s="166"/>
      <x:c r="CZ84" s="172" t="str">
        <x:f>IF(CO84="","",IF(CY84="","",CY84-CX84*365/DA84))</x:f>
      </x:c>
      <x:c r="DA84" s="164"/>
      <x:c r="DB84" s="172" t="str">
        <x:f>IF(CO84="","",IFERROR(CT84*(CS84/CR84-1),0))</x:f>
      </x:c>
      <x:c r="DC84" s="147"/>
      <x:c r="DD84" s="147"/>
      <x:c r="DE84" s="147"/>
      <x:c r="DF84" s="167"/>
      <x:c r="DG84" s="167"/>
      <x:c r="DH84" s="166"/>
      <x:c r="DI84" s="171" t="str">
        <x:f>IF(DC84="","",IFERROR(F84*DH84/DF84,0))</x:f>
      </x:c>
      <x:c r="DJ84" s="171" t="str">
        <x:f>IF(DC84="","",F84*ABS(DH84))</x:f>
      </x:c>
      <x:c r="DK84" s="165"/>
      <x:c r="DL84" s="172" t="str">
        <x:f>IF(DC84="","",IF(DK84="","",IFERROR(DF84/DK84-1,0)))</x:f>
      </x:c>
      <x:c r="DM84" s="166"/>
      <x:c r="DN84" s="172" t="str">
        <x:f>IF(DC84="","",IF(DM84="","",DM84-DL84*365/DO84))</x:f>
      </x:c>
      <x:c r="DO84" s="164"/>
      <x:c r="DP84" s="172" t="str">
        <x:f>IF(DC84="","",IFERROR(DH84*(DG84/DF84-1),0))</x:f>
      </x:c>
      <x:c r="DQ84" s="147"/>
      <x:c r="DR84" s="147"/>
      <x:c r="DS84" s="147"/>
      <x:c r="DT84" s="167"/>
      <x:c r="DU84" s="167"/>
      <x:c r="DV84" s="166"/>
      <x:c r="DW84" s="171" t="str">
        <x:f>IF(DQ84="","",IFERROR(F84*DV84/DT84,0))</x:f>
      </x:c>
      <x:c r="DX84" s="171" t="str">
        <x:f>IF(DQ84="","",F84*ABS(DV84))</x:f>
      </x:c>
      <x:c r="DY84" s="165"/>
      <x:c r="DZ84" s="172" t="str">
        <x:f>IF(DQ84="","",IF(DY84="","",IFERROR(DT84/DY84-1,0)))</x:f>
      </x:c>
      <x:c r="EA84" s="166"/>
      <x:c r="EB84" s="172" t="str">
        <x:f>IF(DQ84="","",IF(EA84="","",EA84-DZ84*365/EC84))</x:f>
      </x:c>
      <x:c r="EC84" s="164"/>
      <x:c r="ED84" s="172" t="str">
        <x:f>IF(DQ84="","",IFERROR(DV84*(DU84/DT84-1),0))</x:f>
      </x:c>
      <x:c r="EE84" s="147"/>
      <x:c r="EF84" s="147"/>
      <x:c r="EG84" s="147"/>
      <x:c r="EH84" s="167"/>
      <x:c r="EI84" s="167"/>
      <x:c r="EJ84" s="166"/>
      <x:c r="EK84" s="171" t="str">
        <x:f>IF(EE84="","",IFERROR(F84*EJ84/EH84,0))</x:f>
      </x:c>
      <x:c r="EL84" s="171" t="str">
        <x:f>IF(EE84="","",F84*ABS(EJ84))</x:f>
      </x:c>
      <x:c r="EM84" s="165"/>
      <x:c r="EN84" s="172" t="str">
        <x:f>IF(EE84="","",IF(EM84="","",IFERROR(EH84/EM84-1,0)))</x:f>
      </x:c>
      <x:c r="EO84" s="166"/>
      <x:c r="EP84" s="172" t="str">
        <x:f>IF(EE84="","",IF(EO84="","",EO84-EN84*365/EQ84))</x:f>
      </x:c>
      <x:c r="EQ84" s="164"/>
      <x:c r="ER84" s="172" t="str">
        <x:f>IF(EE84="","",IFERROR(EJ84*(EI84/EH84-1),0))</x:f>
      </x:c>
      <x:c r="ES84" s="147"/>
      <x:c r="ET84" s="147"/>
      <x:c r="EU84" s="147"/>
      <x:c r="EV84" s="167"/>
      <x:c r="EW84" s="167"/>
      <x:c r="EX84" s="166"/>
      <x:c r="EY84" s="171" t="str">
        <x:f>IF(ES84="","",IFERROR(F84*EX84/EV84,0))</x:f>
      </x:c>
      <x:c r="EZ84" s="171" t="str">
        <x:f>IF(ES84="","",F84*ABS(EX84))</x:f>
      </x:c>
      <x:c r="FA84" s="165"/>
      <x:c r="FB84" s="172" t="str">
        <x:f>IF(ES84="","",IF(FA84="","",IFERROR(EV84/FA84-1,0)))</x:f>
      </x:c>
      <x:c r="FC84" s="166"/>
      <x:c r="FD84" s="172" t="str">
        <x:f>IF(ES84="","",IF(FC84="","",FC84-FB84*365/FE84))</x:f>
      </x:c>
      <x:c r="FE84" s="164"/>
      <x:c r="FF84" s="172" t="str">
        <x:f>IF(ES84="","",IFERROR(EX84*(EW84/EV84-1),0))</x:f>
      </x:c>
      <x:c r="FG84" s="147"/>
      <x:c r="FH84" s="147"/>
      <x:c r="FI84" s="147"/>
      <x:c r="FJ84" s="167"/>
      <x:c r="FK84" s="167"/>
      <x:c r="FL84" s="166"/>
      <x:c r="FM84" s="171" t="str">
        <x:f>IF(FG84="","",IFERROR(F84*FL84/FJ84,0))</x:f>
      </x:c>
      <x:c r="FN84" s="171" t="str">
        <x:f>IF(FG84="","",F84*ABS(FL84))</x:f>
      </x:c>
      <x:c r="FO84" s="165"/>
      <x:c r="FP84" s="172" t="str">
        <x:f>IF(FG84="","",IF(FO84="","",IFERROR(FJ84/FO84-1,0)))</x:f>
      </x:c>
      <x:c r="FQ84" s="166"/>
      <x:c r="FR84" s="172" t="str">
        <x:f>IF(FG84="","",IF(FQ84="","",FQ84-FP84*365/FS84))</x:f>
      </x:c>
      <x:c r="FS84" s="164"/>
      <x:c r="FT84" s="172" t="str">
        <x:f>IF(FG84="","",IFERROR(FL84*(FK84/FJ84-1),0))</x:f>
      </x:c>
    </x:row>
    <x:row r="85" ht="18" customHeight="1">
      <x:c r="A85" s="163" t="n">
        <x:v>25329</x:v>
      </x:c>
      <x:c r="B85" s="163" t="n">
        <x:v>25330</x:v>
      </x:c>
      <x:c r="C85" s="170" t="n">
        <x:f>B85-A85</x:f>
        <x:v>1</x:v>
      </x:c>
      <x:c r="D85" s="163" t="n">
        <x:v>25329</x:v>
      </x:c>
      <x:c r="E85" s="147" t="str">
        <x:v>positive</x:v>
      </x:c>
      <x:c r="F85" s="165" t="n">
        <x:v>1.2416410198723031</x:v>
      </x:c>
      <x:c r="G85" s="168" t="n">
        <x:v>0.04314487420025896</x:v>
      </x:c>
      <x:c r="H85" s="172" t="n">
        <x:f>SUM(AX85,BL85,BZ85,CN85,DB85,DP85,ED85,ER85,FF85,FT85)</x:f>
        <x:v>0.04314487420025892</x:v>
      </x:c>
      <x:c r="I85" s="174" t="n">
        <x:f>G85-H85</x:f>
        <x:v>4.163336342344337e-17</x:v>
      </x:c>
      <x:c r="J85" s="171" t="n">
        <x:f>F85*(1+H85)</x:f>
        <x:v>1.2952114654765747</x:v>
      </x:c>
      <x:c r="K85" s="169" t="n">
        <x:v>1.2952114654765747</x:v>
      </x:c>
      <x:c r="L85" s="175" t="n">
        <x:f>K85-J85</x:f>
        <x:v>0</x:v>
      </x:c>
      <x:c r="M85" s="167" t="n">
        <x:v>1.758</x:v>
      </x:c>
      <x:c r="N85" s="167" t="n">
        <x:v>1.807</x:v>
      </x:c>
      <x:c r="O85" s="172" t="n">
        <x:f>IFERROR(N85/M85-1,0)</x:f>
        <x:v>0.027872582480090946</x:v>
      </x:c>
      <x:c r="P85" s="171" t="n">
        <x:f>IFERROR(AD85/AH85,0)</x:f>
        <x:v>1.382897108594978</x:v>
      </x:c>
      <x:c r="Q85" s="171" t="n">
        <x:f>IFERROR(AE85/AI85,0)</x:f>
        <x:v>1.403444410295039</x:v>
      </x:c>
      <x:c r="R85" s="172" t="n">
        <x:f>IFERROR((Q85-P85)/(P85+S85),0)</x:f>
        <x:v>0.014858156526870654</x:v>
      </x:c>
      <x:c r="S85" s="172" t="n">
        <x:f>IFERROR(AF85/AH85,0)</x:f>
        <x:v>0</x:v>
      </x:c>
      <x:c r="T85" s="172" t="n">
        <x:f>IFERROR(AG85/AI85,0)</x:f>
        <x:v>0</x:v>
      </x:c>
      <x:c r="U85" s="172" t="n">
        <x:f>IFERROR((T85-S85)/(P85+S85),0)</x:f>
        <x:v>0</x:v>
      </x:c>
      <x:c r="V85" s="172" t="n">
        <x:f>R85+U85</x:f>
        <x:v>0.014858156526870654</x:v>
      </x:c>
      <x:c r="W85" s="172" t="n">
        <x:f>(1+O85)*(1+V85)-1</x:f>
        <x:v>0.04314487420025892</x:v>
      </x:c>
      <x:c r="X85" s="174" t="n">
        <x:f>G85-W85</x:f>
        <x:v>4.163336342344337e-17</x:v>
      </x:c>
      <x:c r="Y85" s="172" t="n">
        <x:f>AX85</x:f>
        <x:v>0</x:v>
      </x:c>
      <x:c r="Z85" s="172" t="n">
        <x:f>BL85</x:f>
        <x:v>0.00016493150684926405</x:v>
      </x:c>
      <x:c r="AA85" s="172" t="n">
        <x:f>SUM(BZ85,CN85,DB85,DP85,ED85,ER85,FF85,FT85)</x:f>
        <x:v>0.042979942693409656</x:v>
      </x:c>
      <x:c r="AB85" s="172" t="n">
        <x:f>SUM(Y85:AA85)</x:f>
        <x:v>0.04314487420025892</x:v>
      </x:c>
      <x:c r="AC85" s="174" t="n">
        <x:f>G85-AB85</x:f>
        <x:v>4.163336342344337e-17</x:v>
      </x:c>
      <x:c r="AD85" s="169" t="n">
        <x:v>1.241641019872304</x:v>
      </x:c>
      <x:c r="AE85" s="169" t="n">
        <x:v>1.2952114654765758</x:v>
      </x:c>
      <x:c r="AF85" s="169" t="n">
        <x:v>0</x:v>
      </x:c>
      <x:c r="AG85" s="169" t="n">
        <x:v>0</x:v>
      </x:c>
      <x:c r="AH85" s="171" t="n">
        <x:f>M85/$M$3</x:f>
        <x:v>0.8978549540347294</x:v>
      </x:c>
      <x:c r="AI85" s="171" t="n">
        <x:f>N85/$M$3</x:f>
        <x:v>0.9228804902962207</x:v>
      </x:c>
      <x:c r="AJ85" s="170" t="n">
        <x:f>IF(AK85&lt;&gt;"",1,0)+IF(AY85&lt;&gt;"",1,0)+IF(BM85&lt;&gt;"",1,0)+IF(CA85&lt;&gt;"",1,0)+IF(CO85&lt;&gt;"",1,0)+IF(DC85&lt;&gt;"",1,0)+IF(DQ85&lt;&gt;"",1,0)+IF(EE85&lt;&gt;"",1,0)+IF(ES85&lt;&gt;"",1,0)+IF(FG85&lt;&gt;"",1,0)</x:f>
        <x:v>2</x:v>
      </x:c>
      <x:c r="AK85" s="147"/>
      <x:c r="AL85" s="147"/>
      <x:c r="AM85" s="147"/>
      <x:c r="AN85" s="167"/>
      <x:c r="AO85" s="167"/>
      <x:c r="AP85" s="166"/>
      <x:c r="AQ85" s="171" t="str">
        <x:f>IF(AK85="","",IFERROR(F85*AP85/AN85,0))</x:f>
      </x:c>
      <x:c r="AR85" s="171" t="str">
        <x:f>IF(AK85="","",F85*ABS(AP85))</x:f>
      </x:c>
      <x:c r="AS85" s="165"/>
      <x:c r="AT85" s="172" t="str">
        <x:f>IF(AK85="","",IF(AS85="","",IFERROR(AN85/AS85-1,0)))</x:f>
      </x:c>
      <x:c r="AU85" s="166"/>
      <x:c r="AV85" s="172" t="str">
        <x:f>IF(AK85="","",IF(AU85="","",AU85-AT85*365/AW85))</x:f>
      </x:c>
      <x:c r="AW85" s="164"/>
      <x:c r="AX85" s="173" t="str">
        <x:f>IF(AK85="","",IFERROR(AP85*(AO85/AN85-1),0))</x:f>
      </x:c>
      <x:c r="AY85" s="147" t="str">
        <x:v>Matched-maturity Treasury collateral</x:v>
      </x:c>
      <x:c r="AZ85" s="147" t="str">
        <x:v>Treasury</x:v>
      </x:c>
      <x:c r="BA85" s="147" t="str">
        <x:v>Long</x:v>
      </x:c>
      <x:c r="BB85" s="167" t="n">
        <x:v>102.09071965850964</x:v>
      </x:c>
      <x:c r="BC85" s="167" t="n">
        <x:v>102.10755763473824</x:v>
      </x:c>
      <x:c r="BD85" s="166" t="n">
        <x:v>1</x:v>
      </x:c>
      <x:c r="BE85" s="171" t="n">
        <x:f>IF(AY85="","",IFERROR(F85*BD85/BB85,0))</x:f>
        <x:v>0.012162134070810302</x:v>
      </x:c>
      <x:c r="BF85" s="171" t="n">
        <x:f>IF(AY85="","",F85*ABS(BD85))</x:f>
        <x:v>1.2416410198723031</x:v>
      </x:c>
      <x:c r="BG85" s="165"/>
      <x:c r="BH85" s="172" t="str">
        <x:f>IF(AY85="","",IF(BG85="","",IFERROR(BB85/BG85-1,0)))</x:f>
      </x:c>
      <x:c r="BI85" s="166"/>
      <x:c r="BJ85" s="172" t="str">
        <x:f>IF(AY85="","",IF(BI85="","",BI85-BH85*365/BK85))</x:f>
      </x:c>
      <x:c r="BK85" s="164" t="n">
        <x:v>22</x:v>
      </x:c>
      <x:c r="BL85" s="172" t="n">
        <x:f>IF(AY85="","",IFERROR(BD85*(BC85/BB85-1),0))</x:f>
        <x:v>0.00016493150684926405</x:v>
      </x:c>
      <x:c r="BM85" s="147" t="str">
        <x:v>SI69K</x:v>
      </x:c>
      <x:c r="BN85" s="147" t="str">
        <x:v>Silver future (regular)</x:v>
      </x:c>
      <x:c r="BO85" s="147" t="str">
        <x:v>Long</x:v>
      </x:c>
      <x:c r="BP85" s="167" t="n">
        <x:v>1.745</x:v>
      </x:c>
      <x:c r="BQ85" s="167" t="n">
        <x:v>1.82</x:v>
      </x:c>
      <x:c r="BR85" s="166" t="n">
        <x:v>1</x:v>
      </x:c>
      <x:c r="BS85" s="171" t="n">
        <x:f>IF(BM85="","",IFERROR(F85*BR85/BP85,0))</x:f>
        <x:v>0.7115421317319788</x:v>
      </x:c>
      <x:c r="BT85" s="171" t="n">
        <x:f>IF(BM85="","",F85*ABS(BR85))</x:f>
        <x:v>1.2416410198723031</x:v>
      </x:c>
      <x:c r="BU85" s="165" t="n">
        <x:v>1.758</x:v>
      </x:c>
      <x:c r="BV85" s="172" t="n">
        <x:f>IF(BM85="","",IF(BU85="","",IFERROR(BP85/BU85-1,0)))</x:f>
        <x:v>-0.007394766780432271</x:v>
      </x:c>
      <x:c r="BW85" s="166" t="n">
        <x:v>0.0602</x:v>
      </x:c>
      <x:c r="BX85" s="172" t="n">
        <x:f>IF(BM85="","",IF(BW85="","",BW85-BV85*365/BY85))</x:f>
        <x:v>0.1828859034026263</x:v>
      </x:c>
      <x:c r="BY85" s="164" t="n">
        <x:v>22</x:v>
      </x:c>
      <x:c r="BZ85" s="172" t="n">
        <x:f>IF(BM85="","",IFERROR(BR85*(BQ85/BP85-1),0))</x:f>
        <x:v>0.042979942693409656</x:v>
      </x:c>
      <x:c r="CA85" s="147"/>
      <x:c r="CB85" s="147"/>
      <x:c r="CC85" s="147"/>
      <x:c r="CD85" s="167"/>
      <x:c r="CE85" s="167"/>
      <x:c r="CF85" s="166"/>
      <x:c r="CG85" s="171" t="str">
        <x:f>IF(CA85="","",IFERROR(F85*CF85/CD85,0))</x:f>
      </x:c>
      <x:c r="CH85" s="171" t="str">
        <x:f>IF(CA85="","",F85*ABS(CF85))</x:f>
      </x:c>
      <x:c r="CI85" s="165"/>
      <x:c r="CJ85" s="172" t="str">
        <x:f>IF(CA85="","",IF(CI85="","",IFERROR(CD85/CI85-1,0)))</x:f>
      </x:c>
      <x:c r="CK85" s="166"/>
      <x:c r="CL85" s="172" t="str">
        <x:f>IF(CA85="","",IF(CK85="","",CK85-CJ85*365/CM85))</x:f>
      </x:c>
      <x:c r="CM85" s="164"/>
      <x:c r="CN85" s="172" t="str">
        <x:f>IF(CA85="","",IFERROR(CF85*(CE85/CD85-1),0))</x:f>
      </x:c>
      <x:c r="CO85" s="147"/>
      <x:c r="CP85" s="147"/>
      <x:c r="CQ85" s="147"/>
      <x:c r="CR85" s="167"/>
      <x:c r="CS85" s="167"/>
      <x:c r="CT85" s="166"/>
      <x:c r="CU85" s="171" t="str">
        <x:f>IF(CO85="","",IFERROR(F85*CT85/CR85,0))</x:f>
      </x:c>
      <x:c r="CV85" s="171" t="str">
        <x:f>IF(CO85="","",F85*ABS(CT85))</x:f>
      </x:c>
      <x:c r="CW85" s="165"/>
      <x:c r="CX85" s="172" t="str">
        <x:f>IF(CO85="","",IF(CW85="","",IFERROR(CR85/CW85-1,0)))</x:f>
      </x:c>
      <x:c r="CY85" s="166"/>
      <x:c r="CZ85" s="172" t="str">
        <x:f>IF(CO85="","",IF(CY85="","",CY85-CX85*365/DA85))</x:f>
      </x:c>
      <x:c r="DA85" s="164"/>
      <x:c r="DB85" s="172" t="str">
        <x:f>IF(CO85="","",IFERROR(CT85*(CS85/CR85-1),0))</x:f>
      </x:c>
      <x:c r="DC85" s="147"/>
      <x:c r="DD85" s="147"/>
      <x:c r="DE85" s="147"/>
      <x:c r="DF85" s="167"/>
      <x:c r="DG85" s="167"/>
      <x:c r="DH85" s="166"/>
      <x:c r="DI85" s="171" t="str">
        <x:f>IF(DC85="","",IFERROR(F85*DH85/DF85,0))</x:f>
      </x:c>
      <x:c r="DJ85" s="171" t="str">
        <x:f>IF(DC85="","",F85*ABS(DH85))</x:f>
      </x:c>
      <x:c r="DK85" s="165"/>
      <x:c r="DL85" s="172" t="str">
        <x:f>IF(DC85="","",IF(DK85="","",IFERROR(DF85/DK85-1,0)))</x:f>
      </x:c>
      <x:c r="DM85" s="166"/>
      <x:c r="DN85" s="172" t="str">
        <x:f>IF(DC85="","",IF(DM85="","",DM85-DL85*365/DO85))</x:f>
      </x:c>
      <x:c r="DO85" s="164"/>
      <x:c r="DP85" s="172" t="str">
        <x:f>IF(DC85="","",IFERROR(DH85*(DG85/DF85-1),0))</x:f>
      </x:c>
      <x:c r="DQ85" s="147"/>
      <x:c r="DR85" s="147"/>
      <x:c r="DS85" s="147"/>
      <x:c r="DT85" s="167"/>
      <x:c r="DU85" s="167"/>
      <x:c r="DV85" s="166"/>
      <x:c r="DW85" s="171" t="str">
        <x:f>IF(DQ85="","",IFERROR(F85*DV85/DT85,0))</x:f>
      </x:c>
      <x:c r="DX85" s="171" t="str">
        <x:f>IF(DQ85="","",F85*ABS(DV85))</x:f>
      </x:c>
      <x:c r="DY85" s="165"/>
      <x:c r="DZ85" s="172" t="str">
        <x:f>IF(DQ85="","",IF(DY85="","",IFERROR(DT85/DY85-1,0)))</x:f>
      </x:c>
      <x:c r="EA85" s="166"/>
      <x:c r="EB85" s="172" t="str">
        <x:f>IF(DQ85="","",IF(EA85="","",EA85-DZ85*365/EC85))</x:f>
      </x:c>
      <x:c r="EC85" s="164"/>
      <x:c r="ED85" s="172" t="str">
        <x:f>IF(DQ85="","",IFERROR(DV85*(DU85/DT85-1),0))</x:f>
      </x:c>
      <x:c r="EE85" s="147"/>
      <x:c r="EF85" s="147"/>
      <x:c r="EG85" s="147"/>
      <x:c r="EH85" s="167"/>
      <x:c r="EI85" s="167"/>
      <x:c r="EJ85" s="166"/>
      <x:c r="EK85" s="171" t="str">
        <x:f>IF(EE85="","",IFERROR(F85*EJ85/EH85,0))</x:f>
      </x:c>
      <x:c r="EL85" s="171" t="str">
        <x:f>IF(EE85="","",F85*ABS(EJ85))</x:f>
      </x:c>
      <x:c r="EM85" s="165"/>
      <x:c r="EN85" s="172" t="str">
        <x:f>IF(EE85="","",IF(EM85="","",IFERROR(EH85/EM85-1,0)))</x:f>
      </x:c>
      <x:c r="EO85" s="166"/>
      <x:c r="EP85" s="172" t="str">
        <x:f>IF(EE85="","",IF(EO85="","",EO85-EN85*365/EQ85))</x:f>
      </x:c>
      <x:c r="EQ85" s="164"/>
      <x:c r="ER85" s="172" t="str">
        <x:f>IF(EE85="","",IFERROR(EJ85*(EI85/EH85-1),0))</x:f>
      </x:c>
      <x:c r="ES85" s="147"/>
      <x:c r="ET85" s="147"/>
      <x:c r="EU85" s="147"/>
      <x:c r="EV85" s="167"/>
      <x:c r="EW85" s="167"/>
      <x:c r="EX85" s="166"/>
      <x:c r="EY85" s="171" t="str">
        <x:f>IF(ES85="","",IFERROR(F85*EX85/EV85,0))</x:f>
      </x:c>
      <x:c r="EZ85" s="171" t="str">
        <x:f>IF(ES85="","",F85*ABS(EX85))</x:f>
      </x:c>
      <x:c r="FA85" s="165"/>
      <x:c r="FB85" s="172" t="str">
        <x:f>IF(ES85="","",IF(FA85="","",IFERROR(EV85/FA85-1,0)))</x:f>
      </x:c>
      <x:c r="FC85" s="166"/>
      <x:c r="FD85" s="172" t="str">
        <x:f>IF(ES85="","",IF(FC85="","",FC85-FB85*365/FE85))</x:f>
      </x:c>
      <x:c r="FE85" s="164"/>
      <x:c r="FF85" s="172" t="str">
        <x:f>IF(ES85="","",IFERROR(EX85*(EW85/EV85-1),0))</x:f>
      </x:c>
      <x:c r="FG85" s="147"/>
      <x:c r="FH85" s="147"/>
      <x:c r="FI85" s="147"/>
      <x:c r="FJ85" s="167"/>
      <x:c r="FK85" s="167"/>
      <x:c r="FL85" s="166"/>
      <x:c r="FM85" s="171" t="str">
        <x:f>IF(FG85="","",IFERROR(F85*FL85/FJ85,0))</x:f>
      </x:c>
      <x:c r="FN85" s="171" t="str">
        <x:f>IF(FG85="","",F85*ABS(FL85))</x:f>
      </x:c>
      <x:c r="FO85" s="165"/>
      <x:c r="FP85" s="172" t="str">
        <x:f>IF(FG85="","",IF(FO85="","",IFERROR(FJ85/FO85-1,0)))</x:f>
      </x:c>
      <x:c r="FQ85" s="166"/>
      <x:c r="FR85" s="172" t="str">
        <x:f>IF(FG85="","",IF(FQ85="","",FQ85-FP85*365/FS85))</x:f>
      </x:c>
      <x:c r="FS85" s="164"/>
      <x:c r="FT85" s="172" t="str">
        <x:f>IF(FG85="","",IFERROR(FL85*(FK85/FJ85-1),0))</x:f>
      </x:c>
    </x:row>
    <x:row r="86" ht="18" customHeight="1">
      <x:c r="A86" s="163" t="n">
        <x:v>25330</x:v>
      </x:c>
      <x:c r="B86" s="163" t="n">
        <x:v>25331</x:v>
      </x:c>
      <x:c r="C86" s="170" t="n">
        <x:f>B86-A86</x:f>
        <x:v>1</x:v>
      </x:c>
      <x:c r="D86" s="163" t="n">
        <x:v>25330</x:v>
      </x:c>
      <x:c r="E86" s="147" t="str">
        <x:v>neutral</x:v>
      </x:c>
      <x:c r="F86" s="165" t="n">
        <x:v>1.2952114654765747</x:v>
      </x:c>
      <x:c r="G86" s="168" t="n">
        <x:v>0.021575884497881236</x:v>
      </x:c>
      <x:c r="H86" s="172" t="n">
        <x:f>SUM(AX86,BL86,BZ86,CN86,DB86,DP86,ED86,ER86,FF86,FT86)</x:f>
        <x:v>0.021575884497881236</x:v>
      </x:c>
      <x:c r="I86" s="174" t="n">
        <x:f>G86-H86</x:f>
        <x:v>0</x:v>
      </x:c>
      <x:c r="J86" s="171" t="n">
        <x:f>F86*(1+H86)</x:f>
        <x:v>1.3231567984560288</x:v>
      </x:c>
      <x:c r="K86" s="169" t="n">
        <x:v>1.3231567984560288</x:v>
      </x:c>
      <x:c r="L86" s="175" t="n">
        <x:f>K86-J86</x:f>
        <x:v>0</x:v>
      </x:c>
      <x:c r="M86" s="167" t="n">
        <x:v>1.807</x:v>
      </x:c>
      <x:c r="N86" s="167" t="n">
        <x:v>1.846</x:v>
      </x:c>
      <x:c r="O86" s="172" t="n">
        <x:f>IFERROR(N86/M86-1,0)</x:f>
        <x:v>0.021582733812949728</x:v>
      </x:c>
      <x:c r="P86" s="171" t="n">
        <x:f>IFERROR(AD86/AH86,0)</x:f>
        <x:v>1.403444410295039</x:v>
      </x:c>
      <x:c r="Q86" s="171" t="n">
        <x:f>IFERROR(AE86/AI86,0)</x:f>
        <x:v>1.4034350007458865</x:v>
      </x:c>
      <x:c r="R86" s="172" t="n">
        <x:f>IFERROR((Q86-P86)/(P86+S86),0)</x:f>
        <x:v>-0.000006704611228982625</x:v>
      </x:c>
      <x:c r="S86" s="172" t="n">
        <x:f>IFERROR(AF86/AH86,0)</x:f>
        <x:v>0</x:v>
      </x:c>
      <x:c r="T86" s="172" t="n">
        <x:f>IFERROR(AG86/AI86,0)</x:f>
        <x:v>0</x:v>
      </x:c>
      <x:c r="U86" s="172" t="n">
        <x:f>IFERROR((T86-S86)/(P86+S86),0)</x:f>
        <x:v>0</x:v>
      </x:c>
      <x:c r="V86" s="172" t="n">
        <x:f>R86+U86</x:f>
        <x:v>-0.000006704611228982625</x:v>
      </x:c>
      <x:c r="W86" s="172" t="n">
        <x:f>(1+O86)*(1+V86)-1</x:f>
        <x:v>0.02157588449788128</x:v>
      </x:c>
      <x:c r="X86" s="174" t="n">
        <x:f>G86-W86</x:f>
        <x:v>-4.5102810375396984e-17</x:v>
      </x:c>
      <x:c r="Y86" s="172" t="n">
        <x:f>AX86</x:f>
        <x:v>0.021575884497881236</x:v>
      </x:c>
      <x:c r="Z86" s="172" t="str">
        <x:f>BL86</x:f>
      </x:c>
      <x:c r="AA86" s="172" t="n">
        <x:f>SUM(BZ86,CN86,DB86,DP86,ED86,ER86,FF86,FT86)</x:f>
        <x:v>0</x:v>
      </x:c>
      <x:c r="AB86" s="172" t="n">
        <x:f>SUM(Y86:AA86)</x:f>
        <x:v>0.021575884497881236</x:v>
      </x:c>
      <x:c r="AC86" s="174" t="n">
        <x:f>G86-AB86</x:f>
        <x:v>0</x:v>
      </x:c>
      <x:c r="AD86" s="169" t="n">
        <x:v>1.2952114654765758</x:v>
      </x:c>
      <x:c r="AE86" s="169" t="n">
        <x:v>1.32315679845603</x:v>
      </x:c>
      <x:c r="AF86" s="169" t="n">
        <x:v>0</x:v>
      </x:c>
      <x:c r="AG86" s="169" t="n">
        <x:v>0</x:v>
      </x:c>
      <x:c r="AH86" s="171" t="n">
        <x:f>M86/$M$3</x:f>
        <x:v>0.9228804902962207</x:v>
      </x:c>
      <x:c r="AI86" s="171" t="n">
        <x:f>N86/$M$3</x:f>
        <x:v>0.9427987742594485</x:v>
      </x:c>
      <x:c r="AJ86" s="170" t="n">
        <x:f>IF(AK86&lt;&gt;"",1,0)+IF(AY86&lt;&gt;"",1,0)+IF(BM86&lt;&gt;"",1,0)+IF(CA86&lt;&gt;"",1,0)+IF(CO86&lt;&gt;"",1,0)+IF(DC86&lt;&gt;"",1,0)+IF(DQ86&lt;&gt;"",1,0)+IF(EE86&lt;&gt;"",1,0)+IF(ES86&lt;&gt;"",1,0)+IF(FG86&lt;&gt;"",1,0)</x:f>
        <x:v>1</x:v>
      </x:c>
      <x:c r="AK86" s="147" t="str">
        <x:v>Silver replicating holding (LBMA/SLV proxy)</x:v>
      </x:c>
      <x:c r="AL86" s="147" t="str">
        <x:v>Physical-backed proxy</x:v>
      </x:c>
      <x:c r="AM86" s="147" t="str">
        <x:v>Long</x:v>
      </x:c>
      <x:c r="AN86" s="167" t="n">
        <x:v>1.807</x:v>
      </x:c>
      <x:c r="AO86" s="167" t="n">
        <x:v>1.846</x:v>
      </x:c>
      <x:c r="AP86" s="166" t="n">
        <x:v>1</x:v>
      </x:c>
      <x:c r="AQ86" s="171" t="n">
        <x:f>IF(AK86="","",IFERROR(F86*AP86/AN86,0))</x:f>
        <x:v>0.7167744689964443</x:v>
      </x:c>
      <x:c r="AR86" s="171" t="n">
        <x:f>IF(AK86="","",F86*ABS(AP86))</x:f>
        <x:v>1.2952114654765747</x:v>
      </x:c>
      <x:c r="AS86" s="165"/>
      <x:c r="AT86" s="172" t="str">
        <x:f>IF(AK86="","",IF(AS86="","",IFERROR(AN86/AS86-1,0)))</x:f>
      </x:c>
      <x:c r="AU86" s="166"/>
      <x:c r="AV86" s="172" t="str">
        <x:f>IF(AK86="","",IF(AU86="","",AU86-AT86*365/AW86))</x:f>
      </x:c>
      <x:c r="AW86" s="164"/>
      <x:c r="AX86" s="173" t="n">
        <x:f>IF(AK86="","",IFERROR(AP86*(AO86/AN86-1-'Parameters'!$C$6*C86/365),0))</x:f>
        <x:v>0.021575884497881236</x:v>
      </x:c>
      <x:c r="AY86" s="147"/>
      <x:c r="AZ86" s="147"/>
      <x:c r="BA86" s="147"/>
      <x:c r="BB86" s="167"/>
      <x:c r="BC86" s="167"/>
      <x:c r="BD86" s="166"/>
      <x:c r="BE86" s="171" t="str">
        <x:f>IF(AY86="","",IFERROR(F86*BD86/BB86,0))</x:f>
      </x:c>
      <x:c r="BF86" s="171" t="str">
        <x:f>IF(AY86="","",F86*ABS(BD86))</x:f>
      </x:c>
      <x:c r="BG86" s="165"/>
      <x:c r="BH86" s="172" t="str">
        <x:f>IF(AY86="","",IF(BG86="","",IFERROR(BB86/BG86-1,0)))</x:f>
      </x:c>
      <x:c r="BI86" s="166"/>
      <x:c r="BJ86" s="172" t="str">
        <x:f>IF(AY86="","",IF(BI86="","",BI86-BH86*365/BK86))</x:f>
      </x:c>
      <x:c r="BK86" s="164"/>
      <x:c r="BL86" s="172" t="str">
        <x:f>IF(AY86="","",IFERROR(BD86*(BC86/BB86-1),0))</x:f>
      </x:c>
      <x:c r="BM86" s="147"/>
      <x:c r="BN86" s="147"/>
      <x:c r="BO86" s="147"/>
      <x:c r="BP86" s="167"/>
      <x:c r="BQ86" s="167"/>
      <x:c r="BR86" s="166"/>
      <x:c r="BS86" s="171" t="str">
        <x:f>IF(BM86="","",IFERROR(F86*BR86/BP86,0))</x:f>
      </x:c>
      <x:c r="BT86" s="171" t="str">
        <x:f>IF(BM86="","",F86*ABS(BR86))</x:f>
      </x:c>
      <x:c r="BU86" s="165"/>
      <x:c r="BV86" s="172" t="str">
        <x:f>IF(BM86="","",IF(BU86="","",IFERROR(BP86/BU86-1,0)))</x:f>
      </x:c>
      <x:c r="BW86" s="166"/>
      <x:c r="BX86" s="172" t="str">
        <x:f>IF(BM86="","",IF(BW86="","",BW86-BV86*365/BY86))</x:f>
      </x:c>
      <x:c r="BY86" s="164"/>
      <x:c r="BZ86" s="172" t="str">
        <x:f>IF(BM86="","",IFERROR(BR86*(BQ86/BP86-1),0))</x:f>
      </x:c>
      <x:c r="CA86" s="147"/>
      <x:c r="CB86" s="147"/>
      <x:c r="CC86" s="147"/>
      <x:c r="CD86" s="167"/>
      <x:c r="CE86" s="167"/>
      <x:c r="CF86" s="166"/>
      <x:c r="CG86" s="171" t="str">
        <x:f>IF(CA86="","",IFERROR(F86*CF86/CD86,0))</x:f>
      </x:c>
      <x:c r="CH86" s="171" t="str">
        <x:f>IF(CA86="","",F86*ABS(CF86))</x:f>
      </x:c>
      <x:c r="CI86" s="165"/>
      <x:c r="CJ86" s="172" t="str">
        <x:f>IF(CA86="","",IF(CI86="","",IFERROR(CD86/CI86-1,0)))</x:f>
      </x:c>
      <x:c r="CK86" s="166"/>
      <x:c r="CL86" s="172" t="str">
        <x:f>IF(CA86="","",IF(CK86="","",CK86-CJ86*365/CM86))</x:f>
      </x:c>
      <x:c r="CM86" s="164"/>
      <x:c r="CN86" s="172" t="str">
        <x:f>IF(CA86="","",IFERROR(CF86*(CE86/CD86-1),0))</x:f>
      </x:c>
      <x:c r="CO86" s="147"/>
      <x:c r="CP86" s="147"/>
      <x:c r="CQ86" s="147"/>
      <x:c r="CR86" s="167"/>
      <x:c r="CS86" s="167"/>
      <x:c r="CT86" s="166"/>
      <x:c r="CU86" s="171" t="str">
        <x:f>IF(CO86="","",IFERROR(F86*CT86/CR86,0))</x:f>
      </x:c>
      <x:c r="CV86" s="171" t="str">
        <x:f>IF(CO86="","",F86*ABS(CT86))</x:f>
      </x:c>
      <x:c r="CW86" s="165"/>
      <x:c r="CX86" s="172" t="str">
        <x:f>IF(CO86="","",IF(CW86="","",IFERROR(CR86/CW86-1,0)))</x:f>
      </x:c>
      <x:c r="CY86" s="166"/>
      <x:c r="CZ86" s="172" t="str">
        <x:f>IF(CO86="","",IF(CY86="","",CY86-CX86*365/DA86))</x:f>
      </x:c>
      <x:c r="DA86" s="164"/>
      <x:c r="DB86" s="172" t="str">
        <x:f>IF(CO86="","",IFERROR(CT86*(CS86/CR86-1),0))</x:f>
      </x:c>
      <x:c r="DC86" s="147"/>
      <x:c r="DD86" s="147"/>
      <x:c r="DE86" s="147"/>
      <x:c r="DF86" s="167"/>
      <x:c r="DG86" s="167"/>
      <x:c r="DH86" s="166"/>
      <x:c r="DI86" s="171" t="str">
        <x:f>IF(DC86="","",IFERROR(F86*DH86/DF86,0))</x:f>
      </x:c>
      <x:c r="DJ86" s="171" t="str">
        <x:f>IF(DC86="","",F86*ABS(DH86))</x:f>
      </x:c>
      <x:c r="DK86" s="165"/>
      <x:c r="DL86" s="172" t="str">
        <x:f>IF(DC86="","",IF(DK86="","",IFERROR(DF86/DK86-1,0)))</x:f>
      </x:c>
      <x:c r="DM86" s="166"/>
      <x:c r="DN86" s="172" t="str">
        <x:f>IF(DC86="","",IF(DM86="","",DM86-DL86*365/DO86))</x:f>
      </x:c>
      <x:c r="DO86" s="164"/>
      <x:c r="DP86" s="172" t="str">
        <x:f>IF(DC86="","",IFERROR(DH86*(DG86/DF86-1),0))</x:f>
      </x:c>
      <x:c r="DQ86" s="147"/>
      <x:c r="DR86" s="147"/>
      <x:c r="DS86" s="147"/>
      <x:c r="DT86" s="167"/>
      <x:c r="DU86" s="167"/>
      <x:c r="DV86" s="166"/>
      <x:c r="DW86" s="171" t="str">
        <x:f>IF(DQ86="","",IFERROR(F86*DV86/DT86,0))</x:f>
      </x:c>
      <x:c r="DX86" s="171" t="str">
        <x:f>IF(DQ86="","",F86*ABS(DV86))</x:f>
      </x:c>
      <x:c r="DY86" s="165"/>
      <x:c r="DZ86" s="172" t="str">
        <x:f>IF(DQ86="","",IF(DY86="","",IFERROR(DT86/DY86-1,0)))</x:f>
      </x:c>
      <x:c r="EA86" s="166"/>
      <x:c r="EB86" s="172" t="str">
        <x:f>IF(DQ86="","",IF(EA86="","",EA86-DZ86*365/EC86))</x:f>
      </x:c>
      <x:c r="EC86" s="164"/>
      <x:c r="ED86" s="172" t="str">
        <x:f>IF(DQ86="","",IFERROR(DV86*(DU86/DT86-1),0))</x:f>
      </x:c>
      <x:c r="EE86" s="147"/>
      <x:c r="EF86" s="147"/>
      <x:c r="EG86" s="147"/>
      <x:c r="EH86" s="167"/>
      <x:c r="EI86" s="167"/>
      <x:c r="EJ86" s="166"/>
      <x:c r="EK86" s="171" t="str">
        <x:f>IF(EE86="","",IFERROR(F86*EJ86/EH86,0))</x:f>
      </x:c>
      <x:c r="EL86" s="171" t="str">
        <x:f>IF(EE86="","",F86*ABS(EJ86))</x:f>
      </x:c>
      <x:c r="EM86" s="165"/>
      <x:c r="EN86" s="172" t="str">
        <x:f>IF(EE86="","",IF(EM86="","",IFERROR(EH86/EM86-1,0)))</x:f>
      </x:c>
      <x:c r="EO86" s="166"/>
      <x:c r="EP86" s="172" t="str">
        <x:f>IF(EE86="","",IF(EO86="","",EO86-EN86*365/EQ86))</x:f>
      </x:c>
      <x:c r="EQ86" s="164"/>
      <x:c r="ER86" s="172" t="str">
        <x:f>IF(EE86="","",IFERROR(EJ86*(EI86/EH86-1),0))</x:f>
      </x:c>
      <x:c r="ES86" s="147"/>
      <x:c r="ET86" s="147"/>
      <x:c r="EU86" s="147"/>
      <x:c r="EV86" s="167"/>
      <x:c r="EW86" s="167"/>
      <x:c r="EX86" s="166"/>
      <x:c r="EY86" s="171" t="str">
        <x:f>IF(ES86="","",IFERROR(F86*EX86/EV86,0))</x:f>
      </x:c>
      <x:c r="EZ86" s="171" t="str">
        <x:f>IF(ES86="","",F86*ABS(EX86))</x:f>
      </x:c>
      <x:c r="FA86" s="165"/>
      <x:c r="FB86" s="172" t="str">
        <x:f>IF(ES86="","",IF(FA86="","",IFERROR(EV86/FA86-1,0)))</x:f>
      </x:c>
      <x:c r="FC86" s="166"/>
      <x:c r="FD86" s="172" t="str">
        <x:f>IF(ES86="","",IF(FC86="","",FC86-FB86*365/FE86))</x:f>
      </x:c>
      <x:c r="FE86" s="164"/>
      <x:c r="FF86" s="172" t="str">
        <x:f>IF(ES86="","",IFERROR(EX86*(EW86/EV86-1),0))</x:f>
      </x:c>
      <x:c r="FG86" s="147"/>
      <x:c r="FH86" s="147"/>
      <x:c r="FI86" s="147"/>
      <x:c r="FJ86" s="167"/>
      <x:c r="FK86" s="167"/>
      <x:c r="FL86" s="166"/>
      <x:c r="FM86" s="171" t="str">
        <x:f>IF(FG86="","",IFERROR(F86*FL86/FJ86,0))</x:f>
      </x:c>
      <x:c r="FN86" s="171" t="str">
        <x:f>IF(FG86="","",F86*ABS(FL86))</x:f>
      </x:c>
      <x:c r="FO86" s="165"/>
      <x:c r="FP86" s="172" t="str">
        <x:f>IF(FG86="","",IF(FO86="","",IFERROR(FJ86/FO86-1,0)))</x:f>
      </x:c>
      <x:c r="FQ86" s="166"/>
      <x:c r="FR86" s="172" t="str">
        <x:f>IF(FG86="","",IF(FQ86="","",FQ86-FP86*365/FS86))</x:f>
      </x:c>
      <x:c r="FS86" s="164"/>
      <x:c r="FT86" s="172" t="str">
        <x:f>IF(FG86="","",IFERROR(FL86*(FK86/FJ86-1),0))</x:f>
      </x:c>
    </x:row>
    <x:row r="87" ht="18" customHeight="1">
      <x:c r="A87" s="163" t="n">
        <x:v>25331</x:v>
      </x:c>
      <x:c r="B87" s="163" t="n">
        <x:v>25332</x:v>
      </x:c>
      <x:c r="C87" s="170" t="n">
        <x:f>B87-A87</x:f>
        <x:v>1</x:v>
      </x:c>
      <x:c r="D87" s="163" t="n">
        <x:v>25331</x:v>
      </x:c>
      <x:c r="E87" s="147" t="str">
        <x:v>positive</x:v>
      </x:c>
      <x:c r="F87" s="165" t="n">
        <x:v>1.3231567984560288</x:v>
      </x:c>
      <x:c r="G87" s="168" t="n">
        <x:v>-0.013111048611952779</x:v>
      </x:c>
      <x:c r="H87" s="172" t="n">
        <x:f>SUM(AX87,BL87,BZ87,CN87,DB87,DP87,ED87,ER87,FF87,FT87)</x:f>
        <x:v>-0.013111048611952907</x:v>
      </x:c>
      <x:c r="I87" s="174" t="n">
        <x:f>G87-H87</x:f>
        <x:v>1.2836953722228372e-16</x:v>
      </x:c>
      <x:c r="J87" s="171" t="n">
        <x:f>F87*(1+H87)</x:f>
        <x:v>1.3058088253502358</x:v>
      </x:c>
      <x:c r="K87" s="169" t="n">
        <x:v>1.305808825350236</x:v>
      </x:c>
      <x:c r="L87" s="175" t="n">
        <x:f>K87-J87</x:f>
        <x:v>2.220446049250313e-16</x:v>
      </x:c>
      <x:c r="M87" s="167" t="n">
        <x:v>1.846</x:v>
      </x:c>
      <x:c r="N87" s="167" t="n">
        <x:v>1.817</x:v>
      </x:c>
      <x:c r="O87" s="172" t="n">
        <x:f>IFERROR(N87/M87-1,0)</x:f>
        <x:v>-0.015709642470205898</x:v>
      </x:c>
      <x:c r="P87" s="171" t="n">
        <x:f>IFERROR(AD87/AH87,0)</x:f>
        <x:v>1.4034350007458865</x:v>
      </x:c>
      <x:c r="Q87" s="171" t="n">
        <x:f>IFERROR(AE87/AI87,0)</x:f>
        <x:v>1.407140165127003</x:v>
      </x:c>
      <x:c r="R87" s="172" t="n">
        <x:f>IFERROR((Q87-P87)/(P87+S87),0)</x:f>
        <x:v>0.002640068388737187</x:v>
      </x:c>
      <x:c r="S87" s="172" t="n">
        <x:f>IFERROR(AF87/AH87,0)</x:f>
        <x:v>0</x:v>
      </x:c>
      <x:c r="T87" s="172" t="n">
        <x:f>IFERROR(AG87/AI87,0)</x:f>
        <x:v>0</x:v>
      </x:c>
      <x:c r="U87" s="172" t="n">
        <x:f>IFERROR((T87-S87)/(P87+S87),0)</x:f>
        <x:v>0</x:v>
      </x:c>
      <x:c r="V87" s="172" t="n">
        <x:f>R87+U87</x:f>
        <x:v>0.002640068388737187</x:v>
      </x:c>
      <x:c r="W87" s="172" t="n">
        <x:f>(1+O87)*(1+V87)-1</x:f>
        <x:v>-0.01311104861195278</x:v>
      </x:c>
      <x:c r="X87" s="174" t="n">
        <x:f>G87-W87</x:f>
        <x:v>1.734723475976807e-18</x:v>
      </x:c>
      <x:c r="Y87" s="172" t="str">
        <x:f>AX87</x:f>
      </x:c>
      <x:c r="Z87" s="172" t="n">
        <x:f>BL87</x:f>
        <x:v>0.000163287671232748</x:v>
      </x:c>
      <x:c r="AA87" s="172" t="n">
        <x:f>SUM(BZ87,CN87,DB87,DP87,ED87,ER87,FF87,FT87)</x:f>
        <x:v>-0.013274336283185655</x:v>
      </x:c>
      <x:c r="AB87" s="172" t="n">
        <x:f>SUM(Y87:AA87)</x:f>
        <x:v>-0.013111048611952907</x:v>
      </x:c>
      <x:c r="AC87" s="174" t="n">
        <x:f>G87-AB87</x:f>
        <x:v>1.2836953722228372e-16</x:v>
      </x:c>
      <x:c r="AD87" s="169" t="n">
        <x:v>1.32315679845603</x:v>
      </x:c>
      <x:c r="AE87" s="169" t="n">
        <x:v>1.3058088253502371</x:v>
      </x:c>
      <x:c r="AF87" s="169" t="n">
        <x:v>0</x:v>
      </x:c>
      <x:c r="AG87" s="169" t="n">
        <x:v>0</x:v>
      </x:c>
      <x:c r="AH87" s="171" t="n">
        <x:f>M87/$M$3</x:f>
        <x:v>0.9427987742594485</x:v>
      </x:c>
      <x:c r="AI87" s="171" t="n">
        <x:f>N87/$M$3</x:f>
        <x:v>0.9279877425944841</x:v>
      </x:c>
      <x:c r="AJ87" s="170" t="n">
        <x:f>IF(AK87&lt;&gt;"",1,0)+IF(AY87&lt;&gt;"",1,0)+IF(BM87&lt;&gt;"",1,0)+IF(CA87&lt;&gt;"",1,0)+IF(CO87&lt;&gt;"",1,0)+IF(DC87&lt;&gt;"",1,0)+IF(DQ87&lt;&gt;"",1,0)+IF(EE87&lt;&gt;"",1,0)+IF(ES87&lt;&gt;"",1,0)+IF(FG87&lt;&gt;"",1,0)</x:f>
        <x:v>5</x:v>
      </x:c>
      <x:c r="AK87" s="147"/>
      <x:c r="AL87" s="147"/>
      <x:c r="AM87" s="147"/>
      <x:c r="AN87" s="167"/>
      <x:c r="AO87" s="167"/>
      <x:c r="AP87" s="166"/>
      <x:c r="AQ87" s="171" t="str">
        <x:f>IF(AK87="","",IFERROR(F87*AP87/AN87,0))</x:f>
      </x:c>
      <x:c r="AR87" s="171" t="str">
        <x:f>IF(AK87="","",F87*ABS(AP87))</x:f>
      </x:c>
      <x:c r="AS87" s="165"/>
      <x:c r="AT87" s="172" t="str">
        <x:f>IF(AK87="","",IF(AS87="","",IFERROR(AN87/AS87-1,0)))</x:f>
      </x:c>
      <x:c r="AU87" s="166"/>
      <x:c r="AV87" s="172" t="str">
        <x:f>IF(AK87="","",IF(AU87="","",AU87-AT87*365/AW87))</x:f>
      </x:c>
      <x:c r="AW87" s="164"/>
      <x:c r="AX87" s="173" t="str">
        <x:f>IF(AK87="","",IFERROR(AP87*(AO87/AN87-1),0))</x:f>
      </x:c>
      <x:c r="AY87" s="147" t="str">
        <x:v>Matched-maturity Treasury collateral</x:v>
      </x:c>
      <x:c r="AZ87" s="147" t="str">
        <x:v>Treasury</x:v>
      </x:c>
      <x:c r="BA87" s="147" t="str">
        <x:v>Long</x:v>
      </x:c>
      <x:c r="BB87" s="167" t="n">
        <x:v>102.12437041340633</x:v>
      </x:c>
      <x:c r="BC87" s="167" t="n">
        <x:v>102.14104606402725</x:v>
      </x:c>
      <x:c r="BD87" s="166" t="n">
        <x:v>1</x:v>
      </x:c>
      <x:c r="BE87" s="171" t="n">
        <x:f>IF(AY87="","",IFERROR(F87*BD87/BB87,0))</x:f>
        <x:v>0.012956327594479174</x:v>
      </x:c>
      <x:c r="BF87" s="171" t="n">
        <x:f>IF(AY87="","",F87*ABS(BD87))</x:f>
        <x:v>1.3231567984560288</x:v>
      </x:c>
      <x:c r="BG87" s="165"/>
      <x:c r="BH87" s="172" t="str">
        <x:f>IF(AY87="","",IF(BG87="","",IFERROR(BB87/BG87-1,0)))</x:f>
      </x:c>
      <x:c r="BI87" s="166"/>
      <x:c r="BJ87" s="172" t="str">
        <x:f>IF(AY87="","",IF(BI87="","",BI87-BH87*365/BK87))</x:f>
      </x:c>
      <x:c r="BK87" s="164" t="n">
        <x:v>20.00000000000257</x:v>
      </x:c>
      <x:c r="BL87" s="172" t="n">
        <x:f>IF(AY87="","",IFERROR(BD87*(BC87/BB87-1),0))</x:f>
        <x:v>0.000163287671232748</x:v>
      </x:c>
      <x:c r="BM87" s="147" t="str">
        <x:v>SI69K</x:v>
      </x:c>
      <x:c r="BN87" s="147" t="str">
        <x:v>Silver future (regular)</x:v>
      </x:c>
      <x:c r="BO87" s="147" t="str">
        <x:v>Long</x:v>
      </x:c>
      <x:c r="BP87" s="167" t="n">
        <x:v>1.808</x:v>
      </x:c>
      <x:c r="BQ87" s="167" t="n">
        <x:v>1.784</x:v>
      </x:c>
      <x:c r="BR87" s="166" t="n">
        <x:v>0.9999999999999587</x:v>
      </x:c>
      <x:c r="BS87" s="171" t="n">
        <x:f>IF(BM87="","",IFERROR(F87*BR87/BP87,0))</x:f>
        <x:v>0.7318345124203397</x:v>
      </x:c>
      <x:c r="BT87" s="171" t="n">
        <x:f>IF(BM87="","",F87*ABS(BR87))</x:f>
        <x:v>1.3231567984559742</x:v>
      </x:c>
      <x:c r="BU87" s="165" t="n">
        <x:v>1.846</x:v>
      </x:c>
      <x:c r="BV87" s="172" t="n">
        <x:f>IF(BM87="","",IF(BU87="","",IFERROR(BP87/BU87-1,0)))</x:f>
        <x:v>-0.020585048754062862</x:v>
      </x:c>
      <x:c r="BW87" s="166" t="n">
        <x:v>0.0596</x:v>
      </x:c>
      <x:c r="BX87" s="172" t="n">
        <x:f>IF(BM87="","",IF(BW87="","",BW87-BV87*365/BY87))</x:f>
        <x:v>0.4352771397616472</x:v>
      </x:c>
      <x:c r="BY87" s="164" t="n">
        <x:v>20</x:v>
      </x:c>
      <x:c r="BZ87" s="172" t="n">
        <x:f>IF(BM87="","",IFERROR(BR87*(BQ87/BP87-1),0))</x:f>
        <x:v>-0.013274336283185313</x:v>
      </x:c>
      <x:c r="CA87" s="147" t="str">
        <x:v>SI69N</x:v>
      </x:c>
      <x:c r="CB87" s="147" t="str">
        <x:v>Silver future (regular)</x:v>
      </x:c>
      <x:c r="CC87" s="147" t="str">
        <x:v>Long</x:v>
      </x:c>
      <x:c r="CD87" s="167" t="n">
        <x:v>1.818</x:v>
      </x:c>
      <x:c r="CE87" s="167" t="n">
        <x:v>1.8030000000000002</x:v>
      </x:c>
      <x:c r="CF87" s="166" t="n">
        <x:v>4.137353025310958e-14</x:v>
      </x:c>
      <x:c r="CG87" s="171" t="n">
        <x:f>IF(CA87="","",IFERROR(F87*CF87/CD87,0))</x:f>
        <x:v>3.0112028509641434e-14</x:v>
      </x:c>
      <x:c r="CH87" s="171" t="n">
        <x:f>IF(CA87="","",F87*ABS(CF87))</x:f>
        <x:v>5.4743667830528126e-14</x:v>
      </x:c>
      <x:c r="CI87" s="165" t="n">
        <x:v>1.846</x:v>
      </x:c>
      <x:c r="CJ87" s="172" t="n">
        <x:f>IF(CA87="","",IF(CI87="","",IFERROR(CD87/CI87-1,0)))</x:f>
        <x:v>-0.015167930660888396</x:v>
      </x:c>
      <x:c r="CK87" s="166" t="n">
        <x:v>0.0596</x:v>
      </x:c>
      <x:c r="CL87" s="172" t="n">
        <x:f>IF(CA87="","",IF(CK87="","",CK87-CJ87*365/CM87))</x:f>
        <x:v>0.12711578891736908</x:v>
      </x:c>
      <x:c r="CM87" s="164" t="n">
        <x:v>82</x:v>
      </x:c>
      <x:c r="CN87" s="172" t="n">
        <x:f>IF(CA87="","",IFERROR(CF87*(CE87/CD87-1),0))</x:f>
        <x:v>-3.413657611642677e-16</x:v>
      </x:c>
      <x:c r="CO87" s="147" t="str">
        <x:v>SI69U</x:v>
      </x:c>
      <x:c r="CP87" s="147" t="str">
        <x:v>Silver future (regular)</x:v>
      </x:c>
      <x:c r="CQ87" s="147" t="str">
        <x:v>Long</x:v>
      </x:c>
      <x:c r="CR87" s="167" t="n">
        <x:v>1.86</x:v>
      </x:c>
      <x:c r="CS87" s="167" t="n">
        <x:v>1.834</x:v>
      </x:c>
      <x:c r="CT87" s="166" t="n">
        <x:v>5.30652060103141e-18</x:v>
      </x:c>
      <x:c r="CU87" s="171" t="n">
        <x:f>IF(CO87="","",IFERROR(F87*CT87/CR87,0))</x:f>
        <x:v>3.774924091076173e-18</x:v>
      </x:c>
      <x:c r="CV87" s="171" t="n">
        <x:f>IF(CO87="","",F87*ABS(CT87))</x:f>
        <x:v>7.021358809401682e-18</x:v>
      </x:c>
      <x:c r="CW87" s="165" t="n">
        <x:v>1.846</x:v>
      </x:c>
      <x:c r="CX87" s="172" t="n">
        <x:f>IF(CO87="","",IF(CW87="","",IFERROR(CR87/CW87-1,0)))</x:f>
        <x:v>0.007583965330444142</x:v>
      </x:c>
      <x:c r="CY87" s="166" t="n">
        <x:v>0.060039560439560456</x:v>
      </x:c>
      <x:c r="CZ87" s="172" t="n">
        <x:f>IF(CO87="","",IF(CY87="","",CY87-CX87*365/DA87))</x:f>
        <x:v>0.04040730976146037</x:v>
      </x:c>
      <x:c r="DA87" s="164" t="n">
        <x:v>141</x:v>
      </x:c>
      <x:c r="DB87" s="172" t="n">
        <x:f>IF(CO87="","",IFERROR(CT87*(CS87/CR87-1),0))</x:f>
        <x:v>-7.41771696918372e-20</x:v>
      </x:c>
      <x:c r="DC87" s="147" t="str">
        <x:v>SI69Z</x:v>
      </x:c>
      <x:c r="DD87" s="147" t="str">
        <x:v>Silver future (regular)</x:v>
      </x:c>
      <x:c r="DE87" s="147" t="str">
        <x:v>Long</x:v>
      </x:c>
      <x:c r="DF87" s="167" t="n">
        <x:v>1.909</x:v>
      </x:c>
      <x:c r="DG87" s="167" t="n">
        <x:v>1.882</x:v>
      </x:c>
      <x:c r="DH87" s="166" t="n">
        <x:v>6.468781783415829e-21</x:v>
      </x:c>
      <x:c r="DI87" s="171" t="n">
        <x:f>IF(DC87="","",IFERROR(F87*DH87/DF87,0))</x:f>
        <x:v>4.483610578551686e-21</x:v>
      </x:c>
      <x:c r="DJ87" s="171" t="n">
        <x:f>IF(DC87="","",F87*ABS(DH87))</x:f>
        <x:v>8.559212594455169e-21</x:v>
      </x:c>
      <x:c r="DK87" s="165" t="n">
        <x:v>1.846</x:v>
      </x:c>
      <x:c r="DL87" s="172" t="n">
        <x:f>IF(DC87="","",IF(DK87="","",IFERROR(DF87/DK87-1,0)))</x:f>
        <x:v>0.034127843986998974</x:v>
      </x:c>
      <x:c r="DM87" s="166" t="n">
        <x:v>0.0612688524590164</x:v>
      </x:c>
      <x:c r="DN87" s="172" t="n">
        <x:f>IF(DC87="","",IF(DM87="","",DM87-DL87*365/DO87))</x:f>
        <x:v>0.00826177562814566</x:v>
      </x:c>
      <x:c r="DO87" s="164" t="n">
        <x:v>235</x:v>
      </x:c>
      <x:c r="DP87" s="172" t="n">
        <x:f>IF(DC87="","",IFERROR(DH87*(DG87/DF87-1),0))</x:f>
        <x:v>-9.149141338513815e-23</x:v>
      </x:c>
      <x:c r="DQ87" s="147"/>
      <x:c r="DR87" s="147"/>
      <x:c r="DS87" s="147"/>
      <x:c r="DT87" s="167"/>
      <x:c r="DU87" s="167"/>
      <x:c r="DV87" s="166"/>
      <x:c r="DW87" s="171" t="str">
        <x:f>IF(DQ87="","",IFERROR(F87*DV87/DT87,0))</x:f>
      </x:c>
      <x:c r="DX87" s="171" t="str">
        <x:f>IF(DQ87="","",F87*ABS(DV87))</x:f>
      </x:c>
      <x:c r="DY87" s="165"/>
      <x:c r="DZ87" s="172" t="str">
        <x:f>IF(DQ87="","",IF(DY87="","",IFERROR(DT87/DY87-1,0)))</x:f>
      </x:c>
      <x:c r="EA87" s="166"/>
      <x:c r="EB87" s="172" t="str">
        <x:f>IF(DQ87="","",IF(EA87="","",EA87-DZ87*365/EC87))</x:f>
      </x:c>
      <x:c r="EC87" s="164"/>
      <x:c r="ED87" s="172" t="str">
        <x:f>IF(DQ87="","",IFERROR(DV87*(DU87/DT87-1),0))</x:f>
      </x:c>
      <x:c r="EE87" s="147"/>
      <x:c r="EF87" s="147"/>
      <x:c r="EG87" s="147"/>
      <x:c r="EH87" s="167"/>
      <x:c r="EI87" s="167"/>
      <x:c r="EJ87" s="166"/>
      <x:c r="EK87" s="171" t="str">
        <x:f>IF(EE87="","",IFERROR(F87*EJ87/EH87,0))</x:f>
      </x:c>
      <x:c r="EL87" s="171" t="str">
        <x:f>IF(EE87="","",F87*ABS(EJ87))</x:f>
      </x:c>
      <x:c r="EM87" s="165"/>
      <x:c r="EN87" s="172" t="str">
        <x:f>IF(EE87="","",IF(EM87="","",IFERROR(EH87/EM87-1,0)))</x:f>
      </x:c>
      <x:c r="EO87" s="166"/>
      <x:c r="EP87" s="172" t="str">
        <x:f>IF(EE87="","",IF(EO87="","",EO87-EN87*365/EQ87))</x:f>
      </x:c>
      <x:c r="EQ87" s="164"/>
      <x:c r="ER87" s="172" t="str">
        <x:f>IF(EE87="","",IFERROR(EJ87*(EI87/EH87-1),0))</x:f>
      </x:c>
      <x:c r="ES87" s="147"/>
      <x:c r="ET87" s="147"/>
      <x:c r="EU87" s="147"/>
      <x:c r="EV87" s="167"/>
      <x:c r="EW87" s="167"/>
      <x:c r="EX87" s="166"/>
      <x:c r="EY87" s="171" t="str">
        <x:f>IF(ES87="","",IFERROR(F87*EX87/EV87,0))</x:f>
      </x:c>
      <x:c r="EZ87" s="171" t="str">
        <x:f>IF(ES87="","",F87*ABS(EX87))</x:f>
      </x:c>
      <x:c r="FA87" s="165"/>
      <x:c r="FB87" s="172" t="str">
        <x:f>IF(ES87="","",IF(FA87="","",IFERROR(EV87/FA87-1,0)))</x:f>
      </x:c>
      <x:c r="FC87" s="166"/>
      <x:c r="FD87" s="172" t="str">
        <x:f>IF(ES87="","",IF(FC87="","",FC87-FB87*365/FE87))</x:f>
      </x:c>
      <x:c r="FE87" s="164"/>
      <x:c r="FF87" s="172" t="str">
        <x:f>IF(ES87="","",IFERROR(EX87*(EW87/EV87-1),0))</x:f>
      </x:c>
      <x:c r="FG87" s="147"/>
      <x:c r="FH87" s="147"/>
      <x:c r="FI87" s="147"/>
      <x:c r="FJ87" s="167"/>
      <x:c r="FK87" s="167"/>
      <x:c r="FL87" s="166"/>
      <x:c r="FM87" s="171" t="str">
        <x:f>IF(FG87="","",IFERROR(F87*FL87/FJ87,0))</x:f>
      </x:c>
      <x:c r="FN87" s="171" t="str">
        <x:f>IF(FG87="","",F87*ABS(FL87))</x:f>
      </x:c>
      <x:c r="FO87" s="165"/>
      <x:c r="FP87" s="172" t="str">
        <x:f>IF(FG87="","",IF(FO87="","",IFERROR(FJ87/FO87-1,0)))</x:f>
      </x:c>
      <x:c r="FQ87" s="166"/>
      <x:c r="FR87" s="172" t="str">
        <x:f>IF(FG87="","",IF(FQ87="","",FQ87-FP87*365/FS87))</x:f>
      </x:c>
      <x:c r="FS87" s="164"/>
      <x:c r="FT87" s="172" t="str">
        <x:f>IF(FG87="","",IFERROR(FL87*(FK87/FJ87-1),0))</x:f>
      </x:c>
    </x:row>
    <x:row r="88" ht="18" customHeight="1">
      <x:c r="A88" s="163" t="n">
        <x:v>25332</x:v>
      </x:c>
      <x:c r="B88" s="163" t="n">
        <x:v>25335</x:v>
      </x:c>
      <x:c r="C88" s="170" t="n">
        <x:f>B88-A88</x:f>
        <x:v>3</x:v>
      </x:c>
      <x:c r="D88" s="163" t="n">
        <x:v>25332</x:v>
      </x:c>
      <x:c r="E88" s="147" t="str">
        <x:v>positive</x:v>
      </x:c>
      <x:c r="F88" s="165" t="n">
        <x:v>1.305808825350236</x:v>
      </x:c>
      <x:c r="G88" s="168" t="n">
        <x:v>-0.01856843295042699</x:v>
      </x:c>
      <x:c r="H88" s="172" t="n">
        <x:f>SUM(AX88,BL88,BZ88,CN88,DB88,DP88,ED88,ER88,FF88,FT88)</x:f>
        <x:v>-0.01856843295042693</x:v>
      </x:c>
      <x:c r="I88" s="174" t="n">
        <x:f>G88-H88</x:f>
        <x:v>-5.898059818321144e-17</x:v>
      </x:c>
      <x:c r="J88" s="171" t="n">
        <x:f>F88*(1+H88)</x:f>
        <x:v>1.2815620017306444</x:v>
      </x:c>
      <x:c r="K88" s="169" t="n">
        <x:v>1.2815620017306444</x:v>
      </x:c>
      <x:c r="L88" s="175" t="n">
        <x:f>K88-J88</x:f>
        <x:v>0</x:v>
      </x:c>
      <x:c r="M88" s="167" t="n">
        <x:v>1.817</x:v>
      </x:c>
      <x:c r="N88" s="167" t="n">
        <x:v>1.795</x:v>
      </x:c>
      <x:c r="O88" s="172" t="n">
        <x:f>IFERROR(N88/M88-1,0)</x:f>
        <x:v>-0.012107870115575126</x:v>
      </x:c>
      <x:c r="P88" s="171" t="n">
        <x:f>IFERROR(AD88/AH88,0)</x:f>
        <x:v>1.407140165127003</x:v>
      </x:c>
      <x:c r="Q88" s="171" t="n">
        <x:f>IFERROR(AE88/AI88,0)</x:f>
        <x:v>1.3979378269574396</x:v>
      </x:c>
      <x:c r="R88" s="172" t="n">
        <x:f>IFERROR((Q88-P88)/(P88+S88),0)</x:f>
        <x:v>-0.006539745220571419</x:v>
      </x:c>
      <x:c r="S88" s="172" t="n">
        <x:f>IFERROR(AF88/AH88,0)</x:f>
        <x:v>0</x:v>
      </x:c>
      <x:c r="T88" s="172" t="n">
        <x:f>IFERROR(AG88/AI88,0)</x:f>
        <x:v>0</x:v>
      </x:c>
      <x:c r="U88" s="172" t="n">
        <x:f>IFERROR((T88-S88)/(P88+S88),0)</x:f>
        <x:v>0</x:v>
      </x:c>
      <x:c r="V88" s="172" t="n">
        <x:f>R88+U88</x:f>
        <x:v>-0.006539745220571419</x:v>
      </x:c>
      <x:c r="W88" s="172" t="n">
        <x:f>(1+O88)*(1+V88)-1</x:f>
        <x:v>-0.018568432950426983</x:v>
      </x:c>
      <x:c r="X88" s="174" t="n">
        <x:f>G88-W88</x:f>
        <x:v>-6.938893903907228e-18</x:v>
      </x:c>
      <x:c r="Y88" s="172" t="str">
        <x:f>AX88</x:f>
      </x:c>
      <x:c r="Z88" s="172" t="n">
        <x:f>BL88</x:f>
        <x:v>0.0004898630136986881</x:v>
      </x:c>
      <x:c r="AA88" s="172" t="n">
        <x:f>SUM(BZ88,CN88,DB88,DP88,ED88,ER88,FF88,FT88)</x:f>
        <x:v>-0.01905829596412562</x:v>
      </x:c>
      <x:c r="AB88" s="172" t="n">
        <x:f>SUM(Y88:AA88)</x:f>
        <x:v>-0.01856843295042693</x:v>
      </x:c>
      <x:c r="AC88" s="174" t="n">
        <x:f>G88-AB88</x:f>
        <x:v>-5.898059818321144e-17</x:v>
      </x:c>
      <x:c r="AD88" s="169" t="n">
        <x:v>1.3058088253502371</x:v>
      </x:c>
      <x:c r="AE88" s="169" t="n">
        <x:v>1.2815620017306455</x:v>
      </x:c>
      <x:c r="AF88" s="169" t="n">
        <x:v>0</x:v>
      </x:c>
      <x:c r="AG88" s="169" t="n">
        <x:v>0</x:v>
      </x:c>
      <x:c r="AH88" s="171" t="n">
        <x:f>M88/$M$3</x:f>
        <x:v>0.9279877425944841</x:v>
      </x:c>
      <x:c r="AI88" s="171" t="n">
        <x:f>N88/$M$3</x:f>
        <x:v>0.9167517875383043</x:v>
      </x:c>
      <x:c r="AJ88" s="170" t="n">
        <x:f>IF(AK88&lt;&gt;"",1,0)+IF(AY88&lt;&gt;"",1,0)+IF(BM88&lt;&gt;"",1,0)+IF(CA88&lt;&gt;"",1,0)+IF(CO88&lt;&gt;"",1,0)+IF(DC88&lt;&gt;"",1,0)+IF(DQ88&lt;&gt;"",1,0)+IF(EE88&lt;&gt;"",1,0)+IF(ES88&lt;&gt;"",1,0)+IF(FG88&lt;&gt;"",1,0)</x:f>
        <x:v>5</x:v>
      </x:c>
      <x:c r="AK88" s="147"/>
      <x:c r="AL88" s="147"/>
      <x:c r="AM88" s="147"/>
      <x:c r="AN88" s="167"/>
      <x:c r="AO88" s="167"/>
      <x:c r="AP88" s="166"/>
      <x:c r="AQ88" s="171" t="str">
        <x:f>IF(AK88="","",IFERROR(F88*AP88/AN88,0))</x:f>
      </x:c>
      <x:c r="AR88" s="171" t="str">
        <x:f>IF(AK88="","",F88*ABS(AP88))</x:f>
      </x:c>
      <x:c r="AS88" s="165"/>
      <x:c r="AT88" s="172" t="str">
        <x:f>IF(AK88="","",IF(AS88="","",IFERROR(AN88/AS88-1,0)))</x:f>
      </x:c>
      <x:c r="AU88" s="166"/>
      <x:c r="AV88" s="172" t="str">
        <x:f>IF(AK88="","",IF(AU88="","",AU88-AT88*365/AW88))</x:f>
      </x:c>
      <x:c r="AW88" s="164"/>
      <x:c r="AX88" s="173" t="str">
        <x:f>IF(AK88="","",IFERROR(AP88*(AO88/AN88-1),0))</x:f>
      </x:c>
      <x:c r="AY88" s="147" t="str">
        <x:v>Matched-maturity Treasury collateral</x:v>
      </x:c>
      <x:c r="AZ88" s="147" t="str">
        <x:v>Treasury</x:v>
      </x:c>
      <x:c r="BA88" s="147" t="str">
        <x:v>Long</x:v>
      </x:c>
      <x:c r="BB88" s="167" t="n">
        <x:v>102.14104606402725</x:v>
      </x:c>
      <x:c r="BC88" s="167" t="n">
        <x:v>102.1910811846745</x:v>
      </x:c>
      <x:c r="BD88" s="166" t="n">
        <x:v>1</x:v>
      </x:c>
      <x:c r="BE88" s="171" t="n">
        <x:f>IF(AY88="","",IFERROR(F88*BD88/BB88,0))</x:f>
        <x:v>0.012784369023709509</x:v>
      </x:c>
      <x:c r="BF88" s="171" t="n">
        <x:f>IF(AY88="","",F88*ABS(BD88))</x:f>
        <x:v>1.305808825350236</x:v>
      </x:c>
      <x:c r="BG88" s="165"/>
      <x:c r="BH88" s="172" t="str">
        <x:f>IF(AY88="","",IF(BG88="","",IFERROR(BB88/BG88-1,0)))</x:f>
      </x:c>
      <x:c r="BI88" s="166"/>
      <x:c r="BJ88" s="172" t="str">
        <x:f>IF(AY88="","",IF(BI88="","",BI88-BH88*365/BK88))</x:f>
      </x:c>
      <x:c r="BK88" s="164" t="n">
        <x:v>19.00000000000141</x:v>
      </x:c>
      <x:c r="BL88" s="172" t="n">
        <x:f>IF(AY88="","",IFERROR(BD88*(BC88/BB88-1),0))</x:f>
        <x:v>0.0004898630136986881</x:v>
      </x:c>
      <x:c r="BM88" s="147" t="str">
        <x:v>SI69K</x:v>
      </x:c>
      <x:c r="BN88" s="147" t="str">
        <x:v>Silver future (regular)</x:v>
      </x:c>
      <x:c r="BO88" s="147" t="str">
        <x:v>Long</x:v>
      </x:c>
      <x:c r="BP88" s="167" t="n">
        <x:v>1.784</x:v>
      </x:c>
      <x:c r="BQ88" s="167" t="n">
        <x:v>1.75</x:v>
      </x:c>
      <x:c r="BR88" s="166" t="n">
        <x:v>0.9999999999999774</x:v>
      </x:c>
      <x:c r="BS88" s="171" t="n">
        <x:f>IF(BM88="","",IFERROR(F88*BR88/BP88,0))</x:f>
        <x:v>0.7319556195909229</x:v>
      </x:c>
      <x:c r="BT88" s="171" t="n">
        <x:f>IF(BM88="","",F88*ABS(BR88))</x:f>
        <x:v>1.3058088253502065</x:v>
      </x:c>
      <x:c r="BU88" s="165" t="n">
        <x:v>1.817</x:v>
      </x:c>
      <x:c r="BV88" s="172" t="n">
        <x:f>IF(BM88="","",IF(BU88="","",IFERROR(BP88/BU88-1,0)))</x:f>
        <x:v>-0.018161805173362633</x:v>
      </x:c>
      <x:c r="BW88" s="166" t="n">
        <x:v>0.0596</x:v>
      </x:c>
      <x:c r="BX88" s="172" t="n">
        <x:f>IF(BM88="","",IF(BW88="","",BW88-BV88*365/BY88))</x:f>
        <x:v>0.40849783622512426</x:v>
      </x:c>
      <x:c r="BY88" s="164" t="n">
        <x:v>19</x:v>
      </x:c>
      <x:c r="BZ88" s="172" t="n">
        <x:f>IF(BM88="","",IFERROR(BR88*(BQ88/BP88-1),0))</x:f>
        <x:v>-0.01905829596412513</x:v>
      </x:c>
      <x:c r="CA88" s="147" t="str">
        <x:v>SI69N</x:v>
      </x:c>
      <x:c r="CB88" s="147" t="str">
        <x:v>Silver future (regular)</x:v>
      </x:c>
      <x:c r="CC88" s="147" t="str">
        <x:v>Long</x:v>
      </x:c>
      <x:c r="CD88" s="167" t="n">
        <x:v>1.8030000000000002</x:v>
      </x:c>
      <x:c r="CE88" s="167" t="n">
        <x:v>1.764</x:v>
      </x:c>
      <x:c r="CF88" s="166" t="n">
        <x:v>2.2669097768477618e-14</x:v>
      </x:c>
      <x:c r="CG88" s="171" t="n">
        <x:f>IF(CA88="","",IFERROR(F88*CF88/CD88,0))</x:f>
        <x:v>1.64179189843624e-14</x:v>
      </x:c>
      <x:c r="CH88" s="171" t="n">
        <x:f>IF(CA88="","",F88*ABS(CF88))</x:f>
        <x:v>2.960150792880541e-14</x:v>
      </x:c>
      <x:c r="CI88" s="165" t="n">
        <x:v>1.817</x:v>
      </x:c>
      <x:c r="CJ88" s="172" t="n">
        <x:f>IF(CA88="","",IF(CI88="","",IFERROR(CD88/CI88-1,0)))</x:f>
        <x:v>-0.007705008255365908</x:v>
      </x:c>
      <x:c r="CK88" s="166" t="n">
        <x:v>0.0596</x:v>
      </x:c>
      <x:c r="CL88" s="172" t="n">
        <x:f>IF(CA88="","",IF(CK88="","",CK88-CJ88*365/CM88))</x:f>
        <x:v>0.0943200989285007</x:v>
      </x:c>
      <x:c r="CM88" s="164" t="n">
        <x:v>81</x:v>
      </x:c>
      <x:c r="CN88" s="172" t="n">
        <x:f>IF(CA88="","",IFERROR(CF88*(CE88/CD88-1),0))</x:f>
        <x:v>-4.903465407491019e-16</x:v>
      </x:c>
      <x:c r="CO88" s="147" t="str">
        <x:v>SI69U</x:v>
      </x:c>
      <x:c r="CP88" s="147" t="str">
        <x:v>Silver future (regular)</x:v>
      </x:c>
      <x:c r="CQ88" s="147" t="str">
        <x:v>Long</x:v>
      </x:c>
      <x:c r="CR88" s="167" t="n">
        <x:v>1.834</x:v>
      </x:c>
      <x:c r="CS88" s="167" t="n">
        <x:v>1.794</x:v>
      </x:c>
      <x:c r="CT88" s="166" t="n">
        <x:v>3.14960347276818e-17</x:v>
      </x:c>
      <x:c r="CU88" s="171" t="n">
        <x:f>IF(CO88="","",IFERROR(F88*CT88/CR88,0))</x:f>
        <x:v>2.2425190900187793e-17</x:v>
      </x:c>
      <x:c r="CV88" s="171" t="n">
        <x:f>IF(CO88="","",F88*ABS(CT88))</x:f>
        <x:v>4.1127800110944416e-17</x:v>
      </x:c>
      <x:c r="CW88" s="165" t="n">
        <x:v>1.817</x:v>
      </x:c>
      <x:c r="CX88" s="172" t="n">
        <x:f>IF(CO88="","",IF(CW88="","",IFERROR(CR88/CW88-1,0)))</x:f>
        <x:v>0.009356081452944531</x:v>
      </x:c>
      <x:c r="CY88" s="166" t="n">
        <x:v>0.0603</x:v>
      </x:c>
      <x:c r="CZ88" s="172" t="n">
        <x:f>IF(CO88="","",IF(CY88="","",CY88-CX88*365/DA88))</x:f>
        <x:v>0.0359073590691089</x:v>
      </x:c>
      <x:c r="DA88" s="164" t="n">
        <x:v>140</x:v>
      </x:c>
      <x:c r="DB88" s="172" t="n">
        <x:f>IF(CO88="","",IFERROR(CT88*(CS88/CR88-1),0))</x:f>
        <x:v>-6.869364171795393e-19</x:v>
      </x:c>
      <x:c r="DC88" s="147" t="str">
        <x:v>SI69Z</x:v>
      </x:c>
      <x:c r="DD88" s="147" t="str">
        <x:v>Silver future (regular)</x:v>
      </x:c>
      <x:c r="DE88" s="147" t="str">
        <x:v>Long</x:v>
      </x:c>
      <x:c r="DF88" s="167" t="n">
        <x:v>1.882</x:v>
      </x:c>
      <x:c r="DG88" s="167" t="n">
        <x:v>1.8430000000000002</x:v>
      </x:c>
      <x:c r="DH88" s="166" t="n">
        <x:v>6.052504774320386e-20</x:v>
      </x:c>
      <x:c r="DI88" s="171" t="n">
        <x:f>IF(DC88="","",IFERROR(F88*DH88/DF88,0))</x:f>
        <x:v>4.1994761688533475e-20</x:v>
      </x:c>
      <x:c r="DJ88" s="171" t="n">
        <x:f>IF(DC88="","",F88*ABS(DH88))</x:f>
        <x:v>7.903414149782e-20</x:v>
      </x:c>
      <x:c r="DK88" s="165" t="n">
        <x:v>1.817</x:v>
      </x:c>
      <x:c r="DL88" s="172" t="n">
        <x:f>IF(DC88="","",IF(DK88="","",IFERROR(DF88/DK88-1,0)))</x:f>
        <x:v>0.03577325261419917</x:v>
      </x:c>
      <x:c r="DM88" s="166" t="n">
        <x:v>0.06183770491803278</x:v>
      </x:c>
      <x:c r="DN88" s="172" t="n">
        <x:f>IF(DC88="","",IF(DM88="","",DM88-DL88*365/DO88))</x:f>
        <x:v>0.00603754592579904</x:v>
      </x:c>
      <x:c r="DO88" s="164" t="n">
        <x:v>234</x:v>
      </x:c>
      <x:c r="DP88" s="172" t="n">
        <x:f>IF(DC88="","",IFERROR(DH88*(DG88/DF88-1),0))</x:f>
        <x:v>-1.2542385026487415e-21</x:v>
      </x:c>
      <x:c r="DQ88" s="147"/>
      <x:c r="DR88" s="147"/>
      <x:c r="DS88" s="147"/>
      <x:c r="DT88" s="167"/>
      <x:c r="DU88" s="167"/>
      <x:c r="DV88" s="166"/>
      <x:c r="DW88" s="171" t="str">
        <x:f>IF(DQ88="","",IFERROR(F88*DV88/DT88,0))</x:f>
      </x:c>
      <x:c r="DX88" s="171" t="str">
        <x:f>IF(DQ88="","",F88*ABS(DV88))</x:f>
      </x:c>
      <x:c r="DY88" s="165"/>
      <x:c r="DZ88" s="172" t="str">
        <x:f>IF(DQ88="","",IF(DY88="","",IFERROR(DT88/DY88-1,0)))</x:f>
      </x:c>
      <x:c r="EA88" s="166"/>
      <x:c r="EB88" s="172" t="str">
        <x:f>IF(DQ88="","",IF(EA88="","",EA88-DZ88*365/EC88))</x:f>
      </x:c>
      <x:c r="EC88" s="164"/>
      <x:c r="ED88" s="172" t="str">
        <x:f>IF(DQ88="","",IFERROR(DV88*(DU88/DT88-1),0))</x:f>
      </x:c>
      <x:c r="EE88" s="147"/>
      <x:c r="EF88" s="147"/>
      <x:c r="EG88" s="147"/>
      <x:c r="EH88" s="167"/>
      <x:c r="EI88" s="167"/>
      <x:c r="EJ88" s="166"/>
      <x:c r="EK88" s="171" t="str">
        <x:f>IF(EE88="","",IFERROR(F88*EJ88/EH88,0))</x:f>
      </x:c>
      <x:c r="EL88" s="171" t="str">
        <x:f>IF(EE88="","",F88*ABS(EJ88))</x:f>
      </x:c>
      <x:c r="EM88" s="165"/>
      <x:c r="EN88" s="172" t="str">
        <x:f>IF(EE88="","",IF(EM88="","",IFERROR(EH88/EM88-1,0)))</x:f>
      </x:c>
      <x:c r="EO88" s="166"/>
      <x:c r="EP88" s="172" t="str">
        <x:f>IF(EE88="","",IF(EO88="","",EO88-EN88*365/EQ88))</x:f>
      </x:c>
      <x:c r="EQ88" s="164"/>
      <x:c r="ER88" s="172" t="str">
        <x:f>IF(EE88="","",IFERROR(EJ88*(EI88/EH88-1),0))</x:f>
      </x:c>
      <x:c r="ES88" s="147"/>
      <x:c r="ET88" s="147"/>
      <x:c r="EU88" s="147"/>
      <x:c r="EV88" s="167"/>
      <x:c r="EW88" s="167"/>
      <x:c r="EX88" s="166"/>
      <x:c r="EY88" s="171" t="str">
        <x:f>IF(ES88="","",IFERROR(F88*EX88/EV88,0))</x:f>
      </x:c>
      <x:c r="EZ88" s="171" t="str">
        <x:f>IF(ES88="","",F88*ABS(EX88))</x:f>
      </x:c>
      <x:c r="FA88" s="165"/>
      <x:c r="FB88" s="172" t="str">
        <x:f>IF(ES88="","",IF(FA88="","",IFERROR(EV88/FA88-1,0)))</x:f>
      </x:c>
      <x:c r="FC88" s="166"/>
      <x:c r="FD88" s="172" t="str">
        <x:f>IF(ES88="","",IF(FC88="","",FC88-FB88*365/FE88))</x:f>
      </x:c>
      <x:c r="FE88" s="164"/>
      <x:c r="FF88" s="172" t="str">
        <x:f>IF(ES88="","",IFERROR(EX88*(EW88/EV88-1),0))</x:f>
      </x:c>
      <x:c r="FG88" s="147"/>
      <x:c r="FH88" s="147"/>
      <x:c r="FI88" s="147"/>
      <x:c r="FJ88" s="167"/>
      <x:c r="FK88" s="167"/>
      <x:c r="FL88" s="166"/>
      <x:c r="FM88" s="171" t="str">
        <x:f>IF(FG88="","",IFERROR(F88*FL88/FJ88,0))</x:f>
      </x:c>
      <x:c r="FN88" s="171" t="str">
        <x:f>IF(FG88="","",F88*ABS(FL88))</x:f>
      </x:c>
      <x:c r="FO88" s="165"/>
      <x:c r="FP88" s="172" t="str">
        <x:f>IF(FG88="","",IF(FO88="","",IFERROR(FJ88/FO88-1,0)))</x:f>
      </x:c>
      <x:c r="FQ88" s="166"/>
      <x:c r="FR88" s="172" t="str">
        <x:f>IF(FG88="","",IF(FQ88="","",FQ88-FP88*365/FS88))</x:f>
      </x:c>
      <x:c r="FS88" s="164"/>
      <x:c r="FT88" s="172" t="str">
        <x:f>IF(FG88="","",IFERROR(FL88*(FK88/FJ88-1),0))</x:f>
      </x:c>
    </x:row>
    <x:row r="89" ht="18" customHeight="1">
      <x:c r="A89" s="163" t="n">
        <x:v>25335</x:v>
      </x:c>
      <x:c r="B89" s="163" t="n">
        <x:v>25336</x:v>
      </x:c>
      <x:c r="C89" s="170" t="n">
        <x:f>B89-A89</x:f>
        <x:v>1</x:v>
      </x:c>
      <x:c r="D89" s="163" t="n">
        <x:v>25335</x:v>
      </x:c>
      <x:c r="E89" s="147" t="str">
        <x:v>positive</x:v>
      </x:c>
      <x:c r="F89" s="165" t="n">
        <x:v>1.2815620017306444</x:v>
      </x:c>
      <x:c r="G89" s="168" t="n">
        <x:v>0.005879765166340577</x:v>
      </x:c>
      <x:c r="H89" s="172" t="n">
        <x:f>SUM(AX89,BL89,BZ89,CN89,DB89,DP89,ED89,ER89,FF89,FT89)</x:f>
        <x:v>0.005879765166340478</x:v>
      </x:c>
      <x:c r="I89" s="174" t="n">
        <x:f>G89-H89</x:f>
        <x:v>9.8879238130678e-17</x:v>
      </x:c>
      <x:c r="J89" s="171" t="n">
        <x:f>F89*(1+H89)</x:f>
        <x:v>1.2890972853469258</x:v>
      </x:c>
      <x:c r="K89" s="169" t="n">
        <x:v>1.2890972853469258</x:v>
      </x:c>
      <x:c r="L89" s="175" t="n">
        <x:f>K89-J89</x:f>
        <x:v>0</x:v>
      </x:c>
      <x:c r="M89" s="167" t="n">
        <x:v>1.795</x:v>
      </x:c>
      <x:c r="N89" s="167" t="n">
        <x:v>1.749</x:v>
      </x:c>
      <x:c r="O89" s="172" t="n">
        <x:f>IFERROR(N89/M89-1,0)</x:f>
        <x:v>-0.025626740947075066</x:v>
      </x:c>
      <x:c r="P89" s="171" t="n">
        <x:f>IFERROR(AD89/AH89,0)</x:f>
        <x:v>1.3979378269574396</x:v>
      </x:c>
      <x:c r="Q89" s="171" t="n">
        <x:f>IFERROR(AE89/AI89,0)</x:f>
        <x:v>1.4431403571808366</x:v>
      </x:c>
      <x:c r="R89" s="172" t="n">
        <x:f>IFERROR((Q89-P89)/(P89+S89),0)</x:f>
        <x:v>0.03233515064241346</x:v>
      </x:c>
      <x:c r="S89" s="172" t="n">
        <x:f>IFERROR(AF89/AH89,0)</x:f>
        <x:v>0</x:v>
      </x:c>
      <x:c r="T89" s="172" t="n">
        <x:f>IFERROR(AG89/AI89,0)</x:f>
        <x:v>0</x:v>
      </x:c>
      <x:c r="U89" s="172" t="n">
        <x:f>IFERROR((T89-S89)/(P89+S89),0)</x:f>
        <x:v>0</x:v>
      </x:c>
      <x:c r="V89" s="172" t="n">
        <x:f>R89+U89</x:f>
        <x:v>0.03233515064241346</x:v>
      </x:c>
      <x:c r="W89" s="172" t="n">
        <x:f>(1+O89)*(1+V89)-1</x:f>
        <x:v>0.0058797651663407</x:v>
      </x:c>
      <x:c r="X89" s="174" t="n">
        <x:f>G89-W89</x:f>
        <x:v>-1.231653667943533e-16</x:v>
      </x:c>
      <x:c r="Y89" s="172" t="n">
        <x:f>AX89</x:f>
        <x:v>0</x:v>
      </x:c>
      <x:c r="Z89" s="172" t="n">
        <x:f>BL89</x:f>
        <x:v>0.00016547945205469539</x:v>
      </x:c>
      <x:c r="AA89" s="172" t="n">
        <x:f>SUM(BZ89,CN89,DB89,DP89,ED89,ER89,FF89,FT89)</x:f>
        <x:v>0.005714285714285783</x:v>
      </x:c>
      <x:c r="AB89" s="172" t="n">
        <x:f>SUM(Y89:AA89)</x:f>
        <x:v>0.005879765166340478</x:v>
      </x:c>
      <x:c r="AC89" s="174" t="n">
        <x:f>G89-AB89</x:f>
        <x:v>9.8879238130678e-17</x:v>
      </x:c>
      <x:c r="AD89" s="169" t="n">
        <x:v>1.2815620017306455</x:v>
      </x:c>
      <x:c r="AE89" s="169" t="n">
        <x:v>1.2890972853469271</x:v>
      </x:c>
      <x:c r="AF89" s="169" t="n">
        <x:v>0</x:v>
      </x:c>
      <x:c r="AG89" s="169" t="n">
        <x:v>0</x:v>
      </x:c>
      <x:c r="AH89" s="171" t="n">
        <x:f>M89/$M$3</x:f>
        <x:v>0.9167517875383043</x:v>
      </x:c>
      <x:c r="AI89" s="171" t="n">
        <x:f>N89/$M$3</x:f>
        <x:v>0.8932584269662922</x:v>
      </x:c>
      <x:c r="AJ89" s="170" t="n">
        <x:f>IF(AK89&lt;&gt;"",1,0)+IF(AY89&lt;&gt;"",1,0)+IF(BM89&lt;&gt;"",1,0)+IF(CA89&lt;&gt;"",1,0)+IF(CO89&lt;&gt;"",1,0)+IF(DC89&lt;&gt;"",1,0)+IF(DQ89&lt;&gt;"",1,0)+IF(EE89&lt;&gt;"",1,0)+IF(ES89&lt;&gt;"",1,0)+IF(FG89&lt;&gt;"",1,0)</x:f>
        <x:v>7</x:v>
      </x:c>
      <x:c r="AK89" s="147"/>
      <x:c r="AL89" s="147"/>
      <x:c r="AM89" s="147"/>
      <x:c r="AN89" s="167"/>
      <x:c r="AO89" s="167"/>
      <x:c r="AP89" s="166"/>
      <x:c r="AQ89" s="171" t="str">
        <x:f>IF(AK89="","",IFERROR(F89*AP89/AN89,0))</x:f>
      </x:c>
      <x:c r="AR89" s="171" t="str">
        <x:f>IF(AK89="","",F89*ABS(AP89))</x:f>
      </x:c>
      <x:c r="AS89" s="165"/>
      <x:c r="AT89" s="172" t="str">
        <x:f>IF(AK89="","",IF(AS89="","",IFERROR(AN89/AS89-1,0)))</x:f>
      </x:c>
      <x:c r="AU89" s="166"/>
      <x:c r="AV89" s="172" t="str">
        <x:f>IF(AK89="","",IF(AU89="","",AU89-AT89*365/AW89))</x:f>
      </x:c>
      <x:c r="AW89" s="164"/>
      <x:c r="AX89" s="173" t="str">
        <x:f>IF(AK89="","",IFERROR(AP89*(AO89/AN89-1),0))</x:f>
      </x:c>
      <x:c r="AY89" s="147" t="str">
        <x:v>Matched-maturity Treasury collateral</x:v>
      </x:c>
      <x:c r="AZ89" s="147" t="str">
        <x:v>Treasury</x:v>
      </x:c>
      <x:c r="BA89" s="147" t="str">
        <x:v>Long</x:v>
      </x:c>
      <x:c r="BB89" s="167" t="n">
        <x:v>102.1910811846745</x:v>
      </x:c>
      <x:c r="BC89" s="167" t="n">
        <x:v>102.20799170879383</x:v>
      </x:c>
      <x:c r="BD89" s="166" t="n">
        <x:v>1</x:v>
      </x:c>
      <x:c r="BE89" s="171" t="n">
        <x:f>IF(AY89="","",IFERROR(F89*BD89/BB89,0))</x:f>
        <x:v>0.012540840030987353</x:v>
      </x:c>
      <x:c r="BF89" s="171" t="n">
        <x:f>IF(AY89="","",F89*ABS(BD89))</x:f>
        <x:v>1.2815620017306444</x:v>
      </x:c>
      <x:c r="BG89" s="165"/>
      <x:c r="BH89" s="172" t="str">
        <x:f>IF(AY89="","",IF(BG89="","",IFERROR(BB89/BG89-1,0)))</x:f>
      </x:c>
      <x:c r="BI89" s="166"/>
      <x:c r="BJ89" s="172" t="str">
        <x:f>IF(AY89="","",IF(BI89="","",BI89-BH89*365/BK89))</x:f>
      </x:c>
      <x:c r="BK89" s="164" t="n">
        <x:v>16</x:v>
      </x:c>
      <x:c r="BL89" s="172" t="n">
        <x:f>IF(AY89="","",IFERROR(BD89*(BC89/BB89-1),0))</x:f>
        <x:v>0.00016547945205469539</x:v>
      </x:c>
      <x:c r="BM89" s="147" t="str">
        <x:v>SI69K</x:v>
      </x:c>
      <x:c r="BN89" s="147" t="str">
        <x:v>Silver future (regular)</x:v>
      </x:c>
      <x:c r="BO89" s="147" t="str">
        <x:v>Long</x:v>
      </x:c>
      <x:c r="BP89" s="167" t="n">
        <x:v>1.75</x:v>
      </x:c>
      <x:c r="BQ89" s="167" t="n">
        <x:v>1.76</x:v>
      </x:c>
      <x:c r="BR89" s="166" t="n">
        <x:v>1</x:v>
      </x:c>
      <x:c r="BS89" s="171" t="n">
        <x:f>IF(BM89="","",IFERROR(F89*BR89/BP89,0))</x:f>
        <x:v>0.7323211438460825</x:v>
      </x:c>
      <x:c r="BT89" s="171" t="n">
        <x:f>IF(BM89="","",F89*ABS(BR89))</x:f>
        <x:v>1.2815620017306444</x:v>
      </x:c>
      <x:c r="BU89" s="165" t="n">
        <x:v>1.795</x:v>
      </x:c>
      <x:c r="BV89" s="172" t="n">
        <x:f>IF(BM89="","",IF(BU89="","",IFERROR(BP89/BU89-1,0)))</x:f>
        <x:v>-0.02506963788300831</x:v>
      </x:c>
      <x:c r="BW89" s="166" t="n">
        <x:v>0.0604</x:v>
      </x:c>
      <x:c r="BX89" s="172" t="n">
        <x:f>IF(BM89="","",IF(BW89="","",BW89-BV89*365/BY89))</x:f>
        <x:v>0.6323011142061271</x:v>
      </x:c>
      <x:c r="BY89" s="164" t="n">
        <x:v>16</x:v>
      </x:c>
      <x:c r="BZ89" s="172" t="n">
        <x:f>IF(BM89="","",IFERROR(BR89*(BQ89/BP89-1),0))</x:f>
        <x:v>0.005714285714285783</x:v>
      </x:c>
      <x:c r="CA89" s="147" t="str">
        <x:v>SI69N</x:v>
      </x:c>
      <x:c r="CB89" s="147" t="str">
        <x:v>Silver future (regular)</x:v>
      </x:c>
      <x:c r="CC89" s="147" t="str">
        <x:v>Long</x:v>
      </x:c>
      <x:c r="CD89" s="167" t="n">
        <x:v>1.764</x:v>
      </x:c>
      <x:c r="CE89" s="167" t="n">
        <x:v>1.788</x:v>
      </x:c>
      <x:c r="CF89" s="166" t="n">
        <x:v>4.70359085031285e-22</x:v>
      </x:c>
      <x:c r="CG89" s="171" t="n">
        <x:f>IF(CA89="","",IFERROR(F89*CF89/CD89,0))</x:f>
        <x:v>3.417201420322494e-22</x:v>
      </x:c>
      <x:c r="CH89" s="171" t="n">
        <x:f>IF(CA89="","",F89*ABS(CF89))</x:f>
        <x:v>6.027943305448879e-22</x:v>
      </x:c>
      <x:c r="CI89" s="165" t="n">
        <x:v>1.795</x:v>
      </x:c>
      <x:c r="CJ89" s="172" t="n">
        <x:f>IF(CA89="","",IF(CI89="","",IFERROR(CD89/CI89-1,0)))</x:f>
        <x:v>-0.017270194986072407</x:v>
      </x:c>
      <x:c r="CK89" s="166" t="n">
        <x:v>0.0604</x:v>
      </x:c>
      <x:c r="CL89" s="172" t="n">
        <x:f>IF(CA89="","",IF(CK89="","",CK89-CJ89*365/CM89))</x:f>
        <x:v>0.1412156560245696</x:v>
      </x:c>
      <x:c r="CM89" s="164" t="n">
        <x:v>78</x:v>
      </x:c>
      <x:c r="CN89" s="172" t="n">
        <x:f>IF(CA89="","",IFERROR(CF89*(CE89/CD89-1),0))</x:f>
        <x:v>6.399443333758986e-24</x:v>
      </x:c>
      <x:c r="CO89" s="147" t="str">
        <x:v>SI69U</x:v>
      </x:c>
      <x:c r="CP89" s="147" t="str">
        <x:v>Silver future (regular)</x:v>
      </x:c>
      <x:c r="CQ89" s="147" t="str">
        <x:v>Long</x:v>
      </x:c>
      <x:c r="CR89" s="167" t="n">
        <x:v>1.794</x:v>
      </x:c>
      <x:c r="CS89" s="167" t="n">
        <x:v>1.82</x:v>
      </x:c>
      <x:c r="CT89" s="166" t="n">
        <x:v>1.8290931434696592e-25</x:v>
      </x:c>
      <x:c r="CU89" s="171" t="n">
        <x:f>IF(CO89="","",IFERROR(F89*CT89/CR89,0))</x:f>
        <x:v>1.306631142863307e-25</x:v>
      </x:c>
      <x:c r="CV89" s="171" t="n">
        <x:f>IF(CO89="","",F89*ABS(CT89))</x:f>
        <x:v>2.344096270296773e-25</x:v>
      </x:c>
      <x:c r="CW89" s="165" t="n">
        <x:v>1.795</x:v>
      </x:c>
      <x:c r="CX89" s="172" t="n">
        <x:f>IF(CO89="","",IF(CW89="","",IFERROR(CR89/CW89-1,0)))</x:f>
        <x:v>-0.0005571030640667551</x:v>
      </x:c>
      <x:c r="CY89" s="166" t="n">
        <x:v>0.06120879120879122</x:v>
      </x:c>
      <x:c r="CZ89" s="172" t="n">
        <x:f>IF(CO89="","",IF(CY89="","",CY89-CX89*365/DA89))</x:f>
        <x:v>0.0626930438977282</x:v>
      </x:c>
      <x:c r="DA89" s="164" t="n">
        <x:v>137</x:v>
      </x:c>
      <x:c r="DB89" s="172" t="n">
        <x:f>IF(CO89="","",IFERROR(CT89*(CS89/CR89-1),0))</x:f>
        <x:v>2.6508596282169093e-27</x:v>
      </x:c>
      <x:c r="DC89" s="147" t="str">
        <x:v>SI69Z</x:v>
      </x:c>
      <x:c r="DD89" s="147" t="str">
        <x:v>Silver future (regular)</x:v>
      </x:c>
      <x:c r="DE89" s="147" t="str">
        <x:v>Long</x:v>
      </x:c>
      <x:c r="DF89" s="167" t="n">
        <x:v>1.8430000000000002</x:v>
      </x:c>
      <x:c r="DG89" s="167" t="n">
        <x:v>1.869</x:v>
      </x:c>
      <x:c r="DH89" s="166" t="n">
        <x:v>2.0658642093304978e-28</x:v>
      </x:c>
      <x:c r="DI89" s="171" t="n">
        <x:f>IF(DC89="","",IFERROR(F89*DH89/DF89,0))</x:f>
        <x:v>1.4365344934418273e-28</x:v>
      </x:c>
      <x:c r="DJ89" s="171" t="n">
        <x:f>IF(DC89="","",F89*ABS(DH89))</x:f>
        <x:v>2.6475330714132877e-28</x:v>
      </x:c>
      <x:c r="DK89" s="165" t="n">
        <x:v>1.795</x:v>
      </x:c>
      <x:c r="DL89" s="172" t="n">
        <x:f>IF(DC89="","",IF(DK89="","",IFERROR(DF89/DK89-1,0)))</x:f>
        <x:v>0.02674094707520913</x:v>
      </x:c>
      <x:c r="DM89" s="166" t="n">
        <x:v>0.06266939890710382</x:v>
      </x:c>
      <x:c r="DN89" s="172" t="n">
        <x:f>IF(DC89="","",IF(DM89="","",DM89-DL89*365/DO89))</x:f>
        <x:v>0.02041638729476039</x:v>
      </x:c>
      <x:c r="DO89" s="164" t="n">
        <x:v>231</x:v>
      </x:c>
      <x:c r="DP89" s="172" t="n">
        <x:f>IF(DC89="","",IFERROR(DH89*(DG89/DF89-1),0))</x:f>
        <x:v>2.9144042019854775e-30</x:v>
      </x:c>
      <x:c r="DQ89" s="147" t="str">
        <x:v>SI70F</x:v>
      </x:c>
      <x:c r="DR89" s="147" t="str">
        <x:v>Silver future (regular)</x:v>
      </x:c>
      <x:c r="DS89" s="147" t="str">
        <x:v>Long</x:v>
      </x:c>
      <x:c r="DT89" s="167" t="n">
        <x:v>1.86</x:v>
      </x:c>
      <x:c r="DU89" s="167" t="n">
        <x:v>1.885</x:v>
      </x:c>
      <x:c r="DV89" s="166" t="n">
        <x:v>3.8304206878060237e-29</x:v>
      </x:c>
      <x:c r="DW89" s="171" t="n">
        <x:f>IF(DQ89="","",IFERROR(F89*DV89/DT89,0))</x:f>
        <x:v>2.6392051635135263e-29</x:v>
      </x:c>
      <x:c r="DX89" s="171" t="n">
        <x:f>IF(DQ89="","",F89*ABS(DV89))</x:f>
        <x:v>4.9089216041351594e-29</x:v>
      </x:c>
      <x:c r="DY89" s="165" t="n">
        <x:v>1.795</x:v>
      </x:c>
      <x:c r="DZ89" s="172" t="n">
        <x:f>IF(DQ89="","",IF(DY89="","",IFERROR(DT89/DY89-1,0)))</x:f>
        <x:v>0.03621169916434552</x:v>
      </x:c>
      <x:c r="EA89" s="166" t="n">
        <x:v>0.06307923497267759</x:v>
      </x:c>
      <x:c r="EB89" s="172" t="n">
        <x:f>IF(DQ89="","",IF(EA89="","",EA89-DZ89*365/EC89))</x:f>
        <x:v>0.012438352999550713</x:v>
      </x:c>
      <x:c r="EC89" s="164" t="n">
        <x:v>261</x:v>
      </x:c>
      <x:c r="ED89" s="172" t="n">
        <x:f>IF(DQ89="","",IFERROR(DV89*(DU89/DT89-1),0))</x:f>
        <x:v>5.148414902965081e-31</x:v>
      </x:c>
      <x:c r="EE89" s="147" t="str">
        <x:v>SI70H</x:v>
      </x:c>
      <x:c r="EF89" s="147" t="str">
        <x:v>Silver future (regular)</x:v>
      </x:c>
      <x:c r="EG89" s="147" t="str">
        <x:v>Long</x:v>
      </x:c>
      <x:c r="EH89" s="167" t="n">
        <x:v>1.893</x:v>
      </x:c>
      <x:c r="EI89" s="167" t="n">
        <x:v>1.9180000000000001</x:v>
      </x:c>
      <x:c r="EJ89" s="166" t="n">
        <x:v>3.544132106985304e-30</x:v>
      </x:c>
      <x:c r="EK89" s="171" t="n">
        <x:f>IF(EE89="","",IFERROR(F89*EJ89/EH89,0))</x:f>
        <x:v>2.3993793118995946e-30</x:v>
      </x:c>
      <x:c r="EL89" s="171" t="n">
        <x:f>IF(EE89="","",F89*ABS(EJ89))</x:f>
        <x:v>4.542025037425932e-30</x:v>
      </x:c>
      <x:c r="EM89" s="165" t="n">
        <x:v>1.795</x:v>
      </x:c>
      <x:c r="EN89" s="172" t="n">
        <x:f>IF(EE89="","",IF(EM89="","",IFERROR(EH89/EM89-1,0)))</x:f>
        <x:v>0.05459610027855155</x:v>
      </x:c>
      <x:c r="EO89" s="166" t="n">
        <x:v>0.06387158469945355</x:v>
      </x:c>
      <x:c r="EP89" s="172" t="n">
        <x:f>IF(EE89="","",IF(EO89="","",EO89-EN89*365/EQ89))</x:f>
        <x:v>0.0014026925312049104</x:v>
      </x:c>
      <x:c r="EQ89" s="164" t="n">
        <x:v>319</x:v>
      </x:c>
      <x:c r="ER89" s="172" t="n">
        <x:f>IF(EE89="","",IFERROR(EJ89*(EI89/EH89-1),0))</x:f>
        <x:v>4.680575946890309e-32</x:v>
      </x:c>
      <x:c r="ES89" s="147"/>
      <x:c r="ET89" s="147"/>
      <x:c r="EU89" s="147"/>
      <x:c r="EV89" s="167"/>
      <x:c r="EW89" s="167"/>
      <x:c r="EX89" s="166"/>
      <x:c r="EY89" s="171" t="str">
        <x:f>IF(ES89="","",IFERROR(F89*EX89/EV89,0))</x:f>
      </x:c>
      <x:c r="EZ89" s="171" t="str">
        <x:f>IF(ES89="","",F89*ABS(EX89))</x:f>
      </x:c>
      <x:c r="FA89" s="165"/>
      <x:c r="FB89" s="172" t="str">
        <x:f>IF(ES89="","",IF(FA89="","",IFERROR(EV89/FA89-1,0)))</x:f>
      </x:c>
      <x:c r="FC89" s="166"/>
      <x:c r="FD89" s="172" t="str">
        <x:f>IF(ES89="","",IF(FC89="","",FC89-FB89*365/FE89))</x:f>
      </x:c>
      <x:c r="FE89" s="164"/>
      <x:c r="FF89" s="172" t="str">
        <x:f>IF(ES89="","",IFERROR(EX89*(EW89/EV89-1),0))</x:f>
      </x:c>
      <x:c r="FG89" s="147"/>
      <x:c r="FH89" s="147"/>
      <x:c r="FI89" s="147"/>
      <x:c r="FJ89" s="167"/>
      <x:c r="FK89" s="167"/>
      <x:c r="FL89" s="166"/>
      <x:c r="FM89" s="171" t="str">
        <x:f>IF(FG89="","",IFERROR(F89*FL89/FJ89,0))</x:f>
      </x:c>
      <x:c r="FN89" s="171" t="str">
        <x:f>IF(FG89="","",F89*ABS(FL89))</x:f>
      </x:c>
      <x:c r="FO89" s="165"/>
      <x:c r="FP89" s="172" t="str">
        <x:f>IF(FG89="","",IF(FO89="","",IFERROR(FJ89/FO89-1,0)))</x:f>
      </x:c>
      <x:c r="FQ89" s="166"/>
      <x:c r="FR89" s="172" t="str">
        <x:f>IF(FG89="","",IF(FQ89="","",FQ89-FP89*365/FS89))</x:f>
      </x:c>
      <x:c r="FS89" s="164"/>
      <x:c r="FT89" s="172" t="str">
        <x:f>IF(FG89="","",IFERROR(FL89*(FK89/FJ89-1),0))</x:f>
      </x:c>
    </x:row>
    <x:row r="90" ht="18" customHeight="1">
      <x:c r="A90" s="163" t="n">
        <x:v>25336</x:v>
      </x:c>
      <x:c r="B90" s="163" t="n">
        <x:v>25337</x:v>
      </x:c>
      <x:c r="C90" s="170" t="n">
        <x:f>B90-A90</x:f>
        <x:v>1</x:v>
      </x:c>
      <x:c r="D90" s="163" t="n">
        <x:v>25336</x:v>
      </x:c>
      <x:c r="E90" s="147" t="str">
        <x:v>neutral</x:v>
      </x:c>
      <x:c r="F90" s="165" t="n">
        <x:v>1.2890972853469258</x:v>
      </x:c>
      <x:c r="G90" s="168" t="n">
        <x:v>0.015430543480814804</x:v>
      </x:c>
      <x:c r="H90" s="172" t="n">
        <x:f>SUM(AX90,BL90,BZ90,CN90,DB90,DP90,ED90,ER90,FF90,FT90)</x:f>
        <x:v>0.015430543480814804</x:v>
      </x:c>
      <x:c r="I90" s="174" t="n">
        <x:f>G90-H90</x:f>
        <x:v>0</x:v>
      </x:c>
      <x:c r="J90" s="171" t="n">
        <x:f>F90*(1+H90)</x:f>
        <x:v>1.308988757059472</x:v>
      </x:c>
      <x:c r="K90" s="169" t="n">
        <x:v>1.308988757059472</x:v>
      </x:c>
      <x:c r="L90" s="175" t="n">
        <x:f>K90-J90</x:f>
        <x:v>0</x:v>
      </x:c>
      <x:c r="M90" s="167" t="n">
        <x:v>1.749</x:v>
      </x:c>
      <x:c r="N90" s="167" t="n">
        <x:v>1.776</x:v>
      </x:c>
      <x:c r="O90" s="172" t="n">
        <x:f>IFERROR(N90/M90-1,0)</x:f>
        <x:v>0.015437392795883298</x:v>
      </x:c>
      <x:c r="P90" s="171" t="n">
        <x:f>IFERROR(AD90/AH90,0)</x:f>
        <x:v>1.4431403571808366</x:v>
      </x:c>
      <x:c r="Q90" s="171" t="n">
        <x:f>IFERROR(AE90/AI90,0)</x:f>
        <x:v>1.4431306229293066</x:v>
      </x:c>
      <x:c r="R90" s="172" t="n">
        <x:f>IFERROR((Q90-P90)/(P90+S90),0)</x:f>
        <x:v>-0.00000674518696778932</x:v>
      </x:c>
      <x:c r="S90" s="172" t="n">
        <x:f>IFERROR(AF90/AH90,0)</x:f>
        <x:v>0</x:v>
      </x:c>
      <x:c r="T90" s="172" t="n">
        <x:f>IFERROR(AG90/AI90,0)</x:f>
        <x:v>0</x:v>
      </x:c>
      <x:c r="U90" s="172" t="n">
        <x:f>IFERROR((T90-S90)/(P90+S90),0)</x:f>
        <x:v>0</x:v>
      </x:c>
      <x:c r="V90" s="172" t="n">
        <x:f>R90+U90</x:f>
        <x:v>-0.00000674518696778932</x:v>
      </x:c>
      <x:c r="W90" s="172" t="n">
        <x:f>(1+O90)*(1+V90)-1</x:f>
        <x:v>0.015430543480814851</x:v>
      </x:c>
      <x:c r="X90" s="174" t="n">
        <x:f>G90-W90</x:f>
        <x:v>-4.683753385137379e-17</x:v>
      </x:c>
      <x:c r="Y90" s="172" t="n">
        <x:f>AX90</x:f>
        <x:v>0.015430543480814804</x:v>
      </x:c>
      <x:c r="Z90" s="172" t="str">
        <x:f>BL90</x:f>
      </x:c>
      <x:c r="AA90" s="172" t="n">
        <x:f>SUM(BZ90,CN90,DB90,DP90,ED90,ER90,FF90,FT90)</x:f>
        <x:v>0</x:v>
      </x:c>
      <x:c r="AB90" s="172" t="n">
        <x:f>SUM(Y90:AA90)</x:f>
        <x:v>0.015430543480814804</x:v>
      </x:c>
      <x:c r="AC90" s="174" t="n">
        <x:f>G90-AB90</x:f>
        <x:v>0</x:v>
      </x:c>
      <x:c r="AD90" s="169" t="n">
        <x:v>1.2890972853469271</x:v>
      </x:c>
      <x:c r="AE90" s="169" t="n">
        <x:v>1.3089887570594732</x:v>
      </x:c>
      <x:c r="AF90" s="169" t="n">
        <x:v>0</x:v>
      </x:c>
      <x:c r="AG90" s="169" t="n">
        <x:v>0</x:v>
      </x:c>
      <x:c r="AH90" s="171" t="n">
        <x:f>M90/$M$3</x:f>
        <x:v>0.8932584269662922</x:v>
      </x:c>
      <x:c r="AI90" s="171" t="n">
        <x:f>N90/$M$3</x:f>
        <x:v>0.9070480081716037</x:v>
      </x:c>
      <x:c r="AJ90" s="170" t="n">
        <x:f>IF(AK90&lt;&gt;"",1,0)+IF(AY90&lt;&gt;"",1,0)+IF(BM90&lt;&gt;"",1,0)+IF(CA90&lt;&gt;"",1,0)+IF(CO90&lt;&gt;"",1,0)+IF(DC90&lt;&gt;"",1,0)+IF(DQ90&lt;&gt;"",1,0)+IF(EE90&lt;&gt;"",1,0)+IF(ES90&lt;&gt;"",1,0)+IF(FG90&lt;&gt;"",1,0)</x:f>
        <x:v>1</x:v>
      </x:c>
      <x:c r="AK90" s="147" t="str">
        <x:v>Silver replicating holding (LBMA/SLV proxy)</x:v>
      </x:c>
      <x:c r="AL90" s="147" t="str">
        <x:v>Physical-backed proxy</x:v>
      </x:c>
      <x:c r="AM90" s="147" t="str">
        <x:v>Long</x:v>
      </x:c>
      <x:c r="AN90" s="167" t="n">
        <x:v>1.749</x:v>
      </x:c>
      <x:c r="AO90" s="167" t="n">
        <x:v>1.776</x:v>
      </x:c>
      <x:c r="AP90" s="166" t="n">
        <x:v>1</x:v>
      </x:c>
      <x:c r="AQ90" s="171" t="n">
        <x:f>IF(AK90="","",IFERROR(F90*AP90/AN90,0))</x:f>
        <x:v>0.7370481905928677</x:v>
      </x:c>
      <x:c r="AR90" s="171" t="n">
        <x:f>IF(AK90="","",F90*ABS(AP90))</x:f>
        <x:v>1.2890972853469258</x:v>
      </x:c>
      <x:c r="AS90" s="165"/>
      <x:c r="AT90" s="172" t="str">
        <x:f>IF(AK90="","",IF(AS90="","",IFERROR(AN90/AS90-1,0)))</x:f>
      </x:c>
      <x:c r="AU90" s="166"/>
      <x:c r="AV90" s="172" t="str">
        <x:f>IF(AK90="","",IF(AU90="","",AU90-AT90*365/AW90))</x:f>
      </x:c>
      <x:c r="AW90" s="164"/>
      <x:c r="AX90" s="173" t="n">
        <x:f>IF(AK90="","",IFERROR(AP90*(AO90/AN90-1-'Parameters'!$C$6*C90/365),0))</x:f>
        <x:v>0.015430543480814804</x:v>
      </x:c>
      <x:c r="AY90" s="147"/>
      <x:c r="AZ90" s="147"/>
      <x:c r="BA90" s="147"/>
      <x:c r="BB90" s="167"/>
      <x:c r="BC90" s="167"/>
      <x:c r="BD90" s="166"/>
      <x:c r="BE90" s="171" t="str">
        <x:f>IF(AY90="","",IFERROR(F90*BD90/BB90,0))</x:f>
      </x:c>
      <x:c r="BF90" s="171" t="str">
        <x:f>IF(AY90="","",F90*ABS(BD90))</x:f>
      </x:c>
      <x:c r="BG90" s="165"/>
      <x:c r="BH90" s="172" t="str">
        <x:f>IF(AY90="","",IF(BG90="","",IFERROR(BB90/BG90-1,0)))</x:f>
      </x:c>
      <x:c r="BI90" s="166"/>
      <x:c r="BJ90" s="172" t="str">
        <x:f>IF(AY90="","",IF(BI90="","",BI90-BH90*365/BK90))</x:f>
      </x:c>
      <x:c r="BK90" s="164"/>
      <x:c r="BL90" s="172" t="str">
        <x:f>IF(AY90="","",IFERROR(BD90*(BC90/BB90-1),0))</x:f>
      </x:c>
      <x:c r="BM90" s="147"/>
      <x:c r="BN90" s="147"/>
      <x:c r="BO90" s="147"/>
      <x:c r="BP90" s="167"/>
      <x:c r="BQ90" s="167"/>
      <x:c r="BR90" s="166"/>
      <x:c r="BS90" s="171" t="str">
        <x:f>IF(BM90="","",IFERROR(F90*BR90/BP90,0))</x:f>
      </x:c>
      <x:c r="BT90" s="171" t="str">
        <x:f>IF(BM90="","",F90*ABS(BR90))</x:f>
      </x:c>
      <x:c r="BU90" s="165"/>
      <x:c r="BV90" s="172" t="str">
        <x:f>IF(BM90="","",IF(BU90="","",IFERROR(BP90/BU90-1,0)))</x:f>
      </x:c>
      <x:c r="BW90" s="166"/>
      <x:c r="BX90" s="172" t="str">
        <x:f>IF(BM90="","",IF(BW90="","",BW90-BV90*365/BY90))</x:f>
      </x:c>
      <x:c r="BY90" s="164"/>
      <x:c r="BZ90" s="172" t="str">
        <x:f>IF(BM90="","",IFERROR(BR90*(BQ90/BP90-1),0))</x:f>
      </x:c>
      <x:c r="CA90" s="147"/>
      <x:c r="CB90" s="147"/>
      <x:c r="CC90" s="147"/>
      <x:c r="CD90" s="167"/>
      <x:c r="CE90" s="167"/>
      <x:c r="CF90" s="166"/>
      <x:c r="CG90" s="171" t="str">
        <x:f>IF(CA90="","",IFERROR(F90*CF90/CD90,0))</x:f>
      </x:c>
      <x:c r="CH90" s="171" t="str">
        <x:f>IF(CA90="","",F90*ABS(CF90))</x:f>
      </x:c>
      <x:c r="CI90" s="165"/>
      <x:c r="CJ90" s="172" t="str">
        <x:f>IF(CA90="","",IF(CI90="","",IFERROR(CD90/CI90-1,0)))</x:f>
      </x:c>
      <x:c r="CK90" s="166"/>
      <x:c r="CL90" s="172" t="str">
        <x:f>IF(CA90="","",IF(CK90="","",CK90-CJ90*365/CM90))</x:f>
      </x:c>
      <x:c r="CM90" s="164"/>
      <x:c r="CN90" s="172" t="str">
        <x:f>IF(CA90="","",IFERROR(CF90*(CE90/CD90-1),0))</x:f>
      </x:c>
      <x:c r="CO90" s="147"/>
      <x:c r="CP90" s="147"/>
      <x:c r="CQ90" s="147"/>
      <x:c r="CR90" s="167"/>
      <x:c r="CS90" s="167"/>
      <x:c r="CT90" s="166"/>
      <x:c r="CU90" s="171" t="str">
        <x:f>IF(CO90="","",IFERROR(F90*CT90/CR90,0))</x:f>
      </x:c>
      <x:c r="CV90" s="171" t="str">
        <x:f>IF(CO90="","",F90*ABS(CT90))</x:f>
      </x:c>
      <x:c r="CW90" s="165"/>
      <x:c r="CX90" s="172" t="str">
        <x:f>IF(CO90="","",IF(CW90="","",IFERROR(CR90/CW90-1,0)))</x:f>
      </x:c>
      <x:c r="CY90" s="166"/>
      <x:c r="CZ90" s="172" t="str">
        <x:f>IF(CO90="","",IF(CY90="","",CY90-CX90*365/DA90))</x:f>
      </x:c>
      <x:c r="DA90" s="164"/>
      <x:c r="DB90" s="172" t="str">
        <x:f>IF(CO90="","",IFERROR(CT90*(CS90/CR90-1),0))</x:f>
      </x:c>
      <x:c r="DC90" s="147"/>
      <x:c r="DD90" s="147"/>
      <x:c r="DE90" s="147"/>
      <x:c r="DF90" s="167"/>
      <x:c r="DG90" s="167"/>
      <x:c r="DH90" s="166"/>
      <x:c r="DI90" s="171" t="str">
        <x:f>IF(DC90="","",IFERROR(F90*DH90/DF90,0))</x:f>
      </x:c>
      <x:c r="DJ90" s="171" t="str">
        <x:f>IF(DC90="","",F90*ABS(DH90))</x:f>
      </x:c>
      <x:c r="DK90" s="165"/>
      <x:c r="DL90" s="172" t="str">
        <x:f>IF(DC90="","",IF(DK90="","",IFERROR(DF90/DK90-1,0)))</x:f>
      </x:c>
      <x:c r="DM90" s="166"/>
      <x:c r="DN90" s="172" t="str">
        <x:f>IF(DC90="","",IF(DM90="","",DM90-DL90*365/DO90))</x:f>
      </x:c>
      <x:c r="DO90" s="164"/>
      <x:c r="DP90" s="172" t="str">
        <x:f>IF(DC90="","",IFERROR(DH90*(DG90/DF90-1),0))</x:f>
      </x:c>
      <x:c r="DQ90" s="147"/>
      <x:c r="DR90" s="147"/>
      <x:c r="DS90" s="147"/>
      <x:c r="DT90" s="167"/>
      <x:c r="DU90" s="167"/>
      <x:c r="DV90" s="166"/>
      <x:c r="DW90" s="171" t="str">
        <x:f>IF(DQ90="","",IFERROR(F90*DV90/DT90,0))</x:f>
      </x:c>
      <x:c r="DX90" s="171" t="str">
        <x:f>IF(DQ90="","",F90*ABS(DV90))</x:f>
      </x:c>
      <x:c r="DY90" s="165"/>
      <x:c r="DZ90" s="172" t="str">
        <x:f>IF(DQ90="","",IF(DY90="","",IFERROR(DT90/DY90-1,0)))</x:f>
      </x:c>
      <x:c r="EA90" s="166"/>
      <x:c r="EB90" s="172" t="str">
        <x:f>IF(DQ90="","",IF(EA90="","",EA90-DZ90*365/EC90))</x:f>
      </x:c>
      <x:c r="EC90" s="164"/>
      <x:c r="ED90" s="172" t="str">
        <x:f>IF(DQ90="","",IFERROR(DV90*(DU90/DT90-1),0))</x:f>
      </x:c>
      <x:c r="EE90" s="147"/>
      <x:c r="EF90" s="147"/>
      <x:c r="EG90" s="147"/>
      <x:c r="EH90" s="167"/>
      <x:c r="EI90" s="167"/>
      <x:c r="EJ90" s="166"/>
      <x:c r="EK90" s="171" t="str">
        <x:f>IF(EE90="","",IFERROR(F90*EJ90/EH90,0))</x:f>
      </x:c>
      <x:c r="EL90" s="171" t="str">
        <x:f>IF(EE90="","",F90*ABS(EJ90))</x:f>
      </x:c>
      <x:c r="EM90" s="165"/>
      <x:c r="EN90" s="172" t="str">
        <x:f>IF(EE90="","",IF(EM90="","",IFERROR(EH90/EM90-1,0)))</x:f>
      </x:c>
      <x:c r="EO90" s="166"/>
      <x:c r="EP90" s="172" t="str">
        <x:f>IF(EE90="","",IF(EO90="","",EO90-EN90*365/EQ90))</x:f>
      </x:c>
      <x:c r="EQ90" s="164"/>
      <x:c r="ER90" s="172" t="str">
        <x:f>IF(EE90="","",IFERROR(EJ90*(EI90/EH90-1),0))</x:f>
      </x:c>
      <x:c r="ES90" s="147"/>
      <x:c r="ET90" s="147"/>
      <x:c r="EU90" s="147"/>
      <x:c r="EV90" s="167"/>
      <x:c r="EW90" s="167"/>
      <x:c r="EX90" s="166"/>
      <x:c r="EY90" s="171" t="str">
        <x:f>IF(ES90="","",IFERROR(F90*EX90/EV90,0))</x:f>
      </x:c>
      <x:c r="EZ90" s="171" t="str">
        <x:f>IF(ES90="","",F90*ABS(EX90))</x:f>
      </x:c>
      <x:c r="FA90" s="165"/>
      <x:c r="FB90" s="172" t="str">
        <x:f>IF(ES90="","",IF(FA90="","",IFERROR(EV90/FA90-1,0)))</x:f>
      </x:c>
      <x:c r="FC90" s="166"/>
      <x:c r="FD90" s="172" t="str">
        <x:f>IF(ES90="","",IF(FC90="","",FC90-FB90*365/FE90))</x:f>
      </x:c>
      <x:c r="FE90" s="164"/>
      <x:c r="FF90" s="172" t="str">
        <x:f>IF(ES90="","",IFERROR(EX90*(EW90/EV90-1),0))</x:f>
      </x:c>
      <x:c r="FG90" s="147"/>
      <x:c r="FH90" s="147"/>
      <x:c r="FI90" s="147"/>
      <x:c r="FJ90" s="167"/>
      <x:c r="FK90" s="167"/>
      <x:c r="FL90" s="166"/>
      <x:c r="FM90" s="171" t="str">
        <x:f>IF(FG90="","",IFERROR(F90*FL90/FJ90,0))</x:f>
      </x:c>
      <x:c r="FN90" s="171" t="str">
        <x:f>IF(FG90="","",F90*ABS(FL90))</x:f>
      </x:c>
      <x:c r="FO90" s="165"/>
      <x:c r="FP90" s="172" t="str">
        <x:f>IF(FG90="","",IF(FO90="","",IFERROR(FJ90/FO90-1,0)))</x:f>
      </x:c>
      <x:c r="FQ90" s="166"/>
      <x:c r="FR90" s="172" t="str">
        <x:f>IF(FG90="","",IF(FQ90="","",FQ90-FP90*365/FS90))</x:f>
      </x:c>
      <x:c r="FS90" s="164"/>
      <x:c r="FT90" s="172" t="str">
        <x:f>IF(FG90="","",IFERROR(FL90*(FK90/FJ90-1),0))</x:f>
      </x:c>
    </x:row>
    <x:row r="91" ht="18" customHeight="1">
      <x:c r="A91" s="163" t="n">
        <x:v>25337</x:v>
      </x:c>
      <x:c r="B91" s="163" t="n">
        <x:v>25338</x:v>
      </x:c>
      <x:c r="C91" s="170" t="n">
        <x:f>B91-A91</x:f>
        <x:v>1</x:v>
      </x:c>
      <x:c r="D91" s="163" t="n">
        <x:v>25337</x:v>
      </x:c>
      <x:c r="E91" s="147" t="str">
        <x:v>positive</x:v>
      </x:c>
      <x:c r="F91" s="165" t="n">
        <x:v>1.308988757059472</x:v>
      </x:c>
      <x:c r="G91" s="168" t="n">
        <x:v>0.0024520156555772393</x:v>
      </x:c>
      <x:c r="H91" s="172" t="n">
        <x:f>SUM(AX91,BL91,BZ91,CN91,DB91,DP91,ED91,ER91,FF91,FT91)</x:f>
        <x:v>0.002452015655577179</x:v>
      </x:c>
      <x:c r="I91" s="174" t="n">
        <x:f>G91-H91</x:f>
        <x:v>6.028164079019405e-17</x:v>
      </x:c>
      <x:c r="J91" s="171" t="n">
        <x:f>F91*(1+H91)</x:f>
        <x:v>1.3121984179847563</x:v>
      </x:c>
      <x:c r="K91" s="169" t="n">
        <x:v>1.3121984179847563</x:v>
      </x:c>
      <x:c r="L91" s="175" t="n">
        <x:f>K91-J91</x:f>
        <x:v>0</x:v>
      </x:c>
      <x:c r="M91" s="167" t="n">
        <x:v>1.776</x:v>
      </x:c>
      <x:c r="N91" s="167" t="n">
        <x:v>1.761</x:v>
      </x:c>
      <x:c r="O91" s="172" t="n">
        <x:f>IFERROR(N91/M91-1,0)</x:f>
        <x:v>-0.008445945945946054</x:v>
      </x:c>
      <x:c r="P91" s="171" t="n">
        <x:f>IFERROR(AD91/AH91,0)</x:f>
        <x:v>1.4431306229293066</x:v>
      </x:c>
      <x:c r="Q91" s="171" t="n">
        <x:f>IFERROR(AE91/AI91,0)</x:f>
        <x:v>1.458991767412922</x:v>
      </x:c>
      <x:c r="R91" s="172" t="n">
        <x:f>IFERROR((Q91-P91)/(P91+S91),0)</x:f>
        <x:v>0.01099078921312059</x:v>
      </x:c>
      <x:c r="S91" s="172" t="n">
        <x:f>IFERROR(AF91/AH91,0)</x:f>
        <x:v>0</x:v>
      </x:c>
      <x:c r="T91" s="172" t="n">
        <x:f>IFERROR(AG91/AI91,0)</x:f>
        <x:v>0</x:v>
      </x:c>
      <x:c r="U91" s="172" t="n">
        <x:f>IFERROR((T91-S91)/(P91+S91),0)</x:f>
        <x:v>0</x:v>
      </x:c>
      <x:c r="V91" s="172" t="n">
        <x:f>R91+U91</x:f>
        <x:v>0.01099078921312059</x:v>
      </x:c>
      <x:c r="W91" s="172" t="n">
        <x:f>(1+O91)*(1+V91)-1</x:f>
        <x:v>0.0024520156555773998</x:v>
      </x:c>
      <x:c r="X91" s="174" t="n">
        <x:f>G91-W91</x:f>
        <x:v>-1.6046192152785466e-16</x:v>
      </x:c>
      <x:c r="Y91" s="172" t="str">
        <x:f>AX91</x:f>
      </x:c>
      <x:c r="Z91" s="172" t="n">
        <x:f>BL91</x:f>
        <x:v>0.0001663013698629534</x:v>
      </x:c>
      <x:c r="AA91" s="172" t="n">
        <x:f>SUM(BZ91,CN91,DB91,DP91,ED91,ER91,FF91,FT91)</x:f>
        <x:v>0.0022857142857142256</x:v>
      </x:c>
      <x:c r="AB91" s="172" t="n">
        <x:f>SUM(Y91:AA91)</x:f>
        <x:v>0.002452015655577179</x:v>
      </x:c>
      <x:c r="AC91" s="174" t="n">
        <x:f>G91-AB91</x:f>
        <x:v>6.028164079019405e-17</x:v>
      </x:c>
      <x:c r="AD91" s="169" t="n">
        <x:v>1.3089887570594732</x:v>
      </x:c>
      <x:c r="AE91" s="169" t="n">
        <x:v>1.3121984179847577</x:v>
      </x:c>
      <x:c r="AF91" s="169" t="n">
        <x:v>0</x:v>
      </x:c>
      <x:c r="AG91" s="169" t="n">
        <x:v>0</x:v>
      </x:c>
      <x:c r="AH91" s="171" t="n">
        <x:f>M91/$M$3</x:f>
        <x:v>0.9070480081716037</x:v>
      </x:c>
      <x:c r="AI91" s="171" t="n">
        <x:f>N91/$M$3</x:f>
        <x:v>0.8993871297242083</x:v>
      </x:c>
      <x:c r="AJ91" s="170" t="n">
        <x:f>IF(AK91&lt;&gt;"",1,0)+IF(AY91&lt;&gt;"",1,0)+IF(BM91&lt;&gt;"",1,0)+IF(CA91&lt;&gt;"",1,0)+IF(CO91&lt;&gt;"",1,0)+IF(DC91&lt;&gt;"",1,0)+IF(DQ91&lt;&gt;"",1,0)+IF(EE91&lt;&gt;"",1,0)+IF(ES91&lt;&gt;"",1,0)+IF(FG91&lt;&gt;"",1,0)</x:f>
        <x:v>5</x:v>
      </x:c>
      <x:c r="AK91" s="147"/>
      <x:c r="AL91" s="147"/>
      <x:c r="AM91" s="147"/>
      <x:c r="AN91" s="167"/>
      <x:c r="AO91" s="167"/>
      <x:c r="AP91" s="166"/>
      <x:c r="AQ91" s="171" t="str">
        <x:f>IF(AK91="","",IFERROR(F91*AP91/AN91,0))</x:f>
      </x:c>
      <x:c r="AR91" s="171" t="str">
        <x:f>IF(AK91="","",F91*ABS(AP91))</x:f>
      </x:c>
      <x:c r="AS91" s="165"/>
      <x:c r="AT91" s="172" t="str">
        <x:f>IF(AK91="","",IF(AS91="","",IFERROR(AN91/AS91-1,0)))</x:f>
      </x:c>
      <x:c r="AU91" s="166"/>
      <x:c r="AV91" s="172" t="str">
        <x:f>IF(AK91="","",IF(AU91="","",AU91-AT91*365/AW91))</x:f>
      </x:c>
      <x:c r="AW91" s="164"/>
      <x:c r="AX91" s="173" t="str">
        <x:f>IF(AK91="","",IFERROR(AP91*(AO91/AN91-1),0))</x:f>
      </x:c>
      <x:c r="AY91" s="147" t="str">
        <x:v>Matched-maturity Treasury collateral</x:v>
      </x:c>
      <x:c r="AZ91" s="147" t="str">
        <x:v>Treasury</x:v>
      </x:c>
      <x:c r="BA91" s="147" t="str">
        <x:v>Long</x:v>
      </x:c>
      <x:c r="BB91" s="167" t="n">
        <x:v>102.22504504220495</x:v>
      </x:c>
      <x:c r="BC91" s="167" t="n">
        <x:v>102.24204520722976</x:v>
      </x:c>
      <x:c r="BD91" s="166" t="n">
        <x:v>1</x:v>
      </x:c>
      <x:c r="BE91" s="171" t="n">
        <x:f>IF(AY91="","",IFERROR(F91*BD91/BB91,0))</x:f>
        <x:v>0.012804971193889314</x:v>
      </x:c>
      <x:c r="BF91" s="171" t="n">
        <x:f>IF(AY91="","",F91*ABS(BD91))</x:f>
        <x:v>1.308988757059472</x:v>
      </x:c>
      <x:c r="BG91" s="165"/>
      <x:c r="BH91" s="172" t="str">
        <x:f>IF(AY91="","",IF(BG91="","",IFERROR(BB91/BG91-1,0)))</x:f>
      </x:c>
      <x:c r="BI91" s="166"/>
      <x:c r="BJ91" s="172" t="str">
        <x:f>IF(AY91="","",IF(BI91="","",BI91-BH91*365/BK91))</x:f>
      </x:c>
      <x:c r="BK91" s="164" t="n">
        <x:v>14.000000000000043</x:v>
      </x:c>
      <x:c r="BL91" s="172" t="n">
        <x:f>IF(AY91="","",IFERROR(BD91*(BC91/BB91-1),0))</x:f>
        <x:v>0.0001663013698629534</x:v>
      </x:c>
      <x:c r="BM91" s="147" t="str">
        <x:v>SI69K</x:v>
      </x:c>
      <x:c r="BN91" s="147" t="str">
        <x:v>Silver future (regular)</x:v>
      </x:c>
      <x:c r="BO91" s="147" t="str">
        <x:v>Long</x:v>
      </x:c>
      <x:c r="BP91" s="167" t="n">
        <x:v>1.75</x:v>
      </x:c>
      <x:c r="BQ91" s="167" t="n">
        <x:v>1.754</x:v>
      </x:c>
      <x:c r="BR91" s="166" t="n">
        <x:v>0.9999999999999993</x:v>
      </x:c>
      <x:c r="BS91" s="171" t="n">
        <x:f>IF(BM91="","",IFERROR(F91*BR91/BP91,0))</x:f>
        <x:v>0.747993575462555</x:v>
      </x:c>
      <x:c r="BT91" s="171" t="n">
        <x:f>IF(BM91="","",F91*ABS(BR91))</x:f>
        <x:v>1.3089887570594712</x:v>
      </x:c>
      <x:c r="BU91" s="165" t="n">
        <x:v>1.776</x:v>
      </x:c>
      <x:c r="BV91" s="172" t="n">
        <x:f>IF(BM91="","",IF(BU91="","",IFERROR(BP91/BU91-1,0)))</x:f>
        <x:v>-0.014639639639639657</x:v>
      </x:c>
      <x:c r="BW91" s="166" t="n">
        <x:v>0.0607</x:v>
      </x:c>
      <x:c r="BX91" s="172" t="n">
        <x:f>IF(BM91="","",IF(BW91="","",BW91-BV91*365/BY91))</x:f>
        <x:v>0.4423763191763196</x:v>
      </x:c>
      <x:c r="BY91" s="164" t="n">
        <x:v>14</x:v>
      </x:c>
      <x:c r="BZ91" s="172" t="n">
        <x:f>IF(BM91="","",IFERROR(BR91*(BQ91/BP91-1),0))</x:f>
        <x:v>0.0022857142857142226</x:v>
      </x:c>
      <x:c r="CA91" s="147" t="str">
        <x:v>SI69N</x:v>
      </x:c>
      <x:c r="CB91" s="147" t="str">
        <x:v>Silver future (regular)</x:v>
      </x:c>
      <x:c r="CC91" s="147" t="str">
        <x:v>Long</x:v>
      </x:c>
      <x:c r="CD91" s="167" t="n">
        <x:v>1.764</x:v>
      </x:c>
      <x:c r="CE91" s="167" t="n">
        <x:v>1.7719999999999998</x:v>
      </x:c>
      <x:c r="CF91" s="166" t="n">
        <x:v>6.812443779462831e-16</x:v>
      </x:c>
      <x:c r="CG91" s="171" t="n">
        <x:f>IF(CA91="","",IFERROR(F91*CF91/CD91,0))</x:f>
        <x:v>5.055222401029808e-16</x:v>
      </x:c>
      <x:c r="CH91" s="171" t="n">
        <x:f>IF(CA91="","",F91*ABS(CF91))</x:f>
        <x:v>8.917412315416582e-16</x:v>
      </x:c>
      <x:c r="CI91" s="165" t="n">
        <x:v>1.776</x:v>
      </x:c>
      <x:c r="CJ91" s="172" t="n">
        <x:f>IF(CA91="","",IF(CI91="","",IFERROR(CD91/CI91-1,0)))</x:f>
        <x:v>-0.006756756756756799</x:v>
      </x:c>
      <x:c r="CK91" s="166" t="n">
        <x:v>0.0607</x:v>
      </x:c>
      <x:c r="CL91" s="172" t="n">
        <x:f>IF(CA91="","",IF(CK91="","",CK91-CJ91*365/CM91))</x:f>
        <x:v>0.09315021337126621</x:v>
      </x:c>
      <x:c r="CM91" s="164" t="n">
        <x:v>76</x:v>
      </x:c>
      <x:c r="CN91" s="172" t="n">
        <x:f>IF(CA91="","",IFERROR(CF91*(CE91/CD91-1),0))</x:f>
        <x:v>3.0895436641553815e-18</x:v>
      </x:c>
      <x:c r="CO91" s="147" t="str">
        <x:v>SI69U</x:v>
      </x:c>
      <x:c r="CP91" s="147" t="str">
        <x:v>Silver future (regular)</x:v>
      </x:c>
      <x:c r="CQ91" s="147" t="str">
        <x:v>Long</x:v>
      </x:c>
      <x:c r="CR91" s="167" t="n">
        <x:v>1.795</x:v>
      </x:c>
      <x:c r="CS91" s="167" t="n">
        <x:v>1.8030000000000002</x:v>
      </x:c>
      <x:c r="CT91" s="166" t="n">
        <x:v>5.205957754939078e-19</x:v>
      </x:c>
      <x:c r="CU91" s="171" t="n">
        <x:f>IF(CO91="","",IFERROR(F91*CT91/CR91,0))</x:f>
        <x:v>3.7964012094383423e-19</x:v>
      </x:c>
      <x:c r="CV91" s="171" t="n">
        <x:f>IF(CO91="","",F91*ABS(CT91))</x:f>
        <x:v>6.814540170941824e-19</x:v>
      </x:c>
      <x:c r="CW91" s="165" t="n">
        <x:v>1.776</x:v>
      </x:c>
      <x:c r="CX91" s="172" t="n">
        <x:f>IF(CO91="","",IF(CW91="","",IFERROR(CR91/CW91-1,0)))</x:f>
        <x:v>0.010698198198198172</x:v>
      </x:c>
      <x:c r="CY91" s="166" t="n">
        <x:v>0.061183516483516484</x:v>
      </x:c>
      <x:c r="CZ91" s="172" t="n">
        <x:f>IF(CO91="","",IF(CY91="","",CY91-CX91*365/DA91))</x:f>
        <x:v>0.0322587583920918</x:v>
      </x:c>
      <x:c r="DA91" s="164" t="n">
        <x:v>135</x:v>
      </x:c>
      <x:c r="DB91" s="172" t="n">
        <x:f>IF(CO91="","",IFERROR(CT91*(CS91/CR91-1),0))</x:f>
        <x:v>2.320204013343379e-21</x:v>
      </x:c>
      <x:c r="DC91" s="147" t="str">
        <x:v>SI69Z</x:v>
      </x:c>
      <x:c r="DD91" s="147" t="str">
        <x:v>Silver future (regular)</x:v>
      </x:c>
      <x:c r="DE91" s="147" t="str">
        <x:v>Long</x:v>
      </x:c>
      <x:c r="DF91" s="167" t="n">
        <x:v>1.844</x:v>
      </x:c>
      <x:c r="DG91" s="167" t="n">
        <x:v>1.8519999999999999</x:v>
      </x:c>
      <x:c r="DH91" s="166" t="n">
        <x:v>7.906160391829736e-22</x:v>
      </x:c>
      <x:c r="DI91" s="171" t="n">
        <x:f>IF(DC91="","",IFERROR(F91*DH91/DF91,0))</x:f>
        <x:v>5.612296672675723e-22</x:v>
      </x:c>
      <x:c r="DJ91" s="171" t="n">
        <x:f>IF(DC91="","",F91*ABS(DH91))</x:f>
        <x:v>1.0349075064414034e-21</x:v>
      </x:c>
      <x:c r="DK91" s="165" t="n">
        <x:v>1.776</x:v>
      </x:c>
      <x:c r="DL91" s="172" t="n">
        <x:f>IF(DC91="","",IF(DK91="","",IFERROR(DF91/DK91-1,0)))</x:f>
        <x:v>0.03828828828828823</x:v>
      </x:c>
      <x:c r="DM91" s="166" t="n">
        <x:v>0.06223934426229507</x:v>
      </x:c>
      <x:c r="DN91" s="172" t="n">
        <x:f>IF(DC91="","",IF(DM91="","",DM91-DL91*365/DO91))</x:f>
        <x:v>0.001212159872665361</x:v>
      </x:c>
      <x:c r="DO91" s="164" t="n">
        <x:v>229</x:v>
      </x:c>
      <x:c r="DP91" s="172" t="n">
        <x:f>IF(DC91="","",IFERROR(DH91*(DG91/DF91-1),0))</x:f>
        <x:v>3.430004508385942e-24</x:v>
      </x:c>
      <x:c r="DQ91" s="147"/>
      <x:c r="DR91" s="147"/>
      <x:c r="DS91" s="147"/>
      <x:c r="DT91" s="167"/>
      <x:c r="DU91" s="167"/>
      <x:c r="DV91" s="166"/>
      <x:c r="DW91" s="171" t="str">
        <x:f>IF(DQ91="","",IFERROR(F91*DV91/DT91,0))</x:f>
      </x:c>
      <x:c r="DX91" s="171" t="str">
        <x:f>IF(DQ91="","",F91*ABS(DV91))</x:f>
      </x:c>
      <x:c r="DY91" s="165"/>
      <x:c r="DZ91" s="172" t="str">
        <x:f>IF(DQ91="","",IF(DY91="","",IFERROR(DT91/DY91-1,0)))</x:f>
      </x:c>
      <x:c r="EA91" s="166"/>
      <x:c r="EB91" s="172" t="str">
        <x:f>IF(DQ91="","",IF(EA91="","",EA91-DZ91*365/EC91))</x:f>
      </x:c>
      <x:c r="EC91" s="164"/>
      <x:c r="ED91" s="172" t="str">
        <x:f>IF(DQ91="","",IFERROR(DV91*(DU91/DT91-1),0))</x:f>
      </x:c>
      <x:c r="EE91" s="147"/>
      <x:c r="EF91" s="147"/>
      <x:c r="EG91" s="147"/>
      <x:c r="EH91" s="167"/>
      <x:c r="EI91" s="167"/>
      <x:c r="EJ91" s="166"/>
      <x:c r="EK91" s="171" t="str">
        <x:f>IF(EE91="","",IFERROR(F91*EJ91/EH91,0))</x:f>
      </x:c>
      <x:c r="EL91" s="171" t="str">
        <x:f>IF(EE91="","",F91*ABS(EJ91))</x:f>
      </x:c>
      <x:c r="EM91" s="165"/>
      <x:c r="EN91" s="172" t="str">
        <x:f>IF(EE91="","",IF(EM91="","",IFERROR(EH91/EM91-1,0)))</x:f>
      </x:c>
      <x:c r="EO91" s="166"/>
      <x:c r="EP91" s="172" t="str">
        <x:f>IF(EE91="","",IF(EO91="","",EO91-EN91*365/EQ91))</x:f>
      </x:c>
      <x:c r="EQ91" s="164"/>
      <x:c r="ER91" s="172" t="str">
        <x:f>IF(EE91="","",IFERROR(EJ91*(EI91/EH91-1),0))</x:f>
      </x:c>
      <x:c r="ES91" s="147"/>
      <x:c r="ET91" s="147"/>
      <x:c r="EU91" s="147"/>
      <x:c r="EV91" s="167"/>
      <x:c r="EW91" s="167"/>
      <x:c r="EX91" s="166"/>
      <x:c r="EY91" s="171" t="str">
        <x:f>IF(ES91="","",IFERROR(F91*EX91/EV91,0))</x:f>
      </x:c>
      <x:c r="EZ91" s="171" t="str">
        <x:f>IF(ES91="","",F91*ABS(EX91))</x:f>
      </x:c>
      <x:c r="FA91" s="165"/>
      <x:c r="FB91" s="172" t="str">
        <x:f>IF(ES91="","",IF(FA91="","",IFERROR(EV91/FA91-1,0)))</x:f>
      </x:c>
      <x:c r="FC91" s="166"/>
      <x:c r="FD91" s="172" t="str">
        <x:f>IF(ES91="","",IF(FC91="","",FC91-FB91*365/FE91))</x:f>
      </x:c>
      <x:c r="FE91" s="164"/>
      <x:c r="FF91" s="172" t="str">
        <x:f>IF(ES91="","",IFERROR(EX91*(EW91/EV91-1),0))</x:f>
      </x:c>
      <x:c r="FG91" s="147"/>
      <x:c r="FH91" s="147"/>
      <x:c r="FI91" s="147"/>
      <x:c r="FJ91" s="167"/>
      <x:c r="FK91" s="167"/>
      <x:c r="FL91" s="166"/>
      <x:c r="FM91" s="171" t="str">
        <x:f>IF(FG91="","",IFERROR(F91*FL91/FJ91,0))</x:f>
      </x:c>
      <x:c r="FN91" s="171" t="str">
        <x:f>IF(FG91="","",F91*ABS(FL91))</x:f>
      </x:c>
      <x:c r="FO91" s="165"/>
      <x:c r="FP91" s="172" t="str">
        <x:f>IF(FG91="","",IF(FO91="","",IFERROR(FJ91/FO91-1,0)))</x:f>
      </x:c>
      <x:c r="FQ91" s="166"/>
      <x:c r="FR91" s="172" t="str">
        <x:f>IF(FG91="","",IF(FQ91="","",FQ91-FP91*365/FS91))</x:f>
      </x:c>
      <x:c r="FS91" s="164"/>
      <x:c r="FT91" s="172" t="str">
        <x:f>IF(FG91="","",IFERROR(FL91*(FK91/FJ91-1),0))</x:f>
      </x:c>
    </x:row>
    <x:row r="92" ht="18" customHeight="1">
      <x:c r="A92" s="163" t="n">
        <x:v>25338</x:v>
      </x:c>
      <x:c r="B92" s="163" t="n">
        <x:v>25339</x:v>
      </x:c>
      <x:c r="C92" s="170" t="n">
        <x:f>B92-A92</x:f>
        <x:v>1</x:v>
      </x:c>
      <x:c r="D92" s="163" t="n">
        <x:v>25338</x:v>
      </x:c>
      <x:c r="E92" s="147" t="str">
        <x:v>positive</x:v>
      </x:c>
      <x:c r="F92" s="165" t="n">
        <x:v>1.3121984179847563</x:v>
      </x:c>
      <x:c r="G92" s="168" t="n">
        <x:v>0.0001668493150684935</x:v>
      </x:c>
      <x:c r="H92" s="172" t="n">
        <x:f>SUM(AX92,BL92,BZ92,CN92,DB92,DP92,ED92,ER92,FF92,FT92)</x:f>
        <x:v>0.00016684931506860716</x:v>
      </x:c>
      <x:c r="I92" s="174" t="n">
        <x:f>G92-H92</x:f>
        <x:v>-1.13651492730793e-16</x:v>
      </x:c>
      <x:c r="J92" s="171" t="n">
        <x:f>F92*(1+H92)</x:f>
        <x:v>1.3124173573920312</x:v>
      </x:c>
      <x:c r="K92" s="169" t="n">
        <x:v>1.3124173573920308</x:v>
      </x:c>
      <x:c r="L92" s="175" t="n">
        <x:f>K92-J92</x:f>
        <x:v>-4.440892098500626e-16</x:v>
      </x:c>
      <x:c r="M92" s="167" t="n">
        <x:v>1.761</x:v>
      </x:c>
      <x:c r="N92" s="167" t="n">
        <x:v>1.781</x:v>
      </x:c>
      <x:c r="O92" s="172" t="n">
        <x:f>IFERROR(N92/M92-1,0)</x:f>
        <x:v>0.011357183418512218</x:v>
      </x:c>
      <x:c r="P92" s="171" t="n">
        <x:f>IFERROR(AD92/AH92,0)</x:f>
        <x:v>1.458991767412922</x:v>
      </x:c>
      <x:c r="Q92" s="171" t="n">
        <x:f>IFERROR(AE92/AI92,0)</x:f>
        <x:v>1.4428485040839976</x:v>
      </x:c>
      <x:c r="R92" s="172" t="n">
        <x:f>IFERROR((Q92-P92)/(P92+S92),0)</x:f>
        <x:v>-0.01106467060986206</x:v>
      </x:c>
      <x:c r="S92" s="172" t="n">
        <x:f>IFERROR(AF92/AH92,0)</x:f>
        <x:v>0</x:v>
      </x:c>
      <x:c r="T92" s="172" t="n">
        <x:f>IFERROR(AG92/AI92,0)</x:f>
        <x:v>0</x:v>
      </x:c>
      <x:c r="U92" s="172" t="n">
        <x:f>IFERROR((T92-S92)/(P92+S92),0)</x:f>
        <x:v>0</x:v>
      </x:c>
      <x:c r="V92" s="172" t="n">
        <x:f>R92+U92</x:f>
        <x:v>-0.01106467060986206</x:v>
      </x:c>
      <x:c r="W92" s="172" t="n">
        <x:f>(1+O92)*(1+V92)-1</x:f>
        <x:v>0.00016684931506860678</x:v>
      </x:c>
      <x:c r="X92" s="174" t="n">
        <x:f>G92-W92</x:f>
        <x:v>-1.1327202197042308e-16</x:v>
      </x:c>
      <x:c r="Y92" s="172" t="str">
        <x:f>AX92</x:f>
      </x:c>
      <x:c r="Z92" s="172" t="n">
        <x:f>BL92</x:f>
        <x:v>0.00016684931506860678</x:v>
      </x:c>
      <x:c r="AA92" s="172" t="n">
        <x:f>SUM(BZ92,CN92,DB92,DP92,ED92,ER92,FF92,FT92)</x:f>
        <x:v>3.844494232204334e-19</x:v>
      </x:c>
      <x:c r="AB92" s="172" t="n">
        <x:f>SUM(Y92:AA92)</x:f>
        <x:v>0.00016684931506860716</x:v>
      </x:c>
      <x:c r="AC92" s="174" t="n">
        <x:f>G92-AB92</x:f>
        <x:v>-1.13651492730793e-16</x:v>
      </x:c>
      <x:c r="AD92" s="169" t="n">
        <x:v>1.3121984179847577</x:v>
      </x:c>
      <x:c r="AE92" s="169" t="n">
        <x:v>1.3124173573920324</x:v>
      </x:c>
      <x:c r="AF92" s="169" t="n">
        <x:v>0</x:v>
      </x:c>
      <x:c r="AG92" s="169" t="n">
        <x:v>0</x:v>
      </x:c>
      <x:c r="AH92" s="171" t="n">
        <x:f>M92/$M$3</x:f>
        <x:v>0.8993871297242083</x:v>
      </x:c>
      <x:c r="AI92" s="171" t="n">
        <x:f>N92/$M$3</x:f>
        <x:v>0.9096016343207354</x:v>
      </x:c>
      <x:c r="AJ92" s="170" t="n">
        <x:f>IF(AK92&lt;&gt;"",1,0)+IF(AY92&lt;&gt;"",1,0)+IF(BM92&lt;&gt;"",1,0)+IF(CA92&lt;&gt;"",1,0)+IF(CO92&lt;&gt;"",1,0)+IF(DC92&lt;&gt;"",1,0)+IF(DQ92&lt;&gt;"",1,0)+IF(EE92&lt;&gt;"",1,0)+IF(ES92&lt;&gt;"",1,0)+IF(FG92&lt;&gt;"",1,0)</x:f>
        <x:v>3</x:v>
      </x:c>
      <x:c r="AK92" s="147"/>
      <x:c r="AL92" s="147"/>
      <x:c r="AM92" s="147"/>
      <x:c r="AN92" s="167"/>
      <x:c r="AO92" s="167"/>
      <x:c r="AP92" s="166"/>
      <x:c r="AQ92" s="171" t="str">
        <x:f>IF(AK92="","",IFERROR(F92*AP92/AN92,0))</x:f>
      </x:c>
      <x:c r="AR92" s="171" t="str">
        <x:f>IF(AK92="","",F92*ABS(AP92))</x:f>
      </x:c>
      <x:c r="AS92" s="165"/>
      <x:c r="AT92" s="172" t="str">
        <x:f>IF(AK92="","",IF(AS92="","",IFERROR(AN92/AS92-1,0)))</x:f>
      </x:c>
      <x:c r="AU92" s="166"/>
      <x:c r="AV92" s="172" t="str">
        <x:f>IF(AK92="","",IF(AU92="","",AU92-AT92*365/AW92))</x:f>
      </x:c>
      <x:c r="AW92" s="164"/>
      <x:c r="AX92" s="173" t="str">
        <x:f>IF(AK92="","",IFERROR(AP92*(AO92/AN92-1),0))</x:f>
      </x:c>
      <x:c r="AY92" s="147" t="str">
        <x:v>Matched-maturity Treasury collateral</x:v>
      </x:c>
      <x:c r="AZ92" s="147" t="str">
        <x:v>Treasury</x:v>
      </x:c>
      <x:c r="BA92" s="147" t="str">
        <x:v>Long</x:v>
      </x:c>
      <x:c r="BB92" s="167" t="n">
        <x:v>102.24204520722976</x:v>
      </x:c>
      <x:c r="BC92" s="167" t="n">
        <x:v>102.2591042224438</x:v>
      </x:c>
      <x:c r="BD92" s="166" t="n">
        <x:v>1</x:v>
      </x:c>
      <x:c r="BE92" s="171" t="n">
        <x:f>IF(AY92="","",IFERROR(F92*BD92/BB92,0))</x:f>
        <x:v>0.012834234832892094</x:v>
      </x:c>
      <x:c r="BF92" s="171" t="n">
        <x:f>IF(AY92="","",F92*ABS(BD92))</x:f>
        <x:v>1.3121984179847563</x:v>
      </x:c>
      <x:c r="BG92" s="165"/>
      <x:c r="BH92" s="172" t="str">
        <x:f>IF(AY92="","",IF(BG92="","",IFERROR(BB92/BG92-1,0)))</x:f>
      </x:c>
      <x:c r="BI92" s="166"/>
      <x:c r="BJ92" s="172" t="str">
        <x:f>IF(AY92="","",IF(BI92="","",BI92-BH92*365/BK92))</x:f>
      </x:c>
      <x:c r="BK92" s="164" t="n">
        <x:v>13.000000000000043</x:v>
      </x:c>
      <x:c r="BL92" s="172" t="n">
        <x:f>IF(AY92="","",IFERROR(BD92*(BC92/BB92-1),0))</x:f>
        <x:v>0.00016684931506860678</x:v>
      </x:c>
      <x:c r="BM92" s="147" t="str">
        <x:v>SI69K</x:v>
      </x:c>
      <x:c r="BN92" s="147" t="str">
        <x:v>Silver future (regular)</x:v>
      </x:c>
      <x:c r="BO92" s="147" t="str">
        <x:v>Long</x:v>
      </x:c>
      <x:c r="BP92" s="167" t="n">
        <x:v>1.754</x:v>
      </x:c>
      <x:c r="BQ92" s="167" t="n">
        <x:v>1.754</x:v>
      </x:c>
      <x:c r="BR92" s="166" t="n">
        <x:v>0.9999999999999993</x:v>
      </x:c>
      <x:c r="BS92" s="171" t="n">
        <x:f>IF(BM92="","",IFERROR(F92*BR92/BP92,0))</x:f>
        <x:v>0.7481176841418218</x:v>
      </x:c>
      <x:c r="BT92" s="171" t="n">
        <x:f>IF(BM92="","",F92*ABS(BR92))</x:f>
        <x:v>1.3121984179847554</x:v>
      </x:c>
      <x:c r="BU92" s="165" t="n">
        <x:v>1.761</x:v>
      </x:c>
      <x:c r="BV92" s="172" t="n">
        <x:f>IF(BM92="","",IF(BU92="","",IFERROR(BP92/BU92-1,0)))</x:f>
        <x:v>-0.003975014196479165</x:v>
      </x:c>
      <x:c r="BW92" s="166" t="n">
        <x:v>0.060899999999999996</x:v>
      </x:c>
      <x:c r="BX92" s="172" t="n">
        <x:f>IF(BM92="","",IF(BW92="","",BW92-BV92*365/BY92))</x:f>
        <x:v>0.1725061678242227</x:v>
      </x:c>
      <x:c r="BY92" s="164" t="n">
        <x:v>13</x:v>
      </x:c>
      <x:c r="BZ92" s="172" t="n">
        <x:f>IF(BM92="","",IFERROR(BR92*(BQ92/BP92-1),0))</x:f>
        <x:v>0</x:v>
      </x:c>
      <x:c r="CA92" s="147" t="str">
        <x:v>SI69N</x:v>
      </x:c>
      <x:c r="CB92" s="147" t="str">
        <x:v>Silver future (regular)</x:v>
      </x:c>
      <x:c r="CC92" s="147" t="str">
        <x:v>Long</x:v>
      </x:c>
      <x:c r="CD92" s="167" t="n">
        <x:v>1.7719999999999998</x:v>
      </x:c>
      <x:c r="CE92" s="167" t="n">
        <x:v>1.7730000000000001</x:v>
      </x:c>
      <x:c r="CF92" s="166" t="n">
        <x:v>6.812443779462831e-16</x:v>
      </x:c>
      <x:c r="CG92" s="171" t="n">
        <x:f>IF(CA92="","",IFERROR(F92*CF92/CD92,0))</x:f>
        <x:v>5.044739249447642e-16</x:v>
      </x:c>
      <x:c r="CH92" s="171" t="n">
        <x:f>IF(CA92="","",F92*ABS(CF92))</x:f>
        <x:v>8.939277950021221e-16</x:v>
      </x:c>
      <x:c r="CI92" s="165" t="n">
        <x:v>1.761</x:v>
      </x:c>
      <x:c r="CJ92" s="172" t="n">
        <x:f>IF(CA92="","",IF(CI92="","",IFERROR(CD92/CI92-1,0)))</x:f>
        <x:v>0.006246450880181609</x:v>
      </x:c>
      <x:c r="CK92" s="166" t="n">
        <x:v>0.060899999999999996</x:v>
      </x:c>
      <x:c r="CL92" s="172" t="n">
        <x:f>IF(CA92="","",IF(CK92="","",CK92-CJ92*365/CM92))</x:f>
        <x:v>0.0305006057164495</x:v>
      </x:c>
      <x:c r="CM92" s="164" t="n">
        <x:v>75</x:v>
      </x:c>
      <x:c r="CN92" s="172" t="n">
        <x:f>IF(CA92="","",IFERROR(CF92*(CE92/CD92-1),0))</x:f>
        <x:v>3.844494232204334e-19</x:v>
      </x:c>
      <x:c r="CO92" s="147"/>
      <x:c r="CP92" s="147"/>
      <x:c r="CQ92" s="147"/>
      <x:c r="CR92" s="167"/>
      <x:c r="CS92" s="167"/>
      <x:c r="CT92" s="166"/>
      <x:c r="CU92" s="171" t="str">
        <x:f>IF(CO92="","",IFERROR(F92*CT92/CR92,0))</x:f>
      </x:c>
      <x:c r="CV92" s="171" t="str">
        <x:f>IF(CO92="","",F92*ABS(CT92))</x:f>
      </x:c>
      <x:c r="CW92" s="165"/>
      <x:c r="CX92" s="172" t="str">
        <x:f>IF(CO92="","",IF(CW92="","",IFERROR(CR92/CW92-1,0)))</x:f>
      </x:c>
      <x:c r="CY92" s="166"/>
      <x:c r="CZ92" s="172" t="str">
        <x:f>IF(CO92="","",IF(CY92="","",CY92-CX92*365/DA92))</x:f>
      </x:c>
      <x:c r="DA92" s="164"/>
      <x:c r="DB92" s="172" t="str">
        <x:f>IF(CO92="","",IFERROR(CT92*(CS92/CR92-1),0))</x:f>
      </x:c>
      <x:c r="DC92" s="147"/>
      <x:c r="DD92" s="147"/>
      <x:c r="DE92" s="147"/>
      <x:c r="DF92" s="167"/>
      <x:c r="DG92" s="167"/>
      <x:c r="DH92" s="166"/>
      <x:c r="DI92" s="171" t="str">
        <x:f>IF(DC92="","",IFERROR(F92*DH92/DF92,0))</x:f>
      </x:c>
      <x:c r="DJ92" s="171" t="str">
        <x:f>IF(DC92="","",F92*ABS(DH92))</x:f>
      </x:c>
      <x:c r="DK92" s="165"/>
      <x:c r="DL92" s="172" t="str">
        <x:f>IF(DC92="","",IF(DK92="","",IFERROR(DF92/DK92-1,0)))</x:f>
      </x:c>
      <x:c r="DM92" s="166"/>
      <x:c r="DN92" s="172" t="str">
        <x:f>IF(DC92="","",IF(DM92="","",DM92-DL92*365/DO92))</x:f>
      </x:c>
      <x:c r="DO92" s="164"/>
      <x:c r="DP92" s="172" t="str">
        <x:f>IF(DC92="","",IFERROR(DH92*(DG92/DF92-1),0))</x:f>
      </x:c>
      <x:c r="DQ92" s="147"/>
      <x:c r="DR92" s="147"/>
      <x:c r="DS92" s="147"/>
      <x:c r="DT92" s="167"/>
      <x:c r="DU92" s="167"/>
      <x:c r="DV92" s="166"/>
      <x:c r="DW92" s="171" t="str">
        <x:f>IF(DQ92="","",IFERROR(F92*DV92/DT92,0))</x:f>
      </x:c>
      <x:c r="DX92" s="171" t="str">
        <x:f>IF(DQ92="","",F92*ABS(DV92))</x:f>
      </x:c>
      <x:c r="DY92" s="165"/>
      <x:c r="DZ92" s="172" t="str">
        <x:f>IF(DQ92="","",IF(DY92="","",IFERROR(DT92/DY92-1,0)))</x:f>
      </x:c>
      <x:c r="EA92" s="166"/>
      <x:c r="EB92" s="172" t="str">
        <x:f>IF(DQ92="","",IF(EA92="","",EA92-DZ92*365/EC92))</x:f>
      </x:c>
      <x:c r="EC92" s="164"/>
      <x:c r="ED92" s="172" t="str">
        <x:f>IF(DQ92="","",IFERROR(DV92*(DU92/DT92-1),0))</x:f>
      </x:c>
      <x:c r="EE92" s="147"/>
      <x:c r="EF92" s="147"/>
      <x:c r="EG92" s="147"/>
      <x:c r="EH92" s="167"/>
      <x:c r="EI92" s="167"/>
      <x:c r="EJ92" s="166"/>
      <x:c r="EK92" s="171" t="str">
        <x:f>IF(EE92="","",IFERROR(F92*EJ92/EH92,0))</x:f>
      </x:c>
      <x:c r="EL92" s="171" t="str">
        <x:f>IF(EE92="","",F92*ABS(EJ92))</x:f>
      </x:c>
      <x:c r="EM92" s="165"/>
      <x:c r="EN92" s="172" t="str">
        <x:f>IF(EE92="","",IF(EM92="","",IFERROR(EH92/EM92-1,0)))</x:f>
      </x:c>
      <x:c r="EO92" s="166"/>
      <x:c r="EP92" s="172" t="str">
        <x:f>IF(EE92="","",IF(EO92="","",EO92-EN92*365/EQ92))</x:f>
      </x:c>
      <x:c r="EQ92" s="164"/>
      <x:c r="ER92" s="172" t="str">
        <x:f>IF(EE92="","",IFERROR(EJ92*(EI92/EH92-1),0))</x:f>
      </x:c>
      <x:c r="ES92" s="147"/>
      <x:c r="ET92" s="147"/>
      <x:c r="EU92" s="147"/>
      <x:c r="EV92" s="167"/>
      <x:c r="EW92" s="167"/>
      <x:c r="EX92" s="166"/>
      <x:c r="EY92" s="171" t="str">
        <x:f>IF(ES92="","",IFERROR(F92*EX92/EV92,0))</x:f>
      </x:c>
      <x:c r="EZ92" s="171" t="str">
        <x:f>IF(ES92="","",F92*ABS(EX92))</x:f>
      </x:c>
      <x:c r="FA92" s="165"/>
      <x:c r="FB92" s="172" t="str">
        <x:f>IF(ES92="","",IF(FA92="","",IFERROR(EV92/FA92-1,0)))</x:f>
      </x:c>
      <x:c r="FC92" s="166"/>
      <x:c r="FD92" s="172" t="str">
        <x:f>IF(ES92="","",IF(FC92="","",FC92-FB92*365/FE92))</x:f>
      </x:c>
      <x:c r="FE92" s="164"/>
      <x:c r="FF92" s="172" t="str">
        <x:f>IF(ES92="","",IFERROR(EX92*(EW92/EV92-1),0))</x:f>
      </x:c>
      <x:c r="FG92" s="147"/>
      <x:c r="FH92" s="147"/>
      <x:c r="FI92" s="147"/>
      <x:c r="FJ92" s="167"/>
      <x:c r="FK92" s="167"/>
      <x:c r="FL92" s="166"/>
      <x:c r="FM92" s="171" t="str">
        <x:f>IF(FG92="","",IFERROR(F92*FL92/FJ92,0))</x:f>
      </x:c>
      <x:c r="FN92" s="171" t="str">
        <x:f>IF(FG92="","",F92*ABS(FL92))</x:f>
      </x:c>
      <x:c r="FO92" s="165"/>
      <x:c r="FP92" s="172" t="str">
        <x:f>IF(FG92="","",IF(FO92="","",IFERROR(FJ92/FO92-1,0)))</x:f>
      </x:c>
      <x:c r="FQ92" s="166"/>
      <x:c r="FR92" s="172" t="str">
        <x:f>IF(FG92="","",IF(FQ92="","",FQ92-FP92*365/FS92))</x:f>
      </x:c>
      <x:c r="FS92" s="164"/>
      <x:c r="FT92" s="172" t="str">
        <x:f>IF(FG92="","",IFERROR(FL92*(FK92/FJ92-1),0))</x:f>
      </x:c>
    </x:row>
    <x:row r="93" ht="18" customHeight="1">
      <x:c r="A93" s="163" t="n">
        <x:v>25339</x:v>
      </x:c>
      <x:c r="B93" s="163" t="n">
        <x:v>25342</x:v>
      </x:c>
      <x:c r="C93" s="170" t="n">
        <x:f>B93-A93</x:f>
        <x:v>3</x:v>
      </x:c>
      <x:c r="D93" s="163" t="n">
        <x:v>25339</x:v>
      </x:c>
      <x:c r="E93" s="147" t="str">
        <x:v>positive</x:v>
      </x:c>
      <x:c r="F93" s="165" t="n">
        <x:v>1.3124173573920308</x:v>
      </x:c>
      <x:c r="G93" s="168" t="n">
        <x:v>-0.0063401352681151015</x:v>
      </x:c>
      <x:c r="H93" s="172" t="n">
        <x:f>SUM(AX93,BL93,BZ93,CN93,DB93,DP93,ED93,ER93,FF93,FT93)</x:f>
        <x:v>-0.006340135268114944</x:v>
      </x:c>
      <x:c r="I93" s="174" t="n">
        <x:f>G93-H93</x:f>
        <x:v>-1.5785983631388945e-16</x:v>
      </x:c>
      <x:c r="J93" s="171" t="n">
        <x:f>F93*(1+H93)</x:f>
        <x:v>1.3040964538179434</x:v>
      </x:c>
      <x:c r="K93" s="169" t="n">
        <x:v>1.3040964538179431</x:v>
      </x:c>
      <x:c r="L93" s="175" t="n">
        <x:f>K93-J93</x:f>
        <x:v>-2.220446049250313e-16</x:v>
      </x:c>
      <x:c r="M93" s="167" t="n">
        <x:v>1.781</x:v>
      </x:c>
      <x:c r="N93" s="167" t="n">
        <x:v>1.761</x:v>
      </x:c>
      <x:c r="O93" s="172" t="n">
        <x:f>IFERROR(N93/M93-1,0)</x:f>
        <x:v>-0.011229646266142645</x:v>
      </x:c>
      <x:c r="P93" s="171" t="n">
        <x:f>IFERROR(AD93/AH93,0)</x:f>
        <x:v>1.4428485040839976</x:v>
      </x:c>
      <x:c r="Q93" s="171" t="n">
        <x:f>IFERROR(AE93/AI93,0)</x:f>
        <x:v>1.4499834506391458</x:v>
      </x:c>
      <x:c r="R93" s="172" t="n">
        <x:f>IFERROR((Q93-P93)/(P93+S93),0)</x:f>
        <x:v>0.004945042071258831</x:v>
      </x:c>
      <x:c r="S93" s="172" t="n">
        <x:f>IFERROR(AF93/AH93,0)</x:f>
        <x:v>0</x:v>
      </x:c>
      <x:c r="T93" s="172" t="n">
        <x:f>IFERROR(AG93/AI93,0)</x:f>
        <x:v>0</x:v>
      </x:c>
      <x:c r="U93" s="172" t="n">
        <x:f>IFERROR((T93-S93)/(P93+S93),0)</x:f>
        <x:v>0</x:v>
      </x:c>
      <x:c r="V93" s="172" t="n">
        <x:f>R93+U93</x:f>
        <x:v>0.004945042071258831</x:v>
      </x:c>
      <x:c r="W93" s="172" t="n">
        <x:f>(1+O93)*(1+V93)-1</x:f>
        <x:v>-0.006340135268115166</x:v>
      </x:c>
      <x:c r="X93" s="174" t="n">
        <x:f>G93-W93</x:f>
        <x:v>6.418476861114186e-17</x:v>
      </x:c>
      <x:c r="Y93" s="172" t="str">
        <x:f>AX93</x:f>
      </x:c>
      <x:c r="Z93" s="172" t="n">
        <x:f>BL93</x:f>
        <x:v>0.0005013698630138563</x:v>
      </x:c>
      <x:c r="AA93" s="172" t="n">
        <x:f>SUM(BZ93,CN93,DB93,DP93,ED93,ER93,FF93,FT93)</x:f>
        <x:v>-0.0068415051311288</x:v>
      </x:c>
      <x:c r="AB93" s="172" t="n">
        <x:f>SUM(Y93:AA93)</x:f>
        <x:v>-0.006340135268114944</x:v>
      </x:c>
      <x:c r="AC93" s="174" t="n">
        <x:f>G93-AB93</x:f>
        <x:v>-1.5785983631388945e-16</x:v>
      </x:c>
      <x:c r="AD93" s="169" t="n">
        <x:v>1.3124173573920324</x:v>
      </x:c>
      <x:c r="AE93" s="169" t="n">
        <x:v>1.3040964538179447</x:v>
      </x:c>
      <x:c r="AF93" s="169" t="n">
        <x:v>0</x:v>
      </x:c>
      <x:c r="AG93" s="169" t="n">
        <x:v>0</x:v>
      </x:c>
      <x:c r="AH93" s="171" t="n">
        <x:f>M93/$M$3</x:f>
        <x:v>0.9096016343207354</x:v>
      </x:c>
      <x:c r="AI93" s="171" t="n">
        <x:f>N93/$M$3</x:f>
        <x:v>0.8993871297242083</x:v>
      </x:c>
      <x:c r="AJ93" s="170" t="n">
        <x:f>IF(AK93&lt;&gt;"",1,0)+IF(AY93&lt;&gt;"",1,0)+IF(BM93&lt;&gt;"",1,0)+IF(CA93&lt;&gt;"",1,0)+IF(CO93&lt;&gt;"",1,0)+IF(DC93&lt;&gt;"",1,0)+IF(DQ93&lt;&gt;"",1,0)+IF(EE93&lt;&gt;"",1,0)+IF(ES93&lt;&gt;"",1,0)+IF(FG93&lt;&gt;"",1,0)</x:f>
        <x:v>4</x:v>
      </x:c>
      <x:c r="AK93" s="147"/>
      <x:c r="AL93" s="147"/>
      <x:c r="AM93" s="147"/>
      <x:c r="AN93" s="167"/>
      <x:c r="AO93" s="167"/>
      <x:c r="AP93" s="166"/>
      <x:c r="AQ93" s="171" t="str">
        <x:f>IF(AK93="","",IFERROR(F93*AP93/AN93,0))</x:f>
      </x:c>
      <x:c r="AR93" s="171" t="str">
        <x:f>IF(AK93="","",F93*ABS(AP93))</x:f>
      </x:c>
      <x:c r="AS93" s="165"/>
      <x:c r="AT93" s="172" t="str">
        <x:f>IF(AK93="","",IF(AS93="","",IFERROR(AN93/AS93-1,0)))</x:f>
      </x:c>
      <x:c r="AU93" s="166"/>
      <x:c r="AV93" s="172" t="str">
        <x:f>IF(AK93="","",IF(AU93="","",AU93-AT93*365/AW93))</x:f>
      </x:c>
      <x:c r="AW93" s="164"/>
      <x:c r="AX93" s="173" t="str">
        <x:f>IF(AK93="","",IFERROR(AP93*(AO93/AN93-1),0))</x:f>
      </x:c>
      <x:c r="AY93" s="147" t="str">
        <x:v>Matched-maturity Treasury collateral</x:v>
      </x:c>
      <x:c r="AZ93" s="147" t="str">
        <x:v>Treasury</x:v>
      </x:c>
      <x:c r="BA93" s="147" t="str">
        <x:v>Long</x:v>
      </x:c>
      <x:c r="BB93" s="167" t="n">
        <x:v>102.2591042224438</x:v>
      </x:c>
      <x:c r="BC93" s="167" t="n">
        <x:v>102.31037385551971</x:v>
      </x:c>
      <x:c r="BD93" s="166" t="n">
        <x:v>1</x:v>
      </x:c>
      <x:c r="BE93" s="171" t="n">
        <x:f>IF(AY93="","",IFERROR(F93*BD93/BB93,0))</x:f>
        <x:v>0.01283423483289209</x:v>
      </x:c>
      <x:c r="BF93" s="171" t="n">
        <x:f>IF(AY93="","",F93*ABS(BD93))</x:f>
        <x:v>1.3124173573920308</x:v>
      </x:c>
      <x:c r="BG93" s="165"/>
      <x:c r="BH93" s="172" t="str">
        <x:f>IF(AY93="","",IF(BG93="","",IFERROR(BB93/BG93-1,0)))</x:f>
      </x:c>
      <x:c r="BI93" s="166"/>
      <x:c r="BJ93" s="172" t="str">
        <x:f>IF(AY93="","",IF(BI93="","",BI93-BH93*365/BK93))</x:f>
      </x:c>
      <x:c r="BK93" s="164" t="n">
        <x:v>12</x:v>
      </x:c>
      <x:c r="BL93" s="172" t="n">
        <x:f>IF(AY93="","",IFERROR(BD93*(BC93/BB93-1),0))</x:f>
        <x:v>0.0005013698630138563</x:v>
      </x:c>
      <x:c r="BM93" s="147" t="str">
        <x:v>SI69K</x:v>
      </x:c>
      <x:c r="BN93" s="147" t="str">
        <x:v>Silver future (regular)</x:v>
      </x:c>
      <x:c r="BO93" s="147" t="str">
        <x:v>Long</x:v>
      </x:c>
      <x:c r="BP93" s="167" t="n">
        <x:v>1.754</x:v>
      </x:c>
      <x:c r="BQ93" s="167" t="n">
        <x:v>1.742</x:v>
      </x:c>
      <x:c r="BR93" s="166" t="n">
        <x:v>1</x:v>
      </x:c>
      <x:c r="BS93" s="171" t="n">
        <x:f>IF(BM93="","",IFERROR(F93*BR93/BP93,0))</x:f>
        <x:v>0.7482425070650118</x:v>
      </x:c>
      <x:c r="BT93" s="171" t="n">
        <x:f>IF(BM93="","",F93*ABS(BR93))</x:f>
        <x:v>1.3124173573920308</x:v>
      </x:c>
      <x:c r="BU93" s="165" t="n">
        <x:v>1.781</x:v>
      </x:c>
      <x:c r="BV93" s="172" t="n">
        <x:f>IF(BM93="","",IF(BU93="","",IFERROR(BP93/BU93-1,0)))</x:f>
        <x:v>-0.015160022459292488</x:v>
      </x:c>
      <x:c r="BW93" s="166" t="n">
        <x:v>0.061</x:v>
      </x:c>
      <x:c r="BX93" s="172" t="n">
        <x:f>IF(BM93="","",IF(BW93="","",BW93-BV93*365/BY93))</x:f>
        <x:v>0.5221173498034799</x:v>
      </x:c>
      <x:c r="BY93" s="164" t="n">
        <x:v>12</x:v>
      </x:c>
      <x:c r="BZ93" s="172" t="n">
        <x:f>IF(BM93="","",IFERROR(BR93*(BQ93/BP93-1),0))</x:f>
        <x:v>-0.0068415051311288</x:v>
      </x:c>
      <x:c r="CA93" s="147" t="str">
        <x:v>SI69N</x:v>
      </x:c>
      <x:c r="CB93" s="147" t="str">
        <x:v>Silver future (regular)</x:v>
      </x:c>
      <x:c r="CC93" s="147" t="str">
        <x:v>Long</x:v>
      </x:c>
      <x:c r="CD93" s="167" t="n">
        <x:v>1.7730000000000001</x:v>
      </x:c>
      <x:c r="CE93" s="167" t="n">
        <x:v>1.7590000000000001</x:v>
      </x:c>
      <x:c r="CF93" s="166" t="n">
        <x:v>8.632600026785568e-20</x:v>
      </x:c>
      <x:c r="CG93" s="171" t="n">
        <x:f>IF(CA93="","",IFERROR(F93*CF93/CD93,0))</x:f>
        <x:v>6.390058722265251e-20</x:v>
      </x:c>
      <x:c r="CH93" s="171" t="n">
        <x:f>IF(CA93="","",F93*ABS(CF93))</x:f>
        <x:v>1.132957411457629e-19</x:v>
      </x:c>
      <x:c r="CI93" s="165" t="n">
        <x:v>1.781</x:v>
      </x:c>
      <x:c r="CJ93" s="172" t="n">
        <x:f>IF(CA93="","",IF(CI93="","",IFERROR(CD93/CI93-1,0)))</x:f>
        <x:v>-0.004491858506456947</x:v>
      </x:c>
      <x:c r="CK93" s="166" t="n">
        <x:v>0.061</x:v>
      </x:c>
      <x:c r="CL93" s="172" t="n">
        <x:f>IF(CA93="","",IF(CK93="","",CK93-CJ93*365/CM93))</x:f>
        <x:v>0.08315578857914575</x:v>
      </x:c>
      <x:c r="CM93" s="164" t="n">
        <x:v>74</x:v>
      </x:c>
      <x:c r="CN93" s="172" t="n">
        <x:f>IF(CA93="","",IFERROR(CF93*(CE93/CD93-1),0))</x:f>
        <x:v>-6.8164918429214855e-22</x:v>
      </x:c>
      <x:c r="CO93" s="147" t="str">
        <x:v>SI69U</x:v>
      </x:c>
      <x:c r="CP93" s="147" t="str">
        <x:v>Silver future (regular)</x:v>
      </x:c>
      <x:c r="CQ93" s="147" t="str">
        <x:v>Long</x:v>
      </x:c>
      <x:c r="CR93" s="167" t="n">
        <x:v>1.8030000000000002</x:v>
      </x:c>
      <x:c r="CS93" s="167" t="n">
        <x:v>1.791</x:v>
      </x:c>
      <x:c r="CT93" s="166" t="n">
        <x:v>7.04672302267728e-23</x:v>
      </x:c>
      <x:c r="CU93" s="171" t="n">
        <x:f>IF(CO93="","",IFERROR(F93*CT93/CR93,0))</x:f>
        <x:v>5.129363065832334e-23</x:v>
      </x:c>
      <x:c r="CV93" s="171" t="n">
        <x:f>IF(CO93="","",F93*ABS(CT93))</x:f>
        <x:v>9.2482416076957e-23</x:v>
      </x:c>
      <x:c r="CW93" s="165" t="n">
        <x:v>1.781</x:v>
      </x:c>
      <x:c r="CX93" s="172" t="n">
        <x:f>IF(CO93="","",IF(CW93="","",IFERROR(CR93/CW93-1,0)))</x:f>
        <x:v>0.012352610892756966</x:v>
      </x:c>
      <x:c r="CY93" s="166" t="n">
        <x:v>0.06146153846153845</x:v>
      </x:c>
      <x:c r="CZ93" s="172" t="n">
        <x:f>IF(CO93="","",IF(CY93="","",CY93-CX93*365/DA93))</x:f>
        <x:v>0.02756151608667911</x:v>
      </x:c>
      <x:c r="DA93" s="164" t="n">
        <x:v>133</x:v>
      </x:c>
      <x:c r="DB93" s="172" t="n">
        <x:f>IF(CO93="","",IFERROR(CT93*(CS93/CR93-1),0))</x:f>
        <x:v>-4.689998683978298e-25</x:v>
      </x:c>
      <x:c r="DC93" s="147"/>
      <x:c r="DD93" s="147"/>
      <x:c r="DE93" s="147"/>
      <x:c r="DF93" s="167"/>
      <x:c r="DG93" s="167"/>
      <x:c r="DH93" s="166"/>
      <x:c r="DI93" s="171" t="str">
        <x:f>IF(DC93="","",IFERROR(F93*DH93/DF93,0))</x:f>
      </x:c>
      <x:c r="DJ93" s="171" t="str">
        <x:f>IF(DC93="","",F93*ABS(DH93))</x:f>
      </x:c>
      <x:c r="DK93" s="165"/>
      <x:c r="DL93" s="172" t="str">
        <x:f>IF(DC93="","",IF(DK93="","",IFERROR(DF93/DK93-1,0)))</x:f>
      </x:c>
      <x:c r="DM93" s="166"/>
      <x:c r="DN93" s="172" t="str">
        <x:f>IF(DC93="","",IF(DM93="","",DM93-DL93*365/DO93))</x:f>
      </x:c>
      <x:c r="DO93" s="164"/>
      <x:c r="DP93" s="172" t="str">
        <x:f>IF(DC93="","",IFERROR(DH93*(DG93/DF93-1),0))</x:f>
      </x:c>
      <x:c r="DQ93" s="147"/>
      <x:c r="DR93" s="147"/>
      <x:c r="DS93" s="147"/>
      <x:c r="DT93" s="167"/>
      <x:c r="DU93" s="167"/>
      <x:c r="DV93" s="166"/>
      <x:c r="DW93" s="171" t="str">
        <x:f>IF(DQ93="","",IFERROR(F93*DV93/DT93,0))</x:f>
      </x:c>
      <x:c r="DX93" s="171" t="str">
        <x:f>IF(DQ93="","",F93*ABS(DV93))</x:f>
      </x:c>
      <x:c r="DY93" s="165"/>
      <x:c r="DZ93" s="172" t="str">
        <x:f>IF(DQ93="","",IF(DY93="","",IFERROR(DT93/DY93-1,0)))</x:f>
      </x:c>
      <x:c r="EA93" s="166"/>
      <x:c r="EB93" s="172" t="str">
        <x:f>IF(DQ93="","",IF(EA93="","",EA93-DZ93*365/EC93))</x:f>
      </x:c>
      <x:c r="EC93" s="164"/>
      <x:c r="ED93" s="172" t="str">
        <x:f>IF(DQ93="","",IFERROR(DV93*(DU93/DT93-1),0))</x:f>
      </x:c>
      <x:c r="EE93" s="147"/>
      <x:c r="EF93" s="147"/>
      <x:c r="EG93" s="147"/>
      <x:c r="EH93" s="167"/>
      <x:c r="EI93" s="167"/>
      <x:c r="EJ93" s="166"/>
      <x:c r="EK93" s="171" t="str">
        <x:f>IF(EE93="","",IFERROR(F93*EJ93/EH93,0))</x:f>
      </x:c>
      <x:c r="EL93" s="171" t="str">
        <x:f>IF(EE93="","",F93*ABS(EJ93))</x:f>
      </x:c>
      <x:c r="EM93" s="165"/>
      <x:c r="EN93" s="172" t="str">
        <x:f>IF(EE93="","",IF(EM93="","",IFERROR(EH93/EM93-1,0)))</x:f>
      </x:c>
      <x:c r="EO93" s="166"/>
      <x:c r="EP93" s="172" t="str">
        <x:f>IF(EE93="","",IF(EO93="","",EO93-EN93*365/EQ93))</x:f>
      </x:c>
      <x:c r="EQ93" s="164"/>
      <x:c r="ER93" s="172" t="str">
        <x:f>IF(EE93="","",IFERROR(EJ93*(EI93/EH93-1),0))</x:f>
      </x:c>
      <x:c r="ES93" s="147"/>
      <x:c r="ET93" s="147"/>
      <x:c r="EU93" s="147"/>
      <x:c r="EV93" s="167"/>
      <x:c r="EW93" s="167"/>
      <x:c r="EX93" s="166"/>
      <x:c r="EY93" s="171" t="str">
        <x:f>IF(ES93="","",IFERROR(F93*EX93/EV93,0))</x:f>
      </x:c>
      <x:c r="EZ93" s="171" t="str">
        <x:f>IF(ES93="","",F93*ABS(EX93))</x:f>
      </x:c>
      <x:c r="FA93" s="165"/>
      <x:c r="FB93" s="172" t="str">
        <x:f>IF(ES93="","",IF(FA93="","",IFERROR(EV93/FA93-1,0)))</x:f>
      </x:c>
      <x:c r="FC93" s="166"/>
      <x:c r="FD93" s="172" t="str">
        <x:f>IF(ES93="","",IF(FC93="","",FC93-FB93*365/FE93))</x:f>
      </x:c>
      <x:c r="FE93" s="164"/>
      <x:c r="FF93" s="172" t="str">
        <x:f>IF(ES93="","",IFERROR(EX93*(EW93/EV93-1),0))</x:f>
      </x:c>
      <x:c r="FG93" s="147"/>
      <x:c r="FH93" s="147"/>
      <x:c r="FI93" s="147"/>
      <x:c r="FJ93" s="167"/>
      <x:c r="FK93" s="167"/>
      <x:c r="FL93" s="166"/>
      <x:c r="FM93" s="171" t="str">
        <x:f>IF(FG93="","",IFERROR(F93*FL93/FJ93,0))</x:f>
      </x:c>
      <x:c r="FN93" s="171" t="str">
        <x:f>IF(FG93="","",F93*ABS(FL93))</x:f>
      </x:c>
      <x:c r="FO93" s="165"/>
      <x:c r="FP93" s="172" t="str">
        <x:f>IF(FG93="","",IF(FO93="","",IFERROR(FJ93/FO93-1,0)))</x:f>
      </x:c>
      <x:c r="FQ93" s="166"/>
      <x:c r="FR93" s="172" t="str">
        <x:f>IF(FG93="","",IF(FQ93="","",FQ93-FP93*365/FS93))</x:f>
      </x:c>
      <x:c r="FS93" s="164"/>
      <x:c r="FT93" s="172" t="str">
        <x:f>IF(FG93="","",IFERROR(FL93*(FK93/FJ93-1),0))</x:f>
      </x:c>
    </x:row>
    <x:row r="94" ht="18" customHeight="1">
      <x:c r="A94" s="163" t="n">
        <x:v>25342</x:v>
      </x:c>
      <x:c r="B94" s="163" t="n">
        <x:v>25343</x:v>
      </x:c>
      <x:c r="C94" s="170" t="n">
        <x:f>B94-A94</x:f>
        <x:v>1</x:v>
      </x:c>
      <x:c r="D94" s="163" t="n">
        <x:v>25342</x:v>
      </x:c>
      <x:c r="E94" s="147" t="str">
        <x:v>positive</x:v>
      </x:c>
      <x:c r="F94" s="165" t="n">
        <x:v>1.3040964538179431</x:v>
      </x:c>
      <x:c r="G94" s="168" t="n">
        <x:v>-0.0009296255022984719</x:v>
      </x:c>
      <x:c r="H94" s="172" t="n">
        <x:f>SUM(AX94,BL94,BZ94,CN94,DB94,DP94,ED94,ER94,FF94,FT94)</x:f>
        <x:v>-0.0009296255022985196</x:v>
      </x:c>
      <x:c r="I94" s="174" t="n">
        <x:f>G94-H94</x:f>
        <x:v>4.7704895589362195e-17</x:v>
      </x:c>
      <x:c r="J94" s="171" t="n">
        <x:f>F94*(1+H94)</x:f>
        <x:v>1.302884132497017</x:v>
      </x:c>
      <x:c r="K94" s="169" t="n">
        <x:v>1.302884132497017</x:v>
      </x:c>
      <x:c r="L94" s="175" t="n">
        <x:f>K94-J94</x:f>
        <x:v>0</x:v>
      </x:c>
      <x:c r="M94" s="167" t="n">
        <x:v>1.761</x:v>
      </x:c>
      <x:c r="N94" s="167" t="n">
        <x:v>1.749</x:v>
      </x:c>
      <x:c r="O94" s="172" t="n">
        <x:f>IFERROR(N94/M94-1,0)</x:f>
        <x:v>-0.00681431005110722</x:v>
      </x:c>
      <x:c r="P94" s="171" t="n">
        <x:f>IFERROR(AD94/AH94,0)</x:f>
        <x:v>1.4499834506391458</x:v>
      </x:c>
      <x:c r="Q94" s="171" t="n">
        <x:f>IFERROR(AE94/AI94,0)</x:f>
        <x:v>1.4585746892104987</x:v>
      </x:c>
      <x:c r="R94" s="172" t="n">
        <x:f>IFERROR((Q94-P94)/(P94+S94),0)</x:f>
        <x:v>0.005925059742968745</x:v>
      </x:c>
      <x:c r="S94" s="172" t="n">
        <x:f>IFERROR(AF94/AH94,0)</x:f>
        <x:v>0</x:v>
      </x:c>
      <x:c r="T94" s="172" t="n">
        <x:f>IFERROR(AG94/AI94,0)</x:f>
        <x:v>0</x:v>
      </x:c>
      <x:c r="U94" s="172" t="n">
        <x:f>IFERROR((T94-S94)/(P94+S94),0)</x:f>
        <x:v>0</x:v>
      </x:c>
      <x:c r="V94" s="172" t="n">
        <x:f>R94+U94</x:f>
        <x:v>0.005925059742968745</x:v>
      </x:c>
      <x:c r="W94" s="172" t="n">
        <x:f>(1+O94)*(1+V94)-1</x:f>
        <x:v>-0.000929625502298359</x:v>
      </x:c>
      <x:c r="X94" s="174" t="n">
        <x:f>G94-W94</x:f>
        <x:v>-1.12865446155741e-16</x:v>
      </x:c>
      <x:c r="Y94" s="172" t="n">
        <x:f>AX94</x:f>
        <x:v>-0.003786264037332583</x:v>
      </x:c>
      <x:c r="Z94" s="172" t="n">
        <x:f>BL94</x:f>
        <x:v>0.00007423521130919029</x:v>
      </x:c>
      <x:c r="AA94" s="172" t="n">
        <x:f>SUM(BZ94,CN94,DB94,DP94,ED94,ER94,FF94,FT94)</x:f>
        <x:v>0.002782403323724873</x:v>
      </x:c>
      <x:c r="AB94" s="172" t="n">
        <x:f>SUM(Y94:AA94)</x:f>
        <x:v>-0.0009296255022985195</x:v>
      </x:c>
      <x:c r="AC94" s="174" t="n">
        <x:f>G94-AB94</x:f>
        <x:v>4.7596475372113645e-17</x:v>
      </x:c>
      <x:c r="AD94" s="169" t="n">
        <x:v>1.3040964538179447</x:v>
      </x:c>
      <x:c r="AE94" s="169" t="n">
        <x:v>1.3028841324970186</x:v>
      </x:c>
      <x:c r="AF94" s="169" t="n">
        <x:v>0</x:v>
      </x:c>
      <x:c r="AG94" s="169" t="n">
        <x:v>0</x:v>
      </x:c>
      <x:c r="AH94" s="171" t="n">
        <x:f>M94/$M$3</x:f>
        <x:v>0.8993871297242083</x:v>
      </x:c>
      <x:c r="AI94" s="171" t="n">
        <x:f>N94/$M$3</x:f>
        <x:v>0.8932584269662922</x:v>
      </x:c>
      <x:c r="AJ94" s="170" t="n">
        <x:f>IF(AK94&lt;&gt;"",1,0)+IF(AY94&lt;&gt;"",1,0)+IF(BM94&lt;&gt;"",1,0)+IF(CA94&lt;&gt;"",1,0)+IF(CO94&lt;&gt;"",1,0)+IF(DC94&lt;&gt;"",1,0)+IF(DQ94&lt;&gt;"",1,0)+IF(EE94&lt;&gt;"",1,0)+IF(ES94&lt;&gt;"",1,0)+IF(FG94&lt;&gt;"",1,0)</x:f>
        <x:v>4</x:v>
      </x:c>
      <x:c r="AK94" s="147" t="str">
        <x:v>Silver replicating holding (LBMA/SLV proxy)</x:v>
      </x:c>
      <x:c r="AL94" s="147" t="str">
        <x:v>Physical-backed proxy</x:v>
      </x:c>
      <x:c r="AM94" s="147" t="str">
        <x:v>Long</x:v>
      </x:c>
      <x:c r="AN94" s="167" t="n">
        <x:v>1.761</x:v>
      </x:c>
      <x:c r="AO94" s="167" t="n">
        <x:v>1.749</x:v>
      </x:c>
      <x:c r="AP94" s="166" t="n">
        <x:v>0.5550763197393751</x:v>
      </x:c>
      <x:c r="AQ94" s="171" t="n">
        <x:f>IF(AK94="","",IFERROR(F94*AP94/AN94,0))</x:f>
        <x:v>0.41105795580376714</x:v>
      </x:c>
      <x:c r="AR94" s="171" t="n">
        <x:f>IF(AK94="","",F94*ABS(AP94))</x:f>
        <x:v>0.7238730601704338</x:v>
      </x:c>
      <x:c r="AS94" s="165"/>
      <x:c r="AT94" s="172" t="str">
        <x:f>IF(AK94="","",IF(AS94="","",IFERROR(AN94/AS94-1,0)))</x:f>
      </x:c>
      <x:c r="AU94" s="166"/>
      <x:c r="AV94" s="172" t="str">
        <x:f>IF(AK94="","",IF(AU94="","",AU94-AT94*365/AW94))</x:f>
      </x:c>
      <x:c r="AW94" s="164"/>
      <x:c r="AX94" s="173" t="n">
        <x:f>IF(AK94="","",IFERROR(AP94*(AO94/AN94-1-'Parameters'!$C$6*C94/365),0))</x:f>
        <x:v>-0.003786264037332583</x:v>
      </x:c>
      <x:c r="AY94" s="147" t="str">
        <x:v>Matched-maturity Treasury collateral</x:v>
      </x:c>
      <x:c r="AZ94" s="147" t="str">
        <x:v>Treasury</x:v>
      </x:c>
      <x:c r="BA94" s="147" t="str">
        <x:v>Long</x:v>
      </x:c>
      <x:c r="BB94" s="167" t="n">
        <x:v>102.31037385551971</x:v>
      </x:c>
      <x:c r="BC94" s="167" t="n">
        <x:v>102.3274442713219</x:v>
      </x:c>
      <x:c r="BD94" s="166" t="n">
        <x:v>0.44492368026062495</x:v>
      </x:c>
      <x:c r="BE94" s="171" t="n">
        <x:f>IF(AY94="","",IFERROR(F94*BD94/BB94,0))</x:f>
        <x:v>0.005671207833400034</x:v>
      </x:c>
      <x:c r="BF94" s="171" t="n">
        <x:f>IF(AY94="","",F94*ABS(BD94))</x:f>
        <x:v>0.5802233936475094</x:v>
      </x:c>
      <x:c r="BG94" s="165"/>
      <x:c r="BH94" s="172" t="str">
        <x:f>IF(AY94="","",IF(BG94="","",IFERROR(BB94/BG94-1,0)))</x:f>
      </x:c>
      <x:c r="BI94" s="166"/>
      <x:c r="BJ94" s="172" t="str">
        <x:f>IF(AY94="","",IF(BI94="","",BI94-BH94*365/BK94))</x:f>
      </x:c>
      <x:c r="BK94" s="164" t="n">
        <x:v>71.01467929896027</x:v>
      </x:c>
      <x:c r="BL94" s="172" t="n">
        <x:f>IF(AY94="","",IFERROR(BD94*(BC94/BB94-1),0))</x:f>
        <x:v>0.00007423521130919029</x:v>
      </x:c>
      <x:c r="BM94" s="147" t="str">
        <x:v>SI69N</x:v>
      </x:c>
      <x:c r="BN94" s="147" t="str">
        <x:v>Silver future (regular)</x:v>
      </x:c>
      <x:c r="BO94" s="147" t="str">
        <x:v>Long</x:v>
      </x:c>
      <x:c r="BP94" s="167" t="n">
        <x:v>1.7590000000000001</x:v>
      </x:c>
      <x:c r="BQ94" s="167" t="n">
        <x:v>1.77</x:v>
      </x:c>
      <x:c r="BR94" s="166" t="n">
        <x:v>0.44481298250270884</x:v>
      </x:c>
      <x:c r="BS94" s="171" t="n">
        <x:f>IF(BM94="","",IFERROR(F94*BR94/BP94,0))</x:f>
        <x:v>0.3297777334246534</x:v>
      </x:c>
      <x:c r="BT94" s="171" t="n">
        <x:f>IF(BM94="","",F94*ABS(BR94))</x:f>
        <x:v>0.5800790330939654</x:v>
      </x:c>
      <x:c r="BU94" s="165" t="n">
        <x:v>1.761</x:v>
      </x:c>
      <x:c r="BV94" s="172" t="n">
        <x:f>IF(BM94="","",IF(BU94="","",IFERROR(BP94/BU94-1,0)))</x:f>
        <x:v>-0.0011357183418511108</x:v>
      </x:c>
      <x:c r="BW94" s="166" t="n">
        <x:v>0.060899999999999996</x:v>
      </x:c>
      <x:c r="BX94" s="172" t="n">
        <x:f>IF(BM94="","",IF(BW94="","",BW94-BV94*365/BY94))</x:f>
        <x:v>0.06673855203909373</x:v>
      </x:c>
      <x:c r="BY94" s="164" t="n">
        <x:v>71</x:v>
      </x:c>
      <x:c r="BZ94" s="172" t="n">
        <x:f>IF(BM94="","",IFERROR(BR94*(BQ94/BP94-1),0))</x:f>
        <x:v>0.002781661630204497</x:v>
      </x:c>
      <x:c r="CA94" s="147" t="str">
        <x:v>SI69U</x:v>
      </x:c>
      <x:c r="CB94" s="147" t="str">
        <x:v>Silver future (regular)</x:v>
      </x:c>
      <x:c r="CC94" s="147" t="str">
        <x:v>Long</x:v>
      </x:c>
      <x:c r="CD94" s="167" t="n">
        <x:v>1.791</x:v>
      </x:c>
      <x:c r="CE94" s="167" t="n">
        <x:v>1.8030000000000002</x:v>
      </x:c>
      <x:c r="CF94" s="166" t="n">
        <x:v>0.00011069775791609656</x:v>
      </x:c>
      <x:c r="CG94" s="171" t="n">
        <x:f>IF(CA94="","",IFERROR(F94*CF94/CD94,0))</x:f>
        <x:v>0.00008060332414515839</x:v>
      </x:c>
      <x:c r="CH94" s="171" t="n">
        <x:f>IF(CA94="","",F94*ABS(CF94))</x:f>
        <x:v>0.00014436055354397867</x:v>
      </x:c>
      <x:c r="CI94" s="165" t="n">
        <x:v>1.761</x:v>
      </x:c>
      <x:c r="CJ94" s="172" t="n">
        <x:f>IF(CA94="","",IF(CI94="","",IFERROR(CD94/CI94-1,0)))</x:f>
        <x:v>0.017035775127768327</x:v>
      </x:c>
      <x:c r="CK94" s="166" t="n">
        <x:v>0.061200000000000004</x:v>
      </x:c>
      <x:c r="CL94" s="172" t="n">
        <x:f>IF(CA94="","",IF(CK94="","",CK94-CJ94*365/CM94))</x:f>
        <x:v>0.013368785218188933</x:v>
      </x:c>
      <x:c r="CM94" s="164" t="n">
        <x:v>130</x:v>
      </x:c>
      <x:c r="CN94" s="172" t="n">
        <x:f>IF(CA94="","",IFERROR(CF94*(CE94/CD94-1),0))</x:f>
        <x:v>7.416935203758759e-7</x:v>
      </x:c>
      <x:c r="CO94" s="147"/>
      <x:c r="CP94" s="147"/>
      <x:c r="CQ94" s="147"/>
      <x:c r="CR94" s="167"/>
      <x:c r="CS94" s="167"/>
      <x:c r="CT94" s="166"/>
      <x:c r="CU94" s="171" t="str">
        <x:f>IF(CO94="","",IFERROR(F94*CT94/CR94,0))</x:f>
      </x:c>
      <x:c r="CV94" s="171" t="str">
        <x:f>IF(CO94="","",F94*ABS(CT94))</x:f>
      </x:c>
      <x:c r="CW94" s="165"/>
      <x:c r="CX94" s="172" t="str">
        <x:f>IF(CO94="","",IF(CW94="","",IFERROR(CR94/CW94-1,0)))</x:f>
      </x:c>
      <x:c r="CY94" s="166"/>
      <x:c r="CZ94" s="172" t="str">
        <x:f>IF(CO94="","",IF(CY94="","",CY94-CX94*365/DA94))</x:f>
      </x:c>
      <x:c r="DA94" s="164"/>
      <x:c r="DB94" s="172" t="str">
        <x:f>IF(CO94="","",IFERROR(CT94*(CS94/CR94-1),0))</x:f>
      </x:c>
      <x:c r="DC94" s="147"/>
      <x:c r="DD94" s="147"/>
      <x:c r="DE94" s="147"/>
      <x:c r="DF94" s="167"/>
      <x:c r="DG94" s="167"/>
      <x:c r="DH94" s="166"/>
      <x:c r="DI94" s="171" t="str">
        <x:f>IF(DC94="","",IFERROR(F94*DH94/DF94,0))</x:f>
      </x:c>
      <x:c r="DJ94" s="171" t="str">
        <x:f>IF(DC94="","",F94*ABS(DH94))</x:f>
      </x:c>
      <x:c r="DK94" s="165"/>
      <x:c r="DL94" s="172" t="str">
        <x:f>IF(DC94="","",IF(DK94="","",IFERROR(DF94/DK94-1,0)))</x:f>
      </x:c>
      <x:c r="DM94" s="166"/>
      <x:c r="DN94" s="172" t="str">
        <x:f>IF(DC94="","",IF(DM94="","",DM94-DL94*365/DO94))</x:f>
      </x:c>
      <x:c r="DO94" s="164"/>
      <x:c r="DP94" s="172" t="str">
        <x:f>IF(DC94="","",IFERROR(DH94*(DG94/DF94-1),0))</x:f>
      </x:c>
      <x:c r="DQ94" s="147"/>
      <x:c r="DR94" s="147"/>
      <x:c r="DS94" s="147"/>
      <x:c r="DT94" s="167"/>
      <x:c r="DU94" s="167"/>
      <x:c r="DV94" s="166"/>
      <x:c r="DW94" s="171" t="str">
        <x:f>IF(DQ94="","",IFERROR(F94*DV94/DT94,0))</x:f>
      </x:c>
      <x:c r="DX94" s="171" t="str">
        <x:f>IF(DQ94="","",F94*ABS(DV94))</x:f>
      </x:c>
      <x:c r="DY94" s="165"/>
      <x:c r="DZ94" s="172" t="str">
        <x:f>IF(DQ94="","",IF(DY94="","",IFERROR(DT94/DY94-1,0)))</x:f>
      </x:c>
      <x:c r="EA94" s="166"/>
      <x:c r="EB94" s="172" t="str">
        <x:f>IF(DQ94="","",IF(EA94="","",EA94-DZ94*365/EC94))</x:f>
      </x:c>
      <x:c r="EC94" s="164"/>
      <x:c r="ED94" s="172" t="str">
        <x:f>IF(DQ94="","",IFERROR(DV94*(DU94/DT94-1),0))</x:f>
      </x:c>
      <x:c r="EE94" s="147"/>
      <x:c r="EF94" s="147"/>
      <x:c r="EG94" s="147"/>
      <x:c r="EH94" s="167"/>
      <x:c r="EI94" s="167"/>
      <x:c r="EJ94" s="166"/>
      <x:c r="EK94" s="171" t="str">
        <x:f>IF(EE94="","",IFERROR(F94*EJ94/EH94,0))</x:f>
      </x:c>
      <x:c r="EL94" s="171" t="str">
        <x:f>IF(EE94="","",F94*ABS(EJ94))</x:f>
      </x:c>
      <x:c r="EM94" s="165"/>
      <x:c r="EN94" s="172" t="str">
        <x:f>IF(EE94="","",IF(EM94="","",IFERROR(EH94/EM94-1,0)))</x:f>
      </x:c>
      <x:c r="EO94" s="166"/>
      <x:c r="EP94" s="172" t="str">
        <x:f>IF(EE94="","",IF(EO94="","",EO94-EN94*365/EQ94))</x:f>
      </x:c>
      <x:c r="EQ94" s="164"/>
      <x:c r="ER94" s="172" t="str">
        <x:f>IF(EE94="","",IFERROR(EJ94*(EI94/EH94-1),0))</x:f>
      </x:c>
      <x:c r="ES94" s="147"/>
      <x:c r="ET94" s="147"/>
      <x:c r="EU94" s="147"/>
      <x:c r="EV94" s="167"/>
      <x:c r="EW94" s="167"/>
      <x:c r="EX94" s="166"/>
      <x:c r="EY94" s="171" t="str">
        <x:f>IF(ES94="","",IFERROR(F94*EX94/EV94,0))</x:f>
      </x:c>
      <x:c r="EZ94" s="171" t="str">
        <x:f>IF(ES94="","",F94*ABS(EX94))</x:f>
      </x:c>
      <x:c r="FA94" s="165"/>
      <x:c r="FB94" s="172" t="str">
        <x:f>IF(ES94="","",IF(FA94="","",IFERROR(EV94/FA94-1,0)))</x:f>
      </x:c>
      <x:c r="FC94" s="166"/>
      <x:c r="FD94" s="172" t="str">
        <x:f>IF(ES94="","",IF(FC94="","",FC94-FB94*365/FE94))</x:f>
      </x:c>
      <x:c r="FE94" s="164"/>
      <x:c r="FF94" s="172" t="str">
        <x:f>IF(ES94="","",IFERROR(EX94*(EW94/EV94-1),0))</x:f>
      </x:c>
      <x:c r="FG94" s="147"/>
      <x:c r="FH94" s="147"/>
      <x:c r="FI94" s="147"/>
      <x:c r="FJ94" s="167"/>
      <x:c r="FK94" s="167"/>
      <x:c r="FL94" s="166"/>
      <x:c r="FM94" s="171" t="str">
        <x:f>IF(FG94="","",IFERROR(F94*FL94/FJ94,0))</x:f>
      </x:c>
      <x:c r="FN94" s="171" t="str">
        <x:f>IF(FG94="","",F94*ABS(FL94))</x:f>
      </x:c>
      <x:c r="FO94" s="165"/>
      <x:c r="FP94" s="172" t="str">
        <x:f>IF(FG94="","",IF(FO94="","",IFERROR(FJ94/FO94-1,0)))</x:f>
      </x:c>
      <x:c r="FQ94" s="166"/>
      <x:c r="FR94" s="172" t="str">
        <x:f>IF(FG94="","",IF(FQ94="","",FQ94-FP94*365/FS94))</x:f>
      </x:c>
      <x:c r="FS94" s="164"/>
      <x:c r="FT94" s="172" t="str">
        <x:f>IF(FG94="","",IFERROR(FL94*(FK94/FJ94-1),0))</x:f>
      </x:c>
    </x:row>
    <x:row r="95" ht="18" customHeight="1">
      <x:c r="A95" s="163" t="n">
        <x:v>25343</x:v>
      </x:c>
      <x:c r="B95" s="163" t="n">
        <x:v>25344</x:v>
      </x:c>
      <x:c r="C95" s="170" t="n">
        <x:f>B95-A95</x:f>
        <x:v>1</x:v>
      </x:c>
      <x:c r="D95" s="163" t="n">
        <x:v>25343</x:v>
      </x:c>
      <x:c r="E95" s="147" t="str">
        <x:v>neutral</x:v>
      </x:c>
      <x:c r="F95" s="165" t="n">
        <x:v>1.302884132497017</x:v>
      </x:c>
      <x:c r="G95" s="168" t="n">
        <x:v>0.005710703572295594</x:v>
      </x:c>
      <x:c r="H95" s="172" t="n">
        <x:f>SUM(AX95,BL95,BZ95,CN95,DB95,DP95,ED95,ER95,FF95,FT95)</x:f>
        <x:v>0.005710703572295593</x:v>
      </x:c>
      <x:c r="I95" s="174" t="n">
        <x:f>G95-H95</x:f>
        <x:v>8.673617379884035e-19</x:v>
      </x:c>
      <x:c r="J95" s="171" t="n">
        <x:f>F95*(1+H95)</x:f>
        <x:v>1.310324517566755</x:v>
      </x:c>
      <x:c r="K95" s="169" t="n">
        <x:v>1.310324517566755</x:v>
      </x:c>
      <x:c r="L95" s="175" t="n">
        <x:f>K95-J95</x:f>
        <x:v>0</x:v>
      </x:c>
      <x:c r="M95" s="167" t="n">
        <x:v>1.749</x:v>
      </x:c>
      <x:c r="N95" s="167" t="n">
        <x:v>1.759</x:v>
      </x:c>
      <x:c r="O95" s="172" t="n">
        <x:f>IFERROR(N95/M95-1,0)</x:f>
        <x:v>0.005717552887364086</x:v>
      </x:c>
      <x:c r="P95" s="171" t="n">
        <x:f>IFERROR(AD95/AH95,0)</x:f>
        <x:v>1.4585746892104987</x:v>
      </x:c>
      <x:c r="Q95" s="171" t="n">
        <x:f>IFERROR(AE95/AI95,0)</x:f>
        <x:v>1.458564755767885</x:v>
      </x:c>
      <x:c r="R95" s="172" t="n">
        <x:f>IFERROR((Q95-P95)/(P95+S95),0)</x:f>
        <x:v>-0.000006810376381324205</x:v>
      </x:c>
      <x:c r="S95" s="172" t="n">
        <x:f>IFERROR(AF95/AH95,0)</x:f>
        <x:v>0</x:v>
      </x:c>
      <x:c r="T95" s="172" t="n">
        <x:f>IFERROR(AG95/AI95,0)</x:f>
        <x:v>0</x:v>
      </x:c>
      <x:c r="U95" s="172" t="n">
        <x:f>IFERROR((T95-S95)/(P95+S95),0)</x:f>
        <x:v>0</x:v>
      </x:c>
      <x:c r="V95" s="172" t="n">
        <x:f>R95+U95</x:f>
        <x:v>-0.000006810376381324205</x:v>
      </x:c>
      <x:c r="W95" s="172" t="n">
        <x:f>(1+O95)*(1+V95)-1</x:f>
        <x:v>0.005710703572295639</x:v>
      </x:c>
      <x:c r="X95" s="174" t="n">
        <x:f>G95-W95</x:f>
        <x:v>-4.5102810375396984e-17</x:v>
      </x:c>
      <x:c r="Y95" s="172" t="n">
        <x:f>AX95</x:f>
        <x:v>0.005710703572295593</x:v>
      </x:c>
      <x:c r="Z95" s="172" t="str">
        <x:f>BL95</x:f>
      </x:c>
      <x:c r="AA95" s="172" t="n">
        <x:f>SUM(BZ95,CN95,DB95,DP95,ED95,ER95,FF95,FT95)</x:f>
        <x:v>0</x:v>
      </x:c>
      <x:c r="AB95" s="172" t="n">
        <x:f>SUM(Y95:AA95)</x:f>
        <x:v>0.005710703572295593</x:v>
      </x:c>
      <x:c r="AC95" s="174" t="n">
        <x:f>G95-AB95</x:f>
        <x:v>8.673617379884035e-19</x:v>
      </x:c>
      <x:c r="AD95" s="169" t="n">
        <x:v>1.3028841324970186</x:v>
      </x:c>
      <x:c r="AE95" s="169" t="n">
        <x:v>1.3103245175667566</x:v>
      </x:c>
      <x:c r="AF95" s="169" t="n">
        <x:v>0</x:v>
      </x:c>
      <x:c r="AG95" s="169" t="n">
        <x:v>0</x:v>
      </x:c>
      <x:c r="AH95" s="171" t="n">
        <x:f>M95/$M$3</x:f>
        <x:v>0.8932584269662922</x:v>
      </x:c>
      <x:c r="AI95" s="171" t="n">
        <x:f>N95/$M$3</x:f>
        <x:v>0.8983656792645557</x:v>
      </x:c>
      <x:c r="AJ95" s="170" t="n">
        <x:f>IF(AK95&lt;&gt;"",1,0)+IF(AY95&lt;&gt;"",1,0)+IF(BM95&lt;&gt;"",1,0)+IF(CA95&lt;&gt;"",1,0)+IF(CO95&lt;&gt;"",1,0)+IF(DC95&lt;&gt;"",1,0)+IF(DQ95&lt;&gt;"",1,0)+IF(EE95&lt;&gt;"",1,0)+IF(ES95&lt;&gt;"",1,0)+IF(FG95&lt;&gt;"",1,0)</x:f>
        <x:v>1</x:v>
      </x:c>
      <x:c r="AK95" s="147" t="str">
        <x:v>Silver replicating holding (LBMA/SLV proxy)</x:v>
      </x:c>
      <x:c r="AL95" s="147" t="str">
        <x:v>Physical-backed proxy</x:v>
      </x:c>
      <x:c r="AM95" s="147" t="str">
        <x:v>Long</x:v>
      </x:c>
      <x:c r="AN95" s="167" t="n">
        <x:v>1.749</x:v>
      </x:c>
      <x:c r="AO95" s="167" t="n">
        <x:v>1.759</x:v>
      </x:c>
      <x:c r="AP95" s="166" t="n">
        <x:v>1</x:v>
      </x:c>
      <x:c r="AQ95" s="171" t="n">
        <x:f>IF(AK95="","",IFERROR(F95*AP95/AN95,0))</x:f>
        <x:v>0.7449308933659331</x:v>
      </x:c>
      <x:c r="AR95" s="171" t="n">
        <x:f>IF(AK95="","",F95*ABS(AP95))</x:f>
        <x:v>1.302884132497017</x:v>
      </x:c>
      <x:c r="AS95" s="165"/>
      <x:c r="AT95" s="172" t="str">
        <x:f>IF(AK95="","",IF(AS95="","",IFERROR(AN95/AS95-1,0)))</x:f>
      </x:c>
      <x:c r="AU95" s="166"/>
      <x:c r="AV95" s="172" t="str">
        <x:f>IF(AK95="","",IF(AU95="","",AU95-AT95*365/AW95))</x:f>
      </x:c>
      <x:c r="AW95" s="164"/>
      <x:c r="AX95" s="173" t="n">
        <x:f>IF(AK95="","",IFERROR(AP95*(AO95/AN95-1-'Parameters'!$C$6*C95/365),0))</x:f>
        <x:v>0.005710703572295593</x:v>
      </x:c>
      <x:c r="AY95" s="147"/>
      <x:c r="AZ95" s="147"/>
      <x:c r="BA95" s="147"/>
      <x:c r="BB95" s="167"/>
      <x:c r="BC95" s="167"/>
      <x:c r="BD95" s="166"/>
      <x:c r="BE95" s="171" t="str">
        <x:f>IF(AY95="","",IFERROR(F95*BD95/BB95,0))</x:f>
      </x:c>
      <x:c r="BF95" s="171" t="str">
        <x:f>IF(AY95="","",F95*ABS(BD95))</x:f>
      </x:c>
      <x:c r="BG95" s="165"/>
      <x:c r="BH95" s="172" t="str">
        <x:f>IF(AY95="","",IF(BG95="","",IFERROR(BB95/BG95-1,0)))</x:f>
      </x:c>
      <x:c r="BI95" s="166"/>
      <x:c r="BJ95" s="172" t="str">
        <x:f>IF(AY95="","",IF(BI95="","",BI95-BH95*365/BK95))</x:f>
      </x:c>
      <x:c r="BK95" s="164"/>
      <x:c r="BL95" s="172" t="str">
        <x:f>IF(AY95="","",IFERROR(BD95*(BC95/BB95-1),0))</x:f>
      </x:c>
      <x:c r="BM95" s="147"/>
      <x:c r="BN95" s="147"/>
      <x:c r="BO95" s="147"/>
      <x:c r="BP95" s="167"/>
      <x:c r="BQ95" s="167"/>
      <x:c r="BR95" s="166"/>
      <x:c r="BS95" s="171" t="str">
        <x:f>IF(BM95="","",IFERROR(F95*BR95/BP95,0))</x:f>
      </x:c>
      <x:c r="BT95" s="171" t="str">
        <x:f>IF(BM95="","",F95*ABS(BR95))</x:f>
      </x:c>
      <x:c r="BU95" s="165"/>
      <x:c r="BV95" s="172" t="str">
        <x:f>IF(BM95="","",IF(BU95="","",IFERROR(BP95/BU95-1,0)))</x:f>
      </x:c>
      <x:c r="BW95" s="166"/>
      <x:c r="BX95" s="172" t="str">
        <x:f>IF(BM95="","",IF(BW95="","",BW95-BV95*365/BY95))</x:f>
      </x:c>
      <x:c r="BY95" s="164"/>
      <x:c r="BZ95" s="172" t="str">
        <x:f>IF(BM95="","",IFERROR(BR95*(BQ95/BP95-1),0))</x:f>
      </x:c>
      <x:c r="CA95" s="147"/>
      <x:c r="CB95" s="147"/>
      <x:c r="CC95" s="147"/>
      <x:c r="CD95" s="167"/>
      <x:c r="CE95" s="167"/>
      <x:c r="CF95" s="166"/>
      <x:c r="CG95" s="171" t="str">
        <x:f>IF(CA95="","",IFERROR(F95*CF95/CD95,0))</x:f>
      </x:c>
      <x:c r="CH95" s="171" t="str">
        <x:f>IF(CA95="","",F95*ABS(CF95))</x:f>
      </x:c>
      <x:c r="CI95" s="165"/>
      <x:c r="CJ95" s="172" t="str">
        <x:f>IF(CA95="","",IF(CI95="","",IFERROR(CD95/CI95-1,0)))</x:f>
      </x:c>
      <x:c r="CK95" s="166"/>
      <x:c r="CL95" s="172" t="str">
        <x:f>IF(CA95="","",IF(CK95="","",CK95-CJ95*365/CM95))</x:f>
      </x:c>
      <x:c r="CM95" s="164"/>
      <x:c r="CN95" s="172" t="str">
        <x:f>IF(CA95="","",IFERROR(CF95*(CE95/CD95-1),0))</x:f>
      </x:c>
      <x:c r="CO95" s="147"/>
      <x:c r="CP95" s="147"/>
      <x:c r="CQ95" s="147"/>
      <x:c r="CR95" s="167"/>
      <x:c r="CS95" s="167"/>
      <x:c r="CT95" s="166"/>
      <x:c r="CU95" s="171" t="str">
        <x:f>IF(CO95="","",IFERROR(F95*CT95/CR95,0))</x:f>
      </x:c>
      <x:c r="CV95" s="171" t="str">
        <x:f>IF(CO95="","",F95*ABS(CT95))</x:f>
      </x:c>
      <x:c r="CW95" s="165"/>
      <x:c r="CX95" s="172" t="str">
        <x:f>IF(CO95="","",IF(CW95="","",IFERROR(CR95/CW95-1,0)))</x:f>
      </x:c>
      <x:c r="CY95" s="166"/>
      <x:c r="CZ95" s="172" t="str">
        <x:f>IF(CO95="","",IF(CY95="","",CY95-CX95*365/DA95))</x:f>
      </x:c>
      <x:c r="DA95" s="164"/>
      <x:c r="DB95" s="172" t="str">
        <x:f>IF(CO95="","",IFERROR(CT95*(CS95/CR95-1),0))</x:f>
      </x:c>
      <x:c r="DC95" s="147"/>
      <x:c r="DD95" s="147"/>
      <x:c r="DE95" s="147"/>
      <x:c r="DF95" s="167"/>
      <x:c r="DG95" s="167"/>
      <x:c r="DH95" s="166"/>
      <x:c r="DI95" s="171" t="str">
        <x:f>IF(DC95="","",IFERROR(F95*DH95/DF95,0))</x:f>
      </x:c>
      <x:c r="DJ95" s="171" t="str">
        <x:f>IF(DC95="","",F95*ABS(DH95))</x:f>
      </x:c>
      <x:c r="DK95" s="165"/>
      <x:c r="DL95" s="172" t="str">
        <x:f>IF(DC95="","",IF(DK95="","",IFERROR(DF95/DK95-1,0)))</x:f>
      </x:c>
      <x:c r="DM95" s="166"/>
      <x:c r="DN95" s="172" t="str">
        <x:f>IF(DC95="","",IF(DM95="","",DM95-DL95*365/DO95))</x:f>
      </x:c>
      <x:c r="DO95" s="164"/>
      <x:c r="DP95" s="172" t="str">
        <x:f>IF(DC95="","",IFERROR(DH95*(DG95/DF95-1),0))</x:f>
      </x:c>
      <x:c r="DQ95" s="147"/>
      <x:c r="DR95" s="147"/>
      <x:c r="DS95" s="147"/>
      <x:c r="DT95" s="167"/>
      <x:c r="DU95" s="167"/>
      <x:c r="DV95" s="166"/>
      <x:c r="DW95" s="171" t="str">
        <x:f>IF(DQ95="","",IFERROR(F95*DV95/DT95,0))</x:f>
      </x:c>
      <x:c r="DX95" s="171" t="str">
        <x:f>IF(DQ95="","",F95*ABS(DV95))</x:f>
      </x:c>
      <x:c r="DY95" s="165"/>
      <x:c r="DZ95" s="172" t="str">
        <x:f>IF(DQ95="","",IF(DY95="","",IFERROR(DT95/DY95-1,0)))</x:f>
      </x:c>
      <x:c r="EA95" s="166"/>
      <x:c r="EB95" s="172" t="str">
        <x:f>IF(DQ95="","",IF(EA95="","",EA95-DZ95*365/EC95))</x:f>
      </x:c>
      <x:c r="EC95" s="164"/>
      <x:c r="ED95" s="172" t="str">
        <x:f>IF(DQ95="","",IFERROR(DV95*(DU95/DT95-1),0))</x:f>
      </x:c>
      <x:c r="EE95" s="147"/>
      <x:c r="EF95" s="147"/>
      <x:c r="EG95" s="147"/>
      <x:c r="EH95" s="167"/>
      <x:c r="EI95" s="167"/>
      <x:c r="EJ95" s="166"/>
      <x:c r="EK95" s="171" t="str">
        <x:f>IF(EE95="","",IFERROR(F95*EJ95/EH95,0))</x:f>
      </x:c>
      <x:c r="EL95" s="171" t="str">
        <x:f>IF(EE95="","",F95*ABS(EJ95))</x:f>
      </x:c>
      <x:c r="EM95" s="165"/>
      <x:c r="EN95" s="172" t="str">
        <x:f>IF(EE95="","",IF(EM95="","",IFERROR(EH95/EM95-1,0)))</x:f>
      </x:c>
      <x:c r="EO95" s="166"/>
      <x:c r="EP95" s="172" t="str">
        <x:f>IF(EE95="","",IF(EO95="","",EO95-EN95*365/EQ95))</x:f>
      </x:c>
      <x:c r="EQ95" s="164"/>
      <x:c r="ER95" s="172" t="str">
        <x:f>IF(EE95="","",IFERROR(EJ95*(EI95/EH95-1),0))</x:f>
      </x:c>
      <x:c r="ES95" s="147"/>
      <x:c r="ET95" s="147"/>
      <x:c r="EU95" s="147"/>
      <x:c r="EV95" s="167"/>
      <x:c r="EW95" s="167"/>
      <x:c r="EX95" s="166"/>
      <x:c r="EY95" s="171" t="str">
        <x:f>IF(ES95="","",IFERROR(F95*EX95/EV95,0))</x:f>
      </x:c>
      <x:c r="EZ95" s="171" t="str">
        <x:f>IF(ES95="","",F95*ABS(EX95))</x:f>
      </x:c>
      <x:c r="FA95" s="165"/>
      <x:c r="FB95" s="172" t="str">
        <x:f>IF(ES95="","",IF(FA95="","",IFERROR(EV95/FA95-1,0)))</x:f>
      </x:c>
      <x:c r="FC95" s="166"/>
      <x:c r="FD95" s="172" t="str">
        <x:f>IF(ES95="","",IF(FC95="","",FC95-FB95*365/FE95))</x:f>
      </x:c>
      <x:c r="FE95" s="164"/>
      <x:c r="FF95" s="172" t="str">
        <x:f>IF(ES95="","",IFERROR(EX95*(EW95/EV95-1),0))</x:f>
      </x:c>
      <x:c r="FG95" s="147"/>
      <x:c r="FH95" s="147"/>
      <x:c r="FI95" s="147"/>
      <x:c r="FJ95" s="167"/>
      <x:c r="FK95" s="167"/>
      <x:c r="FL95" s="166"/>
      <x:c r="FM95" s="171" t="str">
        <x:f>IF(FG95="","",IFERROR(F95*FL95/FJ95,0))</x:f>
      </x:c>
      <x:c r="FN95" s="171" t="str">
        <x:f>IF(FG95="","",F95*ABS(FL95))</x:f>
      </x:c>
      <x:c r="FO95" s="165"/>
      <x:c r="FP95" s="172" t="str">
        <x:f>IF(FG95="","",IF(FO95="","",IFERROR(FJ95/FO95-1,0)))</x:f>
      </x:c>
      <x:c r="FQ95" s="166"/>
      <x:c r="FR95" s="172" t="str">
        <x:f>IF(FG95="","",IF(FQ95="","",FQ95-FP95*365/FS95))</x:f>
      </x:c>
      <x:c r="FS95" s="164"/>
      <x:c r="FT95" s="172" t="str">
        <x:f>IF(FG95="","",IFERROR(FL95*(FK95/FJ95-1),0))</x:f>
      </x:c>
    </x:row>
    <x:row r="96" ht="18" customHeight="1">
      <x:c r="A96" s="163" t="n">
        <x:v>25344</x:v>
      </x:c>
      <x:c r="B96" s="163" t="n">
        <x:v>25345</x:v>
      </x:c>
      <x:c r="C96" s="170" t="n">
        <x:f>B96-A96</x:f>
        <x:v>1</x:v>
      </x:c>
      <x:c r="D96" s="163" t="n">
        <x:v>25344</x:v>
      </x:c>
      <x:c r="E96" s="147" t="str">
        <x:v>positive</x:v>
      </x:c>
      <x:c r="F96" s="165" t="n">
        <x:v>1.310324517566755</x:v>
      </x:c>
      <x:c r="G96" s="168" t="n">
        <x:v>-0.004296440195126269</x:v>
      </x:c>
      <x:c r="H96" s="172" t="n">
        <x:f>SUM(AX96,BL96,BZ96,CN96,DB96,DP96,ED96,ER96,FF96,FT96)</x:f>
        <x:v>-0.00429644019512626</x:v>
      </x:c>
      <x:c r="I96" s="174" t="n">
        <x:f>G96-H96</x:f>
        <x:v>-8.673617379884035e-18</x:v>
      </x:c>
      <x:c r="J96" s="171" t="n">
        <x:f>F96*(1+H96)</x:f>
        <x:v>1.3046947866408218</x:v>
      </x:c>
      <x:c r="K96" s="169" t="n">
        <x:v>1.3046947866408218</x:v>
      </x:c>
      <x:c r="L96" s="175" t="n">
        <x:f>K96-J96</x:f>
        <x:v>0</x:v>
      </x:c>
      <x:c r="M96" s="167" t="n">
        <x:v>1.759</x:v>
      </x:c>
      <x:c r="N96" s="167" t="n">
        <x:v>1.751</x:v>
      </x:c>
      <x:c r="O96" s="172" t="n">
        <x:f>IFERROR(N96/M96-1,0)</x:f>
        <x:v>-0.004548038658328646</x:v>
      </x:c>
      <x:c r="P96" s="171" t="n">
        <x:f>IFERROR(AD96/AH96,0)</x:f>
        <x:v>1.458564755767885</x:v>
      </x:c>
      <x:c r="Q96" s="171" t="n">
        <x:f>IFERROR(AE96/AI96,0)</x:f>
        <x:v>1.4589334050501042</x:v>
      </x:c>
      <x:c r="R96" s="172" t="n">
        <x:f>IFERROR((Q96-P96)/(P96+S96),0)</x:f>
        <x:v>0.0002527479707441342</x:v>
      </x:c>
      <x:c r="S96" s="172" t="n">
        <x:f>IFERROR(AF96/AH96,0)</x:f>
        <x:v>0</x:v>
      </x:c>
      <x:c r="T96" s="172" t="n">
        <x:f>IFERROR(AG96/AI96,0)</x:f>
        <x:v>0</x:v>
      </x:c>
      <x:c r="U96" s="172" t="n">
        <x:f>IFERROR((T96-S96)/(P96+S96),0)</x:f>
        <x:v>0</x:v>
      </x:c>
      <x:c r="V96" s="172" t="n">
        <x:f>R96+U96</x:f>
        <x:v>0.0002527479707441342</x:v>
      </x:c>
      <x:c r="W96" s="172" t="n">
        <x:f>(1+O96)*(1+V96)-1</x:f>
        <x:v>-0.0042964401951262055</x:v>
      </x:c>
      <x:c r="X96" s="174" t="n">
        <x:f>G96-W96</x:f>
        <x:v>-6.331740687315346e-17</x:v>
      </x:c>
      <x:c r="Y96" s="172" t="n">
        <x:f>AX96</x:f>
        <x:v>-0.0029825990845710505</x:v>
      </x:c>
      <x:c r="Z96" s="172" t="n">
        <x:f>BL96</x:f>
        <x:v>0.0000574996710437232</x:v>
      </x:c>
      <x:c r="AA96" s="172" t="n">
        <x:f>SUM(BZ96,CN96,DB96,DP96,ED96,ER96,FF96,FT96)</x:f>
        <x:v>-0.0013713407815989325</x:v>
      </x:c>
      <x:c r="AB96" s="172" t="n">
        <x:f>SUM(Y96:AA96)</x:f>
        <x:v>-0.00429644019512626</x:v>
      </x:c>
      <x:c r="AC96" s="174" t="n">
        <x:f>G96-AB96</x:f>
        <x:v>-8.673617379884035e-18</x:v>
      </x:c>
      <x:c r="AD96" s="169" t="n">
        <x:v>1.3103245175667566</x:v>
      </x:c>
      <x:c r="AE96" s="169" t="n">
        <x:v>1.3046947866408234</x:v>
      </x:c>
      <x:c r="AF96" s="169" t="n">
        <x:v>0</x:v>
      </x:c>
      <x:c r="AG96" s="169" t="n">
        <x:v>0</x:v>
      </x:c>
      <x:c r="AH96" s="171" t="n">
        <x:f>M96/$M$3</x:f>
        <x:v>0.8983656792645557</x:v>
      </x:c>
      <x:c r="AI96" s="171" t="n">
        <x:f>N96/$M$3</x:f>
        <x:v>0.8942798774259448</x:v>
      </x:c>
      <x:c r="AJ96" s="170" t="n">
        <x:f>IF(AK96&lt;&gt;"",1,0)+IF(AY96&lt;&gt;"",1,0)+IF(BM96&lt;&gt;"",1,0)+IF(CA96&lt;&gt;"",1,0)+IF(CO96&lt;&gt;"",1,0)+IF(DC96&lt;&gt;"",1,0)+IF(DQ96&lt;&gt;"",1,0)+IF(EE96&lt;&gt;"",1,0)+IF(ES96&lt;&gt;"",1,0)+IF(FG96&lt;&gt;"",1,0)</x:f>
        <x:v>4</x:v>
      </x:c>
      <x:c r="AK96" s="147" t="str">
        <x:v>Silver replicating holding (LBMA/SLV proxy)</x:v>
      </x:c>
      <x:c r="AL96" s="147" t="str">
        <x:v>Physical-backed proxy</x:v>
      </x:c>
      <x:c r="AM96" s="147" t="str">
        <x:v>Long</x:v>
      </x:c>
      <x:c r="AN96" s="167" t="n">
        <x:v>1.759</x:v>
      </x:c>
      <x:c r="AO96" s="167" t="n">
        <x:v>1.751</x:v>
      </x:c>
      <x:c r="AP96" s="166" t="n">
        <x:v>0.654812830082967</x:v>
      </x:c>
      <x:c r="AQ96" s="171" t="n">
        <x:f>IF(AK96="","",IFERROR(F96*AP96/AN96,0))</x:f>
        <x:v>0.4877869844655971</x:v>
      </x:c>
      <x:c r="AR96" s="171" t="n">
        <x:f>IF(AK96="","",F96*ABS(AP96))</x:f>
        <x:v>0.8580173056749852</x:v>
      </x:c>
      <x:c r="AS96" s="165"/>
      <x:c r="AT96" s="172" t="str">
        <x:f>IF(AK96="","",IF(AS96="","",IFERROR(AN96/AS96-1,0)))</x:f>
      </x:c>
      <x:c r="AU96" s="166"/>
      <x:c r="AV96" s="172" t="str">
        <x:f>IF(AK96="","",IF(AU96="","",AU96-AT96*365/AW96))</x:f>
      </x:c>
      <x:c r="AW96" s="164"/>
      <x:c r="AX96" s="173" t="n">
        <x:f>IF(AK96="","",IFERROR(AP96*(AO96/AN96-1-'Parameters'!$C$6*C96/365),0))</x:f>
        <x:v>-0.0029825990845710505</x:v>
      </x:c>
      <x:c r="AY96" s="147" t="str">
        <x:v>Matched-maturity Treasury collateral</x:v>
      </x:c>
      <x:c r="AZ96" s="147" t="str">
        <x:v>Treasury</x:v>
      </x:c>
      <x:c r="BA96" s="147" t="str">
        <x:v>Long</x:v>
      </x:c>
      <x:c r="BB96" s="167" t="n">
        <x:v>102.34460164005998</x:v>
      </x:c>
      <x:c r="BC96" s="167" t="n">
        <x:v>102.36164972712768</x:v>
      </x:c>
      <x:c r="BD96" s="166" t="n">
        <x:v>0.345187169917033</x:v>
      </x:c>
      <x:c r="BE96" s="171" t="n">
        <x:f>IF(AY96="","",IFERROR(F96*BD96/BB96,0))</x:f>
        <x:v>0.0044194535387661</x:v>
      </x:c>
      <x:c r="BF96" s="171" t="n">
        <x:f>IF(AY96="","",F96*ABS(BD96))</x:f>
        <x:v>0.4523072118917698</x:v>
      </x:c>
      <x:c r="BG96" s="165"/>
      <x:c r="BH96" s="172" t="str">
        <x:f>IF(AY96="","",IF(BG96="","",IFERROR(BB96/BG96-1,0)))</x:f>
      </x:c>
      <x:c r="BI96" s="166"/>
      <x:c r="BJ96" s="172" t="str">
        <x:f>IF(AY96="","",IF(BI96="","",BI96-BH96*365/BK96))</x:f>
      </x:c>
      <x:c r="BK96" s="164" t="n">
        <x:v>69.01058466748371</x:v>
      </x:c>
      <x:c r="BL96" s="172" t="n">
        <x:f>IF(AY96="","",IFERROR(BD96*(BC96/BB96-1),0))</x:f>
        <x:v>0.0000574996710437232</x:v>
      </x:c>
      <x:c r="BM96" s="147" t="str">
        <x:v>SI69N</x:v>
      </x:c>
      <x:c r="BN96" s="147" t="str">
        <x:v>Silver future (regular)</x:v>
      </x:c>
      <x:c r="BO96" s="147" t="str">
        <x:v>Long</x:v>
      </x:c>
      <x:c r="BP96" s="167" t="n">
        <x:v>1.7619999999999998</x:v>
      </x:c>
      <x:c r="BQ96" s="167" t="n">
        <x:v>1.755</x:v>
      </x:c>
      <x:c r="BR96" s="166" t="n">
        <x:v>0.3451252429439277</x:v>
      </x:c>
      <x:c r="BS96" s="171" t="n">
        <x:f>IF(BM96="","",IFERROR(F96*BR96/BP96,0))</x:f>
        <x:v>0.2566549758573276</x:v>
      </x:c>
      <x:c r="BT96" s="171" t="n">
        <x:f>IF(BM96="","",F96*ABS(BR96))</x:f>
        <x:v>0.4522260674606112</x:v>
      </x:c>
      <x:c r="BU96" s="165" t="n">
        <x:v>1.759</x:v>
      </x:c>
      <x:c r="BV96" s="172" t="n">
        <x:f>IF(BM96="","",IF(BU96="","",IFERROR(BP96/BU96-1,0)))</x:f>
        <x:v>0.0017055144968731728</x:v>
      </x:c>
      <x:c r="BW96" s="166" t="n">
        <x:v>0.0608</x:v>
      </x:c>
      <x:c r="BX96" s="172" t="n">
        <x:f>IF(BM96="","",IF(BW96="","",BW96-BV96*365/BY96))</x:f>
        <x:v>0.051778075487554955</x:v>
      </x:c>
      <x:c r="BY96" s="164" t="n">
        <x:v>69</x:v>
      </x:c>
      <x:c r="BZ96" s="172" t="n">
        <x:f>IF(BM96="","",IFERROR(BR96*(BQ96/BP96-1),0))</x:f>
        <x:v>-0.0013710991490394355</x:v>
      </x:c>
      <x:c r="CA96" s="147" t="str">
        <x:v>SI69U</x:v>
      </x:c>
      <x:c r="CB96" s="147" t="str">
        <x:v>Silver future (regular)</x:v>
      </x:c>
      <x:c r="CC96" s="147" t="str">
        <x:v>Long</x:v>
      </x:c>
      <x:c r="CD96" s="167" t="n">
        <x:v>1.794</x:v>
      </x:c>
      <x:c r="CE96" s="167" t="n">
        <x:v>1.787</x:v>
      </x:c>
      <x:c r="CF96" s="166" t="n">
        <x:v>0.00006192697310535017</x:v>
      </x:c>
      <x:c r="CG96" s="171" t="n">
        <x:f>IF(CA96="","",IFERROR(F96*CF96/CD96,0))</x:f>
        <x:v>0.00004523100956445785</x:v>
      </x:c>
      <x:c r="CH96" s="171" t="n">
        <x:f>IF(CA96="","",F96*ABS(CF96))</x:f>
        <x:v>0.00008114443115863738</x:v>
      </x:c>
      <x:c r="CI96" s="165" t="n">
        <x:v>1.759</x:v>
      </x:c>
      <x:c r="CJ96" s="172" t="n">
        <x:f>IF(CA96="","",IF(CI96="","",IFERROR(CD96/CI96-1,0)))</x:f>
        <x:v>0.019897669130187756</x:v>
      </x:c>
      <x:c r="CK96" s="166" t="n">
        <x:v>0.06096263736263738</x:v>
      </x:c>
      <x:c r="CL96" s="172" t="n">
        <x:f>IF(CA96="","",IF(CK96="","",CK96-CJ96*365/CM96))</x:f>
        <x:v>0.004223190233586353</x:v>
      </x:c>
      <x:c r="CM96" s="164" t="n">
        <x:v>128</x:v>
      </x:c>
      <x:c r="CN96" s="172" t="n">
        <x:f>IF(CA96="","",IFERROR(CF96*(CE96/CD96-1),0))</x:f>
        <x:v>-2.416325594969091e-7</x:v>
      </x:c>
      <x:c r="CO96" s="147"/>
      <x:c r="CP96" s="147"/>
      <x:c r="CQ96" s="147"/>
      <x:c r="CR96" s="167"/>
      <x:c r="CS96" s="167"/>
      <x:c r="CT96" s="166"/>
      <x:c r="CU96" s="171" t="str">
        <x:f>IF(CO96="","",IFERROR(F96*CT96/CR96,0))</x:f>
      </x:c>
      <x:c r="CV96" s="171" t="str">
        <x:f>IF(CO96="","",F96*ABS(CT96))</x:f>
      </x:c>
      <x:c r="CW96" s="165"/>
      <x:c r="CX96" s="172" t="str">
        <x:f>IF(CO96="","",IF(CW96="","",IFERROR(CR96/CW96-1,0)))</x:f>
      </x:c>
      <x:c r="CY96" s="166"/>
      <x:c r="CZ96" s="172" t="str">
        <x:f>IF(CO96="","",IF(CY96="","",CY96-CX96*365/DA96))</x:f>
      </x:c>
      <x:c r="DA96" s="164"/>
      <x:c r="DB96" s="172" t="str">
        <x:f>IF(CO96="","",IFERROR(CT96*(CS96/CR96-1),0))</x:f>
      </x:c>
      <x:c r="DC96" s="147"/>
      <x:c r="DD96" s="147"/>
      <x:c r="DE96" s="147"/>
      <x:c r="DF96" s="167"/>
      <x:c r="DG96" s="167"/>
      <x:c r="DH96" s="166"/>
      <x:c r="DI96" s="171" t="str">
        <x:f>IF(DC96="","",IFERROR(F96*DH96/DF96,0))</x:f>
      </x:c>
      <x:c r="DJ96" s="171" t="str">
        <x:f>IF(DC96="","",F96*ABS(DH96))</x:f>
      </x:c>
      <x:c r="DK96" s="165"/>
      <x:c r="DL96" s="172" t="str">
        <x:f>IF(DC96="","",IF(DK96="","",IFERROR(DF96/DK96-1,0)))</x:f>
      </x:c>
      <x:c r="DM96" s="166"/>
      <x:c r="DN96" s="172" t="str">
        <x:f>IF(DC96="","",IF(DM96="","",DM96-DL96*365/DO96))</x:f>
      </x:c>
      <x:c r="DO96" s="164"/>
      <x:c r="DP96" s="172" t="str">
        <x:f>IF(DC96="","",IFERROR(DH96*(DG96/DF96-1),0))</x:f>
      </x:c>
      <x:c r="DQ96" s="147"/>
      <x:c r="DR96" s="147"/>
      <x:c r="DS96" s="147"/>
      <x:c r="DT96" s="167"/>
      <x:c r="DU96" s="167"/>
      <x:c r="DV96" s="166"/>
      <x:c r="DW96" s="171" t="str">
        <x:f>IF(DQ96="","",IFERROR(F96*DV96/DT96,0))</x:f>
      </x:c>
      <x:c r="DX96" s="171" t="str">
        <x:f>IF(DQ96="","",F96*ABS(DV96))</x:f>
      </x:c>
      <x:c r="DY96" s="165"/>
      <x:c r="DZ96" s="172" t="str">
        <x:f>IF(DQ96="","",IF(DY96="","",IFERROR(DT96/DY96-1,0)))</x:f>
      </x:c>
      <x:c r="EA96" s="166"/>
      <x:c r="EB96" s="172" t="str">
        <x:f>IF(DQ96="","",IF(EA96="","",EA96-DZ96*365/EC96))</x:f>
      </x:c>
      <x:c r="EC96" s="164"/>
      <x:c r="ED96" s="172" t="str">
        <x:f>IF(DQ96="","",IFERROR(DV96*(DU96/DT96-1),0))</x:f>
      </x:c>
      <x:c r="EE96" s="147"/>
      <x:c r="EF96" s="147"/>
      <x:c r="EG96" s="147"/>
      <x:c r="EH96" s="167"/>
      <x:c r="EI96" s="167"/>
      <x:c r="EJ96" s="166"/>
      <x:c r="EK96" s="171" t="str">
        <x:f>IF(EE96="","",IFERROR(F96*EJ96/EH96,0))</x:f>
      </x:c>
      <x:c r="EL96" s="171" t="str">
        <x:f>IF(EE96="","",F96*ABS(EJ96))</x:f>
      </x:c>
      <x:c r="EM96" s="165"/>
      <x:c r="EN96" s="172" t="str">
        <x:f>IF(EE96="","",IF(EM96="","",IFERROR(EH96/EM96-1,0)))</x:f>
      </x:c>
      <x:c r="EO96" s="166"/>
      <x:c r="EP96" s="172" t="str">
        <x:f>IF(EE96="","",IF(EO96="","",EO96-EN96*365/EQ96))</x:f>
      </x:c>
      <x:c r="EQ96" s="164"/>
      <x:c r="ER96" s="172" t="str">
        <x:f>IF(EE96="","",IFERROR(EJ96*(EI96/EH96-1),0))</x:f>
      </x:c>
      <x:c r="ES96" s="147"/>
      <x:c r="ET96" s="147"/>
      <x:c r="EU96" s="147"/>
      <x:c r="EV96" s="167"/>
      <x:c r="EW96" s="167"/>
      <x:c r="EX96" s="166"/>
      <x:c r="EY96" s="171" t="str">
        <x:f>IF(ES96="","",IFERROR(F96*EX96/EV96,0))</x:f>
      </x:c>
      <x:c r="EZ96" s="171" t="str">
        <x:f>IF(ES96="","",F96*ABS(EX96))</x:f>
      </x:c>
      <x:c r="FA96" s="165"/>
      <x:c r="FB96" s="172" t="str">
        <x:f>IF(ES96="","",IF(FA96="","",IFERROR(EV96/FA96-1,0)))</x:f>
      </x:c>
      <x:c r="FC96" s="166"/>
      <x:c r="FD96" s="172" t="str">
        <x:f>IF(ES96="","",IF(FC96="","",FC96-FB96*365/FE96))</x:f>
      </x:c>
      <x:c r="FE96" s="164"/>
      <x:c r="FF96" s="172" t="str">
        <x:f>IF(ES96="","",IFERROR(EX96*(EW96/EV96-1),0))</x:f>
      </x:c>
      <x:c r="FG96" s="147"/>
      <x:c r="FH96" s="147"/>
      <x:c r="FI96" s="147"/>
      <x:c r="FJ96" s="167"/>
      <x:c r="FK96" s="167"/>
      <x:c r="FL96" s="166"/>
      <x:c r="FM96" s="171" t="str">
        <x:f>IF(FG96="","",IFERROR(F96*FL96/FJ96,0))</x:f>
      </x:c>
      <x:c r="FN96" s="171" t="str">
        <x:f>IF(FG96="","",F96*ABS(FL96))</x:f>
      </x:c>
      <x:c r="FO96" s="165"/>
      <x:c r="FP96" s="172" t="str">
        <x:f>IF(FG96="","",IF(FO96="","",IFERROR(FJ96/FO96-1,0)))</x:f>
      </x:c>
      <x:c r="FQ96" s="166"/>
      <x:c r="FR96" s="172" t="str">
        <x:f>IF(FG96="","",IF(FQ96="","",FQ96-FP96*365/FS96))</x:f>
      </x:c>
      <x:c r="FS96" s="164"/>
      <x:c r="FT96" s="172" t="str">
        <x:f>IF(FG96="","",IFERROR(FL96*(FK96/FJ96-1),0))</x:f>
      </x:c>
    </x:row>
    <x:row r="97" ht="18" customHeight="1">
      <x:c r="A97" s="163" t="n">
        <x:v>25345</x:v>
      </x:c>
      <x:c r="B97" s="163" t="n">
        <x:v>25346</x:v>
      </x:c>
      <x:c r="C97" s="170" t="n">
        <x:f>B97-A97</x:f>
        <x:v>1</x:v>
      </x:c>
      <x:c r="D97" s="163" t="n">
        <x:v>25345</x:v>
      </x:c>
      <x:c r="E97" s="147" t="str">
        <x:v>positive</x:v>
      </x:c>
      <x:c r="F97" s="165" t="n">
        <x:v>1.3046947866408218</x:v>
      </x:c>
      <x:c r="G97" s="168" t="n">
        <x:v>0.0038607493236937265</x:v>
      </x:c>
      <x:c r="H97" s="172" t="n">
        <x:f>SUM(AX97,BL97,BZ97,CN97,DB97,DP97,ED97,ER97,FF97,FT97)</x:f>
        <x:v>0.0038607493236937095</x:v>
      </x:c>
      <x:c r="I97" s="174" t="n">
        <x:f>G97-H97</x:f>
        <x:v>1.691355389077387e-17</x:v>
      </x:c>
      <x:c r="J97" s="171" t="n">
        <x:f>F97*(1+H97)</x:f>
        <x:v>1.3097318861559721</x:v>
      </x:c>
      <x:c r="K97" s="169" t="n">
        <x:v>1.3097318861559721</x:v>
      </x:c>
      <x:c r="L97" s="175" t="n">
        <x:f>K97-J97</x:f>
        <x:v>0</x:v>
      </x:c>
      <x:c r="M97" s="167" t="n">
        <x:v>1.751</x:v>
      </x:c>
      <x:c r="N97" s="167" t="n">
        <x:v>1.758</x:v>
      </x:c>
      <x:c r="O97" s="172" t="n">
        <x:f>IFERROR(N97/M97-1,0)</x:f>
        <x:v>0.003997715591090856</x:v>
      </x:c>
      <x:c r="P97" s="171" t="n">
        <x:f>IFERROR(AD97/AH97,0)</x:f>
        <x:v>1.4589334050501042</x:v>
      </x:c>
      <x:c r="Q97" s="171" t="n">
        <x:f>IFERROR(AE97/AI97,0)</x:f>
        <x:v>1.4587343760485758</x:v>
      </x:c>
      <x:c r="R97" s="172" t="n">
        <x:f>IFERROR((Q97-P97)/(P97+S97),0)</x:f>
        <x:v>-0.00013642089545650988</x:v>
      </x:c>
      <x:c r="S97" s="172" t="n">
        <x:f>IFERROR(AF97/AH97,0)</x:f>
        <x:v>0</x:v>
      </x:c>
      <x:c r="T97" s="172" t="n">
        <x:f>IFERROR(AG97/AI97,0)</x:f>
        <x:v>0</x:v>
      </x:c>
      <x:c r="U97" s="172" t="n">
        <x:f>IFERROR((T97-S97)/(P97+S97),0)</x:f>
        <x:v>0</x:v>
      </x:c>
      <x:c r="V97" s="172" t="n">
        <x:f>R97+U97</x:f>
        <x:v>-0.00013642089545650988</x:v>
      </x:c>
      <x:c r="W97" s="172" t="n">
        <x:f>(1+O97)*(1+V97)-1</x:f>
        <x:v>0.003860749323693735</x:v>
      </x:c>
      <x:c r="X97" s="174" t="n">
        <x:f>G97-W97</x:f>
        <x:v>-8.673617379884035e-18</x:v>
      </x:c>
      <x:c r="Y97" s="172" t="n">
        <x:f>AX97</x:f>
        <x:v>0.0027154359854677187</x:v>
      </x:c>
      <x:c r="Z97" s="172" t="n">
        <x:f>BL97</x:f>
        <x:v>0.00005271001961810491</x:v>
      </x:c>
      <x:c r="AA97" s="172" t="n">
        <x:f>SUM(BZ97,CN97,DB97,DP97,ED97,ER97,FF97,FT97)</x:f>
        <x:v>0.0010926033186078859</x:v>
      </x:c>
      <x:c r="AB97" s="172" t="n">
        <x:f>SUM(Y97:AA97)</x:f>
        <x:v>0.0038607493236937095</x:v>
      </x:c>
      <x:c r="AC97" s="174" t="n">
        <x:f>G97-AB97</x:f>
        <x:v>1.691355389077387e-17</x:v>
      </x:c>
      <x:c r="AD97" s="169" t="n">
        <x:v>1.3046947866408234</x:v>
      </x:c>
      <x:c r="AE97" s="169" t="n">
        <x:v>1.3097318861559737</x:v>
      </x:c>
      <x:c r="AF97" s="169" t="n">
        <x:v>0</x:v>
      </x:c>
      <x:c r="AG97" s="169" t="n">
        <x:v>0</x:v>
      </x:c>
      <x:c r="AH97" s="171" t="n">
        <x:f>M97/$M$3</x:f>
        <x:v>0.8942798774259448</x:v>
      </x:c>
      <x:c r="AI97" s="171" t="n">
        <x:f>N97/$M$3</x:f>
        <x:v>0.8978549540347294</x:v>
      </x:c>
      <x:c r="AJ97" s="170" t="n">
        <x:f>IF(AK97&lt;&gt;"",1,0)+IF(AY97&lt;&gt;"",1,0)+IF(BM97&lt;&gt;"",1,0)+IF(CA97&lt;&gt;"",1,0)+IF(CO97&lt;&gt;"",1,0)+IF(DC97&lt;&gt;"",1,0)+IF(DQ97&lt;&gt;"",1,0)+IF(EE97&lt;&gt;"",1,0)+IF(ES97&lt;&gt;"",1,0)+IF(FG97&lt;&gt;"",1,0)</x:f>
        <x:v>4</x:v>
      </x:c>
      <x:c r="AK97" s="147" t="str">
        <x:v>Silver replicating holding (LBMA/SLV proxy)</x:v>
      </x:c>
      <x:c r="AL97" s="147" t="str">
        <x:v>Physical-backed proxy</x:v>
      </x:c>
      <x:c r="AM97" s="147" t="str">
        <x:v>Long</x:v>
      </x:c>
      <x:c r="AN97" s="167" t="n">
        <x:v>1.751</x:v>
      </x:c>
      <x:c r="AO97" s="167" t="n">
        <x:v>1.758</x:v>
      </x:c>
      <x:c r="AP97" s="166" t="n">
        <x:v>0.6804126717505938</x:v>
      </x:c>
      <x:c r="AQ97" s="171" t="n">
        <x:f>IF(AK97="","",IFERROR(F97*AP97/AN97,0))</x:f>
        <x:v>0.506985074584439</x:v>
      </x:c>
      <x:c r="AR97" s="171" t="n">
        <x:f>IF(AK97="","",F97*ABS(AP97))</x:f>
        <x:v>0.8877308655973526</x:v>
      </x:c>
      <x:c r="AS97" s="165"/>
      <x:c r="AT97" s="172" t="str">
        <x:f>IF(AK97="","",IF(AS97="","",IFERROR(AN97/AS97-1,0)))</x:f>
      </x:c>
      <x:c r="AU97" s="166"/>
      <x:c r="AV97" s="172" t="str">
        <x:f>IF(AK97="","",IF(AU97="","",AU97-AT97*365/AW97))</x:f>
      </x:c>
      <x:c r="AW97" s="164"/>
      <x:c r="AX97" s="173" t="n">
        <x:f>IF(AK97="","",IFERROR(AP97*(AO97/AN97-1-'Parameters'!$C$6*C97/365),0))</x:f>
        <x:v>0.0027154359854677187</x:v>
      </x:c>
      <x:c r="AY97" s="147" t="str">
        <x:v>Matched-maturity Treasury collateral</x:v>
      </x:c>
      <x:c r="AZ97" s="147" t="str">
        <x:v>Treasury</x:v>
      </x:c>
      <x:c r="BA97" s="147" t="str">
        <x:v>Long</x:v>
      </x:c>
      <x:c r="BB97" s="167" t="n">
        <x:v>102.36164972712768</x:v>
      </x:c>
      <x:c r="BC97" s="167" t="n">
        <x:v>102.37853238826075</x:v>
      </x:c>
      <x:c r="BD97" s="166" t="n">
        <x:v>0.31958732824940606</x:v>
      </x:c>
      <x:c r="BE97" s="171" t="n">
        <x:f>IF(AY97="","",IFERROR(F97*BD97/BB97,0))</x:f>
        <x:v>0.0040734388528809165</x:v>
      </x:c>
      <x:c r="BF97" s="171" t="n">
        <x:f>IF(AY97="","",F97*ABS(BD97))</x:f>
        <x:v>0.41696392104346913</x:v>
      </x:c>
      <x:c r="BG97" s="165"/>
      <x:c r="BH97" s="172" t="str">
        <x:f>IF(AY97="","",IF(BG97="","",IFERROR(BB97/BG97-1,0)))</x:f>
      </x:c>
      <x:c r="BI97" s="166"/>
      <x:c r="BJ97" s="172" t="str">
        <x:f>IF(AY97="","",IF(BI97="","",BI97-BH97*365/BK97))</x:f>
      </x:c>
      <x:c r="BK97" s="164" t="n">
        <x:v>68.00884096818316</x:v>
      </x:c>
      <x:c r="BL97" s="172" t="n">
        <x:f>IF(AY97="","",IFERROR(BD97*(BC97/BB97-1),0))</x:f>
        <x:v>0.00005271001961810491</x:v>
      </x:c>
      <x:c r="BM97" s="147" t="str">
        <x:v>SI69N</x:v>
      </x:c>
      <x:c r="BN97" s="147" t="str">
        <x:v>Silver future (regular)</x:v>
      </x:c>
      <x:c r="BO97" s="147" t="str">
        <x:v>Long</x:v>
      </x:c>
      <x:c r="BP97" s="167" t="n">
        <x:v>1.755</x:v>
      </x:c>
      <x:c r="BQ97" s="167" t="n">
        <x:v>1.761</x:v>
      </x:c>
      <x:c r="BR97" s="166" t="n">
        <x:v>0.3195394390731214</x:v>
      </x:c>
      <x:c r="BS97" s="171" t="n">
        <x:f>IF(BM97="","",IFERROR(F97*BR97/BP97,0))</x:f>
        <x:v>0.23755067822497666</x:v>
      </x:c>
      <x:c r="BT97" s="171" t="n">
        <x:f>IF(BM97="","",F97*ABS(BR97))</x:f>
        <x:v>0.416901440284834</x:v>
      </x:c>
      <x:c r="BU97" s="165" t="n">
        <x:v>1.751</x:v>
      </x:c>
      <x:c r="BV97" s="172" t="n">
        <x:f>IF(BM97="","",IF(BU97="","",IFERROR(BP97/BU97-1,0)))</x:f>
        <x:v>0.0022844089091946795</x:v>
      </x:c>
      <x:c r="BW97" s="166" t="n">
        <x:v>0.0602</x:v>
      </x:c>
      <x:c r="BX97" s="172" t="n">
        <x:f>IF(BM97="","",IF(BW97="","",BW97-BV97*365/BY97))</x:f>
        <x:v>0.04793809923741091</x:v>
      </x:c>
      <x:c r="BY97" s="164" t="n">
        <x:v>68</x:v>
      </x:c>
      <x:c r="BZ97" s="172" t="n">
        <x:f>IF(BM97="","",IFERROR(BR97*(BQ97/BP97-1),0))</x:f>
        <x:v>0.0010924425267457103</x:v>
      </x:c>
      <x:c r="CA97" s="147" t="str">
        <x:v>SI69U</x:v>
      </x:c>
      <x:c r="CB97" s="147" t="str">
        <x:v>Silver future (regular)</x:v>
      </x:c>
      <x:c r="CC97" s="147" t="str">
        <x:v>Long</x:v>
      </x:c>
      <x:c r="CD97" s="167" t="n">
        <x:v>1.787</x:v>
      </x:c>
      <x:c r="CE97" s="167" t="n">
        <x:v>1.7930000000000001</x:v>
      </x:c>
      <x:c r="CF97" s="166" t="n">
        <x:v>0.00004788917628465155</x:v>
      </x:c>
      <x:c r="CG97" s="171" t="n">
        <x:f>IF(CA97="","",IFERROR(F97*CF97/CD97,0))</x:f>
        <x:v>0.000034964050719142786</x:v>
      </x:c>
      <x:c r="CH97" s="171" t="n">
        <x:f>IF(CA97="","",F97*ABS(CF97))</x:f>
        <x:v>0.00006248075863510815</x:v>
      </x:c>
      <x:c r="CI97" s="165" t="n">
        <x:v>1.751</x:v>
      </x:c>
      <x:c r="CJ97" s="172" t="n">
        <x:f>IF(CA97="","",IF(CI97="","",IFERROR(CD97/CI97-1,0)))</x:f>
        <x:v>0.020559680182752782</x:v>
      </x:c>
      <x:c r="CK97" s="166" t="n">
        <x:v>0.060476923076923074</x:v>
      </x:c>
      <x:c r="CL97" s="172" t="n">
        <x:f>IF(CA97="","",IF(CK97="","",CK97-CJ97*365/CM97))</x:f>
        <x:v>0.0013880784572005075</x:v>
      </x:c>
      <x:c r="CM97" s="164" t="n">
        <x:v>127</x:v>
      </x:c>
      <x:c r="CN97" s="172" t="n">
        <x:f>IF(CA97="","",IFERROR(CF97*(CE97/CD97-1),0))</x:f>
        <x:v>1.607918621756703e-7</x:v>
      </x:c>
      <x:c r="CO97" s="147"/>
      <x:c r="CP97" s="147"/>
      <x:c r="CQ97" s="147"/>
      <x:c r="CR97" s="167"/>
      <x:c r="CS97" s="167"/>
      <x:c r="CT97" s="166"/>
      <x:c r="CU97" s="171" t="str">
        <x:f>IF(CO97="","",IFERROR(F97*CT97/CR97,0))</x:f>
      </x:c>
      <x:c r="CV97" s="171" t="str">
        <x:f>IF(CO97="","",F97*ABS(CT97))</x:f>
      </x:c>
      <x:c r="CW97" s="165"/>
      <x:c r="CX97" s="172" t="str">
        <x:f>IF(CO97="","",IF(CW97="","",IFERROR(CR97/CW97-1,0)))</x:f>
      </x:c>
      <x:c r="CY97" s="166"/>
      <x:c r="CZ97" s="172" t="str">
        <x:f>IF(CO97="","",IF(CY97="","",CY97-CX97*365/DA97))</x:f>
      </x:c>
      <x:c r="DA97" s="164"/>
      <x:c r="DB97" s="172" t="str">
        <x:f>IF(CO97="","",IFERROR(CT97*(CS97/CR97-1),0))</x:f>
      </x:c>
      <x:c r="DC97" s="147"/>
      <x:c r="DD97" s="147"/>
      <x:c r="DE97" s="147"/>
      <x:c r="DF97" s="167"/>
      <x:c r="DG97" s="167"/>
      <x:c r="DH97" s="166"/>
      <x:c r="DI97" s="171" t="str">
        <x:f>IF(DC97="","",IFERROR(F97*DH97/DF97,0))</x:f>
      </x:c>
      <x:c r="DJ97" s="171" t="str">
        <x:f>IF(DC97="","",F97*ABS(DH97))</x:f>
      </x:c>
      <x:c r="DK97" s="165"/>
      <x:c r="DL97" s="172" t="str">
        <x:f>IF(DC97="","",IF(DK97="","",IFERROR(DF97/DK97-1,0)))</x:f>
      </x:c>
      <x:c r="DM97" s="166"/>
      <x:c r="DN97" s="172" t="str">
        <x:f>IF(DC97="","",IF(DM97="","",DM97-DL97*365/DO97))</x:f>
      </x:c>
      <x:c r="DO97" s="164"/>
      <x:c r="DP97" s="172" t="str">
        <x:f>IF(DC97="","",IFERROR(DH97*(DG97/DF97-1),0))</x:f>
      </x:c>
      <x:c r="DQ97" s="147"/>
      <x:c r="DR97" s="147"/>
      <x:c r="DS97" s="147"/>
      <x:c r="DT97" s="167"/>
      <x:c r="DU97" s="167"/>
      <x:c r="DV97" s="166"/>
      <x:c r="DW97" s="171" t="str">
        <x:f>IF(DQ97="","",IFERROR(F97*DV97/DT97,0))</x:f>
      </x:c>
      <x:c r="DX97" s="171" t="str">
        <x:f>IF(DQ97="","",F97*ABS(DV97))</x:f>
      </x:c>
      <x:c r="DY97" s="165"/>
      <x:c r="DZ97" s="172" t="str">
        <x:f>IF(DQ97="","",IF(DY97="","",IFERROR(DT97/DY97-1,0)))</x:f>
      </x:c>
      <x:c r="EA97" s="166"/>
      <x:c r="EB97" s="172" t="str">
        <x:f>IF(DQ97="","",IF(EA97="","",EA97-DZ97*365/EC97))</x:f>
      </x:c>
      <x:c r="EC97" s="164"/>
      <x:c r="ED97" s="172" t="str">
        <x:f>IF(DQ97="","",IFERROR(DV97*(DU97/DT97-1),0))</x:f>
      </x:c>
      <x:c r="EE97" s="147"/>
      <x:c r="EF97" s="147"/>
      <x:c r="EG97" s="147"/>
      <x:c r="EH97" s="167"/>
      <x:c r="EI97" s="167"/>
      <x:c r="EJ97" s="166"/>
      <x:c r="EK97" s="171" t="str">
        <x:f>IF(EE97="","",IFERROR(F97*EJ97/EH97,0))</x:f>
      </x:c>
      <x:c r="EL97" s="171" t="str">
        <x:f>IF(EE97="","",F97*ABS(EJ97))</x:f>
      </x:c>
      <x:c r="EM97" s="165"/>
      <x:c r="EN97" s="172" t="str">
        <x:f>IF(EE97="","",IF(EM97="","",IFERROR(EH97/EM97-1,0)))</x:f>
      </x:c>
      <x:c r="EO97" s="166"/>
      <x:c r="EP97" s="172" t="str">
        <x:f>IF(EE97="","",IF(EO97="","",EO97-EN97*365/EQ97))</x:f>
      </x:c>
      <x:c r="EQ97" s="164"/>
      <x:c r="ER97" s="172" t="str">
        <x:f>IF(EE97="","",IFERROR(EJ97*(EI97/EH97-1),0))</x:f>
      </x:c>
      <x:c r="ES97" s="147"/>
      <x:c r="ET97" s="147"/>
      <x:c r="EU97" s="147"/>
      <x:c r="EV97" s="167"/>
      <x:c r="EW97" s="167"/>
      <x:c r="EX97" s="166"/>
      <x:c r="EY97" s="171" t="str">
        <x:f>IF(ES97="","",IFERROR(F97*EX97/EV97,0))</x:f>
      </x:c>
      <x:c r="EZ97" s="171" t="str">
        <x:f>IF(ES97="","",F97*ABS(EX97))</x:f>
      </x:c>
      <x:c r="FA97" s="165"/>
      <x:c r="FB97" s="172" t="str">
        <x:f>IF(ES97="","",IF(FA97="","",IFERROR(EV97/FA97-1,0)))</x:f>
      </x:c>
      <x:c r="FC97" s="166"/>
      <x:c r="FD97" s="172" t="str">
        <x:f>IF(ES97="","",IF(FC97="","",FC97-FB97*365/FE97))</x:f>
      </x:c>
      <x:c r="FE97" s="164"/>
      <x:c r="FF97" s="172" t="str">
        <x:f>IF(ES97="","",IFERROR(EX97*(EW97/EV97-1),0))</x:f>
      </x:c>
      <x:c r="FG97" s="147"/>
      <x:c r="FH97" s="147"/>
      <x:c r="FI97" s="147"/>
      <x:c r="FJ97" s="167"/>
      <x:c r="FK97" s="167"/>
      <x:c r="FL97" s="166"/>
      <x:c r="FM97" s="171" t="str">
        <x:f>IF(FG97="","",IFERROR(F97*FL97/FJ97,0))</x:f>
      </x:c>
      <x:c r="FN97" s="171" t="str">
        <x:f>IF(FG97="","",F97*ABS(FL97))</x:f>
      </x:c>
      <x:c r="FO97" s="165"/>
      <x:c r="FP97" s="172" t="str">
        <x:f>IF(FG97="","",IF(FO97="","",IFERROR(FJ97/FO97-1,0)))</x:f>
      </x:c>
      <x:c r="FQ97" s="166"/>
      <x:c r="FR97" s="172" t="str">
        <x:f>IF(FG97="","",IF(FQ97="","",FQ97-FP97*365/FS97))</x:f>
      </x:c>
      <x:c r="FS97" s="164"/>
      <x:c r="FT97" s="172" t="str">
        <x:f>IF(FG97="","",IFERROR(FL97*(FK97/FJ97-1),0))</x:f>
      </x:c>
    </x:row>
    <x:row r="98" ht="18" customHeight="1">
      <x:c r="A98" s="163" t="n">
        <x:v>25346</x:v>
      </x:c>
      <x:c r="B98" s="163" t="n">
        <x:v>25350</x:v>
      </x:c>
      <x:c r="C98" s="170" t="n">
        <x:f>B98-A98</x:f>
        <x:v>4</x:v>
      </x:c>
      <x:c r="D98" s="163" t="n">
        <x:v>25346</x:v>
      </x:c>
      <x:c r="E98" s="147" t="str">
        <x:v>positive</x:v>
      </x:c>
      <x:c r="F98" s="165" t="n">
        <x:v>1.3097318861559721</x:v>
      </x:c>
      <x:c r="G98" s="168" t="n">
        <x:v>0.011724825728645426</x:v>
      </x:c>
      <x:c r="H98" s="172" t="n">
        <x:f>SUM(AX98,BL98,BZ98,CN98,DB98,DP98,ED98,ER98,FF98,FT98)</x:f>
        <x:v>0.01172482572864539</x:v>
      </x:c>
      <x:c r="I98" s="174" t="n">
        <x:f>G98-H98</x:f>
        <x:v>3.642919299551295e-17</x:v>
      </x:c>
      <x:c r="J98" s="171" t="n">
        <x:f>F98*(1+H98)</x:f>
        <x:v>1.325088264272401</x:v>
      </x:c>
      <x:c r="K98" s="169" t="n">
        <x:v>1.3250882642724011</x:v>
      </x:c>
      <x:c r="L98" s="175" t="n">
        <x:f>K98-J98</x:f>
        <x:v>2.220446049250313e-16</x:v>
      </x:c>
      <x:c r="M98" s="167" t="n">
        <x:v>1.758</x:v>
      </x:c>
      <x:c r="N98" s="167" t="n">
        <x:v>1.783</x:v>
      </x:c>
      <x:c r="O98" s="172" t="n">
        <x:f>IFERROR(N98/M98-1,0)</x:f>
        <x:v>0.014220705346985163</x:v>
      </x:c>
      <x:c r="P98" s="171" t="n">
        <x:f>IFERROR(AD98/AH98,0)</x:f>
        <x:v>1.4587343760485758</x:v>
      </x:c>
      <x:c r="Q98" s="171" t="n">
        <x:f>IFERROR(AE98/AI98,0)</x:f>
        <x:v>1.4551445998011017</x:v>
      </x:c>
      <x:c r="R98" s="172" t="n">
        <x:f>IFERROR((Q98-P98)/(P98+S98),0)</x:f>
        <x:v>-0.0024608841105110157</x:v>
      </x:c>
      <x:c r="S98" s="172" t="n">
        <x:f>IFERROR(AF98/AH98,0)</x:f>
        <x:v>0</x:v>
      </x:c>
      <x:c r="T98" s="172" t="n">
        <x:f>IFERROR(AG98/AI98,0)</x:f>
        <x:v>0</x:v>
      </x:c>
      <x:c r="U98" s="172" t="n">
        <x:f>IFERROR((T98-S98)/(P98+S98),0)</x:f>
        <x:v>0</x:v>
      </x:c>
      <x:c r="V98" s="172" t="n">
        <x:f>R98+U98</x:f>
        <x:v>-0.0024608841105110157</x:v>
      </x:c>
      <x:c r="W98" s="172" t="n">
        <x:f>(1+O98)*(1+V98)-1</x:f>
        <x:v>0.011724825728645527</x:v>
      </x:c>
      <x:c r="X98" s="174" t="n">
        <x:f>G98-W98</x:f>
        <x:v>-1.0061396160665481e-16</x:v>
      </x:c>
      <x:c r="Y98" s="172" t="n">
        <x:f>AX98</x:f>
        <x:v>0.009386178539806122</x:v>
      </x:c>
      <x:c r="Z98" s="172" t="n">
        <x:f>BL98</x:f>
        <x:v>0.0002230713497266233</x:v>
      </x:c>
      <x:c r="AA98" s="172" t="n">
        <x:f>SUM(BZ98,CN98,DB98,DP98,ED98,ER98,FF98,FT98)</x:f>
        <x:v>0.002115575839112646</x:v>
      </x:c>
      <x:c r="AB98" s="172" t="n">
        <x:f>SUM(Y98:AA98)</x:f>
        <x:v>0.01172482572864539</x:v>
      </x:c>
      <x:c r="AC98" s="174" t="n">
        <x:f>G98-AB98</x:f>
        <x:v>3.642919299551295e-17</x:v>
      </x:c>
      <x:c r="AD98" s="169" t="n">
        <x:v>1.3097318861559737</x:v>
      </x:c>
      <x:c r="AE98" s="169" t="n">
        <x:v>1.3250882642724024</x:v>
      </x:c>
      <x:c r="AF98" s="169" t="n">
        <x:v>0</x:v>
      </x:c>
      <x:c r="AG98" s="169" t="n">
        <x:v>0</x:v>
      </x:c>
      <x:c r="AH98" s="171" t="n">
        <x:f>M98/$M$3</x:f>
        <x:v>0.8978549540347294</x:v>
      </x:c>
      <x:c r="AI98" s="171" t="n">
        <x:f>N98/$M$3</x:f>
        <x:v>0.9106230847803881</x:v>
      </x:c>
      <x:c r="AJ98" s="170" t="n">
        <x:f>IF(AK98&lt;&gt;"",1,0)+IF(AY98&lt;&gt;"",1,0)+IF(BM98&lt;&gt;"",1,0)+IF(CA98&lt;&gt;"",1,0)+IF(CO98&lt;&gt;"",1,0)+IF(DC98&lt;&gt;"",1,0)+IF(DQ98&lt;&gt;"",1,0)+IF(EE98&lt;&gt;"",1,0)+IF(ES98&lt;&gt;"",1,0)+IF(FG98&lt;&gt;"",1,0)</x:f>
        <x:v>4</x:v>
      </x:c>
      <x:c r="AK98" s="147" t="str">
        <x:v>Silver replicating holding (LBMA/SLV proxy)</x:v>
      </x:c>
      <x:c r="AL98" s="147" t="str">
        <x:v>Physical-backed proxy</x:v>
      </x:c>
      <x:c r="AM98" s="147" t="str">
        <x:v>Long</x:v>
      </x:c>
      <x:c r="AN98" s="167" t="n">
        <x:v>1.758</x:v>
      </x:c>
      <x:c r="AO98" s="167" t="n">
        <x:v>1.783</x:v>
      </x:c>
      <x:c r="AP98" s="166" t="n">
        <x:v>0.6613101387261612</x:v>
      </x:c>
      <x:c r="AQ98" s="171" t="n">
        <x:f>IF(AK98="","",IFERROR(F98*AP98/AN98,0))</x:f>
        <x:v>0.4926842863071005</x:v>
      </x:c>
      <x:c r="AR98" s="171" t="n">
        <x:f>IF(AK98="","",F98*ABS(AP98))</x:f>
        <x:v>0.8661389753278826</x:v>
      </x:c>
      <x:c r="AS98" s="165"/>
      <x:c r="AT98" s="172" t="str">
        <x:f>IF(AK98="","",IF(AS98="","",IFERROR(AN98/AS98-1,0)))</x:f>
      </x:c>
      <x:c r="AU98" s="166"/>
      <x:c r="AV98" s="172" t="str">
        <x:f>IF(AK98="","",IF(AU98="","",AU98-AT98*365/AW98))</x:f>
      </x:c>
      <x:c r="AW98" s="164"/>
      <x:c r="AX98" s="173" t="n">
        <x:f>IF(AK98="","",IFERROR(AP98*(AO98/AN98-1-'Parameters'!$C$6*C98/365),0))</x:f>
        <x:v>0.009386178539806122</x:v>
      </x:c>
      <x:c r="AY98" s="147" t="str">
        <x:v>Matched-maturity Treasury collateral</x:v>
      </x:c>
      <x:c r="AZ98" s="147" t="str">
        <x:v>Treasury</x:v>
      </x:c>
      <x:c r="BA98" s="147" t="str">
        <x:v>Long</x:v>
      </x:c>
      <x:c r="BB98" s="167" t="n">
        <x:v>102.37853238826075</x:v>
      </x:c>
      <x:c r="BC98" s="167" t="n">
        <x:v>102.44596197507208</x:v>
      </x:c>
      <x:c r="BD98" s="166" t="n">
        <x:v>0.3386898612738387</x:v>
      </x:c>
      <x:c r="BE98" s="171" t="n">
        <x:f>IF(AY98="","",IFERROR(F98*BD98/BB98,0))</x:f>
        <x:v>0.004332870382882672</x:v>
      </x:c>
      <x:c r="BF98" s="171" t="n">
        <x:f>IF(AY98="","",F98*ABS(BD98))</x:f>
        <x:v>0.4435929108280893</x:v>
      </x:c>
      <x:c r="BG98" s="165"/>
      <x:c r="BH98" s="172" t="str">
        <x:f>IF(AY98="","",IF(BG98="","",IFERROR(BB98/BG98-1,0)))</x:f>
      </x:c>
      <x:c r="BI98" s="166"/>
      <x:c r="BJ98" s="172" t="str">
        <x:f>IF(AY98="","",IF(BI98="","",BI98-BH98*365/BK98))</x:f>
      </x:c>
      <x:c r="BK98" s="164" t="n">
        <x:v>67.00878360932685</x:v>
      </x:c>
      <x:c r="BL98" s="172" t="n">
        <x:f>IF(AY98="","",IFERROR(BD98*(BC98/BB98-1),0))</x:f>
        <x:v>0.0002230713497266233</x:v>
      </x:c>
      <x:c r="BM98" s="147" t="str">
        <x:v>SI69N</x:v>
      </x:c>
      <x:c r="BN98" s="147" t="str">
        <x:v>Silver future (regular)</x:v>
      </x:c>
      <x:c r="BO98" s="147" t="str">
        <x:v>Long</x:v>
      </x:c>
      <x:c r="BP98" s="167" t="n">
        <x:v>1.761</x:v>
      </x:c>
      <x:c r="BQ98" s="167" t="n">
        <x:v>1.7719999999999998</x:v>
      </x:c>
      <x:c r="BR98" s="166" t="n">
        <x:v>0.33863943891071335</x:v>
      </x:c>
      <x:c r="BS98" s="171" t="n">
        <x:f>IF(BM98="","",IFERROR(F98*BR98/BP98,0))</x:f>
        <x:v>0.2518608012784377</x:v>
      </x:c>
      <x:c r="BT98" s="171" t="n">
        <x:f>IF(BM98="","",F98*ABS(BR98))</x:f>
        <x:v>0.4435268710513287</x:v>
      </x:c>
      <x:c r="BU98" s="165" t="n">
        <x:v>1.758</x:v>
      </x:c>
      <x:c r="BV98" s="172" t="n">
        <x:f>IF(BM98="","",IF(BU98="","",IFERROR(BP98/BU98-1,0)))</x:f>
        <x:v>0.0017064846416381396</x:v>
      </x:c>
      <x:c r="BW98" s="166" t="n">
        <x:v>0.0601</x:v>
      </x:c>
      <x:c r="BX98" s="172" t="n">
        <x:f>IF(BM98="","",IF(BW98="","",BW98-BV98*365/BY98))</x:f>
        <x:v>0.05080347919107581</x:v>
      </x:c>
      <x:c r="BY98" s="164" t="n">
        <x:v>67</x:v>
      </x:c>
      <x:c r="BZ98" s="172" t="n">
        <x:f>IF(BM98="","",IFERROR(BR98*(BQ98/BP98-1),0))</x:f>
        <x:v>0.0021152946212480315</x:v>
      </x:c>
      <x:c r="CA98" s="147" t="str">
        <x:v>SI69U</x:v>
      </x:c>
      <x:c r="CB98" s="147" t="str">
        <x:v>Silver future (regular)</x:v>
      </x:c>
      <x:c r="CC98" s="147" t="str">
        <x:v>Long</x:v>
      </x:c>
      <x:c r="CD98" s="167" t="n">
        <x:v>1.7930000000000001</x:v>
      </x:c>
      <x:c r="CE98" s="167" t="n">
        <x:v>1.8030000000000002</x:v>
      </x:c>
      <x:c r="CF98" s="166" t="n">
        <x:v>0.000050422363125345954</x:v>
      </x:c>
      <x:c r="CG98" s="171" t="n">
        <x:f>IF(CA98="","",IFERROR(F98*CF98/CD98,0))</x:f>
        <x:v>0.00003683200042420563</x:v>
      </x:c>
      <x:c r="CH98" s="171" t="n">
        <x:f>IF(CA98="","",F98*ABS(CF98))</x:f>
        <x:v>0.0000660397767606007</x:v>
      </x:c>
      <x:c r="CI98" s="165" t="n">
        <x:v>1.758</x:v>
      </x:c>
      <x:c r="CJ98" s="172" t="n">
        <x:f>IF(CA98="","",IF(CI98="","",IFERROR(CD98/CI98-1,0)))</x:f>
        <x:v>0.019908987485779406</x:v>
      </x:c>
      <x:c r="CK98" s="166" t="n">
        <x:v>0.06044615384615386</x:v>
      </x:c>
      <x:c r="CL98" s="172" t="n">
        <x:f>IF(CA98="","",IF(CK98="","",CK98-CJ98*365/CM98))</x:f>
        <x:v>0.0027732932722690715</x:v>
      </x:c>
      <x:c r="CM98" s="164" t="n">
        <x:v>126</x:v>
      </x:c>
      <x:c r="CN98" s="172" t="n">
        <x:f>IF(CA98="","",IFERROR(CF98*(CE98/CD98-1),0))</x:f>
        <x:v>2.8121786461430933e-7</x:v>
      </x:c>
      <x:c r="CO98" s="147"/>
      <x:c r="CP98" s="147"/>
      <x:c r="CQ98" s="147"/>
      <x:c r="CR98" s="167"/>
      <x:c r="CS98" s="167"/>
      <x:c r="CT98" s="166"/>
      <x:c r="CU98" s="171" t="str">
        <x:f>IF(CO98="","",IFERROR(F98*CT98/CR98,0))</x:f>
      </x:c>
      <x:c r="CV98" s="171" t="str">
        <x:f>IF(CO98="","",F98*ABS(CT98))</x:f>
      </x:c>
      <x:c r="CW98" s="165"/>
      <x:c r="CX98" s="172" t="str">
        <x:f>IF(CO98="","",IF(CW98="","",IFERROR(CR98/CW98-1,0)))</x:f>
      </x:c>
      <x:c r="CY98" s="166"/>
      <x:c r="CZ98" s="172" t="str">
        <x:f>IF(CO98="","",IF(CY98="","",CY98-CX98*365/DA98))</x:f>
      </x:c>
      <x:c r="DA98" s="164"/>
      <x:c r="DB98" s="172" t="str">
        <x:f>IF(CO98="","",IFERROR(CT98*(CS98/CR98-1),0))</x:f>
      </x:c>
      <x:c r="DC98" s="147"/>
      <x:c r="DD98" s="147"/>
      <x:c r="DE98" s="147"/>
      <x:c r="DF98" s="167"/>
      <x:c r="DG98" s="167"/>
      <x:c r="DH98" s="166"/>
      <x:c r="DI98" s="171" t="str">
        <x:f>IF(DC98="","",IFERROR(F98*DH98/DF98,0))</x:f>
      </x:c>
      <x:c r="DJ98" s="171" t="str">
        <x:f>IF(DC98="","",F98*ABS(DH98))</x:f>
      </x:c>
      <x:c r="DK98" s="165"/>
      <x:c r="DL98" s="172" t="str">
        <x:f>IF(DC98="","",IF(DK98="","",IFERROR(DF98/DK98-1,0)))</x:f>
      </x:c>
      <x:c r="DM98" s="166"/>
      <x:c r="DN98" s="172" t="str">
        <x:f>IF(DC98="","",IF(DM98="","",DM98-DL98*365/DO98))</x:f>
      </x:c>
      <x:c r="DO98" s="164"/>
      <x:c r="DP98" s="172" t="str">
        <x:f>IF(DC98="","",IFERROR(DH98*(DG98/DF98-1),0))</x:f>
      </x:c>
      <x:c r="DQ98" s="147"/>
      <x:c r="DR98" s="147"/>
      <x:c r="DS98" s="147"/>
      <x:c r="DT98" s="167"/>
      <x:c r="DU98" s="167"/>
      <x:c r="DV98" s="166"/>
      <x:c r="DW98" s="171" t="str">
        <x:f>IF(DQ98="","",IFERROR(F98*DV98/DT98,0))</x:f>
      </x:c>
      <x:c r="DX98" s="171" t="str">
        <x:f>IF(DQ98="","",F98*ABS(DV98))</x:f>
      </x:c>
      <x:c r="DY98" s="165"/>
      <x:c r="DZ98" s="172" t="str">
        <x:f>IF(DQ98="","",IF(DY98="","",IFERROR(DT98/DY98-1,0)))</x:f>
      </x:c>
      <x:c r="EA98" s="166"/>
      <x:c r="EB98" s="172" t="str">
        <x:f>IF(DQ98="","",IF(EA98="","",EA98-DZ98*365/EC98))</x:f>
      </x:c>
      <x:c r="EC98" s="164"/>
      <x:c r="ED98" s="172" t="str">
        <x:f>IF(DQ98="","",IFERROR(DV98*(DU98/DT98-1),0))</x:f>
      </x:c>
      <x:c r="EE98" s="147"/>
      <x:c r="EF98" s="147"/>
      <x:c r="EG98" s="147"/>
      <x:c r="EH98" s="167"/>
      <x:c r="EI98" s="167"/>
      <x:c r="EJ98" s="166"/>
      <x:c r="EK98" s="171" t="str">
        <x:f>IF(EE98="","",IFERROR(F98*EJ98/EH98,0))</x:f>
      </x:c>
      <x:c r="EL98" s="171" t="str">
        <x:f>IF(EE98="","",F98*ABS(EJ98))</x:f>
      </x:c>
      <x:c r="EM98" s="165"/>
      <x:c r="EN98" s="172" t="str">
        <x:f>IF(EE98="","",IF(EM98="","",IFERROR(EH98/EM98-1,0)))</x:f>
      </x:c>
      <x:c r="EO98" s="166"/>
      <x:c r="EP98" s="172" t="str">
        <x:f>IF(EE98="","",IF(EO98="","",EO98-EN98*365/EQ98))</x:f>
      </x:c>
      <x:c r="EQ98" s="164"/>
      <x:c r="ER98" s="172" t="str">
        <x:f>IF(EE98="","",IFERROR(EJ98*(EI98/EH98-1),0))</x:f>
      </x:c>
      <x:c r="ES98" s="147"/>
      <x:c r="ET98" s="147"/>
      <x:c r="EU98" s="147"/>
      <x:c r="EV98" s="167"/>
      <x:c r="EW98" s="167"/>
      <x:c r="EX98" s="166"/>
      <x:c r="EY98" s="171" t="str">
        <x:f>IF(ES98="","",IFERROR(F98*EX98/EV98,0))</x:f>
      </x:c>
      <x:c r="EZ98" s="171" t="str">
        <x:f>IF(ES98="","",F98*ABS(EX98))</x:f>
      </x:c>
      <x:c r="FA98" s="165"/>
      <x:c r="FB98" s="172" t="str">
        <x:f>IF(ES98="","",IF(FA98="","",IFERROR(EV98/FA98-1,0)))</x:f>
      </x:c>
      <x:c r="FC98" s="166"/>
      <x:c r="FD98" s="172" t="str">
        <x:f>IF(ES98="","",IF(FC98="","",FC98-FB98*365/FE98))</x:f>
      </x:c>
      <x:c r="FE98" s="164"/>
      <x:c r="FF98" s="172" t="str">
        <x:f>IF(ES98="","",IFERROR(EX98*(EW98/EV98-1),0))</x:f>
      </x:c>
      <x:c r="FG98" s="147"/>
      <x:c r="FH98" s="147"/>
      <x:c r="FI98" s="147"/>
      <x:c r="FJ98" s="167"/>
      <x:c r="FK98" s="167"/>
      <x:c r="FL98" s="166"/>
      <x:c r="FM98" s="171" t="str">
        <x:f>IF(FG98="","",IFERROR(F98*FL98/FJ98,0))</x:f>
      </x:c>
      <x:c r="FN98" s="171" t="str">
        <x:f>IF(FG98="","",F98*ABS(FL98))</x:f>
      </x:c>
      <x:c r="FO98" s="165"/>
      <x:c r="FP98" s="172" t="str">
        <x:f>IF(FG98="","",IF(FO98="","",IFERROR(FJ98/FO98-1,0)))</x:f>
      </x:c>
      <x:c r="FQ98" s="166"/>
      <x:c r="FR98" s="172" t="str">
        <x:f>IF(FG98="","",IF(FQ98="","",FQ98-FP98*365/FS98))</x:f>
      </x:c>
      <x:c r="FS98" s="164"/>
      <x:c r="FT98" s="172" t="str">
        <x:f>IF(FG98="","",IFERROR(FL98*(FK98/FJ98-1),0))</x:f>
      </x:c>
    </x:row>
    <x:row r="99" ht="18" customHeight="1">
      <x:c r="A99" s="163" t="n">
        <x:v>25350</x:v>
      </x:c>
      <x:c r="B99" s="163" t="n">
        <x:v>25351</x:v>
      </x:c>
      <x:c r="C99" s="170" t="n">
        <x:f>B99-A99</x:f>
        <x:v>1</x:v>
      </x:c>
      <x:c r="D99" s="163" t="n">
        <x:v>25350</x:v>
      </x:c>
      <x:c r="E99" s="147" t="str">
        <x:v>positive</x:v>
      </x:c>
      <x:c r="F99" s="165" t="n">
        <x:v>1.3250882642724011</x:v>
      </x:c>
      <x:c r="G99" s="168" t="n">
        <x:v>-0.0030555893654512895</x:v>
      </x:c>
      <x:c r="H99" s="172" t="n">
        <x:f>SUM(AX99,BL99,BZ99,CN99,DB99,DP99,ED99,ER99,FF99,FT99)</x:f>
        <x:v>-0.003055589365451222</x:v>
      </x:c>
      <x:c r="I99" s="174" t="n">
        <x:f>G99-H99</x:f>
        <x:v>-6.765421556309548e-17</x:v>
      </x:c>
      <x:c r="J99" s="171" t="n">
        <x:f>F99*(1+H99)</x:f>
        <x:v>1.3210393386638062</x:v>
      </x:c>
      <x:c r="K99" s="169" t="n">
        <x:v>1.3210393386638062</x:v>
      </x:c>
      <x:c r="L99" s="175" t="n">
        <x:f>K99-J99</x:f>
        <x:v>0</x:v>
      </x:c>
      <x:c r="M99" s="167" t="n">
        <x:v>1.783</x:v>
      </x:c>
      <x:c r="N99" s="167" t="n">
        <x:v>1.767</x:v>
      </x:c>
      <x:c r="O99" s="172" t="n">
        <x:f>IFERROR(N99/M99-1,0)</x:f>
        <x:v>-0.00897363993269773</x:v>
      </x:c>
      <x:c r="P99" s="171" t="n">
        <x:f>IFERROR(AD99/AH99,0)</x:f>
        <x:v>1.4551445998011017</x:v>
      </x:c>
      <x:c r="Q99" s="171" t="n">
        <x:f>IFERROR(AE99/AI99,0)</x:f>
        <x:v>1.4638341964367487</x:v>
      </x:c>
      <x:c r="R99" s="172" t="n">
        <x:f>IFERROR((Q99-P99)/(P99+S99),0)</x:f>
        <x:v>0.005971637895529286</x:v>
      </x:c>
      <x:c r="S99" s="172" t="n">
        <x:f>IFERROR(AF99/AH99,0)</x:f>
        <x:v>0</x:v>
      </x:c>
      <x:c r="T99" s="172" t="n">
        <x:f>IFERROR(AG99/AI99,0)</x:f>
        <x:v>0</x:v>
      </x:c>
      <x:c r="U99" s="172" t="n">
        <x:f>IFERROR((T99-S99)/(P99+S99),0)</x:f>
        <x:v>0</x:v>
      </x:c>
      <x:c r="V99" s="172" t="n">
        <x:f>R99+U99</x:f>
        <x:v>0.005971637895529286</x:v>
      </x:c>
      <x:c r="W99" s="172" t="n">
        <x:f>(1+O99)*(1+V99)-1</x:f>
        <x:v>-0.003055589365451472</x:v>
      </x:c>
      <x:c r="X99" s="174" t="n">
        <x:f>G99-W99</x:f>
        <x:v>1.8257964584655895e-16</x:v>
      </x:c>
      <x:c r="Y99" s="172" t="n">
        <x:f>AX99</x:f>
        <x:v>-0.0031645317146911348</x:v>
      </x:c>
      <x:c r="Z99" s="172" t="n">
        <x:f>BL99</x:f>
        <x:v>0.00010894234923991284</x:v>
      </x:c>
      <x:c r="AA99" s="172" t="n">
        <x:f>SUM(BZ99,CN99,DB99,DP99,ED99,ER99,FF99,FT99)</x:f>
        <x:v>0</x:v>
      </x:c>
      <x:c r="AB99" s="172" t="n">
        <x:f>SUM(Y99:AA99)</x:f>
        <x:v>-0.003055589365451222</x:v>
      </x:c>
      <x:c r="AC99" s="174" t="n">
        <x:f>G99-AB99</x:f>
        <x:v>-6.765421556309548e-17</x:v>
      </x:c>
      <x:c r="AD99" s="169" t="n">
        <x:v>1.3250882642724024</x:v>
      </x:c>
      <x:c r="AE99" s="169" t="n">
        <x:v>1.3210393386638073</x:v>
      </x:c>
      <x:c r="AF99" s="169" t="n">
        <x:v>0</x:v>
      </x:c>
      <x:c r="AG99" s="169" t="n">
        <x:v>0</x:v>
      </x:c>
      <x:c r="AH99" s="171" t="n">
        <x:f>M99/$M$3</x:f>
        <x:v>0.9106230847803881</x:v>
      </x:c>
      <x:c r="AI99" s="171" t="n">
        <x:f>N99/$M$3</x:f>
        <x:v>0.9024514811031664</x:v>
      </x:c>
      <x:c r="AJ99" s="170" t="n">
        <x:f>IF(AK99&lt;&gt;"",1,0)+IF(AY99&lt;&gt;"",1,0)+IF(BM99&lt;&gt;"",1,0)+IF(CA99&lt;&gt;"",1,0)+IF(CO99&lt;&gt;"",1,0)+IF(DC99&lt;&gt;"",1,0)+IF(DQ99&lt;&gt;"",1,0)+IF(EE99&lt;&gt;"",1,0)+IF(ES99&lt;&gt;"",1,0)+IF(FG99&lt;&gt;"",1,0)</x:f>
        <x:v>4</x:v>
      </x:c>
      <x:c r="AK99" s="147" t="str">
        <x:v>Silver replicating holding (LBMA/SLV proxy)</x:v>
      </x:c>
      <x:c r="AL99" s="147" t="str">
        <x:v>Physical-backed proxy</x:v>
      </x:c>
      <x:c r="AM99" s="147" t="str">
        <x:v>Long</x:v>
      </x:c>
      <x:c r="AN99" s="167" t="n">
        <x:v>1.783</x:v>
      </x:c>
      <x:c r="AO99" s="167" t="n">
        <x:v>1.767</x:v>
      </x:c>
      <x:c r="AP99" s="166" t="n">
        <x:v>0.35237854279245084</x:v>
      </x:c>
      <x:c r="AQ99" s="171" t="n">
        <x:f>IF(AK99="","",IFERROR(F99*AP99/AN99,0))</x:f>
        <x:v>0.26188035425445133</x:v>
      </x:c>
      <x:c r="AR99" s="171" t="n">
        <x:f>IF(AK99="","",F99*ABS(AP99))</x:f>
        <x:v>0.4669326716356867</x:v>
      </x:c>
      <x:c r="AS99" s="165"/>
      <x:c r="AT99" s="172" t="str">
        <x:f>IF(AK99="","",IF(AS99="","",IFERROR(AN99/AS99-1,0)))</x:f>
      </x:c>
      <x:c r="AU99" s="166"/>
      <x:c r="AV99" s="172" t="str">
        <x:f>IF(AK99="","",IF(AU99="","",AU99-AT99*365/AW99))</x:f>
      </x:c>
      <x:c r="AW99" s="164"/>
      <x:c r="AX99" s="173" t="n">
        <x:f>IF(AK99="","",IFERROR(AP99*(AO99/AN99-1-'Parameters'!$C$6*C99/365),0))</x:f>
        <x:v>-0.0031645317146911348</x:v>
      </x:c>
      <x:c r="AY99" s="147" t="str">
        <x:v>Matched-maturity Treasury collateral</x:v>
      </x:c>
      <x:c r="AZ99" s="147" t="str">
        <x:v>Treasury</x:v>
      </x:c>
      <x:c r="BA99" s="147" t="str">
        <x:v>Long</x:v>
      </x:c>
      <x:c r="BB99" s="167" t="n">
        <x:v>102.44596197507208</x:v>
      </x:c>
      <x:c r="BC99" s="167" t="n">
        <x:v>102.46319535059337</x:v>
      </x:c>
      <x:c r="BD99" s="166" t="n">
        <x:v>0.6476214572075492</x:v>
      </x:c>
      <x:c r="BE99" s="171" t="n">
        <x:f>IF(AY99="","",IFERROR(F99*BD99/BB99,0))</x:f>
        <x:v>0.008376665864541612</x:v>
      </x:c>
      <x:c r="BF99" s="171" t="n">
        <x:f>IF(AY99="","",F99*ABS(BD99))</x:f>
        <x:v>0.8581555926367144</x:v>
      </x:c>
      <x:c r="BG99" s="165"/>
      <x:c r="BH99" s="172" t="str">
        <x:f>IF(AY99="","",IF(BG99="","",IFERROR(BB99/BG99-1,0)))</x:f>
      </x:c>
      <x:c r="BI99" s="166"/>
      <x:c r="BJ99" s="172" t="str">
        <x:f>IF(AY99="","",IF(BI99="","",BI99-BH99*365/BK99))</x:f>
      </x:c>
      <x:c r="BK99" s="164" t="n">
        <x:v>63.008783609326855</x:v>
      </x:c>
      <x:c r="BL99" s="172" t="n">
        <x:f>IF(AY99="","",IFERROR(BD99*(BC99/BB99-1),0))</x:f>
        <x:v>0.00010894234923991284</x:v>
      </x:c>
      <x:c r="BM99" s="147" t="str">
        <x:v>SI69N</x:v>
      </x:c>
      <x:c r="BN99" s="147" t="str">
        <x:v>Silver future (regular)</x:v>
      </x:c>
      <x:c r="BO99" s="147" t="str">
        <x:v>Long</x:v>
      </x:c>
      <x:c r="BP99" s="167" t="n">
        <x:v>1.7719999999999998</x:v>
      </x:c>
      <x:c r="BQ99" s="167" t="n">
        <x:v>1.7719999999999998</x:v>
      </x:c>
      <x:c r="BR99" s="166" t="n">
        <x:v>0.6475250427351458</x:v>
      </x:c>
      <x:c r="BS99" s="171" t="n">
        <x:f>IF(BM99="","",IFERROR(F99*BR99/BP99,0))</x:f>
        <x:v>0.48421435380972166</x:v>
      </x:c>
      <x:c r="BT99" s="171" t="n">
        <x:f>IF(BM99="","",F99*ABS(BR99))</x:f>
        <x:v>0.8580278349508267</x:v>
      </x:c>
      <x:c r="BU99" s="165" t="n">
        <x:v>1.783</x:v>
      </x:c>
      <x:c r="BV99" s="172" t="n">
        <x:f>IF(BM99="","",IF(BU99="","",IFERROR(BP99/BU99-1,0)))</x:f>
        <x:v>-0.006169377453729696</x:v>
      </x:c>
      <x:c r="BW99" s="166" t="n">
        <x:v>0.0614</x:v>
      </x:c>
      <x:c r="BX99" s="172" t="n">
        <x:f>IF(BM99="","",IF(BW99="","",BW99-BV99*365/BY99))</x:f>
        <x:v>0.09714321858113237</x:v>
      </x:c>
      <x:c r="BY99" s="164" t="n">
        <x:v>63</x:v>
      </x:c>
      <x:c r="BZ99" s="172" t="n">
        <x:f>IF(BM99="","",IFERROR(BR99*(BQ99/BP99-1),0))</x:f>
        <x:v>0</x:v>
      </x:c>
      <x:c r="CA99" s="147" t="str">
        <x:v>SI69U</x:v>
      </x:c>
      <x:c r="CB99" s="147" t="str">
        <x:v>Silver future (regular)</x:v>
      </x:c>
      <x:c r="CC99" s="147" t="str">
        <x:v>Long</x:v>
      </x:c>
      <x:c r="CD99" s="167" t="n">
        <x:v>1.8030000000000002</x:v>
      </x:c>
      <x:c r="CE99" s="167" t="n">
        <x:v>1.8030000000000002</x:v>
      </x:c>
      <x:c r="CF99" s="166" t="n">
        <x:v>0.00009641447240336114</x:v>
      </x:c>
      <x:c r="CG99" s="171" t="n">
        <x:f>IF(CA99="","",IFERROR(F99*CF99/CD99,0))</x:f>
        <x:v>0.00007085839483511322</x:v>
      </x:c>
      <x:c r="CH99" s="171" t="n">
        <x:f>IF(CA99="","",F99*ABS(CF99))</x:f>
        <x:v>0.00012775768588770914</x:v>
      </x:c>
      <x:c r="CI99" s="165" t="n">
        <x:v>1.783</x:v>
      </x:c>
      <x:c r="CJ99" s="172" t="n">
        <x:f>IF(CA99="","",IF(CI99="","",IFERROR(CD99/CI99-1,0)))</x:f>
        <x:v>0.011217049915872357</x:v>
      </x:c>
      <x:c r="CK99" s="166" t="n">
        <x:v>0.061945054945054936</x:v>
      </x:c>
      <x:c r="CL99" s="172" t="n">
        <x:f>IF(CA99="","",IF(CK99="","",CK99-CJ99*365/CM99))</x:f>
        <x:v>0.02838584822953518</x:v>
      </x:c>
      <x:c r="CM99" s="164" t="n">
        <x:v>122</x:v>
      </x:c>
      <x:c r="CN99" s="172" t="n">
        <x:f>IF(CA99="","",IFERROR(CF99*(CE99/CD99-1),0))</x:f>
        <x:v>0</x:v>
      </x:c>
      <x:c r="CO99" s="147"/>
      <x:c r="CP99" s="147"/>
      <x:c r="CQ99" s="147"/>
      <x:c r="CR99" s="167"/>
      <x:c r="CS99" s="167"/>
      <x:c r="CT99" s="166"/>
      <x:c r="CU99" s="171" t="str">
        <x:f>IF(CO99="","",IFERROR(F99*CT99/CR99,0))</x:f>
      </x:c>
      <x:c r="CV99" s="171" t="str">
        <x:f>IF(CO99="","",F99*ABS(CT99))</x:f>
      </x:c>
      <x:c r="CW99" s="165"/>
      <x:c r="CX99" s="172" t="str">
        <x:f>IF(CO99="","",IF(CW99="","",IFERROR(CR99/CW99-1,0)))</x:f>
      </x:c>
      <x:c r="CY99" s="166"/>
      <x:c r="CZ99" s="172" t="str">
        <x:f>IF(CO99="","",IF(CY99="","",CY99-CX99*365/DA99))</x:f>
      </x:c>
      <x:c r="DA99" s="164"/>
      <x:c r="DB99" s="172" t="str">
        <x:f>IF(CO99="","",IFERROR(CT99*(CS99/CR99-1),0))</x:f>
      </x:c>
      <x:c r="DC99" s="147"/>
      <x:c r="DD99" s="147"/>
      <x:c r="DE99" s="147"/>
      <x:c r="DF99" s="167"/>
      <x:c r="DG99" s="167"/>
      <x:c r="DH99" s="166"/>
      <x:c r="DI99" s="171" t="str">
        <x:f>IF(DC99="","",IFERROR(F99*DH99/DF99,0))</x:f>
      </x:c>
      <x:c r="DJ99" s="171" t="str">
        <x:f>IF(DC99="","",F99*ABS(DH99))</x:f>
      </x:c>
      <x:c r="DK99" s="165"/>
      <x:c r="DL99" s="172" t="str">
        <x:f>IF(DC99="","",IF(DK99="","",IFERROR(DF99/DK99-1,0)))</x:f>
      </x:c>
      <x:c r="DM99" s="166"/>
      <x:c r="DN99" s="172" t="str">
        <x:f>IF(DC99="","",IF(DM99="","",DM99-DL99*365/DO99))</x:f>
      </x:c>
      <x:c r="DO99" s="164"/>
      <x:c r="DP99" s="172" t="str">
        <x:f>IF(DC99="","",IFERROR(DH99*(DG99/DF99-1),0))</x:f>
      </x:c>
      <x:c r="DQ99" s="147"/>
      <x:c r="DR99" s="147"/>
      <x:c r="DS99" s="147"/>
      <x:c r="DT99" s="167"/>
      <x:c r="DU99" s="167"/>
      <x:c r="DV99" s="166"/>
      <x:c r="DW99" s="171" t="str">
        <x:f>IF(DQ99="","",IFERROR(F99*DV99/DT99,0))</x:f>
      </x:c>
      <x:c r="DX99" s="171" t="str">
        <x:f>IF(DQ99="","",F99*ABS(DV99))</x:f>
      </x:c>
      <x:c r="DY99" s="165"/>
      <x:c r="DZ99" s="172" t="str">
        <x:f>IF(DQ99="","",IF(DY99="","",IFERROR(DT99/DY99-1,0)))</x:f>
      </x:c>
      <x:c r="EA99" s="166"/>
      <x:c r="EB99" s="172" t="str">
        <x:f>IF(DQ99="","",IF(EA99="","",EA99-DZ99*365/EC99))</x:f>
      </x:c>
      <x:c r="EC99" s="164"/>
      <x:c r="ED99" s="172" t="str">
        <x:f>IF(DQ99="","",IFERROR(DV99*(DU99/DT99-1),0))</x:f>
      </x:c>
      <x:c r="EE99" s="147"/>
      <x:c r="EF99" s="147"/>
      <x:c r="EG99" s="147"/>
      <x:c r="EH99" s="167"/>
      <x:c r="EI99" s="167"/>
      <x:c r="EJ99" s="166"/>
      <x:c r="EK99" s="171" t="str">
        <x:f>IF(EE99="","",IFERROR(F99*EJ99/EH99,0))</x:f>
      </x:c>
      <x:c r="EL99" s="171" t="str">
        <x:f>IF(EE99="","",F99*ABS(EJ99))</x:f>
      </x:c>
      <x:c r="EM99" s="165"/>
      <x:c r="EN99" s="172" t="str">
        <x:f>IF(EE99="","",IF(EM99="","",IFERROR(EH99/EM99-1,0)))</x:f>
      </x:c>
      <x:c r="EO99" s="166"/>
      <x:c r="EP99" s="172" t="str">
        <x:f>IF(EE99="","",IF(EO99="","",EO99-EN99*365/EQ99))</x:f>
      </x:c>
      <x:c r="EQ99" s="164"/>
      <x:c r="ER99" s="172" t="str">
        <x:f>IF(EE99="","",IFERROR(EJ99*(EI99/EH99-1),0))</x:f>
      </x:c>
      <x:c r="ES99" s="147"/>
      <x:c r="ET99" s="147"/>
      <x:c r="EU99" s="147"/>
      <x:c r="EV99" s="167"/>
      <x:c r="EW99" s="167"/>
      <x:c r="EX99" s="166"/>
      <x:c r="EY99" s="171" t="str">
        <x:f>IF(ES99="","",IFERROR(F99*EX99/EV99,0))</x:f>
      </x:c>
      <x:c r="EZ99" s="171" t="str">
        <x:f>IF(ES99="","",F99*ABS(EX99))</x:f>
      </x:c>
      <x:c r="FA99" s="165"/>
      <x:c r="FB99" s="172" t="str">
        <x:f>IF(ES99="","",IF(FA99="","",IFERROR(EV99/FA99-1,0)))</x:f>
      </x:c>
      <x:c r="FC99" s="166"/>
      <x:c r="FD99" s="172" t="str">
        <x:f>IF(ES99="","",IF(FC99="","",FC99-FB99*365/FE99))</x:f>
      </x:c>
      <x:c r="FE99" s="164"/>
      <x:c r="FF99" s="172" t="str">
        <x:f>IF(ES99="","",IFERROR(EX99*(EW99/EV99-1),0))</x:f>
      </x:c>
      <x:c r="FG99" s="147"/>
      <x:c r="FH99" s="147"/>
      <x:c r="FI99" s="147"/>
      <x:c r="FJ99" s="167"/>
      <x:c r="FK99" s="167"/>
      <x:c r="FL99" s="166"/>
      <x:c r="FM99" s="171" t="str">
        <x:f>IF(FG99="","",IFERROR(F99*FL99/FJ99,0))</x:f>
      </x:c>
      <x:c r="FN99" s="171" t="str">
        <x:f>IF(FG99="","",F99*ABS(FL99))</x:f>
      </x:c>
      <x:c r="FO99" s="165"/>
      <x:c r="FP99" s="172" t="str">
        <x:f>IF(FG99="","",IF(FO99="","",IFERROR(FJ99/FO99-1,0)))</x:f>
      </x:c>
      <x:c r="FQ99" s="166"/>
      <x:c r="FR99" s="172" t="str">
        <x:f>IF(FG99="","",IF(FQ99="","",FQ99-FP99*365/FS99))</x:f>
      </x:c>
      <x:c r="FS99" s="164"/>
      <x:c r="FT99" s="172" t="str">
        <x:f>IF(FG99="","",IFERROR(FL99*(FK99/FJ99-1),0))</x:f>
      </x:c>
    </x:row>
    <x:row r="100" ht="18" customHeight="1">
      <x:c r="A100" s="163" t="n">
        <x:v>25351</x:v>
      </x:c>
      <x:c r="B100" s="163" t="n">
        <x:v>25352</x:v>
      </x:c>
      <x:c r="C100" s="170" t="n">
        <x:f>B100-A100</x:f>
        <x:v>1</x:v>
      </x:c>
      <x:c r="D100" s="163" t="n">
        <x:v>25351</x:v>
      </x:c>
      <x:c r="E100" s="147" t="str">
        <x:v>positive</x:v>
      </x:c>
      <x:c r="F100" s="165" t="n">
        <x:v>1.3210393386638062</x:v>
      </x:c>
      <x:c r="G100" s="168" t="n">
        <x:v>0.002977098833741876</x:v>
      </x:c>
      <x:c r="H100" s="172" t="n">
        <x:f>SUM(AX100,BL100,BZ100,CN100,DB100,DP100,ED100,ER100,FF100,FT100)</x:f>
        <x:v>0.002977098833741855</x:v>
      </x:c>
      <x:c r="I100" s="174" t="n">
        <x:f>G100-H100</x:f>
        <x:v>2.0816681711721685e-17</x:v>
      </x:c>
      <x:c r="J100" s="171" t="n">
        <x:f>F100*(1+H100)</x:f>
        <x:v>1.3249722033382694</x:v>
      </x:c>
      <x:c r="K100" s="169" t="n">
        <x:v>1.3249722033382694</x:v>
      </x:c>
      <x:c r="L100" s="175" t="n">
        <x:f>K100-J100</x:f>
        <x:v>0</x:v>
      </x:c>
      <x:c r="M100" s="167" t="n">
        <x:v>1.767</x:v>
      </x:c>
      <x:c r="N100" s="167" t="n">
        <x:v>1.771</x:v>
      </x:c>
      <x:c r="O100" s="172" t="n">
        <x:f>IFERROR(N100/M100-1,0)</x:f>
        <x:v>0.002263723825693287</x:v>
      </x:c>
      <x:c r="P100" s="171" t="n">
        <x:f>IFERROR(AD100/AH100,0)</x:f>
        <x:v>1.4638341964367487</x:v>
      </x:c>
      <x:c r="Q100" s="171" t="n">
        <x:f>IFERROR(AE100/AI100,0)</x:f>
        <x:v>1.4648761005851687</x:v>
      </x:c>
      <x:c r="R100" s="172" t="n">
        <x:f>IFERROR((Q100-P100)/(P100+S100),0)</x:f>
        <x:v>0.000711763771440901</x:v>
      </x:c>
      <x:c r="S100" s="172" t="n">
        <x:f>IFERROR(AF100/AH100,0)</x:f>
        <x:v>0</x:v>
      </x:c>
      <x:c r="T100" s="172" t="n">
        <x:f>IFERROR(AG100/AI100,0)</x:f>
        <x:v>0</x:v>
      </x:c>
      <x:c r="U100" s="172" t="n">
        <x:f>IFERROR((T100-S100)/(P100+S100),0)</x:f>
        <x:v>0</x:v>
      </x:c>
      <x:c r="V100" s="172" t="n">
        <x:f>R100+U100</x:f>
        <x:v>0.000711763771440901</x:v>
      </x:c>
      <x:c r="W100" s="172" t="n">
        <x:f>(1+O100)*(1+V100)-1</x:f>
        <x:v>0.0029770988337418647</x:v>
      </x:c>
      <x:c r="X100" s="174" t="n">
        <x:f>G100-W100</x:f>
        <x:v>1.1275702593849246e-17</x:v>
      </x:c>
      <x:c r="Y100" s="172" t="n">
        <x:f>AX100</x:f>
        <x:v>0.0015867099414020919</x:v>
      </x:c>
      <x:c r="Z100" s="172" t="n">
        <x:f>BL100</x:f>
        <x:v>0.00004978890896362103</x:v>
      </x:c>
      <x:c r="AA100" s="172" t="n">
        <x:f>SUM(BZ100,CN100,DB100,DP100,ED100,ER100,FF100,FT100)</x:f>
        <x:v>0.0013405999833761423</x:v>
      </x:c>
      <x:c r="AB100" s="172" t="n">
        <x:f>SUM(Y100:AA100)</x:f>
        <x:v>0.002977098833741855</x:v>
      </x:c>
      <x:c r="AC100" s="174" t="n">
        <x:f>G100-AB100</x:f>
        <x:v>2.0816681711721685e-17</x:v>
      </x:c>
      <x:c r="AD100" s="169" t="n">
        <x:v>1.3210393386638073</x:v>
      </x:c>
      <x:c r="AE100" s="169" t="n">
        <x:v>1.3249722033382705</x:v>
      </x:c>
      <x:c r="AF100" s="169" t="n">
        <x:v>0</x:v>
      </x:c>
      <x:c r="AG100" s="169" t="n">
        <x:v>0</x:v>
      </x:c>
      <x:c r="AH100" s="171" t="n">
        <x:f>M100/$M$3</x:f>
        <x:v>0.9024514811031664</x:v>
      </x:c>
      <x:c r="AI100" s="171" t="n">
        <x:f>N100/$M$3</x:f>
        <x:v>0.9044943820224719</x:v>
      </x:c>
      <x:c r="AJ100" s="170" t="n">
        <x:f>IF(AK100&lt;&gt;"",1,0)+IF(AY100&lt;&gt;"",1,0)+IF(BM100&lt;&gt;"",1,0)+IF(CA100&lt;&gt;"",1,0)+IF(CO100&lt;&gt;"",1,0)+IF(DC100&lt;&gt;"",1,0)+IF(DQ100&lt;&gt;"",1,0)+IF(EE100&lt;&gt;"",1,0)+IF(ES100&lt;&gt;"",1,0)+IF(FG100&lt;&gt;"",1,0)</x:f>
        <x:v>4</x:v>
      </x:c>
      <x:c r="AK100" s="147" t="str">
        <x:v>Silver replicating holding (LBMA/SLV proxy)</x:v>
      </x:c>
      <x:c r="AL100" s="147" t="str">
        <x:v>Physical-backed proxy</x:v>
      </x:c>
      <x:c r="AM100" s="147" t="str">
        <x:v>Long</x:v>
      </x:c>
      <x:c r="AN100" s="167" t="n">
        <x:v>1.767</x:v>
      </x:c>
      <x:c r="AO100" s="167" t="n">
        <x:v>1.771</x:v>
      </x:c>
      <x:c r="AP100" s="166" t="n">
        <x:v>0.7030563435991959</x:v>
      </x:c>
      <x:c r="AQ100" s="171" t="n">
        <x:f>IF(AK100="","",IFERROR(F100*AP100/AN100,0))</x:f>
        <x:v>0.5256169140869696</x:v>
      </x:c>
      <x:c r="AR100" s="171" t="n">
        <x:f>IF(AK100="","",F100*ABS(AP100))</x:f>
        <x:v>0.9287650871916754</x:v>
      </x:c>
      <x:c r="AS100" s="165"/>
      <x:c r="AT100" s="172" t="str">
        <x:f>IF(AK100="","",IF(AS100="","",IFERROR(AN100/AS100-1,0)))</x:f>
      </x:c>
      <x:c r="AU100" s="166"/>
      <x:c r="AV100" s="172" t="str">
        <x:f>IF(AK100="","",IF(AU100="","",AU100-AT100*365/AW100))</x:f>
      </x:c>
      <x:c r="AW100" s="164"/>
      <x:c r="AX100" s="173" t="n">
        <x:f>IF(AK100="","",IFERROR(AP100*(AO100/AN100-1-'Parameters'!$C$6*C100/365),0))</x:f>
        <x:v>0.0015867099414020919</x:v>
      </x:c>
      <x:c r="AY100" s="147" t="str">
        <x:v>Matched-maturity Treasury collateral</x:v>
      </x:c>
      <x:c r="AZ100" s="147" t="str">
        <x:v>Treasury</x:v>
      </x:c>
      <x:c r="BA100" s="147" t="str">
        <x:v>Long</x:v>
      </x:c>
      <x:c r="BB100" s="167" t="n">
        <x:v>102.46319535059337</x:v>
      </x:c>
      <x:c r="BC100" s="167" t="n">
        <x:v>102.48037548088227</x:v>
      </x:c>
      <x:c r="BD100" s="166" t="n">
        <x:v>0.29694365640080417</x:v>
      </x:c>
      <x:c r="BE100" s="171" t="n">
        <x:f>IF(AY100="","",IFERROR(F100*BD100/BB100,0))</x:f>
        <x:v>0.003828440545211429</x:v>
      </x:c>
      <x:c r="BF100" s="171" t="n">
        <x:f>IF(AY100="","",F100*ABS(BD100))</x:f>
        <x:v>0.39227425147213085</x:v>
      </x:c>
      <x:c r="BG100" s="165"/>
      <x:c r="BH100" s="172" t="str">
        <x:f>IF(AY100="","",IF(BG100="","",IFERROR(BB100/BG100-1,0)))</x:f>
      </x:c>
      <x:c r="BI100" s="166"/>
      <x:c r="BJ100" s="172" t="str">
        <x:f>IF(AY100="","",IF(BI100="","",BI100-BH100*365/BK100))</x:f>
      </x:c>
      <x:c r="BK100" s="164" t="n">
        <x:v>62.00878360932685</x:v>
      </x:c>
      <x:c r="BL100" s="172" t="n">
        <x:f>IF(AY100="","",IFERROR(BD100*(BC100/BB100-1),0))</x:f>
        <x:v>0.00004978890896362103</x:v>
      </x:c>
      <x:c r="BM100" s="147" t="str">
        <x:v>SI69N</x:v>
      </x:c>
      <x:c r="BN100" s="147" t="str">
        <x:v>Silver future (regular)</x:v>
      </x:c>
      <x:c r="BO100" s="147" t="str">
        <x:v>Long</x:v>
      </x:c>
      <x:c r="BP100" s="167" t="n">
        <x:v>1.7719999999999998</x:v>
      </x:c>
      <x:c r="BQ100" s="167" t="n">
        <x:v>1.78</x:v>
      </x:c>
      <x:c r="BR100" s="166" t="n">
        <x:v>0.29689944899283954</x:v>
      </x:c>
      <x:c r="BS100" s="171" t="n">
        <x:f>IF(BM100="","",IFERROR(F100*BR100/BP100,0))</x:f>
        <x:v>0.22134077412367337</x:v>
      </x:c>
      <x:c r="BT100" s="171" t="n">
        <x:f>IF(BM100="","",F100*ABS(BR100))</x:f>
        <x:v>0.3922158517471492</x:v>
      </x:c>
      <x:c r="BU100" s="165" t="n">
        <x:v>1.767</x:v>
      </x:c>
      <x:c r="BV100" s="172" t="n">
        <x:f>IF(BM100="","",IF(BU100="","",IFERROR(BP100/BU100-1,0)))</x:f>
        <x:v>0.0028296547821164975</x:v>
      </x:c>
      <x:c r="BW100" s="166" t="n">
        <x:v>0.061200000000000004</x:v>
      </x:c>
      <x:c r="BX100" s="172" t="n">
        <x:f>IF(BM100="","",IF(BW100="","",BW100-BV100*365/BY100))</x:f>
        <x:v>0.04454154846012062</x:v>
      </x:c>
      <x:c r="BY100" s="164" t="n">
        <x:v>62</x:v>
      </x:c>
      <x:c r="BZ100" s="172" t="n">
        <x:f>IF(BM100="","",IFERROR(BR100*(BQ100/BP100-1),0))</x:f>
        <x:v>0.0013404038329248296</x:v>
      </x:c>
      <x:c r="CA100" s="147" t="str">
        <x:v>SI69U</x:v>
      </x:c>
      <x:c r="CB100" s="147" t="str">
        <x:v>Silver future (regular)</x:v>
      </x:c>
      <x:c r="CC100" s="147" t="str">
        <x:v>Long</x:v>
      </x:c>
      <x:c r="CD100" s="167" t="n">
        <x:v>1.8030000000000002</x:v>
      </x:c>
      <x:c r="CE100" s="167" t="n">
        <x:v>1.811</x:v>
      </x:c>
      <x:c r="CF100" s="166" t="n">
        <x:v>0.00004420740796460868</x:v>
      </x:c>
      <x:c r="CG100" s="171" t="n">
        <x:f>IF(CA100="","",IFERROR(F100*CF100/CD100,0))</x:f>
        <x:v>0.00003239030781009857</x:v>
      </x:c>
      <x:c r="CH100" s="171" t="n">
        <x:f>IF(CA100="","",F100*ABS(CF100))</x:f>
        <x:v>0.00005839972498160773</x:v>
      </x:c>
      <x:c r="CI100" s="165" t="n">
        <x:v>1.767</x:v>
      </x:c>
      <x:c r="CJ100" s="172" t="n">
        <x:f>IF(CA100="","",IF(CI100="","",IFERROR(CD100/CI100-1,0)))</x:f>
        <x:v>0.02037351443123958</x:v>
      </x:c>
      <x:c r="CK100" s="166" t="n">
        <x:v>0.06182637362637364</x:v>
      </x:c>
      <x:c r="CL100" s="172" t="n">
        <x:f>IF(CA100="","",IF(CK100="","",CK100-CJ100*365/CM100))</x:f>
        <x:v>0.0003690780280063005</x:v>
      </x:c>
      <x:c r="CM100" s="164" t="n">
        <x:v>121</x:v>
      </x:c>
      <x:c r="CN100" s="172" t="n">
        <x:f>IF(CA100="","",IFERROR(CF100*(CE100/CD100-1),0))</x:f>
        <x:v>1.9615045131272958e-7</x:v>
      </x:c>
      <x:c r="CO100" s="147"/>
      <x:c r="CP100" s="147"/>
      <x:c r="CQ100" s="147"/>
      <x:c r="CR100" s="167"/>
      <x:c r="CS100" s="167"/>
      <x:c r="CT100" s="166"/>
      <x:c r="CU100" s="171" t="str">
        <x:f>IF(CO100="","",IFERROR(F100*CT100/CR100,0))</x:f>
      </x:c>
      <x:c r="CV100" s="171" t="str">
        <x:f>IF(CO100="","",F100*ABS(CT100))</x:f>
      </x:c>
      <x:c r="CW100" s="165"/>
      <x:c r="CX100" s="172" t="str">
        <x:f>IF(CO100="","",IF(CW100="","",IFERROR(CR100/CW100-1,0)))</x:f>
      </x:c>
      <x:c r="CY100" s="166"/>
      <x:c r="CZ100" s="172" t="str">
        <x:f>IF(CO100="","",IF(CY100="","",CY100-CX100*365/DA100))</x:f>
      </x:c>
      <x:c r="DA100" s="164"/>
      <x:c r="DB100" s="172" t="str">
        <x:f>IF(CO100="","",IFERROR(CT100*(CS100/CR100-1),0))</x:f>
      </x:c>
      <x:c r="DC100" s="147"/>
      <x:c r="DD100" s="147"/>
      <x:c r="DE100" s="147"/>
      <x:c r="DF100" s="167"/>
      <x:c r="DG100" s="167"/>
      <x:c r="DH100" s="166"/>
      <x:c r="DI100" s="171" t="str">
        <x:f>IF(DC100="","",IFERROR(F100*DH100/DF100,0))</x:f>
      </x:c>
      <x:c r="DJ100" s="171" t="str">
        <x:f>IF(DC100="","",F100*ABS(DH100))</x:f>
      </x:c>
      <x:c r="DK100" s="165"/>
      <x:c r="DL100" s="172" t="str">
        <x:f>IF(DC100="","",IF(DK100="","",IFERROR(DF100/DK100-1,0)))</x:f>
      </x:c>
      <x:c r="DM100" s="166"/>
      <x:c r="DN100" s="172" t="str">
        <x:f>IF(DC100="","",IF(DM100="","",DM100-DL100*365/DO100))</x:f>
      </x:c>
      <x:c r="DO100" s="164"/>
      <x:c r="DP100" s="172" t="str">
        <x:f>IF(DC100="","",IFERROR(DH100*(DG100/DF100-1),0))</x:f>
      </x:c>
      <x:c r="DQ100" s="147"/>
      <x:c r="DR100" s="147"/>
      <x:c r="DS100" s="147"/>
      <x:c r="DT100" s="167"/>
      <x:c r="DU100" s="167"/>
      <x:c r="DV100" s="166"/>
      <x:c r="DW100" s="171" t="str">
        <x:f>IF(DQ100="","",IFERROR(F100*DV100/DT100,0))</x:f>
      </x:c>
      <x:c r="DX100" s="171" t="str">
        <x:f>IF(DQ100="","",F100*ABS(DV100))</x:f>
      </x:c>
      <x:c r="DY100" s="165"/>
      <x:c r="DZ100" s="172" t="str">
        <x:f>IF(DQ100="","",IF(DY100="","",IFERROR(DT100/DY100-1,0)))</x:f>
      </x:c>
      <x:c r="EA100" s="166"/>
      <x:c r="EB100" s="172" t="str">
        <x:f>IF(DQ100="","",IF(EA100="","",EA100-DZ100*365/EC100))</x:f>
      </x:c>
      <x:c r="EC100" s="164"/>
      <x:c r="ED100" s="172" t="str">
        <x:f>IF(DQ100="","",IFERROR(DV100*(DU100/DT100-1),0))</x:f>
      </x:c>
      <x:c r="EE100" s="147"/>
      <x:c r="EF100" s="147"/>
      <x:c r="EG100" s="147"/>
      <x:c r="EH100" s="167"/>
      <x:c r="EI100" s="167"/>
      <x:c r="EJ100" s="166"/>
      <x:c r="EK100" s="171" t="str">
        <x:f>IF(EE100="","",IFERROR(F100*EJ100/EH100,0))</x:f>
      </x:c>
      <x:c r="EL100" s="171" t="str">
        <x:f>IF(EE100="","",F100*ABS(EJ100))</x:f>
      </x:c>
      <x:c r="EM100" s="165"/>
      <x:c r="EN100" s="172" t="str">
        <x:f>IF(EE100="","",IF(EM100="","",IFERROR(EH100/EM100-1,0)))</x:f>
      </x:c>
      <x:c r="EO100" s="166"/>
      <x:c r="EP100" s="172" t="str">
        <x:f>IF(EE100="","",IF(EO100="","",EO100-EN100*365/EQ100))</x:f>
      </x:c>
      <x:c r="EQ100" s="164"/>
      <x:c r="ER100" s="172" t="str">
        <x:f>IF(EE100="","",IFERROR(EJ100*(EI100/EH100-1),0))</x:f>
      </x:c>
      <x:c r="ES100" s="147"/>
      <x:c r="ET100" s="147"/>
      <x:c r="EU100" s="147"/>
      <x:c r="EV100" s="167"/>
      <x:c r="EW100" s="167"/>
      <x:c r="EX100" s="166"/>
      <x:c r="EY100" s="171" t="str">
        <x:f>IF(ES100="","",IFERROR(F100*EX100/EV100,0))</x:f>
      </x:c>
      <x:c r="EZ100" s="171" t="str">
        <x:f>IF(ES100="","",F100*ABS(EX100))</x:f>
      </x:c>
      <x:c r="FA100" s="165"/>
      <x:c r="FB100" s="172" t="str">
        <x:f>IF(ES100="","",IF(FA100="","",IFERROR(EV100/FA100-1,0)))</x:f>
      </x:c>
      <x:c r="FC100" s="166"/>
      <x:c r="FD100" s="172" t="str">
        <x:f>IF(ES100="","",IF(FC100="","",FC100-FB100*365/FE100))</x:f>
      </x:c>
      <x:c r="FE100" s="164"/>
      <x:c r="FF100" s="172" t="str">
        <x:f>IF(ES100="","",IFERROR(EX100*(EW100/EV100-1),0))</x:f>
      </x:c>
      <x:c r="FG100" s="147"/>
      <x:c r="FH100" s="147"/>
      <x:c r="FI100" s="147"/>
      <x:c r="FJ100" s="167"/>
      <x:c r="FK100" s="167"/>
      <x:c r="FL100" s="166"/>
      <x:c r="FM100" s="171" t="str">
        <x:f>IF(FG100="","",IFERROR(F100*FL100/FJ100,0))</x:f>
      </x:c>
      <x:c r="FN100" s="171" t="str">
        <x:f>IF(FG100="","",F100*ABS(FL100))</x:f>
      </x:c>
      <x:c r="FO100" s="165"/>
      <x:c r="FP100" s="172" t="str">
        <x:f>IF(FG100="","",IF(FO100="","",IFERROR(FJ100/FO100-1,0)))</x:f>
      </x:c>
      <x:c r="FQ100" s="166"/>
      <x:c r="FR100" s="172" t="str">
        <x:f>IF(FG100="","",IF(FQ100="","",FQ100-FP100*365/FS100))</x:f>
      </x:c>
      <x:c r="FS100" s="164"/>
      <x:c r="FT100" s="172" t="str">
        <x:f>IF(FG100="","",IFERROR(FL100*(FK100/FJ100-1),0))</x:f>
      </x:c>
    </x:row>
    <x:row r="101" ht="18" customHeight="1">
      <x:c r="A101" s="163" t="n">
        <x:v>25352</x:v>
      </x:c>
      <x:c r="B101" s="163" t="n">
        <x:v>25356</x:v>
      </x:c>
      <x:c r="C101" s="170" t="n">
        <x:f>B101-A101</x:f>
        <x:v>4</x:v>
      </x:c>
      <x:c r="D101" s="163" t="n">
        <x:v>25352</x:v>
      </x:c>
      <x:c r="E101" s="147" t="str">
        <x:v>positive</x:v>
      </x:c>
      <x:c r="F101" s="165" t="n">
        <x:v>1.3249722033382694</x:v>
      </x:c>
      <x:c r="G101" s="168" t="n">
        <x:v>0.0008998203370215309</x:v>
      </x:c>
      <x:c r="H101" s="172" t="n">
        <x:f>SUM(AX101,BL101,BZ101,CN101,DB101,DP101,ED101,ER101,FF101,FT101)</x:f>
        <x:v>0.0008998203370215074</x:v>
      </x:c>
      <x:c r="I101" s="174" t="n">
        <x:f>G101-H101</x:f>
        <x:v>2.3418766925686896e-17</x:v>
      </x:c>
      <x:c r="J101" s="171" t="n">
        <x:f>F101*(1+H101)</x:f>
        <x:v>1.3261644402728212</x:v>
      </x:c>
      <x:c r="K101" s="169" t="n">
        <x:v>1.3261644402728214</x:v>
      </x:c>
      <x:c r="L101" s="175" t="n">
        <x:f>K101-J101</x:f>
        <x:v>2.220446049250313e-16</x:v>
      </x:c>
      <x:c r="M101" s="167" t="n">
        <x:v>1.771</x:v>
      </x:c>
      <x:c r="N101" s="167" t="n">
        <x:v>1.773</x:v>
      </x:c>
      <x:c r="O101" s="172" t="n">
        <x:f>IFERROR(N101/M101-1,0)</x:f>
        <x:v>0.0011293054771315258</x:v>
      </x:c>
      <x:c r="P101" s="171" t="n">
        <x:f>IFERROR(AD101/AH101,0)</x:f>
        <x:v>1.4648761005851687</x:v>
      </x:c>
      <x:c r="Q101" s="171" t="n">
        <x:f>IFERROR(AE101/AI101,0)</x:f>
        <x:v>1.4645403124953111</x:v>
      </x:c>
      <x:c r="R101" s="172" t="n">
        <x:f>IFERROR((Q101-P101)/(P101+S101),0)</x:f>
        <x:v>-0.0002292262736237101</x:v>
      </x:c>
      <x:c r="S101" s="172" t="n">
        <x:f>IFERROR(AF101/AH101,0)</x:f>
        <x:v>0</x:v>
      </x:c>
      <x:c r="T101" s="172" t="n">
        <x:f>IFERROR(AG101/AI101,0)</x:f>
        <x:v>0</x:v>
      </x:c>
      <x:c r="U101" s="172" t="n">
        <x:f>IFERROR((T101-S101)/(P101+S101),0)</x:f>
        <x:v>0</x:v>
      </x:c>
      <x:c r="V101" s="172" t="n">
        <x:f>R101+U101</x:f>
        <x:v>-0.0002292262736237101</x:v>
      </x:c>
      <x:c r="W101" s="172" t="n">
        <x:f>(1+O101)*(1+V101)-1</x:f>
        <x:v>0.0008998203370214064</x:v>
      </x:c>
      <x:c r="X101" s="174" t="n">
        <x:f>G101-W101</x:f>
        <x:v>1.244664094013359e-16</x:v>
      </x:c>
      <x:c r="Y101" s="172" t="n">
        <x:f>AX101</x:f>
        <x:v>0.0008786464679519369</x:v>
      </x:c>
      <x:c r="Z101" s="172" t="n">
        <x:f>BL101</x:f>
        <x:v>0.0001350018149043616</x:v>
      </x:c>
      <x:c r="AA101" s="172" t="n">
        <x:f>SUM(BZ101,CN101,DB101,DP101,ED101,ER101,FF101,FT101)</x:f>
        <x:v>-0.00011382794583479106</x:v>
      </x:c>
      <x:c r="AB101" s="172" t="n">
        <x:f>SUM(Y101:AA101)</x:f>
        <x:v>0.0008998203370215074</x:v>
      </x:c>
      <x:c r="AC101" s="174" t="n">
        <x:f>G101-AB101</x:f>
        <x:v>2.3418766925686896e-17</x:v>
      </x:c>
      <x:c r="AD101" s="169" t="n">
        <x:v>1.3249722033382705</x:v>
      </x:c>
      <x:c r="AE101" s="169" t="n">
        <x:v>1.3261644402728225</x:v>
      </x:c>
      <x:c r="AF101" s="169" t="n">
        <x:v>0</x:v>
      </x:c>
      <x:c r="AG101" s="169" t="n">
        <x:v>0</x:v>
      </x:c>
      <x:c r="AH101" s="171" t="n">
        <x:f>M101/$M$3</x:f>
        <x:v>0.9044943820224719</x:v>
      </x:c>
      <x:c r="AI101" s="171" t="n">
        <x:f>N101/$M$3</x:f>
        <x:v>0.9055158324821246</x:v>
      </x:c>
      <x:c r="AJ101" s="170" t="n">
        <x:f>IF(AK101&lt;&gt;"",1,0)+IF(AY101&lt;&gt;"",1,0)+IF(BM101&lt;&gt;"",1,0)+IF(CA101&lt;&gt;"",1,0)+IF(CO101&lt;&gt;"",1,0)+IF(DC101&lt;&gt;"",1,0)+IF(DQ101&lt;&gt;"",1,0)+IF(EE101&lt;&gt;"",1,0)+IF(ES101&lt;&gt;"",1,0)+IF(FG101&lt;&gt;"",1,0)</x:f>
        <x:v>3</x:v>
      </x:c>
      <x:c r="AK101" s="147" t="str">
        <x:v>Silver replicating holding (LBMA/SLV proxy)</x:v>
      </x:c>
      <x:c r="AL101" s="147" t="str">
        <x:v>Physical-backed proxy</x:v>
      </x:c>
      <x:c r="AM101" s="147" t="str">
        <x:v>Long</x:v>
      </x:c>
      <x:c r="AN101" s="167" t="n">
        <x:v>1.771</x:v>
      </x:c>
      <x:c r="AO101" s="167" t="n">
        <x:v>1.773</x:v>
      </x:c>
      <x:c r="AP101" s="166" t="n">
        <x:v>0.7973862564140604</x:v>
      </x:c>
      <x:c r="AQ101" s="171" t="n">
        <x:f>IF(AK101="","",IFERROR(F101*AP101/AN101,0))</x:f>
        <x:v>0.5965638763820394</x:v>
      </x:c>
      <x:c r="AR101" s="171" t="n">
        <x:f>IF(AK101="","",F101*ABS(AP101))</x:f>
        <x:v>1.0565146250725919</x:v>
      </x:c>
      <x:c r="AS101" s="165"/>
      <x:c r="AT101" s="172" t="str">
        <x:f>IF(AK101="","",IF(AS101="","",IFERROR(AN101/AS101-1,0)))</x:f>
      </x:c>
      <x:c r="AU101" s="166"/>
      <x:c r="AV101" s="172" t="str">
        <x:f>IF(AK101="","",IF(AU101="","",AU101-AT101*365/AW101))</x:f>
      </x:c>
      <x:c r="AW101" s="164"/>
      <x:c r="AX101" s="173" t="n">
        <x:f>IF(AK101="","",IFERROR(AP101*(AO101/AN101-1-'Parameters'!$C$6*C101/365),0))</x:f>
        <x:v>0.0008786464679519369</x:v>
      </x:c>
      <x:c r="AY101" s="147" t="str">
        <x:v>Matched-maturity Treasury collateral</x:v>
      </x:c>
      <x:c r="AZ101" s="147" t="str">
        <x:v>Treasury</x:v>
      </x:c>
      <x:c r="BA101" s="147" t="str">
        <x:v>Long</x:v>
      </x:c>
      <x:c r="BB101" s="167" t="n">
        <x:v>102.48037548088227</x:v>
      </x:c>
      <x:c r="BC101" s="167" t="n">
        <x:v>102.54865829544926</x:v>
      </x:c>
      <x:c r="BD101" s="166" t="n">
        <x:v>0.2026137435859396</x:v>
      </x:c>
      <x:c r="BE101" s="171" t="n">
        <x:f>IF(AY101="","",IFERROR(F101*BD101/BB101,0))</x:f>
        <x:v>0.0026195998697892972</x:v>
      </x:c>
      <x:c r="BF101" s="171" t="n">
        <x:f>IF(AY101="","",F101*ABS(BD101))</x:f>
        <x:v>0.2684575782656775</x:v>
      </x:c>
      <x:c r="BG101" s="165"/>
      <x:c r="BH101" s="172" t="str">
        <x:f>IF(AY101="","",IF(BG101="","",IFERROR(BB101/BG101-1,0)))</x:f>
      </x:c>
      <x:c r="BI101" s="166"/>
      <x:c r="BJ101" s="172" t="str">
        <x:f>IF(AY101="","",IF(BI101="","",BI101-BH101*365/BK101))</x:f>
      </x:c>
      <x:c r="BK101" s="164" t="n">
        <x:v>61</x:v>
      </x:c>
      <x:c r="BL101" s="172" t="n">
        <x:f>IF(AY101="","",IFERROR(BD101*(BC101/BB101-1),0))</x:f>
        <x:v>0.0001350018149043616</x:v>
      </x:c>
      <x:c r="BM101" s="147" t="str">
        <x:v>SI69N</x:v>
      </x:c>
      <x:c r="BN101" s="147" t="str">
        <x:v>Silver future (regular)</x:v>
      </x:c>
      <x:c r="BO101" s="147" t="str">
        <x:v>Long</x:v>
      </x:c>
      <x:c r="BP101" s="167" t="n">
        <x:v>1.78</x:v>
      </x:c>
      <x:c r="BQ101" s="167" t="n">
        <x:v>1.7790000000000001</x:v>
      </x:c>
      <x:c r="BR101" s="166" t="n">
        <x:v>0.2026137435859396</x:v>
      </x:c>
      <x:c r="BS101" s="171" t="n">
        <x:f>IF(BM101="","",IFERROR(F101*BR101/BP101,0))</x:f>
        <x:v>0.15081886419420085</x:v>
      </x:c>
      <x:c r="BT101" s="171" t="n">
        <x:f>IF(BM101="","",F101*ABS(BR101))</x:f>
        <x:v>0.2684575782656775</x:v>
      </x:c>
      <x:c r="BU101" s="165" t="n">
        <x:v>1.771</x:v>
      </x:c>
      <x:c r="BV101" s="172" t="n">
        <x:f>IF(BM101="","",IF(BU101="","",IFERROR(BP101/BU101-1,0)))</x:f>
        <x:v>0.005081874647092199</x:v>
      </x:c>
      <x:c r="BW101" s="166" t="n">
        <x:v>0.0608</x:v>
      </x:c>
      <x:c r="BX101" s="172" t="n">
        <x:f>IF(BM101="","",IF(BW101="","",BW101-BV101*365/BY101))</x:f>
        <x:v>0.030392061537890938</x:v>
      </x:c>
      <x:c r="BY101" s="164" t="n">
        <x:v>61</x:v>
      </x:c>
      <x:c r="BZ101" s="172" t="n">
        <x:f>IF(BM101="","",IFERROR(BR101*(BQ101/BP101-1),0))</x:f>
        <x:v>-0.00011382794583479106</x:v>
      </x:c>
      <x:c r="CA101" s="147"/>
      <x:c r="CB101" s="147"/>
      <x:c r="CC101" s="147"/>
      <x:c r="CD101" s="167"/>
      <x:c r="CE101" s="167"/>
      <x:c r="CF101" s="166"/>
      <x:c r="CG101" s="171" t="str">
        <x:f>IF(CA101="","",IFERROR(F101*CF101/CD101,0))</x:f>
      </x:c>
      <x:c r="CH101" s="171" t="str">
        <x:f>IF(CA101="","",F101*ABS(CF101))</x:f>
      </x:c>
      <x:c r="CI101" s="165"/>
      <x:c r="CJ101" s="172" t="str">
        <x:f>IF(CA101="","",IF(CI101="","",IFERROR(CD101/CI101-1,0)))</x:f>
      </x:c>
      <x:c r="CK101" s="166"/>
      <x:c r="CL101" s="172" t="str">
        <x:f>IF(CA101="","",IF(CK101="","",CK101-CJ101*365/CM101))</x:f>
      </x:c>
      <x:c r="CM101" s="164"/>
      <x:c r="CN101" s="172" t="str">
        <x:f>IF(CA101="","",IFERROR(CF101*(CE101/CD101-1),0))</x:f>
      </x:c>
      <x:c r="CO101" s="147"/>
      <x:c r="CP101" s="147"/>
      <x:c r="CQ101" s="147"/>
      <x:c r="CR101" s="167"/>
      <x:c r="CS101" s="167"/>
      <x:c r="CT101" s="166"/>
      <x:c r="CU101" s="171" t="str">
        <x:f>IF(CO101="","",IFERROR(F101*CT101/CR101,0))</x:f>
      </x:c>
      <x:c r="CV101" s="171" t="str">
        <x:f>IF(CO101="","",F101*ABS(CT101))</x:f>
      </x:c>
      <x:c r="CW101" s="165"/>
      <x:c r="CX101" s="172" t="str">
        <x:f>IF(CO101="","",IF(CW101="","",IFERROR(CR101/CW101-1,0)))</x:f>
      </x:c>
      <x:c r="CY101" s="166"/>
      <x:c r="CZ101" s="172" t="str">
        <x:f>IF(CO101="","",IF(CY101="","",CY101-CX101*365/DA101))</x:f>
      </x:c>
      <x:c r="DA101" s="164"/>
      <x:c r="DB101" s="172" t="str">
        <x:f>IF(CO101="","",IFERROR(CT101*(CS101/CR101-1),0))</x:f>
      </x:c>
      <x:c r="DC101" s="147"/>
      <x:c r="DD101" s="147"/>
      <x:c r="DE101" s="147"/>
      <x:c r="DF101" s="167"/>
      <x:c r="DG101" s="167"/>
      <x:c r="DH101" s="166"/>
      <x:c r="DI101" s="171" t="str">
        <x:f>IF(DC101="","",IFERROR(F101*DH101/DF101,0))</x:f>
      </x:c>
      <x:c r="DJ101" s="171" t="str">
        <x:f>IF(DC101="","",F101*ABS(DH101))</x:f>
      </x:c>
      <x:c r="DK101" s="165"/>
      <x:c r="DL101" s="172" t="str">
        <x:f>IF(DC101="","",IF(DK101="","",IFERROR(DF101/DK101-1,0)))</x:f>
      </x:c>
      <x:c r="DM101" s="166"/>
      <x:c r="DN101" s="172" t="str">
        <x:f>IF(DC101="","",IF(DM101="","",DM101-DL101*365/DO101))</x:f>
      </x:c>
      <x:c r="DO101" s="164"/>
      <x:c r="DP101" s="172" t="str">
        <x:f>IF(DC101="","",IFERROR(DH101*(DG101/DF101-1),0))</x:f>
      </x:c>
      <x:c r="DQ101" s="147"/>
      <x:c r="DR101" s="147"/>
      <x:c r="DS101" s="147"/>
      <x:c r="DT101" s="167"/>
      <x:c r="DU101" s="167"/>
      <x:c r="DV101" s="166"/>
      <x:c r="DW101" s="171" t="str">
        <x:f>IF(DQ101="","",IFERROR(F101*DV101/DT101,0))</x:f>
      </x:c>
      <x:c r="DX101" s="171" t="str">
        <x:f>IF(DQ101="","",F101*ABS(DV101))</x:f>
      </x:c>
      <x:c r="DY101" s="165"/>
      <x:c r="DZ101" s="172" t="str">
        <x:f>IF(DQ101="","",IF(DY101="","",IFERROR(DT101/DY101-1,0)))</x:f>
      </x:c>
      <x:c r="EA101" s="166"/>
      <x:c r="EB101" s="172" t="str">
        <x:f>IF(DQ101="","",IF(EA101="","",EA101-DZ101*365/EC101))</x:f>
      </x:c>
      <x:c r="EC101" s="164"/>
      <x:c r="ED101" s="172" t="str">
        <x:f>IF(DQ101="","",IFERROR(DV101*(DU101/DT101-1),0))</x:f>
      </x:c>
      <x:c r="EE101" s="147"/>
      <x:c r="EF101" s="147"/>
      <x:c r="EG101" s="147"/>
      <x:c r="EH101" s="167"/>
      <x:c r="EI101" s="167"/>
      <x:c r="EJ101" s="166"/>
      <x:c r="EK101" s="171" t="str">
        <x:f>IF(EE101="","",IFERROR(F101*EJ101/EH101,0))</x:f>
      </x:c>
      <x:c r="EL101" s="171" t="str">
        <x:f>IF(EE101="","",F101*ABS(EJ101))</x:f>
      </x:c>
      <x:c r="EM101" s="165"/>
      <x:c r="EN101" s="172" t="str">
        <x:f>IF(EE101="","",IF(EM101="","",IFERROR(EH101/EM101-1,0)))</x:f>
      </x:c>
      <x:c r="EO101" s="166"/>
      <x:c r="EP101" s="172" t="str">
        <x:f>IF(EE101="","",IF(EO101="","",EO101-EN101*365/EQ101))</x:f>
      </x:c>
      <x:c r="EQ101" s="164"/>
      <x:c r="ER101" s="172" t="str">
        <x:f>IF(EE101="","",IFERROR(EJ101*(EI101/EH101-1),0))</x:f>
      </x:c>
      <x:c r="ES101" s="147"/>
      <x:c r="ET101" s="147"/>
      <x:c r="EU101" s="147"/>
      <x:c r="EV101" s="167"/>
      <x:c r="EW101" s="167"/>
      <x:c r="EX101" s="166"/>
      <x:c r="EY101" s="171" t="str">
        <x:f>IF(ES101="","",IFERROR(F101*EX101/EV101,0))</x:f>
      </x:c>
      <x:c r="EZ101" s="171" t="str">
        <x:f>IF(ES101="","",F101*ABS(EX101))</x:f>
      </x:c>
      <x:c r="FA101" s="165"/>
      <x:c r="FB101" s="172" t="str">
        <x:f>IF(ES101="","",IF(FA101="","",IFERROR(EV101/FA101-1,0)))</x:f>
      </x:c>
      <x:c r="FC101" s="166"/>
      <x:c r="FD101" s="172" t="str">
        <x:f>IF(ES101="","",IF(FC101="","",FC101-FB101*365/FE101))</x:f>
      </x:c>
      <x:c r="FE101" s="164"/>
      <x:c r="FF101" s="172" t="str">
        <x:f>IF(ES101="","",IFERROR(EX101*(EW101/EV101-1),0))</x:f>
      </x:c>
      <x:c r="FG101" s="147"/>
      <x:c r="FH101" s="147"/>
      <x:c r="FI101" s="147"/>
      <x:c r="FJ101" s="167"/>
      <x:c r="FK101" s="167"/>
      <x:c r="FL101" s="166"/>
      <x:c r="FM101" s="171" t="str">
        <x:f>IF(FG101="","",IFERROR(F101*FL101/FJ101,0))</x:f>
      </x:c>
      <x:c r="FN101" s="171" t="str">
        <x:f>IF(FG101="","",F101*ABS(FL101))</x:f>
      </x:c>
      <x:c r="FO101" s="165"/>
      <x:c r="FP101" s="172" t="str">
        <x:f>IF(FG101="","",IF(FO101="","",IFERROR(FJ101/FO101-1,0)))</x:f>
      </x:c>
      <x:c r="FQ101" s="166"/>
      <x:c r="FR101" s="172" t="str">
        <x:f>IF(FG101="","",IF(FQ101="","",FQ101-FP101*365/FS101))</x:f>
      </x:c>
      <x:c r="FS101" s="164"/>
      <x:c r="FT101" s="172" t="str">
        <x:f>IF(FG101="","",IFERROR(FL101*(FK101/FJ101-1),0))</x:f>
      </x:c>
    </x:row>
    <x:row r="102" ht="18" customHeight="1">
      <x:c r="A102" s="163" t="n">
        <x:v>25356</x:v>
      </x:c>
      <x:c r="B102" s="163" t="n">
        <x:v>25357</x:v>
      </x:c>
      <x:c r="C102" s="170" t="n">
        <x:f>B102-A102</x:f>
        <x:v>1</x:v>
      </x:c>
      <x:c r="D102" s="163" t="n">
        <x:v>25356</x:v>
      </x:c>
      <x:c r="E102" s="147" t="str">
        <x:v>positive</x:v>
      </x:c>
      <x:c r="F102" s="165" t="n">
        <x:v>1.3261644402728214</x:v>
      </x:c>
      <x:c r="G102" s="168" t="n">
        <x:v>-0.004849324150807848</x:v>
      </x:c>
      <x:c r="H102" s="172" t="n">
        <x:f>SUM(AX102,BL102,BZ102,CN102,DB102,DP102,ED102,ER102,FF102,FT102)</x:f>
        <x:v>-0.0048493241508078665</x:v>
      </x:c>
      <x:c r="I102" s="174" t="n">
        <x:f>G102-H102</x:f>
        <x:v>1.8214596497756474e-17</x:v>
      </x:c>
      <x:c r="J102" s="171" t="n">
        <x:f>F102*(1+H102)</x:f>
        <x:v>1.3197334390246638</x:v>
      </x:c>
      <x:c r="K102" s="169" t="n">
        <x:v>1.3197334390246638</x:v>
      </x:c>
      <x:c r="L102" s="175" t="n">
        <x:f>K102-J102</x:f>
        <x:v>0</x:v>
      </x:c>
      <x:c r="M102" s="167" t="n">
        <x:v>1.773</x:v>
      </x:c>
      <x:c r="N102" s="167" t="n">
        <x:v>1.773</x:v>
      </x:c>
      <x:c r="O102" s="172" t="n">
        <x:f>IFERROR(N102/M102-1,0)</x:f>
        <x:v>0</x:v>
      </x:c>
      <x:c r="P102" s="171" t="n">
        <x:f>IFERROR(AD102/AH102,0)</x:f>
        <x:v>1.4645403124953111</x:v>
      </x:c>
      <x:c r="Q102" s="171" t="n">
        <x:f>IFERROR(AE102/AI102,0)</x:f>
        <x:v>1.4574382817880958</x:v>
      </x:c>
      <x:c r="R102" s="172" t="n">
        <x:f>IFERROR((Q102-P102)/(P102+S102),0)</x:f>
        <x:v>-0.00484932415080798</x:v>
      </x:c>
      <x:c r="S102" s="172" t="n">
        <x:f>IFERROR(AF102/AH102,0)</x:f>
        <x:v>0</x:v>
      </x:c>
      <x:c r="T102" s="172" t="n">
        <x:f>IFERROR(AG102/AI102,0)</x:f>
        <x:v>0</x:v>
      </x:c>
      <x:c r="U102" s="172" t="n">
        <x:f>IFERROR((T102-S102)/(P102+S102),0)</x:f>
        <x:v>0</x:v>
      </x:c>
      <x:c r="V102" s="172" t="n">
        <x:f>R102+U102</x:f>
        <x:v>-0.00484932415080798</x:v>
      </x:c>
      <x:c r="W102" s="172" t="n">
        <x:f>(1+O102)*(1+V102)-1</x:f>
        <x:v>-0.004849324150807965</x:v>
      </x:c>
      <x:c r="X102" s="174" t="n">
        <x:f>G102-W102</x:f>
        <x:v>1.1709383462843448e-16</x:v>
      </x:c>
      <x:c r="Y102" s="172" t="n">
        <x:f>AX102</x:f>
        <x:v>-0.000005044295910797444</x:v>
      </x:c>
      <x:c r="Z102" s="172" t="n">
        <x:f>BL102</x:f>
        <x:v>0.000044186868980372557</x:v>
      </x:c>
      <x:c r="AA102" s="172" t="n">
        <x:f>SUM(BZ102,CN102,DB102,DP102,ED102,ER102,FF102,FT102)</x:f>
        <x:v>-0.004888466723877442</x:v>
      </x:c>
      <x:c r="AB102" s="172" t="n">
        <x:f>SUM(Y102:AA102)</x:f>
        <x:v>-0.0048493241508078665</x:v>
      </x:c>
      <x:c r="AC102" s="174" t="n">
        <x:f>G102-AB102</x:f>
        <x:v>1.8214596497756474e-17</x:v>
      </x:c>
      <x:c r="AD102" s="169" t="n">
        <x:v>1.3261644402728225</x:v>
      </x:c>
      <x:c r="AE102" s="169" t="n">
        <x:v>1.319733439024665</x:v>
      </x:c>
      <x:c r="AF102" s="169" t="n">
        <x:v>0</x:v>
      </x:c>
      <x:c r="AG102" s="169" t="n">
        <x:v>0</x:v>
      </x:c>
      <x:c r="AH102" s="171" t="n">
        <x:f>M102/$M$3</x:f>
        <x:v>0.9055158324821246</x:v>
      </x:c>
      <x:c r="AI102" s="171" t="n">
        <x:f>N102/$M$3</x:f>
        <x:v>0.9055158324821246</x:v>
      </x:c>
      <x:c r="AJ102" s="170" t="n">
        <x:f>IF(AK102&lt;&gt;"",1,0)+IF(AY102&lt;&gt;"",1,0)+IF(BM102&lt;&gt;"",1,0)+IF(CA102&lt;&gt;"",1,0)+IF(CO102&lt;&gt;"",1,0)+IF(DC102&lt;&gt;"",1,0)+IF(DQ102&lt;&gt;"",1,0)+IF(EE102&lt;&gt;"",1,0)+IF(ES102&lt;&gt;"",1,0)+IF(FG102&lt;&gt;"",1,0)</x:f>
        <x:v>3</x:v>
      </x:c>
      <x:c r="AK102" s="147" t="str">
        <x:v>Silver replicating holding (LBMA/SLV proxy)</x:v>
      </x:c>
      <x:c r="AL102" s="147" t="str">
        <x:v>Physical-backed proxy</x:v>
      </x:c>
      <x:c r="AM102" s="147" t="str">
        <x:v>Long</x:v>
      </x:c>
      <x:c r="AN102" s="167" t="n">
        <x:v>1.773</x:v>
      </x:c>
      <x:c r="AO102" s="167" t="n">
        <x:v>1.773</x:v>
      </x:c>
      <x:c r="AP102" s="166" t="n">
        <x:v>0.7364672029764269</x:v>
      </x:c>
      <x:c r="AQ102" s="171" t="n">
        <x:f>IF(AK102="","",IFERROR(F102*AP102/AN102,0))</x:f>
        <x:v>0.5508610355411865</x:v>
      </x:c>
      <x:c r="AR102" s="171" t="n">
        <x:f>IF(AK102="","",F102*ABS(AP102))</x:f>
        <x:v>0.9766766160145235</x:v>
      </x:c>
      <x:c r="AS102" s="165"/>
      <x:c r="AT102" s="172" t="str">
        <x:f>IF(AK102="","",IF(AS102="","",IFERROR(AN102/AS102-1,0)))</x:f>
      </x:c>
      <x:c r="AU102" s="166"/>
      <x:c r="AV102" s="172" t="str">
        <x:f>IF(AK102="","",IF(AU102="","",AU102-AT102*365/AW102))</x:f>
      </x:c>
      <x:c r="AW102" s="164"/>
      <x:c r="AX102" s="173" t="n">
        <x:f>IF(AK102="","",IFERROR(AP102*(AO102/AN102-1-'Parameters'!$C$6*C102/365),0))</x:f>
        <x:v>-0.000005044295910797444</x:v>
      </x:c>
      <x:c r="AY102" s="147" t="str">
        <x:v>Matched-maturity Treasury collateral</x:v>
      </x:c>
      <x:c r="AZ102" s="147" t="str">
        <x:v>Treasury</x:v>
      </x:c>
      <x:c r="BA102" s="147" t="str">
        <x:v>Long</x:v>
      </x:c>
      <x:c r="BB102" s="167" t="n">
        <x:v>102.54865829544926</x:v>
      </x:c>
      <x:c r="BC102" s="167" t="n">
        <x:v>102.5658527554155</x:v>
      </x:c>
      <x:c r="BD102" s="166" t="n">
        <x:v>0.26353279702357313</x:v>
      </x:c>
      <x:c r="BE102" s="171" t="n">
        <x:f>IF(AY102="","",IFERROR(F102*BD102/BB102,0))</x:f>
        <x:v>0.0034080194716092833</x:v>
      </x:c>
      <x:c r="BF102" s="171" t="n">
        <x:f>IF(AY102="","",F102*ABS(BD102))</x:f>
        <x:v>0.34948782425829794</x:v>
      </x:c>
      <x:c r="BG102" s="165"/>
      <x:c r="BH102" s="172" t="str">
        <x:f>IF(AY102="","",IF(BG102="","",IFERROR(BB102/BG102-1,0)))</x:f>
      </x:c>
      <x:c r="BI102" s="166"/>
      <x:c r="BJ102" s="172" t="str">
        <x:f>IF(AY102="","",IF(BI102="","",BI102-BH102*365/BK102))</x:f>
      </x:c>
      <x:c r="BK102" s="164" t="n">
        <x:v>57</x:v>
      </x:c>
      <x:c r="BL102" s="172" t="n">
        <x:f>IF(AY102="","",IFERROR(BD102*(BC102/BB102-1),0))</x:f>
        <x:v>0.000044186868980372557</x:v>
      </x:c>
      <x:c r="BM102" s="147" t="str">
        <x:v>SI69N</x:v>
      </x:c>
      <x:c r="BN102" s="147" t="str">
        <x:v>Silver future (regular)</x:v>
      </x:c>
      <x:c r="BO102" s="147" t="str">
        <x:v>Long</x:v>
      </x:c>
      <x:c r="BP102" s="167" t="n">
        <x:v>1.7790000000000001</x:v>
      </x:c>
      <x:c r="BQ102" s="167" t="n">
        <x:v>1.746</x:v>
      </x:c>
      <x:c r="BR102" s="166" t="n">
        <x:v>0.26353279702357313</x:v>
      </x:c>
      <x:c r="BS102" s="171" t="n">
        <x:f>IF(BM102="","",IFERROR(F102*BR102/BP102,0))</x:f>
        <x:v>0.19645184050494544</x:v>
      </x:c>
      <x:c r="BT102" s="171" t="n">
        <x:f>IF(BM102="","",F102*ABS(BR102))</x:f>
        <x:v>0.34948782425829794</x:v>
      </x:c>
      <x:c r="BU102" s="165" t="n">
        <x:v>1.773</x:v>
      </x:c>
      <x:c r="BV102" s="172" t="n">
        <x:f>IF(BM102="","",IF(BU102="","",IFERROR(BP102/BU102-1,0)))</x:f>
        <x:v>0.0033840947546532885</x:v>
      </x:c>
      <x:c r="BW102" s="166" t="n">
        <x:v>0.061200000000000004</x:v>
      </x:c>
      <x:c r="BX102" s="172" t="n">
        <x:f>IF(BM102="","",IF(BW102="","",BW102-BV102*365/BY102))</x:f>
        <x:v>0.039529919553535964</x:v>
      </x:c>
      <x:c r="BY102" s="164" t="n">
        <x:v>57</x:v>
      </x:c>
      <x:c r="BZ102" s="172" t="n">
        <x:f>IF(BM102="","",IFERROR(BR102*(BQ102/BP102-1),0))</x:f>
        <x:v>-0.004888466723877442</x:v>
      </x:c>
      <x:c r="CA102" s="147"/>
      <x:c r="CB102" s="147"/>
      <x:c r="CC102" s="147"/>
      <x:c r="CD102" s="167"/>
      <x:c r="CE102" s="167"/>
      <x:c r="CF102" s="166"/>
      <x:c r="CG102" s="171" t="str">
        <x:f>IF(CA102="","",IFERROR(F102*CF102/CD102,0))</x:f>
      </x:c>
      <x:c r="CH102" s="171" t="str">
        <x:f>IF(CA102="","",F102*ABS(CF102))</x:f>
      </x:c>
      <x:c r="CI102" s="165"/>
      <x:c r="CJ102" s="172" t="str">
        <x:f>IF(CA102="","",IF(CI102="","",IFERROR(CD102/CI102-1,0)))</x:f>
      </x:c>
      <x:c r="CK102" s="166"/>
      <x:c r="CL102" s="172" t="str">
        <x:f>IF(CA102="","",IF(CK102="","",CK102-CJ102*365/CM102))</x:f>
      </x:c>
      <x:c r="CM102" s="164"/>
      <x:c r="CN102" s="172" t="str">
        <x:f>IF(CA102="","",IFERROR(CF102*(CE102/CD102-1),0))</x:f>
      </x:c>
      <x:c r="CO102" s="147"/>
      <x:c r="CP102" s="147"/>
      <x:c r="CQ102" s="147"/>
      <x:c r="CR102" s="167"/>
      <x:c r="CS102" s="167"/>
      <x:c r="CT102" s="166"/>
      <x:c r="CU102" s="171" t="str">
        <x:f>IF(CO102="","",IFERROR(F102*CT102/CR102,0))</x:f>
      </x:c>
      <x:c r="CV102" s="171" t="str">
        <x:f>IF(CO102="","",F102*ABS(CT102))</x:f>
      </x:c>
      <x:c r="CW102" s="165"/>
      <x:c r="CX102" s="172" t="str">
        <x:f>IF(CO102="","",IF(CW102="","",IFERROR(CR102/CW102-1,0)))</x:f>
      </x:c>
      <x:c r="CY102" s="166"/>
      <x:c r="CZ102" s="172" t="str">
        <x:f>IF(CO102="","",IF(CY102="","",CY102-CX102*365/DA102))</x:f>
      </x:c>
      <x:c r="DA102" s="164"/>
      <x:c r="DB102" s="172" t="str">
        <x:f>IF(CO102="","",IFERROR(CT102*(CS102/CR102-1),0))</x:f>
      </x:c>
      <x:c r="DC102" s="147"/>
      <x:c r="DD102" s="147"/>
      <x:c r="DE102" s="147"/>
      <x:c r="DF102" s="167"/>
      <x:c r="DG102" s="167"/>
      <x:c r="DH102" s="166"/>
      <x:c r="DI102" s="171" t="str">
        <x:f>IF(DC102="","",IFERROR(F102*DH102/DF102,0))</x:f>
      </x:c>
      <x:c r="DJ102" s="171" t="str">
        <x:f>IF(DC102="","",F102*ABS(DH102))</x:f>
      </x:c>
      <x:c r="DK102" s="165"/>
      <x:c r="DL102" s="172" t="str">
        <x:f>IF(DC102="","",IF(DK102="","",IFERROR(DF102/DK102-1,0)))</x:f>
      </x:c>
      <x:c r="DM102" s="166"/>
      <x:c r="DN102" s="172" t="str">
        <x:f>IF(DC102="","",IF(DM102="","",DM102-DL102*365/DO102))</x:f>
      </x:c>
      <x:c r="DO102" s="164"/>
      <x:c r="DP102" s="172" t="str">
        <x:f>IF(DC102="","",IFERROR(DH102*(DG102/DF102-1),0))</x:f>
      </x:c>
      <x:c r="DQ102" s="147"/>
      <x:c r="DR102" s="147"/>
      <x:c r="DS102" s="147"/>
      <x:c r="DT102" s="167"/>
      <x:c r="DU102" s="167"/>
      <x:c r="DV102" s="166"/>
      <x:c r="DW102" s="171" t="str">
        <x:f>IF(DQ102="","",IFERROR(F102*DV102/DT102,0))</x:f>
      </x:c>
      <x:c r="DX102" s="171" t="str">
        <x:f>IF(DQ102="","",F102*ABS(DV102))</x:f>
      </x:c>
      <x:c r="DY102" s="165"/>
      <x:c r="DZ102" s="172" t="str">
        <x:f>IF(DQ102="","",IF(DY102="","",IFERROR(DT102/DY102-1,0)))</x:f>
      </x:c>
      <x:c r="EA102" s="166"/>
      <x:c r="EB102" s="172" t="str">
        <x:f>IF(DQ102="","",IF(EA102="","",EA102-DZ102*365/EC102))</x:f>
      </x:c>
      <x:c r="EC102" s="164"/>
      <x:c r="ED102" s="172" t="str">
        <x:f>IF(DQ102="","",IFERROR(DV102*(DU102/DT102-1),0))</x:f>
      </x:c>
      <x:c r="EE102" s="147"/>
      <x:c r="EF102" s="147"/>
      <x:c r="EG102" s="147"/>
      <x:c r="EH102" s="167"/>
      <x:c r="EI102" s="167"/>
      <x:c r="EJ102" s="166"/>
      <x:c r="EK102" s="171" t="str">
        <x:f>IF(EE102="","",IFERROR(F102*EJ102/EH102,0))</x:f>
      </x:c>
      <x:c r="EL102" s="171" t="str">
        <x:f>IF(EE102="","",F102*ABS(EJ102))</x:f>
      </x:c>
      <x:c r="EM102" s="165"/>
      <x:c r="EN102" s="172" t="str">
        <x:f>IF(EE102="","",IF(EM102="","",IFERROR(EH102/EM102-1,0)))</x:f>
      </x:c>
      <x:c r="EO102" s="166"/>
      <x:c r="EP102" s="172" t="str">
        <x:f>IF(EE102="","",IF(EO102="","",EO102-EN102*365/EQ102))</x:f>
      </x:c>
      <x:c r="EQ102" s="164"/>
      <x:c r="ER102" s="172" t="str">
        <x:f>IF(EE102="","",IFERROR(EJ102*(EI102/EH102-1),0))</x:f>
      </x:c>
      <x:c r="ES102" s="147"/>
      <x:c r="ET102" s="147"/>
      <x:c r="EU102" s="147"/>
      <x:c r="EV102" s="167"/>
      <x:c r="EW102" s="167"/>
      <x:c r="EX102" s="166"/>
      <x:c r="EY102" s="171" t="str">
        <x:f>IF(ES102="","",IFERROR(F102*EX102/EV102,0))</x:f>
      </x:c>
      <x:c r="EZ102" s="171" t="str">
        <x:f>IF(ES102="","",F102*ABS(EX102))</x:f>
      </x:c>
      <x:c r="FA102" s="165"/>
      <x:c r="FB102" s="172" t="str">
        <x:f>IF(ES102="","",IF(FA102="","",IFERROR(EV102/FA102-1,0)))</x:f>
      </x:c>
      <x:c r="FC102" s="166"/>
      <x:c r="FD102" s="172" t="str">
        <x:f>IF(ES102="","",IF(FC102="","",FC102-FB102*365/FE102))</x:f>
      </x:c>
      <x:c r="FE102" s="164"/>
      <x:c r="FF102" s="172" t="str">
        <x:f>IF(ES102="","",IFERROR(EX102*(EW102/EV102-1),0))</x:f>
      </x:c>
      <x:c r="FG102" s="147"/>
      <x:c r="FH102" s="147"/>
      <x:c r="FI102" s="147"/>
      <x:c r="FJ102" s="167"/>
      <x:c r="FK102" s="167"/>
      <x:c r="FL102" s="166"/>
      <x:c r="FM102" s="171" t="str">
        <x:f>IF(FG102="","",IFERROR(F102*FL102/FJ102,0))</x:f>
      </x:c>
      <x:c r="FN102" s="171" t="str">
        <x:f>IF(FG102="","",F102*ABS(FL102))</x:f>
      </x:c>
      <x:c r="FO102" s="165"/>
      <x:c r="FP102" s="172" t="str">
        <x:f>IF(FG102="","",IF(FO102="","",IFERROR(FJ102/FO102-1,0)))</x:f>
      </x:c>
      <x:c r="FQ102" s="166"/>
      <x:c r="FR102" s="172" t="str">
        <x:f>IF(FG102="","",IF(FQ102="","",FQ102-FP102*365/FS102))</x:f>
      </x:c>
      <x:c r="FS102" s="164"/>
      <x:c r="FT102" s="172" t="str">
        <x:f>IF(FG102="","",IFERROR(FL102*(FK102/FJ102-1),0))</x:f>
      </x:c>
    </x:row>
    <x:row r="103" ht="18" customHeight="1">
      <x:c r="A103" s="163" t="n">
        <x:v>25357</x:v>
      </x:c>
      <x:c r="B103" s="163" t="n">
        <x:v>25358</x:v>
      </x:c>
      <x:c r="C103" s="170" t="n">
        <x:f>B103-A103</x:f>
        <x:v>1</x:v>
      </x:c>
      <x:c r="D103" s="163" t="n">
        <x:v>25357</x:v>
      </x:c>
      <x:c r="E103" s="147" t="str">
        <x:v>positive</x:v>
      </x:c>
      <x:c r="F103" s="165" t="n">
        <x:v>1.3197334390246638</x:v>
      </x:c>
      <x:c r="G103" s="168" t="n">
        <x:v>0.009333118046729086</x:v>
      </x:c>
      <x:c r="H103" s="172" t="n">
        <x:f>SUM(AX103,BL103,BZ103,CN103,DB103,DP103,ED103,ER103,FF103,FT103)</x:f>
        <x:v>0.009333118046729094</x:v>
      </x:c>
      <x:c r="I103" s="174" t="n">
        <x:f>G103-H103</x:f>
        <x:v>-8.673617379884035e-18</x:v>
      </x:c>
      <x:c r="J103" s="171" t="n">
        <x:f>F103*(1+H103)</x:f>
        <x:v>1.3320506670012968</x:v>
      </x:c>
      <x:c r="K103" s="169" t="n">
        <x:v>1.3320506670012968</x:v>
      </x:c>
      <x:c r="L103" s="175" t="n">
        <x:f>K103-J103</x:f>
        <x:v>0</x:v>
      </x:c>
      <x:c r="M103" s="167" t="n">
        <x:v>1.773</x:v>
      </x:c>
      <x:c r="N103" s="167" t="n">
        <x:v>1.758</x:v>
      </x:c>
      <x:c r="O103" s="172" t="n">
        <x:f>IFERROR(N103/M103-1,0)</x:f>
        <x:v>-0.008460236886632777</x:v>
      </x:c>
      <x:c r="P103" s="171" t="n">
        <x:f>IFERROR(AD103/AH103,0)</x:f>
        <x:v>1.4574382817880958</x:v>
      </x:c>
      <x:c r="Q103" s="171" t="n">
        <x:f>IFERROR(AE103/AI103,0)</x:f>
        <x:v>1.4835922673427424</x:v>
      </x:c>
      <x:c r="R103" s="172" t="n">
        <x:f>IFERROR((Q103-P103)/(P103+S103),0)</x:f>
        <x:v>0.017945175367946944</x:v>
      </x:c>
      <x:c r="S103" s="172" t="n">
        <x:f>IFERROR(AF103/AH103,0)</x:f>
        <x:v>0</x:v>
      </x:c>
      <x:c r="T103" s="172" t="n">
        <x:f>IFERROR(AG103/AI103,0)</x:f>
        <x:v>0</x:v>
      </x:c>
      <x:c r="U103" s="172" t="n">
        <x:f>IFERROR((T103-S103)/(P103+S103),0)</x:f>
        <x:v>0</x:v>
      </x:c>
      <x:c r="V103" s="172" t="n">
        <x:f>R103+U103</x:f>
        <x:v>0.017945175367946944</x:v>
      </x:c>
      <x:c r="W103" s="172" t="n">
        <x:f>(1+O103)*(1+V103)-1</x:f>
        <x:v>0.009333118046729094</x:v>
      </x:c>
      <x:c r="X103" s="174" t="n">
        <x:f>G103-W103</x:f>
        <x:v>-8.673617379884035e-18</x:v>
      </x:c>
      <x:c r="Y103" s="172" t="str">
        <x:f>AX103</x:f>
      </x:c>
      <x:c r="Z103" s="172" t="n">
        <x:f>BL103</x:f>
        <x:v>0.0001693150684931588</x:v>
      </x:c>
      <x:c r="AA103" s="172" t="n">
        <x:f>SUM(BZ103,CN103,DB103,DP103,ED103,ER103,FF103,FT103)</x:f>
        <x:v>0.009163802978235935</x:v>
      </x:c>
      <x:c r="AB103" s="172" t="n">
        <x:f>SUM(Y103:AA103)</x:f>
        <x:v>0.009333118046729094</x:v>
      </x:c>
      <x:c r="AC103" s="174" t="n">
        <x:f>G103-AB103</x:f>
        <x:v>-8.673617379884035e-18</x:v>
      </x:c>
      <x:c r="AD103" s="169" t="n">
        <x:v>1.319733439024665</x:v>
      </x:c>
      <x:c r="AE103" s="169" t="n">
        <x:v>1.332050667001298</x:v>
      </x:c>
      <x:c r="AF103" s="169" t="n">
        <x:v>0</x:v>
      </x:c>
      <x:c r="AG103" s="169" t="n">
        <x:v>0</x:v>
      </x:c>
      <x:c r="AH103" s="171" t="n">
        <x:f>M103/$M$3</x:f>
        <x:v>0.9055158324821246</x:v>
      </x:c>
      <x:c r="AI103" s="171" t="n">
        <x:f>N103/$M$3</x:f>
        <x:v>0.8978549540347294</x:v>
      </x:c>
      <x:c r="AJ103" s="170" t="n">
        <x:f>IF(AK103&lt;&gt;"",1,0)+IF(AY103&lt;&gt;"",1,0)+IF(BM103&lt;&gt;"",1,0)+IF(CA103&lt;&gt;"",1,0)+IF(CO103&lt;&gt;"",1,0)+IF(DC103&lt;&gt;"",1,0)+IF(DQ103&lt;&gt;"",1,0)+IF(EE103&lt;&gt;"",1,0)+IF(ES103&lt;&gt;"",1,0)+IF(FG103&lt;&gt;"",1,0)</x:f>
        <x:v>2</x:v>
      </x:c>
      <x:c r="AK103" s="147"/>
      <x:c r="AL103" s="147"/>
      <x:c r="AM103" s="147"/>
      <x:c r="AN103" s="167"/>
      <x:c r="AO103" s="167"/>
      <x:c r="AP103" s="166"/>
      <x:c r="AQ103" s="171" t="str">
        <x:f>IF(AK103="","",IFERROR(F103*AP103/AN103,0))</x:f>
      </x:c>
      <x:c r="AR103" s="171" t="str">
        <x:f>IF(AK103="","",F103*ABS(AP103))</x:f>
      </x:c>
      <x:c r="AS103" s="165"/>
      <x:c r="AT103" s="172" t="str">
        <x:f>IF(AK103="","",IF(AS103="","",IFERROR(AN103/AS103-1,0)))</x:f>
      </x:c>
      <x:c r="AU103" s="166"/>
      <x:c r="AV103" s="172" t="str">
        <x:f>IF(AK103="","",IF(AU103="","",AU103-AT103*365/AW103))</x:f>
      </x:c>
      <x:c r="AW103" s="164"/>
      <x:c r="AX103" s="173" t="str">
        <x:f>IF(AK103="","",IFERROR(AP103*(AO103/AN103-1),0))</x:f>
      </x:c>
      <x:c r="AY103" s="147" t="str">
        <x:v>Matched-maturity Treasury collateral</x:v>
      </x:c>
      <x:c r="AZ103" s="147" t="str">
        <x:v>Treasury</x:v>
      </x:c>
      <x:c r="BA103" s="147" t="str">
        <x:v>Long</x:v>
      </x:c>
      <x:c r="BB103" s="167" t="n">
        <x:v>102.5658527554155</x:v>
      </x:c>
      <x:c r="BC103" s="167" t="n">
        <x:v>102.58321869979984</x:v>
      </x:c>
      <x:c r="BD103" s="166" t="n">
        <x:v>1</x:v>
      </x:c>
      <x:c r="BE103" s="171" t="n">
        <x:f>IF(AY103="","",IFERROR(F103*BD103/BB103,0))</x:f>
        <x:v>0.012867181460205638</x:v>
      </x:c>
      <x:c r="BF103" s="171" t="n">
        <x:f>IF(AY103="","",F103*ABS(BD103))</x:f>
        <x:v>1.3197334390246638</x:v>
      </x:c>
      <x:c r="BG103" s="165"/>
      <x:c r="BH103" s="172" t="str">
        <x:f>IF(AY103="","",IF(BG103="","",IFERROR(BB103/BG103-1,0)))</x:f>
      </x:c>
      <x:c r="BI103" s="166"/>
      <x:c r="BJ103" s="172" t="str">
        <x:f>IF(AY103="","",IF(BI103="","",BI103-BH103*365/BK103))</x:f>
      </x:c>
      <x:c r="BK103" s="164" t="n">
        <x:v>56</x:v>
      </x:c>
      <x:c r="BL103" s="172" t="n">
        <x:f>IF(AY103="","",IFERROR(BD103*(BC103/BB103-1),0))</x:f>
        <x:v>0.0001693150684931588</x:v>
      </x:c>
      <x:c r="BM103" s="147" t="str">
        <x:v>SI69N</x:v>
      </x:c>
      <x:c r="BN103" s="147" t="str">
        <x:v>Silver future (regular)</x:v>
      </x:c>
      <x:c r="BO103" s="147" t="str">
        <x:v>Long</x:v>
      </x:c>
      <x:c r="BP103" s="167" t="n">
        <x:v>1.746</x:v>
      </x:c>
      <x:c r="BQ103" s="167" t="n">
        <x:v>1.7619999999999998</x:v>
      </x:c>
      <x:c r="BR103" s="166" t="n">
        <x:v>1</x:v>
      </x:c>
      <x:c r="BS103" s="171" t="n">
        <x:f>IF(BM103="","",IFERROR(F103*BR103/BP103,0))</x:f>
        <x:v>0.7558610761882382</x:v>
      </x:c>
      <x:c r="BT103" s="171" t="n">
        <x:f>IF(BM103="","",F103*ABS(BR103))</x:f>
        <x:v>1.3197334390246638</x:v>
      </x:c>
      <x:c r="BU103" s="165" t="n">
        <x:v>1.773</x:v>
      </x:c>
      <x:c r="BV103" s="172" t="n">
        <x:f>IF(BM103="","",IF(BU103="","",IFERROR(BP103/BU103-1,0)))</x:f>
        <x:v>-0.015228426395939021</x:v>
      </x:c>
      <x:c r="BW103" s="166" t="n">
        <x:v>0.061799999999999994</x:v>
      </x:c>
      <x:c r="BX103" s="172" t="n">
        <x:f>IF(BM103="","",IF(BW103="","",BW103-BV103*365/BY103))</x:f>
        <x:v>0.1610567077592454</x:v>
      </x:c>
      <x:c r="BY103" s="164" t="n">
        <x:v>56</x:v>
      </x:c>
      <x:c r="BZ103" s="172" t="n">
        <x:f>IF(BM103="","",IFERROR(BR103*(BQ103/BP103-1),0))</x:f>
        <x:v>0.009163802978235935</x:v>
      </x:c>
      <x:c r="CA103" s="147"/>
      <x:c r="CB103" s="147"/>
      <x:c r="CC103" s="147"/>
      <x:c r="CD103" s="167"/>
      <x:c r="CE103" s="167"/>
      <x:c r="CF103" s="166"/>
      <x:c r="CG103" s="171" t="str">
        <x:f>IF(CA103="","",IFERROR(F103*CF103/CD103,0))</x:f>
      </x:c>
      <x:c r="CH103" s="171" t="str">
        <x:f>IF(CA103="","",F103*ABS(CF103))</x:f>
      </x:c>
      <x:c r="CI103" s="165"/>
      <x:c r="CJ103" s="172" t="str">
        <x:f>IF(CA103="","",IF(CI103="","",IFERROR(CD103/CI103-1,0)))</x:f>
      </x:c>
      <x:c r="CK103" s="166"/>
      <x:c r="CL103" s="172" t="str">
        <x:f>IF(CA103="","",IF(CK103="","",CK103-CJ103*365/CM103))</x:f>
      </x:c>
      <x:c r="CM103" s="164"/>
      <x:c r="CN103" s="172" t="str">
        <x:f>IF(CA103="","",IFERROR(CF103*(CE103/CD103-1),0))</x:f>
      </x:c>
      <x:c r="CO103" s="147"/>
      <x:c r="CP103" s="147"/>
      <x:c r="CQ103" s="147"/>
      <x:c r="CR103" s="167"/>
      <x:c r="CS103" s="167"/>
      <x:c r="CT103" s="166"/>
      <x:c r="CU103" s="171" t="str">
        <x:f>IF(CO103="","",IFERROR(F103*CT103/CR103,0))</x:f>
      </x:c>
      <x:c r="CV103" s="171" t="str">
        <x:f>IF(CO103="","",F103*ABS(CT103))</x:f>
      </x:c>
      <x:c r="CW103" s="165"/>
      <x:c r="CX103" s="172" t="str">
        <x:f>IF(CO103="","",IF(CW103="","",IFERROR(CR103/CW103-1,0)))</x:f>
      </x:c>
      <x:c r="CY103" s="166"/>
      <x:c r="CZ103" s="172" t="str">
        <x:f>IF(CO103="","",IF(CY103="","",CY103-CX103*365/DA103))</x:f>
      </x:c>
      <x:c r="DA103" s="164"/>
      <x:c r="DB103" s="172" t="str">
        <x:f>IF(CO103="","",IFERROR(CT103*(CS103/CR103-1),0))</x:f>
      </x:c>
      <x:c r="DC103" s="147"/>
      <x:c r="DD103" s="147"/>
      <x:c r="DE103" s="147"/>
      <x:c r="DF103" s="167"/>
      <x:c r="DG103" s="167"/>
      <x:c r="DH103" s="166"/>
      <x:c r="DI103" s="171" t="str">
        <x:f>IF(DC103="","",IFERROR(F103*DH103/DF103,0))</x:f>
      </x:c>
      <x:c r="DJ103" s="171" t="str">
        <x:f>IF(DC103="","",F103*ABS(DH103))</x:f>
      </x:c>
      <x:c r="DK103" s="165"/>
      <x:c r="DL103" s="172" t="str">
        <x:f>IF(DC103="","",IF(DK103="","",IFERROR(DF103/DK103-1,0)))</x:f>
      </x:c>
      <x:c r="DM103" s="166"/>
      <x:c r="DN103" s="172" t="str">
        <x:f>IF(DC103="","",IF(DM103="","",DM103-DL103*365/DO103))</x:f>
      </x:c>
      <x:c r="DO103" s="164"/>
      <x:c r="DP103" s="172" t="str">
        <x:f>IF(DC103="","",IFERROR(DH103*(DG103/DF103-1),0))</x:f>
      </x:c>
      <x:c r="DQ103" s="147"/>
      <x:c r="DR103" s="147"/>
      <x:c r="DS103" s="147"/>
      <x:c r="DT103" s="167"/>
      <x:c r="DU103" s="167"/>
      <x:c r="DV103" s="166"/>
      <x:c r="DW103" s="171" t="str">
        <x:f>IF(DQ103="","",IFERROR(F103*DV103/DT103,0))</x:f>
      </x:c>
      <x:c r="DX103" s="171" t="str">
        <x:f>IF(DQ103="","",F103*ABS(DV103))</x:f>
      </x:c>
      <x:c r="DY103" s="165"/>
      <x:c r="DZ103" s="172" t="str">
        <x:f>IF(DQ103="","",IF(DY103="","",IFERROR(DT103/DY103-1,0)))</x:f>
      </x:c>
      <x:c r="EA103" s="166"/>
      <x:c r="EB103" s="172" t="str">
        <x:f>IF(DQ103="","",IF(EA103="","",EA103-DZ103*365/EC103))</x:f>
      </x:c>
      <x:c r="EC103" s="164"/>
      <x:c r="ED103" s="172" t="str">
        <x:f>IF(DQ103="","",IFERROR(DV103*(DU103/DT103-1),0))</x:f>
      </x:c>
      <x:c r="EE103" s="147"/>
      <x:c r="EF103" s="147"/>
      <x:c r="EG103" s="147"/>
      <x:c r="EH103" s="167"/>
      <x:c r="EI103" s="167"/>
      <x:c r="EJ103" s="166"/>
      <x:c r="EK103" s="171" t="str">
        <x:f>IF(EE103="","",IFERROR(F103*EJ103/EH103,0))</x:f>
      </x:c>
      <x:c r="EL103" s="171" t="str">
        <x:f>IF(EE103="","",F103*ABS(EJ103))</x:f>
      </x:c>
      <x:c r="EM103" s="165"/>
      <x:c r="EN103" s="172" t="str">
        <x:f>IF(EE103="","",IF(EM103="","",IFERROR(EH103/EM103-1,0)))</x:f>
      </x:c>
      <x:c r="EO103" s="166"/>
      <x:c r="EP103" s="172" t="str">
        <x:f>IF(EE103="","",IF(EO103="","",EO103-EN103*365/EQ103))</x:f>
      </x:c>
      <x:c r="EQ103" s="164"/>
      <x:c r="ER103" s="172" t="str">
        <x:f>IF(EE103="","",IFERROR(EJ103*(EI103/EH103-1),0))</x:f>
      </x:c>
      <x:c r="ES103" s="147"/>
      <x:c r="ET103" s="147"/>
      <x:c r="EU103" s="147"/>
      <x:c r="EV103" s="167"/>
      <x:c r="EW103" s="167"/>
      <x:c r="EX103" s="166"/>
      <x:c r="EY103" s="171" t="str">
        <x:f>IF(ES103="","",IFERROR(F103*EX103/EV103,0))</x:f>
      </x:c>
      <x:c r="EZ103" s="171" t="str">
        <x:f>IF(ES103="","",F103*ABS(EX103))</x:f>
      </x:c>
      <x:c r="FA103" s="165"/>
      <x:c r="FB103" s="172" t="str">
        <x:f>IF(ES103="","",IF(FA103="","",IFERROR(EV103/FA103-1,0)))</x:f>
      </x:c>
      <x:c r="FC103" s="166"/>
      <x:c r="FD103" s="172" t="str">
        <x:f>IF(ES103="","",IF(FC103="","",FC103-FB103*365/FE103))</x:f>
      </x:c>
      <x:c r="FE103" s="164"/>
      <x:c r="FF103" s="172" t="str">
        <x:f>IF(ES103="","",IFERROR(EX103*(EW103/EV103-1),0))</x:f>
      </x:c>
      <x:c r="FG103" s="147"/>
      <x:c r="FH103" s="147"/>
      <x:c r="FI103" s="147"/>
      <x:c r="FJ103" s="167"/>
      <x:c r="FK103" s="167"/>
      <x:c r="FL103" s="166"/>
      <x:c r="FM103" s="171" t="str">
        <x:f>IF(FG103="","",IFERROR(F103*FL103/FJ103,0))</x:f>
      </x:c>
      <x:c r="FN103" s="171" t="str">
        <x:f>IF(FG103="","",F103*ABS(FL103))</x:f>
      </x:c>
      <x:c r="FO103" s="165"/>
      <x:c r="FP103" s="172" t="str">
        <x:f>IF(FG103="","",IF(FO103="","",IFERROR(FJ103/FO103-1,0)))</x:f>
      </x:c>
      <x:c r="FQ103" s="166"/>
      <x:c r="FR103" s="172" t="str">
        <x:f>IF(FG103="","",IF(FQ103="","",FQ103-FP103*365/FS103))</x:f>
      </x:c>
      <x:c r="FS103" s="164"/>
      <x:c r="FT103" s="172" t="str">
        <x:f>IF(FG103="","",IFERROR(FL103*(FK103/FJ103-1),0))</x:f>
      </x:c>
    </x:row>
    <x:row r="104" ht="18" customHeight="1">
      <x:c r="A104" s="163" t="n">
        <x:v>25358</x:v>
      </x:c>
      <x:c r="B104" s="163" t="n">
        <x:v>25359</x:v>
      </x:c>
      <x:c r="C104" s="170" t="n">
        <x:f>B104-A104</x:f>
        <x:v>1</x:v>
      </x:c>
      <x:c r="D104" s="163" t="n">
        <x:v>25358</x:v>
      </x:c>
      <x:c r="E104" s="147" t="str">
        <x:v>positive</x:v>
      </x:c>
      <x:c r="F104" s="165" t="n">
        <x:v>1.3320506670012968</x:v>
      </x:c>
      <x:c r="G104" s="168" t="n">
        <x:v>0.00010396574845618041</x:v>
      </x:c>
      <x:c r="H104" s="172" t="n">
        <x:f>SUM(AX104,BL104,BZ104,CN104,DB104,DP104,ED104,ER104,FF104,FT104)</x:f>
        <x:v>0.00010396574845626238</x:v>
      </x:c>
      <x:c r="I104" s="174" t="n">
        <x:f>G104-H104</x:f>
        <x:v>-8.196568423990414e-17</x:v>
      </x:c>
      <x:c r="J104" s="171" t="n">
        <x:f>F104*(1+H104)</x:f>
        <x:v>1.3321891546458733</x:v>
      </x:c>
      <x:c r="K104" s="169" t="n">
        <x:v>1.3321891546458733</x:v>
      </x:c>
      <x:c r="L104" s="175" t="n">
        <x:f>K104-J104</x:f>
        <x:v>0</x:v>
      </x:c>
      <x:c r="M104" s="167" t="n">
        <x:v>1.758</x:v>
      </x:c>
      <x:c r="N104" s="167" t="n">
        <x:v>1.766</x:v>
      </x:c>
      <x:c r="O104" s="172" t="n">
        <x:f>IFERROR(N104/M104-1,0)</x:f>
        <x:v>0.004550625711035261</x:v>
      </x:c>
      <x:c r="P104" s="171" t="n">
        <x:f>IFERROR(AD104/AH104,0)</x:f>
        <x:v>1.4835922673427424</x:v>
      </x:c>
      <x:c r="Q104" s="171" t="n">
        <x:f>IFERROR(AE104/AI104,0)</x:f>
        <x:v>1.477025121628891</x:v>
      </x:c>
      <x:c r="R104" s="172" t="n">
        <x:f>IFERROR((Q104-P104)/(P104+S104),0)</x:f>
        <x:v>-0.00442651654259011</x:v>
      </x:c>
      <x:c r="S104" s="172" t="n">
        <x:f>IFERROR(AF104/AH104,0)</x:f>
        <x:v>0</x:v>
      </x:c>
      <x:c r="T104" s="172" t="n">
        <x:f>IFERROR(AG104/AI104,0)</x:f>
        <x:v>0</x:v>
      </x:c>
      <x:c r="U104" s="172" t="n">
        <x:f>IFERROR((T104-S104)/(P104+S104),0)</x:f>
        <x:v>0</x:v>
      </x:c>
      <x:c r="V104" s="172" t="n">
        <x:f>R104+U104</x:f>
        <x:v>-0.00442651654259011</x:v>
      </x:c>
      <x:c r="W104" s="172" t="n">
        <x:f>(1+O104)*(1+V104)-1</x:f>
        <x:v>0.00010396574845605855</x:v>
      </x:c>
      <x:c r="X104" s="174" t="n">
        <x:f>G104-W104</x:f>
        <x:v>1.218643241873707e-16</x:v>
      </x:c>
      <x:c r="Y104" s="172" t="n">
        <x:f>AX104</x:f>
        <x:v>0.0031049079181001745</x:v>
      </x:c>
      <x:c r="Z104" s="172" t="n">
        <x:f>BL104</x:f>
        <x:v>0.0000543107269620682</x:v>
      </x:c>
      <x:c r="AA104" s="172" t="n">
        <x:f>SUM(BZ104,CN104,DB104,DP104,ED104,ER104,FF104,FT104)</x:f>
        <x:v>-0.0030552528966059805</x:v>
      </x:c>
      <x:c r="AB104" s="172" t="n">
        <x:f>SUM(Y104:AA104)</x:f>
        <x:v>0.00010396574845626238</x:v>
      </x:c>
      <x:c r="AC104" s="174" t="n">
        <x:f>G104-AB104</x:f>
        <x:v>-8.196568423990414e-17</x:v>
      </x:c>
      <x:c r="AD104" s="169" t="n">
        <x:v>1.332050667001298</x:v>
      </x:c>
      <x:c r="AE104" s="169" t="n">
        <x:v>1.3321891546458742</x:v>
      </x:c>
      <x:c r="AF104" s="169" t="n">
        <x:v>0</x:v>
      </x:c>
      <x:c r="AG104" s="169" t="n">
        <x:v>0</x:v>
      </x:c>
      <x:c r="AH104" s="171" t="n">
        <x:f>M104/$M$3</x:f>
        <x:v>0.8978549540347294</x:v>
      </x:c>
      <x:c r="AI104" s="171" t="n">
        <x:f>N104/$M$3</x:f>
        <x:v>0.9019407558733402</x:v>
      </x:c>
      <x:c r="AJ104" s="170" t="n">
        <x:f>IF(AK104&lt;&gt;"",1,0)+IF(AY104&lt;&gt;"",1,0)+IF(BM104&lt;&gt;"",1,0)+IF(CA104&lt;&gt;"",1,0)+IF(CO104&lt;&gt;"",1,0)+IF(DC104&lt;&gt;"",1,0)+IF(DQ104&lt;&gt;"",1,0)+IF(EE104&lt;&gt;"",1,0)+IF(ES104&lt;&gt;"",1,0)+IF(FG104&lt;&gt;"",1,0)</x:f>
        <x:v>3</x:v>
      </x:c>
      <x:c r="AK104" s="147" t="str">
        <x:v>Silver replicating holding (LBMA/SLV proxy)</x:v>
      </x:c>
      <x:c r="AL104" s="147" t="str">
        <x:v>Physical-backed proxy</x:v>
      </x:c>
      <x:c r="AM104" s="147" t="str">
        <x:v>Long</x:v>
      </x:c>
      <x:c r="AN104" s="167" t="n">
        <x:v>1.758</x:v>
      </x:c>
      <x:c r="AO104" s="167" t="n">
        <x:v>1.766</x:v>
      </x:c>
      <x:c r="AP104" s="166" t="n">
        <x:v>0.6833320233047143</x:v>
      </x:c>
      <x:c r="AQ104" s="171" t="n">
        <x:f>IF(AK104="","",IFERROR(F104*AP104/AN104,0))</x:f>
        <x:v>0.5177661418807681</x:v>
      </x:c>
      <x:c r="AR104" s="171" t="n">
        <x:f>IF(AK104="","",F104*ABS(AP104))</x:f>
        <x:v>0.9102328774263904</x:v>
      </x:c>
      <x:c r="AS104" s="165"/>
      <x:c r="AT104" s="172" t="str">
        <x:f>IF(AK104="","",IF(AS104="","",IFERROR(AN104/AS104-1,0)))</x:f>
      </x:c>
      <x:c r="AU104" s="166"/>
      <x:c r="AV104" s="172" t="str">
        <x:f>IF(AK104="","",IF(AU104="","",AU104-AT104*365/AW104))</x:f>
      </x:c>
      <x:c r="AW104" s="164"/>
      <x:c r="AX104" s="173" t="n">
        <x:f>IF(AK104="","",IFERROR(AP104*(AO104/AN104-1-'Parameters'!$C$6*C104/365),0))</x:f>
        <x:v>0.0031049079181001745</x:v>
      </x:c>
      <x:c r="AY104" s="147" t="str">
        <x:v>Matched-maturity Treasury collateral</x:v>
      </x:c>
      <x:c r="AZ104" s="147" t="str">
        <x:v>Treasury</x:v>
      </x:c>
      <x:c r="BA104" s="147" t="str">
        <x:v>Long</x:v>
      </x:c>
      <x:c r="BB104" s="167" t="n">
        <x:v>102.58321869979984</x:v>
      </x:c>
      <x:c r="BC104" s="167" t="n">
        <x:v>102.60081242443167</x:v>
      </x:c>
      <x:c r="BD104" s="166" t="n">
        <x:v>0.3166679766952855</x:v>
      </x:c>
      <x:c r="BE104" s="171" t="n">
        <x:f>IF(AY104="","",IFERROR(F104*BD104/BB104,0))</x:f>
        <x:v>0.004111957052247661</x:v>
      </x:c>
      <x:c r="BF104" s="171" t="n">
        <x:f>IF(AY104="","",F104*ABS(BD104))</x:f>
        <x:v>0.4218177895749062</x:v>
      </x:c>
      <x:c r="BG104" s="165"/>
      <x:c r="BH104" s="172" t="str">
        <x:f>IF(AY104="","",IF(BG104="","",IFERROR(BB104/BG104-1,0)))</x:f>
      </x:c>
      <x:c r="BI104" s="166"/>
      <x:c r="BJ104" s="172" t="str">
        <x:f>IF(AY104="","",IF(BI104="","",BI104-BH104*365/BK104))</x:f>
      </x:c>
      <x:c r="BK104" s="164" t="n">
        <x:v>55.00000000000001</x:v>
      </x:c>
      <x:c r="BL104" s="172" t="n">
        <x:f>IF(AY104="","",IFERROR(BD104*(BC104/BB104-1),0))</x:f>
        <x:v>0.0000543107269620682</x:v>
      </x:c>
      <x:c r="BM104" s="147" t="str">
        <x:v>SI69N</x:v>
      </x:c>
      <x:c r="BN104" s="147" t="str">
        <x:v>Silver future (regular)</x:v>
      </x:c>
      <x:c r="BO104" s="147" t="str">
        <x:v>Long</x:v>
      </x:c>
      <x:c r="BP104" s="167" t="n">
        <x:v>1.7619999999999998</x:v>
      </x:c>
      <x:c r="BQ104" s="167" t="n">
        <x:v>1.745</x:v>
      </x:c>
      <x:c r="BR104" s="166" t="n">
        <x:v>0.3166679766952855</x:v>
      </x:c>
      <x:c r="BS104" s="171" t="n">
        <x:f>IF(BM104="","",IFERROR(F104*BR104/BP104,0))</x:f>
        <x:v>0.23939715639892523</x:v>
      </x:c>
      <x:c r="BT104" s="171" t="n">
        <x:f>IF(BM104="","",F104*ABS(BR104))</x:f>
        <x:v>0.4218177895749062</x:v>
      </x:c>
      <x:c r="BU104" s="165" t="n">
        <x:v>1.758</x:v>
      </x:c>
      <x:c r="BV104" s="172" t="n">
        <x:f>IF(BM104="","",IF(BU104="","",IFERROR(BP104/BU104-1,0)))</x:f>
        <x:v>0.0022753128555175195</x:v>
      </x:c>
      <x:c r="BW104" s="166" t="n">
        <x:v>0.06260000000000002</x:v>
      </x:c>
      <x:c r="BX104" s="172" t="n">
        <x:f>IF(BM104="","",IF(BW104="","",BW104-BV104*365/BY104))</x:f>
        <x:v>0.04750019650429284</x:v>
      </x:c>
      <x:c r="BY104" s="164" t="n">
        <x:v>55</x:v>
      </x:c>
      <x:c r="BZ104" s="172" t="n">
        <x:f>IF(BM104="","",IFERROR(BR104*(BQ104/BP104-1),0))</x:f>
        <x:v>-0.0030552528966059805</x:v>
      </x:c>
      <x:c r="CA104" s="147"/>
      <x:c r="CB104" s="147"/>
      <x:c r="CC104" s="147"/>
      <x:c r="CD104" s="167"/>
      <x:c r="CE104" s="167"/>
      <x:c r="CF104" s="166"/>
      <x:c r="CG104" s="171" t="str">
        <x:f>IF(CA104="","",IFERROR(F104*CF104/CD104,0))</x:f>
      </x:c>
      <x:c r="CH104" s="171" t="str">
        <x:f>IF(CA104="","",F104*ABS(CF104))</x:f>
      </x:c>
      <x:c r="CI104" s="165"/>
      <x:c r="CJ104" s="172" t="str">
        <x:f>IF(CA104="","",IF(CI104="","",IFERROR(CD104/CI104-1,0)))</x:f>
      </x:c>
      <x:c r="CK104" s="166"/>
      <x:c r="CL104" s="172" t="str">
        <x:f>IF(CA104="","",IF(CK104="","",CK104-CJ104*365/CM104))</x:f>
      </x:c>
      <x:c r="CM104" s="164"/>
      <x:c r="CN104" s="172" t="str">
        <x:f>IF(CA104="","",IFERROR(CF104*(CE104/CD104-1),0))</x:f>
      </x:c>
      <x:c r="CO104" s="147"/>
      <x:c r="CP104" s="147"/>
      <x:c r="CQ104" s="147"/>
      <x:c r="CR104" s="167"/>
      <x:c r="CS104" s="167"/>
      <x:c r="CT104" s="166"/>
      <x:c r="CU104" s="171" t="str">
        <x:f>IF(CO104="","",IFERROR(F104*CT104/CR104,0))</x:f>
      </x:c>
      <x:c r="CV104" s="171" t="str">
        <x:f>IF(CO104="","",F104*ABS(CT104))</x:f>
      </x:c>
      <x:c r="CW104" s="165"/>
      <x:c r="CX104" s="172" t="str">
        <x:f>IF(CO104="","",IF(CW104="","",IFERROR(CR104/CW104-1,0)))</x:f>
      </x:c>
      <x:c r="CY104" s="166"/>
      <x:c r="CZ104" s="172" t="str">
        <x:f>IF(CO104="","",IF(CY104="","",CY104-CX104*365/DA104))</x:f>
      </x:c>
      <x:c r="DA104" s="164"/>
      <x:c r="DB104" s="172" t="str">
        <x:f>IF(CO104="","",IFERROR(CT104*(CS104/CR104-1),0))</x:f>
      </x:c>
      <x:c r="DC104" s="147"/>
      <x:c r="DD104" s="147"/>
      <x:c r="DE104" s="147"/>
      <x:c r="DF104" s="167"/>
      <x:c r="DG104" s="167"/>
      <x:c r="DH104" s="166"/>
      <x:c r="DI104" s="171" t="str">
        <x:f>IF(DC104="","",IFERROR(F104*DH104/DF104,0))</x:f>
      </x:c>
      <x:c r="DJ104" s="171" t="str">
        <x:f>IF(DC104="","",F104*ABS(DH104))</x:f>
      </x:c>
      <x:c r="DK104" s="165"/>
      <x:c r="DL104" s="172" t="str">
        <x:f>IF(DC104="","",IF(DK104="","",IFERROR(DF104/DK104-1,0)))</x:f>
      </x:c>
      <x:c r="DM104" s="166"/>
      <x:c r="DN104" s="172" t="str">
        <x:f>IF(DC104="","",IF(DM104="","",DM104-DL104*365/DO104))</x:f>
      </x:c>
      <x:c r="DO104" s="164"/>
      <x:c r="DP104" s="172" t="str">
        <x:f>IF(DC104="","",IFERROR(DH104*(DG104/DF104-1),0))</x:f>
      </x:c>
      <x:c r="DQ104" s="147"/>
      <x:c r="DR104" s="147"/>
      <x:c r="DS104" s="147"/>
      <x:c r="DT104" s="167"/>
      <x:c r="DU104" s="167"/>
      <x:c r="DV104" s="166"/>
      <x:c r="DW104" s="171" t="str">
        <x:f>IF(DQ104="","",IFERROR(F104*DV104/DT104,0))</x:f>
      </x:c>
      <x:c r="DX104" s="171" t="str">
        <x:f>IF(DQ104="","",F104*ABS(DV104))</x:f>
      </x:c>
      <x:c r="DY104" s="165"/>
      <x:c r="DZ104" s="172" t="str">
        <x:f>IF(DQ104="","",IF(DY104="","",IFERROR(DT104/DY104-1,0)))</x:f>
      </x:c>
      <x:c r="EA104" s="166"/>
      <x:c r="EB104" s="172" t="str">
        <x:f>IF(DQ104="","",IF(EA104="","",EA104-DZ104*365/EC104))</x:f>
      </x:c>
      <x:c r="EC104" s="164"/>
      <x:c r="ED104" s="172" t="str">
        <x:f>IF(DQ104="","",IFERROR(DV104*(DU104/DT104-1),0))</x:f>
      </x:c>
      <x:c r="EE104" s="147"/>
      <x:c r="EF104" s="147"/>
      <x:c r="EG104" s="147"/>
      <x:c r="EH104" s="167"/>
      <x:c r="EI104" s="167"/>
      <x:c r="EJ104" s="166"/>
      <x:c r="EK104" s="171" t="str">
        <x:f>IF(EE104="","",IFERROR(F104*EJ104/EH104,0))</x:f>
      </x:c>
      <x:c r="EL104" s="171" t="str">
        <x:f>IF(EE104="","",F104*ABS(EJ104))</x:f>
      </x:c>
      <x:c r="EM104" s="165"/>
      <x:c r="EN104" s="172" t="str">
        <x:f>IF(EE104="","",IF(EM104="","",IFERROR(EH104/EM104-1,0)))</x:f>
      </x:c>
      <x:c r="EO104" s="166"/>
      <x:c r="EP104" s="172" t="str">
        <x:f>IF(EE104="","",IF(EO104="","",EO104-EN104*365/EQ104))</x:f>
      </x:c>
      <x:c r="EQ104" s="164"/>
      <x:c r="ER104" s="172" t="str">
        <x:f>IF(EE104="","",IFERROR(EJ104*(EI104/EH104-1),0))</x:f>
      </x:c>
      <x:c r="ES104" s="147"/>
      <x:c r="ET104" s="147"/>
      <x:c r="EU104" s="147"/>
      <x:c r="EV104" s="167"/>
      <x:c r="EW104" s="167"/>
      <x:c r="EX104" s="166"/>
      <x:c r="EY104" s="171" t="str">
        <x:f>IF(ES104="","",IFERROR(F104*EX104/EV104,0))</x:f>
      </x:c>
      <x:c r="EZ104" s="171" t="str">
        <x:f>IF(ES104="","",F104*ABS(EX104))</x:f>
      </x:c>
      <x:c r="FA104" s="165"/>
      <x:c r="FB104" s="172" t="str">
        <x:f>IF(ES104="","",IF(FA104="","",IFERROR(EV104/FA104-1,0)))</x:f>
      </x:c>
      <x:c r="FC104" s="166"/>
      <x:c r="FD104" s="172" t="str">
        <x:f>IF(ES104="","",IF(FC104="","",FC104-FB104*365/FE104))</x:f>
      </x:c>
      <x:c r="FE104" s="164"/>
      <x:c r="FF104" s="172" t="str">
        <x:f>IF(ES104="","",IFERROR(EX104*(EW104/EV104-1),0))</x:f>
      </x:c>
      <x:c r="FG104" s="147"/>
      <x:c r="FH104" s="147"/>
      <x:c r="FI104" s="147"/>
      <x:c r="FJ104" s="167"/>
      <x:c r="FK104" s="167"/>
      <x:c r="FL104" s="166"/>
      <x:c r="FM104" s="171" t="str">
        <x:f>IF(FG104="","",IFERROR(F104*FL104/FJ104,0))</x:f>
      </x:c>
      <x:c r="FN104" s="171" t="str">
        <x:f>IF(FG104="","",F104*ABS(FL104))</x:f>
      </x:c>
      <x:c r="FO104" s="165"/>
      <x:c r="FP104" s="172" t="str">
        <x:f>IF(FG104="","",IF(FO104="","",IFERROR(FJ104/FO104-1,0)))</x:f>
      </x:c>
      <x:c r="FQ104" s="166"/>
      <x:c r="FR104" s="172" t="str">
        <x:f>IF(FG104="","",IF(FQ104="","",FQ104-FP104*365/FS104))</x:f>
      </x:c>
      <x:c r="FS104" s="164"/>
      <x:c r="FT104" s="172" t="str">
        <x:f>IF(FG104="","",IFERROR(FL104*(FK104/FJ104-1),0))</x:f>
      </x:c>
    </x:row>
    <x:row r="105" ht="18" customHeight="1">
      <x:c r="A105" s="163" t="n">
        <x:v>25359</x:v>
      </x:c>
      <x:c r="B105" s="163" t="n">
        <x:v>25360</x:v>
      </x:c>
      <x:c r="C105" s="170" t="n">
        <x:f>B105-A105</x:f>
        <x:v>1</x:v>
      </x:c>
      <x:c r="D105" s="163" t="n">
        <x:v>25359</x:v>
      </x:c>
      <x:c r="E105" s="147" t="str">
        <x:v>positive</x:v>
      </x:c>
      <x:c r="F105" s="165" t="n">
        <x:v>1.3321891546458733</x:v>
      </x:c>
      <x:c r="G105" s="168" t="n">
        <x:v>-0.009569573033413175</x:v>
      </x:c>
      <x:c r="H105" s="172" t="n">
        <x:f>SUM(AX105,BL105,BZ105,CN105,DB105,DP105,ED105,ER105,FF105,FT105)</x:f>
        <x:v>-0.009569573033413119</x:v>
      </x:c>
      <x:c r="I105" s="174" t="n">
        <x:f>G105-H105</x:f>
        <x:v>-5.551115123125783e-17</x:v>
      </x:c>
      <x:c r="J105" s="171" t="n">
        <x:f>F105*(1+H105)</x:f>
        <x:v>1.3194406732361688</x:v>
      </x:c>
      <x:c r="K105" s="169" t="n">
        <x:v>1.3194406732361685</x:v>
      </x:c>
      <x:c r="L105" s="175" t="n">
        <x:f>K105-J105</x:f>
        <x:v>-2.220446049250313e-16</x:v>
      </x:c>
      <x:c r="M105" s="167" t="n">
        <x:v>1.766</x:v>
      </x:c>
      <x:c r="N105" s="167" t="n">
        <x:v>1.749</x:v>
      </x:c>
      <x:c r="O105" s="172" t="n">
        <x:f>IFERROR(N105/M105-1,0)</x:f>
        <x:v>-0.009626274065685059</x:v>
      </x:c>
      <x:c r="P105" s="171" t="n">
        <x:f>IFERROR(AD105/AH105,0)</x:f>
        <x:v>1.477025121628891</x:v>
      </x:c>
      <x:c r="Q105" s="171" t="n">
        <x:f>IFERROR(AE105/AI105,0)</x:f>
        <x:v>1.4771096845033844</x:v>
      </x:c>
      <x:c r="R105" s="172" t="n">
        <x:f>IFERROR((Q105-P105)/(P105+S105),0)</x:f>
        <x:v>0.000057252157228155225</x:v>
      </x:c>
      <x:c r="S105" s="172" t="n">
        <x:f>IFERROR(AF105/AH105,0)</x:f>
        <x:v>0</x:v>
      </x:c>
      <x:c r="T105" s="172" t="n">
        <x:f>IFERROR(AG105/AI105,0)</x:f>
        <x:v>0</x:v>
      </x:c>
      <x:c r="U105" s="172" t="n">
        <x:f>IFERROR((T105-S105)/(P105+S105),0)</x:f>
        <x:v>0</x:v>
      </x:c>
      <x:c r="V105" s="172" t="n">
        <x:f>R105+U105</x:f>
        <x:v>0.000057252157228155225</x:v>
      </x:c>
      <x:c r="W105" s="172" t="n">
        <x:f>(1+O105)*(1+V105)-1</x:f>
        <x:v>-0.009569573033413215</x:v>
      </x:c>
      <x:c r="X105" s="174" t="n">
        <x:f>G105-W105</x:f>
        <x:v>3.9898639947466563e-17</x:v>
      </x:c>
      <x:c r="Y105" s="172" t="n">
        <x:f>AX105</x:f>
        <x:v>-0.00036758440777094625</x:v>
      </x:c>
      <x:c r="Z105" s="172" t="n">
        <x:f>BL105</x:f>
        <x:v>0.00016838816260470835</x:v>
      </x:c>
      <x:c r="AA105" s="172" t="n">
        <x:f>SUM(BZ105,CN105,DB105,DP105,ED105,ER105,FF105,FT105)</x:f>
        <x:v>-0.00937037678824688</x:v>
      </x:c>
      <x:c r="AB105" s="172" t="n">
        <x:f>SUM(Y105:AA105)</x:f>
        <x:v>-0.009569573033413119</x:v>
      </x:c>
      <x:c r="AC105" s="174" t="n">
        <x:f>G105-AB105</x:f>
        <x:v>-5.551115123125783e-17</x:v>
      </x:c>
      <x:c r="AD105" s="169" t="n">
        <x:v>1.3321891546458742</x:v>
      </x:c>
      <x:c r="AE105" s="169" t="n">
        <x:v>1.3194406732361694</x:v>
      </x:c>
      <x:c r="AF105" s="169" t="n">
        <x:v>0</x:v>
      </x:c>
      <x:c r="AG105" s="169" t="n">
        <x:v>0</x:v>
      </x:c>
      <x:c r="AH105" s="171" t="n">
        <x:f>M105/$M$3</x:f>
        <x:v>0.9019407558733402</x:v>
      </x:c>
      <x:c r="AI105" s="171" t="n">
        <x:f>N105/$M$3</x:f>
        <x:v>0.8932584269662922</x:v>
      </x:c>
      <x:c r="AJ105" s="170" t="n">
        <x:f>IF(AK105&lt;&gt;"",1,0)+IF(AY105&lt;&gt;"",1,0)+IF(BM105&lt;&gt;"",1,0)+IF(CA105&lt;&gt;"",1,0)+IF(CO105&lt;&gt;"",1,0)+IF(DC105&lt;&gt;"",1,0)+IF(DQ105&lt;&gt;"",1,0)+IF(EE105&lt;&gt;"",1,0)+IF(ES105&lt;&gt;"",1,0)+IF(FG105&lt;&gt;"",1,0)</x:f>
        <x:v>3</x:v>
      </x:c>
      <x:c r="AK105" s="147" t="str">
        <x:v>Silver replicating holding (LBMA/SLV proxy)</x:v>
      </x:c>
      <x:c r="AL105" s="147" t="str">
        <x:v>Physical-backed proxy</x:v>
      </x:c>
      <x:c r="AM105" s="147" t="str">
        <x:v>Long</x:v>
      </x:c>
      <x:c r="AN105" s="167" t="n">
        <x:v>1.766</x:v>
      </x:c>
      <x:c r="AO105" s="167" t="n">
        <x:v>1.749</x:v>
      </x:c>
      <x:c r="AP105" s="166" t="n">
        <x:v>0.03815838261818172</x:v>
      </x:c>
      <x:c r="AQ105" s="171" t="n">
        <x:f>IF(AK105="","",IFERROR(F105*AP105/AN105,0))</x:f>
        <x:v>0.028784928359439008</x:v>
      </x:c>
      <x:c r="AR105" s="171" t="n">
        <x:f>IF(AK105="","",F105*ABS(AP105))</x:f>
        <x:v>0.05083418348276929</x:v>
      </x:c>
      <x:c r="AS105" s="165"/>
      <x:c r="AT105" s="172" t="str">
        <x:f>IF(AK105="","",IF(AS105="","",IFERROR(AN105/AS105-1,0)))</x:f>
      </x:c>
      <x:c r="AU105" s="166"/>
      <x:c r="AV105" s="172" t="str">
        <x:f>IF(AK105="","",IF(AU105="","",AU105-AT105*365/AW105))</x:f>
      </x:c>
      <x:c r="AW105" s="164"/>
      <x:c r="AX105" s="173" t="n">
        <x:f>IF(AK105="","",IFERROR(AP105*(AO105/AN105-1-'Parameters'!$C$6*C105/365),0))</x:f>
        <x:v>-0.00036758440777094625</x:v>
      </x:c>
      <x:c r="AY105" s="147" t="str">
        <x:v>Matched-maturity Treasury collateral</x:v>
      </x:c>
      <x:c r="AZ105" s="147" t="str">
        <x:v>Treasury</x:v>
      </x:c>
      <x:c r="BA105" s="147" t="str">
        <x:v>Long</x:v>
      </x:c>
      <x:c r="BB105" s="167" t="n">
        <x:v>102.60081242443167</x:v>
      </x:c>
      <x:c r="BC105" s="167" t="n">
        <x:v>102.61877459405886</x:v>
      </x:c>
      <x:c r="BD105" s="166" t="n">
        <x:v>0.9618416173818183</x:v>
      </x:c>
      <x:c r="BE105" s="171" t="n">
        <x:f>IF(AY105="","",IFERROR(F105*BD105/BB105,0))</x:f>
        <x:v>0.012488740984452315</x:v>
      </x:c>
      <x:c r="BF105" s="171" t="n">
        <x:f>IF(AY105="","",F105*ABS(BD105))</x:f>
        <x:v>1.281354971163104</x:v>
      </x:c>
      <x:c r="BG105" s="165"/>
      <x:c r="BH105" s="172" t="str">
        <x:f>IF(AY105="","",IF(BG105="","",IFERROR(BB105/BG105-1,0)))</x:f>
      </x:c>
      <x:c r="BI105" s="166"/>
      <x:c r="BJ105" s="172" t="str">
        <x:f>IF(AY105="","",IF(BI105="","",BI105-BH105*365/BK105))</x:f>
      </x:c>
      <x:c r="BK105" s="164" t="n">
        <x:v>54</x:v>
      </x:c>
      <x:c r="BL105" s="172" t="n">
        <x:f>IF(AY105="","",IFERROR(BD105*(BC105/BB105-1),0))</x:f>
        <x:v>0.00016838816260470835</x:v>
      </x:c>
      <x:c r="BM105" s="147" t="str">
        <x:v>SI69N</x:v>
      </x:c>
      <x:c r="BN105" s="147" t="str">
        <x:v>Silver future (regular)</x:v>
      </x:c>
      <x:c r="BO105" s="147" t="str">
        <x:v>Long</x:v>
      </x:c>
      <x:c r="BP105" s="167" t="n">
        <x:v>1.745</x:v>
      </x:c>
      <x:c r="BQ105" s="167" t="n">
        <x:v>1.7280000000000002</x:v>
      </x:c>
      <x:c r="BR105" s="166" t="n">
        <x:v>0.9618416173818184</x:v>
      </x:c>
      <x:c r="BS105" s="171" t="n">
        <x:f>IF(BM105="","",IFERROR(F105*BR105/BP105,0))</x:f>
        <x:v>0.734300843073412</x:v>
      </x:c>
      <x:c r="BT105" s="171" t="n">
        <x:f>IF(BM105="","",F105*ABS(BR105))</x:f>
        <x:v>1.281354971163104</x:v>
      </x:c>
      <x:c r="BU105" s="165" t="n">
        <x:v>1.766</x:v>
      </x:c>
      <x:c r="BV105" s="172" t="n">
        <x:f>IF(BM105="","",IF(BU105="","",IFERROR(BP105/BU105-1,0)))</x:f>
        <x:v>-0.011891279728199255</x:v>
      </x:c>
      <x:c r="BW105" s="166" t="n">
        <x:v>0.0639</x:v>
      </x:c>
      <x:c r="BX105" s="172" t="n">
        <x:f>IF(BM105="","",IF(BW105="","",BW105-BV105*365/BY105))</x:f>
        <x:v>0.14427624260727273</x:v>
      </x:c>
      <x:c r="BY105" s="164" t="n">
        <x:v>54</x:v>
      </x:c>
      <x:c r="BZ105" s="172" t="n">
        <x:f>IF(BM105="","",IFERROR(BR105*(BQ105/BP105-1),0))</x:f>
        <x:v>-0.00937037678824688</x:v>
      </x:c>
      <x:c r="CA105" s="147"/>
      <x:c r="CB105" s="147"/>
      <x:c r="CC105" s="147"/>
      <x:c r="CD105" s="167"/>
      <x:c r="CE105" s="167"/>
      <x:c r="CF105" s="166"/>
      <x:c r="CG105" s="171" t="str">
        <x:f>IF(CA105="","",IFERROR(F105*CF105/CD105,0))</x:f>
      </x:c>
      <x:c r="CH105" s="171" t="str">
        <x:f>IF(CA105="","",F105*ABS(CF105))</x:f>
      </x:c>
      <x:c r="CI105" s="165"/>
      <x:c r="CJ105" s="172" t="str">
        <x:f>IF(CA105="","",IF(CI105="","",IFERROR(CD105/CI105-1,0)))</x:f>
      </x:c>
      <x:c r="CK105" s="166"/>
      <x:c r="CL105" s="172" t="str">
        <x:f>IF(CA105="","",IF(CK105="","",CK105-CJ105*365/CM105))</x:f>
      </x:c>
      <x:c r="CM105" s="164"/>
      <x:c r="CN105" s="172" t="str">
        <x:f>IF(CA105="","",IFERROR(CF105*(CE105/CD105-1),0))</x:f>
      </x:c>
      <x:c r="CO105" s="147"/>
      <x:c r="CP105" s="147"/>
      <x:c r="CQ105" s="147"/>
      <x:c r="CR105" s="167"/>
      <x:c r="CS105" s="167"/>
      <x:c r="CT105" s="166"/>
      <x:c r="CU105" s="171" t="str">
        <x:f>IF(CO105="","",IFERROR(F105*CT105/CR105,0))</x:f>
      </x:c>
      <x:c r="CV105" s="171" t="str">
        <x:f>IF(CO105="","",F105*ABS(CT105))</x:f>
      </x:c>
      <x:c r="CW105" s="165"/>
      <x:c r="CX105" s="172" t="str">
        <x:f>IF(CO105="","",IF(CW105="","",IFERROR(CR105/CW105-1,0)))</x:f>
      </x:c>
      <x:c r="CY105" s="166"/>
      <x:c r="CZ105" s="172" t="str">
        <x:f>IF(CO105="","",IF(CY105="","",CY105-CX105*365/DA105))</x:f>
      </x:c>
      <x:c r="DA105" s="164"/>
      <x:c r="DB105" s="172" t="str">
        <x:f>IF(CO105="","",IFERROR(CT105*(CS105/CR105-1),0))</x:f>
      </x:c>
      <x:c r="DC105" s="147"/>
      <x:c r="DD105" s="147"/>
      <x:c r="DE105" s="147"/>
      <x:c r="DF105" s="167"/>
      <x:c r="DG105" s="167"/>
      <x:c r="DH105" s="166"/>
      <x:c r="DI105" s="171" t="str">
        <x:f>IF(DC105="","",IFERROR(F105*DH105/DF105,0))</x:f>
      </x:c>
      <x:c r="DJ105" s="171" t="str">
        <x:f>IF(DC105="","",F105*ABS(DH105))</x:f>
      </x:c>
      <x:c r="DK105" s="165"/>
      <x:c r="DL105" s="172" t="str">
        <x:f>IF(DC105="","",IF(DK105="","",IFERROR(DF105/DK105-1,0)))</x:f>
      </x:c>
      <x:c r="DM105" s="166"/>
      <x:c r="DN105" s="172" t="str">
        <x:f>IF(DC105="","",IF(DM105="","",DM105-DL105*365/DO105))</x:f>
      </x:c>
      <x:c r="DO105" s="164"/>
      <x:c r="DP105" s="172" t="str">
        <x:f>IF(DC105="","",IFERROR(DH105*(DG105/DF105-1),0))</x:f>
      </x:c>
      <x:c r="DQ105" s="147"/>
      <x:c r="DR105" s="147"/>
      <x:c r="DS105" s="147"/>
      <x:c r="DT105" s="167"/>
      <x:c r="DU105" s="167"/>
      <x:c r="DV105" s="166"/>
      <x:c r="DW105" s="171" t="str">
        <x:f>IF(DQ105="","",IFERROR(F105*DV105/DT105,0))</x:f>
      </x:c>
      <x:c r="DX105" s="171" t="str">
        <x:f>IF(DQ105="","",F105*ABS(DV105))</x:f>
      </x:c>
      <x:c r="DY105" s="165"/>
      <x:c r="DZ105" s="172" t="str">
        <x:f>IF(DQ105="","",IF(DY105="","",IFERROR(DT105/DY105-1,0)))</x:f>
      </x:c>
      <x:c r="EA105" s="166"/>
      <x:c r="EB105" s="172" t="str">
        <x:f>IF(DQ105="","",IF(EA105="","",EA105-DZ105*365/EC105))</x:f>
      </x:c>
      <x:c r="EC105" s="164"/>
      <x:c r="ED105" s="172" t="str">
        <x:f>IF(DQ105="","",IFERROR(DV105*(DU105/DT105-1),0))</x:f>
      </x:c>
      <x:c r="EE105" s="147"/>
      <x:c r="EF105" s="147"/>
      <x:c r="EG105" s="147"/>
      <x:c r="EH105" s="167"/>
      <x:c r="EI105" s="167"/>
      <x:c r="EJ105" s="166"/>
      <x:c r="EK105" s="171" t="str">
        <x:f>IF(EE105="","",IFERROR(F105*EJ105/EH105,0))</x:f>
      </x:c>
      <x:c r="EL105" s="171" t="str">
        <x:f>IF(EE105="","",F105*ABS(EJ105))</x:f>
      </x:c>
      <x:c r="EM105" s="165"/>
      <x:c r="EN105" s="172" t="str">
        <x:f>IF(EE105="","",IF(EM105="","",IFERROR(EH105/EM105-1,0)))</x:f>
      </x:c>
      <x:c r="EO105" s="166"/>
      <x:c r="EP105" s="172" t="str">
        <x:f>IF(EE105="","",IF(EO105="","",EO105-EN105*365/EQ105))</x:f>
      </x:c>
      <x:c r="EQ105" s="164"/>
      <x:c r="ER105" s="172" t="str">
        <x:f>IF(EE105="","",IFERROR(EJ105*(EI105/EH105-1),0))</x:f>
      </x:c>
      <x:c r="ES105" s="147"/>
      <x:c r="ET105" s="147"/>
      <x:c r="EU105" s="147"/>
      <x:c r="EV105" s="167"/>
      <x:c r="EW105" s="167"/>
      <x:c r="EX105" s="166"/>
      <x:c r="EY105" s="171" t="str">
        <x:f>IF(ES105="","",IFERROR(F105*EX105/EV105,0))</x:f>
      </x:c>
      <x:c r="EZ105" s="171" t="str">
        <x:f>IF(ES105="","",F105*ABS(EX105))</x:f>
      </x:c>
      <x:c r="FA105" s="165"/>
      <x:c r="FB105" s="172" t="str">
        <x:f>IF(ES105="","",IF(FA105="","",IFERROR(EV105/FA105-1,0)))</x:f>
      </x:c>
      <x:c r="FC105" s="166"/>
      <x:c r="FD105" s="172" t="str">
        <x:f>IF(ES105="","",IF(FC105="","",FC105-FB105*365/FE105))</x:f>
      </x:c>
      <x:c r="FE105" s="164"/>
      <x:c r="FF105" s="172" t="str">
        <x:f>IF(ES105="","",IFERROR(EX105*(EW105/EV105-1),0))</x:f>
      </x:c>
      <x:c r="FG105" s="147"/>
      <x:c r="FH105" s="147"/>
      <x:c r="FI105" s="147"/>
      <x:c r="FJ105" s="167"/>
      <x:c r="FK105" s="167"/>
      <x:c r="FL105" s="166"/>
      <x:c r="FM105" s="171" t="str">
        <x:f>IF(FG105="","",IFERROR(F105*FL105/FJ105,0))</x:f>
      </x:c>
      <x:c r="FN105" s="171" t="str">
        <x:f>IF(FG105="","",F105*ABS(FL105))</x:f>
      </x:c>
      <x:c r="FO105" s="165"/>
      <x:c r="FP105" s="172" t="str">
        <x:f>IF(FG105="","",IF(FO105="","",IFERROR(FJ105/FO105-1,0)))</x:f>
      </x:c>
      <x:c r="FQ105" s="166"/>
      <x:c r="FR105" s="172" t="str">
        <x:f>IF(FG105="","",IF(FQ105="","",FQ105-FP105*365/FS105))</x:f>
      </x:c>
      <x:c r="FS105" s="164"/>
      <x:c r="FT105" s="172" t="str">
        <x:f>IF(FG105="","",IFERROR(FL105*(FK105/FJ105-1),0))</x:f>
      </x:c>
    </x:row>
    <x:row r="106" ht="18" customHeight="1">
      <x:c r="A106" s="163" t="n">
        <x:v>25360</x:v>
      </x:c>
      <x:c r="B106" s="163" t="n">
        <x:v>25363</x:v>
      </x:c>
      <x:c r="C106" s="170" t="n">
        <x:f>B106-A106</x:f>
        <x:v>3</x:v>
      </x:c>
      <x:c r="D106" s="163" t="n">
        <x:v>25360</x:v>
      </x:c>
      <x:c r="E106" s="147" t="str">
        <x:v>positive</x:v>
      </x:c>
      <x:c r="F106" s="165" t="n">
        <x:v>1.3194406732361685</x:v>
      </x:c>
      <x:c r="G106" s="168" t="n">
        <x:v>-0.026385416466873583</x:v>
      </x:c>
      <x:c r="H106" s="172" t="n">
        <x:f>SUM(AX106,BL106,BZ106,CN106,DB106,DP106,ED106,ER106,FF106,FT106)</x:f>
        <x:v>-0.026385416466873604</x:v>
      </x:c>
      <x:c r="I106" s="174" t="n">
        <x:f>G106-H106</x:f>
        <x:v>2.0816681711721685e-17</x:v>
      </x:c>
      <x:c r="J106" s="171" t="n">
        <x:f>F106*(1+H106)</x:f>
        <x:v>1.2846266815695</x:v>
      </x:c>
      <x:c r="K106" s="169" t="n">
        <x:v>1.2846266815695002</x:v>
      </x:c>
      <x:c r="L106" s="175" t="n">
        <x:f>K106-J106</x:f>
        <x:v>2.220446049250313e-16</x:v>
      </x:c>
      <x:c r="M106" s="167" t="n">
        <x:v>1.749</x:v>
      </x:c>
      <x:c r="N106" s="167" t="n">
        <x:v>1.722</x:v>
      </x:c>
      <x:c r="O106" s="172" t="n">
        <x:f>IFERROR(N106/M106-1,0)</x:f>
        <x:v>-0.015437392795883409</x:v>
      </x:c>
      <x:c r="P106" s="171" t="n">
        <x:f>IFERROR(AD106/AH106,0)</x:f>
        <x:v>1.4771096845033844</x:v>
      </x:c>
      <x:c r="Q106" s="171" t="n">
        <x:f>IFERROR(AE106/AI106,0)</x:f>
        <x:v>1.4606846936777487</x:v>
      </x:c>
      <x:c r="R106" s="172" t="n">
        <x:f>IFERROR((Q106-P106)/(P106+S106),0)</x:f>
        <x:v>-0.0111196825787233</x:v>
      </x:c>
      <x:c r="S106" s="172" t="n">
        <x:f>IFERROR(AF106/AH106,0)</x:f>
        <x:v>0</x:v>
      </x:c>
      <x:c r="T106" s="172" t="n">
        <x:f>IFERROR(AG106/AI106,0)</x:f>
        <x:v>0</x:v>
      </x:c>
      <x:c r="U106" s="172" t="n">
        <x:f>IFERROR((T106-S106)/(P106+S106),0)</x:f>
        <x:v>0</x:v>
      </x:c>
      <x:c r="V106" s="172" t="n">
        <x:f>R106+U106</x:f>
        <x:v>-0.0111196825787233</x:v>
      </x:c>
      <x:c r="W106" s="172" t="n">
        <x:f>(1+O106)*(1+V106)-1</x:f>
        <x:v>-0.026385416466873424</x:v>
      </x:c>
      <x:c r="X106" s="174" t="n">
        <x:f>G106-W106</x:f>
        <x:v>-1.5959455978986625e-16</x:v>
      </x:c>
      <x:c r="Y106" s="172" t="n">
        <x:f>AX106</x:f>
        <x:v>-0.0004030647584191836</x:v>
      </x:c>
      <x:c r="Z106" s="172" t="n">
        <x:f>BL106</x:f>
        <x:v>0.0005075083503433656</x:v>
      </x:c>
      <x:c r="AA106" s="172" t="n">
        <x:f>SUM(BZ106,CN106,DB106,DP106,ED106,ER106,FF106,FT106)</x:f>
        <x:v>-0.026489860058797787</x:v>
      </x:c>
      <x:c r="AB106" s="172" t="n">
        <x:f>SUM(Y106:AA106)</x:f>
        <x:v>-0.026385416466873604</x:v>
      </x:c>
      <x:c r="AC106" s="174" t="n">
        <x:f>G106-AB106</x:f>
        <x:v>2.0816681711721685e-17</x:v>
      </x:c>
      <x:c r="AD106" s="169" t="n">
        <x:v>1.3194406732361694</x:v>
      </x:c>
      <x:c r="AE106" s="169" t="n">
        <x:v>1.284626681569501</x:v>
      </x:c>
      <x:c r="AF106" s="169" t="n">
        <x:v>0</x:v>
      </x:c>
      <x:c r="AG106" s="169" t="n">
        <x:v>0</x:v>
      </x:c>
      <x:c r="AH106" s="171" t="n">
        <x:f>M106/$M$3</x:f>
        <x:v>0.8932584269662922</x:v>
      </x:c>
      <x:c r="AI106" s="171" t="n">
        <x:f>N106/$M$3</x:f>
        <x:v>0.8794688457609806</x:v>
      </x:c>
      <x:c r="AJ106" s="170" t="n">
        <x:f>IF(AK106&lt;&gt;"",1,0)+IF(AY106&lt;&gt;"",1,0)+IF(BM106&lt;&gt;"",1,0)+IF(CA106&lt;&gt;"",1,0)+IF(CO106&lt;&gt;"",1,0)+IF(DC106&lt;&gt;"",1,0)+IF(DQ106&lt;&gt;"",1,0)+IF(EE106&lt;&gt;"",1,0)+IF(ES106&lt;&gt;"",1,0)+IF(FG106&lt;&gt;"",1,0)</x:f>
        <x:v>3</x:v>
      </x:c>
      <x:c r="AK106" s="147" t="str">
        <x:v>Silver replicating holding (LBMA/SLV proxy)</x:v>
      </x:c>
      <x:c r="AL106" s="147" t="str">
        <x:v>Physical-backed proxy</x:v>
      </x:c>
      <x:c r="AM106" s="147" t="str">
        <x:v>Long</x:v>
      </x:c>
      <x:c r="AN106" s="167" t="n">
        <x:v>1.749</x:v>
      </x:c>
      <x:c r="AO106" s="167" t="n">
        <x:v>1.722</x:v>
      </x:c>
      <x:c r="AP106" s="166" t="n">
        <x:v>0.026074932306331955</x:v>
      </x:c>
      <x:c r="AQ106" s="171" t="n">
        <x:f>IF(AK106="","",IFERROR(F106*AP106/AN106,0))</x:f>
        <x:v>0.019670855481334563</x:v>
      </x:c>
      <x:c r="AR106" s="171" t="n">
        <x:f>IF(AK106="","",F106*ABS(AP106))</x:f>
        <x:v>0.03440432623685415</x:v>
      </x:c>
      <x:c r="AS106" s="165"/>
      <x:c r="AT106" s="172" t="str">
        <x:f>IF(AK106="","",IF(AS106="","",IFERROR(AN106/AS106-1,0)))</x:f>
      </x:c>
      <x:c r="AU106" s="166"/>
      <x:c r="AV106" s="172" t="str">
        <x:f>IF(AK106="","",IF(AU106="","",AU106-AT106*365/AW106))</x:f>
      </x:c>
      <x:c r="AW106" s="164"/>
      <x:c r="AX106" s="173" t="n">
        <x:f>IF(AK106="","",IFERROR(AP106*(AO106/AN106-1-'Parameters'!$C$6*C106/365),0))</x:f>
        <x:v>-0.0004030647584191836</x:v>
      </x:c>
      <x:c r="AY106" s="147" t="str">
        <x:v>Matched-maturity Treasury collateral</x:v>
      </x:c>
      <x:c r="AZ106" s="147" t="str">
        <x:v>Treasury</x:v>
      </x:c>
      <x:c r="BA106" s="147" t="str">
        <x:v>Long</x:v>
      </x:c>
      <x:c r="BB106" s="167" t="n">
        <x:v>102.61877459405886</x:v>
      </x:c>
      <x:c r="BC106" s="167" t="n">
        <x:v>102.67224881577883</x:v>
      </x:c>
      <x:c r="BD106" s="166" t="n">
        <x:v>0.973925067693668</x:v>
      </x:c>
      <x:c r="BE106" s="171" t="n">
        <x:f>IF(AY106="","",IFERROR(F106*BD106/BB106,0))</x:f>
        <x:v>0.012522429273616681</x:v>
      </x:c>
      <x:c r="BF106" s="171" t="n">
        <x:f>IF(AY106="","",F106*ABS(BD106))</x:f>
        <x:v>1.2850363469993145</x:v>
      </x:c>
      <x:c r="BG106" s="165"/>
      <x:c r="BH106" s="172" t="str">
        <x:f>IF(AY106="","",IF(BG106="","",IFERROR(BB106/BG106-1,0)))</x:f>
      </x:c>
      <x:c r="BI106" s="166"/>
      <x:c r="BJ106" s="172" t="str">
        <x:f>IF(AY106="","",IF(BI106="","",BI106-BH106*365/BK106))</x:f>
      </x:c>
      <x:c r="BK106" s="164" t="n">
        <x:v>53</x:v>
      </x:c>
      <x:c r="BL106" s="172" t="n">
        <x:f>IF(AY106="","",IFERROR(BD106*(BC106/BB106-1),0))</x:f>
        <x:v>0.0005075083503433656</x:v>
      </x:c>
      <x:c r="BM106" s="147" t="str">
        <x:v>SI69N</x:v>
      </x:c>
      <x:c r="BN106" s="147" t="str">
        <x:v>Silver future (regular)</x:v>
      </x:c>
      <x:c r="BO106" s="147" t="str">
        <x:v>Long</x:v>
      </x:c>
      <x:c r="BP106" s="167" t="n">
        <x:v>1.7280000000000002</x:v>
      </x:c>
      <x:c r="BQ106" s="167" t="n">
        <x:v>1.681</x:v>
      </x:c>
      <x:c r="BR106" s="166" t="n">
        <x:v>0.973925067693668</x:v>
      </x:c>
      <x:c r="BS106" s="171" t="n">
        <x:f>IF(BM106="","",IFERROR(F106*BR106/BP106,0))</x:f>
        <x:v>0.743655293402381</x:v>
      </x:c>
      <x:c r="BT106" s="171" t="n">
        <x:f>IF(BM106="","",F106*ABS(BR106))</x:f>
        <x:v>1.2850363469993145</x:v>
      </x:c>
      <x:c r="BU106" s="165" t="n">
        <x:v>1.749</x:v>
      </x:c>
      <x:c r="BV106" s="172" t="n">
        <x:f>IF(BM106="","",IF(BU106="","",IFERROR(BP106/BU106-1,0)))</x:f>
        <x:v>-0.012006861063464824</x:v>
      </x:c>
      <x:c r="BW106" s="166" t="n">
        <x:v>0.0634</x:v>
      </x:c>
      <x:c r="BX106" s="172" t="n">
        <x:f>IF(BM106="","",IF(BW106="","",BW106-BV106*365/BY106))</x:f>
        <x:v>0.1460887601540502</x:v>
      </x:c>
      <x:c r="BY106" s="164" t="n">
        <x:v>53</x:v>
      </x:c>
      <x:c r="BZ106" s="172" t="n">
        <x:f>IF(BM106="","",IFERROR(BR106*(BQ106/BP106-1),0))</x:f>
        <x:v>-0.026489860058797787</x:v>
      </x:c>
      <x:c r="CA106" s="147"/>
      <x:c r="CB106" s="147"/>
      <x:c r="CC106" s="147"/>
      <x:c r="CD106" s="167"/>
      <x:c r="CE106" s="167"/>
      <x:c r="CF106" s="166"/>
      <x:c r="CG106" s="171" t="str">
        <x:f>IF(CA106="","",IFERROR(F106*CF106/CD106,0))</x:f>
      </x:c>
      <x:c r="CH106" s="171" t="str">
        <x:f>IF(CA106="","",F106*ABS(CF106))</x:f>
      </x:c>
      <x:c r="CI106" s="165"/>
      <x:c r="CJ106" s="172" t="str">
        <x:f>IF(CA106="","",IF(CI106="","",IFERROR(CD106/CI106-1,0)))</x:f>
      </x:c>
      <x:c r="CK106" s="166"/>
      <x:c r="CL106" s="172" t="str">
        <x:f>IF(CA106="","",IF(CK106="","",CK106-CJ106*365/CM106))</x:f>
      </x:c>
      <x:c r="CM106" s="164"/>
      <x:c r="CN106" s="172" t="str">
        <x:f>IF(CA106="","",IFERROR(CF106*(CE106/CD106-1),0))</x:f>
      </x:c>
      <x:c r="CO106" s="147"/>
      <x:c r="CP106" s="147"/>
      <x:c r="CQ106" s="147"/>
      <x:c r="CR106" s="167"/>
      <x:c r="CS106" s="167"/>
      <x:c r="CT106" s="166"/>
      <x:c r="CU106" s="171" t="str">
        <x:f>IF(CO106="","",IFERROR(F106*CT106/CR106,0))</x:f>
      </x:c>
      <x:c r="CV106" s="171" t="str">
        <x:f>IF(CO106="","",F106*ABS(CT106))</x:f>
      </x:c>
      <x:c r="CW106" s="165"/>
      <x:c r="CX106" s="172" t="str">
        <x:f>IF(CO106="","",IF(CW106="","",IFERROR(CR106/CW106-1,0)))</x:f>
      </x:c>
      <x:c r="CY106" s="166"/>
      <x:c r="CZ106" s="172" t="str">
        <x:f>IF(CO106="","",IF(CY106="","",CY106-CX106*365/DA106))</x:f>
      </x:c>
      <x:c r="DA106" s="164"/>
      <x:c r="DB106" s="172" t="str">
        <x:f>IF(CO106="","",IFERROR(CT106*(CS106/CR106-1),0))</x:f>
      </x:c>
      <x:c r="DC106" s="147"/>
      <x:c r="DD106" s="147"/>
      <x:c r="DE106" s="147"/>
      <x:c r="DF106" s="167"/>
      <x:c r="DG106" s="167"/>
      <x:c r="DH106" s="166"/>
      <x:c r="DI106" s="171" t="str">
        <x:f>IF(DC106="","",IFERROR(F106*DH106/DF106,0))</x:f>
      </x:c>
      <x:c r="DJ106" s="171" t="str">
        <x:f>IF(DC106="","",F106*ABS(DH106))</x:f>
      </x:c>
      <x:c r="DK106" s="165"/>
      <x:c r="DL106" s="172" t="str">
        <x:f>IF(DC106="","",IF(DK106="","",IFERROR(DF106/DK106-1,0)))</x:f>
      </x:c>
      <x:c r="DM106" s="166"/>
      <x:c r="DN106" s="172" t="str">
        <x:f>IF(DC106="","",IF(DM106="","",DM106-DL106*365/DO106))</x:f>
      </x:c>
      <x:c r="DO106" s="164"/>
      <x:c r="DP106" s="172" t="str">
        <x:f>IF(DC106="","",IFERROR(DH106*(DG106/DF106-1),0))</x:f>
      </x:c>
      <x:c r="DQ106" s="147"/>
      <x:c r="DR106" s="147"/>
      <x:c r="DS106" s="147"/>
      <x:c r="DT106" s="167"/>
      <x:c r="DU106" s="167"/>
      <x:c r="DV106" s="166"/>
      <x:c r="DW106" s="171" t="str">
        <x:f>IF(DQ106="","",IFERROR(F106*DV106/DT106,0))</x:f>
      </x:c>
      <x:c r="DX106" s="171" t="str">
        <x:f>IF(DQ106="","",F106*ABS(DV106))</x:f>
      </x:c>
      <x:c r="DY106" s="165"/>
      <x:c r="DZ106" s="172" t="str">
        <x:f>IF(DQ106="","",IF(DY106="","",IFERROR(DT106/DY106-1,0)))</x:f>
      </x:c>
      <x:c r="EA106" s="166"/>
      <x:c r="EB106" s="172" t="str">
        <x:f>IF(DQ106="","",IF(EA106="","",EA106-DZ106*365/EC106))</x:f>
      </x:c>
      <x:c r="EC106" s="164"/>
      <x:c r="ED106" s="172" t="str">
        <x:f>IF(DQ106="","",IFERROR(DV106*(DU106/DT106-1),0))</x:f>
      </x:c>
      <x:c r="EE106" s="147"/>
      <x:c r="EF106" s="147"/>
      <x:c r="EG106" s="147"/>
      <x:c r="EH106" s="167"/>
      <x:c r="EI106" s="167"/>
      <x:c r="EJ106" s="166"/>
      <x:c r="EK106" s="171" t="str">
        <x:f>IF(EE106="","",IFERROR(F106*EJ106/EH106,0))</x:f>
      </x:c>
      <x:c r="EL106" s="171" t="str">
        <x:f>IF(EE106="","",F106*ABS(EJ106))</x:f>
      </x:c>
      <x:c r="EM106" s="165"/>
      <x:c r="EN106" s="172" t="str">
        <x:f>IF(EE106="","",IF(EM106="","",IFERROR(EH106/EM106-1,0)))</x:f>
      </x:c>
      <x:c r="EO106" s="166"/>
      <x:c r="EP106" s="172" t="str">
        <x:f>IF(EE106="","",IF(EO106="","",EO106-EN106*365/EQ106))</x:f>
      </x:c>
      <x:c r="EQ106" s="164"/>
      <x:c r="ER106" s="172" t="str">
        <x:f>IF(EE106="","",IFERROR(EJ106*(EI106/EH106-1),0))</x:f>
      </x:c>
      <x:c r="ES106" s="147"/>
      <x:c r="ET106" s="147"/>
      <x:c r="EU106" s="147"/>
      <x:c r="EV106" s="167"/>
      <x:c r="EW106" s="167"/>
      <x:c r="EX106" s="166"/>
      <x:c r="EY106" s="171" t="str">
        <x:f>IF(ES106="","",IFERROR(F106*EX106/EV106,0))</x:f>
      </x:c>
      <x:c r="EZ106" s="171" t="str">
        <x:f>IF(ES106="","",F106*ABS(EX106))</x:f>
      </x:c>
      <x:c r="FA106" s="165"/>
      <x:c r="FB106" s="172" t="str">
        <x:f>IF(ES106="","",IF(FA106="","",IFERROR(EV106/FA106-1,0)))</x:f>
      </x:c>
      <x:c r="FC106" s="166"/>
      <x:c r="FD106" s="172" t="str">
        <x:f>IF(ES106="","",IF(FC106="","",FC106-FB106*365/FE106))</x:f>
      </x:c>
      <x:c r="FE106" s="164"/>
      <x:c r="FF106" s="172" t="str">
        <x:f>IF(ES106="","",IFERROR(EX106*(EW106/EV106-1),0))</x:f>
      </x:c>
      <x:c r="FG106" s="147"/>
      <x:c r="FH106" s="147"/>
      <x:c r="FI106" s="147"/>
      <x:c r="FJ106" s="167"/>
      <x:c r="FK106" s="167"/>
      <x:c r="FL106" s="166"/>
      <x:c r="FM106" s="171" t="str">
        <x:f>IF(FG106="","",IFERROR(F106*FL106/FJ106,0))</x:f>
      </x:c>
      <x:c r="FN106" s="171" t="str">
        <x:f>IF(FG106="","",F106*ABS(FL106))</x:f>
      </x:c>
      <x:c r="FO106" s="165"/>
      <x:c r="FP106" s="172" t="str">
        <x:f>IF(FG106="","",IF(FO106="","",IFERROR(FJ106/FO106-1,0)))</x:f>
      </x:c>
      <x:c r="FQ106" s="166"/>
      <x:c r="FR106" s="172" t="str">
        <x:f>IF(FG106="","",IF(FQ106="","",FQ106-FP106*365/FS106))</x:f>
      </x:c>
      <x:c r="FS106" s="164"/>
      <x:c r="FT106" s="172" t="str">
        <x:f>IF(FG106="","",IFERROR(FL106*(FK106/FJ106-1),0))</x:f>
      </x:c>
    </x:row>
    <x:row r="107" ht="18" customHeight="1">
      <x:c r="A107" s="163" t="n">
        <x:v>25363</x:v>
      </x:c>
      <x:c r="B107" s="163" t="n">
        <x:v>25364</x:v>
      </x:c>
      <x:c r="C107" s="170" t="n">
        <x:f>B107-A107</x:f>
        <x:v>1</x:v>
      </x:c>
      <x:c r="D107" s="163" t="n">
        <x:v>25363</x:v>
      </x:c>
      <x:c r="E107" s="147" t="str">
        <x:v>positive</x:v>
      </x:c>
      <x:c r="F107" s="165" t="n">
        <x:v>1.2846266815695002</x:v>
      </x:c>
      <x:c r="G107" s="168" t="n">
        <x:v>-0.00874654763553986</x:v>
      </x:c>
      <x:c r="H107" s="172" t="n">
        <x:f>SUM(AX107,BL107,BZ107,CN107,DB107,DP107,ED107,ER107,FF107,FT107)</x:f>
        <x:v>-0.008746547635539947</x:v>
      </x:c>
      <x:c r="I107" s="174" t="n">
        <x:f>G107-H107</x:f>
        <x:v>8.673617379884035e-17</x:v>
      </x:c>
      <x:c r="J107" s="171" t="n">
        <x:f>F107*(1+H107)</x:f>
        <x:v>1.273390633105267</x:v>
      </x:c>
      <x:c r="K107" s="169" t="n">
        <x:v>1.2733906331052671</x:v>
      </x:c>
      <x:c r="L107" s="175" t="n">
        <x:f>K107-J107</x:f>
        <x:v>2.220446049250313e-16</x:v>
      </x:c>
      <x:c r="M107" s="167" t="n">
        <x:v>1.722</x:v>
      </x:c>
      <x:c r="N107" s="167" t="n">
        <x:v>1.687</x:v>
      </x:c>
      <x:c r="O107" s="172" t="n">
        <x:f>IFERROR(N107/M107-1,0)</x:f>
        <x:v>-0.020325203252032464</x:v>
      </x:c>
      <x:c r="P107" s="171" t="n">
        <x:f>IFERROR(AD107/AH107,0)</x:f>
        <x:v>1.4606846936777487</x:v>
      </x:c>
      <x:c r="Q107" s="171" t="n">
        <x:f>IFERROR(AE107/AI107,0)</x:f>
        <x:v>1.4779483459514609</x:v>
      </x:c>
      <x:c r="R107" s="172" t="n">
        <x:f>IFERROR((Q107-P107)/(P107+S107),0)</x:f>
        <x:v>0.011818876687374141</x:v>
      </x:c>
      <x:c r="S107" s="172" t="n">
        <x:f>IFERROR(AF107/AH107,0)</x:f>
        <x:v>0</x:v>
      </x:c>
      <x:c r="T107" s="172" t="n">
        <x:f>IFERROR(AG107/AI107,0)</x:f>
        <x:v>0</x:v>
      </x:c>
      <x:c r="U107" s="172" t="n">
        <x:f>IFERROR((T107-S107)/(P107+S107),0)</x:f>
        <x:v>0</x:v>
      </x:c>
      <x:c r="V107" s="172" t="n">
        <x:f>R107+U107</x:f>
        <x:v>0.011818876687374141</x:v>
      </x:c>
      <x:c r="W107" s="172" t="n">
        <x:f>(1+O107)*(1+V107)-1</x:f>
        <x:v>-0.008746547635539947</x:v>
      </x:c>
      <x:c r="X107" s="174" t="n">
        <x:f>G107-W107</x:f>
        <x:v>8.673617379884035e-17</x:v>
      </x:c>
      <x:c r="Y107" s="172" t="str">
        <x:f>AX107</x:f>
      </x:c>
      <x:c r="Z107" s="172" t="n">
        <x:f>BL107</x:f>
        <x:v>0.0001767123287670369</x:v>
      </x:c>
      <x:c r="AA107" s="172" t="n">
        <x:f>SUM(BZ107,CN107,DB107,DP107,ED107,ER107,FF107,FT107)</x:f>
        <x:v>-0.008923259964306984</x:v>
      </x:c>
      <x:c r="AB107" s="172" t="n">
        <x:f>SUM(Y107:AA107)</x:f>
        <x:v>-0.008746547635539947</x:v>
      </x:c>
      <x:c r="AC107" s="174" t="n">
        <x:f>G107-AB107</x:f>
        <x:v>8.673617379884035e-17</x:v>
      </x:c>
      <x:c r="AD107" s="169" t="n">
        <x:v>1.284626681569501</x:v>
      </x:c>
      <x:c r="AE107" s="169" t="n">
        <x:v>1.273390633105268</x:v>
      </x:c>
      <x:c r="AF107" s="169" t="n">
        <x:v>0</x:v>
      </x:c>
      <x:c r="AG107" s="169" t="n">
        <x:v>0</x:v>
      </x:c>
      <x:c r="AH107" s="171" t="n">
        <x:f>M107/$M$3</x:f>
        <x:v>0.8794688457609806</x:v>
      </x:c>
      <x:c r="AI107" s="171" t="n">
        <x:f>N107/$M$3</x:f>
        <x:v>0.8615934627170583</x:v>
      </x:c>
      <x:c r="AJ107" s="170" t="n">
        <x:f>IF(AK107&lt;&gt;"",1,0)+IF(AY107&lt;&gt;"",1,0)+IF(BM107&lt;&gt;"",1,0)+IF(CA107&lt;&gt;"",1,0)+IF(CO107&lt;&gt;"",1,0)+IF(DC107&lt;&gt;"",1,0)+IF(DQ107&lt;&gt;"",1,0)+IF(EE107&lt;&gt;"",1,0)+IF(ES107&lt;&gt;"",1,0)+IF(FG107&lt;&gt;"",1,0)</x:f>
        <x:v>2</x:v>
      </x:c>
      <x:c r="AK107" s="147"/>
      <x:c r="AL107" s="147"/>
      <x:c r="AM107" s="147"/>
      <x:c r="AN107" s="167"/>
      <x:c r="AO107" s="167"/>
      <x:c r="AP107" s="166"/>
      <x:c r="AQ107" s="171" t="str">
        <x:f>IF(AK107="","",IFERROR(F107*AP107/AN107,0))</x:f>
      </x:c>
      <x:c r="AR107" s="171" t="str">
        <x:f>IF(AK107="","",F107*ABS(AP107))</x:f>
      </x:c>
      <x:c r="AS107" s="165"/>
      <x:c r="AT107" s="172" t="str">
        <x:f>IF(AK107="","",IF(AS107="","",IFERROR(AN107/AS107-1,0)))</x:f>
      </x:c>
      <x:c r="AU107" s="166"/>
      <x:c r="AV107" s="172" t="str">
        <x:f>IF(AK107="","",IF(AU107="","",AU107-AT107*365/AW107))</x:f>
      </x:c>
      <x:c r="AW107" s="164"/>
      <x:c r="AX107" s="173" t="str">
        <x:f>IF(AK107="","",IFERROR(AP107*(AO107/AN107-1),0))</x:f>
      </x:c>
      <x:c r="AY107" s="147" t="str">
        <x:v>Matched-maturity Treasury collateral</x:v>
      </x:c>
      <x:c r="AZ107" s="147" t="str">
        <x:v>Treasury</x:v>
      </x:c>
      <x:c r="BA107" s="147" t="str">
        <x:v>Long</x:v>
      </x:c>
      <x:c r="BB107" s="167" t="n">
        <x:v>102.67224881577883</x:v>
      </x:c>
      <x:c r="BC107" s="167" t="n">
        <x:v>102.69039226796681</x:v>
      </x:c>
      <x:c r="BD107" s="166" t="n">
        <x:v>1</x:v>
      </x:c>
      <x:c r="BE107" s="171" t="n">
        <x:f>IF(AY107="","",IFERROR(F107*BD107/BB107,0))</x:f>
        <x:v>0.012511917255016594</x:v>
      </x:c>
      <x:c r="BF107" s="171" t="n">
        <x:f>IF(AY107="","",F107*ABS(BD107))</x:f>
        <x:v>1.2846266815695002</x:v>
      </x:c>
      <x:c r="BG107" s="165"/>
      <x:c r="BH107" s="172" t="str">
        <x:f>IF(AY107="","",IF(BG107="","",IFERROR(BB107/BG107-1,0)))</x:f>
      </x:c>
      <x:c r="BI107" s="166"/>
      <x:c r="BJ107" s="172" t="str">
        <x:f>IF(AY107="","",IF(BI107="","",BI107-BH107*365/BK107))</x:f>
      </x:c>
      <x:c r="BK107" s="164" t="n">
        <x:v>50</x:v>
      </x:c>
      <x:c r="BL107" s="172" t="n">
        <x:f>IF(AY107="","",IFERROR(BD107*(BC107/BB107-1),0))</x:f>
        <x:v>0.0001767123287670369</x:v>
      </x:c>
      <x:c r="BM107" s="147" t="str">
        <x:v>SI69N</x:v>
      </x:c>
      <x:c r="BN107" s="147" t="str">
        <x:v>Silver future (regular)</x:v>
      </x:c>
      <x:c r="BO107" s="147" t="str">
        <x:v>Long</x:v>
      </x:c>
      <x:c r="BP107" s="167" t="n">
        <x:v>1.681</x:v>
      </x:c>
      <x:c r="BQ107" s="167" t="n">
        <x:v>1.666</x:v>
      </x:c>
      <x:c r="BR107" s="166" t="n">
        <x:v>1</x:v>
      </x:c>
      <x:c r="BS107" s="171" t="n">
        <x:f>IF(BM107="","",IFERROR(F107*BR107/BP107,0))</x:f>
        <x:v>0.7642038557819751</x:v>
      </x:c>
      <x:c r="BT107" s="171" t="n">
        <x:f>IF(BM107="","",F107*ABS(BR107))</x:f>
        <x:v>1.2846266815695002</x:v>
      </x:c>
      <x:c r="BU107" s="165" t="n">
        <x:v>1.722</x:v>
      </x:c>
      <x:c r="BV107" s="172" t="n">
        <x:f>IF(BM107="","",IF(BU107="","",IFERROR(BP107/BU107-1,0)))</x:f>
        <x:v>-0.023809523809523725</x:v>
      </x:c>
      <x:c r="BW107" s="166" t="n">
        <x:v>0.0645</x:v>
      </x:c>
      <x:c r="BX107" s="172" t="n">
        <x:f>IF(BM107="","",IF(BW107="","",BW107-BV107*365/BY107))</x:f>
        <x:v>0.2383095238095232</x:v>
      </x:c>
      <x:c r="BY107" s="164" t="n">
        <x:v>50</x:v>
      </x:c>
      <x:c r="BZ107" s="172" t="n">
        <x:f>IF(BM107="","",IFERROR(BR107*(BQ107/BP107-1),0))</x:f>
        <x:v>-0.008923259964306984</x:v>
      </x:c>
      <x:c r="CA107" s="147"/>
      <x:c r="CB107" s="147"/>
      <x:c r="CC107" s="147"/>
      <x:c r="CD107" s="167"/>
      <x:c r="CE107" s="167"/>
      <x:c r="CF107" s="166"/>
      <x:c r="CG107" s="171" t="str">
        <x:f>IF(CA107="","",IFERROR(F107*CF107/CD107,0))</x:f>
      </x:c>
      <x:c r="CH107" s="171" t="str">
        <x:f>IF(CA107="","",F107*ABS(CF107))</x:f>
      </x:c>
      <x:c r="CI107" s="165"/>
      <x:c r="CJ107" s="172" t="str">
        <x:f>IF(CA107="","",IF(CI107="","",IFERROR(CD107/CI107-1,0)))</x:f>
      </x:c>
      <x:c r="CK107" s="166"/>
      <x:c r="CL107" s="172" t="str">
        <x:f>IF(CA107="","",IF(CK107="","",CK107-CJ107*365/CM107))</x:f>
      </x:c>
      <x:c r="CM107" s="164"/>
      <x:c r="CN107" s="172" t="str">
        <x:f>IF(CA107="","",IFERROR(CF107*(CE107/CD107-1),0))</x:f>
      </x:c>
      <x:c r="CO107" s="147"/>
      <x:c r="CP107" s="147"/>
      <x:c r="CQ107" s="147"/>
      <x:c r="CR107" s="167"/>
      <x:c r="CS107" s="167"/>
      <x:c r="CT107" s="166"/>
      <x:c r="CU107" s="171" t="str">
        <x:f>IF(CO107="","",IFERROR(F107*CT107/CR107,0))</x:f>
      </x:c>
      <x:c r="CV107" s="171" t="str">
        <x:f>IF(CO107="","",F107*ABS(CT107))</x:f>
      </x:c>
      <x:c r="CW107" s="165"/>
      <x:c r="CX107" s="172" t="str">
        <x:f>IF(CO107="","",IF(CW107="","",IFERROR(CR107/CW107-1,0)))</x:f>
      </x:c>
      <x:c r="CY107" s="166"/>
      <x:c r="CZ107" s="172" t="str">
        <x:f>IF(CO107="","",IF(CY107="","",CY107-CX107*365/DA107))</x:f>
      </x:c>
      <x:c r="DA107" s="164"/>
      <x:c r="DB107" s="172" t="str">
        <x:f>IF(CO107="","",IFERROR(CT107*(CS107/CR107-1),0))</x:f>
      </x:c>
      <x:c r="DC107" s="147"/>
      <x:c r="DD107" s="147"/>
      <x:c r="DE107" s="147"/>
      <x:c r="DF107" s="167"/>
      <x:c r="DG107" s="167"/>
      <x:c r="DH107" s="166"/>
      <x:c r="DI107" s="171" t="str">
        <x:f>IF(DC107="","",IFERROR(F107*DH107/DF107,0))</x:f>
      </x:c>
      <x:c r="DJ107" s="171" t="str">
        <x:f>IF(DC107="","",F107*ABS(DH107))</x:f>
      </x:c>
      <x:c r="DK107" s="165"/>
      <x:c r="DL107" s="172" t="str">
        <x:f>IF(DC107="","",IF(DK107="","",IFERROR(DF107/DK107-1,0)))</x:f>
      </x:c>
      <x:c r="DM107" s="166"/>
      <x:c r="DN107" s="172" t="str">
        <x:f>IF(DC107="","",IF(DM107="","",DM107-DL107*365/DO107))</x:f>
      </x:c>
      <x:c r="DO107" s="164"/>
      <x:c r="DP107" s="172" t="str">
        <x:f>IF(DC107="","",IFERROR(DH107*(DG107/DF107-1),0))</x:f>
      </x:c>
      <x:c r="DQ107" s="147"/>
      <x:c r="DR107" s="147"/>
      <x:c r="DS107" s="147"/>
      <x:c r="DT107" s="167"/>
      <x:c r="DU107" s="167"/>
      <x:c r="DV107" s="166"/>
      <x:c r="DW107" s="171" t="str">
        <x:f>IF(DQ107="","",IFERROR(F107*DV107/DT107,0))</x:f>
      </x:c>
      <x:c r="DX107" s="171" t="str">
        <x:f>IF(DQ107="","",F107*ABS(DV107))</x:f>
      </x:c>
      <x:c r="DY107" s="165"/>
      <x:c r="DZ107" s="172" t="str">
        <x:f>IF(DQ107="","",IF(DY107="","",IFERROR(DT107/DY107-1,0)))</x:f>
      </x:c>
      <x:c r="EA107" s="166"/>
      <x:c r="EB107" s="172" t="str">
        <x:f>IF(DQ107="","",IF(EA107="","",EA107-DZ107*365/EC107))</x:f>
      </x:c>
      <x:c r="EC107" s="164"/>
      <x:c r="ED107" s="172" t="str">
        <x:f>IF(DQ107="","",IFERROR(DV107*(DU107/DT107-1),0))</x:f>
      </x:c>
      <x:c r="EE107" s="147"/>
      <x:c r="EF107" s="147"/>
      <x:c r="EG107" s="147"/>
      <x:c r="EH107" s="167"/>
      <x:c r="EI107" s="167"/>
      <x:c r="EJ107" s="166"/>
      <x:c r="EK107" s="171" t="str">
        <x:f>IF(EE107="","",IFERROR(F107*EJ107/EH107,0))</x:f>
      </x:c>
      <x:c r="EL107" s="171" t="str">
        <x:f>IF(EE107="","",F107*ABS(EJ107))</x:f>
      </x:c>
      <x:c r="EM107" s="165"/>
      <x:c r="EN107" s="172" t="str">
        <x:f>IF(EE107="","",IF(EM107="","",IFERROR(EH107/EM107-1,0)))</x:f>
      </x:c>
      <x:c r="EO107" s="166"/>
      <x:c r="EP107" s="172" t="str">
        <x:f>IF(EE107="","",IF(EO107="","",EO107-EN107*365/EQ107))</x:f>
      </x:c>
      <x:c r="EQ107" s="164"/>
      <x:c r="ER107" s="172" t="str">
        <x:f>IF(EE107="","",IFERROR(EJ107*(EI107/EH107-1),0))</x:f>
      </x:c>
      <x:c r="ES107" s="147"/>
      <x:c r="ET107" s="147"/>
      <x:c r="EU107" s="147"/>
      <x:c r="EV107" s="167"/>
      <x:c r="EW107" s="167"/>
      <x:c r="EX107" s="166"/>
      <x:c r="EY107" s="171" t="str">
        <x:f>IF(ES107="","",IFERROR(F107*EX107/EV107,0))</x:f>
      </x:c>
      <x:c r="EZ107" s="171" t="str">
        <x:f>IF(ES107="","",F107*ABS(EX107))</x:f>
      </x:c>
      <x:c r="FA107" s="165"/>
      <x:c r="FB107" s="172" t="str">
        <x:f>IF(ES107="","",IF(FA107="","",IFERROR(EV107/FA107-1,0)))</x:f>
      </x:c>
      <x:c r="FC107" s="166"/>
      <x:c r="FD107" s="172" t="str">
        <x:f>IF(ES107="","",IF(FC107="","",FC107-FB107*365/FE107))</x:f>
      </x:c>
      <x:c r="FE107" s="164"/>
      <x:c r="FF107" s="172" t="str">
        <x:f>IF(ES107="","",IFERROR(EX107*(EW107/EV107-1),0))</x:f>
      </x:c>
      <x:c r="FG107" s="147"/>
      <x:c r="FH107" s="147"/>
      <x:c r="FI107" s="147"/>
      <x:c r="FJ107" s="167"/>
      <x:c r="FK107" s="167"/>
      <x:c r="FL107" s="166"/>
      <x:c r="FM107" s="171" t="str">
        <x:f>IF(FG107="","",IFERROR(F107*FL107/FJ107,0))</x:f>
      </x:c>
      <x:c r="FN107" s="171" t="str">
        <x:f>IF(FG107="","",F107*ABS(FL107))</x:f>
      </x:c>
      <x:c r="FO107" s="165"/>
      <x:c r="FP107" s="172" t="str">
        <x:f>IF(FG107="","",IF(FO107="","",IFERROR(FJ107/FO107-1,0)))</x:f>
      </x:c>
      <x:c r="FQ107" s="166"/>
      <x:c r="FR107" s="172" t="str">
        <x:f>IF(FG107="","",IF(FQ107="","",FQ107-FP107*365/FS107))</x:f>
      </x:c>
      <x:c r="FS107" s="164"/>
      <x:c r="FT107" s="172" t="str">
        <x:f>IF(FG107="","",IFERROR(FL107*(FK107/FJ107-1),0))</x:f>
      </x:c>
    </x:row>
    <x:row r="108" ht="18" customHeight="1">
      <x:c r="A108" s="163" t="n">
        <x:v>25364</x:v>
      </x:c>
      <x:c r="B108" s="163" t="n">
        <x:v>25365</x:v>
      </x:c>
      <x:c r="C108" s="170" t="n">
        <x:f>B108-A108</x:f>
        <x:v>1</x:v>
      </x:c>
      <x:c r="D108" s="163" t="n">
        <x:v>25364</x:v>
      </x:c>
      <x:c r="E108" s="147" t="str">
        <x:v>positive</x:v>
      </x:c>
      <x:c r="F108" s="165" t="n">
        <x:v>1.2733906331052671</x:v>
      </x:c>
      <x:c r="G108" s="168" t="n">
        <x:v>-0.006421271193408799</x:v>
      </x:c>
      <x:c r="H108" s="172" t="n">
        <x:f>SUM(AX108,BL108,BZ108,CN108,DB108,DP108,ED108,ER108,FF108,FT108)</x:f>
        <x:v>-0.006421271193408739</x:v>
      </x:c>
      <x:c r="I108" s="174" t="n">
        <x:f>G108-H108</x:f>
        <x:v>-5.984795992119984e-17</x:v>
      </x:c>
      <x:c r="J108" s="171" t="n">
        <x:f>F108*(1+H108)</x:f>
        <x:v>1.2652138465149518</x:v>
      </x:c>
      <x:c r="K108" s="169" t="n">
        <x:v>1.2652138465149516</x:v>
      </x:c>
      <x:c r="L108" s="175" t="n">
        <x:f>K108-J108</x:f>
        <x:v>-2.220446049250313e-16</x:v>
      </x:c>
      <x:c r="M108" s="167" t="n">
        <x:v>1.687</x:v>
      </x:c>
      <x:c r="N108" s="167" t="n">
        <x:v>1.684</x:v>
      </x:c>
      <x:c r="O108" s="172" t="n">
        <x:f>IFERROR(N108/M108-1,0)</x:f>
        <x:v>-0.001778304682869103</x:v>
      </x:c>
      <x:c r="P108" s="171" t="n">
        <x:f>IFERROR(AD108/AH108,0)</x:f>
        <x:v>1.4779483459514609</x:v>
      </x:c>
      <x:c r="Q108" s="171" t="n">
        <x:f>IFERROR(AE108/AI108,0)</x:f>
        <x:v>1.4710740566961267</x:v>
      </x:c>
      <x:c r="R108" s="172" t="n">
        <x:f>IFERROR((Q108-P108)/(P108+S108),0)</x:f>
        <x:v>-0.004651237828551244</x:v>
      </x:c>
      <x:c r="S108" s="172" t="n">
        <x:f>IFERROR(AF108/AH108,0)</x:f>
        <x:v>0</x:v>
      </x:c>
      <x:c r="T108" s="172" t="n">
        <x:f>IFERROR(AG108/AI108,0)</x:f>
        <x:v>0</x:v>
      </x:c>
      <x:c r="U108" s="172" t="n">
        <x:f>IFERROR((T108-S108)/(P108+S108),0)</x:f>
        <x:v>0</x:v>
      </x:c>
      <x:c r="V108" s="172" t="n">
        <x:f>R108+U108</x:f>
        <x:v>-0.004651237828551244</x:v>
      </x:c>
      <x:c r="W108" s="172" t="n">
        <x:f>(1+O108)*(1+V108)-1</x:f>
        <x:v>-0.00642127119340874</x:v>
      </x:c>
      <x:c r="X108" s="174" t="n">
        <x:f>G108-W108</x:f>
        <x:v>-5.898059818321144e-17</x:v>
      </x:c>
      <x:c r="Y108" s="172" t="str">
        <x:f>AX108</x:f>
      </x:c>
      <x:c r="Z108" s="172" t="n">
        <x:f>BL108</x:f>
        <x:v>0.00018136986301375835</x:v>
      </x:c>
      <x:c r="AA108" s="172" t="n">
        <x:f>SUM(BZ108,CN108,DB108,DP108,ED108,ER108,FF108,FT108)</x:f>
        <x:v>-0.006602641056422497</x:v>
      </x:c>
      <x:c r="AB108" s="172" t="n">
        <x:f>SUM(Y108:AA108)</x:f>
        <x:v>-0.006421271193408739</x:v>
      </x:c>
      <x:c r="AC108" s="174" t="n">
        <x:f>G108-AB108</x:f>
        <x:v>-5.984795992119984e-17</x:v>
      </x:c>
      <x:c r="AD108" s="169" t="n">
        <x:v>1.273390633105268</x:v>
      </x:c>
      <x:c r="AE108" s="169" t="n">
        <x:v>1.2652138465149525</x:v>
      </x:c>
      <x:c r="AF108" s="169" t="n">
        <x:v>0</x:v>
      </x:c>
      <x:c r="AG108" s="169" t="n">
        <x:v>0</x:v>
      </x:c>
      <x:c r="AH108" s="171" t="n">
        <x:f>M108/$M$3</x:f>
        <x:v>0.8615934627170583</x:v>
      </x:c>
      <x:c r="AI108" s="171" t="n">
        <x:f>N108/$M$3</x:f>
        <x:v>0.8600612870275791</x:v>
      </x:c>
      <x:c r="AJ108" s="170" t="n">
        <x:f>IF(AK108&lt;&gt;"",1,0)+IF(AY108&lt;&gt;"",1,0)+IF(BM108&lt;&gt;"",1,0)+IF(CA108&lt;&gt;"",1,0)+IF(CO108&lt;&gt;"",1,0)+IF(DC108&lt;&gt;"",1,0)+IF(DQ108&lt;&gt;"",1,0)+IF(EE108&lt;&gt;"",1,0)+IF(ES108&lt;&gt;"",1,0)+IF(FG108&lt;&gt;"",1,0)</x:f>
        <x:v>2</x:v>
      </x:c>
      <x:c r="AK108" s="147"/>
      <x:c r="AL108" s="147"/>
      <x:c r="AM108" s="147"/>
      <x:c r="AN108" s="167"/>
      <x:c r="AO108" s="167"/>
      <x:c r="AP108" s="166"/>
      <x:c r="AQ108" s="171" t="str">
        <x:f>IF(AK108="","",IFERROR(F108*AP108/AN108,0))</x:f>
      </x:c>
      <x:c r="AR108" s="171" t="str">
        <x:f>IF(AK108="","",F108*ABS(AP108))</x:f>
      </x:c>
      <x:c r="AS108" s="165"/>
      <x:c r="AT108" s="172" t="str">
        <x:f>IF(AK108="","",IF(AS108="","",IFERROR(AN108/AS108-1,0)))</x:f>
      </x:c>
      <x:c r="AU108" s="166"/>
      <x:c r="AV108" s="172" t="str">
        <x:f>IF(AK108="","",IF(AU108="","",AU108-AT108*365/AW108))</x:f>
      </x:c>
      <x:c r="AW108" s="164"/>
      <x:c r="AX108" s="173" t="str">
        <x:f>IF(AK108="","",IFERROR(AP108*(AO108/AN108-1),0))</x:f>
      </x:c>
      <x:c r="AY108" s="147" t="str">
        <x:v>Matched-maturity Treasury collateral</x:v>
      </x:c>
      <x:c r="AZ108" s="147" t="str">
        <x:v>Treasury</x:v>
      </x:c>
      <x:c r="BA108" s="147" t="str">
        <x:v>Long</x:v>
      </x:c>
      <x:c r="BB108" s="167" t="n">
        <x:v>102.69039226796681</x:v>
      </x:c>
      <x:c r="BC108" s="167" t="n">
        <x:v>102.7090172103453</x:v>
      </x:c>
      <x:c r="BD108" s="166" t="n">
        <x:v>1</x:v>
      </x:c>
      <x:c r="BE108" s="171" t="n">
        <x:f>IF(AY108="","",IFERROR(F108*BD108/BB108,0))</x:f>
        <x:v>0.012400289890629699</x:v>
      </x:c>
      <x:c r="BF108" s="171" t="n">
        <x:f>IF(AY108="","",F108*ABS(BD108))</x:f>
        <x:v>1.2733906331052671</x:v>
      </x:c>
      <x:c r="BG108" s="165"/>
      <x:c r="BH108" s="172" t="str">
        <x:f>IF(AY108="","",IF(BG108="","",IFERROR(BB108/BG108-1,0)))</x:f>
      </x:c>
      <x:c r="BI108" s="166"/>
      <x:c r="BJ108" s="172" t="str">
        <x:f>IF(AY108="","",IF(BI108="","",BI108-BH108*365/BK108))</x:f>
      </x:c>
      <x:c r="BK108" s="164" t="n">
        <x:v>49</x:v>
      </x:c>
      <x:c r="BL108" s="172" t="n">
        <x:f>IF(AY108="","",IFERROR(BD108*(BC108/BB108-1),0))</x:f>
        <x:v>0.00018136986301375835</x:v>
      </x:c>
      <x:c r="BM108" s="147" t="str">
        <x:v>SI69N</x:v>
      </x:c>
      <x:c r="BN108" s="147" t="str">
        <x:v>Silver future (regular)</x:v>
      </x:c>
      <x:c r="BO108" s="147" t="str">
        <x:v>Long</x:v>
      </x:c>
      <x:c r="BP108" s="167" t="n">
        <x:v>1.666</x:v>
      </x:c>
      <x:c r="BQ108" s="167" t="n">
        <x:v>1.655</x:v>
      </x:c>
      <x:c r="BR108" s="166" t="n">
        <x:v>0.9999999999999999</x:v>
      </x:c>
      <x:c r="BS108" s="171" t="n">
        <x:f>IF(BM108="","",IFERROR(F108*BR108/BP108,0))</x:f>
        <x:v>0.764340115909524</x:v>
      </x:c>
      <x:c r="BT108" s="171" t="n">
        <x:f>IF(BM108="","",F108*ABS(BR108))</x:f>
        <x:v>1.273390633105267</x:v>
      </x:c>
      <x:c r="BU108" s="165" t="n">
        <x:v>1.687</x:v>
      </x:c>
      <x:c r="BV108" s="172" t="n">
        <x:f>IF(BM108="","",IF(BU108="","",IFERROR(BP108/BU108-1,0)))</x:f>
        <x:v>-0.012448132780083054</x:v>
      </x:c>
      <x:c r="BW108" s="166" t="n">
        <x:v>0.0662</x:v>
      </x:c>
      <x:c r="BX108" s="172" t="n">
        <x:f>IF(BM108="","",IF(BW108="","",BW108-BV108*365/BY108))</x:f>
        <x:v>0.15892588703531255</x:v>
      </x:c>
      <x:c r="BY108" s="164" t="n">
        <x:v>49</x:v>
      </x:c>
      <x:c r="BZ108" s="172" t="n">
        <x:f>IF(BM108="","",IFERROR(BR108*(BQ108/BP108-1),0))</x:f>
        <x:v>-0.006602641056422497</x:v>
      </x:c>
      <x:c r="CA108" s="147"/>
      <x:c r="CB108" s="147"/>
      <x:c r="CC108" s="147"/>
      <x:c r="CD108" s="167"/>
      <x:c r="CE108" s="167"/>
      <x:c r="CF108" s="166"/>
      <x:c r="CG108" s="171" t="str">
        <x:f>IF(CA108="","",IFERROR(F108*CF108/CD108,0))</x:f>
      </x:c>
      <x:c r="CH108" s="171" t="str">
        <x:f>IF(CA108="","",F108*ABS(CF108))</x:f>
      </x:c>
      <x:c r="CI108" s="165"/>
      <x:c r="CJ108" s="172" t="str">
        <x:f>IF(CA108="","",IF(CI108="","",IFERROR(CD108/CI108-1,0)))</x:f>
      </x:c>
      <x:c r="CK108" s="166"/>
      <x:c r="CL108" s="172" t="str">
        <x:f>IF(CA108="","",IF(CK108="","",CK108-CJ108*365/CM108))</x:f>
      </x:c>
      <x:c r="CM108" s="164"/>
      <x:c r="CN108" s="172" t="str">
        <x:f>IF(CA108="","",IFERROR(CF108*(CE108/CD108-1),0))</x:f>
      </x:c>
      <x:c r="CO108" s="147"/>
      <x:c r="CP108" s="147"/>
      <x:c r="CQ108" s="147"/>
      <x:c r="CR108" s="167"/>
      <x:c r="CS108" s="167"/>
      <x:c r="CT108" s="166"/>
      <x:c r="CU108" s="171" t="str">
        <x:f>IF(CO108="","",IFERROR(F108*CT108/CR108,0))</x:f>
      </x:c>
      <x:c r="CV108" s="171" t="str">
        <x:f>IF(CO108="","",F108*ABS(CT108))</x:f>
      </x:c>
      <x:c r="CW108" s="165"/>
      <x:c r="CX108" s="172" t="str">
        <x:f>IF(CO108="","",IF(CW108="","",IFERROR(CR108/CW108-1,0)))</x:f>
      </x:c>
      <x:c r="CY108" s="166"/>
      <x:c r="CZ108" s="172" t="str">
        <x:f>IF(CO108="","",IF(CY108="","",CY108-CX108*365/DA108))</x:f>
      </x:c>
      <x:c r="DA108" s="164"/>
      <x:c r="DB108" s="172" t="str">
        <x:f>IF(CO108="","",IFERROR(CT108*(CS108/CR108-1),0))</x:f>
      </x:c>
      <x:c r="DC108" s="147"/>
      <x:c r="DD108" s="147"/>
      <x:c r="DE108" s="147"/>
      <x:c r="DF108" s="167"/>
      <x:c r="DG108" s="167"/>
      <x:c r="DH108" s="166"/>
      <x:c r="DI108" s="171" t="str">
        <x:f>IF(DC108="","",IFERROR(F108*DH108/DF108,0))</x:f>
      </x:c>
      <x:c r="DJ108" s="171" t="str">
        <x:f>IF(DC108="","",F108*ABS(DH108))</x:f>
      </x:c>
      <x:c r="DK108" s="165"/>
      <x:c r="DL108" s="172" t="str">
        <x:f>IF(DC108="","",IF(DK108="","",IFERROR(DF108/DK108-1,0)))</x:f>
      </x:c>
      <x:c r="DM108" s="166"/>
      <x:c r="DN108" s="172" t="str">
        <x:f>IF(DC108="","",IF(DM108="","",DM108-DL108*365/DO108))</x:f>
      </x:c>
      <x:c r="DO108" s="164"/>
      <x:c r="DP108" s="172" t="str">
        <x:f>IF(DC108="","",IFERROR(DH108*(DG108/DF108-1),0))</x:f>
      </x:c>
      <x:c r="DQ108" s="147"/>
      <x:c r="DR108" s="147"/>
      <x:c r="DS108" s="147"/>
      <x:c r="DT108" s="167"/>
      <x:c r="DU108" s="167"/>
      <x:c r="DV108" s="166"/>
      <x:c r="DW108" s="171" t="str">
        <x:f>IF(DQ108="","",IFERROR(F108*DV108/DT108,0))</x:f>
      </x:c>
      <x:c r="DX108" s="171" t="str">
        <x:f>IF(DQ108="","",F108*ABS(DV108))</x:f>
      </x:c>
      <x:c r="DY108" s="165"/>
      <x:c r="DZ108" s="172" t="str">
        <x:f>IF(DQ108="","",IF(DY108="","",IFERROR(DT108/DY108-1,0)))</x:f>
      </x:c>
      <x:c r="EA108" s="166"/>
      <x:c r="EB108" s="172" t="str">
        <x:f>IF(DQ108="","",IF(EA108="","",EA108-DZ108*365/EC108))</x:f>
      </x:c>
      <x:c r="EC108" s="164"/>
      <x:c r="ED108" s="172" t="str">
        <x:f>IF(DQ108="","",IFERROR(DV108*(DU108/DT108-1),0))</x:f>
      </x:c>
      <x:c r="EE108" s="147"/>
      <x:c r="EF108" s="147"/>
      <x:c r="EG108" s="147"/>
      <x:c r="EH108" s="167"/>
      <x:c r="EI108" s="167"/>
      <x:c r="EJ108" s="166"/>
      <x:c r="EK108" s="171" t="str">
        <x:f>IF(EE108="","",IFERROR(F108*EJ108/EH108,0))</x:f>
      </x:c>
      <x:c r="EL108" s="171" t="str">
        <x:f>IF(EE108="","",F108*ABS(EJ108))</x:f>
      </x:c>
      <x:c r="EM108" s="165"/>
      <x:c r="EN108" s="172" t="str">
        <x:f>IF(EE108="","",IF(EM108="","",IFERROR(EH108/EM108-1,0)))</x:f>
      </x:c>
      <x:c r="EO108" s="166"/>
      <x:c r="EP108" s="172" t="str">
        <x:f>IF(EE108="","",IF(EO108="","",EO108-EN108*365/EQ108))</x:f>
      </x:c>
      <x:c r="EQ108" s="164"/>
      <x:c r="ER108" s="172" t="str">
        <x:f>IF(EE108="","",IFERROR(EJ108*(EI108/EH108-1),0))</x:f>
      </x:c>
      <x:c r="ES108" s="147"/>
      <x:c r="ET108" s="147"/>
      <x:c r="EU108" s="147"/>
      <x:c r="EV108" s="167"/>
      <x:c r="EW108" s="167"/>
      <x:c r="EX108" s="166"/>
      <x:c r="EY108" s="171" t="str">
        <x:f>IF(ES108="","",IFERROR(F108*EX108/EV108,0))</x:f>
      </x:c>
      <x:c r="EZ108" s="171" t="str">
        <x:f>IF(ES108="","",F108*ABS(EX108))</x:f>
      </x:c>
      <x:c r="FA108" s="165"/>
      <x:c r="FB108" s="172" t="str">
        <x:f>IF(ES108="","",IF(FA108="","",IFERROR(EV108/FA108-1,0)))</x:f>
      </x:c>
      <x:c r="FC108" s="166"/>
      <x:c r="FD108" s="172" t="str">
        <x:f>IF(ES108="","",IF(FC108="","",FC108-FB108*365/FE108))</x:f>
      </x:c>
      <x:c r="FE108" s="164"/>
      <x:c r="FF108" s="172" t="str">
        <x:f>IF(ES108="","",IFERROR(EX108*(EW108/EV108-1),0))</x:f>
      </x:c>
      <x:c r="FG108" s="147"/>
      <x:c r="FH108" s="147"/>
      <x:c r="FI108" s="147"/>
      <x:c r="FJ108" s="167"/>
      <x:c r="FK108" s="167"/>
      <x:c r="FL108" s="166"/>
      <x:c r="FM108" s="171" t="str">
        <x:f>IF(FG108="","",IFERROR(F108*FL108/FJ108,0))</x:f>
      </x:c>
      <x:c r="FN108" s="171" t="str">
        <x:f>IF(FG108="","",F108*ABS(FL108))</x:f>
      </x:c>
      <x:c r="FO108" s="165"/>
      <x:c r="FP108" s="172" t="str">
        <x:f>IF(FG108="","",IF(FO108="","",IFERROR(FJ108/FO108-1,0)))</x:f>
      </x:c>
      <x:c r="FQ108" s="166"/>
      <x:c r="FR108" s="172" t="str">
        <x:f>IF(FG108="","",IF(FQ108="","",FQ108-FP108*365/FS108))</x:f>
      </x:c>
      <x:c r="FS108" s="164"/>
      <x:c r="FT108" s="172" t="str">
        <x:f>IF(FG108="","",IFERROR(FL108*(FK108/FJ108-1),0))</x:f>
      </x:c>
    </x:row>
    <x:row r="109" ht="18" customHeight="1">
      <x:c r="A109" s="163" t="n">
        <x:v>25365</x:v>
      </x:c>
      <x:c r="B109" s="163" t="n">
        <x:v>25366</x:v>
      </x:c>
      <x:c r="C109" s="170" t="n">
        <x:f>B109-A109</x:f>
        <x:v>1</x:v>
      </x:c>
      <x:c r="D109" s="163" t="n">
        <x:v>25365</x:v>
      </x:c>
      <x:c r="E109" s="147" t="str">
        <x:v>positive</x:v>
      </x:c>
      <x:c r="F109" s="165" t="n">
        <x:v>1.2652138465149516</x:v>
      </x:c>
      <x:c r="G109" s="168" t="n">
        <x:v>0.003808665314737334</x:v>
      </x:c>
      <x:c r="H109" s="172" t="n">
        <x:f>SUM(AX109,BL109,BZ109,CN109,DB109,DP109,ED109,ER109,FF109,FT109)</x:f>
        <x:v>0.003808665314737336</x:v>
      </x:c>
      <x:c r="I109" s="174" t="n">
        <x:f>G109-H109</x:f>
        <x:v>-2.168404344971009e-18</x:v>
      </x:c>
      <x:c r="J109" s="171" t="n">
        <x:f>F109*(1+H109)</x:f>
        <x:v>1.2700326226078986</x:v>
      </x:c>
      <x:c r="K109" s="169" t="n">
        <x:v>1.2700326226078986</x:v>
      </x:c>
      <x:c r="L109" s="175" t="n">
        <x:f>K109-J109</x:f>
        <x:v>0</x:v>
      </x:c>
      <x:c r="M109" s="167" t="n">
        <x:v>1.684</x:v>
      </x:c>
      <x:c r="N109" s="167" t="n">
        <x:v>1.685</x:v>
      </x:c>
      <x:c r="O109" s="172" t="n">
        <x:f>IFERROR(N109/M109-1,0)</x:f>
        <x:v>0.000593824228028561</x:v>
      </x:c>
      <x:c r="P109" s="171" t="n">
        <x:f>IFERROR(AD109/AH109,0)</x:f>
        <x:v>1.4710740566961267</x:v>
      </x:c>
      <x:c r="Q109" s="171" t="n">
        <x:f>IFERROR(AE109/AI109,0)</x:f>
        <x:v>1.4758005193271615</x:v>
      </x:c>
      <x:c r="R109" s="172" t="n">
        <x:f>IFERROR((Q109-P109)/(P109+S109),0)</x:f>
        <x:v>0.0032129331691498567</x:v>
      </x:c>
      <x:c r="S109" s="172" t="n">
        <x:f>IFERROR(AF109/AH109,0)</x:f>
        <x:v>0</x:v>
      </x:c>
      <x:c r="T109" s="172" t="n">
        <x:f>IFERROR(AG109/AI109,0)</x:f>
        <x:v>0</x:v>
      </x:c>
      <x:c r="U109" s="172" t="n">
        <x:f>IFERROR((T109-S109)/(P109+S109),0)</x:f>
        <x:v>0</x:v>
      </x:c>
      <x:c r="V109" s="172" t="n">
        <x:f>R109+U109</x:f>
        <x:v>0.0032129331691498567</x:v>
      </x:c>
      <x:c r="W109" s="172" t="n">
        <x:f>(1+O109)*(1+V109)-1</x:f>
        <x:v>0.003808665314737336</x:v>
      </x:c>
      <x:c r="X109" s="174" t="n">
        <x:f>G109-W109</x:f>
        <x:v>-2.168404344971009e-18</x:v>
      </x:c>
      <x:c r="Y109" s="172" t="str">
        <x:f>AX109</x:f>
      </x:c>
      <x:c r="Z109" s="172" t="n">
        <x:f>BL109</x:f>
        <x:v>0.00018328767123287903</x:v>
      </x:c>
      <x:c r="AA109" s="172" t="n">
        <x:f>SUM(BZ109,CN109,DB109,DP109,ED109,ER109,FF109,FT109)</x:f>
        <x:v>0.003625377643504457</x:v>
      </x:c>
      <x:c r="AB109" s="172" t="n">
        <x:f>SUM(Y109:AA109)</x:f>
        <x:v>0.003808665314737336</x:v>
      </x:c>
      <x:c r="AC109" s="174" t="n">
        <x:f>G109-AB109</x:f>
        <x:v>-2.168404344971009e-18</x:v>
      </x:c>
      <x:c r="AD109" s="169" t="n">
        <x:v>1.2652138465149525</x:v>
      </x:c>
      <x:c r="AE109" s="169" t="n">
        <x:v>1.2700326226078995</x:v>
      </x:c>
      <x:c r="AF109" s="169" t="n">
        <x:v>0</x:v>
      </x:c>
      <x:c r="AG109" s="169" t="n">
        <x:v>0</x:v>
      </x:c>
      <x:c r="AH109" s="171" t="n">
        <x:f>M109/$M$3</x:f>
        <x:v>0.8600612870275791</x:v>
      </x:c>
      <x:c r="AI109" s="171" t="n">
        <x:f>N109/$M$3</x:f>
        <x:v>0.8605720122574055</x:v>
      </x:c>
      <x:c r="AJ109" s="170" t="n">
        <x:f>IF(AK109&lt;&gt;"",1,0)+IF(AY109&lt;&gt;"",1,0)+IF(BM109&lt;&gt;"",1,0)+IF(CA109&lt;&gt;"",1,0)+IF(CO109&lt;&gt;"",1,0)+IF(DC109&lt;&gt;"",1,0)+IF(DQ109&lt;&gt;"",1,0)+IF(EE109&lt;&gt;"",1,0)+IF(ES109&lt;&gt;"",1,0)+IF(FG109&lt;&gt;"",1,0)</x:f>
        <x:v>2</x:v>
      </x:c>
      <x:c r="AK109" s="147"/>
      <x:c r="AL109" s="147"/>
      <x:c r="AM109" s="147"/>
      <x:c r="AN109" s="167"/>
      <x:c r="AO109" s="167"/>
      <x:c r="AP109" s="166"/>
      <x:c r="AQ109" s="171" t="str">
        <x:f>IF(AK109="","",IFERROR(F109*AP109/AN109,0))</x:f>
      </x:c>
      <x:c r="AR109" s="171" t="str">
        <x:f>IF(AK109="","",F109*ABS(AP109))</x:f>
      </x:c>
      <x:c r="AS109" s="165"/>
      <x:c r="AT109" s="172" t="str">
        <x:f>IF(AK109="","",IF(AS109="","",IFERROR(AN109/AS109-1,0)))</x:f>
      </x:c>
      <x:c r="AU109" s="166"/>
      <x:c r="AV109" s="172" t="str">
        <x:f>IF(AK109="","",IF(AU109="","",AU109-AT109*365/AW109))</x:f>
      </x:c>
      <x:c r="AW109" s="164"/>
      <x:c r="AX109" s="173" t="str">
        <x:f>IF(AK109="","",IFERROR(AP109*(AO109/AN109-1),0))</x:f>
      </x:c>
      <x:c r="AY109" s="147" t="str">
        <x:v>Matched-maturity Treasury collateral</x:v>
      </x:c>
      <x:c r="AZ109" s="147" t="str">
        <x:v>Treasury</x:v>
      </x:c>
      <x:c r="BA109" s="147" t="str">
        <x:v>Long</x:v>
      </x:c>
      <x:c r="BB109" s="167" t="n">
        <x:v>102.7090172103453</x:v>
      </x:c>
      <x:c r="BC109" s="167" t="n">
        <x:v>102.72784250692439</x:v>
      </x:c>
      <x:c r="BD109" s="166" t="n">
        <x:v>1</x:v>
      </x:c>
      <x:c r="BE109" s="171" t="n">
        <x:f>IF(AY109="","",IFERROR(F109*BD109/BB109,0))</x:f>
        <x:v>0.012318430074389942</x:v>
      </x:c>
      <x:c r="BF109" s="171" t="n">
        <x:f>IF(AY109="","",F109*ABS(BD109))</x:f>
        <x:v>1.2652138465149516</x:v>
      </x:c>
      <x:c r="BG109" s="165"/>
      <x:c r="BH109" s="172" t="str">
        <x:f>IF(AY109="","",IF(BG109="","",IFERROR(BB109/BG109-1,0)))</x:f>
      </x:c>
      <x:c r="BI109" s="166"/>
      <x:c r="BJ109" s="172" t="str">
        <x:f>IF(AY109="","",IF(BI109="","",BI109-BH109*365/BK109))</x:f>
      </x:c>
      <x:c r="BK109" s="164" t="n">
        <x:v>48</x:v>
      </x:c>
      <x:c r="BL109" s="172" t="n">
        <x:f>IF(AY109="","",IFERROR(BD109*(BC109/BB109-1),0))</x:f>
        <x:v>0.00018328767123287903</x:v>
      </x:c>
      <x:c r="BM109" s="147" t="str">
        <x:v>SI69N</x:v>
      </x:c>
      <x:c r="BN109" s="147" t="str">
        <x:v>Silver future (regular)</x:v>
      </x:c>
      <x:c r="BO109" s="147" t="str">
        <x:v>Long</x:v>
      </x:c>
      <x:c r="BP109" s="167" t="n">
        <x:v>1.655</x:v>
      </x:c>
      <x:c r="BQ109" s="167" t="n">
        <x:v>1.661</x:v>
      </x:c>
      <x:c r="BR109" s="166" t="n">
        <x:v>1</x:v>
      </x:c>
      <x:c r="BS109" s="171" t="n">
        <x:f>IF(BM109="","",IFERROR(F109*BR109/BP109,0))</x:f>
        <x:v>0.7644796655679466</x:v>
      </x:c>
      <x:c r="BT109" s="171" t="n">
        <x:f>IF(BM109="","",F109*ABS(BR109))</x:f>
        <x:v>1.2652138465149516</x:v>
      </x:c>
      <x:c r="BU109" s="165" t="n">
        <x:v>1.684</x:v>
      </x:c>
      <x:c r="BV109" s="172" t="n">
        <x:f>IF(BM109="","",IF(BU109="","",IFERROR(BP109/BU109-1,0)))</x:f>
        <x:v>-0.017220902612826605</x:v>
      </x:c>
      <x:c r="BW109" s="166" t="n">
        <x:v>0.0669</x:v>
      </x:c>
      <x:c r="BX109" s="172" t="n">
        <x:f>IF(BM109="","",IF(BW109="","",BW109-BV109*365/BY109))</x:f>
        <x:v>0.19785061361836898</x:v>
      </x:c>
      <x:c r="BY109" s="164" t="n">
        <x:v>48</x:v>
      </x:c>
      <x:c r="BZ109" s="172" t="n">
        <x:f>IF(BM109="","",IFERROR(BR109*(BQ109/BP109-1),0))</x:f>
        <x:v>0.003625377643504457</x:v>
      </x:c>
      <x:c r="CA109" s="147"/>
      <x:c r="CB109" s="147"/>
      <x:c r="CC109" s="147"/>
      <x:c r="CD109" s="167"/>
      <x:c r="CE109" s="167"/>
      <x:c r="CF109" s="166"/>
      <x:c r="CG109" s="171" t="str">
        <x:f>IF(CA109="","",IFERROR(F109*CF109/CD109,0))</x:f>
      </x:c>
      <x:c r="CH109" s="171" t="str">
        <x:f>IF(CA109="","",F109*ABS(CF109))</x:f>
      </x:c>
      <x:c r="CI109" s="165"/>
      <x:c r="CJ109" s="172" t="str">
        <x:f>IF(CA109="","",IF(CI109="","",IFERROR(CD109/CI109-1,0)))</x:f>
      </x:c>
      <x:c r="CK109" s="166"/>
      <x:c r="CL109" s="172" t="str">
        <x:f>IF(CA109="","",IF(CK109="","",CK109-CJ109*365/CM109))</x:f>
      </x:c>
      <x:c r="CM109" s="164"/>
      <x:c r="CN109" s="172" t="str">
        <x:f>IF(CA109="","",IFERROR(CF109*(CE109/CD109-1),0))</x:f>
      </x:c>
      <x:c r="CO109" s="147"/>
      <x:c r="CP109" s="147"/>
      <x:c r="CQ109" s="147"/>
      <x:c r="CR109" s="167"/>
      <x:c r="CS109" s="167"/>
      <x:c r="CT109" s="166"/>
      <x:c r="CU109" s="171" t="str">
        <x:f>IF(CO109="","",IFERROR(F109*CT109/CR109,0))</x:f>
      </x:c>
      <x:c r="CV109" s="171" t="str">
        <x:f>IF(CO109="","",F109*ABS(CT109))</x:f>
      </x:c>
      <x:c r="CW109" s="165"/>
      <x:c r="CX109" s="172" t="str">
        <x:f>IF(CO109="","",IF(CW109="","",IFERROR(CR109/CW109-1,0)))</x:f>
      </x:c>
      <x:c r="CY109" s="166"/>
      <x:c r="CZ109" s="172" t="str">
        <x:f>IF(CO109="","",IF(CY109="","",CY109-CX109*365/DA109))</x:f>
      </x:c>
      <x:c r="DA109" s="164"/>
      <x:c r="DB109" s="172" t="str">
        <x:f>IF(CO109="","",IFERROR(CT109*(CS109/CR109-1),0))</x:f>
      </x:c>
      <x:c r="DC109" s="147"/>
      <x:c r="DD109" s="147"/>
      <x:c r="DE109" s="147"/>
      <x:c r="DF109" s="167"/>
      <x:c r="DG109" s="167"/>
      <x:c r="DH109" s="166"/>
      <x:c r="DI109" s="171" t="str">
        <x:f>IF(DC109="","",IFERROR(F109*DH109/DF109,0))</x:f>
      </x:c>
      <x:c r="DJ109" s="171" t="str">
        <x:f>IF(DC109="","",F109*ABS(DH109))</x:f>
      </x:c>
      <x:c r="DK109" s="165"/>
      <x:c r="DL109" s="172" t="str">
        <x:f>IF(DC109="","",IF(DK109="","",IFERROR(DF109/DK109-1,0)))</x:f>
      </x:c>
      <x:c r="DM109" s="166"/>
      <x:c r="DN109" s="172" t="str">
        <x:f>IF(DC109="","",IF(DM109="","",DM109-DL109*365/DO109))</x:f>
      </x:c>
      <x:c r="DO109" s="164"/>
      <x:c r="DP109" s="172" t="str">
        <x:f>IF(DC109="","",IFERROR(DH109*(DG109/DF109-1),0))</x:f>
      </x:c>
      <x:c r="DQ109" s="147"/>
      <x:c r="DR109" s="147"/>
      <x:c r="DS109" s="147"/>
      <x:c r="DT109" s="167"/>
      <x:c r="DU109" s="167"/>
      <x:c r="DV109" s="166"/>
      <x:c r="DW109" s="171" t="str">
        <x:f>IF(DQ109="","",IFERROR(F109*DV109/DT109,0))</x:f>
      </x:c>
      <x:c r="DX109" s="171" t="str">
        <x:f>IF(DQ109="","",F109*ABS(DV109))</x:f>
      </x:c>
      <x:c r="DY109" s="165"/>
      <x:c r="DZ109" s="172" t="str">
        <x:f>IF(DQ109="","",IF(DY109="","",IFERROR(DT109/DY109-1,0)))</x:f>
      </x:c>
      <x:c r="EA109" s="166"/>
      <x:c r="EB109" s="172" t="str">
        <x:f>IF(DQ109="","",IF(EA109="","",EA109-DZ109*365/EC109))</x:f>
      </x:c>
      <x:c r="EC109" s="164"/>
      <x:c r="ED109" s="172" t="str">
        <x:f>IF(DQ109="","",IFERROR(DV109*(DU109/DT109-1),0))</x:f>
      </x:c>
      <x:c r="EE109" s="147"/>
      <x:c r="EF109" s="147"/>
      <x:c r="EG109" s="147"/>
      <x:c r="EH109" s="167"/>
      <x:c r="EI109" s="167"/>
      <x:c r="EJ109" s="166"/>
      <x:c r="EK109" s="171" t="str">
        <x:f>IF(EE109="","",IFERROR(F109*EJ109/EH109,0))</x:f>
      </x:c>
      <x:c r="EL109" s="171" t="str">
        <x:f>IF(EE109="","",F109*ABS(EJ109))</x:f>
      </x:c>
      <x:c r="EM109" s="165"/>
      <x:c r="EN109" s="172" t="str">
        <x:f>IF(EE109="","",IF(EM109="","",IFERROR(EH109/EM109-1,0)))</x:f>
      </x:c>
      <x:c r="EO109" s="166"/>
      <x:c r="EP109" s="172" t="str">
        <x:f>IF(EE109="","",IF(EO109="","",EO109-EN109*365/EQ109))</x:f>
      </x:c>
      <x:c r="EQ109" s="164"/>
      <x:c r="ER109" s="172" t="str">
        <x:f>IF(EE109="","",IFERROR(EJ109*(EI109/EH109-1),0))</x:f>
      </x:c>
      <x:c r="ES109" s="147"/>
      <x:c r="ET109" s="147"/>
      <x:c r="EU109" s="147"/>
      <x:c r="EV109" s="167"/>
      <x:c r="EW109" s="167"/>
      <x:c r="EX109" s="166"/>
      <x:c r="EY109" s="171" t="str">
        <x:f>IF(ES109="","",IFERROR(F109*EX109/EV109,0))</x:f>
      </x:c>
      <x:c r="EZ109" s="171" t="str">
        <x:f>IF(ES109="","",F109*ABS(EX109))</x:f>
      </x:c>
      <x:c r="FA109" s="165"/>
      <x:c r="FB109" s="172" t="str">
        <x:f>IF(ES109="","",IF(FA109="","",IFERROR(EV109/FA109-1,0)))</x:f>
      </x:c>
      <x:c r="FC109" s="166"/>
      <x:c r="FD109" s="172" t="str">
        <x:f>IF(ES109="","",IF(FC109="","",FC109-FB109*365/FE109))</x:f>
      </x:c>
      <x:c r="FE109" s="164"/>
      <x:c r="FF109" s="172" t="str">
        <x:f>IF(ES109="","",IFERROR(EX109*(EW109/EV109-1),0))</x:f>
      </x:c>
      <x:c r="FG109" s="147"/>
      <x:c r="FH109" s="147"/>
      <x:c r="FI109" s="147"/>
      <x:c r="FJ109" s="167"/>
      <x:c r="FK109" s="167"/>
      <x:c r="FL109" s="166"/>
      <x:c r="FM109" s="171" t="str">
        <x:f>IF(FG109="","",IFERROR(F109*FL109/FJ109,0))</x:f>
      </x:c>
      <x:c r="FN109" s="171" t="str">
        <x:f>IF(FG109="","",F109*ABS(FL109))</x:f>
      </x:c>
      <x:c r="FO109" s="165"/>
      <x:c r="FP109" s="172" t="str">
        <x:f>IF(FG109="","",IF(FO109="","",IFERROR(FJ109/FO109-1,0)))</x:f>
      </x:c>
      <x:c r="FQ109" s="166"/>
      <x:c r="FR109" s="172" t="str">
        <x:f>IF(FG109="","",IF(FQ109="","",FQ109-FP109*365/FS109))</x:f>
      </x:c>
      <x:c r="FS109" s="164"/>
      <x:c r="FT109" s="172" t="str">
        <x:f>IF(FG109="","",IFERROR(FL109*(FK109/FJ109-1),0))</x:f>
      </x:c>
    </x:row>
    <x:row r="110" ht="18" customHeight="1">
      <x:c r="A110" s="163" t="n">
        <x:v>25366</x:v>
      </x:c>
      <x:c r="B110" s="163" t="n">
        <x:v>25367</x:v>
      </x:c>
      <x:c r="C110" s="170" t="n">
        <x:f>B110-A110</x:f>
        <x:v>1</x:v>
      </x:c>
      <x:c r="D110" s="163" t="n">
        <x:v>25366</x:v>
      </x:c>
      <x:c r="E110" s="147" t="str">
        <x:v>positive</x:v>
      </x:c>
      <x:c r="F110" s="165" t="n">
        <x:v>1.2700326226078986</x:v>
      </x:c>
      <x:c r="G110" s="168" t="n">
        <x:v>-0.006435941213825671</x:v>
      </x:c>
      <x:c r="H110" s="172" t="n">
        <x:f>SUM(AX110,BL110,BZ110,CN110,DB110,DP110,ED110,ER110,FF110,FT110)</x:f>
        <x:v>-0.0064359412138257355</x:v>
      </x:c>
      <x:c r="I110" s="174" t="n">
        <x:f>G110-H110</x:f>
        <x:v>6.418476861114186e-17</x:v>
      </x:c>
      <x:c r="J110" s="171" t="n">
        <x:f>F110*(1+H110)</x:f>
        <x:v>1.2618587673091533</x:v>
      </x:c>
      <x:c r="K110" s="169" t="n">
        <x:v>1.2618587673091535</x:v>
      </x:c>
      <x:c r="L110" s="175" t="n">
        <x:f>K110-J110</x:f>
        <x:v>2.220446049250313e-16</x:v>
      </x:c>
      <x:c r="M110" s="167" t="n">
        <x:v>1.685</x:v>
      </x:c>
      <x:c r="N110" s="167" t="n">
        <x:v>1.686</x:v>
      </x:c>
      <x:c r="O110" s="172" t="n">
        <x:f>IFERROR(N110/M110-1,0)</x:f>
        <x:v>0.0005934718100890635</x:v>
      </x:c>
      <x:c r="P110" s="171" t="n">
        <x:f>IFERROR(AD110/AH110,0)</x:f>
        <x:v>1.4758005193271615</x:v>
      </x:c>
      <x:c r="Q110" s="171" t="n">
        <x:f>IFERROR(AE110/AI110,0)</x:f>
        <x:v>1.4654326609675705</x:v>
      </x:c>
      <x:c r="R110" s="172" t="n">
        <x:f>IFERROR((Q110-P110)/(P110+S110),0)</x:f>
        <x:v>-0.007025243739796101</x:v>
      </x:c>
      <x:c r="S110" s="172" t="n">
        <x:f>IFERROR(AF110/AH110,0)</x:f>
        <x:v>0</x:v>
      </x:c>
      <x:c r="T110" s="172" t="n">
        <x:f>IFERROR(AG110/AI110,0)</x:f>
        <x:v>0</x:v>
      </x:c>
      <x:c r="U110" s="172" t="n">
        <x:f>IFERROR((T110-S110)/(P110+S110),0)</x:f>
        <x:v>0</x:v>
      </x:c>
      <x:c r="V110" s="172" t="n">
        <x:f>R110+U110</x:f>
        <x:v>-0.007025243739796101</x:v>
      </x:c>
      <x:c r="W110" s="172" t="n">
        <x:f>(1+O110)*(1+V110)-1</x:f>
        <x:v>-0.0064359412138256245</x:v>
      </x:c>
      <x:c r="X110" s="174" t="n">
        <x:f>G110-W110</x:f>
        <x:v>-4.683753385137379e-17</x:v>
      </x:c>
      <x:c r="Y110" s="172" t="str">
        <x:f>AX110</x:f>
      </x:c>
      <x:c r="Z110" s="172" t="n">
        <x:f>BL110</x:f>
        <x:v>0.00018657534246568908</x:v>
      </x:c>
      <x:c r="AA110" s="172" t="n">
        <x:f>SUM(BZ110,CN110,DB110,DP110,ED110,ER110,FF110,FT110)</x:f>
        <x:v>-0.0066225165562914245</x:v>
      </x:c>
      <x:c r="AB110" s="172" t="n">
        <x:f>SUM(Y110:AA110)</x:f>
        <x:v>-0.0064359412138257355</x:v>
      </x:c>
      <x:c r="AC110" s="174" t="n">
        <x:f>G110-AB110</x:f>
        <x:v>6.418476861114186e-17</x:v>
      </x:c>
      <x:c r="AD110" s="169" t="n">
        <x:v>1.2700326226078995</x:v>
      </x:c>
      <x:c r="AE110" s="169" t="n">
        <x:v>1.2618587673091541</x:v>
      </x:c>
      <x:c r="AF110" s="169" t="n">
        <x:v>0</x:v>
      </x:c>
      <x:c r="AG110" s="169" t="n">
        <x:v>0</x:v>
      </x:c>
      <x:c r="AH110" s="171" t="n">
        <x:f>M110/$M$3</x:f>
        <x:v>0.8605720122574055</x:v>
      </x:c>
      <x:c r="AI110" s="171" t="n">
        <x:f>N110/$M$3</x:f>
        <x:v>0.8610827374872319</x:v>
      </x:c>
      <x:c r="AJ110" s="170" t="n">
        <x:f>IF(AK110&lt;&gt;"",1,0)+IF(AY110&lt;&gt;"",1,0)+IF(BM110&lt;&gt;"",1,0)+IF(CA110&lt;&gt;"",1,0)+IF(CO110&lt;&gt;"",1,0)+IF(DC110&lt;&gt;"",1,0)+IF(DQ110&lt;&gt;"",1,0)+IF(EE110&lt;&gt;"",1,0)+IF(ES110&lt;&gt;"",1,0)+IF(FG110&lt;&gt;"",1,0)</x:f>
        <x:v>2</x:v>
      </x:c>
      <x:c r="AK110" s="147"/>
      <x:c r="AL110" s="147"/>
      <x:c r="AM110" s="147"/>
      <x:c r="AN110" s="167"/>
      <x:c r="AO110" s="167"/>
      <x:c r="AP110" s="166"/>
      <x:c r="AQ110" s="171" t="str">
        <x:f>IF(AK110="","",IFERROR(F110*AP110/AN110,0))</x:f>
      </x:c>
      <x:c r="AR110" s="171" t="str">
        <x:f>IF(AK110="","",F110*ABS(AP110))</x:f>
      </x:c>
      <x:c r="AS110" s="165"/>
      <x:c r="AT110" s="172" t="str">
        <x:f>IF(AK110="","",IF(AS110="","",IFERROR(AN110/AS110-1,0)))</x:f>
      </x:c>
      <x:c r="AU110" s="166"/>
      <x:c r="AV110" s="172" t="str">
        <x:f>IF(AK110="","",IF(AU110="","",AU110-AT110*365/AW110))</x:f>
      </x:c>
      <x:c r="AW110" s="164"/>
      <x:c r="AX110" s="173" t="str">
        <x:f>IF(AK110="","",IFERROR(AP110*(AO110/AN110-1),0))</x:f>
      </x:c>
      <x:c r="AY110" s="147" t="str">
        <x:v>Matched-maturity Treasury collateral</x:v>
      </x:c>
      <x:c r="AZ110" s="147" t="str">
        <x:v>Treasury</x:v>
      </x:c>
      <x:c r="BA110" s="147" t="str">
        <x:v>Long</x:v>
      </x:c>
      <x:c r="BB110" s="167" t="n">
        <x:v>102.72784250692439</x:v>
      </x:c>
      <x:c r="BC110" s="167" t="n">
        <x:v>102.74700898932088</x:v>
      </x:c>
      <x:c r="BD110" s="166" t="n">
        <x:v>1</x:v>
      </x:c>
      <x:c r="BE110" s="171" t="n">
        <x:f>IF(AY110="","",IFERROR(F110*BD110/BB110,0))</x:f>
        <x:v>0.012363080851447765</x:v>
      </x:c>
      <x:c r="BF110" s="171" t="n">
        <x:f>IF(AY110="","",F110*ABS(BD110))</x:f>
        <x:v>1.2700326226078986</x:v>
      </x:c>
      <x:c r="BG110" s="165"/>
      <x:c r="BH110" s="172" t="str">
        <x:f>IF(AY110="","",IF(BG110="","",IFERROR(BB110/BG110-1,0)))</x:f>
      </x:c>
      <x:c r="BI110" s="166"/>
      <x:c r="BJ110" s="172" t="str">
        <x:f>IF(AY110="","",IF(BI110="","",BI110-BH110*365/BK110))</x:f>
      </x:c>
      <x:c r="BK110" s="164" t="n">
        <x:v>47</x:v>
      </x:c>
      <x:c r="BL110" s="172" t="n">
        <x:f>IF(AY110="","",IFERROR(BD110*(BC110/BB110-1),0))</x:f>
        <x:v>0.00018657534246568908</x:v>
      </x:c>
      <x:c r="BM110" s="147" t="str">
        <x:v>SI69N</x:v>
      </x:c>
      <x:c r="BN110" s="147" t="str">
        <x:v>Silver future (regular)</x:v>
      </x:c>
      <x:c r="BO110" s="147" t="str">
        <x:v>Long</x:v>
      </x:c>
      <x:c r="BP110" s="167" t="n">
        <x:v>1.661</x:v>
      </x:c>
      <x:c r="BQ110" s="167" t="n">
        <x:v>1.65</x:v>
      </x:c>
      <x:c r="BR110" s="166" t="n">
        <x:v>1</x:v>
      </x:c>
      <x:c r="BS110" s="171" t="n">
        <x:f>IF(BM110="","",IFERROR(F110*BR110/BP110,0))</x:f>
        <x:v>0.7646192791137258</x:v>
      </x:c>
      <x:c r="BT110" s="171" t="n">
        <x:f>IF(BM110="","",F110*ABS(BR110))</x:f>
        <x:v>1.2700326226078986</x:v>
      </x:c>
      <x:c r="BU110" s="165" t="n">
        <x:v>1.685</x:v>
      </x:c>
      <x:c r="BV110" s="172" t="n">
        <x:f>IF(BM110="","",IF(BU110="","",IFERROR(BP110/BU110-1,0)))</x:f>
        <x:v>-0.014243323442136524</x:v>
      </x:c>
      <x:c r="BW110" s="166" t="n">
        <x:v>0.0681</x:v>
      </x:c>
      <x:c r="BX110" s="172" t="n">
        <x:f>IF(BM110="","",IF(BW110="","",BW110-BV110*365/BY110))</x:f>
        <x:v>0.17871304375276237</x:v>
      </x:c>
      <x:c r="BY110" s="164" t="n">
        <x:v>47</x:v>
      </x:c>
      <x:c r="BZ110" s="172" t="n">
        <x:f>IF(BM110="","",IFERROR(BR110*(BQ110/BP110-1),0))</x:f>
        <x:v>-0.0066225165562914245</x:v>
      </x:c>
      <x:c r="CA110" s="147"/>
      <x:c r="CB110" s="147"/>
      <x:c r="CC110" s="147"/>
      <x:c r="CD110" s="167"/>
      <x:c r="CE110" s="167"/>
      <x:c r="CF110" s="166"/>
      <x:c r="CG110" s="171" t="str">
        <x:f>IF(CA110="","",IFERROR(F110*CF110/CD110,0))</x:f>
      </x:c>
      <x:c r="CH110" s="171" t="str">
        <x:f>IF(CA110="","",F110*ABS(CF110))</x:f>
      </x:c>
      <x:c r="CI110" s="165"/>
      <x:c r="CJ110" s="172" t="str">
        <x:f>IF(CA110="","",IF(CI110="","",IFERROR(CD110/CI110-1,0)))</x:f>
      </x:c>
      <x:c r="CK110" s="166"/>
      <x:c r="CL110" s="172" t="str">
        <x:f>IF(CA110="","",IF(CK110="","",CK110-CJ110*365/CM110))</x:f>
      </x:c>
      <x:c r="CM110" s="164"/>
      <x:c r="CN110" s="172" t="str">
        <x:f>IF(CA110="","",IFERROR(CF110*(CE110/CD110-1),0))</x:f>
      </x:c>
      <x:c r="CO110" s="147"/>
      <x:c r="CP110" s="147"/>
      <x:c r="CQ110" s="147"/>
      <x:c r="CR110" s="167"/>
      <x:c r="CS110" s="167"/>
      <x:c r="CT110" s="166"/>
      <x:c r="CU110" s="171" t="str">
        <x:f>IF(CO110="","",IFERROR(F110*CT110/CR110,0))</x:f>
      </x:c>
      <x:c r="CV110" s="171" t="str">
        <x:f>IF(CO110="","",F110*ABS(CT110))</x:f>
      </x:c>
      <x:c r="CW110" s="165"/>
      <x:c r="CX110" s="172" t="str">
        <x:f>IF(CO110="","",IF(CW110="","",IFERROR(CR110/CW110-1,0)))</x:f>
      </x:c>
      <x:c r="CY110" s="166"/>
      <x:c r="CZ110" s="172" t="str">
        <x:f>IF(CO110="","",IF(CY110="","",CY110-CX110*365/DA110))</x:f>
      </x:c>
      <x:c r="DA110" s="164"/>
      <x:c r="DB110" s="172" t="str">
        <x:f>IF(CO110="","",IFERROR(CT110*(CS110/CR110-1),0))</x:f>
      </x:c>
      <x:c r="DC110" s="147"/>
      <x:c r="DD110" s="147"/>
      <x:c r="DE110" s="147"/>
      <x:c r="DF110" s="167"/>
      <x:c r="DG110" s="167"/>
      <x:c r="DH110" s="166"/>
      <x:c r="DI110" s="171" t="str">
        <x:f>IF(DC110="","",IFERROR(F110*DH110/DF110,0))</x:f>
      </x:c>
      <x:c r="DJ110" s="171" t="str">
        <x:f>IF(DC110="","",F110*ABS(DH110))</x:f>
      </x:c>
      <x:c r="DK110" s="165"/>
      <x:c r="DL110" s="172" t="str">
        <x:f>IF(DC110="","",IF(DK110="","",IFERROR(DF110/DK110-1,0)))</x:f>
      </x:c>
      <x:c r="DM110" s="166"/>
      <x:c r="DN110" s="172" t="str">
        <x:f>IF(DC110="","",IF(DM110="","",DM110-DL110*365/DO110))</x:f>
      </x:c>
      <x:c r="DO110" s="164"/>
      <x:c r="DP110" s="172" t="str">
        <x:f>IF(DC110="","",IFERROR(DH110*(DG110/DF110-1),0))</x:f>
      </x:c>
      <x:c r="DQ110" s="147"/>
      <x:c r="DR110" s="147"/>
      <x:c r="DS110" s="147"/>
      <x:c r="DT110" s="167"/>
      <x:c r="DU110" s="167"/>
      <x:c r="DV110" s="166"/>
      <x:c r="DW110" s="171" t="str">
        <x:f>IF(DQ110="","",IFERROR(F110*DV110/DT110,0))</x:f>
      </x:c>
      <x:c r="DX110" s="171" t="str">
        <x:f>IF(DQ110="","",F110*ABS(DV110))</x:f>
      </x:c>
      <x:c r="DY110" s="165"/>
      <x:c r="DZ110" s="172" t="str">
        <x:f>IF(DQ110="","",IF(DY110="","",IFERROR(DT110/DY110-1,0)))</x:f>
      </x:c>
      <x:c r="EA110" s="166"/>
      <x:c r="EB110" s="172" t="str">
        <x:f>IF(DQ110="","",IF(EA110="","",EA110-DZ110*365/EC110))</x:f>
      </x:c>
      <x:c r="EC110" s="164"/>
      <x:c r="ED110" s="172" t="str">
        <x:f>IF(DQ110="","",IFERROR(DV110*(DU110/DT110-1),0))</x:f>
      </x:c>
      <x:c r="EE110" s="147"/>
      <x:c r="EF110" s="147"/>
      <x:c r="EG110" s="147"/>
      <x:c r="EH110" s="167"/>
      <x:c r="EI110" s="167"/>
      <x:c r="EJ110" s="166"/>
      <x:c r="EK110" s="171" t="str">
        <x:f>IF(EE110="","",IFERROR(F110*EJ110/EH110,0))</x:f>
      </x:c>
      <x:c r="EL110" s="171" t="str">
        <x:f>IF(EE110="","",F110*ABS(EJ110))</x:f>
      </x:c>
      <x:c r="EM110" s="165"/>
      <x:c r="EN110" s="172" t="str">
        <x:f>IF(EE110="","",IF(EM110="","",IFERROR(EH110/EM110-1,0)))</x:f>
      </x:c>
      <x:c r="EO110" s="166"/>
      <x:c r="EP110" s="172" t="str">
        <x:f>IF(EE110="","",IF(EO110="","",EO110-EN110*365/EQ110))</x:f>
      </x:c>
      <x:c r="EQ110" s="164"/>
      <x:c r="ER110" s="172" t="str">
        <x:f>IF(EE110="","",IFERROR(EJ110*(EI110/EH110-1),0))</x:f>
      </x:c>
      <x:c r="ES110" s="147"/>
      <x:c r="ET110" s="147"/>
      <x:c r="EU110" s="147"/>
      <x:c r="EV110" s="167"/>
      <x:c r="EW110" s="167"/>
      <x:c r="EX110" s="166"/>
      <x:c r="EY110" s="171" t="str">
        <x:f>IF(ES110="","",IFERROR(F110*EX110/EV110,0))</x:f>
      </x:c>
      <x:c r="EZ110" s="171" t="str">
        <x:f>IF(ES110="","",F110*ABS(EX110))</x:f>
      </x:c>
      <x:c r="FA110" s="165"/>
      <x:c r="FB110" s="172" t="str">
        <x:f>IF(ES110="","",IF(FA110="","",IFERROR(EV110/FA110-1,0)))</x:f>
      </x:c>
      <x:c r="FC110" s="166"/>
      <x:c r="FD110" s="172" t="str">
        <x:f>IF(ES110="","",IF(FC110="","",FC110-FB110*365/FE110))</x:f>
      </x:c>
      <x:c r="FE110" s="164"/>
      <x:c r="FF110" s="172" t="str">
        <x:f>IF(ES110="","",IFERROR(EX110*(EW110/EV110-1),0))</x:f>
      </x:c>
      <x:c r="FG110" s="147"/>
      <x:c r="FH110" s="147"/>
      <x:c r="FI110" s="147"/>
      <x:c r="FJ110" s="167"/>
      <x:c r="FK110" s="167"/>
      <x:c r="FL110" s="166"/>
      <x:c r="FM110" s="171" t="str">
        <x:f>IF(FG110="","",IFERROR(F110*FL110/FJ110,0))</x:f>
      </x:c>
      <x:c r="FN110" s="171" t="str">
        <x:f>IF(FG110="","",F110*ABS(FL110))</x:f>
      </x:c>
      <x:c r="FO110" s="165"/>
      <x:c r="FP110" s="172" t="str">
        <x:f>IF(FG110="","",IF(FO110="","",IFERROR(FJ110/FO110-1,0)))</x:f>
      </x:c>
      <x:c r="FQ110" s="166"/>
      <x:c r="FR110" s="172" t="str">
        <x:f>IF(FG110="","",IF(FQ110="","",FQ110-FP110*365/FS110))</x:f>
      </x:c>
      <x:c r="FS110" s="164"/>
      <x:c r="FT110" s="172" t="str">
        <x:f>IF(FG110="","",IFERROR(FL110*(FK110/FJ110-1),0))</x:f>
      </x:c>
    </x:row>
    <x:row r="111" ht="18" customHeight="1">
      <x:c r="A111" s="163" t="n">
        <x:v>25367</x:v>
      </x:c>
      <x:c r="B111" s="163" t="n">
        <x:v>25370</x:v>
      </x:c>
      <x:c r="C111" s="170" t="n">
        <x:f>B111-A111</x:f>
        <x:v>3</x:v>
      </x:c>
      <x:c r="D111" s="163" t="n">
        <x:v>25367</x:v>
      </x:c>
      <x:c r="E111" s="147" t="str">
        <x:v>positive</x:v>
      </x:c>
      <x:c r="F111" s="165" t="n">
        <x:v>1.2618587673091535</x:v>
      </x:c>
      <x:c r="G111" s="168" t="n">
        <x:v>-0.016414080531340802</x:v>
      </x:c>
      <x:c r="H111" s="172" t="n">
        <x:f>SUM(AX111,BL111,BZ111,CN111,DB111,DP111,ED111,ER111,FF111,FT111)</x:f>
        <x:v>-0.016414080531340747</x:v>
      </x:c>
      <x:c r="I111" s="174" t="n">
        <x:f>G111-H111</x:f>
        <x:v>-5.551115123125783e-17</x:v>
      </x:c>
      <x:c r="J111" s="171" t="n">
        <x:f>F111*(1+H111)</x:f>
        <x:v>1.2411465158833626</x:v>
      </x:c>
      <x:c r="K111" s="169" t="n">
        <x:v>1.2411465158833626</x:v>
      </x:c>
      <x:c r="L111" s="175" t="n">
        <x:f>K111-J111</x:f>
        <x:v>0</x:v>
      </x:c>
      <x:c r="M111" s="167" t="n">
        <x:v>1.686</x:v>
      </x:c>
      <x:c r="N111" s="167" t="n">
        <x:v>1.679</x:v>
      </x:c>
      <x:c r="O111" s="172" t="n">
        <x:f>IFERROR(N111/M111-1,0)</x:f>
        <x:v>-0.004151838671411556</x:v>
      </x:c>
      <x:c r="P111" s="171" t="n">
        <x:f>IFERROR(AD111/AH111,0)</x:f>
        <x:v>1.4654326609675705</x:v>
      </x:c>
      <x:c r="Q111" s="171" t="n">
        <x:f>IFERROR(AE111/AI111,0)</x:f>
        <x:v>1.4473882537817897</x:v>
      </x:c>
      <x:c r="R111" s="172" t="n">
        <x:f>IFERROR((Q111-P111)/(P111+S111),0)</x:f>
        <x:v>-0.012313364964765266</x:v>
      </x:c>
      <x:c r="S111" s="172" t="n">
        <x:f>IFERROR(AF111/AH111,0)</x:f>
        <x:v>0</x:v>
      </x:c>
      <x:c r="T111" s="172" t="n">
        <x:f>IFERROR(AG111/AI111,0)</x:f>
        <x:v>0</x:v>
      </x:c>
      <x:c r="U111" s="172" t="n">
        <x:f>IFERROR((T111-S111)/(P111+S111),0)</x:f>
        <x:v>0</x:v>
      </x:c>
      <x:c r="V111" s="172" t="n">
        <x:f>R111+U111</x:f>
        <x:v>-0.012313364964765266</x:v>
      </x:c>
      <x:c r="W111" s="172" t="n">
        <x:f>(1+O111)*(1+V111)-1</x:f>
        <x:v>-0.01641408053134097</x:v>
      </x:c>
      <x:c r="X111" s="174" t="n">
        <x:f>G111-W111</x:f>
        <x:v>1.6653345369377348e-16</x:v>
      </x:c>
      <x:c r="Y111" s="172" t="str">
        <x:f>AX111</x:f>
      </x:c>
      <x:c r="Z111" s="172" t="n">
        <x:f>BL111</x:f>
        <x:v>0.0005556164383562212</x:v>
      </x:c>
      <x:c r="AA111" s="172" t="n">
        <x:f>SUM(BZ111,CN111,DB111,DP111,ED111,ER111,FF111,FT111)</x:f>
        <x:v>-0.016969696969696968</x:v>
      </x:c>
      <x:c r="AB111" s="172" t="n">
        <x:f>SUM(Y111:AA111)</x:f>
        <x:v>-0.016414080531340747</x:v>
      </x:c>
      <x:c r="AC111" s="174" t="n">
        <x:f>G111-AB111</x:f>
        <x:v>-5.551115123125783e-17</x:v>
      </x:c>
      <x:c r="AD111" s="169" t="n">
        <x:v>1.2618587673091541</x:v>
      </x:c>
      <x:c r="AE111" s="169" t="n">
        <x:v>1.2411465158833632</x:v>
      </x:c>
      <x:c r="AF111" s="169" t="n">
        <x:v>0</x:v>
      </x:c>
      <x:c r="AG111" s="169" t="n">
        <x:v>0</x:v>
      </x:c>
      <x:c r="AH111" s="171" t="n">
        <x:f>M111/$M$3</x:f>
        <x:v>0.8610827374872319</x:v>
      </x:c>
      <x:c r="AI111" s="171" t="n">
        <x:f>N111/$M$3</x:f>
        <x:v>0.8575076608784474</x:v>
      </x:c>
      <x:c r="AJ111" s="170" t="n">
        <x:f>IF(AK111&lt;&gt;"",1,0)+IF(AY111&lt;&gt;"",1,0)+IF(BM111&lt;&gt;"",1,0)+IF(CA111&lt;&gt;"",1,0)+IF(CO111&lt;&gt;"",1,0)+IF(DC111&lt;&gt;"",1,0)+IF(DQ111&lt;&gt;"",1,0)+IF(EE111&lt;&gt;"",1,0)+IF(ES111&lt;&gt;"",1,0)+IF(FG111&lt;&gt;"",1,0)</x:f>
        <x:v>2</x:v>
      </x:c>
      <x:c r="AK111" s="147"/>
      <x:c r="AL111" s="147"/>
      <x:c r="AM111" s="147"/>
      <x:c r="AN111" s="167"/>
      <x:c r="AO111" s="167"/>
      <x:c r="AP111" s="166"/>
      <x:c r="AQ111" s="171" t="str">
        <x:f>IF(AK111="","",IFERROR(F111*AP111/AN111,0))</x:f>
      </x:c>
      <x:c r="AR111" s="171" t="str">
        <x:f>IF(AK111="","",F111*ABS(AP111))</x:f>
      </x:c>
      <x:c r="AS111" s="165"/>
      <x:c r="AT111" s="172" t="str">
        <x:f>IF(AK111="","",IF(AS111="","",IFERROR(AN111/AS111-1,0)))</x:f>
      </x:c>
      <x:c r="AU111" s="166"/>
      <x:c r="AV111" s="172" t="str">
        <x:f>IF(AK111="","",IF(AU111="","",AU111-AT111*365/AW111))</x:f>
      </x:c>
      <x:c r="AW111" s="164"/>
      <x:c r="AX111" s="173" t="str">
        <x:f>IF(AK111="","",IFERROR(AP111*(AO111/AN111-1),0))</x:f>
      </x:c>
      <x:c r="AY111" s="147" t="str">
        <x:v>Matched-maturity Treasury collateral</x:v>
      </x:c>
      <x:c r="AZ111" s="147" t="str">
        <x:v>Treasury</x:v>
      </x:c>
      <x:c r="BA111" s="147" t="str">
        <x:v>Long</x:v>
      </x:c>
      <x:c r="BB111" s="167" t="n">
        <x:v>102.74700898932088</x:v>
      </x:c>
      <x:c r="BC111" s="167" t="n">
        <x:v>102.80409691650728</x:v>
      </x:c>
      <x:c r="BD111" s="166" t="n">
        <x:v>1</x:v>
      </x:c>
      <x:c r="BE111" s="171" t="n">
        <x:f>IF(AY111="","",IFERROR(F111*BD111/BB111,0))</x:f>
        <x:v>0.012281221416774343</x:v>
      </x:c>
      <x:c r="BF111" s="171" t="n">
        <x:f>IF(AY111="","",F111*ABS(BD111))</x:f>
        <x:v>1.2618587673091535</x:v>
      </x:c>
      <x:c r="BG111" s="165"/>
      <x:c r="BH111" s="172" t="str">
        <x:f>IF(AY111="","",IF(BG111="","",IFERROR(BB111/BG111-1,0)))</x:f>
      </x:c>
      <x:c r="BI111" s="166"/>
      <x:c r="BJ111" s="172" t="str">
        <x:f>IF(AY111="","",IF(BI111="","",BI111-BH111*365/BK111))</x:f>
      </x:c>
      <x:c r="BK111" s="164" t="n">
        <x:v>46</x:v>
      </x:c>
      <x:c r="BL111" s="172" t="n">
        <x:f>IF(AY111="","",IFERROR(BD111*(BC111/BB111-1),0))</x:f>
        <x:v>0.0005556164383562212</x:v>
      </x:c>
      <x:c r="BM111" s="147" t="str">
        <x:v>SI69N</x:v>
      </x:c>
      <x:c r="BN111" s="147" t="str">
        <x:v>Silver future (regular)</x:v>
      </x:c>
      <x:c r="BO111" s="147" t="str">
        <x:v>Long</x:v>
      </x:c>
      <x:c r="BP111" s="167" t="n">
        <x:v>1.65</x:v>
      </x:c>
      <x:c r="BQ111" s="167" t="n">
        <x:v>1.6219999999999999</x:v>
      </x:c>
      <x:c r="BR111" s="166" t="n">
        <x:v>1</x:v>
      </x:c>
      <x:c r="BS111" s="171" t="n">
        <x:f>IF(BM111="","",IFERROR(F111*BR111/BP111,0))</x:f>
        <x:v>0.7647628892782748</x:v>
      </x:c>
      <x:c r="BT111" s="171" t="n">
        <x:f>IF(BM111="","",F111*ABS(BR111))</x:f>
        <x:v>1.2618587673091535</x:v>
      </x:c>
      <x:c r="BU111" s="165" t="n">
        <x:v>1.686</x:v>
      </x:c>
      <x:c r="BV111" s="172" t="n">
        <x:f>IF(BM111="","",IF(BU111="","",IFERROR(BP111/BU111-1,0)))</x:f>
        <x:v>-0.02135231316725983</x:v>
      </x:c>
      <x:c r="BW111" s="166" t="n">
        <x:v>0.0676</x:v>
      </x:c>
      <x:c r="BX111" s="172" t="n">
        <x:f>IF(BM111="","",IF(BW111="","",BW111-BV111*365/BY111))</x:f>
        <x:v>0.23702596317499647</x:v>
      </x:c>
      <x:c r="BY111" s="164" t="n">
        <x:v>46</x:v>
      </x:c>
      <x:c r="BZ111" s="172" t="n">
        <x:f>IF(BM111="","",IFERROR(BR111*(BQ111/BP111-1),0))</x:f>
        <x:v>-0.016969696969696968</x:v>
      </x:c>
      <x:c r="CA111" s="147"/>
      <x:c r="CB111" s="147"/>
      <x:c r="CC111" s="147"/>
      <x:c r="CD111" s="167"/>
      <x:c r="CE111" s="167"/>
      <x:c r="CF111" s="166"/>
      <x:c r="CG111" s="171" t="str">
        <x:f>IF(CA111="","",IFERROR(F111*CF111/CD111,0))</x:f>
      </x:c>
      <x:c r="CH111" s="171" t="str">
        <x:f>IF(CA111="","",F111*ABS(CF111))</x:f>
      </x:c>
      <x:c r="CI111" s="165"/>
      <x:c r="CJ111" s="172" t="str">
        <x:f>IF(CA111="","",IF(CI111="","",IFERROR(CD111/CI111-1,0)))</x:f>
      </x:c>
      <x:c r="CK111" s="166"/>
      <x:c r="CL111" s="172" t="str">
        <x:f>IF(CA111="","",IF(CK111="","",CK111-CJ111*365/CM111))</x:f>
      </x:c>
      <x:c r="CM111" s="164"/>
      <x:c r="CN111" s="172" t="str">
        <x:f>IF(CA111="","",IFERROR(CF111*(CE111/CD111-1),0))</x:f>
      </x:c>
      <x:c r="CO111" s="147"/>
      <x:c r="CP111" s="147"/>
      <x:c r="CQ111" s="147"/>
      <x:c r="CR111" s="167"/>
      <x:c r="CS111" s="167"/>
      <x:c r="CT111" s="166"/>
      <x:c r="CU111" s="171" t="str">
        <x:f>IF(CO111="","",IFERROR(F111*CT111/CR111,0))</x:f>
      </x:c>
      <x:c r="CV111" s="171" t="str">
        <x:f>IF(CO111="","",F111*ABS(CT111))</x:f>
      </x:c>
      <x:c r="CW111" s="165"/>
      <x:c r="CX111" s="172" t="str">
        <x:f>IF(CO111="","",IF(CW111="","",IFERROR(CR111/CW111-1,0)))</x:f>
      </x:c>
      <x:c r="CY111" s="166"/>
      <x:c r="CZ111" s="172" t="str">
        <x:f>IF(CO111="","",IF(CY111="","",CY111-CX111*365/DA111))</x:f>
      </x:c>
      <x:c r="DA111" s="164"/>
      <x:c r="DB111" s="172" t="str">
        <x:f>IF(CO111="","",IFERROR(CT111*(CS111/CR111-1),0))</x:f>
      </x:c>
      <x:c r="DC111" s="147"/>
      <x:c r="DD111" s="147"/>
      <x:c r="DE111" s="147"/>
      <x:c r="DF111" s="167"/>
      <x:c r="DG111" s="167"/>
      <x:c r="DH111" s="166"/>
      <x:c r="DI111" s="171" t="str">
        <x:f>IF(DC111="","",IFERROR(F111*DH111/DF111,0))</x:f>
      </x:c>
      <x:c r="DJ111" s="171" t="str">
        <x:f>IF(DC111="","",F111*ABS(DH111))</x:f>
      </x:c>
      <x:c r="DK111" s="165"/>
      <x:c r="DL111" s="172" t="str">
        <x:f>IF(DC111="","",IF(DK111="","",IFERROR(DF111/DK111-1,0)))</x:f>
      </x:c>
      <x:c r="DM111" s="166"/>
      <x:c r="DN111" s="172" t="str">
        <x:f>IF(DC111="","",IF(DM111="","",DM111-DL111*365/DO111))</x:f>
      </x:c>
      <x:c r="DO111" s="164"/>
      <x:c r="DP111" s="172" t="str">
        <x:f>IF(DC111="","",IFERROR(DH111*(DG111/DF111-1),0))</x:f>
      </x:c>
      <x:c r="DQ111" s="147"/>
      <x:c r="DR111" s="147"/>
      <x:c r="DS111" s="147"/>
      <x:c r="DT111" s="167"/>
      <x:c r="DU111" s="167"/>
      <x:c r="DV111" s="166"/>
      <x:c r="DW111" s="171" t="str">
        <x:f>IF(DQ111="","",IFERROR(F111*DV111/DT111,0))</x:f>
      </x:c>
      <x:c r="DX111" s="171" t="str">
        <x:f>IF(DQ111="","",F111*ABS(DV111))</x:f>
      </x:c>
      <x:c r="DY111" s="165"/>
      <x:c r="DZ111" s="172" t="str">
        <x:f>IF(DQ111="","",IF(DY111="","",IFERROR(DT111/DY111-1,0)))</x:f>
      </x:c>
      <x:c r="EA111" s="166"/>
      <x:c r="EB111" s="172" t="str">
        <x:f>IF(DQ111="","",IF(EA111="","",EA111-DZ111*365/EC111))</x:f>
      </x:c>
      <x:c r="EC111" s="164"/>
      <x:c r="ED111" s="172" t="str">
        <x:f>IF(DQ111="","",IFERROR(DV111*(DU111/DT111-1),0))</x:f>
      </x:c>
      <x:c r="EE111" s="147"/>
      <x:c r="EF111" s="147"/>
      <x:c r="EG111" s="147"/>
      <x:c r="EH111" s="167"/>
      <x:c r="EI111" s="167"/>
      <x:c r="EJ111" s="166"/>
      <x:c r="EK111" s="171" t="str">
        <x:f>IF(EE111="","",IFERROR(F111*EJ111/EH111,0))</x:f>
      </x:c>
      <x:c r="EL111" s="171" t="str">
        <x:f>IF(EE111="","",F111*ABS(EJ111))</x:f>
      </x:c>
      <x:c r="EM111" s="165"/>
      <x:c r="EN111" s="172" t="str">
        <x:f>IF(EE111="","",IF(EM111="","",IFERROR(EH111/EM111-1,0)))</x:f>
      </x:c>
      <x:c r="EO111" s="166"/>
      <x:c r="EP111" s="172" t="str">
        <x:f>IF(EE111="","",IF(EO111="","",EO111-EN111*365/EQ111))</x:f>
      </x:c>
      <x:c r="EQ111" s="164"/>
      <x:c r="ER111" s="172" t="str">
        <x:f>IF(EE111="","",IFERROR(EJ111*(EI111/EH111-1),0))</x:f>
      </x:c>
      <x:c r="ES111" s="147"/>
      <x:c r="ET111" s="147"/>
      <x:c r="EU111" s="147"/>
      <x:c r="EV111" s="167"/>
      <x:c r="EW111" s="167"/>
      <x:c r="EX111" s="166"/>
      <x:c r="EY111" s="171" t="str">
        <x:f>IF(ES111="","",IFERROR(F111*EX111/EV111,0))</x:f>
      </x:c>
      <x:c r="EZ111" s="171" t="str">
        <x:f>IF(ES111="","",F111*ABS(EX111))</x:f>
      </x:c>
      <x:c r="FA111" s="165"/>
      <x:c r="FB111" s="172" t="str">
        <x:f>IF(ES111="","",IF(FA111="","",IFERROR(EV111/FA111-1,0)))</x:f>
      </x:c>
      <x:c r="FC111" s="166"/>
      <x:c r="FD111" s="172" t="str">
        <x:f>IF(ES111="","",IF(FC111="","",FC111-FB111*365/FE111))</x:f>
      </x:c>
      <x:c r="FE111" s="164"/>
      <x:c r="FF111" s="172" t="str">
        <x:f>IF(ES111="","",IFERROR(EX111*(EW111/EV111-1),0))</x:f>
      </x:c>
      <x:c r="FG111" s="147"/>
      <x:c r="FH111" s="147"/>
      <x:c r="FI111" s="147"/>
      <x:c r="FJ111" s="167"/>
      <x:c r="FK111" s="167"/>
      <x:c r="FL111" s="166"/>
      <x:c r="FM111" s="171" t="str">
        <x:f>IF(FG111="","",IFERROR(F111*FL111/FJ111,0))</x:f>
      </x:c>
      <x:c r="FN111" s="171" t="str">
        <x:f>IF(FG111="","",F111*ABS(FL111))</x:f>
      </x:c>
      <x:c r="FO111" s="165"/>
      <x:c r="FP111" s="172" t="str">
        <x:f>IF(FG111="","",IF(FO111="","",IFERROR(FJ111/FO111-1,0)))</x:f>
      </x:c>
      <x:c r="FQ111" s="166"/>
      <x:c r="FR111" s="172" t="str">
        <x:f>IF(FG111="","",IF(FQ111="","",FQ111-FP111*365/FS111))</x:f>
      </x:c>
      <x:c r="FS111" s="164"/>
      <x:c r="FT111" s="172" t="str">
        <x:f>IF(FG111="","",IFERROR(FL111*(FK111/FJ111-1),0))</x:f>
      </x:c>
    </x:row>
    <x:row r="112" ht="18" customHeight="1">
      <x:c r="A112" s="163" t="n">
        <x:v>25370</x:v>
      </x:c>
      <x:c r="B112" s="163" t="n">
        <x:v>25371</x:v>
      </x:c>
      <x:c r="C112" s="170" t="n">
        <x:f>B112-A112</x:f>
        <x:v>1</x:v>
      </x:c>
      <x:c r="D112" s="163" t="n">
        <x:v>25370</x:v>
      </x:c>
      <x:c r="E112" s="147" t="str">
        <x:v>positive</x:v>
      </x:c>
      <x:c r="F112" s="165" t="n">
        <x:v>1.2411465158833626</x:v>
      </x:c>
      <x:c r="G112" s="168" t="n">
        <x:v>-0.04297495295846501</x:v>
      </x:c>
      <x:c r="H112" s="172" t="n">
        <x:f>SUM(AX112,BL112,BZ112,CN112,DB112,DP112,ED112,ER112,FF112,FT112)</x:f>
        <x:v>-0.042974952958465096</x:v>
      </x:c>
      <x:c r="I112" s="174" t="n">
        <x:f>G112-H112</x:f>
        <x:v>8.326672684688674e-17</x:v>
      </x:c>
      <x:c r="J112" s="171" t="n">
        <x:f>F112*(1+H112)</x:f>
        <x:v>1.1878083027487123</x:v>
      </x:c>
      <x:c r="K112" s="169" t="n">
        <x:v>1.1878083027487123</x:v>
      </x:c>
      <x:c r="L112" s="175" t="n">
        <x:f>K112-J112</x:f>
        <x:v>0</x:v>
      </x:c>
      <x:c r="M112" s="167" t="n">
        <x:v>1.679</x:v>
      </x:c>
      <x:c r="N112" s="167" t="n">
        <x:v>1.593</x:v>
      </x:c>
      <x:c r="O112" s="172" t="n">
        <x:f>IFERROR(N112/M112-1,0)</x:f>
        <x:v>-0.0512209648600358</x:v>
      </x:c>
      <x:c r="P112" s="171" t="n">
        <x:f>IFERROR(AD112/AH112,0)</x:f>
        <x:v>1.4473882537817897</x:v>
      </x:c>
      <x:c r="Q112" s="171" t="n">
        <x:f>IFERROR(AE112/AI112,0)</x:f>
        <x:v>1.4599677694802136</x:v>
      </x:c>
      <x:c r="R112" s="172" t="n">
        <x:f>IFERROR((Q112-P112)/(P112+S112),0)</x:f>
        <x:v>0.008691182663363222</x:v>
      </x:c>
      <x:c r="S112" s="172" t="n">
        <x:f>IFERROR(AF112/AH112,0)</x:f>
        <x:v>0</x:v>
      </x:c>
      <x:c r="T112" s="172" t="n">
        <x:f>IFERROR(AG112/AI112,0)</x:f>
        <x:v>0</x:v>
      </x:c>
      <x:c r="U112" s="172" t="n">
        <x:f>IFERROR((T112-S112)/(P112+S112),0)</x:f>
        <x:v>0</x:v>
      </x:c>
      <x:c r="V112" s="172" t="n">
        <x:f>R112+U112</x:f>
        <x:v>0.008691182663363222</x:v>
      </x:c>
      <x:c r="W112" s="172" t="n">
        <x:f>(1+O112)*(1+V112)-1</x:f>
        <x:v>-0.04297495295846476</x:v>
      </x:c>
      <x:c r="X112" s="174" t="n">
        <x:f>G112-W112</x:f>
        <x:v>-2.498001805406602e-16</x:v>
      </x:c>
      <x:c r="Y112" s="172" t="str">
        <x:f>AX112</x:f>
      </x:c>
      <x:c r="Z112" s="172" t="n">
        <x:f>BL112</x:f>
        <x:v>0.000181643835616363</x:v>
      </x:c>
      <x:c r="AA112" s="172" t="n">
        <x:f>SUM(BZ112,CN112,DB112,DP112,ED112,ER112,FF112,FT112)</x:f>
        <x:v>-0.04315659679408146</x:v>
      </x:c>
      <x:c r="AB112" s="172" t="n">
        <x:f>SUM(Y112:AA112)</x:f>
        <x:v>-0.042974952958465096</x:v>
      </x:c>
      <x:c r="AC112" s="174" t="n">
        <x:f>G112-AB112</x:f>
        <x:v>8.326672684688674e-17</x:v>
      </x:c>
      <x:c r="AD112" s="169" t="n">
        <x:v>1.2411465158833632</x:v>
      </x:c>
      <x:c r="AE112" s="169" t="n">
        <x:v>1.187808302748713</x:v>
      </x:c>
      <x:c r="AF112" s="169" t="n">
        <x:v>0</x:v>
      </x:c>
      <x:c r="AG112" s="169" t="n">
        <x:v>0</x:v>
      </x:c>
      <x:c r="AH112" s="171" t="n">
        <x:f>M112/$M$3</x:f>
        <x:v>0.8575076608784474</x:v>
      </x:c>
      <x:c r="AI112" s="171" t="n">
        <x:f>N112/$M$3</x:f>
        <x:v>0.813585291113381</x:v>
      </x:c>
      <x:c r="AJ112" s="170" t="n">
        <x:f>IF(AK112&lt;&gt;"",1,0)+IF(AY112&lt;&gt;"",1,0)+IF(BM112&lt;&gt;"",1,0)+IF(CA112&lt;&gt;"",1,0)+IF(CO112&lt;&gt;"",1,0)+IF(DC112&lt;&gt;"",1,0)+IF(DQ112&lt;&gt;"",1,0)+IF(EE112&lt;&gt;"",1,0)+IF(ES112&lt;&gt;"",1,0)+IF(FG112&lt;&gt;"",1,0)</x:f>
        <x:v>2</x:v>
      </x:c>
      <x:c r="AK112" s="147"/>
      <x:c r="AL112" s="147"/>
      <x:c r="AM112" s="147"/>
      <x:c r="AN112" s="167"/>
      <x:c r="AO112" s="167"/>
      <x:c r="AP112" s="166"/>
      <x:c r="AQ112" s="171" t="str">
        <x:f>IF(AK112="","",IFERROR(F112*AP112/AN112,0))</x:f>
      </x:c>
      <x:c r="AR112" s="171" t="str">
        <x:f>IF(AK112="","",F112*ABS(AP112))</x:f>
      </x:c>
      <x:c r="AS112" s="165"/>
      <x:c r="AT112" s="172" t="str">
        <x:f>IF(AK112="","",IF(AS112="","",IFERROR(AN112/AS112-1,0)))</x:f>
      </x:c>
      <x:c r="AU112" s="166"/>
      <x:c r="AV112" s="172" t="str">
        <x:f>IF(AK112="","",IF(AU112="","",AU112-AT112*365/AW112))</x:f>
      </x:c>
      <x:c r="AW112" s="164"/>
      <x:c r="AX112" s="173" t="str">
        <x:f>IF(AK112="","",IFERROR(AP112*(AO112/AN112-1),0))</x:f>
      </x:c>
      <x:c r="AY112" s="147" t="str">
        <x:v>Matched-maturity Treasury collateral</x:v>
      </x:c>
      <x:c r="AZ112" s="147" t="str">
        <x:v>Treasury</x:v>
      </x:c>
      <x:c r="BA112" s="147" t="str">
        <x:v>Long</x:v>
      </x:c>
      <x:c r="BB112" s="167" t="n">
        <x:v>102.80409691650728</x:v>
      </x:c>
      <x:c r="BC112" s="167" t="n">
        <x:v>102.82277064698826</x:v>
      </x:c>
      <x:c r="BD112" s="166" t="n">
        <x:v>1</x:v>
      </x:c>
      <x:c r="BE112" s="171" t="n">
        <x:f>IF(AY112="","",IFERROR(F112*BD112/BB112,0))</x:f>
        <x:v>0.012072928541859224</x:v>
      </x:c>
      <x:c r="BF112" s="171" t="n">
        <x:f>IF(AY112="","",F112*ABS(BD112))</x:f>
        <x:v>1.2411465158833626</x:v>
      </x:c>
      <x:c r="BG112" s="165"/>
      <x:c r="BH112" s="172" t="str">
        <x:f>IF(AY112="","",IF(BG112="","",IFERROR(BB112/BG112-1,0)))</x:f>
      </x:c>
      <x:c r="BI112" s="166"/>
      <x:c r="BJ112" s="172" t="str">
        <x:f>IF(AY112="","",IF(BI112="","",BI112-BH112*365/BK112))</x:f>
      </x:c>
      <x:c r="BK112" s="164" t="n">
        <x:v>43</x:v>
      </x:c>
      <x:c r="BL112" s="172" t="n">
        <x:f>IF(AY112="","",IFERROR(BD112*(BC112/BB112-1),0))</x:f>
        <x:v>0.000181643835616363</x:v>
      </x:c>
      <x:c r="BM112" s="147" t="str">
        <x:v>SI69N</x:v>
      </x:c>
      <x:c r="BN112" s="147" t="str">
        <x:v>Silver future (regular)</x:v>
      </x:c>
      <x:c r="BO112" s="147" t="str">
        <x:v>Long</x:v>
      </x:c>
      <x:c r="BP112" s="167" t="n">
        <x:v>1.6219999999999999</x:v>
      </x:c>
      <x:c r="BQ112" s="167" t="n">
        <x:v>1.5519999999999998</x:v>
      </x:c>
      <x:c r="BR112" s="166" t="n">
        <x:v>1</x:v>
      </x:c>
      <x:c r="BS112" s="171" t="n">
        <x:f>IF(BM112="","",IFERROR(F112*BR112/BP112,0))</x:f>
        <x:v>0.7651951392622458</x:v>
      </x:c>
      <x:c r="BT112" s="171" t="n">
        <x:f>IF(BM112="","",F112*ABS(BR112))</x:f>
        <x:v>1.2411465158833626</x:v>
      </x:c>
      <x:c r="BU112" s="165" t="n">
        <x:v>1.679</x:v>
      </x:c>
      <x:c r="BV112" s="172" t="n">
        <x:f>IF(BM112="","",IF(BU112="","",IFERROR(BP112/BU112-1,0)))</x:f>
        <x:v>-0.03394877903514004</x:v>
      </x:c>
      <x:c r="BW112" s="166" t="n">
        <x:v>0.0663</x:v>
      </x:c>
      <x:c r="BX112" s="172" t="n">
        <x:f>IF(BM112="","",IF(BW112="","",BW112-BV112*365/BY112))</x:f>
        <x:v>0.3544698685540957</x:v>
      </x:c>
      <x:c r="BY112" s="164" t="n">
        <x:v>43</x:v>
      </x:c>
      <x:c r="BZ112" s="172" t="n">
        <x:f>IF(BM112="","",IFERROR(BR112*(BQ112/BP112-1),0))</x:f>
        <x:v>-0.04315659679408146</x:v>
      </x:c>
      <x:c r="CA112" s="147"/>
      <x:c r="CB112" s="147"/>
      <x:c r="CC112" s="147"/>
      <x:c r="CD112" s="167"/>
      <x:c r="CE112" s="167"/>
      <x:c r="CF112" s="166"/>
      <x:c r="CG112" s="171" t="str">
        <x:f>IF(CA112="","",IFERROR(F112*CF112/CD112,0))</x:f>
      </x:c>
      <x:c r="CH112" s="171" t="str">
        <x:f>IF(CA112="","",F112*ABS(CF112))</x:f>
      </x:c>
      <x:c r="CI112" s="165"/>
      <x:c r="CJ112" s="172" t="str">
        <x:f>IF(CA112="","",IF(CI112="","",IFERROR(CD112/CI112-1,0)))</x:f>
      </x:c>
      <x:c r="CK112" s="166"/>
      <x:c r="CL112" s="172" t="str">
        <x:f>IF(CA112="","",IF(CK112="","",CK112-CJ112*365/CM112))</x:f>
      </x:c>
      <x:c r="CM112" s="164"/>
      <x:c r="CN112" s="172" t="str">
        <x:f>IF(CA112="","",IFERROR(CF112*(CE112/CD112-1),0))</x:f>
      </x:c>
      <x:c r="CO112" s="147"/>
      <x:c r="CP112" s="147"/>
      <x:c r="CQ112" s="147"/>
      <x:c r="CR112" s="167"/>
      <x:c r="CS112" s="167"/>
      <x:c r="CT112" s="166"/>
      <x:c r="CU112" s="171" t="str">
        <x:f>IF(CO112="","",IFERROR(F112*CT112/CR112,0))</x:f>
      </x:c>
      <x:c r="CV112" s="171" t="str">
        <x:f>IF(CO112="","",F112*ABS(CT112))</x:f>
      </x:c>
      <x:c r="CW112" s="165"/>
      <x:c r="CX112" s="172" t="str">
        <x:f>IF(CO112="","",IF(CW112="","",IFERROR(CR112/CW112-1,0)))</x:f>
      </x:c>
      <x:c r="CY112" s="166"/>
      <x:c r="CZ112" s="172" t="str">
        <x:f>IF(CO112="","",IF(CY112="","",CY112-CX112*365/DA112))</x:f>
      </x:c>
      <x:c r="DA112" s="164"/>
      <x:c r="DB112" s="172" t="str">
        <x:f>IF(CO112="","",IFERROR(CT112*(CS112/CR112-1),0))</x:f>
      </x:c>
      <x:c r="DC112" s="147"/>
      <x:c r="DD112" s="147"/>
      <x:c r="DE112" s="147"/>
      <x:c r="DF112" s="167"/>
      <x:c r="DG112" s="167"/>
      <x:c r="DH112" s="166"/>
      <x:c r="DI112" s="171" t="str">
        <x:f>IF(DC112="","",IFERROR(F112*DH112/DF112,0))</x:f>
      </x:c>
      <x:c r="DJ112" s="171" t="str">
        <x:f>IF(DC112="","",F112*ABS(DH112))</x:f>
      </x:c>
      <x:c r="DK112" s="165"/>
      <x:c r="DL112" s="172" t="str">
        <x:f>IF(DC112="","",IF(DK112="","",IFERROR(DF112/DK112-1,0)))</x:f>
      </x:c>
      <x:c r="DM112" s="166"/>
      <x:c r="DN112" s="172" t="str">
        <x:f>IF(DC112="","",IF(DM112="","",DM112-DL112*365/DO112))</x:f>
      </x:c>
      <x:c r="DO112" s="164"/>
      <x:c r="DP112" s="172" t="str">
        <x:f>IF(DC112="","",IFERROR(DH112*(DG112/DF112-1),0))</x:f>
      </x:c>
      <x:c r="DQ112" s="147"/>
      <x:c r="DR112" s="147"/>
      <x:c r="DS112" s="147"/>
      <x:c r="DT112" s="167"/>
      <x:c r="DU112" s="167"/>
      <x:c r="DV112" s="166"/>
      <x:c r="DW112" s="171" t="str">
        <x:f>IF(DQ112="","",IFERROR(F112*DV112/DT112,0))</x:f>
      </x:c>
      <x:c r="DX112" s="171" t="str">
        <x:f>IF(DQ112="","",F112*ABS(DV112))</x:f>
      </x:c>
      <x:c r="DY112" s="165"/>
      <x:c r="DZ112" s="172" t="str">
        <x:f>IF(DQ112="","",IF(DY112="","",IFERROR(DT112/DY112-1,0)))</x:f>
      </x:c>
      <x:c r="EA112" s="166"/>
      <x:c r="EB112" s="172" t="str">
        <x:f>IF(DQ112="","",IF(EA112="","",EA112-DZ112*365/EC112))</x:f>
      </x:c>
      <x:c r="EC112" s="164"/>
      <x:c r="ED112" s="172" t="str">
        <x:f>IF(DQ112="","",IFERROR(DV112*(DU112/DT112-1),0))</x:f>
      </x:c>
      <x:c r="EE112" s="147"/>
      <x:c r="EF112" s="147"/>
      <x:c r="EG112" s="147"/>
      <x:c r="EH112" s="167"/>
      <x:c r="EI112" s="167"/>
      <x:c r="EJ112" s="166"/>
      <x:c r="EK112" s="171" t="str">
        <x:f>IF(EE112="","",IFERROR(F112*EJ112/EH112,0))</x:f>
      </x:c>
      <x:c r="EL112" s="171" t="str">
        <x:f>IF(EE112="","",F112*ABS(EJ112))</x:f>
      </x:c>
      <x:c r="EM112" s="165"/>
      <x:c r="EN112" s="172" t="str">
        <x:f>IF(EE112="","",IF(EM112="","",IFERROR(EH112/EM112-1,0)))</x:f>
      </x:c>
      <x:c r="EO112" s="166"/>
      <x:c r="EP112" s="172" t="str">
        <x:f>IF(EE112="","",IF(EO112="","",EO112-EN112*365/EQ112))</x:f>
      </x:c>
      <x:c r="EQ112" s="164"/>
      <x:c r="ER112" s="172" t="str">
        <x:f>IF(EE112="","",IFERROR(EJ112*(EI112/EH112-1),0))</x:f>
      </x:c>
      <x:c r="ES112" s="147"/>
      <x:c r="ET112" s="147"/>
      <x:c r="EU112" s="147"/>
      <x:c r="EV112" s="167"/>
      <x:c r="EW112" s="167"/>
      <x:c r="EX112" s="166"/>
      <x:c r="EY112" s="171" t="str">
        <x:f>IF(ES112="","",IFERROR(F112*EX112/EV112,0))</x:f>
      </x:c>
      <x:c r="EZ112" s="171" t="str">
        <x:f>IF(ES112="","",F112*ABS(EX112))</x:f>
      </x:c>
      <x:c r="FA112" s="165"/>
      <x:c r="FB112" s="172" t="str">
        <x:f>IF(ES112="","",IF(FA112="","",IFERROR(EV112/FA112-1,0)))</x:f>
      </x:c>
      <x:c r="FC112" s="166"/>
      <x:c r="FD112" s="172" t="str">
        <x:f>IF(ES112="","",IF(FC112="","",FC112-FB112*365/FE112))</x:f>
      </x:c>
      <x:c r="FE112" s="164"/>
      <x:c r="FF112" s="172" t="str">
        <x:f>IF(ES112="","",IFERROR(EX112*(EW112/EV112-1),0))</x:f>
      </x:c>
      <x:c r="FG112" s="147"/>
      <x:c r="FH112" s="147"/>
      <x:c r="FI112" s="147"/>
      <x:c r="FJ112" s="167"/>
      <x:c r="FK112" s="167"/>
      <x:c r="FL112" s="166"/>
      <x:c r="FM112" s="171" t="str">
        <x:f>IF(FG112="","",IFERROR(F112*FL112/FJ112,0))</x:f>
      </x:c>
      <x:c r="FN112" s="171" t="str">
        <x:f>IF(FG112="","",F112*ABS(FL112))</x:f>
      </x:c>
      <x:c r="FO112" s="165"/>
      <x:c r="FP112" s="172" t="str">
        <x:f>IF(FG112="","",IF(FO112="","",IFERROR(FJ112/FO112-1,0)))</x:f>
      </x:c>
      <x:c r="FQ112" s="166"/>
      <x:c r="FR112" s="172" t="str">
        <x:f>IF(FG112="","",IF(FQ112="","",FQ112-FP112*365/FS112))</x:f>
      </x:c>
      <x:c r="FS112" s="164"/>
      <x:c r="FT112" s="172" t="str">
        <x:f>IF(FG112="","",IFERROR(FL112*(FK112/FJ112-1),0))</x:f>
      </x:c>
    </x:row>
    <x:row r="113" ht="18" customHeight="1">
      <x:c r="A113" s="163" t="n">
        <x:v>25371</x:v>
      </x:c>
      <x:c r="B113" s="163" t="n">
        <x:v>25372</x:v>
      </x:c>
      <x:c r="C113" s="170" t="n">
        <x:f>B113-A113</x:f>
        <x:v>1</x:v>
      </x:c>
      <x:c r="D113" s="163" t="n">
        <x:v>25371</x:v>
      </x:c>
      <x:c r="E113" s="147" t="str">
        <x:v>positive</x:v>
      </x:c>
      <x:c r="F113" s="165" t="n">
        <x:v>1.1878083027487123</x:v>
      </x:c>
      <x:c r="G113" s="168" t="n">
        <x:v>0.005333269312244237</x:v>
      </x:c>
      <x:c r="H113" s="172" t="n">
        <x:f>SUM(AX113,BL113,BZ113,CN113,DB113,DP113,ED113,ER113,FF113,FT113)</x:f>
        <x:v>0.005333269312244315</x:v>
      </x:c>
      <x:c r="I113" s="174" t="n">
        <x:f>G113-H113</x:f>
        <x:v>-7.806255641895632e-17</x:v>
      </x:c>
      <x:c r="J113" s="171" t="n">
        <x:f>F113*(1+H113)</x:f>
        <x:v>1.1941432043185911</x:v>
      </x:c>
      <x:c r="K113" s="169" t="n">
        <x:v>1.1941432043185911</x:v>
      </x:c>
      <x:c r="L113" s="175" t="n">
        <x:f>K113-J113</x:f>
        <x:v>0</x:v>
      </x:c>
      <x:c r="M113" s="167" t="n">
        <x:v>1.593</x:v>
      </x:c>
      <x:c r="N113" s="167" t="n">
        <x:v>1.578</x:v>
      </x:c>
      <x:c r="O113" s="172" t="n">
        <x:f>IFERROR(N113/M113-1,0)</x:f>
        <x:v>-0.00941619585687381</x:v>
      </x:c>
      <x:c r="P113" s="171" t="n">
        <x:f>IFERROR(AD113/AH113,0)</x:f>
        <x:v>1.4599677694802136</x:v>
      </x:c>
      <x:c r="Q113" s="171" t="n">
        <x:f>IFERROR(AE113/AI113,0)</x:f>
        <x:v>1.4817062066259834</x:v>
      </x:c>
      <x:c r="R113" s="172" t="n">
        <x:f>IFERROR((Q113-P113)/(P113+S113),0)</x:f>
        <x:v>0.014889669210649279</x:v>
      </x:c>
      <x:c r="S113" s="172" t="n">
        <x:f>IFERROR(AF113/AH113,0)</x:f>
        <x:v>0</x:v>
      </x:c>
      <x:c r="T113" s="172" t="n">
        <x:f>IFERROR(AG113/AI113,0)</x:f>
        <x:v>0</x:v>
      </x:c>
      <x:c r="U113" s="172" t="n">
        <x:f>IFERROR((T113-S113)/(P113+S113),0)</x:f>
        <x:v>0</x:v>
      </x:c>
      <x:c r="V113" s="172" t="n">
        <x:f>R113+U113</x:f>
        <x:v>0.014889669210649279</x:v>
      </x:c>
      <x:c r="W113" s="172" t="n">
        <x:f>(1+O113)*(1+V113)-1</x:f>
        <x:v>0.005333269312243871</x:v>
      </x:c>
      <x:c r="X113" s="174" t="n">
        <x:f>G113-W113</x:f>
        <x:v>3.660266534311063e-16</x:v>
      </x:c>
      <x:c r="Y113" s="172" t="str">
        <x:f>AX113</x:f>
      </x:c>
      <x:c r="Z113" s="172" t="n">
        <x:f>BL113</x:f>
        <x:v>0.00017863013698637964</x:v>
      </x:c>
      <x:c r="AA113" s="172" t="n">
        <x:f>SUM(BZ113,CN113,DB113,DP113,ED113,ER113,FF113,FT113)</x:f>
        <x:v>0.005154639175257936</x:v>
      </x:c>
      <x:c r="AB113" s="172" t="n">
        <x:f>SUM(Y113:AA113)</x:f>
        <x:v>0.005333269312244315</x:v>
      </x:c>
      <x:c r="AC113" s="174" t="n">
        <x:f>G113-AB113</x:f>
        <x:v>-7.806255641895632e-17</x:v>
      </x:c>
      <x:c r="AD113" s="169" t="n">
        <x:v>1.187808302748713</x:v>
      </x:c>
      <x:c r="AE113" s="169" t="n">
        <x:v>1.1941432043185916</x:v>
      </x:c>
      <x:c r="AF113" s="169" t="n">
        <x:v>0</x:v>
      </x:c>
      <x:c r="AG113" s="169" t="n">
        <x:v>0</x:v>
      </x:c>
      <x:c r="AH113" s="171" t="n">
        <x:f>M113/$M$3</x:f>
        <x:v>0.813585291113381</x:v>
      </x:c>
      <x:c r="AI113" s="171" t="n">
        <x:f>N113/$M$3</x:f>
        <x:v>0.8059244126659858</x:v>
      </x:c>
      <x:c r="AJ113" s="170" t="n">
        <x:f>IF(AK113&lt;&gt;"",1,0)+IF(AY113&lt;&gt;"",1,0)+IF(BM113&lt;&gt;"",1,0)+IF(CA113&lt;&gt;"",1,0)+IF(CO113&lt;&gt;"",1,0)+IF(DC113&lt;&gt;"",1,0)+IF(DQ113&lt;&gt;"",1,0)+IF(EE113&lt;&gt;"",1,0)+IF(ES113&lt;&gt;"",1,0)+IF(FG113&lt;&gt;"",1,0)</x:f>
        <x:v>2</x:v>
      </x:c>
      <x:c r="AK113" s="147"/>
      <x:c r="AL113" s="147"/>
      <x:c r="AM113" s="147"/>
      <x:c r="AN113" s="167"/>
      <x:c r="AO113" s="167"/>
      <x:c r="AP113" s="166"/>
      <x:c r="AQ113" s="171" t="str">
        <x:f>IF(AK113="","",IFERROR(F113*AP113/AN113,0))</x:f>
      </x:c>
      <x:c r="AR113" s="171" t="str">
        <x:f>IF(AK113="","",F113*ABS(AP113))</x:f>
      </x:c>
      <x:c r="AS113" s="165"/>
      <x:c r="AT113" s="172" t="str">
        <x:f>IF(AK113="","",IF(AS113="","",IFERROR(AN113/AS113-1,0)))</x:f>
      </x:c>
      <x:c r="AU113" s="166"/>
      <x:c r="AV113" s="172" t="str">
        <x:f>IF(AK113="","",IF(AU113="","",AU113-AT113*365/AW113))</x:f>
      </x:c>
      <x:c r="AW113" s="164"/>
      <x:c r="AX113" s="173" t="str">
        <x:f>IF(AK113="","",IFERROR(AP113*(AO113/AN113-1),0))</x:f>
      </x:c>
      <x:c r="AY113" s="147" t="str">
        <x:v>Matched-maturity Treasury collateral</x:v>
      </x:c>
      <x:c r="AZ113" s="147" t="str">
        <x:v>Treasury</x:v>
      </x:c>
      <x:c r="BA113" s="147" t="str">
        <x:v>Long</x:v>
      </x:c>
      <x:c r="BB113" s="167" t="n">
        <x:v>102.82277064698826</x:v>
      </x:c>
      <x:c r="BC113" s="167" t="n">
        <x:v>102.84113789259426</x:v>
      </x:c>
      <x:c r="BD113" s="166" t="n">
        <x:v>1</x:v>
      </x:c>
      <x:c r="BE113" s="171" t="n">
        <x:f>IF(AY113="","",IFERROR(F113*BD113/BB113,0))</x:f>
        <x:v>0.011551996656720161</x:v>
      </x:c>
      <x:c r="BF113" s="171" t="n">
        <x:f>IF(AY113="","",F113*ABS(BD113))</x:f>
        <x:v>1.1878083027487123</x:v>
      </x:c>
      <x:c r="BG113" s="165"/>
      <x:c r="BH113" s="172" t="str">
        <x:f>IF(AY113="","",IF(BG113="","",IFERROR(BB113/BG113-1,0)))</x:f>
      </x:c>
      <x:c r="BI113" s="166"/>
      <x:c r="BJ113" s="172" t="str">
        <x:f>IF(AY113="","",IF(BI113="","",BI113-BH113*365/BK113))</x:f>
      </x:c>
      <x:c r="BK113" s="164" t="n">
        <x:v>42</x:v>
      </x:c>
      <x:c r="BL113" s="172" t="n">
        <x:f>IF(AY113="","",IFERROR(BD113*(BC113/BB113-1),0))</x:f>
        <x:v>0.00017863013698637964</x:v>
      </x:c>
      <x:c r="BM113" s="147" t="str">
        <x:v>SI69N</x:v>
      </x:c>
      <x:c r="BN113" s="147" t="str">
        <x:v>Silver future (regular)</x:v>
      </x:c>
      <x:c r="BO113" s="147" t="str">
        <x:v>Long</x:v>
      </x:c>
      <x:c r="BP113" s="167" t="n">
        <x:v>1.5519999999999998</x:v>
      </x:c>
      <x:c r="BQ113" s="167" t="n">
        <x:v>1.56</x:v>
      </x:c>
      <x:c r="BR113" s="166" t="n">
        <x:v>1</x:v>
      </x:c>
      <x:c r="BS113" s="171" t="n">
        <x:f>IF(BM113="","",IFERROR(F113*BR113/BP113,0))</x:f>
        <x:v>0.7653404012556136</x:v>
      </x:c>
      <x:c r="BT113" s="171" t="n">
        <x:f>IF(BM113="","",F113*ABS(BR113))</x:f>
        <x:v>1.1878083027487123</x:v>
      </x:c>
      <x:c r="BU113" s="165" t="n">
        <x:v>1.593</x:v>
      </x:c>
      <x:c r="BV113" s="172" t="n">
        <x:f>IF(BM113="","",IF(BU113="","",IFERROR(BP113/BU113-1,0)))</x:f>
        <x:v>-0.025737602008788496</x:v>
      </x:c>
      <x:c r="BW113" s="166" t="n">
        <x:v>0.0652</x:v>
      </x:c>
      <x:c r="BX113" s="172" t="n">
        <x:f>IF(BM113="","",IF(BW113="","",BW113-BV113*365/BY113))</x:f>
        <x:v>0.2888720174573286</x:v>
      </x:c>
      <x:c r="BY113" s="164" t="n">
        <x:v>42</x:v>
      </x:c>
      <x:c r="BZ113" s="172" t="n">
        <x:f>IF(BM113="","",IFERROR(BR113*(BQ113/BP113-1),0))</x:f>
        <x:v>0.005154639175257936</x:v>
      </x:c>
      <x:c r="CA113" s="147"/>
      <x:c r="CB113" s="147"/>
      <x:c r="CC113" s="147"/>
      <x:c r="CD113" s="167"/>
      <x:c r="CE113" s="167"/>
      <x:c r="CF113" s="166"/>
      <x:c r="CG113" s="171" t="str">
        <x:f>IF(CA113="","",IFERROR(F113*CF113/CD113,0))</x:f>
      </x:c>
      <x:c r="CH113" s="171" t="str">
        <x:f>IF(CA113="","",F113*ABS(CF113))</x:f>
      </x:c>
      <x:c r="CI113" s="165"/>
      <x:c r="CJ113" s="172" t="str">
        <x:f>IF(CA113="","",IF(CI113="","",IFERROR(CD113/CI113-1,0)))</x:f>
      </x:c>
      <x:c r="CK113" s="166"/>
      <x:c r="CL113" s="172" t="str">
        <x:f>IF(CA113="","",IF(CK113="","",CK113-CJ113*365/CM113))</x:f>
      </x:c>
      <x:c r="CM113" s="164"/>
      <x:c r="CN113" s="172" t="str">
        <x:f>IF(CA113="","",IFERROR(CF113*(CE113/CD113-1),0))</x:f>
      </x:c>
      <x:c r="CO113" s="147"/>
      <x:c r="CP113" s="147"/>
      <x:c r="CQ113" s="147"/>
      <x:c r="CR113" s="167"/>
      <x:c r="CS113" s="167"/>
      <x:c r="CT113" s="166"/>
      <x:c r="CU113" s="171" t="str">
        <x:f>IF(CO113="","",IFERROR(F113*CT113/CR113,0))</x:f>
      </x:c>
      <x:c r="CV113" s="171" t="str">
        <x:f>IF(CO113="","",F113*ABS(CT113))</x:f>
      </x:c>
      <x:c r="CW113" s="165"/>
      <x:c r="CX113" s="172" t="str">
        <x:f>IF(CO113="","",IF(CW113="","",IFERROR(CR113/CW113-1,0)))</x:f>
      </x:c>
      <x:c r="CY113" s="166"/>
      <x:c r="CZ113" s="172" t="str">
        <x:f>IF(CO113="","",IF(CY113="","",CY113-CX113*365/DA113))</x:f>
      </x:c>
      <x:c r="DA113" s="164"/>
      <x:c r="DB113" s="172" t="str">
        <x:f>IF(CO113="","",IFERROR(CT113*(CS113/CR113-1),0))</x:f>
      </x:c>
      <x:c r="DC113" s="147"/>
      <x:c r="DD113" s="147"/>
      <x:c r="DE113" s="147"/>
      <x:c r="DF113" s="167"/>
      <x:c r="DG113" s="167"/>
      <x:c r="DH113" s="166"/>
      <x:c r="DI113" s="171" t="str">
        <x:f>IF(DC113="","",IFERROR(F113*DH113/DF113,0))</x:f>
      </x:c>
      <x:c r="DJ113" s="171" t="str">
        <x:f>IF(DC113="","",F113*ABS(DH113))</x:f>
      </x:c>
      <x:c r="DK113" s="165"/>
      <x:c r="DL113" s="172" t="str">
        <x:f>IF(DC113="","",IF(DK113="","",IFERROR(DF113/DK113-1,0)))</x:f>
      </x:c>
      <x:c r="DM113" s="166"/>
      <x:c r="DN113" s="172" t="str">
        <x:f>IF(DC113="","",IF(DM113="","",DM113-DL113*365/DO113))</x:f>
      </x:c>
      <x:c r="DO113" s="164"/>
      <x:c r="DP113" s="172" t="str">
        <x:f>IF(DC113="","",IFERROR(DH113*(DG113/DF113-1),0))</x:f>
      </x:c>
      <x:c r="DQ113" s="147"/>
      <x:c r="DR113" s="147"/>
      <x:c r="DS113" s="147"/>
      <x:c r="DT113" s="167"/>
      <x:c r="DU113" s="167"/>
      <x:c r="DV113" s="166"/>
      <x:c r="DW113" s="171" t="str">
        <x:f>IF(DQ113="","",IFERROR(F113*DV113/DT113,0))</x:f>
      </x:c>
      <x:c r="DX113" s="171" t="str">
        <x:f>IF(DQ113="","",F113*ABS(DV113))</x:f>
      </x:c>
      <x:c r="DY113" s="165"/>
      <x:c r="DZ113" s="172" t="str">
        <x:f>IF(DQ113="","",IF(DY113="","",IFERROR(DT113/DY113-1,0)))</x:f>
      </x:c>
      <x:c r="EA113" s="166"/>
      <x:c r="EB113" s="172" t="str">
        <x:f>IF(DQ113="","",IF(EA113="","",EA113-DZ113*365/EC113))</x:f>
      </x:c>
      <x:c r="EC113" s="164"/>
      <x:c r="ED113" s="172" t="str">
        <x:f>IF(DQ113="","",IFERROR(DV113*(DU113/DT113-1),0))</x:f>
      </x:c>
      <x:c r="EE113" s="147"/>
      <x:c r="EF113" s="147"/>
      <x:c r="EG113" s="147"/>
      <x:c r="EH113" s="167"/>
      <x:c r="EI113" s="167"/>
      <x:c r="EJ113" s="166"/>
      <x:c r="EK113" s="171" t="str">
        <x:f>IF(EE113="","",IFERROR(F113*EJ113/EH113,0))</x:f>
      </x:c>
      <x:c r="EL113" s="171" t="str">
        <x:f>IF(EE113="","",F113*ABS(EJ113))</x:f>
      </x:c>
      <x:c r="EM113" s="165"/>
      <x:c r="EN113" s="172" t="str">
        <x:f>IF(EE113="","",IF(EM113="","",IFERROR(EH113/EM113-1,0)))</x:f>
      </x:c>
      <x:c r="EO113" s="166"/>
      <x:c r="EP113" s="172" t="str">
        <x:f>IF(EE113="","",IF(EO113="","",EO113-EN113*365/EQ113))</x:f>
      </x:c>
      <x:c r="EQ113" s="164"/>
      <x:c r="ER113" s="172" t="str">
        <x:f>IF(EE113="","",IFERROR(EJ113*(EI113/EH113-1),0))</x:f>
      </x:c>
      <x:c r="ES113" s="147"/>
      <x:c r="ET113" s="147"/>
      <x:c r="EU113" s="147"/>
      <x:c r="EV113" s="167"/>
      <x:c r="EW113" s="167"/>
      <x:c r="EX113" s="166"/>
      <x:c r="EY113" s="171" t="str">
        <x:f>IF(ES113="","",IFERROR(F113*EX113/EV113,0))</x:f>
      </x:c>
      <x:c r="EZ113" s="171" t="str">
        <x:f>IF(ES113="","",F113*ABS(EX113))</x:f>
      </x:c>
      <x:c r="FA113" s="165"/>
      <x:c r="FB113" s="172" t="str">
        <x:f>IF(ES113="","",IF(FA113="","",IFERROR(EV113/FA113-1,0)))</x:f>
      </x:c>
      <x:c r="FC113" s="166"/>
      <x:c r="FD113" s="172" t="str">
        <x:f>IF(ES113="","",IF(FC113="","",FC113-FB113*365/FE113))</x:f>
      </x:c>
      <x:c r="FE113" s="164"/>
      <x:c r="FF113" s="172" t="str">
        <x:f>IF(ES113="","",IFERROR(EX113*(EW113/EV113-1),0))</x:f>
      </x:c>
      <x:c r="FG113" s="147"/>
      <x:c r="FH113" s="147"/>
      <x:c r="FI113" s="147"/>
      <x:c r="FJ113" s="167"/>
      <x:c r="FK113" s="167"/>
      <x:c r="FL113" s="166"/>
      <x:c r="FM113" s="171" t="str">
        <x:f>IF(FG113="","",IFERROR(F113*FL113/FJ113,0))</x:f>
      </x:c>
      <x:c r="FN113" s="171" t="str">
        <x:f>IF(FG113="","",F113*ABS(FL113))</x:f>
      </x:c>
      <x:c r="FO113" s="165"/>
      <x:c r="FP113" s="172" t="str">
        <x:f>IF(FG113="","",IF(FO113="","",IFERROR(FJ113/FO113-1,0)))</x:f>
      </x:c>
      <x:c r="FQ113" s="166"/>
      <x:c r="FR113" s="172" t="str">
        <x:f>IF(FG113="","",IF(FQ113="","",FQ113-FP113*365/FS113))</x:f>
      </x:c>
      <x:c r="FS113" s="164"/>
      <x:c r="FT113" s="172" t="str">
        <x:f>IF(FG113="","",IFERROR(FL113*(FK113/FJ113-1),0))</x:f>
      </x:c>
    </x:row>
    <x:row r="114" ht="18" customHeight="1">
      <x:c r="A114" s="163" t="n">
        <x:v>25372</x:v>
      </x:c>
      <x:c r="B114" s="163" t="n">
        <x:v>25373</x:v>
      </x:c>
      <x:c r="C114" s="170" t="n">
        <x:f>B114-A114</x:f>
        <x:v>1</x:v>
      </x:c>
      <x:c r="D114" s="163" t="n">
        <x:v>25372</x:v>
      </x:c>
      <x:c r="E114" s="147" t="str">
        <x:v>positive</x:v>
      </x:c>
      <x:c r="F114" s="165" t="n">
        <x:v>1.1941432043185911</x:v>
      </x:c>
      <x:c r="G114" s="168" t="n">
        <x:v>0.021974323849666234</x:v>
      </x:c>
      <x:c r="H114" s="172" t="n">
        <x:f>SUM(AX114,BL114,BZ114,CN114,DB114,DP114,ED114,ER114,FF114,FT114)</x:f>
        <x:v>0.021974323849666133</x:v>
      </x:c>
      <x:c r="I114" s="174" t="n">
        <x:f>G114-H114</x:f>
        <x:v>1.0061396160665481e-16</x:v>
      </x:c>
      <x:c r="J114" s="171" t="n">
        <x:f>F114*(1+H114)</x:f>
        <x:v>1.2203836938131658</x:v>
      </x:c>
      <x:c r="K114" s="169" t="n">
        <x:v>1.2203836938131658</x:v>
      </x:c>
      <x:c r="L114" s="175" t="n">
        <x:f>K114-J114</x:f>
        <x:v>0</x:v>
      </x:c>
      <x:c r="M114" s="167" t="n">
        <x:v>1.578</x:v>
      </x:c>
      <x:c r="N114" s="167" t="n">
        <x:v>1.603</x:v>
      </x:c>
      <x:c r="O114" s="172" t="n">
        <x:f>IFERROR(N114/M114-1,0)</x:f>
        <x:v>0.01584283903675532</x:v>
      </x:c>
      <x:c r="P114" s="171" t="n">
        <x:f>IFERROR(AD114/AH114,0)</x:f>
        <x:v>1.4817062066259834</x:v>
      </x:c>
      <x:c r="Q114" s="171" t="n">
        <x:f>IFERROR(AE114/AI114,0)</x:f>
        <x:v>1.490649577346338</x:v>
      </x:c>
      <x:c r="R114" s="172" t="n">
        <x:f>IFERROR((Q114-P114)/(P114+S114),0)</x:f>
        <x:v>0.006035859659871204</x:v>
      </x:c>
      <x:c r="S114" s="172" t="n">
        <x:f>IFERROR(AF114/AH114,0)</x:f>
        <x:v>0</x:v>
      </x:c>
      <x:c r="T114" s="172" t="n">
        <x:f>IFERROR(AG114/AI114,0)</x:f>
        <x:v>0</x:v>
      </x:c>
      <x:c r="U114" s="172" t="n">
        <x:f>IFERROR((T114-S114)/(P114+S114),0)</x:f>
        <x:v>0</x:v>
      </x:c>
      <x:c r="V114" s="172" t="n">
        <x:f>R114+U114</x:f>
        <x:v>0.006035859659871204</x:v>
      </x:c>
      <x:c r="W114" s="172" t="n">
        <x:f>(1+O114)*(1+V114)-1</x:f>
        <x:v>0.021974323849666355</x:v>
      </x:c>
      <x:c r="X114" s="174" t="n">
        <x:f>G114-W114</x:f>
        <x:v>-1.214306433183765e-16</x:v>
      </x:c>
      <x:c r="Y114" s="172" t="str">
        <x:f>AX114</x:f>
      </x:c>
      <x:c r="Z114" s="172" t="n">
        <x:f>BL114</x:f>
        <x:v>0.00017945205479441562</x:v>
      </x:c>
      <x:c r="AA114" s="172" t="n">
        <x:f>SUM(BZ114,CN114,DB114,DP114,ED114,ER114,FF114,FT114)</x:f>
        <x:v>0.021794871794871717</x:v>
      </x:c>
      <x:c r="AB114" s="172" t="n">
        <x:f>SUM(Y114:AA114)</x:f>
        <x:v>0.021974323849666133</x:v>
      </x:c>
      <x:c r="AC114" s="174" t="n">
        <x:f>G114-AB114</x:f>
        <x:v>1.0061396160665481e-16</x:v>
      </x:c>
      <x:c r="AD114" s="169" t="n">
        <x:v>1.1941432043185916</x:v>
      </x:c>
      <x:c r="AE114" s="169" t="n">
        <x:v>1.2203836938131665</x:v>
      </x:c>
      <x:c r="AF114" s="169" t="n">
        <x:v>0</x:v>
      </x:c>
      <x:c r="AG114" s="169" t="n">
        <x:v>0</x:v>
      </x:c>
      <x:c r="AH114" s="171" t="n">
        <x:f>M114/$M$3</x:f>
        <x:v>0.8059244126659858</x:v>
      </x:c>
      <x:c r="AI114" s="171" t="n">
        <x:f>N114/$M$3</x:f>
        <x:v>0.8186925434116445</x:v>
      </x:c>
      <x:c r="AJ114" s="170" t="n">
        <x:f>IF(AK114&lt;&gt;"",1,0)+IF(AY114&lt;&gt;"",1,0)+IF(BM114&lt;&gt;"",1,0)+IF(CA114&lt;&gt;"",1,0)+IF(CO114&lt;&gt;"",1,0)+IF(DC114&lt;&gt;"",1,0)+IF(DQ114&lt;&gt;"",1,0)+IF(EE114&lt;&gt;"",1,0)+IF(ES114&lt;&gt;"",1,0)+IF(FG114&lt;&gt;"",1,0)</x:f>
        <x:v>2</x:v>
      </x:c>
      <x:c r="AK114" s="147"/>
      <x:c r="AL114" s="147"/>
      <x:c r="AM114" s="147"/>
      <x:c r="AN114" s="167"/>
      <x:c r="AO114" s="167"/>
      <x:c r="AP114" s="166"/>
      <x:c r="AQ114" s="171" t="str">
        <x:f>IF(AK114="","",IFERROR(F114*AP114/AN114,0))</x:f>
      </x:c>
      <x:c r="AR114" s="171" t="str">
        <x:f>IF(AK114="","",F114*ABS(AP114))</x:f>
      </x:c>
      <x:c r="AS114" s="165"/>
      <x:c r="AT114" s="172" t="str">
        <x:f>IF(AK114="","",IF(AS114="","",IFERROR(AN114/AS114-1,0)))</x:f>
      </x:c>
      <x:c r="AU114" s="166"/>
      <x:c r="AV114" s="172" t="str">
        <x:f>IF(AK114="","",IF(AU114="","",AU114-AT114*365/AW114))</x:f>
      </x:c>
      <x:c r="AW114" s="164"/>
      <x:c r="AX114" s="173" t="str">
        <x:f>IF(AK114="","",IFERROR(AP114*(AO114/AN114-1),0))</x:f>
      </x:c>
      <x:c r="AY114" s="147" t="str">
        <x:v>Matched-maturity Treasury collateral</x:v>
      </x:c>
      <x:c r="AZ114" s="147" t="str">
        <x:v>Treasury</x:v>
      </x:c>
      <x:c r="BA114" s="147" t="str">
        <x:v>Long</x:v>
      </x:c>
      <x:c r="BB114" s="167" t="n">
        <x:v>102.84113789259426</x:v>
      </x:c>
      <x:c r="BC114" s="167" t="n">
        <x:v>102.85959294610647</x:v>
      </x:c>
      <x:c r="BD114" s="166" t="n">
        <x:v>1</x:v>
      </x:c>
      <x:c r="BE114" s="171" t="n">
        <x:f>IF(AY114="","",IFERROR(F114*BD114/BB114,0))</x:f>
        <x:v>0.011611532396362012</x:v>
      </x:c>
      <x:c r="BF114" s="171" t="n">
        <x:f>IF(AY114="","",F114*ABS(BD114))</x:f>
        <x:v>1.1941432043185911</x:v>
      </x:c>
      <x:c r="BG114" s="165"/>
      <x:c r="BH114" s="172" t="str">
        <x:f>IF(AY114="","",IF(BG114="","",IFERROR(BB114/BG114-1,0)))</x:f>
      </x:c>
      <x:c r="BI114" s="166"/>
      <x:c r="BJ114" s="172" t="str">
        <x:f>IF(AY114="","",IF(BI114="","",BI114-BH114*365/BK114))</x:f>
      </x:c>
      <x:c r="BK114" s="164" t="n">
        <x:v>41</x:v>
      </x:c>
      <x:c r="BL114" s="172" t="n">
        <x:f>IF(AY114="","",IFERROR(BD114*(BC114/BB114-1),0))</x:f>
        <x:v>0.00017945205479441562</x:v>
      </x:c>
      <x:c r="BM114" s="147" t="str">
        <x:v>SI69N</x:v>
      </x:c>
      <x:c r="BN114" s="147" t="str">
        <x:v>Silver future (regular)</x:v>
      </x:c>
      <x:c r="BO114" s="147" t="str">
        <x:v>Long</x:v>
      </x:c>
      <x:c r="BP114" s="167" t="n">
        <x:v>1.56</x:v>
      </x:c>
      <x:c r="BQ114" s="167" t="n">
        <x:v>1.594</x:v>
      </x:c>
      <x:c r="BR114" s="166" t="n">
        <x:v>1</x:v>
      </x:c>
      <x:c r="BS114" s="171" t="n">
        <x:f>IF(BM114="","",IFERROR(F114*BR114/BP114,0))</x:f>
        <x:v>0.7654764130247379</x:v>
      </x:c>
      <x:c r="BT114" s="171" t="n">
        <x:f>IF(BM114="","",F114*ABS(BR114))</x:f>
        <x:v>1.1941432043185911</x:v>
      </x:c>
      <x:c r="BU114" s="165" t="n">
        <x:v>1.578</x:v>
      </x:c>
      <x:c r="BV114" s="172" t="n">
        <x:f>IF(BM114="","",IF(BU114="","",IFERROR(BP114/BU114-1,0)))</x:f>
        <x:v>-0.011406844106463865</x:v>
      </x:c>
      <x:c r="BW114" s="166" t="n">
        <x:v>0.06550000000000002</x:v>
      </x:c>
      <x:c r="BX114" s="172" t="n">
        <x:f>IF(BM114="","",IF(BW114="","",BW114-BV114*365/BY114))</x:f>
        <x:v>0.16704873411851978</x:v>
      </x:c>
      <x:c r="BY114" s="164" t="n">
        <x:v>41</x:v>
      </x:c>
      <x:c r="BZ114" s="172" t="n">
        <x:f>IF(BM114="","",IFERROR(BR114*(BQ114/BP114-1),0))</x:f>
        <x:v>0.021794871794871717</x:v>
      </x:c>
      <x:c r="CA114" s="147"/>
      <x:c r="CB114" s="147"/>
      <x:c r="CC114" s="147"/>
      <x:c r="CD114" s="167"/>
      <x:c r="CE114" s="167"/>
      <x:c r="CF114" s="166"/>
      <x:c r="CG114" s="171" t="str">
        <x:f>IF(CA114="","",IFERROR(F114*CF114/CD114,0))</x:f>
      </x:c>
      <x:c r="CH114" s="171" t="str">
        <x:f>IF(CA114="","",F114*ABS(CF114))</x:f>
      </x:c>
      <x:c r="CI114" s="165"/>
      <x:c r="CJ114" s="172" t="str">
        <x:f>IF(CA114="","",IF(CI114="","",IFERROR(CD114/CI114-1,0)))</x:f>
      </x:c>
      <x:c r="CK114" s="166"/>
      <x:c r="CL114" s="172" t="str">
        <x:f>IF(CA114="","",IF(CK114="","",CK114-CJ114*365/CM114))</x:f>
      </x:c>
      <x:c r="CM114" s="164"/>
      <x:c r="CN114" s="172" t="str">
        <x:f>IF(CA114="","",IFERROR(CF114*(CE114/CD114-1),0))</x:f>
      </x:c>
      <x:c r="CO114" s="147"/>
      <x:c r="CP114" s="147"/>
      <x:c r="CQ114" s="147"/>
      <x:c r="CR114" s="167"/>
      <x:c r="CS114" s="167"/>
      <x:c r="CT114" s="166"/>
      <x:c r="CU114" s="171" t="str">
        <x:f>IF(CO114="","",IFERROR(F114*CT114/CR114,0))</x:f>
      </x:c>
      <x:c r="CV114" s="171" t="str">
        <x:f>IF(CO114="","",F114*ABS(CT114))</x:f>
      </x:c>
      <x:c r="CW114" s="165"/>
      <x:c r="CX114" s="172" t="str">
        <x:f>IF(CO114="","",IF(CW114="","",IFERROR(CR114/CW114-1,0)))</x:f>
      </x:c>
      <x:c r="CY114" s="166"/>
      <x:c r="CZ114" s="172" t="str">
        <x:f>IF(CO114="","",IF(CY114="","",CY114-CX114*365/DA114))</x:f>
      </x:c>
      <x:c r="DA114" s="164"/>
      <x:c r="DB114" s="172" t="str">
        <x:f>IF(CO114="","",IFERROR(CT114*(CS114/CR114-1),0))</x:f>
      </x:c>
      <x:c r="DC114" s="147"/>
      <x:c r="DD114" s="147"/>
      <x:c r="DE114" s="147"/>
      <x:c r="DF114" s="167"/>
      <x:c r="DG114" s="167"/>
      <x:c r="DH114" s="166"/>
      <x:c r="DI114" s="171" t="str">
        <x:f>IF(DC114="","",IFERROR(F114*DH114/DF114,0))</x:f>
      </x:c>
      <x:c r="DJ114" s="171" t="str">
        <x:f>IF(DC114="","",F114*ABS(DH114))</x:f>
      </x:c>
      <x:c r="DK114" s="165"/>
      <x:c r="DL114" s="172" t="str">
        <x:f>IF(DC114="","",IF(DK114="","",IFERROR(DF114/DK114-1,0)))</x:f>
      </x:c>
      <x:c r="DM114" s="166"/>
      <x:c r="DN114" s="172" t="str">
        <x:f>IF(DC114="","",IF(DM114="","",DM114-DL114*365/DO114))</x:f>
      </x:c>
      <x:c r="DO114" s="164"/>
      <x:c r="DP114" s="172" t="str">
        <x:f>IF(DC114="","",IFERROR(DH114*(DG114/DF114-1),0))</x:f>
      </x:c>
      <x:c r="DQ114" s="147"/>
      <x:c r="DR114" s="147"/>
      <x:c r="DS114" s="147"/>
      <x:c r="DT114" s="167"/>
      <x:c r="DU114" s="167"/>
      <x:c r="DV114" s="166"/>
      <x:c r="DW114" s="171" t="str">
        <x:f>IF(DQ114="","",IFERROR(F114*DV114/DT114,0))</x:f>
      </x:c>
      <x:c r="DX114" s="171" t="str">
        <x:f>IF(DQ114="","",F114*ABS(DV114))</x:f>
      </x:c>
      <x:c r="DY114" s="165"/>
      <x:c r="DZ114" s="172" t="str">
        <x:f>IF(DQ114="","",IF(DY114="","",IFERROR(DT114/DY114-1,0)))</x:f>
      </x:c>
      <x:c r="EA114" s="166"/>
      <x:c r="EB114" s="172" t="str">
        <x:f>IF(DQ114="","",IF(EA114="","",EA114-DZ114*365/EC114))</x:f>
      </x:c>
      <x:c r="EC114" s="164"/>
      <x:c r="ED114" s="172" t="str">
        <x:f>IF(DQ114="","",IFERROR(DV114*(DU114/DT114-1),0))</x:f>
      </x:c>
      <x:c r="EE114" s="147"/>
      <x:c r="EF114" s="147"/>
      <x:c r="EG114" s="147"/>
      <x:c r="EH114" s="167"/>
      <x:c r="EI114" s="167"/>
      <x:c r="EJ114" s="166"/>
      <x:c r="EK114" s="171" t="str">
        <x:f>IF(EE114="","",IFERROR(F114*EJ114/EH114,0))</x:f>
      </x:c>
      <x:c r="EL114" s="171" t="str">
        <x:f>IF(EE114="","",F114*ABS(EJ114))</x:f>
      </x:c>
      <x:c r="EM114" s="165"/>
      <x:c r="EN114" s="172" t="str">
        <x:f>IF(EE114="","",IF(EM114="","",IFERROR(EH114/EM114-1,0)))</x:f>
      </x:c>
      <x:c r="EO114" s="166"/>
      <x:c r="EP114" s="172" t="str">
        <x:f>IF(EE114="","",IF(EO114="","",EO114-EN114*365/EQ114))</x:f>
      </x:c>
      <x:c r="EQ114" s="164"/>
      <x:c r="ER114" s="172" t="str">
        <x:f>IF(EE114="","",IFERROR(EJ114*(EI114/EH114-1),0))</x:f>
      </x:c>
      <x:c r="ES114" s="147"/>
      <x:c r="ET114" s="147"/>
      <x:c r="EU114" s="147"/>
      <x:c r="EV114" s="167"/>
      <x:c r="EW114" s="167"/>
      <x:c r="EX114" s="166"/>
      <x:c r="EY114" s="171" t="str">
        <x:f>IF(ES114="","",IFERROR(F114*EX114/EV114,0))</x:f>
      </x:c>
      <x:c r="EZ114" s="171" t="str">
        <x:f>IF(ES114="","",F114*ABS(EX114))</x:f>
      </x:c>
      <x:c r="FA114" s="165"/>
      <x:c r="FB114" s="172" t="str">
        <x:f>IF(ES114="","",IF(FA114="","",IFERROR(EV114/FA114-1,0)))</x:f>
      </x:c>
      <x:c r="FC114" s="166"/>
      <x:c r="FD114" s="172" t="str">
        <x:f>IF(ES114="","",IF(FC114="","",FC114-FB114*365/FE114))</x:f>
      </x:c>
      <x:c r="FE114" s="164"/>
      <x:c r="FF114" s="172" t="str">
        <x:f>IF(ES114="","",IFERROR(EX114*(EW114/EV114-1),0))</x:f>
      </x:c>
      <x:c r="FG114" s="147"/>
      <x:c r="FH114" s="147"/>
      <x:c r="FI114" s="147"/>
      <x:c r="FJ114" s="167"/>
      <x:c r="FK114" s="167"/>
      <x:c r="FL114" s="166"/>
      <x:c r="FM114" s="171" t="str">
        <x:f>IF(FG114="","",IFERROR(F114*FL114/FJ114,0))</x:f>
      </x:c>
      <x:c r="FN114" s="171" t="str">
        <x:f>IF(FG114="","",F114*ABS(FL114))</x:f>
      </x:c>
      <x:c r="FO114" s="165"/>
      <x:c r="FP114" s="172" t="str">
        <x:f>IF(FG114="","",IF(FO114="","",IFERROR(FJ114/FO114-1,0)))</x:f>
      </x:c>
      <x:c r="FQ114" s="166"/>
      <x:c r="FR114" s="172" t="str">
        <x:f>IF(FG114="","",IF(FQ114="","",FQ114-FP114*365/FS114))</x:f>
      </x:c>
      <x:c r="FS114" s="164"/>
      <x:c r="FT114" s="172" t="str">
        <x:f>IF(FG114="","",IFERROR(FL114*(FK114/FJ114-1),0))</x:f>
      </x:c>
    </x:row>
    <x:row r="115" ht="18" customHeight="1">
      <x:c r="A115" s="163" t="n">
        <x:v>25373</x:v>
      </x:c>
      <x:c r="B115" s="163" t="n">
        <x:v>25374</x:v>
      </x:c>
      <x:c r="C115" s="170" t="n">
        <x:f>B115-A115</x:f>
        <x:v>1</x:v>
      </x:c>
      <x:c r="D115" s="163" t="n">
        <x:v>25373</x:v>
      </x:c>
      <x:c r="E115" s="147" t="str">
        <x:v>positive</x:v>
      </x:c>
      <x:c r="F115" s="165" t="n">
        <x:v>1.2203836938131658</x:v>
      </x:c>
      <x:c r="G115" s="168" t="n">
        <x:v>-0.00969148758113723</x:v>
      </x:c>
      <x:c r="H115" s="172" t="n">
        <x:f>SUM(AX115,BL115,BZ115,CN115,DB115,DP115,ED115,ER115,FF115,FT115)</x:f>
        <x:v>-0.009691487581137147</x:v>
      </x:c>
      <x:c r="I115" s="174" t="n">
        <x:f>G115-H115</x:f>
        <x:v>-8.326672684688674e-17</x:v>
      </x:c>
      <x:c r="J115" s="171" t="n">
        <x:f>F115*(1+H115)</x:f>
        <x:v>1.2085563604003533</x:v>
      </x:c>
      <x:c r="K115" s="169" t="n">
        <x:v>1.208556360400353</x:v>
      </x:c>
      <x:c r="L115" s="175" t="n">
        <x:f>K115-J115</x:f>
        <x:v>-2.220446049250313e-16</x:v>
      </x:c>
      <x:c r="M115" s="167" t="n">
        <x:v>1.603</x:v>
      </x:c>
      <x:c r="N115" s="167" t="n">
        <x:v>1.628</x:v>
      </x:c>
      <x:c r="O115" s="172" t="n">
        <x:f>IFERROR(N115/M115-1,0)</x:f>
        <x:v>0.015595757953836609</x:v>
      </x:c>
      <x:c r="P115" s="171" t="n">
        <x:f>IFERROR(AD115/AH115,0)</x:f>
        <x:v>1.490649577346338</x:v>
      </x:c>
      <x:c r="Q115" s="171" t="n">
        <x:f>IFERROR(AE115/AI115,0)</x:f>
        <x:v>1.4535340010220472</x:v>
      </x:c>
      <x:c r="R115" s="172" t="n">
        <x:f>IFERROR((Q115-P115)/(P115+S115),0)</x:f>
        <x:v>-0.02489892788240955</x:v>
      </x:c>
      <x:c r="S115" s="172" t="n">
        <x:f>IFERROR(AF115/AH115,0)</x:f>
        <x:v>0</x:v>
      </x:c>
      <x:c r="T115" s="172" t="n">
        <x:f>IFERROR(AG115/AI115,0)</x:f>
        <x:v>0</x:v>
      </x:c>
      <x:c r="U115" s="172" t="n">
        <x:f>IFERROR((T115-S115)/(P115+S115),0)</x:f>
        <x:v>0</x:v>
      </x:c>
      <x:c r="V115" s="172" t="n">
        <x:f>R115+U115</x:f>
        <x:v>-0.02489892788240955</x:v>
      </x:c>
      <x:c r="W115" s="172" t="n">
        <x:f>(1+O115)*(1+V115)-1</x:f>
        <x:v>-0.009691487581137026</x:v>
      </x:c>
      <x:c r="X115" s="174" t="n">
        <x:f>G115-W115</x:f>
        <x:v>-2.0469737016526324e-16</x:v>
      </x:c>
      <x:c r="Y115" s="172" t="n">
        <x:f>AX115</x:f>
        <x:v>0.003405442312616263</x:v>
      </x:c>
      <x:c r="Z115" s="172" t="n">
        <x:f>BL115</x:f>
        <x:v>0.0001413208453328931</x:v>
      </x:c>
      <x:c r="AA115" s="172" t="n">
        <x:f>SUM(BZ115,CN115,DB115,DP115,ED115,ER115,FF115,FT115)</x:f>
        <x:v>-0.013238250739086303</x:v>
      </x:c>
      <x:c r="AB115" s="172" t="n">
        <x:f>SUM(Y115:AA115)</x:f>
        <x:v>-0.009691487581137147</x:v>
      </x:c>
      <x:c r="AC115" s="174" t="n">
        <x:f>G115-AB115</x:f>
        <x:v>-8.326672684688674e-17</x:v>
      </x:c>
      <x:c r="AD115" s="169" t="n">
        <x:v>1.2203836938131665</x:v>
      </x:c>
      <x:c r="AE115" s="169" t="n">
        <x:v>1.2085563604003537</x:v>
      </x:c>
      <x:c r="AF115" s="169" t="n">
        <x:v>0</x:v>
      </x:c>
      <x:c r="AG115" s="169" t="n">
        <x:v>0</x:v>
      </x:c>
      <x:c r="AH115" s="171" t="n">
        <x:f>M115/$M$3</x:f>
        <x:v>0.8186925434116445</x:v>
      </x:c>
      <x:c r="AI115" s="171" t="n">
        <x:f>N115/$M$3</x:f>
        <x:v>0.8314606741573033</x:v>
      </x:c>
      <x:c r="AJ115" s="170" t="n">
        <x:f>IF(AK115&lt;&gt;"",1,0)+IF(AY115&lt;&gt;"",1,0)+IF(BM115&lt;&gt;"",1,0)+IF(CA115&lt;&gt;"",1,0)+IF(CO115&lt;&gt;"",1,0)+IF(DC115&lt;&gt;"",1,0)+IF(DQ115&lt;&gt;"",1,0)+IF(EE115&lt;&gt;"",1,0)+IF(ES115&lt;&gt;"",1,0)+IF(FG115&lt;&gt;"",1,0)</x:f>
        <x:v>3</x:v>
      </x:c>
      <x:c r="AK115" s="147" t="str">
        <x:v>Silver replicating holding (LBMA/SLV proxy)</x:v>
      </x:c>
      <x:c r="AL115" s="147" t="str">
        <x:v>Physical-backed proxy</x:v>
      </x:c>
      <x:c r="AM115" s="147" t="str">
        <x:v>Long</x:v>
      </x:c>
      <x:c r="AN115" s="167" t="n">
        <x:v>1.603</x:v>
      </x:c>
      <x:c r="AO115" s="167" t="n">
        <x:v>1.628</x:v>
      </x:c>
      <x:c r="AP115" s="166" t="n">
        <x:v>0.21845290081098145</x:v>
      </x:c>
      <x:c r="AQ115" s="171" t="n">
        <x:f>IF(AK115="","",IFERROR(F115*AP115/AN115,0))</x:f>
        <x:v>0.1663108908396174</x:v>
      </x:c>
      <x:c r="AR115" s="171" t="n">
        <x:f>IF(AK115="","",F115*ABS(AP115))</x:f>
        <x:v>0.2665963580159067</x:v>
      </x:c>
      <x:c r="AS115" s="165"/>
      <x:c r="AT115" s="172" t="str">
        <x:f>IF(AK115="","",IF(AS115="","",IFERROR(AN115/AS115-1,0)))</x:f>
      </x:c>
      <x:c r="AU115" s="166"/>
      <x:c r="AV115" s="172" t="str">
        <x:f>IF(AK115="","",IF(AU115="","",AU115-AT115*365/AW115))</x:f>
      </x:c>
      <x:c r="AW115" s="164"/>
      <x:c r="AX115" s="173" t="n">
        <x:f>IF(AK115="","",IFERROR(AP115*(AO115/AN115-1-'Parameters'!$C$6*C115/365),0))</x:f>
        <x:v>0.003405442312616263</x:v>
      </x:c>
      <x:c r="AY115" s="147" t="str">
        <x:v>Matched-maturity Treasury collateral</x:v>
      </x:c>
      <x:c r="AZ115" s="147" t="str">
        <x:v>Treasury</x:v>
      </x:c>
      <x:c r="BA115" s="147" t="str">
        <x:v>Long</x:v>
      </x:c>
      <x:c r="BB115" s="167" t="n">
        <x:v>102.85959294610647</x:v>
      </x:c>
      <x:c r="BC115" s="167" t="n">
        <x:v>102.87819221496797</x:v>
      </x:c>
      <x:c r="BD115" s="166" t="n">
        <x:v>0.7815470991890185</x:v>
      </x:c>
      <x:c r="BE115" s="171" t="n">
        <x:f>IF(AY115="","",IFERROR(F115*BD115/BB115,0))</x:f>
        <x:v>0.009272711552504377</x:v>
      </x:c>
      <x:c r="BF115" s="171" t="n">
        <x:f>IF(AY115="","",F115*ABS(BD115))</x:f>
        <x:v>0.9537873357972592</x:v>
      </x:c>
      <x:c r="BG115" s="165"/>
      <x:c r="BH115" s="172" t="str">
        <x:f>IF(AY115="","",IF(BG115="","",IFERROR(BB115/BG115-1,0)))</x:f>
      </x:c>
      <x:c r="BI115" s="166"/>
      <x:c r="BJ115" s="172" t="str">
        <x:f>IF(AY115="","",IF(BI115="","",BI115-BH115*365/BK115))</x:f>
      </x:c>
      <x:c r="BK115" s="164" t="n">
        <x:v>40</x:v>
      </x:c>
      <x:c r="BL115" s="172" t="n">
        <x:f>IF(AY115="","",IFERROR(BD115*(BC115/BB115-1),0))</x:f>
        <x:v>0.0001413208453328931</x:v>
      </x:c>
      <x:c r="BM115" s="147" t="str">
        <x:v>SI69N</x:v>
      </x:c>
      <x:c r="BN115" s="147" t="str">
        <x:v>Silver future (regular)</x:v>
      </x:c>
      <x:c r="BO115" s="147" t="str">
        <x:v>Long</x:v>
      </x:c>
      <x:c r="BP115" s="167" t="n">
        <x:v>1.594</x:v>
      </x:c>
      <x:c r="BQ115" s="167" t="n">
        <x:v>1.567</x:v>
      </x:c>
      <x:c r="BR115" s="166" t="n">
        <x:v>0.7815470991890185</x:v>
      </x:c>
      <x:c r="BS115" s="171" t="n">
        <x:f>IF(BM115="","",IFERROR(F115*BR115/BP115,0))</x:f>
        <x:v>0.5983609383922579</x:v>
      </x:c>
      <x:c r="BT115" s="171" t="n">
        <x:f>IF(BM115="","",F115*ABS(BR115))</x:f>
        <x:v>0.9537873357972592</x:v>
      </x:c>
      <x:c r="BU115" s="165" t="n">
        <x:v>1.603</x:v>
      </x:c>
      <x:c r="BV115" s="172" t="n">
        <x:f>IF(BM115="","",IF(BU115="","",IFERROR(BP115/BU115-1,0)))</x:f>
        <x:v>-0.005614472863381126</x:v>
      </x:c>
      <x:c r="BW115" s="166" t="n">
        <x:v>0.066</x:v>
      </x:c>
      <x:c r="BX115" s="172" t="n">
        <x:f>IF(BM115="","",IF(BW115="","",BW115-BV115*365/BY115))</x:f>
        <x:v>0.11723206487835278</x:v>
      </x:c>
      <x:c r="BY115" s="164" t="n">
        <x:v>40</x:v>
      </x:c>
      <x:c r="BZ115" s="172" t="n">
        <x:f>IF(BM115="","",IFERROR(BR115*(BQ115/BP115-1),0))</x:f>
        <x:v>-0.013238250739086303</x:v>
      </x:c>
      <x:c r="CA115" s="147"/>
      <x:c r="CB115" s="147"/>
      <x:c r="CC115" s="147"/>
      <x:c r="CD115" s="167"/>
      <x:c r="CE115" s="167"/>
      <x:c r="CF115" s="166"/>
      <x:c r="CG115" s="171" t="str">
        <x:f>IF(CA115="","",IFERROR(F115*CF115/CD115,0))</x:f>
      </x:c>
      <x:c r="CH115" s="171" t="str">
        <x:f>IF(CA115="","",F115*ABS(CF115))</x:f>
      </x:c>
      <x:c r="CI115" s="165"/>
      <x:c r="CJ115" s="172" t="str">
        <x:f>IF(CA115="","",IF(CI115="","",IFERROR(CD115/CI115-1,0)))</x:f>
      </x:c>
      <x:c r="CK115" s="166"/>
      <x:c r="CL115" s="172" t="str">
        <x:f>IF(CA115="","",IF(CK115="","",CK115-CJ115*365/CM115))</x:f>
      </x:c>
      <x:c r="CM115" s="164"/>
      <x:c r="CN115" s="172" t="str">
        <x:f>IF(CA115="","",IFERROR(CF115*(CE115/CD115-1),0))</x:f>
      </x:c>
      <x:c r="CO115" s="147"/>
      <x:c r="CP115" s="147"/>
      <x:c r="CQ115" s="147"/>
      <x:c r="CR115" s="167"/>
      <x:c r="CS115" s="167"/>
      <x:c r="CT115" s="166"/>
      <x:c r="CU115" s="171" t="str">
        <x:f>IF(CO115="","",IFERROR(F115*CT115/CR115,0))</x:f>
      </x:c>
      <x:c r="CV115" s="171" t="str">
        <x:f>IF(CO115="","",F115*ABS(CT115))</x:f>
      </x:c>
      <x:c r="CW115" s="165"/>
      <x:c r="CX115" s="172" t="str">
        <x:f>IF(CO115="","",IF(CW115="","",IFERROR(CR115/CW115-1,0)))</x:f>
      </x:c>
      <x:c r="CY115" s="166"/>
      <x:c r="CZ115" s="172" t="str">
        <x:f>IF(CO115="","",IF(CY115="","",CY115-CX115*365/DA115))</x:f>
      </x:c>
      <x:c r="DA115" s="164"/>
      <x:c r="DB115" s="172" t="str">
        <x:f>IF(CO115="","",IFERROR(CT115*(CS115/CR115-1),0))</x:f>
      </x:c>
      <x:c r="DC115" s="147"/>
      <x:c r="DD115" s="147"/>
      <x:c r="DE115" s="147"/>
      <x:c r="DF115" s="167"/>
      <x:c r="DG115" s="167"/>
      <x:c r="DH115" s="166"/>
      <x:c r="DI115" s="171" t="str">
        <x:f>IF(DC115="","",IFERROR(F115*DH115/DF115,0))</x:f>
      </x:c>
      <x:c r="DJ115" s="171" t="str">
        <x:f>IF(DC115="","",F115*ABS(DH115))</x:f>
      </x:c>
      <x:c r="DK115" s="165"/>
      <x:c r="DL115" s="172" t="str">
        <x:f>IF(DC115="","",IF(DK115="","",IFERROR(DF115/DK115-1,0)))</x:f>
      </x:c>
      <x:c r="DM115" s="166"/>
      <x:c r="DN115" s="172" t="str">
        <x:f>IF(DC115="","",IF(DM115="","",DM115-DL115*365/DO115))</x:f>
      </x:c>
      <x:c r="DO115" s="164"/>
      <x:c r="DP115" s="172" t="str">
        <x:f>IF(DC115="","",IFERROR(DH115*(DG115/DF115-1),0))</x:f>
      </x:c>
      <x:c r="DQ115" s="147"/>
      <x:c r="DR115" s="147"/>
      <x:c r="DS115" s="147"/>
      <x:c r="DT115" s="167"/>
      <x:c r="DU115" s="167"/>
      <x:c r="DV115" s="166"/>
      <x:c r="DW115" s="171" t="str">
        <x:f>IF(DQ115="","",IFERROR(F115*DV115/DT115,0))</x:f>
      </x:c>
      <x:c r="DX115" s="171" t="str">
        <x:f>IF(DQ115="","",F115*ABS(DV115))</x:f>
      </x:c>
      <x:c r="DY115" s="165"/>
      <x:c r="DZ115" s="172" t="str">
        <x:f>IF(DQ115="","",IF(DY115="","",IFERROR(DT115/DY115-1,0)))</x:f>
      </x:c>
      <x:c r="EA115" s="166"/>
      <x:c r="EB115" s="172" t="str">
        <x:f>IF(DQ115="","",IF(EA115="","",EA115-DZ115*365/EC115))</x:f>
      </x:c>
      <x:c r="EC115" s="164"/>
      <x:c r="ED115" s="172" t="str">
        <x:f>IF(DQ115="","",IFERROR(DV115*(DU115/DT115-1),0))</x:f>
      </x:c>
      <x:c r="EE115" s="147"/>
      <x:c r="EF115" s="147"/>
      <x:c r="EG115" s="147"/>
      <x:c r="EH115" s="167"/>
      <x:c r="EI115" s="167"/>
      <x:c r="EJ115" s="166"/>
      <x:c r="EK115" s="171" t="str">
        <x:f>IF(EE115="","",IFERROR(F115*EJ115/EH115,0))</x:f>
      </x:c>
      <x:c r="EL115" s="171" t="str">
        <x:f>IF(EE115="","",F115*ABS(EJ115))</x:f>
      </x:c>
      <x:c r="EM115" s="165"/>
      <x:c r="EN115" s="172" t="str">
        <x:f>IF(EE115="","",IF(EM115="","",IFERROR(EH115/EM115-1,0)))</x:f>
      </x:c>
      <x:c r="EO115" s="166"/>
      <x:c r="EP115" s="172" t="str">
        <x:f>IF(EE115="","",IF(EO115="","",EO115-EN115*365/EQ115))</x:f>
      </x:c>
      <x:c r="EQ115" s="164"/>
      <x:c r="ER115" s="172" t="str">
        <x:f>IF(EE115="","",IFERROR(EJ115*(EI115/EH115-1),0))</x:f>
      </x:c>
      <x:c r="ES115" s="147"/>
      <x:c r="ET115" s="147"/>
      <x:c r="EU115" s="147"/>
      <x:c r="EV115" s="167"/>
      <x:c r="EW115" s="167"/>
      <x:c r="EX115" s="166"/>
      <x:c r="EY115" s="171" t="str">
        <x:f>IF(ES115="","",IFERROR(F115*EX115/EV115,0))</x:f>
      </x:c>
      <x:c r="EZ115" s="171" t="str">
        <x:f>IF(ES115="","",F115*ABS(EX115))</x:f>
      </x:c>
      <x:c r="FA115" s="165"/>
      <x:c r="FB115" s="172" t="str">
        <x:f>IF(ES115="","",IF(FA115="","",IFERROR(EV115/FA115-1,0)))</x:f>
      </x:c>
      <x:c r="FC115" s="166"/>
      <x:c r="FD115" s="172" t="str">
        <x:f>IF(ES115="","",IF(FC115="","",FC115-FB115*365/FE115))</x:f>
      </x:c>
      <x:c r="FE115" s="164"/>
      <x:c r="FF115" s="172" t="str">
        <x:f>IF(ES115="","",IFERROR(EX115*(EW115/EV115-1),0))</x:f>
      </x:c>
      <x:c r="FG115" s="147"/>
      <x:c r="FH115" s="147"/>
      <x:c r="FI115" s="147"/>
      <x:c r="FJ115" s="167"/>
      <x:c r="FK115" s="167"/>
      <x:c r="FL115" s="166"/>
      <x:c r="FM115" s="171" t="str">
        <x:f>IF(FG115="","",IFERROR(F115*FL115/FJ115,0))</x:f>
      </x:c>
      <x:c r="FN115" s="171" t="str">
        <x:f>IF(FG115="","",F115*ABS(FL115))</x:f>
      </x:c>
      <x:c r="FO115" s="165"/>
      <x:c r="FP115" s="172" t="str">
        <x:f>IF(FG115="","",IF(FO115="","",IFERROR(FJ115/FO115-1,0)))</x:f>
      </x:c>
      <x:c r="FQ115" s="166"/>
      <x:c r="FR115" s="172" t="str">
        <x:f>IF(FG115="","",IF(FQ115="","",FQ115-FP115*365/FS115))</x:f>
      </x:c>
      <x:c r="FS115" s="164"/>
      <x:c r="FT115" s="172" t="str">
        <x:f>IF(FG115="","",IFERROR(FL115*(FK115/FJ115-1),0))</x:f>
      </x:c>
    </x:row>
    <x:row r="116" ht="18" customHeight="1">
      <x:c r="A116" s="163" t="n">
        <x:v>25374</x:v>
      </x:c>
      <x:c r="B116" s="163" t="n">
        <x:v>25377</x:v>
      </x:c>
      <x:c r="C116" s="170" t="n">
        <x:f>B116-A116</x:f>
        <x:v>3</x:v>
      </x:c>
      <x:c r="D116" s="163" t="n">
        <x:v>25374</x:v>
      </x:c>
      <x:c r="E116" s="147" t="str">
        <x:v>positive</x:v>
      </x:c>
      <x:c r="F116" s="165" t="n">
        <x:v>1.208556360400353</x:v>
      </x:c>
      <x:c r="G116" s="168" t="n">
        <x:v>0.0024503766904739746</x:v>
      </x:c>
      <x:c r="H116" s="172" t="n">
        <x:f>SUM(AX116,BL116,BZ116,CN116,DB116,DP116,ED116,ER116,FF116,FT116)</x:f>
        <x:v>0.0024503766904739877</x:v>
      </x:c>
      <x:c r="I116" s="174" t="n">
        <x:f>G116-H116</x:f>
        <x:v>-1.3010426069826053e-17</x:v>
      </x:c>
      <x:c r="J116" s="171" t="n">
        <x:f>F116*(1+H116)</x:f>
        <x:v>1.2115177787350022</x:v>
      </x:c>
      <x:c r="K116" s="169" t="n">
        <x:v>1.2115177787350022</x:v>
      </x:c>
      <x:c r="L116" s="175" t="n">
        <x:f>K116-J116</x:f>
        <x:v>0</x:v>
      </x:c>
      <x:c r="M116" s="167" t="n">
        <x:v>1.628</x:v>
      </x:c>
      <x:c r="N116" s="167" t="n">
        <x:v>1.566</x:v>
      </x:c>
      <x:c r="O116" s="172" t="n">
        <x:f>IFERROR(N116/M116-1,0)</x:f>
        <x:v>-0.03808353808353804</x:v>
      </x:c>
      <x:c r="P116" s="171" t="n">
        <x:f>IFERROR(AD116/AH116,0)</x:f>
        <x:v>1.4535340010220472</x:v>
      </x:c>
      <x:c r="Q116" s="171" t="n">
        <x:f>IFERROR(AE116/AI116,0)</x:f>
        <x:v>1.5147840426329091</x:v>
      </x:c>
      <x:c r="R116" s="172" t="n">
        <x:f>IFERROR((Q116-P116)/(P116+S116),0)</x:f>
        <x:v>0.042138705780390515</x:v>
      </x:c>
      <x:c r="S116" s="172" t="n">
        <x:f>IFERROR(AF116/AH116,0)</x:f>
        <x:v>0</x:v>
      </x:c>
      <x:c r="T116" s="172" t="n">
        <x:f>IFERROR(AG116/AI116,0)</x:f>
        <x:v>0</x:v>
      </x:c>
      <x:c r="U116" s="172" t="n">
        <x:f>IFERROR((T116-S116)/(P116+S116),0)</x:f>
        <x:v>0</x:v>
      </x:c>
      <x:c r="V116" s="172" t="n">
        <x:f>R116+U116</x:f>
        <x:v>0.042138705780390515</x:v>
      </x:c>
      <x:c r="W116" s="172" t="n">
        <x:f>(1+O116)*(1+V116)-1</x:f>
        <x:v>0.0024503766904739877</x:v>
      </x:c>
      <x:c r="X116" s="174" t="n">
        <x:f>G116-W116</x:f>
        <x:v>-1.3010426069826053e-17</x:v>
      </x:c>
      <x:c r="Y116" s="172" t="str">
        <x:f>AX116</x:f>
      </x:c>
      <x:c r="Z116" s="172" t="n">
        <x:f>BL116</x:f>
        <x:v>0.0005358904109589169</x:v>
      </x:c>
      <x:c r="AA116" s="172" t="n">
        <x:f>SUM(BZ116,CN116,DB116,DP116,ED116,ER116,FF116,FT116)</x:f>
        <x:v>0.0019144862795150708</x:v>
      </x:c>
      <x:c r="AB116" s="172" t="n">
        <x:f>SUM(Y116:AA116)</x:f>
        <x:v>0.0024503766904739877</x:v>
      </x:c>
      <x:c r="AC116" s="174" t="n">
        <x:f>G116-AB116</x:f>
        <x:v>-1.3010426069826053e-17</x:v>
      </x:c>
      <x:c r="AD116" s="169" t="n">
        <x:v>1.2085563604003537</x:v>
      </x:c>
      <x:c r="AE116" s="169" t="n">
        <x:v>1.2115177787350029</x:v>
      </x:c>
      <x:c r="AF116" s="169" t="n">
        <x:v>0</x:v>
      </x:c>
      <x:c r="AG116" s="169" t="n">
        <x:v>0</x:v>
      </x:c>
      <x:c r="AH116" s="171" t="n">
        <x:f>M116/$M$3</x:f>
        <x:v>0.8314606741573033</x:v>
      </x:c>
      <x:c r="AI116" s="171" t="n">
        <x:f>N116/$M$3</x:f>
        <x:v>0.7997957099080695</x:v>
      </x:c>
      <x:c r="AJ116" s="170" t="n">
        <x:f>IF(AK116&lt;&gt;"",1,0)+IF(AY116&lt;&gt;"",1,0)+IF(BM116&lt;&gt;"",1,0)+IF(CA116&lt;&gt;"",1,0)+IF(CO116&lt;&gt;"",1,0)+IF(DC116&lt;&gt;"",1,0)+IF(DQ116&lt;&gt;"",1,0)+IF(EE116&lt;&gt;"",1,0)+IF(ES116&lt;&gt;"",1,0)+IF(FG116&lt;&gt;"",1,0)</x:f>
        <x:v>2</x:v>
      </x:c>
      <x:c r="AK116" s="147"/>
      <x:c r="AL116" s="147"/>
      <x:c r="AM116" s="147"/>
      <x:c r="AN116" s="167"/>
      <x:c r="AO116" s="167"/>
      <x:c r="AP116" s="166"/>
      <x:c r="AQ116" s="171" t="str">
        <x:f>IF(AK116="","",IFERROR(F116*AP116/AN116,0))</x:f>
      </x:c>
      <x:c r="AR116" s="171" t="str">
        <x:f>IF(AK116="","",F116*ABS(AP116))</x:f>
      </x:c>
      <x:c r="AS116" s="165"/>
      <x:c r="AT116" s="172" t="str">
        <x:f>IF(AK116="","",IF(AS116="","",IFERROR(AN116/AS116-1,0)))</x:f>
      </x:c>
      <x:c r="AU116" s="166"/>
      <x:c r="AV116" s="172" t="str">
        <x:f>IF(AK116="","",IF(AU116="","",AU116-AT116*365/AW116))</x:f>
      </x:c>
      <x:c r="AW116" s="164"/>
      <x:c r="AX116" s="173" t="str">
        <x:f>IF(AK116="","",IFERROR(AP116*(AO116/AN116-1),0))</x:f>
      </x:c>
      <x:c r="AY116" s="147" t="str">
        <x:v>Matched-maturity Treasury collateral</x:v>
      </x:c>
      <x:c r="AZ116" s="147" t="str">
        <x:v>Treasury</x:v>
      </x:c>
      <x:c r="BA116" s="147" t="str">
        <x:v>Long</x:v>
      </x:c>
      <x:c r="BB116" s="167" t="n">
        <x:v>102.87819221496797</x:v>
      </x:c>
      <x:c r="BC116" s="167" t="n">
        <x:v>102.93332365167277</x:v>
      </x:c>
      <x:c r="BD116" s="166" t="n">
        <x:v>1</x:v>
      </x:c>
      <x:c r="BE116" s="171" t="n">
        <x:f>IF(AY116="","",IFERROR(F116*BD116/BB116,0))</x:f>
        <x:v>0.011747449429078495</x:v>
      </x:c>
      <x:c r="BF116" s="171" t="n">
        <x:f>IF(AY116="","",F116*ABS(BD116))</x:f>
        <x:v>1.208556360400353</x:v>
      </x:c>
      <x:c r="BG116" s="165"/>
      <x:c r="BH116" s="172" t="str">
        <x:f>IF(AY116="","",IF(BG116="","",IFERROR(BB116/BG116-1,0)))</x:f>
      </x:c>
      <x:c r="BI116" s="166"/>
      <x:c r="BJ116" s="172" t="str">
        <x:f>IF(AY116="","",IF(BI116="","",BI116-BH116*365/BK116))</x:f>
      </x:c>
      <x:c r="BK116" s="164" t="n">
        <x:v>39</x:v>
      </x:c>
      <x:c r="BL116" s="172" t="n">
        <x:f>IF(AY116="","",IFERROR(BD116*(BC116/BB116-1),0))</x:f>
        <x:v>0.0005358904109589169</x:v>
      </x:c>
      <x:c r="BM116" s="147" t="str">
        <x:v>SI69N</x:v>
      </x:c>
      <x:c r="BN116" s="147" t="str">
        <x:v>Silver future (regular)</x:v>
      </x:c>
      <x:c r="BO116" s="147" t="str">
        <x:v>Long</x:v>
      </x:c>
      <x:c r="BP116" s="167" t="n">
        <x:v>1.567</x:v>
      </x:c>
      <x:c r="BQ116" s="167" t="n">
        <x:v>1.57</x:v>
      </x:c>
      <x:c r="BR116" s="166" t="n">
        <x:v>1</x:v>
      </x:c>
      <x:c r="BS116" s="171" t="n">
        <x:f>IF(BM116="","",IFERROR(F116*BR116/BP116,0))</x:f>
        <x:v>0.7712548566690193</x:v>
      </x:c>
      <x:c r="BT116" s="171" t="n">
        <x:f>IF(BM116="","",F116*ABS(BR116))</x:f>
        <x:v>1.208556360400353</x:v>
      </x:c>
      <x:c r="BU116" s="165" t="n">
        <x:v>1.628</x:v>
      </x:c>
      <x:c r="BV116" s="172" t="n">
        <x:f>IF(BM116="","",IF(BU116="","",IFERROR(BP116/BU116-1,0)))</x:f>
        <x:v>-0.03746928746928746</x:v>
      </x:c>
      <x:c r="BW116" s="166" t="n">
        <x:v>0.0652</x:v>
      </x:c>
      <x:c r="BX116" s="172" t="n">
        <x:f>IF(BM116="","",IF(BW116="","",BW116-BV116*365/BY116))</x:f>
        <x:v>0.4158741006741006</x:v>
      </x:c>
      <x:c r="BY116" s="164" t="n">
        <x:v>39</x:v>
      </x:c>
      <x:c r="BZ116" s="172" t="n">
        <x:f>IF(BM116="","",IFERROR(BR116*(BQ116/BP116-1),0))</x:f>
        <x:v>0.0019144862795150708</x:v>
      </x:c>
      <x:c r="CA116" s="147"/>
      <x:c r="CB116" s="147"/>
      <x:c r="CC116" s="147"/>
      <x:c r="CD116" s="167"/>
      <x:c r="CE116" s="167"/>
      <x:c r="CF116" s="166"/>
      <x:c r="CG116" s="171" t="str">
        <x:f>IF(CA116="","",IFERROR(F116*CF116/CD116,0))</x:f>
      </x:c>
      <x:c r="CH116" s="171" t="str">
        <x:f>IF(CA116="","",F116*ABS(CF116))</x:f>
      </x:c>
      <x:c r="CI116" s="165"/>
      <x:c r="CJ116" s="172" t="str">
        <x:f>IF(CA116="","",IF(CI116="","",IFERROR(CD116/CI116-1,0)))</x:f>
      </x:c>
      <x:c r="CK116" s="166"/>
      <x:c r="CL116" s="172" t="str">
        <x:f>IF(CA116="","",IF(CK116="","",CK116-CJ116*365/CM116))</x:f>
      </x:c>
      <x:c r="CM116" s="164"/>
      <x:c r="CN116" s="172" t="str">
        <x:f>IF(CA116="","",IFERROR(CF116*(CE116/CD116-1),0))</x:f>
      </x:c>
      <x:c r="CO116" s="147"/>
      <x:c r="CP116" s="147"/>
      <x:c r="CQ116" s="147"/>
      <x:c r="CR116" s="167"/>
      <x:c r="CS116" s="167"/>
      <x:c r="CT116" s="166"/>
      <x:c r="CU116" s="171" t="str">
        <x:f>IF(CO116="","",IFERROR(F116*CT116/CR116,0))</x:f>
      </x:c>
      <x:c r="CV116" s="171" t="str">
        <x:f>IF(CO116="","",F116*ABS(CT116))</x:f>
      </x:c>
      <x:c r="CW116" s="165"/>
      <x:c r="CX116" s="172" t="str">
        <x:f>IF(CO116="","",IF(CW116="","",IFERROR(CR116/CW116-1,0)))</x:f>
      </x:c>
      <x:c r="CY116" s="166"/>
      <x:c r="CZ116" s="172" t="str">
        <x:f>IF(CO116="","",IF(CY116="","",CY116-CX116*365/DA116))</x:f>
      </x:c>
      <x:c r="DA116" s="164"/>
      <x:c r="DB116" s="172" t="str">
        <x:f>IF(CO116="","",IFERROR(CT116*(CS116/CR116-1),0))</x:f>
      </x:c>
      <x:c r="DC116" s="147"/>
      <x:c r="DD116" s="147"/>
      <x:c r="DE116" s="147"/>
      <x:c r="DF116" s="167"/>
      <x:c r="DG116" s="167"/>
      <x:c r="DH116" s="166"/>
      <x:c r="DI116" s="171" t="str">
        <x:f>IF(DC116="","",IFERROR(F116*DH116/DF116,0))</x:f>
      </x:c>
      <x:c r="DJ116" s="171" t="str">
        <x:f>IF(DC116="","",F116*ABS(DH116))</x:f>
      </x:c>
      <x:c r="DK116" s="165"/>
      <x:c r="DL116" s="172" t="str">
        <x:f>IF(DC116="","",IF(DK116="","",IFERROR(DF116/DK116-1,0)))</x:f>
      </x:c>
      <x:c r="DM116" s="166"/>
      <x:c r="DN116" s="172" t="str">
        <x:f>IF(DC116="","",IF(DM116="","",DM116-DL116*365/DO116))</x:f>
      </x:c>
      <x:c r="DO116" s="164"/>
      <x:c r="DP116" s="172" t="str">
        <x:f>IF(DC116="","",IFERROR(DH116*(DG116/DF116-1),0))</x:f>
      </x:c>
      <x:c r="DQ116" s="147"/>
      <x:c r="DR116" s="147"/>
      <x:c r="DS116" s="147"/>
      <x:c r="DT116" s="167"/>
      <x:c r="DU116" s="167"/>
      <x:c r="DV116" s="166"/>
      <x:c r="DW116" s="171" t="str">
        <x:f>IF(DQ116="","",IFERROR(F116*DV116/DT116,0))</x:f>
      </x:c>
      <x:c r="DX116" s="171" t="str">
        <x:f>IF(DQ116="","",F116*ABS(DV116))</x:f>
      </x:c>
      <x:c r="DY116" s="165"/>
      <x:c r="DZ116" s="172" t="str">
        <x:f>IF(DQ116="","",IF(DY116="","",IFERROR(DT116/DY116-1,0)))</x:f>
      </x:c>
      <x:c r="EA116" s="166"/>
      <x:c r="EB116" s="172" t="str">
        <x:f>IF(DQ116="","",IF(EA116="","",EA116-DZ116*365/EC116))</x:f>
      </x:c>
      <x:c r="EC116" s="164"/>
      <x:c r="ED116" s="172" t="str">
        <x:f>IF(DQ116="","",IFERROR(DV116*(DU116/DT116-1),0))</x:f>
      </x:c>
      <x:c r="EE116" s="147"/>
      <x:c r="EF116" s="147"/>
      <x:c r="EG116" s="147"/>
      <x:c r="EH116" s="167"/>
      <x:c r="EI116" s="167"/>
      <x:c r="EJ116" s="166"/>
      <x:c r="EK116" s="171" t="str">
        <x:f>IF(EE116="","",IFERROR(F116*EJ116/EH116,0))</x:f>
      </x:c>
      <x:c r="EL116" s="171" t="str">
        <x:f>IF(EE116="","",F116*ABS(EJ116))</x:f>
      </x:c>
      <x:c r="EM116" s="165"/>
      <x:c r="EN116" s="172" t="str">
        <x:f>IF(EE116="","",IF(EM116="","",IFERROR(EH116/EM116-1,0)))</x:f>
      </x:c>
      <x:c r="EO116" s="166"/>
      <x:c r="EP116" s="172" t="str">
        <x:f>IF(EE116="","",IF(EO116="","",EO116-EN116*365/EQ116))</x:f>
      </x:c>
      <x:c r="EQ116" s="164"/>
      <x:c r="ER116" s="172" t="str">
        <x:f>IF(EE116="","",IFERROR(EJ116*(EI116/EH116-1),0))</x:f>
      </x:c>
      <x:c r="ES116" s="147"/>
      <x:c r="ET116" s="147"/>
      <x:c r="EU116" s="147"/>
      <x:c r="EV116" s="167"/>
      <x:c r="EW116" s="167"/>
      <x:c r="EX116" s="166"/>
      <x:c r="EY116" s="171" t="str">
        <x:f>IF(ES116="","",IFERROR(F116*EX116/EV116,0))</x:f>
      </x:c>
      <x:c r="EZ116" s="171" t="str">
        <x:f>IF(ES116="","",F116*ABS(EX116))</x:f>
      </x:c>
      <x:c r="FA116" s="165"/>
      <x:c r="FB116" s="172" t="str">
        <x:f>IF(ES116="","",IF(FA116="","",IFERROR(EV116/FA116-1,0)))</x:f>
      </x:c>
      <x:c r="FC116" s="166"/>
      <x:c r="FD116" s="172" t="str">
        <x:f>IF(ES116="","",IF(FC116="","",FC116-FB116*365/FE116))</x:f>
      </x:c>
      <x:c r="FE116" s="164"/>
      <x:c r="FF116" s="172" t="str">
        <x:f>IF(ES116="","",IFERROR(EX116*(EW116/EV116-1),0))</x:f>
      </x:c>
      <x:c r="FG116" s="147"/>
      <x:c r="FH116" s="147"/>
      <x:c r="FI116" s="147"/>
      <x:c r="FJ116" s="167"/>
      <x:c r="FK116" s="167"/>
      <x:c r="FL116" s="166"/>
      <x:c r="FM116" s="171" t="str">
        <x:f>IF(FG116="","",IFERROR(F116*FL116/FJ116,0))</x:f>
      </x:c>
      <x:c r="FN116" s="171" t="str">
        <x:f>IF(FG116="","",F116*ABS(FL116))</x:f>
      </x:c>
      <x:c r="FO116" s="165"/>
      <x:c r="FP116" s="172" t="str">
        <x:f>IF(FG116="","",IF(FO116="","",IFERROR(FJ116/FO116-1,0)))</x:f>
      </x:c>
      <x:c r="FQ116" s="166"/>
      <x:c r="FR116" s="172" t="str">
        <x:f>IF(FG116="","",IF(FQ116="","",FQ116-FP116*365/FS116))</x:f>
      </x:c>
      <x:c r="FS116" s="164"/>
      <x:c r="FT116" s="172" t="str">
        <x:f>IF(FG116="","",IFERROR(FL116*(FK116/FJ116-1),0))</x:f>
      </x:c>
    </x:row>
    <x:row r="117" ht="18" customHeight="1">
      <x:c r="A117" s="163" t="n">
        <x:v>25377</x:v>
      </x:c>
      <x:c r="B117" s="163" t="n">
        <x:v>25378</x:v>
      </x:c>
      <x:c r="C117" s="170" t="n">
        <x:f>B117-A117</x:f>
        <x:v>1</x:v>
      </x:c>
      <x:c r="D117" s="163" t="n">
        <x:v>25377</x:v>
      </x:c>
      <x:c r="E117" s="147" t="str">
        <x:v>positive</x:v>
      </x:c>
      <x:c r="F117" s="165" t="n">
        <x:v>1.2115177787350022</x:v>
      </x:c>
      <x:c r="G117" s="168" t="n">
        <x:v>0.009278451803917852</x:v>
      </x:c>
      <x:c r="H117" s="172" t="n">
        <x:f>SUM(AX117,BL117,BZ117,CN117,DB117,DP117,ED117,ER117,FF117,FT117)</x:f>
        <x:v>0.00927845180391788</x:v>
      </x:c>
      <x:c r="I117" s="174" t="n">
        <x:f>G117-H117</x:f>
        <x:v>-2.7755575615628914e-17</x:v>
      </x:c>
      <x:c r="J117" s="171" t="n">
        <x:f>F117*(1+H117)</x:f>
        <x:v>1.2227587880545847</x:v>
      </x:c>
      <x:c r="K117" s="169" t="n">
        <x:v>1.2227587880545847</x:v>
      </x:c>
      <x:c r="L117" s="175" t="n">
        <x:f>K117-J117</x:f>
        <x:v>0</x:v>
      </x:c>
      <x:c r="M117" s="167" t="n">
        <x:v>1.566</x:v>
      </x:c>
      <x:c r="N117" s="167" t="n">
        <x:v>1.584</x:v>
      </x:c>
      <x:c r="O117" s="172" t="n">
        <x:f>IFERROR(N117/M117-1,0)</x:f>
        <x:v>0.011494252873563315</x:v>
      </x:c>
      <x:c r="P117" s="171" t="n">
        <x:f>IFERROR(AD117/AH117,0)</x:f>
        <x:v>1.5147840426329091</x:v>
      </x:c>
      <x:c r="Q117" s="171" t="n">
        <x:f>IFERROR(AE117/AI117,0)</x:f>
        <x:v>1.5114657241230287</x:v>
      </x:c>
      <x:c r="R117" s="172" t="n">
        <x:f>IFERROR((Q117-P117)/(P117+S117),0)</x:f>
        <x:v>-0.0021906215120359304</x:v>
      </x:c>
      <x:c r="S117" s="172" t="n">
        <x:f>IFERROR(AF117/AH117,0)</x:f>
        <x:v>0</x:v>
      </x:c>
      <x:c r="T117" s="172" t="n">
        <x:f>IFERROR(AG117/AI117,0)</x:f>
        <x:v>0</x:v>
      </x:c>
      <x:c r="U117" s="172" t="n">
        <x:f>IFERROR((T117-S117)/(P117+S117),0)</x:f>
        <x:v>0</x:v>
      </x:c>
      <x:c r="V117" s="172" t="n">
        <x:f>R117+U117</x:f>
        <x:v>-0.0021906215120359304</x:v>
      </x:c>
      <x:c r="W117" s="172" t="n">
        <x:f>(1+O117)*(1+V117)-1</x:f>
        <x:v>0.009278451803917731</x:v>
      </x:c>
      <x:c r="X117" s="174" t="n">
        <x:f>G117-W117</x:f>
        <x:v>1.214306433183765e-16</x:v>
      </x:c>
      <x:c r="Y117" s="172" t="n">
        <x:f>AX117</x:f>
        <x:v>0.00859238985543325</x:v>
      </x:c>
      <x:c r="Z117" s="172" t="n">
        <x:f>BL117</x:f>
        <x:v>0.000043982034338288025</x:v>
      </x:c>
      <x:c r="AA117" s="172" t="n">
        <x:f>SUM(BZ117,CN117,DB117,DP117,ED117,ER117,FF117,FT117)</x:f>
        <x:v>0.0006420799141463415</x:v>
      </x:c>
      <x:c r="AB117" s="172" t="n">
        <x:f>SUM(Y117:AA117)</x:f>
        <x:v>0.00927845180391788</x:v>
      </x:c>
      <x:c r="AC117" s="174" t="n">
        <x:f>G117-AB117</x:f>
        <x:v>-2.7755575615628914e-17</x:v>
      </x:c>
      <x:c r="AD117" s="169" t="n">
        <x:v>1.2115177787350029</x:v>
      </x:c>
      <x:c r="AE117" s="169" t="n">
        <x:v>1.2227587880545852</x:v>
      </x:c>
      <x:c r="AF117" s="169" t="n">
        <x:v>0</x:v>
      </x:c>
      <x:c r="AG117" s="169" t="n">
        <x:v>0</x:v>
      </x:c>
      <x:c r="AH117" s="171" t="n">
        <x:f>M117/$M$3</x:f>
        <x:v>0.7997957099080695</x:v>
      </x:c>
      <x:c r="AI117" s="171" t="n">
        <x:f>N117/$M$3</x:f>
        <x:v>0.8089887640449439</x:v>
      </x:c>
      <x:c r="AJ117" s="170" t="n">
        <x:f>IF(AK117&lt;&gt;"",1,0)+IF(AY117&lt;&gt;"",1,0)+IF(BM117&lt;&gt;"",1,0)+IF(CA117&lt;&gt;"",1,0)+IF(CO117&lt;&gt;"",1,0)+IF(DC117&lt;&gt;"",1,0)+IF(DQ117&lt;&gt;"",1,0)+IF(EE117&lt;&gt;"",1,0)+IF(ES117&lt;&gt;"",1,0)+IF(FG117&lt;&gt;"",1,0)</x:f>
        <x:v>3</x:v>
      </x:c>
      <x:c r="AK117" s="147" t="str">
        <x:v>Silver replicating holding (LBMA/SLV proxy)</x:v>
      </x:c>
      <x:c r="AL117" s="147" t="str">
        <x:v>Physical-backed proxy</x:v>
      </x:c>
      <x:c r="AM117" s="147" t="str">
        <x:v>Long</x:v>
      </x:c>
      <x:c r="AN117" s="167" t="n">
        <x:v>1.566</x:v>
      </x:c>
      <x:c r="AO117" s="167" t="n">
        <x:v>1.584</x:v>
      </x:c>
      <x:c r="AP117" s="166" t="n">
        <x:v>0.7479836336975609</x:v>
      </x:c>
      <x:c r="AQ117" s="171" t="n">
        <x:f>IF(AK117="","",IFERROR(F117*AP117/AN117,0))</x:f>
        <x:v>0.5786688827761204</x:v>
      </x:c>
      <x:c r="AR117" s="171" t="n">
        <x:f>IF(AK117="","",F117*ABS(AP117))</x:f>
        <x:v>0.9061954704274046</x:v>
      </x:c>
      <x:c r="AS117" s="165"/>
      <x:c r="AT117" s="172" t="str">
        <x:f>IF(AK117="","",IF(AS117="","",IFERROR(AN117/AS117-1,0)))</x:f>
      </x:c>
      <x:c r="AU117" s="166"/>
      <x:c r="AV117" s="172" t="str">
        <x:f>IF(AK117="","",IF(AU117="","",AU117-AT117*365/AW117))</x:f>
      </x:c>
      <x:c r="AW117" s="164"/>
      <x:c r="AX117" s="173" t="n">
        <x:f>IF(AK117="","",IFERROR(AP117*(AO117/AN117-1-'Parameters'!$C$6*C117/365),0))</x:f>
        <x:v>0.00859238985543325</x:v>
      </x:c>
      <x:c r="AY117" s="147" t="str">
        <x:v>Matched-maturity Treasury collateral</x:v>
      </x:c>
      <x:c r="AZ117" s="147" t="str">
        <x:v>Treasury</x:v>
      </x:c>
      <x:c r="BA117" s="147" t="str">
        <x:v>Long</x:v>
      </x:c>
      <x:c r="BB117" s="167" t="n">
        <x:v>102.93332365167277</x:v>
      </x:c>
      <x:c r="BC117" s="167" t="n">
        <x:v>102.95128763171829</x:v>
      </x:c>
      <x:c r="BD117" s="166" t="n">
        <x:v>0.25201636630243907</x:v>
      </x:c>
      <x:c r="BE117" s="171" t="n">
        <x:f>IF(AY117="","",IFERROR(F117*BD117/BB117,0))</x:f>
        <x:v>0.0029662144141076306</x:v>
      </x:c>
      <x:c r="BF117" s="171" t="n">
        <x:f>IF(AY117="","",F117*ABS(BD117))</x:f>
        <x:v>0.30532230830759766</x:v>
      </x:c>
      <x:c r="BG117" s="165"/>
      <x:c r="BH117" s="172" t="str">
        <x:f>IF(AY117="","",IF(BG117="","",IFERROR(BB117/BG117-1,0)))</x:f>
      </x:c>
      <x:c r="BI117" s="166"/>
      <x:c r="BJ117" s="172" t="str">
        <x:f>IF(AY117="","",IF(BI117="","",BI117-BH117*365/BK117))</x:f>
      </x:c>
      <x:c r="BK117" s="164" t="n">
        <x:v>36</x:v>
      </x:c>
      <x:c r="BL117" s="172" t="n">
        <x:f>IF(AY117="","",IFERROR(BD117*(BC117/BB117-1),0))</x:f>
        <x:v>0.000043982034338288025</x:v>
      </x:c>
      <x:c r="BM117" s="147" t="str">
        <x:v>SI69N</x:v>
      </x:c>
      <x:c r="BN117" s="147" t="str">
        <x:v>Silver future (regular)</x:v>
      </x:c>
      <x:c r="BO117" s="147" t="str">
        <x:v>Long</x:v>
      </x:c>
      <x:c r="BP117" s="167" t="n">
        <x:v>1.57</x:v>
      </x:c>
      <x:c r="BQ117" s="167" t="n">
        <x:v>1.574</x:v>
      </x:c>
      <x:c r="BR117" s="166" t="n">
        <x:v>0.25201636630243907</x:v>
      </x:c>
      <x:c r="BS117" s="171" t="n">
        <x:f>IF(BM117="","",IFERROR(F117*BR117/BP117,0))</x:f>
        <x:v>0.19447280783923418</x:v>
      </x:c>
      <x:c r="BT117" s="171" t="n">
        <x:f>IF(BM117="","",F117*ABS(BR117))</x:f>
        <x:v>0.30532230830759766</x:v>
      </x:c>
      <x:c r="BU117" s="165" t="n">
        <x:v>1.566</x:v>
      </x:c>
      <x:c r="BV117" s="172" t="n">
        <x:f>IF(BM117="","",IF(BU117="","",IFERROR(BP117/BU117-1,0)))</x:f>
        <x:v>0.0025542784163474774</x:v>
      </x:c>
      <x:c r="BW117" s="166" t="n">
        <x:v>0.0637</x:v>
      </x:c>
      <x:c r="BX117" s="172" t="n">
        <x:f>IF(BM117="","",IF(BW117="","",BW117-BV117*365/BY117))</x:f>
        <x:v>0.03780245494536586</x:v>
      </x:c>
      <x:c r="BY117" s="164" t="n">
        <x:v>36</x:v>
      </x:c>
      <x:c r="BZ117" s="172" t="n">
        <x:f>IF(BM117="","",IFERROR(BR117*(BQ117/BP117-1),0))</x:f>
        <x:v>0.0006420799141463415</x:v>
      </x:c>
      <x:c r="CA117" s="147"/>
      <x:c r="CB117" s="147"/>
      <x:c r="CC117" s="147"/>
      <x:c r="CD117" s="167"/>
      <x:c r="CE117" s="167"/>
      <x:c r="CF117" s="166"/>
      <x:c r="CG117" s="171" t="str">
        <x:f>IF(CA117="","",IFERROR(F117*CF117/CD117,0))</x:f>
      </x:c>
      <x:c r="CH117" s="171" t="str">
        <x:f>IF(CA117="","",F117*ABS(CF117))</x:f>
      </x:c>
      <x:c r="CI117" s="165"/>
      <x:c r="CJ117" s="172" t="str">
        <x:f>IF(CA117="","",IF(CI117="","",IFERROR(CD117/CI117-1,0)))</x:f>
      </x:c>
      <x:c r="CK117" s="166"/>
      <x:c r="CL117" s="172" t="str">
        <x:f>IF(CA117="","",IF(CK117="","",CK117-CJ117*365/CM117))</x:f>
      </x:c>
      <x:c r="CM117" s="164"/>
      <x:c r="CN117" s="172" t="str">
        <x:f>IF(CA117="","",IFERROR(CF117*(CE117/CD117-1),0))</x:f>
      </x:c>
      <x:c r="CO117" s="147"/>
      <x:c r="CP117" s="147"/>
      <x:c r="CQ117" s="147"/>
      <x:c r="CR117" s="167"/>
      <x:c r="CS117" s="167"/>
      <x:c r="CT117" s="166"/>
      <x:c r="CU117" s="171" t="str">
        <x:f>IF(CO117="","",IFERROR(F117*CT117/CR117,0))</x:f>
      </x:c>
      <x:c r="CV117" s="171" t="str">
        <x:f>IF(CO117="","",F117*ABS(CT117))</x:f>
      </x:c>
      <x:c r="CW117" s="165"/>
      <x:c r="CX117" s="172" t="str">
        <x:f>IF(CO117="","",IF(CW117="","",IFERROR(CR117/CW117-1,0)))</x:f>
      </x:c>
      <x:c r="CY117" s="166"/>
      <x:c r="CZ117" s="172" t="str">
        <x:f>IF(CO117="","",IF(CY117="","",CY117-CX117*365/DA117))</x:f>
      </x:c>
      <x:c r="DA117" s="164"/>
      <x:c r="DB117" s="172" t="str">
        <x:f>IF(CO117="","",IFERROR(CT117*(CS117/CR117-1),0))</x:f>
      </x:c>
      <x:c r="DC117" s="147"/>
      <x:c r="DD117" s="147"/>
      <x:c r="DE117" s="147"/>
      <x:c r="DF117" s="167"/>
      <x:c r="DG117" s="167"/>
      <x:c r="DH117" s="166"/>
      <x:c r="DI117" s="171" t="str">
        <x:f>IF(DC117="","",IFERROR(F117*DH117/DF117,0))</x:f>
      </x:c>
      <x:c r="DJ117" s="171" t="str">
        <x:f>IF(DC117="","",F117*ABS(DH117))</x:f>
      </x:c>
      <x:c r="DK117" s="165"/>
      <x:c r="DL117" s="172" t="str">
        <x:f>IF(DC117="","",IF(DK117="","",IFERROR(DF117/DK117-1,0)))</x:f>
      </x:c>
      <x:c r="DM117" s="166"/>
      <x:c r="DN117" s="172" t="str">
        <x:f>IF(DC117="","",IF(DM117="","",DM117-DL117*365/DO117))</x:f>
      </x:c>
      <x:c r="DO117" s="164"/>
      <x:c r="DP117" s="172" t="str">
        <x:f>IF(DC117="","",IFERROR(DH117*(DG117/DF117-1),0))</x:f>
      </x:c>
      <x:c r="DQ117" s="147"/>
      <x:c r="DR117" s="147"/>
      <x:c r="DS117" s="147"/>
      <x:c r="DT117" s="167"/>
      <x:c r="DU117" s="167"/>
      <x:c r="DV117" s="166"/>
      <x:c r="DW117" s="171" t="str">
        <x:f>IF(DQ117="","",IFERROR(F117*DV117/DT117,0))</x:f>
      </x:c>
      <x:c r="DX117" s="171" t="str">
        <x:f>IF(DQ117="","",F117*ABS(DV117))</x:f>
      </x:c>
      <x:c r="DY117" s="165"/>
      <x:c r="DZ117" s="172" t="str">
        <x:f>IF(DQ117="","",IF(DY117="","",IFERROR(DT117/DY117-1,0)))</x:f>
      </x:c>
      <x:c r="EA117" s="166"/>
      <x:c r="EB117" s="172" t="str">
        <x:f>IF(DQ117="","",IF(EA117="","",EA117-DZ117*365/EC117))</x:f>
      </x:c>
      <x:c r="EC117" s="164"/>
      <x:c r="ED117" s="172" t="str">
        <x:f>IF(DQ117="","",IFERROR(DV117*(DU117/DT117-1),0))</x:f>
      </x:c>
      <x:c r="EE117" s="147"/>
      <x:c r="EF117" s="147"/>
      <x:c r="EG117" s="147"/>
      <x:c r="EH117" s="167"/>
      <x:c r="EI117" s="167"/>
      <x:c r="EJ117" s="166"/>
      <x:c r="EK117" s="171" t="str">
        <x:f>IF(EE117="","",IFERROR(F117*EJ117/EH117,0))</x:f>
      </x:c>
      <x:c r="EL117" s="171" t="str">
        <x:f>IF(EE117="","",F117*ABS(EJ117))</x:f>
      </x:c>
      <x:c r="EM117" s="165"/>
      <x:c r="EN117" s="172" t="str">
        <x:f>IF(EE117="","",IF(EM117="","",IFERROR(EH117/EM117-1,0)))</x:f>
      </x:c>
      <x:c r="EO117" s="166"/>
      <x:c r="EP117" s="172" t="str">
        <x:f>IF(EE117="","",IF(EO117="","",EO117-EN117*365/EQ117))</x:f>
      </x:c>
      <x:c r="EQ117" s="164"/>
      <x:c r="ER117" s="172" t="str">
        <x:f>IF(EE117="","",IFERROR(EJ117*(EI117/EH117-1),0))</x:f>
      </x:c>
      <x:c r="ES117" s="147"/>
      <x:c r="ET117" s="147"/>
      <x:c r="EU117" s="147"/>
      <x:c r="EV117" s="167"/>
      <x:c r="EW117" s="167"/>
      <x:c r="EX117" s="166"/>
      <x:c r="EY117" s="171" t="str">
        <x:f>IF(ES117="","",IFERROR(F117*EX117/EV117,0))</x:f>
      </x:c>
      <x:c r="EZ117" s="171" t="str">
        <x:f>IF(ES117="","",F117*ABS(EX117))</x:f>
      </x:c>
      <x:c r="FA117" s="165"/>
      <x:c r="FB117" s="172" t="str">
        <x:f>IF(ES117="","",IF(FA117="","",IFERROR(EV117/FA117-1,0)))</x:f>
      </x:c>
      <x:c r="FC117" s="166"/>
      <x:c r="FD117" s="172" t="str">
        <x:f>IF(ES117="","",IF(FC117="","",FC117-FB117*365/FE117))</x:f>
      </x:c>
      <x:c r="FE117" s="164"/>
      <x:c r="FF117" s="172" t="str">
        <x:f>IF(ES117="","",IFERROR(EX117*(EW117/EV117-1),0))</x:f>
      </x:c>
      <x:c r="FG117" s="147"/>
      <x:c r="FH117" s="147"/>
      <x:c r="FI117" s="147"/>
      <x:c r="FJ117" s="167"/>
      <x:c r="FK117" s="167"/>
      <x:c r="FL117" s="166"/>
      <x:c r="FM117" s="171" t="str">
        <x:f>IF(FG117="","",IFERROR(F117*FL117/FJ117,0))</x:f>
      </x:c>
      <x:c r="FN117" s="171" t="str">
        <x:f>IF(FG117="","",F117*ABS(FL117))</x:f>
      </x:c>
      <x:c r="FO117" s="165"/>
      <x:c r="FP117" s="172" t="str">
        <x:f>IF(FG117="","",IF(FO117="","",IFERROR(FJ117/FO117-1,0)))</x:f>
      </x:c>
      <x:c r="FQ117" s="166"/>
      <x:c r="FR117" s="172" t="str">
        <x:f>IF(FG117="","",IF(FQ117="","",FQ117-FP117*365/FS117))</x:f>
      </x:c>
      <x:c r="FS117" s="164"/>
      <x:c r="FT117" s="172" t="str">
        <x:f>IF(FG117="","",IFERROR(FL117*(FK117/FJ117-1),0))</x:f>
      </x:c>
    </x:row>
    <x:row r="118" ht="18" customHeight="1">
      <x:c r="A118" s="163" t="n">
        <x:v>25378</x:v>
      </x:c>
      <x:c r="B118" s="163" t="n">
        <x:v>25379</x:v>
      </x:c>
      <x:c r="C118" s="170" t="n">
        <x:f>B118-A118</x:f>
        <x:v>1</x:v>
      </x:c>
      <x:c r="D118" s="163" t="n">
        <x:v>25378</x:v>
      </x:c>
      <x:c r="E118" s="147" t="str">
        <x:v>positive</x:v>
      </x:c>
      <x:c r="F118" s="165" t="n">
        <x:v>1.2227587880545847</x:v>
      </x:c>
      <x:c r="G118" s="168" t="n">
        <x:v>-0.005699334723535363</x:v>
      </x:c>
      <x:c r="H118" s="172" t="n">
        <x:f>SUM(AX118,BL118,BZ118,CN118,DB118,DP118,ED118,ER118,FF118,FT118)</x:f>
        <x:v>-0.0056993347235354454</x:v>
      </x:c>
      <x:c r="I118" s="174" t="n">
        <x:f>G118-H118</x:f>
        <x:v>8.239936510889834e-17</x:v>
      </x:c>
      <x:c r="J118" s="171" t="n">
        <x:f>F118*(1+H118)</x:f>
        <x:v>1.215789876435317</x:v>
      </x:c>
      <x:c r="K118" s="169" t="n">
        <x:v>1.2157898764353172</x:v>
      </x:c>
      <x:c r="L118" s="175" t="n">
        <x:f>K118-J118</x:f>
        <x:v>2.220446049250313e-16</x:v>
      </x:c>
      <x:c r="M118" s="167" t="n">
        <x:v>1.584</x:v>
      </x:c>
      <x:c r="N118" s="167" t="n">
        <x:v>1.587</x:v>
      </x:c>
      <x:c r="O118" s="172" t="n">
        <x:f>IFERROR(N118/M118-1,0)</x:f>
        <x:v>0.0018939393939392257</x:v>
      </x:c>
      <x:c r="P118" s="171" t="n">
        <x:f>IFERROR(AD118/AH118,0)</x:f>
        <x:v>1.5114657241230287</x:v>
      </x:c>
      <x:c r="Q118" s="171" t="n">
        <x:f>IFERROR(AE118/AI118,0)</x:f>
        <x:v>1.5000104461627928</x:v>
      </x:c>
      <x:c r="R118" s="172" t="n">
        <x:f>IFERROR((Q118-P118)/(P118+S118),0)</x:f>
        <x:v>-0.007578920102129625</x:v>
      </x:c>
      <x:c r="S118" s="172" t="n">
        <x:f>IFERROR(AF118/AH118,0)</x:f>
        <x:v>0</x:v>
      </x:c>
      <x:c r="T118" s="172" t="n">
        <x:f>IFERROR(AG118/AI118,0)</x:f>
        <x:v>0</x:v>
      </x:c>
      <x:c r="U118" s="172" t="n">
        <x:f>IFERROR((T118-S118)/(P118+S118),0)</x:f>
        <x:v>0</x:v>
      </x:c>
      <x:c r="V118" s="172" t="n">
        <x:f>R118+U118</x:f>
        <x:v>-0.007578920102129625</x:v>
      </x:c>
      <x:c r="W118" s="172" t="n">
        <x:f>(1+O118)*(1+V118)-1</x:f>
        <x:v>-0.005699334723535232</x:v>
      </x:c>
      <x:c r="X118" s="174" t="n">
        <x:f>G118-W118</x:f>
        <x:v>-1.3097162243624894e-16</x:v>
      </x:c>
      <x:c r="Y118" s="172" t="n">
        <x:f>AX118</x:f>
        <x:v>0.00024108279218281738</x:v>
      </x:c>
      <x:c r="Z118" s="172" t="n">
        <x:f>BL118</x:f>
        <x:v>0.0001553315279341837</x:v>
      </x:c>
      <x:c r="AA118" s="172" t="n">
        <x:f>SUM(BZ118,CN118,DB118,DP118,ED118,ER118,FF118,FT118)</x:f>
        <x:v>-0.006095749043652446</x:v>
      </x:c>
      <x:c r="AB118" s="172" t="n">
        <x:f>SUM(Y118:AA118)</x:f>
        <x:v>-0.0056993347235354454</x:v>
      </x:c>
      <x:c r="AC118" s="174" t="n">
        <x:f>G118-AB118</x:f>
        <x:v>8.239936510889834e-17</x:v>
      </x:c>
      <x:c r="AD118" s="169" t="n">
        <x:v>1.2227587880545852</x:v>
      </x:c>
      <x:c r="AE118" s="169" t="n">
        <x:v>1.2157898764353177</x:v>
      </x:c>
      <x:c r="AF118" s="169" t="n">
        <x:v>0</x:v>
      </x:c>
      <x:c r="AG118" s="169" t="n">
        <x:v>0</x:v>
      </x:c>
      <x:c r="AH118" s="171" t="n">
        <x:f>M118/$M$3</x:f>
        <x:v>0.8089887640449439</x:v>
      </x:c>
      <x:c r="AI118" s="171" t="n">
        <x:f>N118/$M$3</x:f>
        <x:v>0.8105209397344229</x:v>
      </x:c>
      <x:c r="AJ118" s="170" t="n">
        <x:f>IF(AK118&lt;&gt;"",1,0)+IF(AY118&lt;&gt;"",1,0)+IF(BM118&lt;&gt;"",1,0)+IF(CA118&lt;&gt;"",1,0)+IF(CO118&lt;&gt;"",1,0)+IF(DC118&lt;&gt;"",1,0)+IF(DQ118&lt;&gt;"",1,0)+IF(EE118&lt;&gt;"",1,0)+IF(ES118&lt;&gt;"",1,0)+IF(FG118&lt;&gt;"",1,0)</x:f>
        <x:v>3</x:v>
      </x:c>
      <x:c r="AK118" s="147" t="str">
        <x:v>Silver replicating holding (LBMA/SLV proxy)</x:v>
      </x:c>
      <x:c r="AL118" s="147" t="str">
        <x:v>Physical-backed proxy</x:v>
      </x:c>
      <x:c r="AM118" s="147" t="str">
        <x:v>Long</x:v>
      </x:c>
      <x:c r="AN118" s="167" t="n">
        <x:v>1.584</x:v>
      </x:c>
      <x:c r="AO118" s="167" t="n">
        <x:v>1.587</x:v>
      </x:c>
      <x:c r="AP118" s="166" t="n">
        <x:v>0.1277537277537305</x:v>
      </x:c>
      <x:c r="AQ118" s="171" t="n">
        <x:f>IF(AK118="","",IFERROR(F118*AP118/AN118,0))</x:f>
        <x:v>0.09861868265000434</x:v>
      </x:c>
      <x:c r="AR118" s="171" t="n">
        <x:f>IF(AK118="","",F118*ABS(AP118))</x:f>
        <x:v>0.15621199331760688</x:v>
      </x:c>
      <x:c r="AS118" s="165"/>
      <x:c r="AT118" s="172" t="str">
        <x:f>IF(AK118="","",IF(AS118="","",IFERROR(AN118/AS118-1,0)))</x:f>
      </x:c>
      <x:c r="AU118" s="166"/>
      <x:c r="AV118" s="172" t="str">
        <x:f>IF(AK118="","",IF(AU118="","",AU118-AT118*365/AW118))</x:f>
      </x:c>
      <x:c r="AW118" s="164"/>
      <x:c r="AX118" s="173" t="n">
        <x:f>IF(AK118="","",IFERROR(AP118*(AO118/AN118-1-'Parameters'!$C$6*C118/365),0))</x:f>
        <x:v>0.00024108279218281738</x:v>
      </x:c>
      <x:c r="AY118" s="147" t="str">
        <x:v>Matched-maturity Treasury collateral</x:v>
      </x:c>
      <x:c r="AZ118" s="147" t="str">
        <x:v>Treasury</x:v>
      </x:c>
      <x:c r="BA118" s="147" t="str">
        <x:v>Long</x:v>
      </x:c>
      <x:c r="BB118" s="167" t="n">
        <x:v>102.95128763171829</x:v>
      </x:c>
      <x:c r="BC118" s="167" t="n">
        <x:v>102.96962142266639</x:v>
      </x:c>
      <x:c r="BD118" s="166" t="n">
        <x:v>0.8722462722462694</x:v>
      </x:c>
      <x:c r="BE118" s="171" t="n">
        <x:f>IF(AY118="","",IFERROR(F118*BD118/BB118,0))</x:f>
        <x:v>0.010359722731708555</x:v>
      </x:c>
      <x:c r="BF118" s="171" t="n">
        <x:f>IF(AY118="","",F118*ABS(BD118))</x:f>
        <x:v>1.0665467947369778</x:v>
      </x:c>
      <x:c r="BG118" s="165"/>
      <x:c r="BH118" s="172" t="str">
        <x:f>IF(AY118="","",IF(BG118="","",IFERROR(BB118/BG118-1,0)))</x:f>
      </x:c>
      <x:c r="BI118" s="166"/>
      <x:c r="BJ118" s="172" t="str">
        <x:f>IF(AY118="","",IF(BI118="","",BI118-BH118*365/BK118))</x:f>
      </x:c>
      <x:c r="BK118" s="164" t="n">
        <x:v>35</x:v>
      </x:c>
      <x:c r="BL118" s="172" t="n">
        <x:f>IF(AY118="","",IFERROR(BD118*(BC118/BB118-1),0))</x:f>
        <x:v>0.0001553315279341837</x:v>
      </x:c>
      <x:c r="BM118" s="147" t="str">
        <x:v>SI69N</x:v>
      </x:c>
      <x:c r="BN118" s="147" t="str">
        <x:v>Silver future (regular)</x:v>
      </x:c>
      <x:c r="BO118" s="147" t="str">
        <x:v>Long</x:v>
      </x:c>
      <x:c r="BP118" s="167" t="n">
        <x:v>1.574</x:v>
      </x:c>
      <x:c r="BQ118" s="167" t="n">
        <x:v>1.5630000000000002</x:v>
      </x:c>
      <x:c r="BR118" s="166" t="n">
        <x:v>0.8722462722462694</x:v>
      </x:c>
      <x:c r="BS118" s="171" t="n">
        <x:f>IF(BM118="","",IFERROR(F118*BR118/BP118,0))</x:f>
        <x:v>0.6776027920819426</x:v>
      </x:c>
      <x:c r="BT118" s="171" t="n">
        <x:f>IF(BM118="","",F118*ABS(BR118))</x:f>
        <x:v>1.0665467947369778</x:v>
      </x:c>
      <x:c r="BU118" s="165" t="n">
        <x:v>1.584</x:v>
      </x:c>
      <x:c r="BV118" s="172" t="n">
        <x:f>IF(BM118="","",IF(BU118="","",IFERROR(BP118/BU118-1,0)))</x:f>
        <x:v>-0.0063131313131312705</x:v>
      </x:c>
      <x:c r="BW118" s="166" t="n">
        <x:v>0.065</x:v>
      </x:c>
      <x:c r="BX118" s="172" t="n">
        <x:f>IF(BM118="","",IF(BW118="","",BW118-BV118*365/BY118))</x:f>
        <x:v>0.13083694083694042</x:v>
      </x:c>
      <x:c r="BY118" s="164" t="n">
        <x:v>35</x:v>
      </x:c>
      <x:c r="BZ118" s="172" t="n">
        <x:f>IF(BM118="","",IFERROR(BR118*(BQ118/BP118-1),0))</x:f>
        <x:v>-0.006095749043652446</x:v>
      </x:c>
      <x:c r="CA118" s="147"/>
      <x:c r="CB118" s="147"/>
      <x:c r="CC118" s="147"/>
      <x:c r="CD118" s="167"/>
      <x:c r="CE118" s="167"/>
      <x:c r="CF118" s="166"/>
      <x:c r="CG118" s="171" t="str">
        <x:f>IF(CA118="","",IFERROR(F118*CF118/CD118,0))</x:f>
      </x:c>
      <x:c r="CH118" s="171" t="str">
        <x:f>IF(CA118="","",F118*ABS(CF118))</x:f>
      </x:c>
      <x:c r="CI118" s="165"/>
      <x:c r="CJ118" s="172" t="str">
        <x:f>IF(CA118="","",IF(CI118="","",IFERROR(CD118/CI118-1,0)))</x:f>
      </x:c>
      <x:c r="CK118" s="166"/>
      <x:c r="CL118" s="172" t="str">
        <x:f>IF(CA118="","",IF(CK118="","",CK118-CJ118*365/CM118))</x:f>
      </x:c>
      <x:c r="CM118" s="164"/>
      <x:c r="CN118" s="172" t="str">
        <x:f>IF(CA118="","",IFERROR(CF118*(CE118/CD118-1),0))</x:f>
      </x:c>
      <x:c r="CO118" s="147"/>
      <x:c r="CP118" s="147"/>
      <x:c r="CQ118" s="147"/>
      <x:c r="CR118" s="167"/>
      <x:c r="CS118" s="167"/>
      <x:c r="CT118" s="166"/>
      <x:c r="CU118" s="171" t="str">
        <x:f>IF(CO118="","",IFERROR(F118*CT118/CR118,0))</x:f>
      </x:c>
      <x:c r="CV118" s="171" t="str">
        <x:f>IF(CO118="","",F118*ABS(CT118))</x:f>
      </x:c>
      <x:c r="CW118" s="165"/>
      <x:c r="CX118" s="172" t="str">
        <x:f>IF(CO118="","",IF(CW118="","",IFERROR(CR118/CW118-1,0)))</x:f>
      </x:c>
      <x:c r="CY118" s="166"/>
      <x:c r="CZ118" s="172" t="str">
        <x:f>IF(CO118="","",IF(CY118="","",CY118-CX118*365/DA118))</x:f>
      </x:c>
      <x:c r="DA118" s="164"/>
      <x:c r="DB118" s="172" t="str">
        <x:f>IF(CO118="","",IFERROR(CT118*(CS118/CR118-1),0))</x:f>
      </x:c>
      <x:c r="DC118" s="147"/>
      <x:c r="DD118" s="147"/>
      <x:c r="DE118" s="147"/>
      <x:c r="DF118" s="167"/>
      <x:c r="DG118" s="167"/>
      <x:c r="DH118" s="166"/>
      <x:c r="DI118" s="171" t="str">
        <x:f>IF(DC118="","",IFERROR(F118*DH118/DF118,0))</x:f>
      </x:c>
      <x:c r="DJ118" s="171" t="str">
        <x:f>IF(DC118="","",F118*ABS(DH118))</x:f>
      </x:c>
      <x:c r="DK118" s="165"/>
      <x:c r="DL118" s="172" t="str">
        <x:f>IF(DC118="","",IF(DK118="","",IFERROR(DF118/DK118-1,0)))</x:f>
      </x:c>
      <x:c r="DM118" s="166"/>
      <x:c r="DN118" s="172" t="str">
        <x:f>IF(DC118="","",IF(DM118="","",DM118-DL118*365/DO118))</x:f>
      </x:c>
      <x:c r="DO118" s="164"/>
      <x:c r="DP118" s="172" t="str">
        <x:f>IF(DC118="","",IFERROR(DH118*(DG118/DF118-1),0))</x:f>
      </x:c>
      <x:c r="DQ118" s="147"/>
      <x:c r="DR118" s="147"/>
      <x:c r="DS118" s="147"/>
      <x:c r="DT118" s="167"/>
      <x:c r="DU118" s="167"/>
      <x:c r="DV118" s="166"/>
      <x:c r="DW118" s="171" t="str">
        <x:f>IF(DQ118="","",IFERROR(F118*DV118/DT118,0))</x:f>
      </x:c>
      <x:c r="DX118" s="171" t="str">
        <x:f>IF(DQ118="","",F118*ABS(DV118))</x:f>
      </x:c>
      <x:c r="DY118" s="165"/>
      <x:c r="DZ118" s="172" t="str">
        <x:f>IF(DQ118="","",IF(DY118="","",IFERROR(DT118/DY118-1,0)))</x:f>
      </x:c>
      <x:c r="EA118" s="166"/>
      <x:c r="EB118" s="172" t="str">
        <x:f>IF(DQ118="","",IF(EA118="","",EA118-DZ118*365/EC118))</x:f>
      </x:c>
      <x:c r="EC118" s="164"/>
      <x:c r="ED118" s="172" t="str">
        <x:f>IF(DQ118="","",IFERROR(DV118*(DU118/DT118-1),0))</x:f>
      </x:c>
      <x:c r="EE118" s="147"/>
      <x:c r="EF118" s="147"/>
      <x:c r="EG118" s="147"/>
      <x:c r="EH118" s="167"/>
      <x:c r="EI118" s="167"/>
      <x:c r="EJ118" s="166"/>
      <x:c r="EK118" s="171" t="str">
        <x:f>IF(EE118="","",IFERROR(F118*EJ118/EH118,0))</x:f>
      </x:c>
      <x:c r="EL118" s="171" t="str">
        <x:f>IF(EE118="","",F118*ABS(EJ118))</x:f>
      </x:c>
      <x:c r="EM118" s="165"/>
      <x:c r="EN118" s="172" t="str">
        <x:f>IF(EE118="","",IF(EM118="","",IFERROR(EH118/EM118-1,0)))</x:f>
      </x:c>
      <x:c r="EO118" s="166"/>
      <x:c r="EP118" s="172" t="str">
        <x:f>IF(EE118="","",IF(EO118="","",EO118-EN118*365/EQ118))</x:f>
      </x:c>
      <x:c r="EQ118" s="164"/>
      <x:c r="ER118" s="172" t="str">
        <x:f>IF(EE118="","",IFERROR(EJ118*(EI118/EH118-1),0))</x:f>
      </x:c>
      <x:c r="ES118" s="147"/>
      <x:c r="ET118" s="147"/>
      <x:c r="EU118" s="147"/>
      <x:c r="EV118" s="167"/>
      <x:c r="EW118" s="167"/>
      <x:c r="EX118" s="166"/>
      <x:c r="EY118" s="171" t="str">
        <x:f>IF(ES118="","",IFERROR(F118*EX118/EV118,0))</x:f>
      </x:c>
      <x:c r="EZ118" s="171" t="str">
        <x:f>IF(ES118="","",F118*ABS(EX118))</x:f>
      </x:c>
      <x:c r="FA118" s="165"/>
      <x:c r="FB118" s="172" t="str">
        <x:f>IF(ES118="","",IF(FA118="","",IFERROR(EV118/FA118-1,0)))</x:f>
      </x:c>
      <x:c r="FC118" s="166"/>
      <x:c r="FD118" s="172" t="str">
        <x:f>IF(ES118="","",IF(FC118="","",FC118-FB118*365/FE118))</x:f>
      </x:c>
      <x:c r="FE118" s="164"/>
      <x:c r="FF118" s="172" t="str">
        <x:f>IF(ES118="","",IFERROR(EX118*(EW118/EV118-1),0))</x:f>
      </x:c>
      <x:c r="FG118" s="147"/>
      <x:c r="FH118" s="147"/>
      <x:c r="FI118" s="147"/>
      <x:c r="FJ118" s="167"/>
      <x:c r="FK118" s="167"/>
      <x:c r="FL118" s="166"/>
      <x:c r="FM118" s="171" t="str">
        <x:f>IF(FG118="","",IFERROR(F118*FL118/FJ118,0))</x:f>
      </x:c>
      <x:c r="FN118" s="171" t="str">
        <x:f>IF(FG118="","",F118*ABS(FL118))</x:f>
      </x:c>
      <x:c r="FO118" s="165"/>
      <x:c r="FP118" s="172" t="str">
        <x:f>IF(FG118="","",IF(FO118="","",IFERROR(FJ118/FO118-1,0)))</x:f>
      </x:c>
      <x:c r="FQ118" s="166"/>
      <x:c r="FR118" s="172" t="str">
        <x:f>IF(FG118="","",IF(FQ118="","",FQ118-FP118*365/FS118))</x:f>
      </x:c>
      <x:c r="FS118" s="164"/>
      <x:c r="FT118" s="172" t="str">
        <x:f>IF(FG118="","",IFERROR(FL118*(FK118/FJ118-1),0))</x:f>
      </x:c>
    </x:row>
    <x:row r="119" ht="18" customHeight="1">
      <x:c r="A119" s="163" t="n">
        <x:v>25379</x:v>
      </x:c>
      <x:c r="B119" s="163" t="n">
        <x:v>25380</x:v>
      </x:c>
      <x:c r="C119" s="170" t="n">
        <x:f>B119-A119</x:f>
        <x:v>1</x:v>
      </x:c>
      <x:c r="D119" s="163" t="n">
        <x:v>25379</x:v>
      </x:c>
      <x:c r="E119" s="147" t="str">
        <x:v>positive</x:v>
      </x:c>
      <x:c r="F119" s="165" t="n">
        <x:v>1.2157898764353172</x:v>
      </x:c>
      <x:c r="G119" s="168" t="n">
        <x:v>-0.013260358110062575</x:v>
      </x:c>
      <x:c r="H119" s="172" t="n">
        <x:f>SUM(AX119,BL119,BZ119,CN119,DB119,DP119,ED119,ER119,FF119,FT119)</x:f>
        <x:v>-0.013260358110062652</x:v>
      </x:c>
      <x:c r="I119" s="174" t="n">
        <x:f>G119-H119</x:f>
        <x:v>7.632783294297951e-17</x:v>
      </x:c>
      <x:c r="J119" s="171" t="n">
        <x:f>F119*(1+H119)</x:f>
        <x:v>1.199668067287196</x:v>
      </x:c>
      <x:c r="K119" s="169" t="n">
        <x:v>1.1996680672871962</x:v>
      </x:c>
      <x:c r="L119" s="175" t="n">
        <x:f>K119-J119</x:f>
        <x:v>2.220446049250313e-16</x:v>
      </x:c>
      <x:c r="M119" s="167" t="n">
        <x:v>1.587</x:v>
      </x:c>
      <x:c r="N119" s="167" t="n">
        <x:v>1.579</x:v>
      </x:c>
      <x:c r="O119" s="172" t="n">
        <x:f>IFERROR(N119/M119-1,0)</x:f>
        <x:v>-0.00504095778197855</x:v>
      </x:c>
      <x:c r="P119" s="171" t="n">
        <x:f>IFERROR(AD119/AH119,0)</x:f>
        <x:v>1.5000104461627928</x:v>
      </x:c>
      <x:c r="Q119" s="171" t="n">
        <x:f>IFERROR(AE119/AI119,0)</x:f>
        <x:v>1.4876187940141425</x:v>
      </x:c>
      <x:c r="R119" s="172" t="n">
        <x:f>IFERROR((Q119-P119)/(P119+S119),0)</x:f>
        <x:v>-0.0082610439016272</x:v>
      </x:c>
      <x:c r="S119" s="172" t="n">
        <x:f>IFERROR(AF119/AH119,0)</x:f>
        <x:v>0</x:v>
      </x:c>
      <x:c r="T119" s="172" t="n">
        <x:f>IFERROR(AG119/AI119,0)</x:f>
        <x:v>0</x:v>
      </x:c>
      <x:c r="U119" s="172" t="n">
        <x:f>IFERROR((T119-S119)/(P119+S119),0)</x:f>
        <x:v>0</x:v>
      </x:c>
      <x:c r="V119" s="172" t="n">
        <x:f>R119+U119</x:f>
        <x:v>-0.0082610439016272</x:v>
      </x:c>
      <x:c r="W119" s="172" t="n">
        <x:f>(1+O119)*(1+V119)-1</x:f>
        <x:v>-0.013260358110062542</x:v>
      </x:c>
      <x:c r="X119" s="174" t="n">
        <x:f>G119-W119</x:f>
        <x:v>-3.2959746043559335e-17</x:v>
      </x:c>
      <x:c r="Y119" s="172" t="str">
        <x:f>AX119</x:f>
      </x:c>
      <x:c r="Z119" s="172" t="n">
        <x:f>BL119</x:f>
        <x:v>0.00017534246575334755</x:v>
      </x:c>
      <x:c r="AA119" s="172" t="n">
        <x:f>SUM(BZ119,CN119,DB119,DP119,ED119,ER119,FF119,FT119)</x:f>
        <x:v>-0.013435700575815999</x:v>
      </x:c>
      <x:c r="AB119" s="172" t="n">
        <x:f>SUM(Y119:AA119)</x:f>
        <x:v>-0.013260358110062652</x:v>
      </x:c>
      <x:c r="AC119" s="174" t="n">
        <x:f>G119-AB119</x:f>
        <x:v>7.632783294297951e-17</x:v>
      </x:c>
      <x:c r="AD119" s="169" t="n">
        <x:v>1.2157898764353177</x:v>
      </x:c>
      <x:c r="AE119" s="169" t="n">
        <x:v>1.1996680672871967</x:v>
      </x:c>
      <x:c r="AF119" s="169" t="n">
        <x:v>0</x:v>
      </x:c>
      <x:c r="AG119" s="169" t="n">
        <x:v>0</x:v>
      </x:c>
      <x:c r="AH119" s="171" t="n">
        <x:f>M119/$M$3</x:f>
        <x:v>0.8105209397344229</x:v>
      </x:c>
      <x:c r="AI119" s="171" t="n">
        <x:f>N119/$M$3</x:f>
        <x:v>0.806435137895812</x:v>
      </x:c>
      <x:c r="AJ119" s="170" t="n">
        <x:f>IF(AK119&lt;&gt;"",1,0)+IF(AY119&lt;&gt;"",1,0)+IF(BM119&lt;&gt;"",1,0)+IF(CA119&lt;&gt;"",1,0)+IF(CO119&lt;&gt;"",1,0)+IF(DC119&lt;&gt;"",1,0)+IF(DQ119&lt;&gt;"",1,0)+IF(EE119&lt;&gt;"",1,0)+IF(ES119&lt;&gt;"",1,0)+IF(FG119&lt;&gt;"",1,0)</x:f>
        <x:v>2</x:v>
      </x:c>
      <x:c r="AK119" s="147"/>
      <x:c r="AL119" s="147"/>
      <x:c r="AM119" s="147"/>
      <x:c r="AN119" s="167"/>
      <x:c r="AO119" s="167"/>
      <x:c r="AP119" s="166"/>
      <x:c r="AQ119" s="171" t="str">
        <x:f>IF(AK119="","",IFERROR(F119*AP119/AN119,0))</x:f>
      </x:c>
      <x:c r="AR119" s="171" t="str">
        <x:f>IF(AK119="","",F119*ABS(AP119))</x:f>
      </x:c>
      <x:c r="AS119" s="165"/>
      <x:c r="AT119" s="172" t="str">
        <x:f>IF(AK119="","",IF(AS119="","",IFERROR(AN119/AS119-1,0)))</x:f>
      </x:c>
      <x:c r="AU119" s="166"/>
      <x:c r="AV119" s="172" t="str">
        <x:f>IF(AK119="","",IF(AU119="","",AU119-AT119*365/AW119))</x:f>
      </x:c>
      <x:c r="AW119" s="164"/>
      <x:c r="AX119" s="173" t="str">
        <x:f>IF(AK119="","",IFERROR(AP119*(AO119/AN119-1),0))</x:f>
      </x:c>
      <x:c r="AY119" s="147" t="str">
        <x:v>Matched-maturity Treasury collateral</x:v>
      </x:c>
      <x:c r="AZ119" s="147" t="str">
        <x:v>Treasury</x:v>
      </x:c>
      <x:c r="BA119" s="147" t="str">
        <x:v>Long</x:v>
      </x:c>
      <x:c r="BB119" s="167" t="n">
        <x:v>102.96962142266639</x:v>
      </x:c>
      <x:c r="BC119" s="167" t="n">
        <x:v>102.98767636998434</x:v>
      </x:c>
      <x:c r="BD119" s="166" t="n">
        <x:v>1</x:v>
      </x:c>
      <x:c r="BE119" s="171" t="n">
        <x:f>IF(AY119="","",IFERROR(F119*BD119/BB119,0))</x:f>
        <x:v>0.011807267615802742</x:v>
      </x:c>
      <x:c r="BF119" s="171" t="n">
        <x:f>IF(AY119="","",F119*ABS(BD119))</x:f>
        <x:v>1.2157898764353172</x:v>
      </x:c>
      <x:c r="BG119" s="165"/>
      <x:c r="BH119" s="172" t="str">
        <x:f>IF(AY119="","",IF(BG119="","",IFERROR(BB119/BG119-1,0)))</x:f>
      </x:c>
      <x:c r="BI119" s="166"/>
      <x:c r="BJ119" s="172" t="str">
        <x:f>IF(AY119="","",IF(BI119="","",BI119-BH119*365/BK119))</x:f>
      </x:c>
      <x:c r="BK119" s="164" t="n">
        <x:v>34</x:v>
      </x:c>
      <x:c r="BL119" s="172" t="n">
        <x:f>IF(AY119="","",IFERROR(BD119*(BC119/BB119-1),0))</x:f>
        <x:v>0.00017534246575334755</x:v>
      </x:c>
      <x:c r="BM119" s="147" t="str">
        <x:v>SI69N</x:v>
      </x:c>
      <x:c r="BN119" s="147" t="str">
        <x:v>Silver future (regular)</x:v>
      </x:c>
      <x:c r="BO119" s="147" t="str">
        <x:v>Long</x:v>
      </x:c>
      <x:c r="BP119" s="167" t="n">
        <x:v>1.5630000000000002</x:v>
      </x:c>
      <x:c r="BQ119" s="167" t="n">
        <x:v>1.5419999999999998</x:v>
      </x:c>
      <x:c r="BR119" s="166" t="n">
        <x:v>0.9999999999999999</x:v>
      </x:c>
      <x:c r="BS119" s="171" t="n">
        <x:f>IF(BM119="","",IFERROR(F119*BR119/BP119,0))</x:f>
        <x:v>0.7778566068044254</x:v>
      </x:c>
      <x:c r="BT119" s="171" t="n">
        <x:f>IF(BM119="","",F119*ABS(BR119))</x:f>
        <x:v>1.215789876435317</x:v>
      </x:c>
      <x:c r="BU119" s="165" t="n">
        <x:v>1.587</x:v>
      </x:c>
      <x:c r="BV119" s="172" t="n">
        <x:f>IF(BM119="","",IF(BU119="","",IFERROR(BP119/BU119-1,0)))</x:f>
        <x:v>-0.01512287334593565</x:v>
      </x:c>
      <x:c r="BW119" s="166" t="n">
        <x:v>0.064</x:v>
      </x:c>
      <x:c r="BX119" s="172" t="n">
        <x:f>IF(BM119="","",IF(BW119="","",BW119-BV119*365/BY119))</x:f>
        <x:v>0.2263484932725445</x:v>
      </x:c>
      <x:c r="BY119" s="164" t="n">
        <x:v>34</x:v>
      </x:c>
      <x:c r="BZ119" s="172" t="n">
        <x:f>IF(BM119="","",IFERROR(BR119*(BQ119/BP119-1),0))</x:f>
        <x:v>-0.013435700575815999</x:v>
      </x:c>
      <x:c r="CA119" s="147"/>
      <x:c r="CB119" s="147"/>
      <x:c r="CC119" s="147"/>
      <x:c r="CD119" s="167"/>
      <x:c r="CE119" s="167"/>
      <x:c r="CF119" s="166"/>
      <x:c r="CG119" s="171" t="str">
        <x:f>IF(CA119="","",IFERROR(F119*CF119/CD119,0))</x:f>
      </x:c>
      <x:c r="CH119" s="171" t="str">
        <x:f>IF(CA119="","",F119*ABS(CF119))</x:f>
      </x:c>
      <x:c r="CI119" s="165"/>
      <x:c r="CJ119" s="172" t="str">
        <x:f>IF(CA119="","",IF(CI119="","",IFERROR(CD119/CI119-1,0)))</x:f>
      </x:c>
      <x:c r="CK119" s="166"/>
      <x:c r="CL119" s="172" t="str">
        <x:f>IF(CA119="","",IF(CK119="","",CK119-CJ119*365/CM119))</x:f>
      </x:c>
      <x:c r="CM119" s="164"/>
      <x:c r="CN119" s="172" t="str">
        <x:f>IF(CA119="","",IFERROR(CF119*(CE119/CD119-1),0))</x:f>
      </x:c>
      <x:c r="CO119" s="147"/>
      <x:c r="CP119" s="147"/>
      <x:c r="CQ119" s="147"/>
      <x:c r="CR119" s="167"/>
      <x:c r="CS119" s="167"/>
      <x:c r="CT119" s="166"/>
      <x:c r="CU119" s="171" t="str">
        <x:f>IF(CO119="","",IFERROR(F119*CT119/CR119,0))</x:f>
      </x:c>
      <x:c r="CV119" s="171" t="str">
        <x:f>IF(CO119="","",F119*ABS(CT119))</x:f>
      </x:c>
      <x:c r="CW119" s="165"/>
      <x:c r="CX119" s="172" t="str">
        <x:f>IF(CO119="","",IF(CW119="","",IFERROR(CR119/CW119-1,0)))</x:f>
      </x:c>
      <x:c r="CY119" s="166"/>
      <x:c r="CZ119" s="172" t="str">
        <x:f>IF(CO119="","",IF(CY119="","",CY119-CX119*365/DA119))</x:f>
      </x:c>
      <x:c r="DA119" s="164"/>
      <x:c r="DB119" s="172" t="str">
        <x:f>IF(CO119="","",IFERROR(CT119*(CS119/CR119-1),0))</x:f>
      </x:c>
      <x:c r="DC119" s="147"/>
      <x:c r="DD119" s="147"/>
      <x:c r="DE119" s="147"/>
      <x:c r="DF119" s="167"/>
      <x:c r="DG119" s="167"/>
      <x:c r="DH119" s="166"/>
      <x:c r="DI119" s="171" t="str">
        <x:f>IF(DC119="","",IFERROR(F119*DH119/DF119,0))</x:f>
      </x:c>
      <x:c r="DJ119" s="171" t="str">
        <x:f>IF(DC119="","",F119*ABS(DH119))</x:f>
      </x:c>
      <x:c r="DK119" s="165"/>
      <x:c r="DL119" s="172" t="str">
        <x:f>IF(DC119="","",IF(DK119="","",IFERROR(DF119/DK119-1,0)))</x:f>
      </x:c>
      <x:c r="DM119" s="166"/>
      <x:c r="DN119" s="172" t="str">
        <x:f>IF(DC119="","",IF(DM119="","",DM119-DL119*365/DO119))</x:f>
      </x:c>
      <x:c r="DO119" s="164"/>
      <x:c r="DP119" s="172" t="str">
        <x:f>IF(DC119="","",IFERROR(DH119*(DG119/DF119-1),0))</x:f>
      </x:c>
      <x:c r="DQ119" s="147"/>
      <x:c r="DR119" s="147"/>
      <x:c r="DS119" s="147"/>
      <x:c r="DT119" s="167"/>
      <x:c r="DU119" s="167"/>
      <x:c r="DV119" s="166"/>
      <x:c r="DW119" s="171" t="str">
        <x:f>IF(DQ119="","",IFERROR(F119*DV119/DT119,0))</x:f>
      </x:c>
      <x:c r="DX119" s="171" t="str">
        <x:f>IF(DQ119="","",F119*ABS(DV119))</x:f>
      </x:c>
      <x:c r="DY119" s="165"/>
      <x:c r="DZ119" s="172" t="str">
        <x:f>IF(DQ119="","",IF(DY119="","",IFERROR(DT119/DY119-1,0)))</x:f>
      </x:c>
      <x:c r="EA119" s="166"/>
      <x:c r="EB119" s="172" t="str">
        <x:f>IF(DQ119="","",IF(EA119="","",EA119-DZ119*365/EC119))</x:f>
      </x:c>
      <x:c r="EC119" s="164"/>
      <x:c r="ED119" s="172" t="str">
        <x:f>IF(DQ119="","",IFERROR(DV119*(DU119/DT119-1),0))</x:f>
      </x:c>
      <x:c r="EE119" s="147"/>
      <x:c r="EF119" s="147"/>
      <x:c r="EG119" s="147"/>
      <x:c r="EH119" s="167"/>
      <x:c r="EI119" s="167"/>
      <x:c r="EJ119" s="166"/>
      <x:c r="EK119" s="171" t="str">
        <x:f>IF(EE119="","",IFERROR(F119*EJ119/EH119,0))</x:f>
      </x:c>
      <x:c r="EL119" s="171" t="str">
        <x:f>IF(EE119="","",F119*ABS(EJ119))</x:f>
      </x:c>
      <x:c r="EM119" s="165"/>
      <x:c r="EN119" s="172" t="str">
        <x:f>IF(EE119="","",IF(EM119="","",IFERROR(EH119/EM119-1,0)))</x:f>
      </x:c>
      <x:c r="EO119" s="166"/>
      <x:c r="EP119" s="172" t="str">
        <x:f>IF(EE119="","",IF(EO119="","",EO119-EN119*365/EQ119))</x:f>
      </x:c>
      <x:c r="EQ119" s="164"/>
      <x:c r="ER119" s="172" t="str">
        <x:f>IF(EE119="","",IFERROR(EJ119*(EI119/EH119-1),0))</x:f>
      </x:c>
      <x:c r="ES119" s="147"/>
      <x:c r="ET119" s="147"/>
      <x:c r="EU119" s="147"/>
      <x:c r="EV119" s="167"/>
      <x:c r="EW119" s="167"/>
      <x:c r="EX119" s="166"/>
      <x:c r="EY119" s="171" t="str">
        <x:f>IF(ES119="","",IFERROR(F119*EX119/EV119,0))</x:f>
      </x:c>
      <x:c r="EZ119" s="171" t="str">
        <x:f>IF(ES119="","",F119*ABS(EX119))</x:f>
      </x:c>
      <x:c r="FA119" s="165"/>
      <x:c r="FB119" s="172" t="str">
        <x:f>IF(ES119="","",IF(FA119="","",IFERROR(EV119/FA119-1,0)))</x:f>
      </x:c>
      <x:c r="FC119" s="166"/>
      <x:c r="FD119" s="172" t="str">
        <x:f>IF(ES119="","",IF(FC119="","",FC119-FB119*365/FE119))</x:f>
      </x:c>
      <x:c r="FE119" s="164"/>
      <x:c r="FF119" s="172" t="str">
        <x:f>IF(ES119="","",IFERROR(EX119*(EW119/EV119-1),0))</x:f>
      </x:c>
      <x:c r="FG119" s="147"/>
      <x:c r="FH119" s="147"/>
      <x:c r="FI119" s="147"/>
      <x:c r="FJ119" s="167"/>
      <x:c r="FK119" s="167"/>
      <x:c r="FL119" s="166"/>
      <x:c r="FM119" s="171" t="str">
        <x:f>IF(FG119="","",IFERROR(F119*FL119/FJ119,0))</x:f>
      </x:c>
      <x:c r="FN119" s="171" t="str">
        <x:f>IF(FG119="","",F119*ABS(FL119))</x:f>
      </x:c>
      <x:c r="FO119" s="165"/>
      <x:c r="FP119" s="172" t="str">
        <x:f>IF(FG119="","",IF(FO119="","",IFERROR(FJ119/FO119-1,0)))</x:f>
      </x:c>
      <x:c r="FQ119" s="166"/>
      <x:c r="FR119" s="172" t="str">
        <x:f>IF(FG119="","",IF(FQ119="","",FQ119-FP119*365/FS119))</x:f>
      </x:c>
      <x:c r="FS119" s="164"/>
      <x:c r="FT119" s="172" t="str">
        <x:f>IF(FG119="","",IFERROR(FL119*(FK119/FJ119-1),0))</x:f>
      </x:c>
    </x:row>
    <x:row r="120" ht="18" customHeight="1">
      <x:c r="A120" s="163" t="n">
        <x:v>25380</x:v>
      </x:c>
      <x:c r="B120" s="163" t="n">
        <x:v>25381</x:v>
      </x:c>
      <x:c r="C120" s="170" t="n">
        <x:f>B120-A120</x:f>
        <x:v>1</x:v>
      </x:c>
      <x:c r="D120" s="163" t="n">
        <x:v>25380</x:v>
      </x:c>
      <x:c r="E120" s="147" t="str">
        <x:v>positive</x:v>
      </x:c>
      <x:c r="F120" s="165" t="n">
        <x:v>1.1996680672871962</x:v>
      </x:c>
      <x:c r="G120" s="168" t="n">
        <x:v>-0.004373257644404155</x:v>
      </x:c>
      <x:c r="H120" s="172" t="n">
        <x:f>SUM(AX120,BL120,BZ120,CN120,DB120,DP120,ED120,ER120,FF120,FT120)</x:f>
        <x:v>-0.004373257644404216</x:v>
      </x:c>
      <x:c r="I120" s="174" t="n">
        <x:f>G120-H120</x:f>
        <x:v>6.071532165918825e-17</x:v>
      </x:c>
      <x:c r="J120" s="171" t="n">
        <x:f>F120*(1+H120)</x:f>
        <x:v>1.1944216097411848</x:v>
      </x:c>
      <x:c r="K120" s="169" t="n">
        <x:v>1.194421609741185</x:v>
      </x:c>
      <x:c r="L120" s="175" t="n">
        <x:f>K120-J120</x:f>
        <x:v>2.220446049250313e-16</x:v>
      </x:c>
      <x:c r="M120" s="167" t="n">
        <x:v>1.579</x:v>
      </x:c>
      <x:c r="N120" s="167" t="n">
        <x:v>1.559</x:v>
      </x:c>
      <x:c r="O120" s="172" t="n">
        <x:f>IFERROR(N120/M120-1,0)</x:f>
        <x:v>-0.01266624445851805</x:v>
      </x:c>
      <x:c r="P120" s="171" t="n">
        <x:f>IFERROR(AD120/AH120,0)</x:f>
        <x:v>1.4876187940141425</x:v>
      </x:c>
      <x:c r="Q120" s="171" t="n">
        <x:f>IFERROR(AE120/AI120,0)</x:f>
        <x:v>1.500113862651213</x:v>
      </x:c>
      <x:c r="R120" s="172" t="n">
        <x:f>IFERROR((Q120-P120)/(P120+S120),0)</x:f>
        <x:v>0.008399375355667633</x:v>
      </x:c>
      <x:c r="S120" s="172" t="n">
        <x:f>IFERROR(AF120/AH120,0)</x:f>
        <x:v>0</x:v>
      </x:c>
      <x:c r="T120" s="172" t="n">
        <x:f>IFERROR(AG120/AI120,0)</x:f>
        <x:v>0</x:v>
      </x:c>
      <x:c r="U120" s="172" t="n">
        <x:f>IFERROR((T120-S120)/(P120+S120),0)</x:f>
        <x:v>0</x:v>
      </x:c>
      <x:c r="V120" s="172" t="n">
        <x:f>R120+U120</x:f>
        <x:v>0.008399375355667633</x:v>
      </x:c>
      <x:c r="W120" s="172" t="n">
        <x:f>(1+O120)*(1+V120)-1</x:f>
        <x:v>-0.004373257644404105</x:v>
      </x:c>
      <x:c r="X120" s="174" t="n">
        <x:f>G120-W120</x:f>
        <x:v>-5.0306980803327406e-17</x:v>
      </x:c>
      <x:c r="Y120" s="172" t="str">
        <x:f>AX120</x:f>
      </x:c>
      <x:c r="Z120" s="172" t="n">
        <x:f>BL120</x:f>
        <x:v>0.0001663013698629534</x:v>
      </x:c>
      <x:c r="AA120" s="172" t="n">
        <x:f>SUM(BZ120,CN120,DB120,DP120,ED120,ER120,FF120,FT120)</x:f>
        <x:v>-0.004539559014267169</x:v>
      </x:c>
      <x:c r="AB120" s="172" t="n">
        <x:f>SUM(Y120:AA120)</x:f>
        <x:v>-0.004373257644404216</x:v>
      </x:c>
      <x:c r="AC120" s="174" t="n">
        <x:f>G120-AB120</x:f>
        <x:v>6.071532165918825e-17</x:v>
      </x:c>
      <x:c r="AD120" s="169" t="n">
        <x:v>1.1996680672871967</x:v>
      </x:c>
      <x:c r="AE120" s="169" t="n">
        <x:v>1.1944216097411853</x:v>
      </x:c>
      <x:c r="AF120" s="169" t="n">
        <x:v>0</x:v>
      </x:c>
      <x:c r="AG120" s="169" t="n">
        <x:v>0</x:v>
      </x:c>
      <x:c r="AH120" s="171" t="n">
        <x:f>M120/$M$3</x:f>
        <x:v>0.806435137895812</x:v>
      </x:c>
      <x:c r="AI120" s="171" t="n">
        <x:f>N120/$M$3</x:f>
        <x:v>0.7962206332992849</x:v>
      </x:c>
      <x:c r="AJ120" s="170" t="n">
        <x:f>IF(AK120&lt;&gt;"",1,0)+IF(AY120&lt;&gt;"",1,0)+IF(BM120&lt;&gt;"",1,0)+IF(CA120&lt;&gt;"",1,0)+IF(CO120&lt;&gt;"",1,0)+IF(DC120&lt;&gt;"",1,0)+IF(DQ120&lt;&gt;"",1,0)+IF(EE120&lt;&gt;"",1,0)+IF(ES120&lt;&gt;"",1,0)+IF(FG120&lt;&gt;"",1,0)</x:f>
        <x:v>2</x:v>
      </x:c>
      <x:c r="AK120" s="147"/>
      <x:c r="AL120" s="147"/>
      <x:c r="AM120" s="147"/>
      <x:c r="AN120" s="167"/>
      <x:c r="AO120" s="167"/>
      <x:c r="AP120" s="166"/>
      <x:c r="AQ120" s="171" t="str">
        <x:f>IF(AK120="","",IFERROR(F120*AP120/AN120,0))</x:f>
      </x:c>
      <x:c r="AR120" s="171" t="str">
        <x:f>IF(AK120="","",F120*ABS(AP120))</x:f>
      </x:c>
      <x:c r="AS120" s="165"/>
      <x:c r="AT120" s="172" t="str">
        <x:f>IF(AK120="","",IF(AS120="","",IFERROR(AN120/AS120-1,0)))</x:f>
      </x:c>
      <x:c r="AU120" s="166"/>
      <x:c r="AV120" s="172" t="str">
        <x:f>IF(AK120="","",IF(AU120="","",AU120-AT120*365/AW120))</x:f>
      </x:c>
      <x:c r="AW120" s="164"/>
      <x:c r="AX120" s="173" t="str">
        <x:f>IF(AK120="","",IFERROR(AP120*(AO120/AN120-1),0))</x:f>
      </x:c>
      <x:c r="AY120" s="147" t="str">
        <x:v>Matched-maturity Treasury collateral</x:v>
      </x:c>
      <x:c r="AZ120" s="147" t="str">
        <x:v>Treasury</x:v>
      </x:c>
      <x:c r="BA120" s="147" t="str">
        <x:v>Long</x:v>
      </x:c>
      <x:c r="BB120" s="167" t="n">
        <x:v>102.98767636998434</x:v>
      </x:c>
      <x:c r="BC120" s="167" t="n">
        <x:v>103.00480336164367</x:v>
      </x:c>
      <x:c r="BD120" s="166" t="n">
        <x:v>1</x:v>
      </x:c>
      <x:c r="BE120" s="171" t="n">
        <x:f>IF(AY120="","",IFERROR(F120*BD120/BB120,0))</x:f>
        <x:v>0.011648656514759841</x:v>
      </x:c>
      <x:c r="BF120" s="171" t="n">
        <x:f>IF(AY120="","",F120*ABS(BD120))</x:f>
        <x:v>1.1996680672871962</x:v>
      </x:c>
      <x:c r="BG120" s="165"/>
      <x:c r="BH120" s="172" t="str">
        <x:f>IF(AY120="","",IF(BG120="","",IFERROR(BB120/BG120-1,0)))</x:f>
      </x:c>
      <x:c r="BI120" s="166"/>
      <x:c r="BJ120" s="172" t="str">
        <x:f>IF(AY120="","",IF(BI120="","",BI120-BH120*365/BK120))</x:f>
      </x:c>
      <x:c r="BK120" s="164" t="n">
        <x:v>33</x:v>
      </x:c>
      <x:c r="BL120" s="172" t="n">
        <x:f>IF(AY120="","",IFERROR(BD120*(BC120/BB120-1),0))</x:f>
        <x:v>0.0001663013698629534</x:v>
      </x:c>
      <x:c r="BM120" s="147" t="str">
        <x:v>SI69N</x:v>
      </x:c>
      <x:c r="BN120" s="147" t="str">
        <x:v>Silver future (regular)</x:v>
      </x:c>
      <x:c r="BO120" s="147" t="str">
        <x:v>Long</x:v>
      </x:c>
      <x:c r="BP120" s="167" t="n">
        <x:v>1.5419999999999998</x:v>
      </x:c>
      <x:c r="BQ120" s="167" t="n">
        <x:v>1.535</x:v>
      </x:c>
      <x:c r="BR120" s="166" t="n">
        <x:v>1</x:v>
      </x:c>
      <x:c r="BS120" s="171" t="n">
        <x:f>IF(BM120="","",IFERROR(F120*BR120/BP120,0))</x:f>
        <x:v>0.7779948555688693</x:v>
      </x:c>
      <x:c r="BT120" s="171" t="n">
        <x:f>IF(BM120="","",F120*ABS(BR120))</x:f>
        <x:v>1.1996680672871962</x:v>
      </x:c>
      <x:c r="BU120" s="165" t="n">
        <x:v>1.579</x:v>
      </x:c>
      <x:c r="BV120" s="172" t="n">
        <x:f>IF(BM120="","",IF(BU120="","",IFERROR(BP120/BU120-1,0)))</x:f>
        <x:v>-0.023432552248258465</x:v>
      </x:c>
      <x:c r="BW120" s="166" t="n">
        <x:v>0.0607</x:v>
      </x:c>
      <x:c r="BX120" s="172" t="n">
        <x:f>IF(BM120="","",IF(BW120="","",BW120-BV120*365/BY120))</x:f>
        <x:v>0.3198782294125557</x:v>
      </x:c>
      <x:c r="BY120" s="164" t="n">
        <x:v>33</x:v>
      </x:c>
      <x:c r="BZ120" s="172" t="n">
        <x:f>IF(BM120="","",IFERROR(BR120*(BQ120/BP120-1),0))</x:f>
        <x:v>-0.004539559014267169</x:v>
      </x:c>
      <x:c r="CA120" s="147"/>
      <x:c r="CB120" s="147"/>
      <x:c r="CC120" s="147"/>
      <x:c r="CD120" s="167"/>
      <x:c r="CE120" s="167"/>
      <x:c r="CF120" s="166"/>
      <x:c r="CG120" s="171" t="str">
        <x:f>IF(CA120="","",IFERROR(F120*CF120/CD120,0))</x:f>
      </x:c>
      <x:c r="CH120" s="171" t="str">
        <x:f>IF(CA120="","",F120*ABS(CF120))</x:f>
      </x:c>
      <x:c r="CI120" s="165"/>
      <x:c r="CJ120" s="172" t="str">
        <x:f>IF(CA120="","",IF(CI120="","",IFERROR(CD120/CI120-1,0)))</x:f>
      </x:c>
      <x:c r="CK120" s="166"/>
      <x:c r="CL120" s="172" t="str">
        <x:f>IF(CA120="","",IF(CK120="","",CK120-CJ120*365/CM120))</x:f>
      </x:c>
      <x:c r="CM120" s="164"/>
      <x:c r="CN120" s="172" t="str">
        <x:f>IF(CA120="","",IFERROR(CF120*(CE120/CD120-1),0))</x:f>
      </x:c>
      <x:c r="CO120" s="147"/>
      <x:c r="CP120" s="147"/>
      <x:c r="CQ120" s="147"/>
      <x:c r="CR120" s="167"/>
      <x:c r="CS120" s="167"/>
      <x:c r="CT120" s="166"/>
      <x:c r="CU120" s="171" t="str">
        <x:f>IF(CO120="","",IFERROR(F120*CT120/CR120,0))</x:f>
      </x:c>
      <x:c r="CV120" s="171" t="str">
        <x:f>IF(CO120="","",F120*ABS(CT120))</x:f>
      </x:c>
      <x:c r="CW120" s="165"/>
      <x:c r="CX120" s="172" t="str">
        <x:f>IF(CO120="","",IF(CW120="","",IFERROR(CR120/CW120-1,0)))</x:f>
      </x:c>
      <x:c r="CY120" s="166"/>
      <x:c r="CZ120" s="172" t="str">
        <x:f>IF(CO120="","",IF(CY120="","",CY120-CX120*365/DA120))</x:f>
      </x:c>
      <x:c r="DA120" s="164"/>
      <x:c r="DB120" s="172" t="str">
        <x:f>IF(CO120="","",IFERROR(CT120*(CS120/CR120-1),0))</x:f>
      </x:c>
      <x:c r="DC120" s="147"/>
      <x:c r="DD120" s="147"/>
      <x:c r="DE120" s="147"/>
      <x:c r="DF120" s="167"/>
      <x:c r="DG120" s="167"/>
      <x:c r="DH120" s="166"/>
      <x:c r="DI120" s="171" t="str">
        <x:f>IF(DC120="","",IFERROR(F120*DH120/DF120,0))</x:f>
      </x:c>
      <x:c r="DJ120" s="171" t="str">
        <x:f>IF(DC120="","",F120*ABS(DH120))</x:f>
      </x:c>
      <x:c r="DK120" s="165"/>
      <x:c r="DL120" s="172" t="str">
        <x:f>IF(DC120="","",IF(DK120="","",IFERROR(DF120/DK120-1,0)))</x:f>
      </x:c>
      <x:c r="DM120" s="166"/>
      <x:c r="DN120" s="172" t="str">
        <x:f>IF(DC120="","",IF(DM120="","",DM120-DL120*365/DO120))</x:f>
      </x:c>
      <x:c r="DO120" s="164"/>
      <x:c r="DP120" s="172" t="str">
        <x:f>IF(DC120="","",IFERROR(DH120*(DG120/DF120-1),0))</x:f>
      </x:c>
      <x:c r="DQ120" s="147"/>
      <x:c r="DR120" s="147"/>
      <x:c r="DS120" s="147"/>
      <x:c r="DT120" s="167"/>
      <x:c r="DU120" s="167"/>
      <x:c r="DV120" s="166"/>
      <x:c r="DW120" s="171" t="str">
        <x:f>IF(DQ120="","",IFERROR(F120*DV120/DT120,0))</x:f>
      </x:c>
      <x:c r="DX120" s="171" t="str">
        <x:f>IF(DQ120="","",F120*ABS(DV120))</x:f>
      </x:c>
      <x:c r="DY120" s="165"/>
      <x:c r="DZ120" s="172" t="str">
        <x:f>IF(DQ120="","",IF(DY120="","",IFERROR(DT120/DY120-1,0)))</x:f>
      </x:c>
      <x:c r="EA120" s="166"/>
      <x:c r="EB120" s="172" t="str">
        <x:f>IF(DQ120="","",IF(EA120="","",EA120-DZ120*365/EC120))</x:f>
      </x:c>
      <x:c r="EC120" s="164"/>
      <x:c r="ED120" s="172" t="str">
        <x:f>IF(DQ120="","",IFERROR(DV120*(DU120/DT120-1),0))</x:f>
      </x:c>
      <x:c r="EE120" s="147"/>
      <x:c r="EF120" s="147"/>
      <x:c r="EG120" s="147"/>
      <x:c r="EH120" s="167"/>
      <x:c r="EI120" s="167"/>
      <x:c r="EJ120" s="166"/>
      <x:c r="EK120" s="171" t="str">
        <x:f>IF(EE120="","",IFERROR(F120*EJ120/EH120,0))</x:f>
      </x:c>
      <x:c r="EL120" s="171" t="str">
        <x:f>IF(EE120="","",F120*ABS(EJ120))</x:f>
      </x:c>
      <x:c r="EM120" s="165"/>
      <x:c r="EN120" s="172" t="str">
        <x:f>IF(EE120="","",IF(EM120="","",IFERROR(EH120/EM120-1,0)))</x:f>
      </x:c>
      <x:c r="EO120" s="166"/>
      <x:c r="EP120" s="172" t="str">
        <x:f>IF(EE120="","",IF(EO120="","",EO120-EN120*365/EQ120))</x:f>
      </x:c>
      <x:c r="EQ120" s="164"/>
      <x:c r="ER120" s="172" t="str">
        <x:f>IF(EE120="","",IFERROR(EJ120*(EI120/EH120-1),0))</x:f>
      </x:c>
      <x:c r="ES120" s="147"/>
      <x:c r="ET120" s="147"/>
      <x:c r="EU120" s="147"/>
      <x:c r="EV120" s="167"/>
      <x:c r="EW120" s="167"/>
      <x:c r="EX120" s="166"/>
      <x:c r="EY120" s="171" t="str">
        <x:f>IF(ES120="","",IFERROR(F120*EX120/EV120,0))</x:f>
      </x:c>
      <x:c r="EZ120" s="171" t="str">
        <x:f>IF(ES120="","",F120*ABS(EX120))</x:f>
      </x:c>
      <x:c r="FA120" s="165"/>
      <x:c r="FB120" s="172" t="str">
        <x:f>IF(ES120="","",IF(FA120="","",IFERROR(EV120/FA120-1,0)))</x:f>
      </x:c>
      <x:c r="FC120" s="166"/>
      <x:c r="FD120" s="172" t="str">
        <x:f>IF(ES120="","",IF(FC120="","",FC120-FB120*365/FE120))</x:f>
      </x:c>
      <x:c r="FE120" s="164"/>
      <x:c r="FF120" s="172" t="str">
        <x:f>IF(ES120="","",IFERROR(EX120*(EW120/EV120-1),0))</x:f>
      </x:c>
      <x:c r="FG120" s="147"/>
      <x:c r="FH120" s="147"/>
      <x:c r="FI120" s="147"/>
      <x:c r="FJ120" s="167"/>
      <x:c r="FK120" s="167"/>
      <x:c r="FL120" s="166"/>
      <x:c r="FM120" s="171" t="str">
        <x:f>IF(FG120="","",IFERROR(F120*FL120/FJ120,0))</x:f>
      </x:c>
      <x:c r="FN120" s="171" t="str">
        <x:f>IF(FG120="","",F120*ABS(FL120))</x:f>
      </x:c>
      <x:c r="FO120" s="165"/>
      <x:c r="FP120" s="172" t="str">
        <x:f>IF(FG120="","",IF(FO120="","",IFERROR(FJ120/FO120-1,0)))</x:f>
      </x:c>
      <x:c r="FQ120" s="166"/>
      <x:c r="FR120" s="172" t="str">
        <x:f>IF(FG120="","",IF(FQ120="","",FQ120-FP120*365/FS120))</x:f>
      </x:c>
      <x:c r="FS120" s="164"/>
      <x:c r="FT120" s="172" t="str">
        <x:f>IF(FG120="","",IFERROR(FL120*(FK120/FJ120-1),0))</x:f>
      </x:c>
    </x:row>
    <x:row r="121" ht="18" customHeight="1">
      <x:c r="A121" s="163" t="n">
        <x:v>25381</x:v>
      </x:c>
      <x:c r="B121" s="163" t="n">
        <x:v>25384</x:v>
      </x:c>
      <x:c r="C121" s="170" t="n">
        <x:f>B121-A121</x:f>
        <x:v>3</x:v>
      </x:c>
      <x:c r="D121" s="163" t="n">
        <x:v>25381</x:v>
      </x:c>
      <x:c r="E121" s="147" t="str">
        <x:v>positive</x:v>
      </x:c>
      <x:c r="F121" s="165" t="n">
        <x:v>1.194421609741185</x:v>
      </x:c>
      <x:c r="G121" s="168" t="n">
        <x:v>0.023306782383650897</x:v>
      </x:c>
      <x:c r="H121" s="172" t="n">
        <x:f>SUM(AX121,BL121,BZ121,CN121,DB121,DP121,ED121,ER121,FF121,FT121)</x:f>
        <x:v>0.023306782383650804</x:v>
      </x:c>
      <x:c r="I121" s="174" t="n">
        <x:f>G121-H121</x:f>
        <x:v>9.367506770274758e-17</x:v>
      </x:c>
      <x:c r="J121" s="171" t="n">
        <x:f>F121*(1+H121)</x:f>
        <x:v>1.2222597342737527</x:v>
      </x:c>
      <x:c r="K121" s="169" t="n">
        <x:v>1.2222597342737527</x:v>
      </x:c>
      <x:c r="L121" s="175" t="n">
        <x:f>K121-J121</x:f>
        <x:v>0</x:v>
      </x:c>
      <x:c r="M121" s="167" t="n">
        <x:v>1.559</x:v>
      </x:c>
      <x:c r="N121" s="167" t="n">
        <x:v>1.564</x:v>
      </x:c>
      <x:c r="O121" s="172" t="n">
        <x:f>IFERROR(N121/M121-1,0)</x:f>
        <x:v>0.003207184092366866</x:v>
      </x:c>
      <x:c r="P121" s="171" t="n">
        <x:f>IFERROR(AD121/AH121,0)</x:f>
        <x:v>1.500113862651213</x:v>
      </x:c>
      <x:c r="Q121" s="171" t="n">
        <x:f>IFERROR(AE121/AI121,0)</x:f>
        <x:v>1.5301691558235346</x:v>
      </x:c>
      <x:c r="R121" s="172" t="n">
        <x:f>IFERROR((Q121-P121)/(P121+S121),0)</x:f>
        <x:v>0.02003534126349832</x:v>
      </x:c>
      <x:c r="S121" s="172" t="n">
        <x:f>IFERROR(AF121/AH121,0)</x:f>
        <x:v>0</x:v>
      </x:c>
      <x:c r="T121" s="172" t="n">
        <x:f>IFERROR(AG121/AI121,0)</x:f>
        <x:v>0</x:v>
      </x:c>
      <x:c r="U121" s="172" t="n">
        <x:f>IFERROR((T121-S121)/(P121+S121),0)</x:f>
        <x:v>0</x:v>
      </x:c>
      <x:c r="V121" s="172" t="n">
        <x:f>R121+U121</x:f>
        <x:v>0.02003534126349832</x:v>
      </x:c>
      <x:c r="W121" s="172" t="n">
        <x:f>(1+O121)*(1+V121)-1</x:f>
        <x:v>0.02330678238365058</x:v>
      </x:c>
      <x:c r="X121" s="174" t="n">
        <x:f>G121-W121</x:f>
        <x:v>3.157196726277789e-16</x:v>
      </x:c>
      <x:c r="Y121" s="172" t="str">
        <x:f>AX121</x:f>
      </x:c>
      <x:c r="Z121" s="172" t="n">
        <x:f>BL121</x:f>
        <x:v>0.0005054794520547023</x:v>
      </x:c>
      <x:c r="AA121" s="172" t="n">
        <x:f>SUM(BZ121,CN121,DB121,DP121,ED121,ER121,FF121,FT121)</x:f>
        <x:v>0.0228013029315961</x:v>
      </x:c>
      <x:c r="AB121" s="172" t="n">
        <x:f>SUM(Y121:AA121)</x:f>
        <x:v>0.023306782383650804</x:v>
      </x:c>
      <x:c r="AC121" s="174" t="n">
        <x:f>G121-AB121</x:f>
        <x:v>9.367506770274758e-17</x:v>
      </x:c>
      <x:c r="AD121" s="169" t="n">
        <x:v>1.1944216097411853</x:v>
      </x:c>
      <x:c r="AE121" s="169" t="n">
        <x:v>1.2222597342737531</x:v>
      </x:c>
      <x:c r="AF121" s="169" t="n">
        <x:v>0</x:v>
      </x:c>
      <x:c r="AG121" s="169" t="n">
        <x:v>0</x:v>
      </x:c>
      <x:c r="AH121" s="171" t="n">
        <x:f>M121/$M$3</x:f>
        <x:v>0.7962206332992849</x:v>
      </x:c>
      <x:c r="AI121" s="171" t="n">
        <x:f>N121/$M$3</x:f>
        <x:v>0.7987742594484168</x:v>
      </x:c>
      <x:c r="AJ121" s="170" t="n">
        <x:f>IF(AK121&lt;&gt;"",1,0)+IF(AY121&lt;&gt;"",1,0)+IF(BM121&lt;&gt;"",1,0)+IF(CA121&lt;&gt;"",1,0)+IF(CO121&lt;&gt;"",1,0)+IF(DC121&lt;&gt;"",1,0)+IF(DQ121&lt;&gt;"",1,0)+IF(EE121&lt;&gt;"",1,0)+IF(ES121&lt;&gt;"",1,0)+IF(FG121&lt;&gt;"",1,0)</x:f>
        <x:v>2</x:v>
      </x:c>
      <x:c r="AK121" s="147"/>
      <x:c r="AL121" s="147"/>
      <x:c r="AM121" s="147"/>
      <x:c r="AN121" s="167"/>
      <x:c r="AO121" s="167"/>
      <x:c r="AP121" s="166"/>
      <x:c r="AQ121" s="171" t="str">
        <x:f>IF(AK121="","",IFERROR(F121*AP121/AN121,0))</x:f>
      </x:c>
      <x:c r="AR121" s="171" t="str">
        <x:f>IF(AK121="","",F121*ABS(AP121))</x:f>
      </x:c>
      <x:c r="AS121" s="165"/>
      <x:c r="AT121" s="172" t="str">
        <x:f>IF(AK121="","",IF(AS121="","",IFERROR(AN121/AS121-1,0)))</x:f>
      </x:c>
      <x:c r="AU121" s="166"/>
      <x:c r="AV121" s="172" t="str">
        <x:f>IF(AK121="","",IF(AU121="","",AU121-AT121*365/AW121))</x:f>
      </x:c>
      <x:c r="AW121" s="164"/>
      <x:c r="AX121" s="173" t="str">
        <x:f>IF(AK121="","",IFERROR(AP121*(AO121/AN121-1),0))</x:f>
      </x:c>
      <x:c r="AY121" s="147" t="str">
        <x:v>Matched-maturity Treasury collateral</x:v>
      </x:c>
      <x:c r="AZ121" s="147" t="str">
        <x:v>Treasury</x:v>
      </x:c>
      <x:c r="BA121" s="147" t="str">
        <x:v>Long</x:v>
      </x:c>
      <x:c r="BB121" s="167" t="n">
        <x:v>103.00480336164367</x:v>
      </x:c>
      <x:c r="BC121" s="167" t="n">
        <x:v>103.05687017320591</x:v>
      </x:c>
      <x:c r="BD121" s="166" t="n">
        <x:v>1</x:v>
      </x:c>
      <x:c r="BE121" s="171" t="n">
        <x:f>IF(AY121="","",IFERROR(F121*BD121/BB121,0))</x:f>
        <x:v>0.011595785543589095</x:v>
      </x:c>
      <x:c r="BF121" s="171" t="n">
        <x:f>IF(AY121="","",F121*ABS(BD121))</x:f>
        <x:v>1.194421609741185</x:v>
      </x:c>
      <x:c r="BG121" s="165"/>
      <x:c r="BH121" s="172" t="str">
        <x:f>IF(AY121="","",IF(BG121="","",IFERROR(BB121/BG121-1,0)))</x:f>
      </x:c>
      <x:c r="BI121" s="166"/>
      <x:c r="BJ121" s="172" t="str">
        <x:f>IF(AY121="","",IF(BI121="","",BI121-BH121*365/BK121))</x:f>
      </x:c>
      <x:c r="BK121" s="164" t="n">
        <x:v>32</x:v>
      </x:c>
      <x:c r="BL121" s="172" t="n">
        <x:f>IF(AY121="","",IFERROR(BD121*(BC121/BB121-1),0))</x:f>
        <x:v>0.0005054794520547023</x:v>
      </x:c>
      <x:c r="BM121" s="147" t="str">
        <x:v>SI69N</x:v>
      </x:c>
      <x:c r="BN121" s="147" t="str">
        <x:v>Silver future (regular)</x:v>
      </x:c>
      <x:c r="BO121" s="147" t="str">
        <x:v>Long</x:v>
      </x:c>
      <x:c r="BP121" s="167" t="n">
        <x:v>1.535</x:v>
      </x:c>
      <x:c r="BQ121" s="167" t="n">
        <x:v>1.57</x:v>
      </x:c>
      <x:c r="BR121" s="166" t="n">
        <x:v>1</x:v>
      </x:c>
      <x:c r="BS121" s="171" t="n">
        <x:f>IF(BM121="","",IFERROR(F121*BR121/BP121,0))</x:f>
        <x:v>0.7781248271929545</x:v>
      </x:c>
      <x:c r="BT121" s="171" t="n">
        <x:f>IF(BM121="","",F121*ABS(BR121))</x:f>
        <x:v>1.194421609741185</x:v>
      </x:c>
      <x:c r="BU121" s="165" t="n">
        <x:v>1.559</x:v>
      </x:c>
      <x:c r="BV121" s="172" t="n">
        <x:f>IF(BM121="","",IF(BU121="","",IFERROR(BP121/BU121-1,0)))</x:f>
        <x:v>-0.015394483643361156</x:v>
      </x:c>
      <x:c r="BW121" s="166" t="n">
        <x:v>0.061500000000000006</x:v>
      </x:c>
      <x:c r="BX121" s="172" t="n">
        <x:f>IF(BM121="","",IF(BW121="","",BW121-BV121*365/BY121))</x:f>
        <x:v>0.2370933290570882</x:v>
      </x:c>
      <x:c r="BY121" s="164" t="n">
        <x:v>32</x:v>
      </x:c>
      <x:c r="BZ121" s="172" t="n">
        <x:f>IF(BM121="","",IFERROR(BR121*(BQ121/BP121-1),0))</x:f>
        <x:v>0.0228013029315961</x:v>
      </x:c>
      <x:c r="CA121" s="147"/>
      <x:c r="CB121" s="147"/>
      <x:c r="CC121" s="147"/>
      <x:c r="CD121" s="167"/>
      <x:c r="CE121" s="167"/>
      <x:c r="CF121" s="166"/>
      <x:c r="CG121" s="171" t="str">
        <x:f>IF(CA121="","",IFERROR(F121*CF121/CD121,0))</x:f>
      </x:c>
      <x:c r="CH121" s="171" t="str">
        <x:f>IF(CA121="","",F121*ABS(CF121))</x:f>
      </x:c>
      <x:c r="CI121" s="165"/>
      <x:c r="CJ121" s="172" t="str">
        <x:f>IF(CA121="","",IF(CI121="","",IFERROR(CD121/CI121-1,0)))</x:f>
      </x:c>
      <x:c r="CK121" s="166"/>
      <x:c r="CL121" s="172" t="str">
        <x:f>IF(CA121="","",IF(CK121="","",CK121-CJ121*365/CM121))</x:f>
      </x:c>
      <x:c r="CM121" s="164"/>
      <x:c r="CN121" s="172" t="str">
        <x:f>IF(CA121="","",IFERROR(CF121*(CE121/CD121-1),0))</x:f>
      </x:c>
      <x:c r="CO121" s="147"/>
      <x:c r="CP121" s="147"/>
      <x:c r="CQ121" s="147"/>
      <x:c r="CR121" s="167"/>
      <x:c r="CS121" s="167"/>
      <x:c r="CT121" s="166"/>
      <x:c r="CU121" s="171" t="str">
        <x:f>IF(CO121="","",IFERROR(F121*CT121/CR121,0))</x:f>
      </x:c>
      <x:c r="CV121" s="171" t="str">
        <x:f>IF(CO121="","",F121*ABS(CT121))</x:f>
      </x:c>
      <x:c r="CW121" s="165"/>
      <x:c r="CX121" s="172" t="str">
        <x:f>IF(CO121="","",IF(CW121="","",IFERROR(CR121/CW121-1,0)))</x:f>
      </x:c>
      <x:c r="CY121" s="166"/>
      <x:c r="CZ121" s="172" t="str">
        <x:f>IF(CO121="","",IF(CY121="","",CY121-CX121*365/DA121))</x:f>
      </x:c>
      <x:c r="DA121" s="164"/>
      <x:c r="DB121" s="172" t="str">
        <x:f>IF(CO121="","",IFERROR(CT121*(CS121/CR121-1),0))</x:f>
      </x:c>
      <x:c r="DC121" s="147"/>
      <x:c r="DD121" s="147"/>
      <x:c r="DE121" s="147"/>
      <x:c r="DF121" s="167"/>
      <x:c r="DG121" s="167"/>
      <x:c r="DH121" s="166"/>
      <x:c r="DI121" s="171" t="str">
        <x:f>IF(DC121="","",IFERROR(F121*DH121/DF121,0))</x:f>
      </x:c>
      <x:c r="DJ121" s="171" t="str">
        <x:f>IF(DC121="","",F121*ABS(DH121))</x:f>
      </x:c>
      <x:c r="DK121" s="165"/>
      <x:c r="DL121" s="172" t="str">
        <x:f>IF(DC121="","",IF(DK121="","",IFERROR(DF121/DK121-1,0)))</x:f>
      </x:c>
      <x:c r="DM121" s="166"/>
      <x:c r="DN121" s="172" t="str">
        <x:f>IF(DC121="","",IF(DM121="","",DM121-DL121*365/DO121))</x:f>
      </x:c>
      <x:c r="DO121" s="164"/>
      <x:c r="DP121" s="172" t="str">
        <x:f>IF(DC121="","",IFERROR(DH121*(DG121/DF121-1),0))</x:f>
      </x:c>
      <x:c r="DQ121" s="147"/>
      <x:c r="DR121" s="147"/>
      <x:c r="DS121" s="147"/>
      <x:c r="DT121" s="167"/>
      <x:c r="DU121" s="167"/>
      <x:c r="DV121" s="166"/>
      <x:c r="DW121" s="171" t="str">
        <x:f>IF(DQ121="","",IFERROR(F121*DV121/DT121,0))</x:f>
      </x:c>
      <x:c r="DX121" s="171" t="str">
        <x:f>IF(DQ121="","",F121*ABS(DV121))</x:f>
      </x:c>
      <x:c r="DY121" s="165"/>
      <x:c r="DZ121" s="172" t="str">
        <x:f>IF(DQ121="","",IF(DY121="","",IFERROR(DT121/DY121-1,0)))</x:f>
      </x:c>
      <x:c r="EA121" s="166"/>
      <x:c r="EB121" s="172" t="str">
        <x:f>IF(DQ121="","",IF(EA121="","",EA121-DZ121*365/EC121))</x:f>
      </x:c>
      <x:c r="EC121" s="164"/>
      <x:c r="ED121" s="172" t="str">
        <x:f>IF(DQ121="","",IFERROR(DV121*(DU121/DT121-1),0))</x:f>
      </x:c>
      <x:c r="EE121" s="147"/>
      <x:c r="EF121" s="147"/>
      <x:c r="EG121" s="147"/>
      <x:c r="EH121" s="167"/>
      <x:c r="EI121" s="167"/>
      <x:c r="EJ121" s="166"/>
      <x:c r="EK121" s="171" t="str">
        <x:f>IF(EE121="","",IFERROR(F121*EJ121/EH121,0))</x:f>
      </x:c>
      <x:c r="EL121" s="171" t="str">
        <x:f>IF(EE121="","",F121*ABS(EJ121))</x:f>
      </x:c>
      <x:c r="EM121" s="165"/>
      <x:c r="EN121" s="172" t="str">
        <x:f>IF(EE121="","",IF(EM121="","",IFERROR(EH121/EM121-1,0)))</x:f>
      </x:c>
      <x:c r="EO121" s="166"/>
      <x:c r="EP121" s="172" t="str">
        <x:f>IF(EE121="","",IF(EO121="","",EO121-EN121*365/EQ121))</x:f>
      </x:c>
      <x:c r="EQ121" s="164"/>
      <x:c r="ER121" s="172" t="str">
        <x:f>IF(EE121="","",IFERROR(EJ121*(EI121/EH121-1),0))</x:f>
      </x:c>
      <x:c r="ES121" s="147"/>
      <x:c r="ET121" s="147"/>
      <x:c r="EU121" s="147"/>
      <x:c r="EV121" s="167"/>
      <x:c r="EW121" s="167"/>
      <x:c r="EX121" s="166"/>
      <x:c r="EY121" s="171" t="str">
        <x:f>IF(ES121="","",IFERROR(F121*EX121/EV121,0))</x:f>
      </x:c>
      <x:c r="EZ121" s="171" t="str">
        <x:f>IF(ES121="","",F121*ABS(EX121))</x:f>
      </x:c>
      <x:c r="FA121" s="165"/>
      <x:c r="FB121" s="172" t="str">
        <x:f>IF(ES121="","",IF(FA121="","",IFERROR(EV121/FA121-1,0)))</x:f>
      </x:c>
      <x:c r="FC121" s="166"/>
      <x:c r="FD121" s="172" t="str">
        <x:f>IF(ES121="","",IF(FC121="","",FC121-FB121*365/FE121))</x:f>
      </x:c>
      <x:c r="FE121" s="164"/>
      <x:c r="FF121" s="172" t="str">
        <x:f>IF(ES121="","",IFERROR(EX121*(EW121/EV121-1),0))</x:f>
      </x:c>
      <x:c r="FG121" s="147"/>
      <x:c r="FH121" s="147"/>
      <x:c r="FI121" s="147"/>
      <x:c r="FJ121" s="167"/>
      <x:c r="FK121" s="167"/>
      <x:c r="FL121" s="166"/>
      <x:c r="FM121" s="171" t="str">
        <x:f>IF(FG121="","",IFERROR(F121*FL121/FJ121,0))</x:f>
      </x:c>
      <x:c r="FN121" s="171" t="str">
        <x:f>IF(FG121="","",F121*ABS(FL121))</x:f>
      </x:c>
      <x:c r="FO121" s="165"/>
      <x:c r="FP121" s="172" t="str">
        <x:f>IF(FG121="","",IF(FO121="","",IFERROR(FJ121/FO121-1,0)))</x:f>
      </x:c>
      <x:c r="FQ121" s="166"/>
      <x:c r="FR121" s="172" t="str">
        <x:f>IF(FG121="","",IF(FQ121="","",FQ121-FP121*365/FS121))</x:f>
      </x:c>
      <x:c r="FS121" s="164"/>
      <x:c r="FT121" s="172" t="str">
        <x:f>IF(FG121="","",IFERROR(FL121*(FK121/FJ121-1),0))</x:f>
      </x:c>
    </x:row>
    <x:row r="122" ht="18" customHeight="1">
      <x:c r="A122" s="163" t="n">
        <x:v>25384</x:v>
      </x:c>
      <x:c r="B122" s="163" t="n">
        <x:v>25385</x:v>
      </x:c>
      <x:c r="C122" s="170" t="n">
        <x:f>B122-A122</x:f>
        <x:v>1</x:v>
      </x:c>
      <x:c r="D122" s="163" t="n">
        <x:v>25384</x:v>
      </x:c>
      <x:c r="E122" s="147" t="str">
        <x:v>positive</x:v>
      </x:c>
      <x:c r="F122" s="165" t="n">
        <x:v>1.2222597342737527</x:v>
      </x:c>
      <x:c r="G122" s="168" t="n">
        <x:v>0.016659099329095036</x:v>
      </x:c>
      <x:c r="H122" s="172" t="n">
        <x:f>SUM(AX122,BL122,BZ122,CN122,DB122,DP122,ED122,ER122,FF122,FT122)</x:f>
        <x:v>0.016659099329095043</x:v>
      </x:c>
      <x:c r="I122" s="174" t="n">
        <x:f>G122-H122</x:f>
        <x:v>-6.938893903907228e-18</x:v>
      </x:c>
      <x:c r="J122" s="171" t="n">
        <x:f>F122*(1+H122)</x:f>
        <x:v>1.2426214805929725</x:v>
      </x:c>
      <x:c r="K122" s="169" t="n">
        <x:v>1.2426214805929723</x:v>
      </x:c>
      <x:c r="L122" s="175" t="n">
        <x:f>K122-J122</x:f>
        <x:v>-2.220446049250313e-16</x:v>
      </x:c>
      <x:c r="M122" s="167" t="n">
        <x:v>1.564</x:v>
      </x:c>
      <x:c r="N122" s="167" t="n">
        <x:v>1.595</x:v>
      </x:c>
      <x:c r="O122" s="172" t="n">
        <x:f>IFERROR(N122/M122-1,0)</x:f>
        <x:v>0.01982097186700771</x:v>
      </x:c>
      <x:c r="P122" s="171" t="n">
        <x:f>IFERROR(AD122/AH122,0)</x:f>
        <x:v>1.5301691558235346</x:v>
      </x:c>
      <x:c r="Q122" s="171" t="n">
        <x:f>IFERROR(AE122/AI122,0)</x:f>
        <x:v>1.5254249899693046</x:v>
      </x:c>
      <x:c r="R122" s="172" t="n">
        <x:f>IFERROR((Q122-P122)/(P122+S122),0)</x:f>
        <x:v>-0.003100419215858971</x:v>
      </x:c>
      <x:c r="S122" s="172" t="n">
        <x:f>IFERROR(AF122/AH122,0)</x:f>
        <x:v>0</x:v>
      </x:c>
      <x:c r="T122" s="172" t="n">
        <x:f>IFERROR(AG122/AI122,0)</x:f>
        <x:v>0</x:v>
      </x:c>
      <x:c r="U122" s="172" t="n">
        <x:f>IFERROR((T122-S122)/(P122+S122),0)</x:f>
        <x:v>0</x:v>
      </x:c>
      <x:c r="V122" s="172" t="n">
        <x:f>R122+U122</x:f>
        <x:v>-0.003100419215858971</x:v>
      </x:c>
      <x:c r="W122" s="172" t="n">
        <x:f>(1+O122)*(1+V122)-1</x:f>
        <x:v>0.01665909932909515</x:v>
      </x:c>
      <x:c r="X122" s="174" t="n">
        <x:f>G122-W122</x:f>
        <x:v>-1.1449174941446927e-16</x:v>
      </x:c>
      <x:c r="Y122" s="172" t="n">
        <x:f>AX122</x:f>
        <x:v>0.017883524431536145</x:v>
      </x:c>
      <x:c r="Z122" s="172" t="n">
        <x:f>BL122</x:f>
        <x:v>0.00001679093247897491</x:v>
      </x:c>
      <x:c r="AA122" s="172" t="n">
        <x:f>SUM(BZ122,CN122,DB122,DP122,ED122,ER122,FF122,FT122)</x:f>
        <x:v>-0.001241216034920077</x:v>
      </x:c>
      <x:c r="AB122" s="172" t="n">
        <x:f>SUM(Y122:AA122)</x:f>
        <x:v>0.016659099329095043</x:v>
      </x:c>
      <x:c r="AC122" s="174" t="n">
        <x:f>G122-AB122</x:f>
        <x:v>-6.938893903907228e-18</x:v>
      </x:c>
      <x:c r="AD122" s="169" t="n">
        <x:v>1.2222597342737531</x:v>
      </x:c>
      <x:c r="AE122" s="169" t="n">
        <x:v>1.242621480592973</x:v>
      </x:c>
      <x:c r="AF122" s="169" t="n">
        <x:v>0</x:v>
      </x:c>
      <x:c r="AG122" s="169" t="n">
        <x:v>0</x:v>
      </x:c>
      <x:c r="AH122" s="171" t="n">
        <x:f>M122/$M$3</x:f>
        <x:v>0.7987742594484168</x:v>
      </x:c>
      <x:c r="AI122" s="171" t="n">
        <x:f>N122/$M$3</x:f>
        <x:v>0.8146067415730337</x:v>
      </x:c>
      <x:c r="AJ122" s="170" t="n">
        <x:f>IF(AK122&lt;&gt;"",1,0)+IF(AY122&lt;&gt;"",1,0)+IF(BM122&lt;&gt;"",1,0)+IF(CA122&lt;&gt;"",1,0)+IF(CO122&lt;&gt;"",1,0)+IF(DC122&lt;&gt;"",1,0)+IF(DQ122&lt;&gt;"",1,0)+IF(EE122&lt;&gt;"",1,0)+IF(ES122&lt;&gt;"",1,0)+IF(FG122&lt;&gt;"",1,0)</x:f>
        <x:v>3</x:v>
      </x:c>
      <x:c r="AK122" s="147" t="str">
        <x:v>Silver replicating holding (LBMA/SLV proxy)</x:v>
      </x:c>
      <x:c r="AL122" s="147" t="str">
        <x:v>Physical-backed proxy</x:v>
      </x:c>
      <x:c r="AM122" s="147" t="str">
        <x:v>Long</x:v>
      </x:c>
      <x:c r="AN122" s="167" t="n">
        <x:v>1.564</x:v>
      </x:c>
      <x:c r="AO122" s="167" t="n">
        <x:v>1.595</x:v>
      </x:c>
      <x:c r="AP122" s="166" t="n">
        <x:v>0.902564541258774</x:v>
      </x:c>
      <x:c r="AQ122" s="171" t="n">
        <x:f>IF(AK122="","",IFERROR(F122*AP122/AN122,0))</x:f>
        <x:v>0.7053505731226729</x:v>
      </x:c>
      <x:c r="AR122" s="171" t="n">
        <x:f>IF(AK122="","",F122*ABS(AP122))</x:f>
        <x:v>1.1031682963638605</x:v>
      </x:c>
      <x:c r="AS122" s="165"/>
      <x:c r="AT122" s="172" t="str">
        <x:f>IF(AK122="","",IF(AS122="","",IFERROR(AN122/AS122-1,0)))</x:f>
      </x:c>
      <x:c r="AU122" s="166"/>
      <x:c r="AV122" s="172" t="str">
        <x:f>IF(AK122="","",IF(AU122="","",AU122-AT122*365/AW122))</x:f>
      </x:c>
      <x:c r="AW122" s="164"/>
      <x:c r="AX122" s="173" t="n">
        <x:f>IF(AK122="","",IFERROR(AP122*(AO122/AN122-1-'Parameters'!$C$6*C122/365),0))</x:f>
        <x:v>0.017883524431536145</x:v>
      </x:c>
      <x:c r="AY122" s="147" t="str">
        <x:v>Matched-maturity Treasury collateral</x:v>
      </x:c>
      <x:c r="AZ122" s="147" t="str">
        <x:v>Treasury</x:v>
      </x:c>
      <x:c r="BA122" s="147" t="str">
        <x:v>Long</x:v>
      </x:c>
      <x:c r="BB122" s="167" t="n">
        <x:v>103.05687017320591</x:v>
      </x:c>
      <x:c r="BC122" s="167" t="n">
        <x:v>103.07462983658644</x:v>
      </x:c>
      <x:c r="BD122" s="166" t="n">
        <x:v>0.09743545874122607</x:v>
      </x:c>
      <x:c r="BE122" s="171" t="n">
        <x:f>IF(AY122="","",IFERROR(F122*BD122/BB122,0))</x:f>
        <x:v>0.0011555895081010827</x:v>
      </x:c>
      <x:c r="BF122" s="171" t="n">
        <x:f>IF(AY122="","",F122*ABS(BD122))</x:f>
        <x:v>0.11909143790989217</x:v>
      </x:c>
      <x:c r="BG122" s="165"/>
      <x:c r="BH122" s="172" t="str">
        <x:f>IF(AY122="","",IF(BG122="","",IFERROR(BB122/BG122-1,0)))</x:f>
      </x:c>
      <x:c r="BI122" s="166"/>
      <x:c r="BJ122" s="172" t="str">
        <x:f>IF(AY122="","",IF(BI122="","",BI122-BH122*365/BK122))</x:f>
      </x:c>
      <x:c r="BK122" s="164" t="n">
        <x:v>29.000000000000004</x:v>
      </x:c>
      <x:c r="BL122" s="172" t="n">
        <x:f>IF(AY122="","",IFERROR(BD122*(BC122/BB122-1),0))</x:f>
        <x:v>0.00001679093247897491</x:v>
      </x:c>
      <x:c r="BM122" s="147" t="str">
        <x:v>SI69N</x:v>
      </x:c>
      <x:c r="BN122" s="147" t="str">
        <x:v>Silver future (regular)</x:v>
      </x:c>
      <x:c r="BO122" s="147" t="str">
        <x:v>Long</x:v>
      </x:c>
      <x:c r="BP122" s="167" t="n">
        <x:v>1.57</x:v>
      </x:c>
      <x:c r="BQ122" s="167" t="n">
        <x:v>1.55</x:v>
      </x:c>
      <x:c r="BR122" s="166" t="n">
        <x:v>0.09743545874122607</x:v>
      </x:c>
      <x:c r="BS122" s="171" t="n">
        <x:f>IF(BM122="","",IFERROR(F122*BR122/BP122,0))</x:f>
        <x:v>0.07585441905088673</x:v>
      </x:c>
      <x:c r="BT122" s="171" t="n">
        <x:f>IF(BM122="","",F122*ABS(BR122))</x:f>
        <x:v>0.11909143790989217</x:v>
      </x:c>
      <x:c r="BU122" s="165" t="n">
        <x:v>1.564</x:v>
      </x:c>
      <x:c r="BV122" s="172" t="n">
        <x:f>IF(BM122="","",IF(BU122="","",IFERROR(BP122/BU122-1,0)))</x:f>
        <x:v>0.0038363171355497716</x:v>
      </x:c>
      <x:c r="BW122" s="166" t="n">
        <x:v>0.0629</x:v>
      </x:c>
      <x:c r="BX122" s="172" t="n">
        <x:f>IF(BM122="","",IF(BW122="","",BW122-BV122*365/BY122))</x:f>
        <x:v>0.014615318811183907</x:v>
      </x:c>
      <x:c r="BY122" s="164" t="n">
        <x:v>29</x:v>
      </x:c>
      <x:c r="BZ122" s="172" t="n">
        <x:f>IF(BM122="","",IFERROR(BR122*(BQ122/BP122-1),0))</x:f>
        <x:v>-0.001241216034920077</x:v>
      </x:c>
      <x:c r="CA122" s="147"/>
      <x:c r="CB122" s="147"/>
      <x:c r="CC122" s="147"/>
      <x:c r="CD122" s="167"/>
      <x:c r="CE122" s="167"/>
      <x:c r="CF122" s="166"/>
      <x:c r="CG122" s="171" t="str">
        <x:f>IF(CA122="","",IFERROR(F122*CF122/CD122,0))</x:f>
      </x:c>
      <x:c r="CH122" s="171" t="str">
        <x:f>IF(CA122="","",F122*ABS(CF122))</x:f>
      </x:c>
      <x:c r="CI122" s="165"/>
      <x:c r="CJ122" s="172" t="str">
        <x:f>IF(CA122="","",IF(CI122="","",IFERROR(CD122/CI122-1,0)))</x:f>
      </x:c>
      <x:c r="CK122" s="166"/>
      <x:c r="CL122" s="172" t="str">
        <x:f>IF(CA122="","",IF(CK122="","",CK122-CJ122*365/CM122))</x:f>
      </x:c>
      <x:c r="CM122" s="164"/>
      <x:c r="CN122" s="172" t="str">
        <x:f>IF(CA122="","",IFERROR(CF122*(CE122/CD122-1),0))</x:f>
      </x:c>
      <x:c r="CO122" s="147"/>
      <x:c r="CP122" s="147"/>
      <x:c r="CQ122" s="147"/>
      <x:c r="CR122" s="167"/>
      <x:c r="CS122" s="167"/>
      <x:c r="CT122" s="166"/>
      <x:c r="CU122" s="171" t="str">
        <x:f>IF(CO122="","",IFERROR(F122*CT122/CR122,0))</x:f>
      </x:c>
      <x:c r="CV122" s="171" t="str">
        <x:f>IF(CO122="","",F122*ABS(CT122))</x:f>
      </x:c>
      <x:c r="CW122" s="165"/>
      <x:c r="CX122" s="172" t="str">
        <x:f>IF(CO122="","",IF(CW122="","",IFERROR(CR122/CW122-1,0)))</x:f>
      </x:c>
      <x:c r="CY122" s="166"/>
      <x:c r="CZ122" s="172" t="str">
        <x:f>IF(CO122="","",IF(CY122="","",CY122-CX122*365/DA122))</x:f>
      </x:c>
      <x:c r="DA122" s="164"/>
      <x:c r="DB122" s="172" t="str">
        <x:f>IF(CO122="","",IFERROR(CT122*(CS122/CR122-1),0))</x:f>
      </x:c>
      <x:c r="DC122" s="147"/>
      <x:c r="DD122" s="147"/>
      <x:c r="DE122" s="147"/>
      <x:c r="DF122" s="167"/>
      <x:c r="DG122" s="167"/>
      <x:c r="DH122" s="166"/>
      <x:c r="DI122" s="171" t="str">
        <x:f>IF(DC122="","",IFERROR(F122*DH122/DF122,0))</x:f>
      </x:c>
      <x:c r="DJ122" s="171" t="str">
        <x:f>IF(DC122="","",F122*ABS(DH122))</x:f>
      </x:c>
      <x:c r="DK122" s="165"/>
      <x:c r="DL122" s="172" t="str">
        <x:f>IF(DC122="","",IF(DK122="","",IFERROR(DF122/DK122-1,0)))</x:f>
      </x:c>
      <x:c r="DM122" s="166"/>
      <x:c r="DN122" s="172" t="str">
        <x:f>IF(DC122="","",IF(DM122="","",DM122-DL122*365/DO122))</x:f>
      </x:c>
      <x:c r="DO122" s="164"/>
      <x:c r="DP122" s="172" t="str">
        <x:f>IF(DC122="","",IFERROR(DH122*(DG122/DF122-1),0))</x:f>
      </x:c>
      <x:c r="DQ122" s="147"/>
      <x:c r="DR122" s="147"/>
      <x:c r="DS122" s="147"/>
      <x:c r="DT122" s="167"/>
      <x:c r="DU122" s="167"/>
      <x:c r="DV122" s="166"/>
      <x:c r="DW122" s="171" t="str">
        <x:f>IF(DQ122="","",IFERROR(F122*DV122/DT122,0))</x:f>
      </x:c>
      <x:c r="DX122" s="171" t="str">
        <x:f>IF(DQ122="","",F122*ABS(DV122))</x:f>
      </x:c>
      <x:c r="DY122" s="165"/>
      <x:c r="DZ122" s="172" t="str">
        <x:f>IF(DQ122="","",IF(DY122="","",IFERROR(DT122/DY122-1,0)))</x:f>
      </x:c>
      <x:c r="EA122" s="166"/>
      <x:c r="EB122" s="172" t="str">
        <x:f>IF(DQ122="","",IF(EA122="","",EA122-DZ122*365/EC122))</x:f>
      </x:c>
      <x:c r="EC122" s="164"/>
      <x:c r="ED122" s="172" t="str">
        <x:f>IF(DQ122="","",IFERROR(DV122*(DU122/DT122-1),0))</x:f>
      </x:c>
      <x:c r="EE122" s="147"/>
      <x:c r="EF122" s="147"/>
      <x:c r="EG122" s="147"/>
      <x:c r="EH122" s="167"/>
      <x:c r="EI122" s="167"/>
      <x:c r="EJ122" s="166"/>
      <x:c r="EK122" s="171" t="str">
        <x:f>IF(EE122="","",IFERROR(F122*EJ122/EH122,0))</x:f>
      </x:c>
      <x:c r="EL122" s="171" t="str">
        <x:f>IF(EE122="","",F122*ABS(EJ122))</x:f>
      </x:c>
      <x:c r="EM122" s="165"/>
      <x:c r="EN122" s="172" t="str">
        <x:f>IF(EE122="","",IF(EM122="","",IFERROR(EH122/EM122-1,0)))</x:f>
      </x:c>
      <x:c r="EO122" s="166"/>
      <x:c r="EP122" s="172" t="str">
        <x:f>IF(EE122="","",IF(EO122="","",EO122-EN122*365/EQ122))</x:f>
      </x:c>
      <x:c r="EQ122" s="164"/>
      <x:c r="ER122" s="172" t="str">
        <x:f>IF(EE122="","",IFERROR(EJ122*(EI122/EH122-1),0))</x:f>
      </x:c>
      <x:c r="ES122" s="147"/>
      <x:c r="ET122" s="147"/>
      <x:c r="EU122" s="147"/>
      <x:c r="EV122" s="167"/>
      <x:c r="EW122" s="167"/>
      <x:c r="EX122" s="166"/>
      <x:c r="EY122" s="171" t="str">
        <x:f>IF(ES122="","",IFERROR(F122*EX122/EV122,0))</x:f>
      </x:c>
      <x:c r="EZ122" s="171" t="str">
        <x:f>IF(ES122="","",F122*ABS(EX122))</x:f>
      </x:c>
      <x:c r="FA122" s="165"/>
      <x:c r="FB122" s="172" t="str">
        <x:f>IF(ES122="","",IF(FA122="","",IFERROR(EV122/FA122-1,0)))</x:f>
      </x:c>
      <x:c r="FC122" s="166"/>
      <x:c r="FD122" s="172" t="str">
        <x:f>IF(ES122="","",IF(FC122="","",FC122-FB122*365/FE122))</x:f>
      </x:c>
      <x:c r="FE122" s="164"/>
      <x:c r="FF122" s="172" t="str">
        <x:f>IF(ES122="","",IFERROR(EX122*(EW122/EV122-1),0))</x:f>
      </x:c>
      <x:c r="FG122" s="147"/>
      <x:c r="FH122" s="147"/>
      <x:c r="FI122" s="147"/>
      <x:c r="FJ122" s="167"/>
      <x:c r="FK122" s="167"/>
      <x:c r="FL122" s="166"/>
      <x:c r="FM122" s="171" t="str">
        <x:f>IF(FG122="","",IFERROR(F122*FL122/FJ122,0))</x:f>
      </x:c>
      <x:c r="FN122" s="171" t="str">
        <x:f>IF(FG122="","",F122*ABS(FL122))</x:f>
      </x:c>
      <x:c r="FO122" s="165"/>
      <x:c r="FP122" s="172" t="str">
        <x:f>IF(FG122="","",IF(FO122="","",IFERROR(FJ122/FO122-1,0)))</x:f>
      </x:c>
      <x:c r="FQ122" s="166"/>
      <x:c r="FR122" s="172" t="str">
        <x:f>IF(FG122="","",IF(FQ122="","",FQ122-FP122*365/FS122))</x:f>
      </x:c>
      <x:c r="FS122" s="164"/>
      <x:c r="FT122" s="172" t="str">
        <x:f>IF(FG122="","",IFERROR(FL122*(FK122/FJ122-1),0))</x:f>
      </x:c>
    </x:row>
    <x:row r="123" ht="18" customHeight="1">
      <x:c r="A123" s="163" t="n">
        <x:v>25385</x:v>
      </x:c>
      <x:c r="B123" s="163" t="n">
        <x:v>25386</x:v>
      </x:c>
      <x:c r="C123" s="170" t="n">
        <x:f>B123-A123</x:f>
        <x:v>1</x:v>
      </x:c>
      <x:c r="D123" s="163" t="n">
        <x:v>25385</x:v>
      </x:c>
      <x:c r="E123" s="147" t="str">
        <x:v>positive</x:v>
      </x:c>
      <x:c r="F123" s="165" t="n">
        <x:v>1.2426214805929723</x:v>
      </x:c>
      <x:c r="G123" s="168" t="n">
        <x:v>0.0034085461776402533</x:v>
      </x:c>
      <x:c r="H123" s="172" t="n">
        <x:f>SUM(AX123,BL123,BZ123,CN123,DB123,DP123,ED123,ER123,FF123,FT123)</x:f>
        <x:v>0.0034085461776405257</x:v>
      </x:c>
      <x:c r="I123" s="174" t="n">
        <x:f>G123-H123</x:f>
        <x:v>-2.723515857283587e-16</x:v>
      </x:c>
      <x:c r="J123" s="171" t="n">
        <x:f>F123*(1+H123)</x:f>
        <x:v>1.2468570132909014</x:v>
      </x:c>
      <x:c r="K123" s="169" t="n">
        <x:v>1.2468570132909012</x:v>
      </x:c>
      <x:c r="L123" s="175" t="n">
        <x:f>K123-J123</x:f>
        <x:v>-2.220446049250313e-16</x:v>
      </x:c>
      <x:c r="M123" s="167" t="n">
        <x:v>1.595</x:v>
      </x:c>
      <x:c r="N123" s="167" t="n">
        <x:v>1.57</x:v>
      </x:c>
      <x:c r="O123" s="172" t="n">
        <x:f>IFERROR(N123/M123-1,0)</x:f>
        <x:v>-0.01567398119122254</x:v>
      </x:c>
      <x:c r="P123" s="171" t="n">
        <x:f>IFERROR(AD123/AH123,0)</x:f>
        <x:v>1.5254249899693046</x:v>
      </x:c>
      <x:c r="Q123" s="171" t="n">
        <x:f>IFERROR(AE123/AI123,0)</x:f>
        <x:v>1.5549974726264877</x:v>
      </x:c>
      <x:c r="R123" s="172" t="n">
        <x:f>IFERROR((Q123-P123)/(P123+S123),0)</x:f>
        <x:v>0.019386389269640925</x:v>
      </x:c>
      <x:c r="S123" s="172" t="n">
        <x:f>IFERROR(AF123/AH123,0)</x:f>
        <x:v>0</x:v>
      </x:c>
      <x:c r="T123" s="172" t="n">
        <x:f>IFERROR(AG123/AI123,0)</x:f>
        <x:v>0</x:v>
      </x:c>
      <x:c r="U123" s="172" t="n">
        <x:f>IFERROR((T123-S123)/(P123+S123),0)</x:f>
        <x:v>0</x:v>
      </x:c>
      <x:c r="V123" s="172" t="n">
        <x:f>R123+U123</x:f>
        <x:v>0.019386389269640925</x:v>
      </x:c>
      <x:c r="W123" s="172" t="n">
        <x:f>(1+O123)*(1+V123)-1</x:f>
        <x:v>0.0034085461776403037</x:v>
      </x:c>
      <x:c r="X123" s="174" t="n">
        <x:f>G123-W123</x:f>
        <x:v>-5.0306980803327406e-17</x:v>
      </x:c>
      <x:c r="Y123" s="172" t="str">
        <x:f>AX123</x:f>
      </x:c>
      <x:c r="Z123" s="172" t="n">
        <x:f>BL123</x:f>
        <x:v>0.00018273972602766975</x:v>
      </x:c>
      <x:c r="AA123" s="172" t="n">
        <x:f>SUM(BZ123,CN123,DB123,DP123,ED123,ER123,FF123,FT123)</x:f>
        <x:v>0.003225806451612856</x:v>
      </x:c>
      <x:c r="AB123" s="172" t="n">
        <x:f>SUM(Y123:AA123)</x:f>
        <x:v>0.0034085461776405257</x:v>
      </x:c>
      <x:c r="AC123" s="174" t="n">
        <x:f>G123-AB123</x:f>
        <x:v>-2.723515857283587e-16</x:v>
      </x:c>
      <x:c r="AD123" s="169" t="n">
        <x:v>1.242621480592973</x:v>
      </x:c>
      <x:c r="AE123" s="169" t="n">
        <x:v>1.2468570132909018</x:v>
      </x:c>
      <x:c r="AF123" s="169" t="n">
        <x:v>0</x:v>
      </x:c>
      <x:c r="AG123" s="169" t="n">
        <x:v>0</x:v>
      </x:c>
      <x:c r="AH123" s="171" t="n">
        <x:f>M123/$M$3</x:f>
        <x:v>0.8146067415730337</x:v>
      </x:c>
      <x:c r="AI123" s="171" t="n">
        <x:f>N123/$M$3</x:f>
        <x:v>0.801838610827375</x:v>
      </x:c>
      <x:c r="AJ123" s="170" t="n">
        <x:f>IF(AK123&lt;&gt;"",1,0)+IF(AY123&lt;&gt;"",1,0)+IF(BM123&lt;&gt;"",1,0)+IF(CA123&lt;&gt;"",1,0)+IF(CO123&lt;&gt;"",1,0)+IF(DC123&lt;&gt;"",1,0)+IF(DQ123&lt;&gt;"",1,0)+IF(EE123&lt;&gt;"",1,0)+IF(ES123&lt;&gt;"",1,0)+IF(FG123&lt;&gt;"",1,0)</x:f>
        <x:v>2</x:v>
      </x:c>
      <x:c r="AK123" s="147"/>
      <x:c r="AL123" s="147"/>
      <x:c r="AM123" s="147"/>
      <x:c r="AN123" s="167"/>
      <x:c r="AO123" s="167"/>
      <x:c r="AP123" s="166"/>
      <x:c r="AQ123" s="171" t="str">
        <x:f>IF(AK123="","",IFERROR(F123*AP123/AN123,0))</x:f>
      </x:c>
      <x:c r="AR123" s="171" t="str">
        <x:f>IF(AK123="","",F123*ABS(AP123))</x:f>
      </x:c>
      <x:c r="AS123" s="165"/>
      <x:c r="AT123" s="172" t="str">
        <x:f>IF(AK123="","",IF(AS123="","",IFERROR(AN123/AS123-1,0)))</x:f>
      </x:c>
      <x:c r="AU123" s="166"/>
      <x:c r="AV123" s="172" t="str">
        <x:f>IF(AK123="","",IF(AU123="","",AU123-AT123*365/AW123))</x:f>
      </x:c>
      <x:c r="AW123" s="164"/>
      <x:c r="AX123" s="173" t="str">
        <x:f>IF(AK123="","",IFERROR(AP123*(AO123/AN123-1),0))</x:f>
      </x:c>
      <x:c r="AY123" s="147" t="str">
        <x:v>Matched-maturity Treasury collateral</x:v>
      </x:c>
      <x:c r="AZ123" s="147" t="str">
        <x:v>Treasury</x:v>
      </x:c>
      <x:c r="BA123" s="147" t="str">
        <x:v>Long</x:v>
      </x:c>
      <x:c r="BB123" s="167" t="n">
        <x:v>103.07462983658644</x:v>
      </x:c>
      <x:c r="BC123" s="167" t="n">
        <x:v>103.09346566620317</x:v>
      </x:c>
      <x:c r="BD123" s="166" t="n">
        <x:v>1</x:v>
      </x:c>
      <x:c r="BE123" s="171" t="n">
        <x:f>IF(AY123="","",IFERROR(F123*BD123/BB123,0))</x:f>
        <x:v>0.012055551230821908</x:v>
      </x:c>
      <x:c r="BF123" s="171" t="n">
        <x:f>IF(AY123="","",F123*ABS(BD123))</x:f>
        <x:v>1.2426214805929723</x:v>
      </x:c>
      <x:c r="BG123" s="165"/>
      <x:c r="BH123" s="172" t="str">
        <x:f>IF(AY123="","",IF(BG123="","",IFERROR(BB123/BG123-1,0)))</x:f>
      </x:c>
      <x:c r="BI123" s="166"/>
      <x:c r="BJ123" s="172" t="str">
        <x:f>IF(AY123="","",IF(BI123="","",BI123-BH123*365/BK123))</x:f>
      </x:c>
      <x:c r="BK123" s="164" t="n">
        <x:v>28</x:v>
      </x:c>
      <x:c r="BL123" s="172" t="n">
        <x:f>IF(AY123="","",IFERROR(BD123*(BC123/BB123-1),0))</x:f>
        <x:v>0.00018273972602766975</x:v>
      </x:c>
      <x:c r="BM123" s="147" t="str">
        <x:v>SI69N</x:v>
      </x:c>
      <x:c r="BN123" s="147" t="str">
        <x:v>Silver future (regular)</x:v>
      </x:c>
      <x:c r="BO123" s="147" t="str">
        <x:v>Long</x:v>
      </x:c>
      <x:c r="BP123" s="167" t="n">
        <x:v>1.55</x:v>
      </x:c>
      <x:c r="BQ123" s="167" t="n">
        <x:v>1.555</x:v>
      </x:c>
      <x:c r="BR123" s="166" t="n">
        <x:v>1</x:v>
      </x:c>
      <x:c r="BS123" s="171" t="n">
        <x:f>IF(BM123="","",IFERROR(F123*BR123/BP123,0))</x:f>
        <x:v>0.8016912778019176</x:v>
      </x:c>
      <x:c r="BT123" s="171" t="n">
        <x:f>IF(BM123="","",F123*ABS(BR123))</x:f>
        <x:v>1.2426214805929723</x:v>
      </x:c>
      <x:c r="BU123" s="165" t="n">
        <x:v>1.595</x:v>
      </x:c>
      <x:c r="BV123" s="172" t="n">
        <x:f>IF(BM123="","",IF(BU123="","",IFERROR(BP123/BU123-1,0)))</x:f>
        <x:v>-0.028213166144200552</x:v>
      </x:c>
      <x:c r="BW123" s="166" t="n">
        <x:v>0.0667</x:v>
      </x:c>
      <x:c r="BX123" s="172" t="n">
        <x:f>IF(BM123="","",IF(BW123="","",BW123-BV123*365/BY123))</x:f>
        <x:v>0.43447877295118575</x:v>
      </x:c>
      <x:c r="BY123" s="164" t="n">
        <x:v>28</x:v>
      </x:c>
      <x:c r="BZ123" s="172" t="n">
        <x:f>IF(BM123="","",IFERROR(BR123*(BQ123/BP123-1),0))</x:f>
        <x:v>0.003225806451612856</x:v>
      </x:c>
      <x:c r="CA123" s="147"/>
      <x:c r="CB123" s="147"/>
      <x:c r="CC123" s="147"/>
      <x:c r="CD123" s="167"/>
      <x:c r="CE123" s="167"/>
      <x:c r="CF123" s="166"/>
      <x:c r="CG123" s="171" t="str">
        <x:f>IF(CA123="","",IFERROR(F123*CF123/CD123,0))</x:f>
      </x:c>
      <x:c r="CH123" s="171" t="str">
        <x:f>IF(CA123="","",F123*ABS(CF123))</x:f>
      </x:c>
      <x:c r="CI123" s="165"/>
      <x:c r="CJ123" s="172" t="str">
        <x:f>IF(CA123="","",IF(CI123="","",IFERROR(CD123/CI123-1,0)))</x:f>
      </x:c>
      <x:c r="CK123" s="166"/>
      <x:c r="CL123" s="172" t="str">
        <x:f>IF(CA123="","",IF(CK123="","",CK123-CJ123*365/CM123))</x:f>
      </x:c>
      <x:c r="CM123" s="164"/>
      <x:c r="CN123" s="172" t="str">
        <x:f>IF(CA123="","",IFERROR(CF123*(CE123/CD123-1),0))</x:f>
      </x:c>
      <x:c r="CO123" s="147"/>
      <x:c r="CP123" s="147"/>
      <x:c r="CQ123" s="147"/>
      <x:c r="CR123" s="167"/>
      <x:c r="CS123" s="167"/>
      <x:c r="CT123" s="166"/>
      <x:c r="CU123" s="171" t="str">
        <x:f>IF(CO123="","",IFERROR(F123*CT123/CR123,0))</x:f>
      </x:c>
      <x:c r="CV123" s="171" t="str">
        <x:f>IF(CO123="","",F123*ABS(CT123))</x:f>
      </x:c>
      <x:c r="CW123" s="165"/>
      <x:c r="CX123" s="172" t="str">
        <x:f>IF(CO123="","",IF(CW123="","",IFERROR(CR123/CW123-1,0)))</x:f>
      </x:c>
      <x:c r="CY123" s="166"/>
      <x:c r="CZ123" s="172" t="str">
        <x:f>IF(CO123="","",IF(CY123="","",CY123-CX123*365/DA123))</x:f>
      </x:c>
      <x:c r="DA123" s="164"/>
      <x:c r="DB123" s="172" t="str">
        <x:f>IF(CO123="","",IFERROR(CT123*(CS123/CR123-1),0))</x:f>
      </x:c>
      <x:c r="DC123" s="147"/>
      <x:c r="DD123" s="147"/>
      <x:c r="DE123" s="147"/>
      <x:c r="DF123" s="167"/>
      <x:c r="DG123" s="167"/>
      <x:c r="DH123" s="166"/>
      <x:c r="DI123" s="171" t="str">
        <x:f>IF(DC123="","",IFERROR(F123*DH123/DF123,0))</x:f>
      </x:c>
      <x:c r="DJ123" s="171" t="str">
        <x:f>IF(DC123="","",F123*ABS(DH123))</x:f>
      </x:c>
      <x:c r="DK123" s="165"/>
      <x:c r="DL123" s="172" t="str">
        <x:f>IF(DC123="","",IF(DK123="","",IFERROR(DF123/DK123-1,0)))</x:f>
      </x:c>
      <x:c r="DM123" s="166"/>
      <x:c r="DN123" s="172" t="str">
        <x:f>IF(DC123="","",IF(DM123="","",DM123-DL123*365/DO123))</x:f>
      </x:c>
      <x:c r="DO123" s="164"/>
      <x:c r="DP123" s="172" t="str">
        <x:f>IF(DC123="","",IFERROR(DH123*(DG123/DF123-1),0))</x:f>
      </x:c>
      <x:c r="DQ123" s="147"/>
      <x:c r="DR123" s="147"/>
      <x:c r="DS123" s="147"/>
      <x:c r="DT123" s="167"/>
      <x:c r="DU123" s="167"/>
      <x:c r="DV123" s="166"/>
      <x:c r="DW123" s="171" t="str">
        <x:f>IF(DQ123="","",IFERROR(F123*DV123/DT123,0))</x:f>
      </x:c>
      <x:c r="DX123" s="171" t="str">
        <x:f>IF(DQ123="","",F123*ABS(DV123))</x:f>
      </x:c>
      <x:c r="DY123" s="165"/>
      <x:c r="DZ123" s="172" t="str">
        <x:f>IF(DQ123="","",IF(DY123="","",IFERROR(DT123/DY123-1,0)))</x:f>
      </x:c>
      <x:c r="EA123" s="166"/>
      <x:c r="EB123" s="172" t="str">
        <x:f>IF(DQ123="","",IF(EA123="","",EA123-DZ123*365/EC123))</x:f>
      </x:c>
      <x:c r="EC123" s="164"/>
      <x:c r="ED123" s="172" t="str">
        <x:f>IF(DQ123="","",IFERROR(DV123*(DU123/DT123-1),0))</x:f>
      </x:c>
      <x:c r="EE123" s="147"/>
      <x:c r="EF123" s="147"/>
      <x:c r="EG123" s="147"/>
      <x:c r="EH123" s="167"/>
      <x:c r="EI123" s="167"/>
      <x:c r="EJ123" s="166"/>
      <x:c r="EK123" s="171" t="str">
        <x:f>IF(EE123="","",IFERROR(F123*EJ123/EH123,0))</x:f>
      </x:c>
      <x:c r="EL123" s="171" t="str">
        <x:f>IF(EE123="","",F123*ABS(EJ123))</x:f>
      </x:c>
      <x:c r="EM123" s="165"/>
      <x:c r="EN123" s="172" t="str">
        <x:f>IF(EE123="","",IF(EM123="","",IFERROR(EH123/EM123-1,0)))</x:f>
      </x:c>
      <x:c r="EO123" s="166"/>
      <x:c r="EP123" s="172" t="str">
        <x:f>IF(EE123="","",IF(EO123="","",EO123-EN123*365/EQ123))</x:f>
      </x:c>
      <x:c r="EQ123" s="164"/>
      <x:c r="ER123" s="172" t="str">
        <x:f>IF(EE123="","",IFERROR(EJ123*(EI123/EH123-1),0))</x:f>
      </x:c>
      <x:c r="ES123" s="147"/>
      <x:c r="ET123" s="147"/>
      <x:c r="EU123" s="147"/>
      <x:c r="EV123" s="167"/>
      <x:c r="EW123" s="167"/>
      <x:c r="EX123" s="166"/>
      <x:c r="EY123" s="171" t="str">
        <x:f>IF(ES123="","",IFERROR(F123*EX123/EV123,0))</x:f>
      </x:c>
      <x:c r="EZ123" s="171" t="str">
        <x:f>IF(ES123="","",F123*ABS(EX123))</x:f>
      </x:c>
      <x:c r="FA123" s="165"/>
      <x:c r="FB123" s="172" t="str">
        <x:f>IF(ES123="","",IF(FA123="","",IFERROR(EV123/FA123-1,0)))</x:f>
      </x:c>
      <x:c r="FC123" s="166"/>
      <x:c r="FD123" s="172" t="str">
        <x:f>IF(ES123="","",IF(FC123="","",FC123-FB123*365/FE123))</x:f>
      </x:c>
      <x:c r="FE123" s="164"/>
      <x:c r="FF123" s="172" t="str">
        <x:f>IF(ES123="","",IFERROR(EX123*(EW123/EV123-1),0))</x:f>
      </x:c>
      <x:c r="FG123" s="147"/>
      <x:c r="FH123" s="147"/>
      <x:c r="FI123" s="147"/>
      <x:c r="FJ123" s="167"/>
      <x:c r="FK123" s="167"/>
      <x:c r="FL123" s="166"/>
      <x:c r="FM123" s="171" t="str">
        <x:f>IF(FG123="","",IFERROR(F123*FL123/FJ123,0))</x:f>
      </x:c>
      <x:c r="FN123" s="171" t="str">
        <x:f>IF(FG123="","",F123*ABS(FL123))</x:f>
      </x:c>
      <x:c r="FO123" s="165"/>
      <x:c r="FP123" s="172" t="str">
        <x:f>IF(FG123="","",IF(FO123="","",IFERROR(FJ123/FO123-1,0)))</x:f>
      </x:c>
      <x:c r="FQ123" s="166"/>
      <x:c r="FR123" s="172" t="str">
        <x:f>IF(FG123="","",IF(FQ123="","",FQ123-FP123*365/FS123))</x:f>
      </x:c>
      <x:c r="FS123" s="164"/>
      <x:c r="FT123" s="172" t="str">
        <x:f>IF(FG123="","",IFERROR(FL123*(FK123/FJ123-1),0))</x:f>
      </x:c>
    </x:row>
    <x:row r="124" ht="18" customHeight="1">
      <x:c r="A124" s="163" t="n">
        <x:v>25386</x:v>
      </x:c>
      <x:c r="B124" s="163" t="n">
        <x:v>25387</x:v>
      </x:c>
      <x:c r="C124" s="170" t="n">
        <x:f>B124-A124</x:f>
        <x:v>1</x:v>
      </x:c>
      <x:c r="D124" s="163" t="n">
        <x:v>25386</x:v>
      </x:c>
      <x:c r="E124" s="147" t="str">
        <x:v>positive</x:v>
      </x:c>
      <x:c r="F124" s="165" t="n">
        <x:v>1.2468570132909012</x:v>
      </x:c>
      <x:c r="G124" s="168" t="n">
        <x:v>0.0027570048011278446</x:v>
      </x:c>
      <x:c r="H124" s="172" t="n">
        <x:f>SUM(AX124,BL124,BZ124,CN124,DB124,DP124,ED124,ER124,FF124,FT124)</x:f>
        <x:v>0.002757004801127838</x:v>
      </x:c>
      <x:c r="I124" s="174" t="n">
        <x:f>G124-H124</x:f>
        <x:v>6.5052130349130266e-18</x:v>
      </x:c>
      <x:c r="J124" s="171" t="n">
        <x:f>F124*(1+H124)</x:f>
        <x:v>1.2502946040628642</x:v>
      </x:c>
      <x:c r="K124" s="169" t="n">
        <x:v>1.2502946040628642</x:v>
      </x:c>
      <x:c r="L124" s="175" t="n">
        <x:f>K124-J124</x:f>
        <x:v>0</x:v>
      </x:c>
      <x:c r="M124" s="167" t="n">
        <x:v>1.57</x:v>
      </x:c>
      <x:c r="N124" s="167" t="n">
        <x:v>1.573</x:v>
      </x:c>
      <x:c r="O124" s="172" t="n">
        <x:f>IFERROR(N124/M124-1,0)</x:f>
        <x:v>0.0019108280254775956</x:v>
      </x:c>
      <x:c r="P124" s="171" t="n">
        <x:f>IFERROR(AD124/AH124,0)</x:f>
        <x:v>1.5549974726264877</x:v>
      </x:c>
      <x:c r="Q124" s="171" t="n">
        <x:f>IFERROR(AE124/AI124,0)</x:f>
        <x:v>1.5563107658964332</x:v>
      </x:c>
      <x:c r="R124" s="172" t="n">
        <x:f>IFERROR((Q124-P124)/(P124+S124),0)</x:f>
        <x:v>0.0008445629610749944</x:v>
      </x:c>
      <x:c r="S124" s="172" t="n">
        <x:f>IFERROR(AF124/AH124,0)</x:f>
        <x:v>0</x:v>
      </x:c>
      <x:c r="T124" s="172" t="n">
        <x:f>IFERROR(AG124/AI124,0)</x:f>
        <x:v>0</x:v>
      </x:c>
      <x:c r="U124" s="172" t="n">
        <x:f>IFERROR((T124-S124)/(P124+S124),0)</x:f>
        <x:v>0</x:v>
      </x:c>
      <x:c r="V124" s="172" t="n">
        <x:f>R124+U124</x:f>
        <x:v>0.0008445629610749944</x:v>
      </x:c>
      <x:c r="W124" s="172" t="n">
        <x:f>(1+O124)*(1+V124)-1</x:f>
        <x:v>0.002757004801127838</x:v>
      </x:c>
      <x:c r="X124" s="174" t="n">
        <x:f>G124-W124</x:f>
        <x:v>6.5052130349130266e-18</x:v>
      </x:c>
      <x:c r="Y124" s="172" t="str">
        <x:f>AX124</x:f>
      </x:c>
      <x:c r="Z124" s="172" t="n">
        <x:f>BL124</x:f>
        <x:v>0.0001846575342465684</x:v>
      </x:c>
      <x:c r="AA124" s="172" t="n">
        <x:f>SUM(BZ124,CN124,DB124,DP124,ED124,ER124,FF124,FT124)</x:f>
        <x:v>0.0025723472668812697</x:v>
      </x:c>
      <x:c r="AB124" s="172" t="n">
        <x:f>SUM(Y124:AA124)</x:f>
        <x:v>0.002757004801127838</x:v>
      </x:c>
      <x:c r="AC124" s="174" t="n">
        <x:f>G124-AB124</x:f>
        <x:v>6.5052130349130266e-18</x:v>
      </x:c>
      <x:c r="AD124" s="169" t="n">
        <x:v>1.2468570132909018</x:v>
      </x:c>
      <x:c r="AE124" s="169" t="n">
        <x:v>1.2502946040628649</x:v>
      </x:c>
      <x:c r="AF124" s="169" t="n">
        <x:v>0</x:v>
      </x:c>
      <x:c r="AG124" s="169" t="n">
        <x:v>0</x:v>
      </x:c>
      <x:c r="AH124" s="171" t="n">
        <x:f>M124/$M$3</x:f>
        <x:v>0.801838610827375</x:v>
      </x:c>
      <x:c r="AI124" s="171" t="n">
        <x:f>N124/$M$3</x:f>
        <x:v>0.8033707865168539</x:v>
      </x:c>
      <x:c r="AJ124" s="170" t="n">
        <x:f>IF(AK124&lt;&gt;"",1,0)+IF(AY124&lt;&gt;"",1,0)+IF(BM124&lt;&gt;"",1,0)+IF(CA124&lt;&gt;"",1,0)+IF(CO124&lt;&gt;"",1,0)+IF(DC124&lt;&gt;"",1,0)+IF(DQ124&lt;&gt;"",1,0)+IF(EE124&lt;&gt;"",1,0)+IF(ES124&lt;&gt;"",1,0)+IF(FG124&lt;&gt;"",1,0)</x:f>
        <x:v>2</x:v>
      </x:c>
      <x:c r="AK124" s="147"/>
      <x:c r="AL124" s="147"/>
      <x:c r="AM124" s="147"/>
      <x:c r="AN124" s="167"/>
      <x:c r="AO124" s="167"/>
      <x:c r="AP124" s="166"/>
      <x:c r="AQ124" s="171" t="str">
        <x:f>IF(AK124="","",IFERROR(F124*AP124/AN124,0))</x:f>
      </x:c>
      <x:c r="AR124" s="171" t="str">
        <x:f>IF(AK124="","",F124*ABS(AP124))</x:f>
      </x:c>
      <x:c r="AS124" s="165"/>
      <x:c r="AT124" s="172" t="str">
        <x:f>IF(AK124="","",IF(AS124="","",IFERROR(AN124/AS124-1,0)))</x:f>
      </x:c>
      <x:c r="AU124" s="166"/>
      <x:c r="AV124" s="172" t="str">
        <x:f>IF(AK124="","",IF(AU124="","",AU124-AT124*365/AW124))</x:f>
      </x:c>
      <x:c r="AW124" s="164"/>
      <x:c r="AX124" s="173" t="str">
        <x:f>IF(AK124="","",IFERROR(AP124*(AO124/AN124-1),0))</x:f>
      </x:c>
      <x:c r="AY124" s="147" t="str">
        <x:v>Matched-maturity Treasury collateral</x:v>
      </x:c>
      <x:c r="AZ124" s="147" t="str">
        <x:v>Treasury</x:v>
      </x:c>
      <x:c r="BA124" s="147" t="str">
        <x:v>Long</x:v>
      </x:c>
      <x:c r="BB124" s="167" t="n">
        <x:v>103.09346566620317</x:v>
      </x:c>
      <x:c r="BC124" s="167" t="n">
        <x:v>103.11250265137002</x:v>
      </x:c>
      <x:c r="BD124" s="166" t="n">
        <x:v>1</x:v>
      </x:c>
      <x:c r="BE124" s="171" t="n">
        <x:f>IF(AY124="","",IFERROR(F124*BD124/BB124,0))</x:f>
        <x:v>0.0120944330005161</x:v>
      </x:c>
      <x:c r="BF124" s="171" t="n">
        <x:f>IF(AY124="","",F124*ABS(BD124))</x:f>
        <x:v>1.2468570132909012</x:v>
      </x:c>
      <x:c r="BG124" s="165"/>
      <x:c r="BH124" s="172" t="str">
        <x:f>IF(AY124="","",IF(BG124="","",IFERROR(BB124/BG124-1,0)))</x:f>
      </x:c>
      <x:c r="BI124" s="166"/>
      <x:c r="BJ124" s="172" t="str">
        <x:f>IF(AY124="","",IF(BI124="","",BI124-BH124*365/BK124))</x:f>
      </x:c>
      <x:c r="BK124" s="164" t="n">
        <x:v>27</x:v>
      </x:c>
      <x:c r="BL124" s="172" t="n">
        <x:f>IF(AY124="","",IFERROR(BD124*(BC124/BB124-1),0))</x:f>
        <x:v>0.0001846575342465684</x:v>
      </x:c>
      <x:c r="BM124" s="147" t="str">
        <x:v>SI69N</x:v>
      </x:c>
      <x:c r="BN124" s="147" t="str">
        <x:v>Silver future (regular)</x:v>
      </x:c>
      <x:c r="BO124" s="147" t="str">
        <x:v>Long</x:v>
      </x:c>
      <x:c r="BP124" s="167" t="n">
        <x:v>1.555</x:v>
      </x:c>
      <x:c r="BQ124" s="167" t="n">
        <x:v>1.5590000000000002</x:v>
      </x:c>
      <x:c r="BR124" s="166" t="n">
        <x:v>1</x:v>
      </x:c>
      <x:c r="BS124" s="171" t="n">
        <x:f>IF(BM124="","",IFERROR(F124*BR124/BP124,0))</x:f>
        <x:v>0.8018373075825731</x:v>
      </x:c>
      <x:c r="BT124" s="171" t="n">
        <x:f>IF(BM124="","",F124*ABS(BR124))</x:f>
        <x:v>1.2468570132909012</x:v>
      </x:c>
      <x:c r="BU124" s="165" t="n">
        <x:v>1.57</x:v>
      </x:c>
      <x:c r="BV124" s="172" t="n">
        <x:f>IF(BM124="","",IF(BU124="","",IFERROR(BP124/BU124-1,0)))</x:f>
        <x:v>-0.009554140127388644</x:v>
      </x:c>
      <x:c r="BW124" s="166" t="n">
        <x:v>0.0674</x:v>
      </x:c>
      <x:c r="BX124" s="172" t="n">
        <x:f>IF(BM124="","",IF(BW124="","",BW124-BV124*365/BY124))</x:f>
        <x:v>0.19655782024062424</x:v>
      </x:c>
      <x:c r="BY124" s="164" t="n">
        <x:v>27</x:v>
      </x:c>
      <x:c r="BZ124" s="172" t="n">
        <x:f>IF(BM124="","",IFERROR(BR124*(BQ124/BP124-1),0))</x:f>
        <x:v>0.0025723472668812697</x:v>
      </x:c>
      <x:c r="CA124" s="147"/>
      <x:c r="CB124" s="147"/>
      <x:c r="CC124" s="147"/>
      <x:c r="CD124" s="167"/>
      <x:c r="CE124" s="167"/>
      <x:c r="CF124" s="166"/>
      <x:c r="CG124" s="171" t="str">
        <x:f>IF(CA124="","",IFERROR(F124*CF124/CD124,0))</x:f>
      </x:c>
      <x:c r="CH124" s="171" t="str">
        <x:f>IF(CA124="","",F124*ABS(CF124))</x:f>
      </x:c>
      <x:c r="CI124" s="165"/>
      <x:c r="CJ124" s="172" t="str">
        <x:f>IF(CA124="","",IF(CI124="","",IFERROR(CD124/CI124-1,0)))</x:f>
      </x:c>
      <x:c r="CK124" s="166"/>
      <x:c r="CL124" s="172" t="str">
        <x:f>IF(CA124="","",IF(CK124="","",CK124-CJ124*365/CM124))</x:f>
      </x:c>
      <x:c r="CM124" s="164"/>
      <x:c r="CN124" s="172" t="str">
        <x:f>IF(CA124="","",IFERROR(CF124*(CE124/CD124-1),0))</x:f>
      </x:c>
      <x:c r="CO124" s="147"/>
      <x:c r="CP124" s="147"/>
      <x:c r="CQ124" s="147"/>
      <x:c r="CR124" s="167"/>
      <x:c r="CS124" s="167"/>
      <x:c r="CT124" s="166"/>
      <x:c r="CU124" s="171" t="str">
        <x:f>IF(CO124="","",IFERROR(F124*CT124/CR124,0))</x:f>
      </x:c>
      <x:c r="CV124" s="171" t="str">
        <x:f>IF(CO124="","",F124*ABS(CT124))</x:f>
      </x:c>
      <x:c r="CW124" s="165"/>
      <x:c r="CX124" s="172" t="str">
        <x:f>IF(CO124="","",IF(CW124="","",IFERROR(CR124/CW124-1,0)))</x:f>
      </x:c>
      <x:c r="CY124" s="166"/>
      <x:c r="CZ124" s="172" t="str">
        <x:f>IF(CO124="","",IF(CY124="","",CY124-CX124*365/DA124))</x:f>
      </x:c>
      <x:c r="DA124" s="164"/>
      <x:c r="DB124" s="172" t="str">
        <x:f>IF(CO124="","",IFERROR(CT124*(CS124/CR124-1),0))</x:f>
      </x:c>
      <x:c r="DC124" s="147"/>
      <x:c r="DD124" s="147"/>
      <x:c r="DE124" s="147"/>
      <x:c r="DF124" s="167"/>
      <x:c r="DG124" s="167"/>
      <x:c r="DH124" s="166"/>
      <x:c r="DI124" s="171" t="str">
        <x:f>IF(DC124="","",IFERROR(F124*DH124/DF124,0))</x:f>
      </x:c>
      <x:c r="DJ124" s="171" t="str">
        <x:f>IF(DC124="","",F124*ABS(DH124))</x:f>
      </x:c>
      <x:c r="DK124" s="165"/>
      <x:c r="DL124" s="172" t="str">
        <x:f>IF(DC124="","",IF(DK124="","",IFERROR(DF124/DK124-1,0)))</x:f>
      </x:c>
      <x:c r="DM124" s="166"/>
      <x:c r="DN124" s="172" t="str">
        <x:f>IF(DC124="","",IF(DM124="","",DM124-DL124*365/DO124))</x:f>
      </x:c>
      <x:c r="DO124" s="164"/>
      <x:c r="DP124" s="172" t="str">
        <x:f>IF(DC124="","",IFERROR(DH124*(DG124/DF124-1),0))</x:f>
      </x:c>
      <x:c r="DQ124" s="147"/>
      <x:c r="DR124" s="147"/>
      <x:c r="DS124" s="147"/>
      <x:c r="DT124" s="167"/>
      <x:c r="DU124" s="167"/>
      <x:c r="DV124" s="166"/>
      <x:c r="DW124" s="171" t="str">
        <x:f>IF(DQ124="","",IFERROR(F124*DV124/DT124,0))</x:f>
      </x:c>
      <x:c r="DX124" s="171" t="str">
        <x:f>IF(DQ124="","",F124*ABS(DV124))</x:f>
      </x:c>
      <x:c r="DY124" s="165"/>
      <x:c r="DZ124" s="172" t="str">
        <x:f>IF(DQ124="","",IF(DY124="","",IFERROR(DT124/DY124-1,0)))</x:f>
      </x:c>
      <x:c r="EA124" s="166"/>
      <x:c r="EB124" s="172" t="str">
        <x:f>IF(DQ124="","",IF(EA124="","",EA124-DZ124*365/EC124))</x:f>
      </x:c>
      <x:c r="EC124" s="164"/>
      <x:c r="ED124" s="172" t="str">
        <x:f>IF(DQ124="","",IFERROR(DV124*(DU124/DT124-1),0))</x:f>
      </x:c>
      <x:c r="EE124" s="147"/>
      <x:c r="EF124" s="147"/>
      <x:c r="EG124" s="147"/>
      <x:c r="EH124" s="167"/>
      <x:c r="EI124" s="167"/>
      <x:c r="EJ124" s="166"/>
      <x:c r="EK124" s="171" t="str">
        <x:f>IF(EE124="","",IFERROR(F124*EJ124/EH124,0))</x:f>
      </x:c>
      <x:c r="EL124" s="171" t="str">
        <x:f>IF(EE124="","",F124*ABS(EJ124))</x:f>
      </x:c>
      <x:c r="EM124" s="165"/>
      <x:c r="EN124" s="172" t="str">
        <x:f>IF(EE124="","",IF(EM124="","",IFERROR(EH124/EM124-1,0)))</x:f>
      </x:c>
      <x:c r="EO124" s="166"/>
      <x:c r="EP124" s="172" t="str">
        <x:f>IF(EE124="","",IF(EO124="","",EO124-EN124*365/EQ124))</x:f>
      </x:c>
      <x:c r="EQ124" s="164"/>
      <x:c r="ER124" s="172" t="str">
        <x:f>IF(EE124="","",IFERROR(EJ124*(EI124/EH124-1),0))</x:f>
      </x:c>
      <x:c r="ES124" s="147"/>
      <x:c r="ET124" s="147"/>
      <x:c r="EU124" s="147"/>
      <x:c r="EV124" s="167"/>
      <x:c r="EW124" s="167"/>
      <x:c r="EX124" s="166"/>
      <x:c r="EY124" s="171" t="str">
        <x:f>IF(ES124="","",IFERROR(F124*EX124/EV124,0))</x:f>
      </x:c>
      <x:c r="EZ124" s="171" t="str">
        <x:f>IF(ES124="","",F124*ABS(EX124))</x:f>
      </x:c>
      <x:c r="FA124" s="165"/>
      <x:c r="FB124" s="172" t="str">
        <x:f>IF(ES124="","",IF(FA124="","",IFERROR(EV124/FA124-1,0)))</x:f>
      </x:c>
      <x:c r="FC124" s="166"/>
      <x:c r="FD124" s="172" t="str">
        <x:f>IF(ES124="","",IF(FC124="","",FC124-FB124*365/FE124))</x:f>
      </x:c>
      <x:c r="FE124" s="164"/>
      <x:c r="FF124" s="172" t="str">
        <x:f>IF(ES124="","",IFERROR(EX124*(EW124/EV124-1),0))</x:f>
      </x:c>
      <x:c r="FG124" s="147"/>
      <x:c r="FH124" s="147"/>
      <x:c r="FI124" s="147"/>
      <x:c r="FJ124" s="167"/>
      <x:c r="FK124" s="167"/>
      <x:c r="FL124" s="166"/>
      <x:c r="FM124" s="171" t="str">
        <x:f>IF(FG124="","",IFERROR(F124*FL124/FJ124,0))</x:f>
      </x:c>
      <x:c r="FN124" s="171" t="str">
        <x:f>IF(FG124="","",F124*ABS(FL124))</x:f>
      </x:c>
      <x:c r="FO124" s="165"/>
      <x:c r="FP124" s="172" t="str">
        <x:f>IF(FG124="","",IF(FO124="","",IFERROR(FJ124/FO124-1,0)))</x:f>
      </x:c>
      <x:c r="FQ124" s="166"/>
      <x:c r="FR124" s="172" t="str">
        <x:f>IF(FG124="","",IF(FQ124="","",FQ124-FP124*365/FS124))</x:f>
      </x:c>
      <x:c r="FS124" s="164"/>
      <x:c r="FT124" s="172" t="str">
        <x:f>IF(FG124="","",IFERROR(FL124*(FK124/FJ124-1),0))</x:f>
      </x:c>
    </x:row>
    <x:row r="125" ht="18" customHeight="1">
      <x:c r="A125" s="163" t="n">
        <x:v>25387</x:v>
      </x:c>
      <x:c r="B125" s="163" t="n">
        <x:v>25391</x:v>
      </x:c>
      <x:c r="C125" s="170" t="n">
        <x:f>B125-A125</x:f>
        <x:v>4</x:v>
      </x:c>
      <x:c r="D125" s="163" t="n">
        <x:v>25387</x:v>
      </x:c>
      <x:c r="E125" s="147" t="str">
        <x:v>positive</x:v>
      </x:c>
      <x:c r="F125" s="165" t="n">
        <x:v>1.2502946040628642</x:v>
      </x:c>
      <x:c r="G125" s="168" t="n">
        <x:v>0.022555153197958012</x:v>
      </x:c>
      <x:c r="H125" s="172" t="n">
        <x:f>SUM(AX125,BL125,BZ125,CN125,DB125,DP125,ED125,ER125,FF125,FT125)</x:f>
        <x:v>0.022555153197957978</x:v>
      </x:c>
      <x:c r="I125" s="174" t="n">
        <x:f>G125-H125</x:f>
        <x:v>3.469446951953614e-17</x:v>
      </x:c>
      <x:c r="J125" s="171" t="n">
        <x:f>F125*(1+H125)</x:f>
        <x:v>1.2784951904000823</x:v>
      </x:c>
      <x:c r="K125" s="169" t="n">
        <x:v>1.2784951904000823</x:v>
      </x:c>
      <x:c r="L125" s="175" t="n">
        <x:f>K125-J125</x:f>
        <x:v>0</x:v>
      </x:c>
      <x:c r="M125" s="167" t="n">
        <x:v>1.573</x:v>
      </x:c>
      <x:c r="N125" s="167" t="n">
        <x:v>1.594</x:v>
      </x:c>
      <x:c r="O125" s="172" t="n">
        <x:f>IFERROR(N125/M125-1,0)</x:f>
        <x:v>0.013350286077558948</x:v>
      </x:c>
      <x:c r="P125" s="171" t="n">
        <x:f>IFERROR(AD125/AH125,0)</x:f>
        <x:v>1.5563107658964332</x:v>
      </x:c>
      <x:c r="Q125" s="171" t="n">
        <x:f>IFERROR(AE125/AI125,0)</x:f>
        <x:v>1.5704476680071282</x:v>
      </x:c>
      <x:c r="R125" s="172" t="n">
        <x:f>IFERROR((Q125-P125)/(P125+S125),0)</x:f>
        <x:v>0.00908359848205003</x:v>
      </x:c>
      <x:c r="S125" s="172" t="n">
        <x:f>IFERROR(AF125/AH125,0)</x:f>
        <x:v>0</x:v>
      </x:c>
      <x:c r="T125" s="172" t="n">
        <x:f>IFERROR(AG125/AI125,0)</x:f>
        <x:v>0</x:v>
      </x:c>
      <x:c r="U125" s="172" t="n">
        <x:f>IFERROR((T125-S125)/(P125+S125),0)</x:f>
        <x:v>0</x:v>
      </x:c>
      <x:c r="V125" s="172" t="n">
        <x:f>R125+U125</x:f>
        <x:v>0.00908359848205003</x:v>
      </x:c>
      <x:c r="W125" s="172" t="n">
        <x:f>(1+O125)*(1+V125)-1</x:f>
        <x:v>0.0225551531979582</x:v>
      </x:c>
      <x:c r="X125" s="174" t="n">
        <x:f>G125-W125</x:f>
        <x:v>-1.8735013540549517e-16</x:v>
      </x:c>
      <x:c r="Y125" s="172" t="str">
        <x:f>AX125</x:f>
      </x:c>
      <x:c r="Z125" s="172" t="n">
        <x:f>BL125</x:f>
        <x:v>0.0007463013698629783</x:v>
      </x:c>
      <x:c r="AA125" s="172" t="n">
        <x:f>SUM(BZ125,CN125,DB125,DP125,ED125,ER125,FF125,FT125)</x:f>
        <x:v>0.021808851828095</x:v>
      </x:c>
      <x:c r="AB125" s="172" t="n">
        <x:f>SUM(Y125:AA125)</x:f>
        <x:v>0.022555153197957978</x:v>
      </x:c>
      <x:c r="AC125" s="174" t="n">
        <x:f>G125-AB125</x:f>
        <x:v>3.469446951953614e-17</x:v>
      </x:c>
      <x:c r="AD125" s="169" t="n">
        <x:v>1.2502946040628649</x:v>
      </x:c>
      <x:c r="AE125" s="169" t="n">
        <x:v>1.278495190400083</x:v>
      </x:c>
      <x:c r="AF125" s="169" t="n">
        <x:v>0</x:v>
      </x:c>
      <x:c r="AG125" s="169" t="n">
        <x:v>0</x:v>
      </x:c>
      <x:c r="AH125" s="171" t="n">
        <x:f>M125/$M$3</x:f>
        <x:v>0.8033707865168539</x:v>
      </x:c>
      <x:c r="AI125" s="171" t="n">
        <x:f>N125/$M$3</x:f>
        <x:v>0.8140960163432074</x:v>
      </x:c>
      <x:c r="AJ125" s="170" t="n">
        <x:f>IF(AK125&lt;&gt;"",1,0)+IF(AY125&lt;&gt;"",1,0)+IF(BM125&lt;&gt;"",1,0)+IF(CA125&lt;&gt;"",1,0)+IF(CO125&lt;&gt;"",1,0)+IF(DC125&lt;&gt;"",1,0)+IF(DQ125&lt;&gt;"",1,0)+IF(EE125&lt;&gt;"",1,0)+IF(ES125&lt;&gt;"",1,0)+IF(FG125&lt;&gt;"",1,0)</x:f>
        <x:v>2</x:v>
      </x:c>
      <x:c r="AK125" s="147"/>
      <x:c r="AL125" s="147"/>
      <x:c r="AM125" s="147"/>
      <x:c r="AN125" s="167"/>
      <x:c r="AO125" s="167"/>
      <x:c r="AP125" s="166"/>
      <x:c r="AQ125" s="171" t="str">
        <x:f>IF(AK125="","",IFERROR(F125*AP125/AN125,0))</x:f>
      </x:c>
      <x:c r="AR125" s="171" t="str">
        <x:f>IF(AK125="","",F125*ABS(AP125))</x:f>
      </x:c>
      <x:c r="AS125" s="165"/>
      <x:c r="AT125" s="172" t="str">
        <x:f>IF(AK125="","",IF(AS125="","",IFERROR(AN125/AS125-1,0)))</x:f>
      </x:c>
      <x:c r="AU125" s="166"/>
      <x:c r="AV125" s="172" t="str">
        <x:f>IF(AK125="","",IF(AU125="","",AU125-AT125*365/AW125))</x:f>
      </x:c>
      <x:c r="AW125" s="164"/>
      <x:c r="AX125" s="173" t="str">
        <x:f>IF(AK125="","",IFERROR(AP125*(AO125/AN125-1),0))</x:f>
      </x:c>
      <x:c r="AY125" s="147" t="str">
        <x:v>Matched-maturity Treasury collateral</x:v>
      </x:c>
      <x:c r="AZ125" s="147" t="str">
        <x:v>Treasury</x:v>
      </x:c>
      <x:c r="BA125" s="147" t="str">
        <x:v>Long</x:v>
      </x:c>
      <x:c r="BB125" s="167" t="n">
        <x:v>103.11250265137002</x:v>
      </x:c>
      <x:c r="BC125" s="167" t="n">
        <x:v>103.18945565334874</x:v>
      </x:c>
      <x:c r="BD125" s="166" t="n">
        <x:v>1</x:v>
      </x:c>
      <x:c r="BE125" s="171" t="n">
        <x:f>IF(AY125="","",IFERROR(F125*BD125/BB125,0))</x:f>
        <x:v>0.012125538338354471</x:v>
      </x:c>
      <x:c r="BF125" s="171" t="n">
        <x:f>IF(AY125="","",F125*ABS(BD125))</x:f>
        <x:v>1.2502946040628642</x:v>
      </x:c>
      <x:c r="BG125" s="165"/>
      <x:c r="BH125" s="172" t="str">
        <x:f>IF(AY125="","",IF(BG125="","",IFERROR(BB125/BG125-1,0)))</x:f>
      </x:c>
      <x:c r="BI125" s="166"/>
      <x:c r="BJ125" s="172" t="str">
        <x:f>IF(AY125="","",IF(BI125="","",BI125-BH125*365/BK125))</x:f>
      </x:c>
      <x:c r="BK125" s="164" t="n">
        <x:v>26</x:v>
      </x:c>
      <x:c r="BL125" s="172" t="n">
        <x:f>IF(AY125="","",IFERROR(BD125*(BC125/BB125-1),0))</x:f>
        <x:v>0.0007463013698629783</x:v>
      </x:c>
      <x:c r="BM125" s="147" t="str">
        <x:v>SI69N</x:v>
      </x:c>
      <x:c r="BN125" s="147" t="str">
        <x:v>Silver future (regular)</x:v>
      </x:c>
      <x:c r="BO125" s="147" t="str">
        <x:v>Long</x:v>
      </x:c>
      <x:c r="BP125" s="167" t="n">
        <x:v>1.5590000000000002</x:v>
      </x:c>
      <x:c r="BQ125" s="167" t="n">
        <x:v>1.5930000000000002</x:v>
      </x:c>
      <x:c r="BR125" s="166" t="n">
        <x:v>1</x:v>
      </x:c>
      <x:c r="BS125" s="171" t="n">
        <x:f>IF(BM125="","",IFERROR(F125*BR125/BP125,0))</x:f>
        <x:v>0.8019849929845183</x:v>
      </x:c>
      <x:c r="BT125" s="171" t="n">
        <x:f>IF(BM125="","",F125*ABS(BR125))</x:f>
        <x:v>1.2502946040628642</x:v>
      </x:c>
      <x:c r="BU125" s="165" t="n">
        <x:v>1.573</x:v>
      </x:c>
      <x:c r="BV125" s="172" t="n">
        <x:f>IF(BM125="","",IF(BU125="","",IFERROR(BP125/BU125-1,0)))</x:f>
        <x:v>-0.008900190718372447</x:v>
      </x:c>
      <x:c r="BW125" s="166" t="n">
        <x:v>0.0681</x:v>
      </x:c>
      <x:c r="BX125" s="172" t="n">
        <x:f>IF(BM125="","",IF(BW125="","",BW125-BV125*365/BY125))</x:f>
        <x:v>0.19304498508484397</x:v>
      </x:c>
      <x:c r="BY125" s="164" t="n">
        <x:v>26</x:v>
      </x:c>
      <x:c r="BZ125" s="172" t="n">
        <x:f>IF(BM125="","",IFERROR(BR125*(BQ125/BP125-1),0))</x:f>
        <x:v>0.021808851828095</x:v>
      </x:c>
      <x:c r="CA125" s="147"/>
      <x:c r="CB125" s="147"/>
      <x:c r="CC125" s="147"/>
      <x:c r="CD125" s="167"/>
      <x:c r="CE125" s="167"/>
      <x:c r="CF125" s="166"/>
      <x:c r="CG125" s="171" t="str">
        <x:f>IF(CA125="","",IFERROR(F125*CF125/CD125,0))</x:f>
      </x:c>
      <x:c r="CH125" s="171" t="str">
        <x:f>IF(CA125="","",F125*ABS(CF125))</x:f>
      </x:c>
      <x:c r="CI125" s="165"/>
      <x:c r="CJ125" s="172" t="str">
        <x:f>IF(CA125="","",IF(CI125="","",IFERROR(CD125/CI125-1,0)))</x:f>
      </x:c>
      <x:c r="CK125" s="166"/>
      <x:c r="CL125" s="172" t="str">
        <x:f>IF(CA125="","",IF(CK125="","",CK125-CJ125*365/CM125))</x:f>
      </x:c>
      <x:c r="CM125" s="164"/>
      <x:c r="CN125" s="172" t="str">
        <x:f>IF(CA125="","",IFERROR(CF125*(CE125/CD125-1),0))</x:f>
      </x:c>
      <x:c r="CO125" s="147"/>
      <x:c r="CP125" s="147"/>
      <x:c r="CQ125" s="147"/>
      <x:c r="CR125" s="167"/>
      <x:c r="CS125" s="167"/>
      <x:c r="CT125" s="166"/>
      <x:c r="CU125" s="171" t="str">
        <x:f>IF(CO125="","",IFERROR(F125*CT125/CR125,0))</x:f>
      </x:c>
      <x:c r="CV125" s="171" t="str">
        <x:f>IF(CO125="","",F125*ABS(CT125))</x:f>
      </x:c>
      <x:c r="CW125" s="165"/>
      <x:c r="CX125" s="172" t="str">
        <x:f>IF(CO125="","",IF(CW125="","",IFERROR(CR125/CW125-1,0)))</x:f>
      </x:c>
      <x:c r="CY125" s="166"/>
      <x:c r="CZ125" s="172" t="str">
        <x:f>IF(CO125="","",IF(CY125="","",CY125-CX125*365/DA125))</x:f>
      </x:c>
      <x:c r="DA125" s="164"/>
      <x:c r="DB125" s="172" t="str">
        <x:f>IF(CO125="","",IFERROR(CT125*(CS125/CR125-1),0))</x:f>
      </x:c>
      <x:c r="DC125" s="147"/>
      <x:c r="DD125" s="147"/>
      <x:c r="DE125" s="147"/>
      <x:c r="DF125" s="167"/>
      <x:c r="DG125" s="167"/>
      <x:c r="DH125" s="166"/>
      <x:c r="DI125" s="171" t="str">
        <x:f>IF(DC125="","",IFERROR(F125*DH125/DF125,0))</x:f>
      </x:c>
      <x:c r="DJ125" s="171" t="str">
        <x:f>IF(DC125="","",F125*ABS(DH125))</x:f>
      </x:c>
      <x:c r="DK125" s="165"/>
      <x:c r="DL125" s="172" t="str">
        <x:f>IF(DC125="","",IF(DK125="","",IFERROR(DF125/DK125-1,0)))</x:f>
      </x:c>
      <x:c r="DM125" s="166"/>
      <x:c r="DN125" s="172" t="str">
        <x:f>IF(DC125="","",IF(DM125="","",DM125-DL125*365/DO125))</x:f>
      </x:c>
      <x:c r="DO125" s="164"/>
      <x:c r="DP125" s="172" t="str">
        <x:f>IF(DC125="","",IFERROR(DH125*(DG125/DF125-1),0))</x:f>
      </x:c>
      <x:c r="DQ125" s="147"/>
      <x:c r="DR125" s="147"/>
      <x:c r="DS125" s="147"/>
      <x:c r="DT125" s="167"/>
      <x:c r="DU125" s="167"/>
      <x:c r="DV125" s="166"/>
      <x:c r="DW125" s="171" t="str">
        <x:f>IF(DQ125="","",IFERROR(F125*DV125/DT125,0))</x:f>
      </x:c>
      <x:c r="DX125" s="171" t="str">
        <x:f>IF(DQ125="","",F125*ABS(DV125))</x:f>
      </x:c>
      <x:c r="DY125" s="165"/>
      <x:c r="DZ125" s="172" t="str">
        <x:f>IF(DQ125="","",IF(DY125="","",IFERROR(DT125/DY125-1,0)))</x:f>
      </x:c>
      <x:c r="EA125" s="166"/>
      <x:c r="EB125" s="172" t="str">
        <x:f>IF(DQ125="","",IF(EA125="","",EA125-DZ125*365/EC125))</x:f>
      </x:c>
      <x:c r="EC125" s="164"/>
      <x:c r="ED125" s="172" t="str">
        <x:f>IF(DQ125="","",IFERROR(DV125*(DU125/DT125-1),0))</x:f>
      </x:c>
      <x:c r="EE125" s="147"/>
      <x:c r="EF125" s="147"/>
      <x:c r="EG125" s="147"/>
      <x:c r="EH125" s="167"/>
      <x:c r="EI125" s="167"/>
      <x:c r="EJ125" s="166"/>
      <x:c r="EK125" s="171" t="str">
        <x:f>IF(EE125="","",IFERROR(F125*EJ125/EH125,0))</x:f>
      </x:c>
      <x:c r="EL125" s="171" t="str">
        <x:f>IF(EE125="","",F125*ABS(EJ125))</x:f>
      </x:c>
      <x:c r="EM125" s="165"/>
      <x:c r="EN125" s="172" t="str">
        <x:f>IF(EE125="","",IF(EM125="","",IFERROR(EH125/EM125-1,0)))</x:f>
      </x:c>
      <x:c r="EO125" s="166"/>
      <x:c r="EP125" s="172" t="str">
        <x:f>IF(EE125="","",IF(EO125="","",EO125-EN125*365/EQ125))</x:f>
      </x:c>
      <x:c r="EQ125" s="164"/>
      <x:c r="ER125" s="172" t="str">
        <x:f>IF(EE125="","",IFERROR(EJ125*(EI125/EH125-1),0))</x:f>
      </x:c>
      <x:c r="ES125" s="147"/>
      <x:c r="ET125" s="147"/>
      <x:c r="EU125" s="147"/>
      <x:c r="EV125" s="167"/>
      <x:c r="EW125" s="167"/>
      <x:c r="EX125" s="166"/>
      <x:c r="EY125" s="171" t="str">
        <x:f>IF(ES125="","",IFERROR(F125*EX125/EV125,0))</x:f>
      </x:c>
      <x:c r="EZ125" s="171" t="str">
        <x:f>IF(ES125="","",F125*ABS(EX125))</x:f>
      </x:c>
      <x:c r="FA125" s="165"/>
      <x:c r="FB125" s="172" t="str">
        <x:f>IF(ES125="","",IF(FA125="","",IFERROR(EV125/FA125-1,0)))</x:f>
      </x:c>
      <x:c r="FC125" s="166"/>
      <x:c r="FD125" s="172" t="str">
        <x:f>IF(ES125="","",IF(FC125="","",FC125-FB125*365/FE125))</x:f>
      </x:c>
      <x:c r="FE125" s="164"/>
      <x:c r="FF125" s="172" t="str">
        <x:f>IF(ES125="","",IFERROR(EX125*(EW125/EV125-1),0))</x:f>
      </x:c>
      <x:c r="FG125" s="147"/>
      <x:c r="FH125" s="147"/>
      <x:c r="FI125" s="147"/>
      <x:c r="FJ125" s="167"/>
      <x:c r="FK125" s="167"/>
      <x:c r="FL125" s="166"/>
      <x:c r="FM125" s="171" t="str">
        <x:f>IF(FG125="","",IFERROR(F125*FL125/FJ125,0))</x:f>
      </x:c>
      <x:c r="FN125" s="171" t="str">
        <x:f>IF(FG125="","",F125*ABS(FL125))</x:f>
      </x:c>
      <x:c r="FO125" s="165"/>
      <x:c r="FP125" s="172" t="str">
        <x:f>IF(FG125="","",IF(FO125="","",IFERROR(FJ125/FO125-1,0)))</x:f>
      </x:c>
      <x:c r="FQ125" s="166"/>
      <x:c r="FR125" s="172" t="str">
        <x:f>IF(FG125="","",IF(FQ125="","",FQ125-FP125*365/FS125))</x:f>
      </x:c>
      <x:c r="FS125" s="164"/>
      <x:c r="FT125" s="172" t="str">
        <x:f>IF(FG125="","",IFERROR(FL125*(FK125/FJ125-1),0))</x:f>
      </x:c>
    </x:row>
    <x:row r="126" ht="18" customHeight="1">
      <x:c r="A126" s="163" t="n">
        <x:v>25391</x:v>
      </x:c>
      <x:c r="B126" s="163" t="n">
        <x:v>25392</x:v>
      </x:c>
      <x:c r="C126" s="170" t="n">
        <x:f>B126-A126</x:f>
        <x:v>1</x:v>
      </x:c>
      <x:c r="D126" s="163" t="n">
        <x:v>25391</x:v>
      </x:c>
      <x:c r="E126" s="147" t="str">
        <x:v>positive</x:v>
      </x:c>
      <x:c r="F126" s="165" t="n">
        <x:v>1.2784951904000823</x:v>
      </x:c>
      <x:c r="G126" s="168" t="n">
        <x:v>0.005721736757684743</x:v>
      </x:c>
      <x:c r="H126" s="172" t="n">
        <x:f>SUM(AX126,BL126,BZ126,CN126,DB126,DP126,ED126,ER126,FF126,FT126)</x:f>
        <x:v>0.005721736757684797</x:v>
      </x:c>
      <x:c r="I126" s="174" t="n">
        <x:f>G126-H126</x:f>
        <x:v>-5.377642775528102e-17</x:v>
      </x:c>
      <x:c r="J126" s="171" t="n">
        <x:f>F126*(1+H126)</x:f>
        <x:v>1.2858104033255175</x:v>
      </x:c>
      <x:c r="K126" s="169" t="n">
        <x:v>1.2858104033255175</x:v>
      </x:c>
      <x:c r="L126" s="175" t="n">
        <x:f>K126-J126</x:f>
        <x:v>0</x:v>
      </x:c>
      <x:c r="M126" s="167" t="n">
        <x:v>1.594</x:v>
      </x:c>
      <x:c r="N126" s="167" t="n">
        <x:v>1.613</x:v>
      </x:c>
      <x:c r="O126" s="172" t="n">
        <x:f>IFERROR(N126/M126-1,0)</x:f>
        <x:v>0.011919698870765272</x:v>
      </x:c>
      <x:c r="P126" s="171" t="n">
        <x:f>IFERROR(AD126/AH126,0)</x:f>
        <x:v>1.5704476680071282</x:v>
      </x:c>
      <x:c r="Q126" s="171" t="n">
        <x:f>IFERROR(AE126/AI126,0)</x:f>
        <x:v>1.5608287474961962</x:v>
      </x:c>
      <x:c r="R126" s="172" t="n">
        <x:f>IFERROR((Q126-P126)/(P126+S126),0)</x:f>
        <x:v>-0.006124954499845447</x:v>
      </x:c>
      <x:c r="S126" s="172" t="n">
        <x:f>IFERROR(AF126/AH126,0)</x:f>
        <x:v>0</x:v>
      </x:c>
      <x:c r="T126" s="172" t="n">
        <x:f>IFERROR(AG126/AI126,0)</x:f>
        <x:v>0</x:v>
      </x:c>
      <x:c r="U126" s="172" t="n">
        <x:f>IFERROR((T126-S126)/(P126+S126),0)</x:f>
        <x:v>0</x:v>
      </x:c>
      <x:c r="V126" s="172" t="n">
        <x:f>R126+U126</x:f>
        <x:v>-0.006124954499845447</x:v>
      </x:c>
      <x:c r="W126" s="172" t="n">
        <x:f>(1+O126)*(1+V126)-1</x:f>
        <x:v>0.0057217367576845035</x:v>
      </x:c>
      <x:c r="X126" s="174" t="n">
        <x:f>G126-W126</x:f>
        <x:v>2.393918396847994e-16</x:v>
      </x:c>
      <x:c r="Y126" s="172" t="n">
        <x:f>AX126</x:f>
        <x:v>0.0056222018819755545</x:v>
      </x:c>
      <x:c r="Z126" s="172" t="n">
        <x:f>BL126</x:f>
        <x:v>0.00009953487570924215</x:v>
      </x:c>
      <x:c r="AA126" s="172" t="n">
        <x:f>SUM(BZ126,CN126,DB126,DP126,ED126,ER126,FF126,FT126)</x:f>
        <x:v>0</x:v>
      </x:c>
      <x:c r="AB126" s="172" t="n">
        <x:f>SUM(Y126:AA126)</x:f>
        <x:v>0.005721736757684797</x:v>
      </x:c>
      <x:c r="AC126" s="174" t="n">
        <x:f>G126-AB126</x:f>
        <x:v>-5.377642775528102e-17</x:v>
      </x:c>
      <x:c r="AD126" s="169" t="n">
        <x:v>1.278495190400083</x:v>
      </x:c>
      <x:c r="AE126" s="169" t="n">
        <x:v>1.2858104033255182</x:v>
      </x:c>
      <x:c r="AF126" s="169" t="n">
        <x:v>0</x:v>
      </x:c>
      <x:c r="AG126" s="169" t="n">
        <x:v>0</x:v>
      </x:c>
      <x:c r="AH126" s="171" t="n">
        <x:f>M126/$M$3</x:f>
        <x:v>0.8140960163432074</x:v>
      </x:c>
      <x:c r="AI126" s="171" t="n">
        <x:f>N126/$M$3</x:f>
        <x:v>0.8237997957099081</x:v>
      </x:c>
      <x:c r="AJ126" s="170" t="n">
        <x:f>IF(AK126&lt;&gt;"",1,0)+IF(AY126&lt;&gt;"",1,0)+IF(BM126&lt;&gt;"",1,0)+IF(CA126&lt;&gt;"",1,0)+IF(CO126&lt;&gt;"",1,0)+IF(DC126&lt;&gt;"",1,0)+IF(DQ126&lt;&gt;"",1,0)+IF(EE126&lt;&gt;"",1,0)+IF(ES126&lt;&gt;"",1,0)+IF(FG126&lt;&gt;"",1,0)</x:f>
        <x:v>3</x:v>
      </x:c>
      <x:c r="AK126" s="147" t="str">
        <x:v>Silver replicating holding (LBMA/SLV proxy)</x:v>
      </x:c>
      <x:c r="AL126" s="147" t="str">
        <x:v>Physical-backed proxy</x:v>
      </x:c>
      <x:c r="AM126" s="147" t="str">
        <x:v>Long</x:v>
      </x:c>
      <x:c r="AN126" s="167" t="n">
        <x:v>1.594</x:v>
      </x:c>
      <x:c r="AO126" s="167" t="n">
        <x:v>1.613</x:v>
      </x:c>
      <x:c r="AP126" s="166" t="n">
        <x:v>0.47194433671723757</x:v>
      </x:c>
      <x:c r="AQ126" s="171" t="n">
        <x:f>IF(AK126="","",IFERROR(F126*AP126/AN126,0))</x:f>
        <x:v>0.3785310944978326</x:v>
      </x:c>
      <x:c r="AR126" s="171" t="n">
        <x:f>IF(AK126="","",F126*ABS(AP126))</x:f>
        <x:v>0.6033785646295452</x:v>
      </x:c>
      <x:c r="AS126" s="165"/>
      <x:c r="AT126" s="172" t="str">
        <x:f>IF(AK126="","",IF(AS126="","",IFERROR(AN126/AS126-1,0)))</x:f>
      </x:c>
      <x:c r="AU126" s="166"/>
      <x:c r="AV126" s="172" t="str">
        <x:f>IF(AK126="","",IF(AU126="","",AU126-AT126*365/AW126))</x:f>
      </x:c>
      <x:c r="AW126" s="164"/>
      <x:c r="AX126" s="173" t="n">
        <x:f>IF(AK126="","",IFERROR(AP126*(AO126/AN126-1-'Parameters'!$C$6*C126/365),0))</x:f>
        <x:v>0.0056222018819755545</x:v>
      </x:c>
      <x:c r="AY126" s="147" t="str">
        <x:v>Matched-maturity Treasury collateral</x:v>
      </x:c>
      <x:c r="AZ126" s="147" t="str">
        <x:v>Treasury</x:v>
      </x:c>
      <x:c r="BA126" s="147" t="str">
        <x:v>Long</x:v>
      </x:c>
      <x:c r="BB126" s="167" t="n">
        <x:v>103.18945565334874</x:v>
      </x:c>
      <x:c r="BC126" s="167" t="n">
        <x:v>103.20890615896232</x:v>
      </x:c>
      <x:c r="BD126" s="166" t="n">
        <x:v>0.5280556632827624</x:v>
      </x:c>
      <x:c r="BE126" s="171" t="n">
        <x:f>IF(AY126="","",IFERROR(F126*BD126/BB126,0))</x:f>
        <x:v>0.006542496241461934</x:v>
      </x:c>
      <x:c r="BF126" s="171" t="n">
        <x:f>IF(AY126="","",F126*ABS(BD126))</x:f>
        <x:v>0.6751166257705371</x:v>
      </x:c>
      <x:c r="BG126" s="165"/>
      <x:c r="BH126" s="172" t="str">
        <x:f>IF(AY126="","",IF(BG126="","",IFERROR(BB126/BG126-1,0)))</x:f>
      </x:c>
      <x:c r="BI126" s="166"/>
      <x:c r="BJ126" s="172" t="str">
        <x:f>IF(AY126="","",IF(BI126="","",BI126-BH126*365/BK126))</x:f>
      </x:c>
      <x:c r="BK126" s="164" t="n">
        <x:v>22</x:v>
      </x:c>
      <x:c r="BL126" s="172" t="n">
        <x:f>IF(AY126="","",IFERROR(BD126*(BC126/BB126-1),0))</x:f>
        <x:v>0.00009953487570924215</x:v>
      </x:c>
      <x:c r="BM126" s="147" t="str">
        <x:v>SI69N</x:v>
      </x:c>
      <x:c r="BN126" s="147" t="str">
        <x:v>Silver future (regular)</x:v>
      </x:c>
      <x:c r="BO126" s="147" t="str">
        <x:v>Long</x:v>
      </x:c>
      <x:c r="BP126" s="167" t="n">
        <x:v>1.5930000000000002</x:v>
      </x:c>
      <x:c r="BQ126" s="167" t="n">
        <x:v>1.5930000000000002</x:v>
      </x:c>
      <x:c r="BR126" s="166" t="n">
        <x:v>0.5280556632827624</x:v>
      </x:c>
      <x:c r="BS126" s="171" t="n">
        <x:f>IF(BM126="","",IFERROR(F126*BR126/BP126,0))</x:f>
        <x:v>0.42380202496581104</x:v>
      </x:c>
      <x:c r="BT126" s="171" t="n">
        <x:f>IF(BM126="","",F126*ABS(BR126))</x:f>
        <x:v>0.6751166257705371</x:v>
      </x:c>
      <x:c r="BU126" s="165" t="n">
        <x:v>1.594</x:v>
      </x:c>
      <x:c r="BV126" s="172" t="n">
        <x:f>IF(BM126="","",IF(BU126="","",IFERROR(BP126/BU126-1,0)))</x:f>
        <x:v>-0.0006273525721455231</x:v>
      </x:c>
      <x:c r="BW126" s="166" t="n">
        <x:v>0.0688</x:v>
      </x:c>
      <x:c r="BX126" s="172" t="n">
        <x:f>IF(BM126="","",IF(BW126="","",BW126-BV126*365/BY126))</x:f>
        <x:v>0.07920834949241436</x:v>
      </x:c>
      <x:c r="BY126" s="164" t="n">
        <x:v>22</x:v>
      </x:c>
      <x:c r="BZ126" s="172" t="n">
        <x:f>IF(BM126="","",IFERROR(BR126*(BQ126/BP126-1),0))</x:f>
        <x:v>0</x:v>
      </x:c>
      <x:c r="CA126" s="147"/>
      <x:c r="CB126" s="147"/>
      <x:c r="CC126" s="147"/>
      <x:c r="CD126" s="167"/>
      <x:c r="CE126" s="167"/>
      <x:c r="CF126" s="166"/>
      <x:c r="CG126" s="171" t="str">
        <x:f>IF(CA126="","",IFERROR(F126*CF126/CD126,0))</x:f>
      </x:c>
      <x:c r="CH126" s="171" t="str">
        <x:f>IF(CA126="","",F126*ABS(CF126))</x:f>
      </x:c>
      <x:c r="CI126" s="165"/>
      <x:c r="CJ126" s="172" t="str">
        <x:f>IF(CA126="","",IF(CI126="","",IFERROR(CD126/CI126-1,0)))</x:f>
      </x:c>
      <x:c r="CK126" s="166"/>
      <x:c r="CL126" s="172" t="str">
        <x:f>IF(CA126="","",IF(CK126="","",CK126-CJ126*365/CM126))</x:f>
      </x:c>
      <x:c r="CM126" s="164"/>
      <x:c r="CN126" s="172" t="str">
        <x:f>IF(CA126="","",IFERROR(CF126*(CE126/CD126-1),0))</x:f>
      </x:c>
      <x:c r="CO126" s="147"/>
      <x:c r="CP126" s="147"/>
      <x:c r="CQ126" s="147"/>
      <x:c r="CR126" s="167"/>
      <x:c r="CS126" s="167"/>
      <x:c r="CT126" s="166"/>
      <x:c r="CU126" s="171" t="str">
        <x:f>IF(CO126="","",IFERROR(F126*CT126/CR126,0))</x:f>
      </x:c>
      <x:c r="CV126" s="171" t="str">
        <x:f>IF(CO126="","",F126*ABS(CT126))</x:f>
      </x:c>
      <x:c r="CW126" s="165"/>
      <x:c r="CX126" s="172" t="str">
        <x:f>IF(CO126="","",IF(CW126="","",IFERROR(CR126/CW126-1,0)))</x:f>
      </x:c>
      <x:c r="CY126" s="166"/>
      <x:c r="CZ126" s="172" t="str">
        <x:f>IF(CO126="","",IF(CY126="","",CY126-CX126*365/DA126))</x:f>
      </x:c>
      <x:c r="DA126" s="164"/>
      <x:c r="DB126" s="172" t="str">
        <x:f>IF(CO126="","",IFERROR(CT126*(CS126/CR126-1),0))</x:f>
      </x:c>
      <x:c r="DC126" s="147"/>
      <x:c r="DD126" s="147"/>
      <x:c r="DE126" s="147"/>
      <x:c r="DF126" s="167"/>
      <x:c r="DG126" s="167"/>
      <x:c r="DH126" s="166"/>
      <x:c r="DI126" s="171" t="str">
        <x:f>IF(DC126="","",IFERROR(F126*DH126/DF126,0))</x:f>
      </x:c>
      <x:c r="DJ126" s="171" t="str">
        <x:f>IF(DC126="","",F126*ABS(DH126))</x:f>
      </x:c>
      <x:c r="DK126" s="165"/>
      <x:c r="DL126" s="172" t="str">
        <x:f>IF(DC126="","",IF(DK126="","",IFERROR(DF126/DK126-1,0)))</x:f>
      </x:c>
      <x:c r="DM126" s="166"/>
      <x:c r="DN126" s="172" t="str">
        <x:f>IF(DC126="","",IF(DM126="","",DM126-DL126*365/DO126))</x:f>
      </x:c>
      <x:c r="DO126" s="164"/>
      <x:c r="DP126" s="172" t="str">
        <x:f>IF(DC126="","",IFERROR(DH126*(DG126/DF126-1),0))</x:f>
      </x:c>
      <x:c r="DQ126" s="147"/>
      <x:c r="DR126" s="147"/>
      <x:c r="DS126" s="147"/>
      <x:c r="DT126" s="167"/>
      <x:c r="DU126" s="167"/>
      <x:c r="DV126" s="166"/>
      <x:c r="DW126" s="171" t="str">
        <x:f>IF(DQ126="","",IFERROR(F126*DV126/DT126,0))</x:f>
      </x:c>
      <x:c r="DX126" s="171" t="str">
        <x:f>IF(DQ126="","",F126*ABS(DV126))</x:f>
      </x:c>
      <x:c r="DY126" s="165"/>
      <x:c r="DZ126" s="172" t="str">
        <x:f>IF(DQ126="","",IF(DY126="","",IFERROR(DT126/DY126-1,0)))</x:f>
      </x:c>
      <x:c r="EA126" s="166"/>
      <x:c r="EB126" s="172" t="str">
        <x:f>IF(DQ126="","",IF(EA126="","",EA126-DZ126*365/EC126))</x:f>
      </x:c>
      <x:c r="EC126" s="164"/>
      <x:c r="ED126" s="172" t="str">
        <x:f>IF(DQ126="","",IFERROR(DV126*(DU126/DT126-1),0))</x:f>
      </x:c>
      <x:c r="EE126" s="147"/>
      <x:c r="EF126" s="147"/>
      <x:c r="EG126" s="147"/>
      <x:c r="EH126" s="167"/>
      <x:c r="EI126" s="167"/>
      <x:c r="EJ126" s="166"/>
      <x:c r="EK126" s="171" t="str">
        <x:f>IF(EE126="","",IFERROR(F126*EJ126/EH126,0))</x:f>
      </x:c>
      <x:c r="EL126" s="171" t="str">
        <x:f>IF(EE126="","",F126*ABS(EJ126))</x:f>
      </x:c>
      <x:c r="EM126" s="165"/>
      <x:c r="EN126" s="172" t="str">
        <x:f>IF(EE126="","",IF(EM126="","",IFERROR(EH126/EM126-1,0)))</x:f>
      </x:c>
      <x:c r="EO126" s="166"/>
      <x:c r="EP126" s="172" t="str">
        <x:f>IF(EE126="","",IF(EO126="","",EO126-EN126*365/EQ126))</x:f>
      </x:c>
      <x:c r="EQ126" s="164"/>
      <x:c r="ER126" s="172" t="str">
        <x:f>IF(EE126="","",IFERROR(EJ126*(EI126/EH126-1),0))</x:f>
      </x:c>
      <x:c r="ES126" s="147"/>
      <x:c r="ET126" s="147"/>
      <x:c r="EU126" s="147"/>
      <x:c r="EV126" s="167"/>
      <x:c r="EW126" s="167"/>
      <x:c r="EX126" s="166"/>
      <x:c r="EY126" s="171" t="str">
        <x:f>IF(ES126="","",IFERROR(F126*EX126/EV126,0))</x:f>
      </x:c>
      <x:c r="EZ126" s="171" t="str">
        <x:f>IF(ES126="","",F126*ABS(EX126))</x:f>
      </x:c>
      <x:c r="FA126" s="165"/>
      <x:c r="FB126" s="172" t="str">
        <x:f>IF(ES126="","",IF(FA126="","",IFERROR(EV126/FA126-1,0)))</x:f>
      </x:c>
      <x:c r="FC126" s="166"/>
      <x:c r="FD126" s="172" t="str">
        <x:f>IF(ES126="","",IF(FC126="","",FC126-FB126*365/FE126))</x:f>
      </x:c>
      <x:c r="FE126" s="164"/>
      <x:c r="FF126" s="172" t="str">
        <x:f>IF(ES126="","",IFERROR(EX126*(EW126/EV126-1),0))</x:f>
      </x:c>
      <x:c r="FG126" s="147"/>
      <x:c r="FH126" s="147"/>
      <x:c r="FI126" s="147"/>
      <x:c r="FJ126" s="167"/>
      <x:c r="FK126" s="167"/>
      <x:c r="FL126" s="166"/>
      <x:c r="FM126" s="171" t="str">
        <x:f>IF(FG126="","",IFERROR(F126*FL126/FJ126,0))</x:f>
      </x:c>
      <x:c r="FN126" s="171" t="str">
        <x:f>IF(FG126="","",F126*ABS(FL126))</x:f>
      </x:c>
      <x:c r="FO126" s="165"/>
      <x:c r="FP126" s="172" t="str">
        <x:f>IF(FG126="","",IF(FO126="","",IFERROR(FJ126/FO126-1,0)))</x:f>
      </x:c>
      <x:c r="FQ126" s="166"/>
      <x:c r="FR126" s="172" t="str">
        <x:f>IF(FG126="","",IF(FQ126="","",FQ126-FP126*365/FS126))</x:f>
      </x:c>
      <x:c r="FS126" s="164"/>
      <x:c r="FT126" s="172" t="str">
        <x:f>IF(FG126="","",IFERROR(FL126*(FK126/FJ126-1),0))</x:f>
      </x:c>
    </x:row>
    <x:row r="127" ht="18" customHeight="1">
      <x:c r="A127" s="163" t="n">
        <x:v>25392</x:v>
      </x:c>
      <x:c r="B127" s="163" t="n">
        <x:v>25393</x:v>
      </x:c>
      <x:c r="C127" s="170" t="n">
        <x:f>B127-A127</x:f>
        <x:v>1</x:v>
      </x:c>
      <x:c r="D127" s="163" t="n">
        <x:v>25392</x:v>
      </x:c>
      <x:c r="E127" s="147" t="str">
        <x:v>positive</x:v>
      </x:c>
      <x:c r="F127" s="165" t="n">
        <x:v>1.2858104033255175</x:v>
      </x:c>
      <x:c r="G127" s="168" t="n">
        <x:v>0.025928834885500823</x:v>
      </x:c>
      <x:c r="H127" s="172" t="n">
        <x:f>SUM(AX127,BL127,BZ127,CN127,DB127,DP127,ED127,ER127,FF127,FT127)</x:f>
        <x:v>0.025928834885500907</x:v>
      </x:c>
      <x:c r="I127" s="174" t="n">
        <x:f>G127-H127</x:f>
        <x:v>-8.326672684688674e-17</x:v>
      </x:c>
      <x:c r="J127" s="171" t="n">
        <x:f>F127*(1+H127)</x:f>
        <x:v>1.3191499689674042</x:v>
      </x:c>
      <x:c r="K127" s="169" t="n">
        <x:v>1.3191499689674042</x:v>
      </x:c>
      <x:c r="L127" s="175" t="n">
        <x:f>K127-J127</x:f>
        <x:v>0</x:v>
      </x:c>
      <x:c r="M127" s="167" t="n">
        <x:v>1.613</x:v>
      </x:c>
      <x:c r="N127" s="167" t="n">
        <x:v>1.618</x:v>
      </x:c>
      <x:c r="O127" s="172" t="n">
        <x:f>IFERROR(N127/M127-1,0)</x:f>
        <x:v>0.0030998140111593298</x:v>
      </x:c>
      <x:c r="P127" s="171" t="n">
        <x:f>IFERROR(AD127/AH127,0)</x:f>
        <x:v>1.5608287474961962</x:v>
      </x:c>
      <x:c r="Q127" s="171" t="n">
        <x:f>IFERROR(AE127/AI127,0)</x:f>
        <x:v>1.5963508277121004</x:v>
      </x:c>
      <x:c r="R127" s="172" t="n">
        <x:f>IFERROR((Q127-P127)/(P127+S127),0)</x:f>
        <x:v>0.022758473838265056</x:v>
      </x:c>
      <x:c r="S127" s="172" t="n">
        <x:f>IFERROR(AF127/AH127,0)</x:f>
        <x:v>0</x:v>
      </x:c>
      <x:c r="T127" s="172" t="n">
        <x:f>IFERROR(AG127/AI127,0)</x:f>
        <x:v>0</x:v>
      </x:c>
      <x:c r="U127" s="172" t="n">
        <x:f>IFERROR((T127-S127)/(P127+S127),0)</x:f>
        <x:v>0</x:v>
      </x:c>
      <x:c r="V127" s="172" t="n">
        <x:f>R127+U127</x:f>
        <x:v>0.022758473838265056</x:v>
      </x:c>
      <x:c r="W127" s="172" t="n">
        <x:f>(1+O127)*(1+V127)-1</x:f>
        <x:v>0.025928834885500907</x:v>
      </x:c>
      <x:c r="X127" s="174" t="n">
        <x:f>G127-W127</x:f>
        <x:v>-8.326672684688674e-17</x:v>
      </x:c>
      <x:c r="Y127" s="172" t="n">
        <x:f>AX127</x:f>
        <x:v>0</x:v>
      </x:c>
      <x:c r="Z127" s="172" t="n">
        <x:f>BL127</x:f>
        <x:v>0.00019123287671241052</x:v>
      </x:c>
      <x:c r="AA127" s="172" t="n">
        <x:f>SUM(BZ127,CN127,DB127,DP127,ED127,ER127,FF127,FT127)</x:f>
        <x:v>0.025737602008788496</x:v>
      </x:c>
      <x:c r="AB127" s="172" t="n">
        <x:f>SUM(Y127:AA127)</x:f>
        <x:v>0.025928834885500907</x:v>
      </x:c>
      <x:c r="AC127" s="174" t="n">
        <x:f>G127-AB127</x:f>
        <x:v>-8.326672684688674e-17</x:v>
      </x:c>
      <x:c r="AD127" s="169" t="n">
        <x:v>1.2858104033255182</x:v>
      </x:c>
      <x:c r="AE127" s="169" t="n">
        <x:v>1.3191499689674049</x:v>
      </x:c>
      <x:c r="AF127" s="169" t="n">
        <x:v>0</x:v>
      </x:c>
      <x:c r="AG127" s="169" t="n">
        <x:v>0</x:v>
      </x:c>
      <x:c r="AH127" s="171" t="n">
        <x:f>M127/$M$3</x:f>
        <x:v>0.8237997957099081</x:v>
      </x:c>
      <x:c r="AI127" s="171" t="n">
        <x:f>N127/$M$3</x:f>
        <x:v>0.8263534218590399</x:v>
      </x:c>
      <x:c r="AJ127" s="170" t="n">
        <x:f>IF(AK127&lt;&gt;"",1,0)+IF(AY127&lt;&gt;"",1,0)+IF(BM127&lt;&gt;"",1,0)+IF(CA127&lt;&gt;"",1,0)+IF(CO127&lt;&gt;"",1,0)+IF(DC127&lt;&gt;"",1,0)+IF(DQ127&lt;&gt;"",1,0)+IF(EE127&lt;&gt;"",1,0)+IF(ES127&lt;&gt;"",1,0)+IF(FG127&lt;&gt;"",1,0)</x:f>
        <x:v>2</x:v>
      </x:c>
      <x:c r="AK127" s="147"/>
      <x:c r="AL127" s="147"/>
      <x:c r="AM127" s="147"/>
      <x:c r="AN127" s="167"/>
      <x:c r="AO127" s="167"/>
      <x:c r="AP127" s="166"/>
      <x:c r="AQ127" s="171" t="str">
        <x:f>IF(AK127="","",IFERROR(F127*AP127/AN127,0))</x:f>
      </x:c>
      <x:c r="AR127" s="171" t="str">
        <x:f>IF(AK127="","",F127*ABS(AP127))</x:f>
      </x:c>
      <x:c r="AS127" s="165"/>
      <x:c r="AT127" s="172" t="str">
        <x:f>IF(AK127="","",IF(AS127="","",IFERROR(AN127/AS127-1,0)))</x:f>
      </x:c>
      <x:c r="AU127" s="166"/>
      <x:c r="AV127" s="172" t="str">
        <x:f>IF(AK127="","",IF(AU127="","",AU127-AT127*365/AW127))</x:f>
      </x:c>
      <x:c r="AW127" s="164"/>
      <x:c r="AX127" s="173" t="str">
        <x:f>IF(AK127="","",IFERROR(AP127*(AO127/AN127-1),0))</x:f>
      </x:c>
      <x:c r="AY127" s="147" t="str">
        <x:v>Matched-maturity Treasury collateral</x:v>
      </x:c>
      <x:c r="AZ127" s="147" t="str">
        <x:v>Treasury</x:v>
      </x:c>
      <x:c r="BA127" s="147" t="str">
        <x:v>Long</x:v>
      </x:c>
      <x:c r="BB127" s="167" t="n">
        <x:v>103.20890615896232</x:v>
      </x:c>
      <x:c r="BC127" s="167" t="n">
        <x:v>103.22864309498945</x:v>
      </x:c>
      <x:c r="BD127" s="166" t="n">
        <x:v>1</x:v>
      </x:c>
      <x:c r="BE127" s="171" t="n">
        <x:f>IF(AY127="","",IFERROR(F127*BD127/BB127,0))</x:f>
        <x:v>0.012458327979419846</x:v>
      </x:c>
      <x:c r="BF127" s="171" t="n">
        <x:f>IF(AY127="","",F127*ABS(BD127))</x:f>
        <x:v>1.2858104033255175</x:v>
      </x:c>
      <x:c r="BG127" s="165"/>
      <x:c r="BH127" s="172" t="str">
        <x:f>IF(AY127="","",IF(BG127="","",IFERROR(BB127/BG127-1,0)))</x:f>
      </x:c>
      <x:c r="BI127" s="166"/>
      <x:c r="BJ127" s="172" t="str">
        <x:f>IF(AY127="","",IF(BI127="","",BI127-BH127*365/BK127))</x:f>
      </x:c>
      <x:c r="BK127" s="164" t="n">
        <x:v>21</x:v>
      </x:c>
      <x:c r="BL127" s="172" t="n">
        <x:f>IF(AY127="","",IFERROR(BD127*(BC127/BB127-1),0))</x:f>
        <x:v>0.00019123287671241052</x:v>
      </x:c>
      <x:c r="BM127" s="147" t="str">
        <x:v>SI69N</x:v>
      </x:c>
      <x:c r="BN127" s="147" t="str">
        <x:v>Silver future (regular)</x:v>
      </x:c>
      <x:c r="BO127" s="147" t="str">
        <x:v>Long</x:v>
      </x:c>
      <x:c r="BP127" s="167" t="n">
        <x:v>1.5930000000000002</x:v>
      </x:c>
      <x:c r="BQ127" s="167" t="n">
        <x:v>1.6340000000000001</x:v>
      </x:c>
      <x:c r="BR127" s="166" t="n">
        <x:v>1</x:v>
      </x:c>
      <x:c r="BS127" s="171" t="n">
        <x:f>IF(BM127="","",IFERROR(F127*BR127/BP127,0))</x:f>
        <x:v>0.8071628395012664</x:v>
      </x:c>
      <x:c r="BT127" s="171" t="n">
        <x:f>IF(BM127="","",F127*ABS(BR127))</x:f>
        <x:v>1.2858104033255175</x:v>
      </x:c>
      <x:c r="BU127" s="165" t="n">
        <x:v>1.613</x:v>
      </x:c>
      <x:c r="BV127" s="172" t="n">
        <x:f>IF(BM127="","",IF(BU127="","",IFERROR(BP127/BU127-1,0)))</x:f>
        <x:v>-0.012399256044637208</x:v>
      </x:c>
      <x:c r="BW127" s="166" t="n">
        <x:v>0.0698</x:v>
      </x:c>
      <x:c r="BX127" s="172" t="n">
        <x:f>IF(BM127="","",IF(BW127="","",BW127-BV127*365/BY127))</x:f>
        <x:v>0.28531087887107526</x:v>
      </x:c>
      <x:c r="BY127" s="164" t="n">
        <x:v>21</x:v>
      </x:c>
      <x:c r="BZ127" s="172" t="n">
        <x:f>IF(BM127="","",IFERROR(BR127*(BQ127/BP127-1),0))</x:f>
        <x:v>0.025737602008788496</x:v>
      </x:c>
      <x:c r="CA127" s="147"/>
      <x:c r="CB127" s="147"/>
      <x:c r="CC127" s="147"/>
      <x:c r="CD127" s="167"/>
      <x:c r="CE127" s="167"/>
      <x:c r="CF127" s="166"/>
      <x:c r="CG127" s="171" t="str">
        <x:f>IF(CA127="","",IFERROR(F127*CF127/CD127,0))</x:f>
      </x:c>
      <x:c r="CH127" s="171" t="str">
        <x:f>IF(CA127="","",F127*ABS(CF127))</x:f>
      </x:c>
      <x:c r="CI127" s="165"/>
      <x:c r="CJ127" s="172" t="str">
        <x:f>IF(CA127="","",IF(CI127="","",IFERROR(CD127/CI127-1,0)))</x:f>
      </x:c>
      <x:c r="CK127" s="166"/>
      <x:c r="CL127" s="172" t="str">
        <x:f>IF(CA127="","",IF(CK127="","",CK127-CJ127*365/CM127))</x:f>
      </x:c>
      <x:c r="CM127" s="164"/>
      <x:c r="CN127" s="172" t="str">
        <x:f>IF(CA127="","",IFERROR(CF127*(CE127/CD127-1),0))</x:f>
      </x:c>
      <x:c r="CO127" s="147"/>
      <x:c r="CP127" s="147"/>
      <x:c r="CQ127" s="147"/>
      <x:c r="CR127" s="167"/>
      <x:c r="CS127" s="167"/>
      <x:c r="CT127" s="166"/>
      <x:c r="CU127" s="171" t="str">
        <x:f>IF(CO127="","",IFERROR(F127*CT127/CR127,0))</x:f>
      </x:c>
      <x:c r="CV127" s="171" t="str">
        <x:f>IF(CO127="","",F127*ABS(CT127))</x:f>
      </x:c>
      <x:c r="CW127" s="165"/>
      <x:c r="CX127" s="172" t="str">
        <x:f>IF(CO127="","",IF(CW127="","",IFERROR(CR127/CW127-1,0)))</x:f>
      </x:c>
      <x:c r="CY127" s="166"/>
      <x:c r="CZ127" s="172" t="str">
        <x:f>IF(CO127="","",IF(CY127="","",CY127-CX127*365/DA127))</x:f>
      </x:c>
      <x:c r="DA127" s="164"/>
      <x:c r="DB127" s="172" t="str">
        <x:f>IF(CO127="","",IFERROR(CT127*(CS127/CR127-1),0))</x:f>
      </x:c>
      <x:c r="DC127" s="147"/>
      <x:c r="DD127" s="147"/>
      <x:c r="DE127" s="147"/>
      <x:c r="DF127" s="167"/>
      <x:c r="DG127" s="167"/>
      <x:c r="DH127" s="166"/>
      <x:c r="DI127" s="171" t="str">
        <x:f>IF(DC127="","",IFERROR(F127*DH127/DF127,0))</x:f>
      </x:c>
      <x:c r="DJ127" s="171" t="str">
        <x:f>IF(DC127="","",F127*ABS(DH127))</x:f>
      </x:c>
      <x:c r="DK127" s="165"/>
      <x:c r="DL127" s="172" t="str">
        <x:f>IF(DC127="","",IF(DK127="","",IFERROR(DF127/DK127-1,0)))</x:f>
      </x:c>
      <x:c r="DM127" s="166"/>
      <x:c r="DN127" s="172" t="str">
        <x:f>IF(DC127="","",IF(DM127="","",DM127-DL127*365/DO127))</x:f>
      </x:c>
      <x:c r="DO127" s="164"/>
      <x:c r="DP127" s="172" t="str">
        <x:f>IF(DC127="","",IFERROR(DH127*(DG127/DF127-1),0))</x:f>
      </x:c>
      <x:c r="DQ127" s="147"/>
      <x:c r="DR127" s="147"/>
      <x:c r="DS127" s="147"/>
      <x:c r="DT127" s="167"/>
      <x:c r="DU127" s="167"/>
      <x:c r="DV127" s="166"/>
      <x:c r="DW127" s="171" t="str">
        <x:f>IF(DQ127="","",IFERROR(F127*DV127/DT127,0))</x:f>
      </x:c>
      <x:c r="DX127" s="171" t="str">
        <x:f>IF(DQ127="","",F127*ABS(DV127))</x:f>
      </x:c>
      <x:c r="DY127" s="165"/>
      <x:c r="DZ127" s="172" t="str">
        <x:f>IF(DQ127="","",IF(DY127="","",IFERROR(DT127/DY127-1,0)))</x:f>
      </x:c>
      <x:c r="EA127" s="166"/>
      <x:c r="EB127" s="172" t="str">
        <x:f>IF(DQ127="","",IF(EA127="","",EA127-DZ127*365/EC127))</x:f>
      </x:c>
      <x:c r="EC127" s="164"/>
      <x:c r="ED127" s="172" t="str">
        <x:f>IF(DQ127="","",IFERROR(DV127*(DU127/DT127-1),0))</x:f>
      </x:c>
      <x:c r="EE127" s="147"/>
      <x:c r="EF127" s="147"/>
      <x:c r="EG127" s="147"/>
      <x:c r="EH127" s="167"/>
      <x:c r="EI127" s="167"/>
      <x:c r="EJ127" s="166"/>
      <x:c r="EK127" s="171" t="str">
        <x:f>IF(EE127="","",IFERROR(F127*EJ127/EH127,0))</x:f>
      </x:c>
      <x:c r="EL127" s="171" t="str">
        <x:f>IF(EE127="","",F127*ABS(EJ127))</x:f>
      </x:c>
      <x:c r="EM127" s="165"/>
      <x:c r="EN127" s="172" t="str">
        <x:f>IF(EE127="","",IF(EM127="","",IFERROR(EH127/EM127-1,0)))</x:f>
      </x:c>
      <x:c r="EO127" s="166"/>
      <x:c r="EP127" s="172" t="str">
        <x:f>IF(EE127="","",IF(EO127="","",EO127-EN127*365/EQ127))</x:f>
      </x:c>
      <x:c r="EQ127" s="164"/>
      <x:c r="ER127" s="172" t="str">
        <x:f>IF(EE127="","",IFERROR(EJ127*(EI127/EH127-1),0))</x:f>
      </x:c>
      <x:c r="ES127" s="147"/>
      <x:c r="ET127" s="147"/>
      <x:c r="EU127" s="147"/>
      <x:c r="EV127" s="167"/>
      <x:c r="EW127" s="167"/>
      <x:c r="EX127" s="166"/>
      <x:c r="EY127" s="171" t="str">
        <x:f>IF(ES127="","",IFERROR(F127*EX127/EV127,0))</x:f>
      </x:c>
      <x:c r="EZ127" s="171" t="str">
        <x:f>IF(ES127="","",F127*ABS(EX127))</x:f>
      </x:c>
      <x:c r="FA127" s="165"/>
      <x:c r="FB127" s="172" t="str">
        <x:f>IF(ES127="","",IF(FA127="","",IFERROR(EV127/FA127-1,0)))</x:f>
      </x:c>
      <x:c r="FC127" s="166"/>
      <x:c r="FD127" s="172" t="str">
        <x:f>IF(ES127="","",IF(FC127="","",FC127-FB127*365/FE127))</x:f>
      </x:c>
      <x:c r="FE127" s="164"/>
      <x:c r="FF127" s="172" t="str">
        <x:f>IF(ES127="","",IFERROR(EX127*(EW127/EV127-1),0))</x:f>
      </x:c>
      <x:c r="FG127" s="147"/>
      <x:c r="FH127" s="147"/>
      <x:c r="FI127" s="147"/>
      <x:c r="FJ127" s="167"/>
      <x:c r="FK127" s="167"/>
      <x:c r="FL127" s="166"/>
      <x:c r="FM127" s="171" t="str">
        <x:f>IF(FG127="","",IFERROR(F127*FL127/FJ127,0))</x:f>
      </x:c>
      <x:c r="FN127" s="171" t="str">
        <x:f>IF(FG127="","",F127*ABS(FL127))</x:f>
      </x:c>
      <x:c r="FO127" s="165"/>
      <x:c r="FP127" s="172" t="str">
        <x:f>IF(FG127="","",IF(FO127="","",IFERROR(FJ127/FO127-1,0)))</x:f>
      </x:c>
      <x:c r="FQ127" s="166"/>
      <x:c r="FR127" s="172" t="str">
        <x:f>IF(FG127="","",IF(FQ127="","",FQ127-FP127*365/FS127))</x:f>
      </x:c>
      <x:c r="FS127" s="164"/>
      <x:c r="FT127" s="172" t="str">
        <x:f>IF(FG127="","",IFERROR(FL127*(FK127/FJ127-1),0))</x:f>
      </x:c>
    </x:row>
    <x:row r="128" ht="18" customHeight="1">
      <x:c r="A128" s="163" t="n">
        <x:v>25393</x:v>
      </x:c>
      <x:c r="B128" s="163" t="n">
        <x:v>25394</x:v>
      </x:c>
      <x:c r="C128" s="170" t="n">
        <x:f>B128-A128</x:f>
        <x:v>1</x:v>
      </x:c>
      <x:c r="D128" s="163" t="n">
        <x:v>25393</x:v>
      </x:c>
      <x:c r="E128" s="147" t="str">
        <x:v>neutral</x:v>
      </x:c>
      <x:c r="F128" s="165" t="n">
        <x:v>1.3191499689674042</x:v>
      </x:c>
      <x:c r="G128" s="168" t="n">
        <x:v>0.027805264405574136</x:v>
      </x:c>
      <x:c r="H128" s="172" t="n">
        <x:f>SUM(AX128,BL128,BZ128,CN128,DB128,DP128,ED128,ER128,FF128,FT128)</x:f>
        <x:v>0.027805264405574136</x:v>
      </x:c>
      <x:c r="I128" s="174" t="n">
        <x:f>G128-H128</x:f>
        <x:v>0</x:v>
      </x:c>
      <x:c r="J128" s="171" t="n">
        <x:f>F128*(1+H128)</x:f>
        <x:v>1.355829282645148</x:v>
      </x:c>
      <x:c r="K128" s="169" t="n">
        <x:v>1.355829282645148</x:v>
      </x:c>
      <x:c r="L128" s="175" t="n">
        <x:f>K128-J128</x:f>
        <x:v>0</x:v>
      </x:c>
      <x:c r="M128" s="167" t="n">
        <x:v>1.618</x:v>
      </x:c>
      <x:c r="N128" s="167" t="n">
        <x:v>1.663</x:v>
      </x:c>
      <x:c r="O128" s="172" t="n">
        <x:f>IFERROR(N128/M128-1,0)</x:f>
        <x:v>0.02781211372064263</x:v>
      </x:c>
      <x:c r="P128" s="171" t="n">
        <x:f>IFERROR(AD128/AH128,0)</x:f>
        <x:v>1.5963508277121004</x:v>
      </x:c>
      <x:c r="Q128" s="171" t="n">
        <x:f>IFERROR(AE128/AI128,0)</x:f>
        <x:v>1.5963401896687919</x:v>
      </x:c>
      <x:c r="R128" s="172" t="n">
        <x:f>IFERROR((Q128-P128)/(P128+S128),0)</x:f>
        <x:v>-0.0000066639758152170625</x:v>
      </x:c>
      <x:c r="S128" s="172" t="n">
        <x:f>IFERROR(AF128/AH128,0)</x:f>
        <x:v>0</x:v>
      </x:c>
      <x:c r="T128" s="172" t="n">
        <x:f>IFERROR(AG128/AI128,0)</x:f>
        <x:v>0</x:v>
      </x:c>
      <x:c r="U128" s="172" t="n">
        <x:f>IFERROR((T128-S128)/(P128+S128),0)</x:f>
        <x:v>0</x:v>
      </x:c>
      <x:c r="V128" s="172" t="n">
        <x:f>R128+U128</x:f>
        <x:v>-0.0000066639758152170625</x:v>
      </x:c>
      <x:c r="W128" s="172" t="n">
        <x:f>(1+O128)*(1+V128)-1</x:f>
        <x:v>0.02780526440557418</x:v>
      </x:c>
      <x:c r="X128" s="174" t="n">
        <x:f>G128-W128</x:f>
        <x:v>-4.5102810375396984e-17</x:v>
      </x:c>
      <x:c r="Y128" s="172" t="n">
        <x:f>AX128</x:f>
        <x:v>0.027805264405574136</x:v>
      </x:c>
      <x:c r="Z128" s="172" t="str">
        <x:f>BL128</x:f>
      </x:c>
      <x:c r="AA128" s="172" t="n">
        <x:f>SUM(BZ128,CN128,DB128,DP128,ED128,ER128,FF128,FT128)</x:f>
        <x:v>0</x:v>
      </x:c>
      <x:c r="AB128" s="172" t="n">
        <x:f>SUM(Y128:AA128)</x:f>
        <x:v>0.027805264405574136</x:v>
      </x:c>
      <x:c r="AC128" s="174" t="n">
        <x:f>G128-AB128</x:f>
        <x:v>0</x:v>
      </x:c>
      <x:c r="AD128" s="169" t="n">
        <x:v>1.3191499689674049</x:v>
      </x:c>
      <x:c r="AE128" s="169" t="n">
        <x:v>1.3558292826451486</x:v>
      </x:c>
      <x:c r="AF128" s="169" t="n">
        <x:v>0</x:v>
      </x:c>
      <x:c r="AG128" s="169" t="n">
        <x:v>0</x:v>
      </x:c>
      <x:c r="AH128" s="171" t="n">
        <x:f>M128/$M$3</x:f>
        <x:v>0.8263534218590399</x:v>
      </x:c>
      <x:c r="AI128" s="171" t="n">
        <x:f>N128/$M$3</x:f>
        <x:v>0.8493360572012257</x:v>
      </x:c>
      <x:c r="AJ128" s="170" t="n">
        <x:f>IF(AK128&lt;&gt;"",1,0)+IF(AY128&lt;&gt;"",1,0)+IF(BM128&lt;&gt;"",1,0)+IF(CA128&lt;&gt;"",1,0)+IF(CO128&lt;&gt;"",1,0)+IF(DC128&lt;&gt;"",1,0)+IF(DQ128&lt;&gt;"",1,0)+IF(EE128&lt;&gt;"",1,0)+IF(ES128&lt;&gt;"",1,0)+IF(FG128&lt;&gt;"",1,0)</x:f>
        <x:v>1</x:v>
      </x:c>
      <x:c r="AK128" s="147" t="str">
        <x:v>Silver replicating holding (LBMA/SLV proxy)</x:v>
      </x:c>
      <x:c r="AL128" s="147" t="str">
        <x:v>Physical-backed proxy</x:v>
      </x:c>
      <x:c r="AM128" s="147" t="str">
        <x:v>Long</x:v>
      </x:c>
      <x:c r="AN128" s="167" t="n">
        <x:v>1.618</x:v>
      </x:c>
      <x:c r="AO128" s="167" t="n">
        <x:v>1.663</x:v>
      </x:c>
      <x:c r="AP128" s="166" t="n">
        <x:v>1</x:v>
      </x:c>
      <x:c r="AQ128" s="171" t="n">
        <x:f>IF(AK128="","",IFERROR(F128*AP128/AN128,0))</x:f>
        <x:v>0.8152966433667517</x:v>
      </x:c>
      <x:c r="AR128" s="171" t="n">
        <x:f>IF(AK128="","",F128*ABS(AP128))</x:f>
        <x:v>1.3191499689674042</x:v>
      </x:c>
      <x:c r="AS128" s="165"/>
      <x:c r="AT128" s="172" t="str">
        <x:f>IF(AK128="","",IF(AS128="","",IFERROR(AN128/AS128-1,0)))</x:f>
      </x:c>
      <x:c r="AU128" s="166"/>
      <x:c r="AV128" s="172" t="str">
        <x:f>IF(AK128="","",IF(AU128="","",AU128-AT128*365/AW128))</x:f>
      </x:c>
      <x:c r="AW128" s="164"/>
      <x:c r="AX128" s="173" t="n">
        <x:f>IF(AK128="","",IFERROR(AP128*(AO128/AN128-1-'Parameters'!$C$6*C128/365),0))</x:f>
        <x:v>0.027805264405574136</x:v>
      </x:c>
      <x:c r="AY128" s="147"/>
      <x:c r="AZ128" s="147"/>
      <x:c r="BA128" s="147"/>
      <x:c r="BB128" s="167"/>
      <x:c r="BC128" s="167"/>
      <x:c r="BD128" s="166"/>
      <x:c r="BE128" s="171" t="str">
        <x:f>IF(AY128="","",IFERROR(F128*BD128/BB128,0))</x:f>
      </x:c>
      <x:c r="BF128" s="171" t="str">
        <x:f>IF(AY128="","",F128*ABS(BD128))</x:f>
      </x:c>
      <x:c r="BG128" s="165"/>
      <x:c r="BH128" s="172" t="str">
        <x:f>IF(AY128="","",IF(BG128="","",IFERROR(BB128/BG128-1,0)))</x:f>
      </x:c>
      <x:c r="BI128" s="166"/>
      <x:c r="BJ128" s="172" t="str">
        <x:f>IF(AY128="","",IF(BI128="","",BI128-BH128*365/BK128))</x:f>
      </x:c>
      <x:c r="BK128" s="164"/>
      <x:c r="BL128" s="172" t="str">
        <x:f>IF(AY128="","",IFERROR(BD128*(BC128/BB128-1),0))</x:f>
      </x:c>
      <x:c r="BM128" s="147"/>
      <x:c r="BN128" s="147"/>
      <x:c r="BO128" s="147"/>
      <x:c r="BP128" s="167"/>
      <x:c r="BQ128" s="167"/>
      <x:c r="BR128" s="166"/>
      <x:c r="BS128" s="171" t="str">
        <x:f>IF(BM128="","",IFERROR(F128*BR128/BP128,0))</x:f>
      </x:c>
      <x:c r="BT128" s="171" t="str">
        <x:f>IF(BM128="","",F128*ABS(BR128))</x:f>
      </x:c>
      <x:c r="BU128" s="165"/>
      <x:c r="BV128" s="172" t="str">
        <x:f>IF(BM128="","",IF(BU128="","",IFERROR(BP128/BU128-1,0)))</x:f>
      </x:c>
      <x:c r="BW128" s="166"/>
      <x:c r="BX128" s="172" t="str">
        <x:f>IF(BM128="","",IF(BW128="","",BW128-BV128*365/BY128))</x:f>
      </x:c>
      <x:c r="BY128" s="164"/>
      <x:c r="BZ128" s="172" t="str">
        <x:f>IF(BM128="","",IFERROR(BR128*(BQ128/BP128-1),0))</x:f>
      </x:c>
      <x:c r="CA128" s="147"/>
      <x:c r="CB128" s="147"/>
      <x:c r="CC128" s="147"/>
      <x:c r="CD128" s="167"/>
      <x:c r="CE128" s="167"/>
      <x:c r="CF128" s="166"/>
      <x:c r="CG128" s="171" t="str">
        <x:f>IF(CA128="","",IFERROR(F128*CF128/CD128,0))</x:f>
      </x:c>
      <x:c r="CH128" s="171" t="str">
        <x:f>IF(CA128="","",F128*ABS(CF128))</x:f>
      </x:c>
      <x:c r="CI128" s="165"/>
      <x:c r="CJ128" s="172" t="str">
        <x:f>IF(CA128="","",IF(CI128="","",IFERROR(CD128/CI128-1,0)))</x:f>
      </x:c>
      <x:c r="CK128" s="166"/>
      <x:c r="CL128" s="172" t="str">
        <x:f>IF(CA128="","",IF(CK128="","",CK128-CJ128*365/CM128))</x:f>
      </x:c>
      <x:c r="CM128" s="164"/>
      <x:c r="CN128" s="172" t="str">
        <x:f>IF(CA128="","",IFERROR(CF128*(CE128/CD128-1),0))</x:f>
      </x:c>
      <x:c r="CO128" s="147"/>
      <x:c r="CP128" s="147"/>
      <x:c r="CQ128" s="147"/>
      <x:c r="CR128" s="167"/>
      <x:c r="CS128" s="167"/>
      <x:c r="CT128" s="166"/>
      <x:c r="CU128" s="171" t="str">
        <x:f>IF(CO128="","",IFERROR(F128*CT128/CR128,0))</x:f>
      </x:c>
      <x:c r="CV128" s="171" t="str">
        <x:f>IF(CO128="","",F128*ABS(CT128))</x:f>
      </x:c>
      <x:c r="CW128" s="165"/>
      <x:c r="CX128" s="172" t="str">
        <x:f>IF(CO128="","",IF(CW128="","",IFERROR(CR128/CW128-1,0)))</x:f>
      </x:c>
      <x:c r="CY128" s="166"/>
      <x:c r="CZ128" s="172" t="str">
        <x:f>IF(CO128="","",IF(CY128="","",CY128-CX128*365/DA128))</x:f>
      </x:c>
      <x:c r="DA128" s="164"/>
      <x:c r="DB128" s="172" t="str">
        <x:f>IF(CO128="","",IFERROR(CT128*(CS128/CR128-1),0))</x:f>
      </x:c>
      <x:c r="DC128" s="147"/>
      <x:c r="DD128" s="147"/>
      <x:c r="DE128" s="147"/>
      <x:c r="DF128" s="167"/>
      <x:c r="DG128" s="167"/>
      <x:c r="DH128" s="166"/>
      <x:c r="DI128" s="171" t="str">
        <x:f>IF(DC128="","",IFERROR(F128*DH128/DF128,0))</x:f>
      </x:c>
      <x:c r="DJ128" s="171" t="str">
        <x:f>IF(DC128="","",F128*ABS(DH128))</x:f>
      </x:c>
      <x:c r="DK128" s="165"/>
      <x:c r="DL128" s="172" t="str">
        <x:f>IF(DC128="","",IF(DK128="","",IFERROR(DF128/DK128-1,0)))</x:f>
      </x:c>
      <x:c r="DM128" s="166"/>
      <x:c r="DN128" s="172" t="str">
        <x:f>IF(DC128="","",IF(DM128="","",DM128-DL128*365/DO128))</x:f>
      </x:c>
      <x:c r="DO128" s="164"/>
      <x:c r="DP128" s="172" t="str">
        <x:f>IF(DC128="","",IFERROR(DH128*(DG128/DF128-1),0))</x:f>
      </x:c>
      <x:c r="DQ128" s="147"/>
      <x:c r="DR128" s="147"/>
      <x:c r="DS128" s="147"/>
      <x:c r="DT128" s="167"/>
      <x:c r="DU128" s="167"/>
      <x:c r="DV128" s="166"/>
      <x:c r="DW128" s="171" t="str">
        <x:f>IF(DQ128="","",IFERROR(F128*DV128/DT128,0))</x:f>
      </x:c>
      <x:c r="DX128" s="171" t="str">
        <x:f>IF(DQ128="","",F128*ABS(DV128))</x:f>
      </x:c>
      <x:c r="DY128" s="165"/>
      <x:c r="DZ128" s="172" t="str">
        <x:f>IF(DQ128="","",IF(DY128="","",IFERROR(DT128/DY128-1,0)))</x:f>
      </x:c>
      <x:c r="EA128" s="166"/>
      <x:c r="EB128" s="172" t="str">
        <x:f>IF(DQ128="","",IF(EA128="","",EA128-DZ128*365/EC128))</x:f>
      </x:c>
      <x:c r="EC128" s="164"/>
      <x:c r="ED128" s="172" t="str">
        <x:f>IF(DQ128="","",IFERROR(DV128*(DU128/DT128-1),0))</x:f>
      </x:c>
      <x:c r="EE128" s="147"/>
      <x:c r="EF128" s="147"/>
      <x:c r="EG128" s="147"/>
      <x:c r="EH128" s="167"/>
      <x:c r="EI128" s="167"/>
      <x:c r="EJ128" s="166"/>
      <x:c r="EK128" s="171" t="str">
        <x:f>IF(EE128="","",IFERROR(F128*EJ128/EH128,0))</x:f>
      </x:c>
      <x:c r="EL128" s="171" t="str">
        <x:f>IF(EE128="","",F128*ABS(EJ128))</x:f>
      </x:c>
      <x:c r="EM128" s="165"/>
      <x:c r="EN128" s="172" t="str">
        <x:f>IF(EE128="","",IF(EM128="","",IFERROR(EH128/EM128-1,0)))</x:f>
      </x:c>
      <x:c r="EO128" s="166"/>
      <x:c r="EP128" s="172" t="str">
        <x:f>IF(EE128="","",IF(EO128="","",EO128-EN128*365/EQ128))</x:f>
      </x:c>
      <x:c r="EQ128" s="164"/>
      <x:c r="ER128" s="172" t="str">
        <x:f>IF(EE128="","",IFERROR(EJ128*(EI128/EH128-1),0))</x:f>
      </x:c>
      <x:c r="ES128" s="147"/>
      <x:c r="ET128" s="147"/>
      <x:c r="EU128" s="147"/>
      <x:c r="EV128" s="167"/>
      <x:c r="EW128" s="167"/>
      <x:c r="EX128" s="166"/>
      <x:c r="EY128" s="171" t="str">
        <x:f>IF(ES128="","",IFERROR(F128*EX128/EV128,0))</x:f>
      </x:c>
      <x:c r="EZ128" s="171" t="str">
        <x:f>IF(ES128="","",F128*ABS(EX128))</x:f>
      </x:c>
      <x:c r="FA128" s="165"/>
      <x:c r="FB128" s="172" t="str">
        <x:f>IF(ES128="","",IF(FA128="","",IFERROR(EV128/FA128-1,0)))</x:f>
      </x:c>
      <x:c r="FC128" s="166"/>
      <x:c r="FD128" s="172" t="str">
        <x:f>IF(ES128="","",IF(FC128="","",FC128-FB128*365/FE128))</x:f>
      </x:c>
      <x:c r="FE128" s="164"/>
      <x:c r="FF128" s="172" t="str">
        <x:f>IF(ES128="","",IFERROR(EX128*(EW128/EV128-1),0))</x:f>
      </x:c>
      <x:c r="FG128" s="147"/>
      <x:c r="FH128" s="147"/>
      <x:c r="FI128" s="147"/>
      <x:c r="FJ128" s="167"/>
      <x:c r="FK128" s="167"/>
      <x:c r="FL128" s="166"/>
      <x:c r="FM128" s="171" t="str">
        <x:f>IF(FG128="","",IFERROR(F128*FL128/FJ128,0))</x:f>
      </x:c>
      <x:c r="FN128" s="171" t="str">
        <x:f>IF(FG128="","",F128*ABS(FL128))</x:f>
      </x:c>
      <x:c r="FO128" s="165"/>
      <x:c r="FP128" s="172" t="str">
        <x:f>IF(FG128="","",IF(FO128="","",IFERROR(FJ128/FO128-1,0)))</x:f>
      </x:c>
      <x:c r="FQ128" s="166"/>
      <x:c r="FR128" s="172" t="str">
        <x:f>IF(FG128="","",IF(FQ128="","",FQ128-FP128*365/FS128))</x:f>
      </x:c>
      <x:c r="FS128" s="164"/>
      <x:c r="FT128" s="172" t="str">
        <x:f>IF(FG128="","",IFERROR(FL128*(FK128/FJ128-1),0))</x:f>
      </x:c>
    </x:row>
    <x:row r="129" ht="18" customHeight="1">
      <x:c r="A129" s="163" t="n">
        <x:v>25394</x:v>
      </x:c>
      <x:c r="B129" s="163" t="n">
        <x:v>25395</x:v>
      </x:c>
      <x:c r="C129" s="170" t="n">
        <x:f>B129-A129</x:f>
        <x:v>1</x:v>
      </x:c>
      <x:c r="D129" s="163" t="n">
        <x:v>25394</x:v>
      </x:c>
      <x:c r="E129" s="147" t="str">
        <x:v>positive</x:v>
      </x:c>
      <x:c r="F129" s="165" t="n">
        <x:v>1.355829282645148</x:v>
      </x:c>
      <x:c r="G129" s="168" t="n">
        <x:v>0.003886362102705842</x:v>
      </x:c>
      <x:c r="H129" s="172" t="n">
        <x:f>SUM(AX129,BL129,BZ129,CN129,DB129,DP129,ED129,ER129,FF129,FT129)</x:f>
        <x:v>0.003886362102705876</x:v>
      </x:c>
      <x:c r="I129" s="174" t="n">
        <x:f>G129-H129</x:f>
        <x:v>-3.382710778154774e-17</x:v>
      </x:c>
      <x:c r="J129" s="171" t="n">
        <x:f>F129*(1+H129)</x:f>
        <x:v>1.3610985261869588</x:v>
      </x:c>
      <x:c r="K129" s="169" t="n">
        <x:v>1.3610985261869588</x:v>
      </x:c>
      <x:c r="L129" s="175" t="n">
        <x:f>K129-J129</x:f>
        <x:v>0</x:v>
      </x:c>
      <x:c r="M129" s="167" t="n">
        <x:v>1.663</x:v>
      </x:c>
      <x:c r="N129" s="167" t="n">
        <x:v>1.631</x:v>
      </x:c>
      <x:c r="O129" s="172" t="n">
        <x:f>IFERROR(N129/M129-1,0)</x:f>
        <x:v>-0.019242333132892364</x:v>
      </x:c>
      <x:c r="P129" s="171" t="n">
        <x:f>IFERROR(AD129/AH129,0)</x:f>
        <x:v>1.5963401896687919</x:v>
      </x:c>
      <x:c r="Q129" s="171" t="n">
        <x:f>IFERROR(AE129/AI129,0)</x:f>
        <x:v>1.633985845661598</x:v>
      </x:c>
      <x:c r="R129" s="172" t="n">
        <x:f>IFERROR((Q129-P129)/(P129+S129),0)</x:f>
        <x:v>0.023582477116370123</x:v>
      </x:c>
      <x:c r="S129" s="172" t="n">
        <x:f>IFERROR(AF129/AH129,0)</x:f>
        <x:v>0</x:v>
      </x:c>
      <x:c r="T129" s="172" t="n">
        <x:f>IFERROR(AG129/AI129,0)</x:f>
        <x:v>0</x:v>
      </x:c>
      <x:c r="U129" s="172" t="n">
        <x:f>IFERROR((T129-S129)/(P129+S129),0)</x:f>
        <x:v>0</x:v>
      </x:c>
      <x:c r="V129" s="172" t="n">
        <x:f>R129+U129</x:f>
        <x:v>0.023582477116370123</x:v>
      </x:c>
      <x:c r="W129" s="172" t="n">
        <x:f>(1+O129)*(1+V129)-1</x:f>
        <x:v>0.003886362102705876</x:v>
      </x:c>
      <x:c r="X129" s="174" t="n">
        <x:f>G129-W129</x:f>
        <x:v>-3.382710778154774e-17</x:v>
      </x:c>
      <x:c r="Y129" s="172" t="str">
        <x:f>AX129</x:f>
      </x:c>
      <x:c r="Z129" s="172" t="n">
        <x:f>BL129</x:f>
        <x:v>0.00019178082191784185</x:v>
      </x:c>
      <x:c r="AA129" s="172" t="n">
        <x:f>SUM(BZ129,CN129,DB129,DP129,ED129,ER129,FF129,FT129)</x:f>
        <x:v>0.003694581280788034</x:v>
      </x:c>
      <x:c r="AB129" s="172" t="n">
        <x:f>SUM(Y129:AA129)</x:f>
        <x:v>0.003886362102705876</x:v>
      </x:c>
      <x:c r="AC129" s="174" t="n">
        <x:f>G129-AB129</x:f>
        <x:v>-3.382710778154774e-17</x:v>
      </x:c>
      <x:c r="AD129" s="169" t="n">
        <x:v>1.3558292826451486</x:v>
      </x:c>
      <x:c r="AE129" s="169" t="n">
        <x:v>1.3610985261869595</x:v>
      </x:c>
      <x:c r="AF129" s="169" t="n">
        <x:v>0</x:v>
      </x:c>
      <x:c r="AG129" s="169" t="n">
        <x:v>0</x:v>
      </x:c>
      <x:c r="AH129" s="171" t="n">
        <x:f>M129/$M$3</x:f>
        <x:v>0.8493360572012257</x:v>
      </x:c>
      <x:c r="AI129" s="171" t="n">
        <x:f>N129/$M$3</x:f>
        <x:v>0.8329928498467825</x:v>
      </x:c>
      <x:c r="AJ129" s="170" t="n">
        <x:f>IF(AK129&lt;&gt;"",1,0)+IF(AY129&lt;&gt;"",1,0)+IF(BM129&lt;&gt;"",1,0)+IF(CA129&lt;&gt;"",1,0)+IF(CO129&lt;&gt;"",1,0)+IF(DC129&lt;&gt;"",1,0)+IF(DQ129&lt;&gt;"",1,0)+IF(EE129&lt;&gt;"",1,0)+IF(ES129&lt;&gt;"",1,0)+IF(FG129&lt;&gt;"",1,0)</x:f>
        <x:v>7</x:v>
      </x:c>
      <x:c r="AK129" s="147"/>
      <x:c r="AL129" s="147"/>
      <x:c r="AM129" s="147"/>
      <x:c r="AN129" s="167"/>
      <x:c r="AO129" s="167"/>
      <x:c r="AP129" s="166"/>
      <x:c r="AQ129" s="171" t="str">
        <x:f>IF(AK129="","",IFERROR(F129*AP129/AN129,0))</x:f>
      </x:c>
      <x:c r="AR129" s="171" t="str">
        <x:f>IF(AK129="","",F129*ABS(AP129))</x:f>
      </x:c>
      <x:c r="AS129" s="165"/>
      <x:c r="AT129" s="172" t="str">
        <x:f>IF(AK129="","",IF(AS129="","",IFERROR(AN129/AS129-1,0)))</x:f>
      </x:c>
      <x:c r="AU129" s="166"/>
      <x:c r="AV129" s="172" t="str">
        <x:f>IF(AK129="","",IF(AU129="","",AU129-AT129*365/AW129))</x:f>
      </x:c>
      <x:c r="AW129" s="164"/>
      <x:c r="AX129" s="173" t="str">
        <x:f>IF(AK129="","",IFERROR(AP129*(AO129/AN129-1),0))</x:f>
      </x:c>
      <x:c r="AY129" s="147" t="str">
        <x:v>Matched-maturity Treasury collateral</x:v>
      </x:c>
      <x:c r="AZ129" s="147" t="str">
        <x:v>Treasury</x:v>
      </x:c>
      <x:c r="BA129" s="147" t="str">
        <x:v>Long</x:v>
      </x:c>
      <x:c r="BB129" s="167" t="n">
        <x:v>103.24855349628777</x:v>
      </x:c>
      <x:c r="BC129" s="167" t="n">
        <x:v>103.26835458873911</x:v>
      </x:c>
      <x:c r="BD129" s="166" t="n">
        <x:v>1</x:v>
      </x:c>
      <x:c r="BE129" s="171" t="n">
        <x:f>IF(AY129="","",IFERROR(F129*BD129/BB129,0))</x:f>
        <x:v>0.01313170244747202</x:v>
      </x:c>
      <x:c r="BF129" s="171" t="n">
        <x:f>IF(AY129="","",F129*ABS(BD129))</x:f>
        <x:v>1.355829282645148</x:v>
      </x:c>
      <x:c r="BG129" s="165"/>
      <x:c r="BH129" s="172" t="str">
        <x:f>IF(AY129="","",IF(BG129="","",IFERROR(BB129/BG129-1,0)))</x:f>
      </x:c>
      <x:c r="BI129" s="166"/>
      <x:c r="BJ129" s="172" t="str">
        <x:f>IF(AY129="","",IF(BI129="","",BI129-BH129*365/BK129))</x:f>
      </x:c>
      <x:c r="BK129" s="164" t="n">
        <x:v>19</x:v>
      </x:c>
      <x:c r="BL129" s="172" t="n">
        <x:f>IF(AY129="","",IFERROR(BD129*(BC129/BB129-1),0))</x:f>
        <x:v>0.00019178082191784185</x:v>
      </x:c>
      <x:c r="BM129" s="147" t="str">
        <x:v>SI69N</x:v>
      </x:c>
      <x:c r="BN129" s="147" t="str">
        <x:v>Silver future (regular)</x:v>
      </x:c>
      <x:c r="BO129" s="147" t="str">
        <x:v>Long</x:v>
      </x:c>
      <x:c r="BP129" s="167" t="n">
        <x:v>1.624</x:v>
      </x:c>
      <x:c r="BQ129" s="167" t="n">
        <x:v>1.63</x:v>
      </x:c>
      <x:c r="BR129" s="166" t="n">
        <x:v>1</x:v>
      </x:c>
      <x:c r="BS129" s="171" t="n">
        <x:f>IF(BM129="","",IFERROR(F129*BR129/BP129,0))</x:f>
        <x:v>0.8348702479342043</x:v>
      </x:c>
      <x:c r="BT129" s="171" t="n">
        <x:f>IF(BM129="","",F129*ABS(BR129))</x:f>
        <x:v>1.355829282645148</x:v>
      </x:c>
      <x:c r="BU129" s="165" t="n">
        <x:v>1.663</x:v>
      </x:c>
      <x:c r="BV129" s="172" t="n">
        <x:f>IF(BM129="","",IF(BU129="","",IFERROR(BP129/BU129-1,0)))</x:f>
        <x:v>-0.023451593505712576</x:v>
      </x:c>
      <x:c r="BW129" s="166" t="n">
        <x:v>0.07</x:v>
      </x:c>
      <x:c r="BX129" s="172" t="n">
        <x:f>IF(BM129="","",IF(BW129="","",BW129-BV129*365/BY129))</x:f>
        <x:v>0.520517454188689</x:v>
      </x:c>
      <x:c r="BY129" s="164" t="n">
        <x:v>19</x:v>
      </x:c>
      <x:c r="BZ129" s="172" t="n">
        <x:f>IF(BM129="","",IFERROR(BR129*(BQ129/BP129-1),0))</x:f>
        <x:v>0.003694581280788034</x:v>
      </x:c>
      <x:c r="CA129" s="147" t="str">
        <x:v>SI69U</x:v>
      </x:c>
      <x:c r="CB129" s="147" t="str">
        <x:v>Silver future (regular)</x:v>
      </x:c>
      <x:c r="CC129" s="147" t="str">
        <x:v>Long</x:v>
      </x:c>
      <x:c r="CD129" s="167" t="n">
        <x:v>1.6440000000000001</x:v>
      </x:c>
      <x:c r="CE129" s="167" t="n">
        <x:v>1.656</x:v>
      </x:c>
      <x:c r="CF129" s="166" t="n">
        <x:v>5.703977108981989e-18</x:v>
      </x:c>
      <x:c r="CG129" s="171" t="n">
        <x:f>IF(CA129="","",IFERROR(F129*CF129/CD129,0))</x:f>
        <x:v>4.704147926943671e-18</x:v>
      </x:c>
      <x:c r="CH129" s="171" t="n">
        <x:f>IF(CA129="","",F129*ABS(CF129))</x:f>
        <x:v>7.733619191895395e-18</x:v>
      </x:c>
      <x:c r="CI129" s="165" t="n">
        <x:v>1.663</x:v>
      </x:c>
      <x:c r="CJ129" s="172" t="n">
        <x:f>IF(CA129="","",IF(CI129="","",IFERROR(CD129/CI129-1,0)))</x:f>
        <x:v>-0.011425135297654765</x:v>
      </x:c>
      <x:c r="CK129" s="166" t="n">
        <x:v>0.07</x:v>
      </x:c>
      <x:c r="CL129" s="172" t="n">
        <x:f>IF(CA129="","",IF(CK129="","",CK129-CJ129*365/CM129))</x:f>
        <x:v>0.12346377414928192</x:v>
      </x:c>
      <x:c r="CM129" s="164" t="n">
        <x:v>78</x:v>
      </x:c>
      <x:c r="CN129" s="172" t="n">
        <x:f>IF(CA129="","",IFERROR(CF129*(CE129/CD129-1),0))</x:f>
        <x:v>4.163486940862697e-20</x:v>
      </x:c>
      <x:c r="CO129" s="147" t="str">
        <x:v>SI69Z</x:v>
      </x:c>
      <x:c r="CP129" s="147" t="str">
        <x:v>Silver future (regular)</x:v>
      </x:c>
      <x:c r="CQ129" s="147" t="str">
        <x:v>Long</x:v>
      </x:c>
      <x:c r="CR129" s="167" t="n">
        <x:v>1.6909999999999998</x:v>
      </x:c>
      <x:c r="CS129" s="167" t="n">
        <x:v>1.704</x:v>
      </x:c>
      <x:c r="CT129" s="166" t="n">
        <x:v>4.635545633007993e-22</x:v>
      </x:c>
      <x:c r="CU129" s="171" t="n">
        <x:f>IF(CO129="","",IFERROR(F129*CT129/CR129,0))</x:f>
        <x:v>3.716740692057999e-22</x:v>
      </x:c>
      <x:c r="CV129" s="171" t="n">
        <x:f>IF(CO129="","",F129*ABS(CT129))</x:f>
        <x:v>6.285008510270076e-22</x:v>
      </x:c>
      <x:c r="CW129" s="165" t="n">
        <x:v>1.663</x:v>
      </x:c>
      <x:c r="CX129" s="172" t="n">
        <x:f>IF(CO129="","",IF(CW129="","",IFERROR(CR129/CW129-1,0)))</x:f>
        <x:v>0.016837041491280624</x:v>
      </x:c>
      <x:c r="CY129" s="166" t="n">
        <x:v>0.0724923076923077</x:v>
      </x:c>
      <x:c r="CZ129" s="172" t="n">
        <x:f>IF(CO129="","",IF(CY129="","",CY129-CX129*365/DA129))</x:f>
        <x:v>0.036762539411392424</x:v>
      </x:c>
      <x:c r="DA129" s="164" t="n">
        <x:v>172</x:v>
      </x:c>
      <x:c r="DB129" s="172" t="n">
        <x:f>IF(CO129="","",IFERROR(CT129*(CS129/CR129-1),0))</x:f>
        <x:v>3.5636956374396414e-24</x:v>
      </x:c>
      <x:c r="DC129" s="147" t="str">
        <x:v>SI70F</x:v>
      </x:c>
      <x:c r="DD129" s="147" t="str">
        <x:v>Silver future (regular)</x:v>
      </x:c>
      <x:c r="DE129" s="147" t="str">
        <x:v>Long</x:v>
      </x:c>
      <x:c r="DF129" s="167" t="n">
        <x:v>1.7080000000000002</x:v>
      </x:c>
      <x:c r="DG129" s="167" t="n">
        <x:v>1.7209999999999999</x:v>
      </x:c>
      <x:c r="DH129" s="166" t="n">
        <x:v>3.535204574739867e-23</x:v>
      </x:c>
      <x:c r="DI129" s="171" t="n">
        <x:f>IF(DC129="","",IFERROR(F129*DH129/DF129,0))</x:f>
        <x:v>2.806284474574589e-23</x:v>
      </x:c>
      <x:c r="DJ129" s="171" t="n">
        <x:f>IF(DC129="","",F129*ABS(DH129))</x:f>
        <x:v>4.7931338825733986e-23</x:v>
      </x:c>
      <x:c r="DK129" s="165" t="n">
        <x:v>1.663</x:v>
      </x:c>
      <x:c r="DL129" s="172" t="n">
        <x:f>IF(DC129="","",IF(DK129="","",IFERROR(DF129/DK129-1,0)))</x:f>
        <x:v>0.027059530968130074</x:v>
      </x:c>
      <x:c r="DM129" s="166" t="n">
        <x:v>0.07323715846994536</x:v>
      </x:c>
      <x:c r="DN129" s="172" t="n">
        <x:f>IF(DC129="","",IF(DM129="","",DM129-DL129*365/DO129))</x:f>
        <x:v>0.024342461423571708</x:v>
      </x:c>
      <x:c r="DO129" s="164" t="n">
        <x:v>202</x:v>
      </x:c>
      <x:c r="DP129" s="172" t="n">
        <x:f>IF(DC129="","",IFERROR(DH129*(DG129/DF129-1),0))</x:f>
        <x:v>2.690729477260967e-25</x:v>
      </x:c>
      <x:c r="DQ129" s="147" t="str">
        <x:v>SI70H</x:v>
      </x:c>
      <x:c r="DR129" s="147" t="str">
        <x:v>Silver future (regular)</x:v>
      </x:c>
      <x:c r="DS129" s="147" t="str">
        <x:v>Long</x:v>
      </x:c>
      <x:c r="DT129" s="167" t="n">
        <x:v>1.74</x:v>
      </x:c>
      <x:c r="DU129" s="167" t="n">
        <x:v>1.754</x:v>
      </x:c>
      <x:c r="DV129" s="166" t="n">
        <x:v>1.5289396998664289e-24</x:v>
      </x:c>
      <x:c r="DW129" s="171" t="n">
        <x:f>IF(DQ129="","",IFERROR(F129*DV129/DT129,0))</x:f>
        <x:v>1.1913685152170047e-24</x:v>
      </x:c>
      <x:c r="DX129" s="171" t="n">
        <x:f>IF(DQ129="","",F129*ABS(DV129))</x:f>
        <x:v>2.072981216477588e-24</x:v>
      </x:c>
      <x:c r="DY129" s="165" t="n">
        <x:v>1.663</x:v>
      </x:c>
      <x:c r="DZ129" s="172" t="n">
        <x:f>IF(DQ129="","",IF(DY129="","",IFERROR(DT129/DY129-1,0)))</x:f>
        <x:v>0.046301864101022217</x:v>
      </x:c>
      <x:c r="EA129" s="166" t="n">
        <x:v>0.07450491803278687</x:v>
      </x:c>
      <x:c r="EB129" s="172" t="n">
        <x:f>IF(DQ129="","",IF(EA129="","",EA129-DZ129*365/EC129))</x:f>
        <x:v>0.009504224198659539</x:v>
      </x:c>
      <x:c r="EC129" s="164" t="n">
        <x:v>260</x:v>
      </x:c>
      <x:c r="ED129" s="172" t="n">
        <x:f>IF(DQ129="","",IFERROR(DV129*(DU129/DT129-1),0))</x:f>
        <x:v>1.2301813677086177e-26</x:v>
      </x:c>
      <x:c r="EE129" s="147" t="str">
        <x:v>SI70K</x:v>
      </x:c>
      <x:c r="EF129" s="147" t="str">
        <x:v>Silver future (regular)</x:v>
      </x:c>
      <x:c r="EG129" s="147" t="str">
        <x:v>Long</x:v>
      </x:c>
      <x:c r="EH129" s="167" t="n">
        <x:v>1.771</x:v>
      </x:c>
      <x:c r="EI129" s="167" t="n">
        <x:v>1.785</x:v>
      </x:c>
      <x:c r="EJ129" s="166" t="n">
        <x:v>2.837533520332479e-25</x:v>
      </x:c>
      <x:c r="EK129" s="171" t="n">
        <x:f>IF(EE129="","",IFERROR(F129*EJ129/EH129,0))</x:f>
        <x:v>2.172338248082409e-25</x:v>
      </x:c>
      <x:c r="EL129" s="171" t="n">
        <x:f>IF(EE129="","",F129*ABS(EJ129))</x:f>
        <x:v>3.847211037353946e-25</x:v>
      </x:c>
      <x:c r="EM129" s="165" t="n">
        <x:v>1.663</x:v>
      </x:c>
      <x:c r="EN129" s="172" t="n">
        <x:f>IF(EE129="","",IF(EM129="","",IFERROR(EH129/EM129-1,0)))</x:f>
        <x:v>0.06494287432351165</x:v>
      </x:c>
      <x:c r="EO129" s="166" t="n">
        <x:v>0.0758382513661202</x:v>
      </x:c>
      <x:c r="EP129" s="172" t="n">
        <x:f>IF(EE129="","",IF(EO129="","",EO129-EN129*365/EQ129))</x:f>
        <x:v>0.001993550032532182</x:v>
      </x:c>
      <x:c r="EQ129" s="164" t="n">
        <x:v>321</x:v>
      </x:c>
      <x:c r="ER129" s="172" t="n">
        <x:f>IF(EE129="","",IFERROR(EJ129*(EI129/EH129-1),0))</x:f>
        <x:v>2.2431095022391007e-27</x:v>
      </x:c>
      <x:c r="ES129" s="147"/>
      <x:c r="ET129" s="147"/>
      <x:c r="EU129" s="147"/>
      <x:c r="EV129" s="167"/>
      <x:c r="EW129" s="167"/>
      <x:c r="EX129" s="166"/>
      <x:c r="EY129" s="171" t="str">
        <x:f>IF(ES129="","",IFERROR(F129*EX129/EV129,0))</x:f>
      </x:c>
      <x:c r="EZ129" s="171" t="str">
        <x:f>IF(ES129="","",F129*ABS(EX129))</x:f>
      </x:c>
      <x:c r="FA129" s="165"/>
      <x:c r="FB129" s="172" t="str">
        <x:f>IF(ES129="","",IF(FA129="","",IFERROR(EV129/FA129-1,0)))</x:f>
      </x:c>
      <x:c r="FC129" s="166"/>
      <x:c r="FD129" s="172" t="str">
        <x:f>IF(ES129="","",IF(FC129="","",FC129-FB129*365/FE129))</x:f>
      </x:c>
      <x:c r="FE129" s="164"/>
      <x:c r="FF129" s="172" t="str">
        <x:f>IF(ES129="","",IFERROR(EX129*(EW129/EV129-1),0))</x:f>
      </x:c>
      <x:c r="FG129" s="147"/>
      <x:c r="FH129" s="147"/>
      <x:c r="FI129" s="147"/>
      <x:c r="FJ129" s="167"/>
      <x:c r="FK129" s="167"/>
      <x:c r="FL129" s="166"/>
      <x:c r="FM129" s="171" t="str">
        <x:f>IF(FG129="","",IFERROR(F129*FL129/FJ129,0))</x:f>
      </x:c>
      <x:c r="FN129" s="171" t="str">
        <x:f>IF(FG129="","",F129*ABS(FL129))</x:f>
      </x:c>
      <x:c r="FO129" s="165"/>
      <x:c r="FP129" s="172" t="str">
        <x:f>IF(FG129="","",IF(FO129="","",IFERROR(FJ129/FO129-1,0)))</x:f>
      </x:c>
      <x:c r="FQ129" s="166"/>
      <x:c r="FR129" s="172" t="str">
        <x:f>IF(FG129="","",IF(FQ129="","",FQ129-FP129*365/FS129))</x:f>
      </x:c>
      <x:c r="FS129" s="164"/>
      <x:c r="FT129" s="172" t="str">
        <x:f>IF(FG129="","",IFERROR(FL129*(FK129/FJ129-1),0))</x:f>
      </x:c>
    </x:row>
    <x:row r="130" ht="18" customHeight="1">
      <x:c r="A130" s="163" t="n">
        <x:v>25395</x:v>
      </x:c>
      <x:c r="B130" s="163" t="n">
        <x:v>25398</x:v>
      </x:c>
      <x:c r="C130" s="170" t="n">
        <x:f>B130-A130</x:f>
        <x:v>3</x:v>
      </x:c>
      <x:c r="D130" s="163" t="n">
        <x:v>25395</x:v>
      </x:c>
      <x:c r="E130" s="147" t="str">
        <x:v>positive</x:v>
      </x:c>
      <x:c r="F130" s="165" t="n">
        <x:v>1.3610985261869588</x:v>
      </x:c>
      <x:c r="G130" s="168" t="n">
        <x:v>0.017169262223350357</x:v>
      </x:c>
      <x:c r="H130" s="172" t="n">
        <x:f>SUM(AX130,BL130,BZ130,CN130,DB130,DP130,ED130,ER130,FF130,FT130)</x:f>
        <x:v>0.0171692622233503</x:v>
      </x:c>
      <x:c r="I130" s="174" t="n">
        <x:f>G130-H130</x:f>
        <x:v>5.551115123125783e-17</x:v>
      </x:c>
      <x:c r="J130" s="171" t="n">
        <x:f>F130*(1+H130)</x:f>
        <x:v>1.3844675836948783</x:v>
      </x:c>
      <x:c r="K130" s="169" t="n">
        <x:v>1.3844675836948783</x:v>
      </x:c>
      <x:c r="L130" s="175" t="n">
        <x:f>K130-J130</x:f>
        <x:v>0</x:v>
      </x:c>
      <x:c r="M130" s="167" t="n">
        <x:v>1.631</x:v>
      </x:c>
      <x:c r="N130" s="167" t="n">
        <x:v>1.652</x:v>
      </x:c>
      <x:c r="O130" s="172" t="n">
        <x:f>IFERROR(N130/M130-1,0)</x:f>
        <x:v>0.012875536480686733</x:v>
      </x:c>
      <x:c r="P130" s="171" t="n">
        <x:f>IFERROR(AD130/AH130,0)</x:f>
        <x:v>1.633985845661598</x:v>
      </x:c>
      <x:c r="Q130" s="171" t="n">
        <x:f>IFERROR(AE130/AI130,0)</x:f>
        <x:v>1.640912547744899</x:v>
      </x:c>
      <x:c r="R130" s="172" t="n">
        <x:f>IFERROR((Q130-P130)/(P130+S130),0)</x:f>
        <x:v>0.004239144483222991</x:v>
      </x:c>
      <x:c r="S130" s="172" t="n">
        <x:f>IFERROR(AF130/AH130,0)</x:f>
        <x:v>0</x:v>
      </x:c>
      <x:c r="T130" s="172" t="n">
        <x:f>IFERROR(AG130/AI130,0)</x:f>
        <x:v>0</x:v>
      </x:c>
      <x:c r="U130" s="172" t="n">
        <x:f>IFERROR((T130-S130)/(P130+S130),0)</x:f>
        <x:v>0</x:v>
      </x:c>
      <x:c r="V130" s="172" t="n">
        <x:f>R130+U130</x:f>
        <x:v>0.004239144483222991</x:v>
      </x:c>
      <x:c r="W130" s="172" t="n">
        <x:f>(1+O130)*(1+V130)-1</x:f>
        <x:v>0.017169262223350357</x:v>
      </x:c>
      <x:c r="X130" s="174" t="n">
        <x:f>G130-W130</x:f>
        <x:v>0</x:v>
      </x:c>
      <x:c r="Y130" s="172" t="n">
        <x:f>AX130</x:f>
        <x:v>0.00588478004570894</x:v>
      </x:c>
      <x:c r="Z130" s="172" t="n">
        <x:f>BL130</x:f>
        <x:v>0.0003070588981929706</x:v>
      </x:c>
      <x:c r="AA130" s="172" t="n">
        <x:f>SUM(BZ130,CN130,DB130,DP130,ED130,ER130,FF130,FT130)</x:f>
        <x:v>0.010977423279448392</x:v>
      </x:c>
      <x:c r="AB130" s="172" t="n">
        <x:f>SUM(Y130:AA130)</x:f>
        <x:v>0.0171692622233503</x:v>
      </x:c>
      <x:c r="AC130" s="174" t="n">
        <x:f>G130-AB130</x:f>
        <x:v>5.551115123125783e-17</x:v>
      </x:c>
      <x:c r="AD130" s="169" t="n">
        <x:v>1.3610985261869595</x:v>
      </x:c>
      <x:c r="AE130" s="169" t="n">
        <x:v>1.384467583694879</x:v>
      </x:c>
      <x:c r="AF130" s="169" t="n">
        <x:v>0</x:v>
      </x:c>
      <x:c r="AG130" s="169" t="n">
        <x:v>0</x:v>
      </x:c>
      <x:c r="AH130" s="171" t="n">
        <x:f>M130/$M$3</x:f>
        <x:v>0.8329928498467825</x:v>
      </x:c>
      <x:c r="AI130" s="171" t="n">
        <x:f>N130/$M$3</x:f>
        <x:v>0.8437180796731358</x:v>
      </x:c>
      <x:c r="AJ130" s="170" t="n">
        <x:f>IF(AK130&lt;&gt;"",1,0)+IF(AY130&lt;&gt;"",1,0)+IF(BM130&lt;&gt;"",1,0)+IF(CA130&lt;&gt;"",1,0)+IF(CO130&lt;&gt;"",1,0)+IF(DC130&lt;&gt;"",1,0)+IF(DQ130&lt;&gt;"",1,0)+IF(EE130&lt;&gt;"",1,0)+IF(ES130&lt;&gt;"",1,0)+IF(FG130&lt;&gt;"",1,0)</x:f>
        <x:v>3</x:v>
      </x:c>
      <x:c r="AK130" s="147" t="str">
        <x:v>Silver replicating holding (LBMA/SLV proxy)</x:v>
      </x:c>
      <x:c r="AL130" s="147" t="str">
        <x:v>Physical-backed proxy</x:v>
      </x:c>
      <x:c r="AM130" s="147" t="str">
        <x:v>Long</x:v>
      </x:c>
      <x:c r="AN130" s="167" t="n">
        <x:v>1.631</x:v>
      </x:c>
      <x:c r="AO130" s="167" t="n">
        <x:v>1.652</x:v>
      </x:c>
      <x:c r="AP130" s="166" t="n">
        <x:v>0.4577818198333096</x:v>
      </x:c>
      <x:c r="AQ130" s="171" t="n">
        <x:f>IF(AK130="","",IFERROR(F130*AP130/AN130,0))</x:f>
        <x:v>0.3820270755918465</x:v>
      </x:c>
      <x:c r="AR130" s="171" t="n">
        <x:f>IF(AK130="","",F130*ABS(AP130))</x:f>
        <x:v>0.6230861602903016</x:v>
      </x:c>
      <x:c r="AS130" s="165"/>
      <x:c r="AT130" s="172" t="str">
        <x:f>IF(AK130="","",IF(AS130="","",IFERROR(AN130/AS130-1,0)))</x:f>
      </x:c>
      <x:c r="AU130" s="166"/>
      <x:c r="AV130" s="172" t="str">
        <x:f>IF(AK130="","",IF(AU130="","",AU130-AT130*365/AW130))</x:f>
      </x:c>
      <x:c r="AW130" s="164"/>
      <x:c r="AX130" s="173" t="n">
        <x:f>IF(AK130="","",IFERROR(AP130*(AO130/AN130-1-'Parameters'!$C$6*C130/365),0))</x:f>
        <x:v>0.00588478004570894</x:v>
      </x:c>
      <x:c r="AY130" s="147" t="str">
        <x:v>Matched-maturity Treasury collateral</x:v>
      </x:c>
      <x:c r="AZ130" s="147" t="str">
        <x:v>Treasury</x:v>
      </x:c>
      <x:c r="BA130" s="147" t="str">
        <x:v>Long</x:v>
      </x:c>
      <x:c r="BB130" s="167" t="n">
        <x:v>103.26835458873911</x:v>
      </x:c>
      <x:c r="BC130" s="167" t="n">
        <x:v>103.32683559940621</x:v>
      </x:c>
      <x:c r="BD130" s="166" t="n">
        <x:v>0.5422181801666904</x:v>
      </x:c>
      <x:c r="BE130" s="171" t="n">
        <x:f>IF(AY130="","",IFERROR(F130*BD130/BB130,0))</x:f>
        <x:v>0.007146549093725307</x:v>
      </x:c>
      <x:c r="BF130" s="171" t="n">
        <x:f>IF(AY130="","",F130*ABS(BD130))</x:f>
        <x:v>0.7380123658966572</x:v>
      </x:c>
      <x:c r="BG130" s="165"/>
      <x:c r="BH130" s="172" t="str">
        <x:f>IF(AY130="","",IF(BG130="","",IFERROR(BB130/BG130-1,0)))</x:f>
      </x:c>
      <x:c r="BI130" s="166"/>
      <x:c r="BJ130" s="172" t="str">
        <x:f>IF(AY130="","",IF(BI130="","",BI130-BH130*365/BK130))</x:f>
      </x:c>
      <x:c r="BK130" s="164" t="n">
        <x:v>18</x:v>
      </x:c>
      <x:c r="BL130" s="172" t="n">
        <x:f>IF(AY130="","",IFERROR(BD130*(BC130/BB130-1),0))</x:f>
        <x:v>0.0003070588981929706</x:v>
      </x:c>
      <x:c r="BM130" s="147" t="str">
        <x:v>SI69N</x:v>
      </x:c>
      <x:c r="BN130" s="147" t="str">
        <x:v>Silver future (regular)</x:v>
      </x:c>
      <x:c r="BO130" s="147" t="str">
        <x:v>Long</x:v>
      </x:c>
      <x:c r="BP130" s="167" t="n">
        <x:v>1.63</x:v>
      </x:c>
      <x:c r="BQ130" s="167" t="n">
        <x:v>1.663</x:v>
      </x:c>
      <x:c r="BR130" s="166" t="n">
        <x:v>0.5422181801666904</x:v>
      </x:c>
      <x:c r="BS130" s="171" t="n">
        <x:f>IF(BM130="","",IFERROR(F130*BR130/BP130,0))</x:f>
        <x:v>0.45276832263598604</x:v>
      </x:c>
      <x:c r="BT130" s="171" t="n">
        <x:f>IF(BM130="","",F130*ABS(BR130))</x:f>
        <x:v>0.7380123658966572</x:v>
      </x:c>
      <x:c r="BU130" s="165" t="n">
        <x:v>1.631</x:v>
      </x:c>
      <x:c r="BV130" s="172" t="n">
        <x:f>IF(BM130="","",IF(BU130="","",IFERROR(BP130/BU130-1,0)))</x:f>
        <x:v>-0.0006131207847946962</x:v>
      </x:c>
      <x:c r="BW130" s="166" t="n">
        <x:v>0.0689</x:v>
      </x:c>
      <x:c r="BX130" s="172" t="n">
        <x:f>IF(BM130="","",IF(BW130="","",BW130-BV130*365/BY130))</x:f>
        <x:v>0.08133272702500356</x:v>
      </x:c>
      <x:c r="BY130" s="164" t="n">
        <x:v>18</x:v>
      </x:c>
      <x:c r="BZ130" s="172" t="n">
        <x:f>IF(BM130="","",IFERROR(BR130*(BQ130/BP130-1),0))</x:f>
        <x:v>0.010977423279448392</x:v>
      </x:c>
      <x:c r="CA130" s="147"/>
      <x:c r="CB130" s="147"/>
      <x:c r="CC130" s="147"/>
      <x:c r="CD130" s="167"/>
      <x:c r="CE130" s="167"/>
      <x:c r="CF130" s="166"/>
      <x:c r="CG130" s="171" t="str">
        <x:f>IF(CA130="","",IFERROR(F130*CF130/CD130,0))</x:f>
      </x:c>
      <x:c r="CH130" s="171" t="str">
        <x:f>IF(CA130="","",F130*ABS(CF130))</x:f>
      </x:c>
      <x:c r="CI130" s="165"/>
      <x:c r="CJ130" s="172" t="str">
        <x:f>IF(CA130="","",IF(CI130="","",IFERROR(CD130/CI130-1,0)))</x:f>
      </x:c>
      <x:c r="CK130" s="166"/>
      <x:c r="CL130" s="172" t="str">
        <x:f>IF(CA130="","",IF(CK130="","",CK130-CJ130*365/CM130))</x:f>
      </x:c>
      <x:c r="CM130" s="164"/>
      <x:c r="CN130" s="172" t="str">
        <x:f>IF(CA130="","",IFERROR(CF130*(CE130/CD130-1),0))</x:f>
      </x:c>
      <x:c r="CO130" s="147"/>
      <x:c r="CP130" s="147"/>
      <x:c r="CQ130" s="147"/>
      <x:c r="CR130" s="167"/>
      <x:c r="CS130" s="167"/>
      <x:c r="CT130" s="166"/>
      <x:c r="CU130" s="171" t="str">
        <x:f>IF(CO130="","",IFERROR(F130*CT130/CR130,0))</x:f>
      </x:c>
      <x:c r="CV130" s="171" t="str">
        <x:f>IF(CO130="","",F130*ABS(CT130))</x:f>
      </x:c>
      <x:c r="CW130" s="165"/>
      <x:c r="CX130" s="172" t="str">
        <x:f>IF(CO130="","",IF(CW130="","",IFERROR(CR130/CW130-1,0)))</x:f>
      </x:c>
      <x:c r="CY130" s="166"/>
      <x:c r="CZ130" s="172" t="str">
        <x:f>IF(CO130="","",IF(CY130="","",CY130-CX130*365/DA130))</x:f>
      </x:c>
      <x:c r="DA130" s="164"/>
      <x:c r="DB130" s="172" t="str">
        <x:f>IF(CO130="","",IFERROR(CT130*(CS130/CR130-1),0))</x:f>
      </x:c>
      <x:c r="DC130" s="147"/>
      <x:c r="DD130" s="147"/>
      <x:c r="DE130" s="147"/>
      <x:c r="DF130" s="167"/>
      <x:c r="DG130" s="167"/>
      <x:c r="DH130" s="166"/>
      <x:c r="DI130" s="171" t="str">
        <x:f>IF(DC130="","",IFERROR(F130*DH130/DF130,0))</x:f>
      </x:c>
      <x:c r="DJ130" s="171" t="str">
        <x:f>IF(DC130="","",F130*ABS(DH130))</x:f>
      </x:c>
      <x:c r="DK130" s="165"/>
      <x:c r="DL130" s="172" t="str">
        <x:f>IF(DC130="","",IF(DK130="","",IFERROR(DF130/DK130-1,0)))</x:f>
      </x:c>
      <x:c r="DM130" s="166"/>
      <x:c r="DN130" s="172" t="str">
        <x:f>IF(DC130="","",IF(DM130="","",DM130-DL130*365/DO130))</x:f>
      </x:c>
      <x:c r="DO130" s="164"/>
      <x:c r="DP130" s="172" t="str">
        <x:f>IF(DC130="","",IFERROR(DH130*(DG130/DF130-1),0))</x:f>
      </x:c>
      <x:c r="DQ130" s="147"/>
      <x:c r="DR130" s="147"/>
      <x:c r="DS130" s="147"/>
      <x:c r="DT130" s="167"/>
      <x:c r="DU130" s="167"/>
      <x:c r="DV130" s="166"/>
      <x:c r="DW130" s="171" t="str">
        <x:f>IF(DQ130="","",IFERROR(F130*DV130/DT130,0))</x:f>
      </x:c>
      <x:c r="DX130" s="171" t="str">
        <x:f>IF(DQ130="","",F130*ABS(DV130))</x:f>
      </x:c>
      <x:c r="DY130" s="165"/>
      <x:c r="DZ130" s="172" t="str">
        <x:f>IF(DQ130="","",IF(DY130="","",IFERROR(DT130/DY130-1,0)))</x:f>
      </x:c>
      <x:c r="EA130" s="166"/>
      <x:c r="EB130" s="172" t="str">
        <x:f>IF(DQ130="","",IF(EA130="","",EA130-DZ130*365/EC130))</x:f>
      </x:c>
      <x:c r="EC130" s="164"/>
      <x:c r="ED130" s="172" t="str">
        <x:f>IF(DQ130="","",IFERROR(DV130*(DU130/DT130-1),0))</x:f>
      </x:c>
      <x:c r="EE130" s="147"/>
      <x:c r="EF130" s="147"/>
      <x:c r="EG130" s="147"/>
      <x:c r="EH130" s="167"/>
      <x:c r="EI130" s="167"/>
      <x:c r="EJ130" s="166"/>
      <x:c r="EK130" s="171" t="str">
        <x:f>IF(EE130="","",IFERROR(F130*EJ130/EH130,0))</x:f>
      </x:c>
      <x:c r="EL130" s="171" t="str">
        <x:f>IF(EE130="","",F130*ABS(EJ130))</x:f>
      </x:c>
      <x:c r="EM130" s="165"/>
      <x:c r="EN130" s="172" t="str">
        <x:f>IF(EE130="","",IF(EM130="","",IFERROR(EH130/EM130-1,0)))</x:f>
      </x:c>
      <x:c r="EO130" s="166"/>
      <x:c r="EP130" s="172" t="str">
        <x:f>IF(EE130="","",IF(EO130="","",EO130-EN130*365/EQ130))</x:f>
      </x:c>
      <x:c r="EQ130" s="164"/>
      <x:c r="ER130" s="172" t="str">
        <x:f>IF(EE130="","",IFERROR(EJ130*(EI130/EH130-1),0))</x:f>
      </x:c>
      <x:c r="ES130" s="147"/>
      <x:c r="ET130" s="147"/>
      <x:c r="EU130" s="147"/>
      <x:c r="EV130" s="167"/>
      <x:c r="EW130" s="167"/>
      <x:c r="EX130" s="166"/>
      <x:c r="EY130" s="171" t="str">
        <x:f>IF(ES130="","",IFERROR(F130*EX130/EV130,0))</x:f>
      </x:c>
      <x:c r="EZ130" s="171" t="str">
        <x:f>IF(ES130="","",F130*ABS(EX130))</x:f>
      </x:c>
      <x:c r="FA130" s="165"/>
      <x:c r="FB130" s="172" t="str">
        <x:f>IF(ES130="","",IF(FA130="","",IFERROR(EV130/FA130-1,0)))</x:f>
      </x:c>
      <x:c r="FC130" s="166"/>
      <x:c r="FD130" s="172" t="str">
        <x:f>IF(ES130="","",IF(FC130="","",FC130-FB130*365/FE130))</x:f>
      </x:c>
      <x:c r="FE130" s="164"/>
      <x:c r="FF130" s="172" t="str">
        <x:f>IF(ES130="","",IFERROR(EX130*(EW130/EV130-1),0))</x:f>
      </x:c>
      <x:c r="FG130" s="147"/>
      <x:c r="FH130" s="147"/>
      <x:c r="FI130" s="147"/>
      <x:c r="FJ130" s="167"/>
      <x:c r="FK130" s="167"/>
      <x:c r="FL130" s="166"/>
      <x:c r="FM130" s="171" t="str">
        <x:f>IF(FG130="","",IFERROR(F130*FL130/FJ130,0))</x:f>
      </x:c>
      <x:c r="FN130" s="171" t="str">
        <x:f>IF(FG130="","",F130*ABS(FL130))</x:f>
      </x:c>
      <x:c r="FO130" s="165"/>
      <x:c r="FP130" s="172" t="str">
        <x:f>IF(FG130="","",IF(FO130="","",IFERROR(FJ130/FO130-1,0)))</x:f>
      </x:c>
      <x:c r="FQ130" s="166"/>
      <x:c r="FR130" s="172" t="str">
        <x:f>IF(FG130="","",IF(FQ130="","",FQ130-FP130*365/FS130))</x:f>
      </x:c>
      <x:c r="FS130" s="164"/>
      <x:c r="FT130" s="172" t="str">
        <x:f>IF(FG130="","",IFERROR(FL130*(FK130/FJ130-1),0))</x:f>
      </x:c>
    </x:row>
    <x:row r="131" ht="18" customHeight="1">
      <x:c r="A131" s="163" t="n">
        <x:v>25398</x:v>
      </x:c>
      <x:c r="B131" s="163" t="n">
        <x:v>25399</x:v>
      </x:c>
      <x:c r="C131" s="170" t="n">
        <x:f>B131-A131</x:f>
        <x:v>1</x:v>
      </x:c>
      <x:c r="D131" s="163" t="n">
        <x:v>25398</x:v>
      </x:c>
      <x:c r="E131" s="147" t="str">
        <x:v>neutral</x:v>
      </x:c>
      <x:c r="F131" s="165" t="n">
        <x:v>1.3844675836948783</x:v>
      </x:c>
      <x:c r="G131" s="168" t="n">
        <x:v>0.01875828385684448</x:v>
      </x:c>
      <x:c r="H131" s="172" t="n">
        <x:f>SUM(AX131,BL131,BZ131,CN131,DB131,DP131,ED131,ER131,FF131,FT131)</x:f>
        <x:v>0.01875828385684448</x:v>
      </x:c>
      <x:c r="I131" s="174" t="n">
        <x:f>G131-H131</x:f>
        <x:v>0</x:v>
      </x:c>
      <x:c r="J131" s="171" t="n">
        <x:f>F131*(1+H131)</x:f>
        <x:v>1.4104378196204266</x:v>
      </x:c>
      <x:c r="K131" s="169" t="n">
        <x:v>1.4104378196204266</x:v>
      </x:c>
      <x:c r="L131" s="175" t="n">
        <x:f>K131-J131</x:f>
        <x:v>0</x:v>
      </x:c>
      <x:c r="M131" s="167" t="n">
        <x:v>1.652</x:v>
      </x:c>
      <x:c r="N131" s="167" t="n">
        <x:v>1.683</x:v>
      </x:c>
      <x:c r="O131" s="172" t="n">
        <x:f>IFERROR(N131/M131-1,0)</x:f>
        <x:v>0.018765133171912973</x:v>
      </x:c>
      <x:c r="P131" s="171" t="n">
        <x:f>IFERROR(AD131/AH131,0)</x:f>
        <x:v>1.640912547744899</x:v>
      </x:c>
      <x:c r="Q131" s="171" t="n">
        <x:f>IFERROR(AE131/AI131,0)</x:f>
        <x:v>1.6409015156368367</x:v>
      </x:c>
      <x:c r="R131" s="172" t="n">
        <x:f>IFERROR((Q131-P131)/(P131+S131),0)</x:f>
        <x:v>-0.000006723154184757517</x:v>
      </x:c>
      <x:c r="S131" s="172" t="n">
        <x:f>IFERROR(AF131/AH131,0)</x:f>
        <x:v>0</x:v>
      </x:c>
      <x:c r="T131" s="172" t="n">
        <x:f>IFERROR(AG131/AI131,0)</x:f>
        <x:v>0</x:v>
      </x:c>
      <x:c r="U131" s="172" t="n">
        <x:f>IFERROR((T131-S131)/(P131+S131),0)</x:f>
        <x:v>0</x:v>
      </x:c>
      <x:c r="V131" s="172" t="n">
        <x:f>R131+U131</x:f>
        <x:v>-0.000006723154184757517</x:v>
      </x:c>
      <x:c r="W131" s="172" t="n">
        <x:f>(1+O131)*(1+V131)-1</x:f>
        <x:v>0.01875828385684475</x:v>
      </x:c>
      <x:c r="X131" s="174" t="n">
        <x:f>G131-W131</x:f>
        <x:v>-2.671474153004283e-16</x:v>
      </x:c>
      <x:c r="Y131" s="172" t="n">
        <x:f>AX131</x:f>
        <x:v>0.01875828385684448</x:v>
      </x:c>
      <x:c r="Z131" s="172" t="str">
        <x:f>BL131</x:f>
      </x:c>
      <x:c r="AA131" s="172" t="n">
        <x:f>SUM(BZ131,CN131,DB131,DP131,ED131,ER131,FF131,FT131)</x:f>
        <x:v>0</x:v>
      </x:c>
      <x:c r="AB131" s="172" t="n">
        <x:f>SUM(Y131:AA131)</x:f>
        <x:v>0.01875828385684448</x:v>
      </x:c>
      <x:c r="AC131" s="174" t="n">
        <x:f>G131-AB131</x:f>
        <x:v>0</x:v>
      </x:c>
      <x:c r="AD131" s="169" t="n">
        <x:v>1.384467583694879</x:v>
      </x:c>
      <x:c r="AE131" s="169" t="n">
        <x:v>1.410437819620427</x:v>
      </x:c>
      <x:c r="AF131" s="169" t="n">
        <x:v>0</x:v>
      </x:c>
      <x:c r="AG131" s="169" t="n">
        <x:v>0</x:v>
      </x:c>
      <x:c r="AH131" s="171" t="n">
        <x:f>M131/$M$3</x:f>
        <x:v>0.8437180796731358</x:v>
      </x:c>
      <x:c r="AI131" s="171" t="n">
        <x:f>N131/$M$3</x:f>
        <x:v>0.8595505617977528</x:v>
      </x:c>
      <x:c r="AJ131" s="170" t="n">
        <x:f>IF(AK131&lt;&gt;"",1,0)+IF(AY131&lt;&gt;"",1,0)+IF(BM131&lt;&gt;"",1,0)+IF(CA131&lt;&gt;"",1,0)+IF(CO131&lt;&gt;"",1,0)+IF(DC131&lt;&gt;"",1,0)+IF(DQ131&lt;&gt;"",1,0)+IF(EE131&lt;&gt;"",1,0)+IF(ES131&lt;&gt;"",1,0)+IF(FG131&lt;&gt;"",1,0)</x:f>
        <x:v>1</x:v>
      </x:c>
      <x:c r="AK131" s="147" t="str">
        <x:v>Silver replicating holding (LBMA/SLV proxy)</x:v>
      </x:c>
      <x:c r="AL131" s="147" t="str">
        <x:v>Physical-backed proxy</x:v>
      </x:c>
      <x:c r="AM131" s="147" t="str">
        <x:v>Long</x:v>
      </x:c>
      <x:c r="AN131" s="167" t="n">
        <x:v>1.652</x:v>
      </x:c>
      <x:c r="AO131" s="167" t="n">
        <x:v>1.683</x:v>
      </x:c>
      <x:c r="AP131" s="166" t="n">
        <x:v>1</x:v>
      </x:c>
      <x:c r="AQ131" s="171" t="n">
        <x:f>IF(AK131="","",IFERROR(F131*AP131/AN131,0))</x:f>
        <x:v>0.8380554380719603</x:v>
      </x:c>
      <x:c r="AR131" s="171" t="n">
        <x:f>IF(AK131="","",F131*ABS(AP131))</x:f>
        <x:v>1.3844675836948783</x:v>
      </x:c>
      <x:c r="AS131" s="165"/>
      <x:c r="AT131" s="172" t="str">
        <x:f>IF(AK131="","",IF(AS131="","",IFERROR(AN131/AS131-1,0)))</x:f>
      </x:c>
      <x:c r="AU131" s="166"/>
      <x:c r="AV131" s="172" t="str">
        <x:f>IF(AK131="","",IF(AU131="","",AU131-AT131*365/AW131))</x:f>
      </x:c>
      <x:c r="AW131" s="164"/>
      <x:c r="AX131" s="173" t="n">
        <x:f>IF(AK131="","",IFERROR(AP131*(AO131/AN131-1-'Parameters'!$C$6*C131/365),0))</x:f>
        <x:v>0.01875828385684448</x:v>
      </x:c>
      <x:c r="AY131" s="147"/>
      <x:c r="AZ131" s="147"/>
      <x:c r="BA131" s="147"/>
      <x:c r="BB131" s="167"/>
      <x:c r="BC131" s="167"/>
      <x:c r="BD131" s="166"/>
      <x:c r="BE131" s="171" t="str">
        <x:f>IF(AY131="","",IFERROR(F131*BD131/BB131,0))</x:f>
      </x:c>
      <x:c r="BF131" s="171" t="str">
        <x:f>IF(AY131="","",F131*ABS(BD131))</x:f>
      </x:c>
      <x:c r="BG131" s="165"/>
      <x:c r="BH131" s="172" t="str">
        <x:f>IF(AY131="","",IF(BG131="","",IFERROR(BB131/BG131-1,0)))</x:f>
      </x:c>
      <x:c r="BI131" s="166"/>
      <x:c r="BJ131" s="172" t="str">
        <x:f>IF(AY131="","",IF(BI131="","",BI131-BH131*365/BK131))</x:f>
      </x:c>
      <x:c r="BK131" s="164"/>
      <x:c r="BL131" s="172" t="str">
        <x:f>IF(AY131="","",IFERROR(BD131*(BC131/BB131-1),0))</x:f>
      </x:c>
      <x:c r="BM131" s="147"/>
      <x:c r="BN131" s="147"/>
      <x:c r="BO131" s="147"/>
      <x:c r="BP131" s="167"/>
      <x:c r="BQ131" s="167"/>
      <x:c r="BR131" s="166"/>
      <x:c r="BS131" s="171" t="str">
        <x:f>IF(BM131="","",IFERROR(F131*BR131/BP131,0))</x:f>
      </x:c>
      <x:c r="BT131" s="171" t="str">
        <x:f>IF(BM131="","",F131*ABS(BR131))</x:f>
      </x:c>
      <x:c r="BU131" s="165"/>
      <x:c r="BV131" s="172" t="str">
        <x:f>IF(BM131="","",IF(BU131="","",IFERROR(BP131/BU131-1,0)))</x:f>
      </x:c>
      <x:c r="BW131" s="166"/>
      <x:c r="BX131" s="172" t="str">
        <x:f>IF(BM131="","",IF(BW131="","",BW131-BV131*365/BY131))</x:f>
      </x:c>
      <x:c r="BY131" s="164"/>
      <x:c r="BZ131" s="172" t="str">
        <x:f>IF(BM131="","",IFERROR(BR131*(BQ131/BP131-1),0))</x:f>
      </x:c>
      <x:c r="CA131" s="147"/>
      <x:c r="CB131" s="147"/>
      <x:c r="CC131" s="147"/>
      <x:c r="CD131" s="167"/>
      <x:c r="CE131" s="167"/>
      <x:c r="CF131" s="166"/>
      <x:c r="CG131" s="171" t="str">
        <x:f>IF(CA131="","",IFERROR(F131*CF131/CD131,0))</x:f>
      </x:c>
      <x:c r="CH131" s="171" t="str">
        <x:f>IF(CA131="","",F131*ABS(CF131))</x:f>
      </x:c>
      <x:c r="CI131" s="165"/>
      <x:c r="CJ131" s="172" t="str">
        <x:f>IF(CA131="","",IF(CI131="","",IFERROR(CD131/CI131-1,0)))</x:f>
      </x:c>
      <x:c r="CK131" s="166"/>
      <x:c r="CL131" s="172" t="str">
        <x:f>IF(CA131="","",IF(CK131="","",CK131-CJ131*365/CM131))</x:f>
      </x:c>
      <x:c r="CM131" s="164"/>
      <x:c r="CN131" s="172" t="str">
        <x:f>IF(CA131="","",IFERROR(CF131*(CE131/CD131-1),0))</x:f>
      </x:c>
      <x:c r="CO131" s="147"/>
      <x:c r="CP131" s="147"/>
      <x:c r="CQ131" s="147"/>
      <x:c r="CR131" s="167"/>
      <x:c r="CS131" s="167"/>
      <x:c r="CT131" s="166"/>
      <x:c r="CU131" s="171" t="str">
        <x:f>IF(CO131="","",IFERROR(F131*CT131/CR131,0))</x:f>
      </x:c>
      <x:c r="CV131" s="171" t="str">
        <x:f>IF(CO131="","",F131*ABS(CT131))</x:f>
      </x:c>
      <x:c r="CW131" s="165"/>
      <x:c r="CX131" s="172" t="str">
        <x:f>IF(CO131="","",IF(CW131="","",IFERROR(CR131/CW131-1,0)))</x:f>
      </x:c>
      <x:c r="CY131" s="166"/>
      <x:c r="CZ131" s="172" t="str">
        <x:f>IF(CO131="","",IF(CY131="","",CY131-CX131*365/DA131))</x:f>
      </x:c>
      <x:c r="DA131" s="164"/>
      <x:c r="DB131" s="172" t="str">
        <x:f>IF(CO131="","",IFERROR(CT131*(CS131/CR131-1),0))</x:f>
      </x:c>
      <x:c r="DC131" s="147"/>
      <x:c r="DD131" s="147"/>
      <x:c r="DE131" s="147"/>
      <x:c r="DF131" s="167"/>
      <x:c r="DG131" s="167"/>
      <x:c r="DH131" s="166"/>
      <x:c r="DI131" s="171" t="str">
        <x:f>IF(DC131="","",IFERROR(F131*DH131/DF131,0))</x:f>
      </x:c>
      <x:c r="DJ131" s="171" t="str">
        <x:f>IF(DC131="","",F131*ABS(DH131))</x:f>
      </x:c>
      <x:c r="DK131" s="165"/>
      <x:c r="DL131" s="172" t="str">
        <x:f>IF(DC131="","",IF(DK131="","",IFERROR(DF131/DK131-1,0)))</x:f>
      </x:c>
      <x:c r="DM131" s="166"/>
      <x:c r="DN131" s="172" t="str">
        <x:f>IF(DC131="","",IF(DM131="","",DM131-DL131*365/DO131))</x:f>
      </x:c>
      <x:c r="DO131" s="164"/>
      <x:c r="DP131" s="172" t="str">
        <x:f>IF(DC131="","",IFERROR(DH131*(DG131/DF131-1),0))</x:f>
      </x:c>
      <x:c r="DQ131" s="147"/>
      <x:c r="DR131" s="147"/>
      <x:c r="DS131" s="147"/>
      <x:c r="DT131" s="167"/>
      <x:c r="DU131" s="167"/>
      <x:c r="DV131" s="166"/>
      <x:c r="DW131" s="171" t="str">
        <x:f>IF(DQ131="","",IFERROR(F131*DV131/DT131,0))</x:f>
      </x:c>
      <x:c r="DX131" s="171" t="str">
        <x:f>IF(DQ131="","",F131*ABS(DV131))</x:f>
      </x:c>
      <x:c r="DY131" s="165"/>
      <x:c r="DZ131" s="172" t="str">
        <x:f>IF(DQ131="","",IF(DY131="","",IFERROR(DT131/DY131-1,0)))</x:f>
      </x:c>
      <x:c r="EA131" s="166"/>
      <x:c r="EB131" s="172" t="str">
        <x:f>IF(DQ131="","",IF(EA131="","",EA131-DZ131*365/EC131))</x:f>
      </x:c>
      <x:c r="EC131" s="164"/>
      <x:c r="ED131" s="172" t="str">
        <x:f>IF(DQ131="","",IFERROR(DV131*(DU131/DT131-1),0))</x:f>
      </x:c>
      <x:c r="EE131" s="147"/>
      <x:c r="EF131" s="147"/>
      <x:c r="EG131" s="147"/>
      <x:c r="EH131" s="167"/>
      <x:c r="EI131" s="167"/>
      <x:c r="EJ131" s="166"/>
      <x:c r="EK131" s="171" t="str">
        <x:f>IF(EE131="","",IFERROR(F131*EJ131/EH131,0))</x:f>
      </x:c>
      <x:c r="EL131" s="171" t="str">
        <x:f>IF(EE131="","",F131*ABS(EJ131))</x:f>
      </x:c>
      <x:c r="EM131" s="165"/>
      <x:c r="EN131" s="172" t="str">
        <x:f>IF(EE131="","",IF(EM131="","",IFERROR(EH131/EM131-1,0)))</x:f>
      </x:c>
      <x:c r="EO131" s="166"/>
      <x:c r="EP131" s="172" t="str">
        <x:f>IF(EE131="","",IF(EO131="","",EO131-EN131*365/EQ131))</x:f>
      </x:c>
      <x:c r="EQ131" s="164"/>
      <x:c r="ER131" s="172" t="str">
        <x:f>IF(EE131="","",IFERROR(EJ131*(EI131/EH131-1),0))</x:f>
      </x:c>
      <x:c r="ES131" s="147"/>
      <x:c r="ET131" s="147"/>
      <x:c r="EU131" s="147"/>
      <x:c r="EV131" s="167"/>
      <x:c r="EW131" s="167"/>
      <x:c r="EX131" s="166"/>
      <x:c r="EY131" s="171" t="str">
        <x:f>IF(ES131="","",IFERROR(F131*EX131/EV131,0))</x:f>
      </x:c>
      <x:c r="EZ131" s="171" t="str">
        <x:f>IF(ES131="","",F131*ABS(EX131))</x:f>
      </x:c>
      <x:c r="FA131" s="165"/>
      <x:c r="FB131" s="172" t="str">
        <x:f>IF(ES131="","",IF(FA131="","",IFERROR(EV131/FA131-1,0)))</x:f>
      </x:c>
      <x:c r="FC131" s="166"/>
      <x:c r="FD131" s="172" t="str">
        <x:f>IF(ES131="","",IF(FC131="","",FC131-FB131*365/FE131))</x:f>
      </x:c>
      <x:c r="FE131" s="164"/>
      <x:c r="FF131" s="172" t="str">
        <x:f>IF(ES131="","",IFERROR(EX131*(EW131/EV131-1),0))</x:f>
      </x:c>
      <x:c r="FG131" s="147"/>
      <x:c r="FH131" s="147"/>
      <x:c r="FI131" s="147"/>
      <x:c r="FJ131" s="167"/>
      <x:c r="FK131" s="167"/>
      <x:c r="FL131" s="166"/>
      <x:c r="FM131" s="171" t="str">
        <x:f>IF(FG131="","",IFERROR(F131*FL131/FJ131,0))</x:f>
      </x:c>
      <x:c r="FN131" s="171" t="str">
        <x:f>IF(FG131="","",F131*ABS(FL131))</x:f>
      </x:c>
      <x:c r="FO131" s="165"/>
      <x:c r="FP131" s="172" t="str">
        <x:f>IF(FG131="","",IF(FO131="","",IFERROR(FJ131/FO131-1,0)))</x:f>
      </x:c>
      <x:c r="FQ131" s="166"/>
      <x:c r="FR131" s="172" t="str">
        <x:f>IF(FG131="","",IF(FQ131="","",FQ131-FP131*365/FS131))</x:f>
      </x:c>
      <x:c r="FS131" s="164"/>
      <x:c r="FT131" s="172" t="str">
        <x:f>IF(FG131="","",IFERROR(FL131*(FK131/FJ131-1),0))</x:f>
      </x:c>
    </x:row>
    <x:row r="132" ht="18" customHeight="1">
      <x:c r="A132" s="163" t="n">
        <x:v>25399</x:v>
      </x:c>
      <x:c r="B132" s="163" t="n">
        <x:v>25400</x:v>
      </x:c>
      <x:c r="C132" s="170" t="n">
        <x:f>B132-A132</x:f>
        <x:v>1</x:v>
      </x:c>
      <x:c r="D132" s="163" t="n">
        <x:v>25399</x:v>
      </x:c>
      <x:c r="E132" s="147" t="str">
        <x:v>positive</x:v>
      </x:c>
      <x:c r="F132" s="165" t="n">
        <x:v>1.4104378196204266</x:v>
      </x:c>
      <x:c r="G132" s="168" t="n">
        <x:v>-0.019082861858392402</x:v>
      </x:c>
      <x:c r="H132" s="172" t="n">
        <x:f>SUM(AX132,BL132,BZ132,CN132,DB132,DP132,ED132,ER132,FF132,FT132)</x:f>
        <x:v>-0.019082861858392697</x:v>
      </x:c>
      <x:c r="I132" s="174" t="n">
        <x:f>G132-H132</x:f>
        <x:v>2.949029909160572e-16</x:v>
      </x:c>
      <x:c r="J132" s="171" t="n">
        <x:f>F132*(1+H132)</x:f>
        <x:v>1.3835226295487575</x:v>
      </x:c>
      <x:c r="K132" s="169" t="n">
        <x:v>1.383522629548758</x:v>
      </x:c>
      <x:c r="L132" s="175" t="n">
        <x:f>K132-J132</x:f>
        <x:v>4.440892098500626e-16</x:v>
      </x:c>
      <x:c r="M132" s="167" t="n">
        <x:v>1.683</x:v>
      </x:c>
      <x:c r="N132" s="167" t="n">
        <x:v>1.669</x:v>
      </x:c>
      <x:c r="O132" s="172" t="n">
        <x:f>IFERROR(N132/M132-1,0)</x:f>
        <x:v>-0.008318478906714222</x:v>
      </x:c>
      <x:c r="P132" s="171" t="n">
        <x:f>IFERROR(AD132/AH132,0)</x:f>
        <x:v>1.6409015156368367</x:v>
      </x:c>
      <x:c r="Q132" s="171" t="n">
        <x:f>IFERROR(AE132/AI132,0)</x:f>
        <x:v>1.6230900591111255</x:v>
      </x:c>
      <x:c r="R132" s="172" t="n">
        <x:f>IFERROR((Q132-P132)/(P132+S132),0)</x:f>
        <x:v>-0.010854677356305931</x:v>
      </x:c>
      <x:c r="S132" s="172" t="n">
        <x:f>IFERROR(AF132/AH132,0)</x:f>
        <x:v>0</x:v>
      </x:c>
      <x:c r="T132" s="172" t="n">
        <x:f>IFERROR(AG132/AI132,0)</x:f>
        <x:v>0</x:v>
      </x:c>
      <x:c r="U132" s="172" t="n">
        <x:f>IFERROR((T132-S132)/(P132+S132),0)</x:f>
        <x:v>0</x:v>
      </x:c>
      <x:c r="V132" s="172" t="n">
        <x:f>R132+U132</x:f>
        <x:v>-0.010854677356305931</x:v>
      </x:c>
      <x:c r="W132" s="172" t="n">
        <x:f>(1+O132)*(1+V132)-1</x:f>
        <x:v>-0.019082861858392586</x:v>
      </x:c>
      <x:c r="X132" s="174" t="n">
        <x:f>G132-W132</x:f>
        <x:v>1.8388068845354155e-16</x:v>
      </x:c>
      <x:c r="Y132" s="172" t="str">
        <x:f>AX132</x:f>
      </x:c>
      <x:c r="Z132" s="172" t="n">
        <x:f>BL132</x:f>
        <x:v>0.00019424657534217182</x:v>
      </x:c>
      <x:c r="AA132" s="172" t="n">
        <x:f>SUM(BZ132,CN132,DB132,DP132,ED132,ER132,FF132,FT132)</x:f>
        <x:v>-0.01927710843373487</x:v>
      </x:c>
      <x:c r="AB132" s="172" t="n">
        <x:f>SUM(Y132:AA132)</x:f>
        <x:v>-0.019082861858392697</x:v>
      </x:c>
      <x:c r="AC132" s="174" t="n">
        <x:f>G132-AB132</x:f>
        <x:v>2.949029909160572e-16</x:v>
      </x:c>
      <x:c r="AD132" s="169" t="n">
        <x:v>1.410437819620427</x:v>
      </x:c>
      <x:c r="AE132" s="169" t="n">
        <x:v>1.3835226295487582</x:v>
      </x:c>
      <x:c r="AF132" s="169" t="n">
        <x:v>0</x:v>
      </x:c>
      <x:c r="AG132" s="169" t="n">
        <x:v>0</x:v>
      </x:c>
      <x:c r="AH132" s="171" t="n">
        <x:f>M132/$M$3</x:f>
        <x:v>0.8595505617977528</x:v>
      </x:c>
      <x:c r="AI132" s="171" t="n">
        <x:f>N132/$M$3</x:f>
        <x:v>0.8524004085801838</x:v>
      </x:c>
      <x:c r="AJ132" s="170" t="n">
        <x:f>IF(AK132&lt;&gt;"",1,0)+IF(AY132&lt;&gt;"",1,0)+IF(BM132&lt;&gt;"",1,0)+IF(CA132&lt;&gt;"",1,0)+IF(CO132&lt;&gt;"",1,0)+IF(DC132&lt;&gt;"",1,0)+IF(DQ132&lt;&gt;"",1,0)+IF(EE132&lt;&gt;"",1,0)+IF(ES132&lt;&gt;"",1,0)+IF(FG132&lt;&gt;"",1,0)</x:f>
        <x:v>5</x:v>
      </x:c>
      <x:c r="AK132" s="147"/>
      <x:c r="AL132" s="147"/>
      <x:c r="AM132" s="147"/>
      <x:c r="AN132" s="167"/>
      <x:c r="AO132" s="167"/>
      <x:c r="AP132" s="166"/>
      <x:c r="AQ132" s="171" t="str">
        <x:f>IF(AK132="","",IFERROR(F132*AP132/AN132,0))</x:f>
      </x:c>
      <x:c r="AR132" s="171" t="str">
        <x:f>IF(AK132="","",F132*ABS(AP132))</x:f>
      </x:c>
      <x:c r="AS132" s="165"/>
      <x:c r="AT132" s="172" t="str">
        <x:f>IF(AK132="","",IF(AS132="","",IFERROR(AN132/AS132-1,0)))</x:f>
      </x:c>
      <x:c r="AU132" s="166"/>
      <x:c r="AV132" s="172" t="str">
        <x:f>IF(AK132="","",IF(AU132="","",AU132-AT132*365/AW132))</x:f>
      </x:c>
      <x:c r="AW132" s="164"/>
      <x:c r="AX132" s="173" t="str">
        <x:f>IF(AK132="","",IFERROR(AP132*(AO132/AN132-1),0))</x:f>
      </x:c>
      <x:c r="AY132" s="147" t="str">
        <x:v>Matched-maturity Treasury collateral</x:v>
      </x:c>
      <x:c r="AZ132" s="147" t="str">
        <x:v>Treasury</x:v>
      </x:c>
      <x:c r="BA132" s="147" t="str">
        <x:v>Long</x:v>
      </x:c>
      <x:c r="BB132" s="167" t="n">
        <x:v>103.34648185253113</x:v>
      </x:c>
      <x:c r="BC132" s="167" t="n">
        <x:v>103.36655655270465</x:v>
      </x:c>
      <x:c r="BD132" s="166" t="n">
        <x:v>1</x:v>
      </x:c>
      <x:c r="BE132" s="171" t="n">
        <x:f>IF(AY132="","",IFERROR(F132*BD132/BB132,0))</x:f>
        <x:v>0.013647661674956985</x:v>
      </x:c>
      <x:c r="BF132" s="171" t="n">
        <x:f>IF(AY132="","",F132*ABS(BD132))</x:f>
        <x:v>1.4104378196204266</x:v>
      </x:c>
      <x:c r="BG132" s="165"/>
      <x:c r="BH132" s="172" t="str">
        <x:f>IF(AY132="","",IF(BG132="","",IFERROR(BB132/BG132-1,0)))</x:f>
      </x:c>
      <x:c r="BI132" s="166"/>
      <x:c r="BJ132" s="172" t="str">
        <x:f>IF(AY132="","",IF(BI132="","",BI132-BH132*365/BK132))</x:f>
      </x:c>
      <x:c r="BK132" s="164" t="n">
        <x:v>14.00000000000002</x:v>
      </x:c>
      <x:c r="BL132" s="172" t="n">
        <x:f>IF(AY132="","",IFERROR(BD132*(BC132/BB132-1),0))</x:f>
        <x:v>0.00019424657534217182</x:v>
      </x:c>
      <x:c r="BM132" s="147" t="str">
        <x:v>SI69N</x:v>
      </x:c>
      <x:c r="BN132" s="147" t="str">
        <x:v>Silver future (regular)</x:v>
      </x:c>
      <x:c r="BO132" s="147" t="str">
        <x:v>Long</x:v>
      </x:c>
      <x:c r="BP132" s="167" t="n">
        <x:v>1.66</x:v>
      </x:c>
      <x:c r="BQ132" s="167" t="n">
        <x:v>1.6280000000000001</x:v>
      </x:c>
      <x:c r="BR132" s="166" t="n">
        <x:v>0.9999999999999997</x:v>
      </x:c>
      <x:c r="BS132" s="171" t="n">
        <x:f>IF(BM132="","",IFERROR(F132*BR132/BP132,0))</x:f>
        <x:v>0.8496613371207387</x:v>
      </x:c>
      <x:c r="BT132" s="171" t="n">
        <x:f>IF(BM132="","",F132*ABS(BR132))</x:f>
        <x:v>1.4104378196204261</x:v>
      </x:c>
      <x:c r="BU132" s="165" t="n">
        <x:v>1.683</x:v>
      </x:c>
      <x:c r="BV132" s="172" t="n">
        <x:f>IF(BM132="","",IF(BU132="","",IFERROR(BP132/BU132-1,0)))</x:f>
        <x:v>-0.013666072489601944</x:v>
      </x:c>
      <x:c r="BW132" s="166" t="n">
        <x:v>0.0709</x:v>
      </x:c>
      <x:c r="BX132" s="172" t="n">
        <x:f>IF(BM132="","",IF(BW132="","",BW132-BV132*365/BY132))</x:f>
        <x:v>0.42719403276462214</x:v>
      </x:c>
      <x:c r="BY132" s="164" t="n">
        <x:v>14</x:v>
      </x:c>
      <x:c r="BZ132" s="172" t="n">
        <x:f>IF(BM132="","",IFERROR(BR132*(BQ132/BP132-1),0))</x:f>
        <x:v>-0.01927710843373486</x:v>
      </x:c>
      <x:c r="CA132" s="147" t="str">
        <x:v>SI69U</x:v>
      </x:c>
      <x:c r="CB132" s="147" t="str">
        <x:v>Silver future (regular)</x:v>
      </x:c>
      <x:c r="CC132" s="147" t="str">
        <x:v>Long</x:v>
      </x:c>
      <x:c r="CD132" s="167" t="n">
        <x:v>1.683</x:v>
      </x:c>
      <x:c r="CE132" s="167" t="n">
        <x:v>1.6469999999999998</x:v>
      </x:c>
      <x:c r="CF132" s="166" t="n">
        <x:v>3.360057918389661e-16</x:v>
      </x:c>
      <x:c r="CG132" s="171" t="n">
        <x:f>IF(CA132="","",IFERROR(F132*CF132/CD132,0))</x:f>
        <x:v>2.8158958789137626e-16</x:v>
      </x:c>
      <x:c r="CH132" s="171" t="n">
        <x:f>IF(CA132="","",F132*ABS(CF132))</x:f>
        <x:v>4.739152764211862e-16</x:v>
      </x:c>
      <x:c r="CI132" s="165" t="n">
        <x:v>1.683</x:v>
      </x:c>
      <x:c r="CJ132" s="172" t="n">
        <x:f>IF(CA132="","",IF(CI132="","",IFERROR(CD132/CI132-1,0)))</x:f>
        <x:v>0</x:v>
      </x:c>
      <x:c r="CK132" s="166" t="n">
        <x:v>0.0709</x:v>
      </x:c>
      <x:c r="CL132" s="172" t="n">
        <x:f>IF(CA132="","",IF(CK132="","",CK132-CJ132*365/CM132))</x:f>
        <x:v>0.0709</x:v>
      </x:c>
      <x:c r="CM132" s="164" t="n">
        <x:v>73</x:v>
      </x:c>
      <x:c r="CN132" s="172" t="n">
        <x:f>IF(CA132="","",IFERROR(CF132*(CE132/CD132-1),0))</x:f>
        <x:v>-7.187289665004689e-18</x:v>
      </x:c>
      <x:c r="CO132" s="147" t="str">
        <x:v>SI69Z</x:v>
      </x:c>
      <x:c r="CP132" s="147" t="str">
        <x:v>Silver future (regular)</x:v>
      </x:c>
      <x:c r="CQ132" s="147" t="str">
        <x:v>Long</x:v>
      </x:c>
      <x:c r="CR132" s="167" t="n">
        <x:v>1.73</x:v>
      </x:c>
      <x:c r="CS132" s="167" t="n">
        <x:v>1.694</x:v>
      </x:c>
      <x:c r="CT132" s="166" t="n">
        <x:v>3.976589480658964e-20</x:v>
      </x:c>
      <x:c r="CU132" s="171" t="n">
        <x:f>IF(CO132="","",IFERROR(F132*CT132/CR132,0))</x:f>
        <x:v>3.2420417321538465e-20</x:v>
      </x:c>
      <x:c r="CV132" s="171" t="n">
        <x:f>IF(CO132="","",F132*ABS(CT132))</x:f>
        <x:v>5.608732196626154e-20</x:v>
      </x:c>
      <x:c r="CW132" s="165" t="n">
        <x:v>1.683</x:v>
      </x:c>
      <x:c r="CX132" s="172" t="n">
        <x:f>IF(CO132="","",IF(CW132="","",IFERROR(CR132/CW132-1,0)))</x:f>
        <x:v>0.027926322043969165</x:v>
      </x:c>
      <x:c r="CY132" s="166" t="n">
        <x:v>0.07332197802197803</x:v>
      </x:c>
      <x:c r="CZ132" s="172" t="n">
        <x:f>IF(CO132="","",IF(CY132="","",CY132-CX132*365/DA132))</x:f>
        <x:v>0.012285405889949613</x:v>
      </x:c>
      <x:c r="DA132" s="164" t="n">
        <x:v>167</x:v>
      </x:c>
      <x:c r="DB132" s="172" t="n">
        <x:f>IF(CO132="","",IFERROR(CT132*(CS132/CR132-1),0))</x:f>
        <x:v>-8.274983890388592e-22</x:v>
      </x:c>
      <x:c r="DC132" s="147" t="str">
        <x:v>SI70F</x:v>
      </x:c>
      <x:c r="DD132" s="147" t="str">
        <x:v>Silver future (regular)</x:v>
      </x:c>
      <x:c r="DE132" s="147" t="str">
        <x:v>Long</x:v>
      </x:c>
      <x:c r="DF132" s="167" t="n">
        <x:v>1.7469999999999999</x:v>
      </x:c>
      <x:c r="DG132" s="167" t="n">
        <x:v>1.7109999999999999</x:v>
      </x:c>
      <x:c r="DH132" s="166" t="n">
        <x:v>6.303439004160574e-21</x:v>
      </x:c>
      <x:c r="DI132" s="171" t="n">
        <x:f>IF(DC132="","",IFERROR(F132*DH132/DF132,0))</x:f>
        <x:v>5.089071989203546e-21</x:v>
      </x:c>
      <x:c r="DJ132" s="171" t="n">
        <x:f>IF(DC132="","",F132*ABS(DH132))</x:f>
        <x:v>8.890608765138593e-21</x:v>
      </x:c>
      <x:c r="DK132" s="165" t="n">
        <x:v>1.683</x:v>
      </x:c>
      <x:c r="DL132" s="172" t="n">
        <x:f>IF(DC132="","",IF(DK132="","",IFERROR(DF132/DK132-1,0)))</x:f>
        <x:v>0.03802733214497911</x:v>
      </x:c>
      <x:c r="DM132" s="166" t="n">
        <x:v>0.07398032786885245</x:v>
      </x:c>
      <x:c r="DN132" s="172" t="n">
        <x:f>IF(DC132="","",IF(DM132="","",DM132-DL132*365/DO132))</x:f>
        <x:v>0.0035235957220637465</x:v>
      </x:c>
      <x:c r="DO132" s="164" t="n">
        <x:v>197</x:v>
      </x:c>
      <x:c r="DP132" s="172" t="n">
        <x:f>IF(DC132="","",IFERROR(DH132*(DG132/DF132-1),0))</x:f>
        <x:v>-1.2989341966215277e-22</x:v>
      </x:c>
      <x:c r="DQ132" s="147"/>
      <x:c r="DR132" s="147"/>
      <x:c r="DS132" s="147"/>
      <x:c r="DT132" s="167"/>
      <x:c r="DU132" s="167"/>
      <x:c r="DV132" s="166"/>
      <x:c r="DW132" s="171" t="str">
        <x:f>IF(DQ132="","",IFERROR(F132*DV132/DT132,0))</x:f>
      </x:c>
      <x:c r="DX132" s="171" t="str">
        <x:f>IF(DQ132="","",F132*ABS(DV132))</x:f>
      </x:c>
      <x:c r="DY132" s="165"/>
      <x:c r="DZ132" s="172" t="str">
        <x:f>IF(DQ132="","",IF(DY132="","",IFERROR(DT132/DY132-1,0)))</x:f>
      </x:c>
      <x:c r="EA132" s="166"/>
      <x:c r="EB132" s="172" t="str">
        <x:f>IF(DQ132="","",IF(EA132="","",EA132-DZ132*365/EC132))</x:f>
      </x:c>
      <x:c r="EC132" s="164"/>
      <x:c r="ED132" s="172" t="str">
        <x:f>IF(DQ132="","",IFERROR(DV132*(DU132/DT132-1),0))</x:f>
      </x:c>
      <x:c r="EE132" s="147"/>
      <x:c r="EF132" s="147"/>
      <x:c r="EG132" s="147"/>
      <x:c r="EH132" s="167"/>
      <x:c r="EI132" s="167"/>
      <x:c r="EJ132" s="166"/>
      <x:c r="EK132" s="171" t="str">
        <x:f>IF(EE132="","",IFERROR(F132*EJ132/EH132,0))</x:f>
      </x:c>
      <x:c r="EL132" s="171" t="str">
        <x:f>IF(EE132="","",F132*ABS(EJ132))</x:f>
      </x:c>
      <x:c r="EM132" s="165"/>
      <x:c r="EN132" s="172" t="str">
        <x:f>IF(EE132="","",IF(EM132="","",IFERROR(EH132/EM132-1,0)))</x:f>
      </x:c>
      <x:c r="EO132" s="166"/>
      <x:c r="EP132" s="172" t="str">
        <x:f>IF(EE132="","",IF(EO132="","",EO132-EN132*365/EQ132))</x:f>
      </x:c>
      <x:c r="EQ132" s="164"/>
      <x:c r="ER132" s="172" t="str">
        <x:f>IF(EE132="","",IFERROR(EJ132*(EI132/EH132-1),0))</x:f>
      </x:c>
      <x:c r="ES132" s="147"/>
      <x:c r="ET132" s="147"/>
      <x:c r="EU132" s="147"/>
      <x:c r="EV132" s="167"/>
      <x:c r="EW132" s="167"/>
      <x:c r="EX132" s="166"/>
      <x:c r="EY132" s="171" t="str">
        <x:f>IF(ES132="","",IFERROR(F132*EX132/EV132,0))</x:f>
      </x:c>
      <x:c r="EZ132" s="171" t="str">
        <x:f>IF(ES132="","",F132*ABS(EX132))</x:f>
      </x:c>
      <x:c r="FA132" s="165"/>
      <x:c r="FB132" s="172" t="str">
        <x:f>IF(ES132="","",IF(FA132="","",IFERROR(EV132/FA132-1,0)))</x:f>
      </x:c>
      <x:c r="FC132" s="166"/>
      <x:c r="FD132" s="172" t="str">
        <x:f>IF(ES132="","",IF(FC132="","",FC132-FB132*365/FE132))</x:f>
      </x:c>
      <x:c r="FE132" s="164"/>
      <x:c r="FF132" s="172" t="str">
        <x:f>IF(ES132="","",IFERROR(EX132*(EW132/EV132-1),0))</x:f>
      </x:c>
      <x:c r="FG132" s="147"/>
      <x:c r="FH132" s="147"/>
      <x:c r="FI132" s="147"/>
      <x:c r="FJ132" s="167"/>
      <x:c r="FK132" s="167"/>
      <x:c r="FL132" s="166"/>
      <x:c r="FM132" s="171" t="str">
        <x:f>IF(FG132="","",IFERROR(F132*FL132/FJ132,0))</x:f>
      </x:c>
      <x:c r="FN132" s="171" t="str">
        <x:f>IF(FG132="","",F132*ABS(FL132))</x:f>
      </x:c>
      <x:c r="FO132" s="165"/>
      <x:c r="FP132" s="172" t="str">
        <x:f>IF(FG132="","",IF(FO132="","",IFERROR(FJ132/FO132-1,0)))</x:f>
      </x:c>
      <x:c r="FQ132" s="166"/>
      <x:c r="FR132" s="172" t="str">
        <x:f>IF(FG132="","",IF(FQ132="","",FQ132-FP132*365/FS132))</x:f>
      </x:c>
      <x:c r="FS132" s="164"/>
      <x:c r="FT132" s="172" t="str">
        <x:f>IF(FG132="","",IFERROR(FL132*(FK132/FJ132-1),0))</x:f>
      </x:c>
    </x:row>
    <x:row r="133" ht="18" customHeight="1">
      <x:c r="A133" s="163" t="n">
        <x:v>25400</x:v>
      </x:c>
      <x:c r="B133" s="163" t="n">
        <x:v>25401</x:v>
      </x:c>
      <x:c r="C133" s="170" t="n">
        <x:f>B133-A133</x:f>
        <x:v>1</x:v>
      </x:c>
      <x:c r="D133" s="163" t="n">
        <x:v>25400</x:v>
      </x:c>
      <x:c r="E133" s="147" t="str">
        <x:v>positive</x:v>
      </x:c>
      <x:c r="F133" s="165" t="n">
        <x:v>1.383522629548758</x:v>
      </x:c>
      <x:c r="G133" s="168" t="n">
        <x:v>0.0075625142203222225</x:v>
      </x:c>
      <x:c r="H133" s="172" t="n">
        <x:f>SUM(AX133,BL133,BZ133,CN133,DB133,DP133,ED133,ER133,FF133,FT133)</x:f>
        <x:v>0.00756251422032217</x:v>
      </x:c>
      <x:c r="I133" s="174" t="n">
        <x:f>G133-H133</x:f>
        <x:v>5.2909066017292616e-17</x:v>
      </x:c>
      <x:c r="J133" s="171" t="n">
        <x:f>F133*(1+H133)</x:f>
        <x:v>1.393985539108858</x:v>
      </x:c>
      <x:c r="K133" s="169" t="n">
        <x:v>1.393985539108858</x:v>
      </x:c>
      <x:c r="L133" s="175" t="n">
        <x:f>K133-J133</x:f>
        <x:v>0</x:v>
      </x:c>
      <x:c r="M133" s="167" t="n">
        <x:v>1.669</x:v>
      </x:c>
      <x:c r="N133" s="167" t="n">
        <x:v>1.636</x:v>
      </x:c>
      <x:c r="O133" s="172" t="n">
        <x:f>IFERROR(N133/M133-1,0)</x:f>
        <x:v>-0.019772318753744855</x:v>
      </x:c>
      <x:c r="P133" s="171" t="n">
        <x:f>IFERROR(AD133/AH133,0)</x:f>
        <x:v>1.6230900591111255</x:v>
      </x:c>
      <x:c r="Q133" s="171" t="n">
        <x:f>IFERROR(AE133/AI133,0)</x:f>
        <x:v>1.668351886048377</x:v>
      </x:c>
      <x:c r="R133" s="172" t="n">
        <x:f>IFERROR((Q133-P133)/(P133+S133),0)</x:f>
        <x:v>0.02788620796682034</x:v>
      </x:c>
      <x:c r="S133" s="172" t="n">
        <x:f>IFERROR(AF133/AH133,0)</x:f>
        <x:v>0</x:v>
      </x:c>
      <x:c r="T133" s="172" t="n">
        <x:f>IFERROR(AG133/AI133,0)</x:f>
        <x:v>0</x:v>
      </x:c>
      <x:c r="U133" s="172" t="n">
        <x:f>IFERROR((T133-S133)/(P133+S133),0)</x:f>
        <x:v>0</x:v>
      </x:c>
      <x:c r="V133" s="172" t="n">
        <x:f>R133+U133</x:f>
        <x:v>0.02788620796682034</x:v>
      </x:c>
      <x:c r="W133" s="172" t="n">
        <x:f>(1+O133)*(1+V133)-1</x:f>
        <x:v>0.00756251422032217</x:v>
      </x:c>
      <x:c r="X133" s="174" t="n">
        <x:f>G133-W133</x:f>
        <x:v>5.2909066017292616e-17</x:v>
      </x:c>
      <x:c r="Y133" s="172" t="n">
        <x:f>AX133</x:f>
        <x:v>0</x:v>
      </x:c>
      <x:c r="Z133" s="172" t="n">
        <x:f>BL133</x:f>
        <x:v>0.00019150684931501516</x:v>
      </x:c>
      <x:c r="AA133" s="172" t="n">
        <x:f>SUM(BZ133,CN133,DB133,DP133,ED133,ER133,FF133,FT133)</x:f>
        <x:v>0.007371007371007154</x:v>
      </x:c>
      <x:c r="AB133" s="172" t="n">
        <x:f>SUM(Y133:AA133)</x:f>
        <x:v>0.00756251422032217</x:v>
      </x:c>
      <x:c r="AC133" s="174" t="n">
        <x:f>G133-AB133</x:f>
        <x:v>5.2909066017292616e-17</x:v>
      </x:c>
      <x:c r="AD133" s="169" t="n">
        <x:v>1.3835226295487582</x:v>
      </x:c>
      <x:c r="AE133" s="169" t="n">
        <x:v>1.3939855391088583</x:v>
      </x:c>
      <x:c r="AF133" s="169" t="n">
        <x:v>0</x:v>
      </x:c>
      <x:c r="AG133" s="169" t="n">
        <x:v>0</x:v>
      </x:c>
      <x:c r="AH133" s="171" t="n">
        <x:f>M133/$M$3</x:f>
        <x:v>0.8524004085801838</x:v>
      </x:c>
      <x:c r="AI133" s="171" t="n">
        <x:f>N133/$M$3</x:f>
        <x:v>0.8355464759959141</x:v>
      </x:c>
      <x:c r="AJ133" s="170" t="n">
        <x:f>IF(AK133&lt;&gt;"",1,0)+IF(AY133&lt;&gt;"",1,0)+IF(BM133&lt;&gt;"",1,0)+IF(CA133&lt;&gt;"",1,0)+IF(CO133&lt;&gt;"",1,0)+IF(DC133&lt;&gt;"",1,0)+IF(DQ133&lt;&gt;"",1,0)+IF(EE133&lt;&gt;"",1,0)+IF(ES133&lt;&gt;"",1,0)+IF(FG133&lt;&gt;"",1,0)</x:f>
        <x:v>7</x:v>
      </x:c>
      <x:c r="AK133" s="147"/>
      <x:c r="AL133" s="147"/>
      <x:c r="AM133" s="147"/>
      <x:c r="AN133" s="167"/>
      <x:c r="AO133" s="167"/>
      <x:c r="AP133" s="166"/>
      <x:c r="AQ133" s="171" t="str">
        <x:f>IF(AK133="","",IFERROR(F133*AP133/AN133,0))</x:f>
      </x:c>
      <x:c r="AR133" s="171" t="str">
        <x:f>IF(AK133="","",F133*ABS(AP133))</x:f>
      </x:c>
      <x:c r="AS133" s="165"/>
      <x:c r="AT133" s="172" t="str">
        <x:f>IF(AK133="","",IF(AS133="","",IFERROR(AN133/AS133-1,0)))</x:f>
      </x:c>
      <x:c r="AU133" s="166"/>
      <x:c r="AV133" s="172" t="str">
        <x:f>IF(AK133="","",IF(AU133="","",AU133-AT133*365/AW133))</x:f>
      </x:c>
      <x:c r="AW133" s="164"/>
      <x:c r="AX133" s="173" t="str">
        <x:f>IF(AK133="","",IFERROR(AP133*(AO133/AN133-1),0))</x:f>
      </x:c>
      <x:c r="AY133" s="147" t="str">
        <x:v>Matched-maturity Treasury collateral</x:v>
      </x:c>
      <x:c r="AZ133" s="147" t="str">
        <x:v>Treasury</x:v>
      </x:c>
      <x:c r="BA133" s="147" t="str">
        <x:v>Long</x:v>
      </x:c>
      <x:c r="BB133" s="167" t="n">
        <x:v>103.36655655270465</x:v>
      </x:c>
      <x:c r="BC133" s="167" t="n">
        <x:v>103.38635195627461</x:v>
      </x:c>
      <x:c r="BD133" s="166" t="n">
        <x:v>1</x:v>
      </x:c>
      <x:c r="BE133" s="171" t="n">
        <x:f>IF(AY133="","",IFERROR(F133*BD133/BB133,0))</x:f>
        <x:v>0.013384625314894049</x:v>
      </x:c>
      <x:c r="BF133" s="171" t="n">
        <x:f>IF(AY133="","",F133*ABS(BD133))</x:f>
        <x:v>1.383522629548758</x:v>
      </x:c>
      <x:c r="BG133" s="165"/>
      <x:c r="BH133" s="172" t="str">
        <x:f>IF(AY133="","",IF(BG133="","",IFERROR(BB133/BG133-1,0)))</x:f>
      </x:c>
      <x:c r="BI133" s="166"/>
      <x:c r="BJ133" s="172" t="str">
        <x:f>IF(AY133="","",IF(BI133="","",BI133-BH133*365/BK133))</x:f>
      </x:c>
      <x:c r="BK133" s="164" t="n">
        <x:v>13</x:v>
      </x:c>
      <x:c r="BL133" s="172" t="n">
        <x:f>IF(AY133="","",IFERROR(BD133*(BC133/BB133-1),0))</x:f>
        <x:v>0.00019150684931501516</x:v>
      </x:c>
      <x:c r="BM133" s="147" t="str">
        <x:v>SI69N</x:v>
      </x:c>
      <x:c r="BN133" s="147" t="str">
        <x:v>Silver future (regular)</x:v>
      </x:c>
      <x:c r="BO133" s="147" t="str">
        <x:v>Long</x:v>
      </x:c>
      <x:c r="BP133" s="167" t="n">
        <x:v>1.6280000000000001</x:v>
      </x:c>
      <x:c r="BQ133" s="167" t="n">
        <x:v>1.64</x:v>
      </x:c>
      <x:c r="BR133" s="166" t="n">
        <x:v>1</x:v>
      </x:c>
      <x:c r="BS133" s="171" t="n">
        <x:f>IF(BM133="","",IFERROR(F133*BR133/BP133,0))</x:f>
        <x:v>0.8498296250299495</x:v>
      </x:c>
      <x:c r="BT133" s="171" t="n">
        <x:f>IF(BM133="","",F133*ABS(BR133))</x:f>
        <x:v>1.383522629548758</x:v>
      </x:c>
      <x:c r="BU133" s="165" t="n">
        <x:v>1.669</x:v>
      </x:c>
      <x:c r="BV133" s="172" t="n">
        <x:f>IF(BM133="","",IF(BU133="","",IFERROR(BP133/BU133-1,0)))</x:f>
        <x:v>-0.024565608148591878</x:v>
      </x:c>
      <x:c r="BW133" s="166" t="n">
        <x:v>0.0699</x:v>
      </x:c>
      <x:c r="BX133" s="172" t="n">
        <x:f>IF(BM133="","",IF(BW133="","",BW133-BV133*365/BY133))</x:f>
        <x:v>0.7596266903258488</x:v>
      </x:c>
      <x:c r="BY133" s="164" t="n">
        <x:v>13</x:v>
      </x:c>
      <x:c r="BZ133" s="172" t="n">
        <x:f>IF(BM133="","",IFERROR(BR133*(BQ133/BP133-1),0))</x:f>
        <x:v>0.007371007371007154</x:v>
      </x:c>
      <x:c r="CA133" s="147" t="str">
        <x:v>SI69U</x:v>
      </x:c>
      <x:c r="CB133" s="147" t="str">
        <x:v>Silver future (regular)</x:v>
      </x:c>
      <x:c r="CC133" s="147" t="str">
        <x:v>Long</x:v>
      </x:c>
      <x:c r="CD133" s="167" t="n">
        <x:v>1.6469999999999998</x:v>
      </x:c>
      <x:c r="CE133" s="167" t="n">
        <x:v>1.6640000000000001</x:v>
      </x:c>
      <x:c r="CF133" s="166" t="n">
        <x:v>8.864238195786485e-28</x:v>
      </x:c>
      <x:c r="CG133" s="171" t="n">
        <x:f>IF(CA133="","",IFERROR(F133*CF133/CD133,0))</x:f>
        <x:v>7.4461895188713155e-28</x:v>
      </x:c>
      <x:c r="CH133" s="171" t="n">
        <x:f>IF(CA133="","",F133*ABS(CF133))</x:f>
        <x:v>1.2263874137581055e-27</x:v>
      </x:c>
      <x:c r="CI133" s="165" t="n">
        <x:v>1.669</x:v>
      </x:c>
      <x:c r="CJ133" s="172" t="n">
        <x:f>IF(CA133="","",IF(CI133="","",IFERROR(CD133/CI133-1,0)))</x:f>
        <x:v>-0.013181545835829978</x:v>
      </x:c>
      <x:c r="CK133" s="166" t="n">
        <x:v>0.0699</x:v>
      </x:c>
      <x:c r="CL133" s="172" t="n">
        <x:f>IF(CA133="","",IF(CK133="","",CK133-CJ133*365/CM133))</x:f>
        <x:v>0.13672311430663808</x:v>
      </x:c>
      <x:c r="CM133" s="164" t="n">
        <x:v>72</x:v>
      </x:c>
      <x:c r="CN133" s="172" t="n">
        <x:f>IF(CA133="","",IFERROR(CF133*(CE133/CD133-1),0))</x:f>
        <x:v>9.149486905183541e-30</x:v>
      </x:c>
      <x:c r="CO133" s="147" t="str">
        <x:v>SI69Z</x:v>
      </x:c>
      <x:c r="CP133" s="147" t="str">
        <x:v>Silver future (regular)</x:v>
      </x:c>
      <x:c r="CQ133" s="147" t="str">
        <x:v>Long</x:v>
      </x:c>
      <x:c r="CR133" s="167" t="n">
        <x:v>1.694</x:v>
      </x:c>
      <x:c r="CS133" s="167" t="n">
        <x:v>1.7109999999999999</x:v>
      </x:c>
      <x:c r="CT133" s="166" t="n">
        <x:v>3.3801135097921964e-32</x:v>
      </x:c>
      <x:c r="CU133" s="171" t="n">
        <x:f>IF(CO133="","",IFERROR(F133*CT133/CR133,0))</x:f>
        <x:v>2.76060420970542e-32</x:v>
      </x:c>
      <x:c r="CV133" s="171" t="n">
        <x:f>IF(CO133="","",F133*ABS(CT133))</x:f>
        <x:v>4.676463531240981e-32</x:v>
      </x:c>
      <x:c r="CW133" s="165" t="n">
        <x:v>1.669</x:v>
      </x:c>
      <x:c r="CX133" s="172" t="n">
        <x:f>IF(CO133="","",IF(CW133="","",IFERROR(CR133/CW133-1,0)))</x:f>
        <x:v>0.014979029358897389</x:v>
      </x:c>
      <x:c r="CY133" s="166" t="n">
        <x:v>0.07245494505494506</x:v>
      </x:c>
      <x:c r="CZ133" s="172" t="n">
        <x:f>IF(CO133="","",IF(CY133="","",CY133-CX133*365/DA133))</x:f>
        <x:v>0.03951912748869477</x:v>
      </x:c>
      <x:c r="DA133" s="164" t="n">
        <x:v>166</x:v>
      </x:c>
      <x:c r="DB133" s="172" t="n">
        <x:f>IF(CO133="","",IFERROR(CT133*(CS133/CR133-1),0))</x:f>
        <x:v>3.3920855765328628e-34</x:v>
      </x:c>
      <x:c r="DC133" s="147" t="str">
        <x:v>SI70F</x:v>
      </x:c>
      <x:c r="DD133" s="147" t="str">
        <x:v>Silver future (regular)</x:v>
      </x:c>
      <x:c r="DE133" s="147" t="str">
        <x:v>Long</x:v>
      </x:c>
      <x:c r="DF133" s="167" t="n">
        <x:v>1.7109999999999999</x:v>
      </x:c>
      <x:c r="DG133" s="167" t="n">
        <x:v>1.7280000000000002</x:v>
      </x:c>
      <x:c r="DH133" s="166" t="n">
        <x:v>2.1859816071067913e-33</x:v>
      </x:c>
      <x:c r="DI133" s="171" t="n">
        <x:f>IF(DC133="","",IFERROR(F133*DH133/DF133,0))</x:f>
        <x:v>1.7675949860956212e-33</x:v>
      </x:c>
      <x:c r="DJ133" s="171" t="n">
        <x:f>IF(DC133="","",F133*ABS(DH133))</x:f>
        <x:v>3.024355021209608e-33</x:v>
      </x:c>
      <x:c r="DK133" s="165" t="n">
        <x:v>1.669</x:v>
      </x:c>
      <x:c r="DL133" s="172" t="n">
        <x:f>IF(DC133="","",IF(DK133="","",IFERROR(DF133/DK133-1,0)))</x:f>
        <x:v>0.025164769322947755</x:v>
      </x:c>
      <x:c r="DM133" s="166" t="n">
        <x:v>0.07313770491803277</x:v>
      </x:c>
      <x:c r="DN133" s="172" t="n">
        <x:f>IF(DC133="","",IF(DM133="","",DM133-DL133*365/DO133))</x:f>
        <x:v>0.02627474163805353</x:v>
      </x:c>
      <x:c r="DO133" s="164" t="n">
        <x:v>196</x:v>
      </x:c>
      <x:c r="DP133" s="172" t="n">
        <x:f>IF(DC133="","",IFERROR(DH133*(DG133/DF133-1),0))</x:f>
        <x:v>2.1719279556292486e-35</x:v>
      </x:c>
      <x:c r="DQ133" s="147" t="str">
        <x:v>SI70H</x:v>
      </x:c>
      <x:c r="DR133" s="147" t="str">
        <x:v>Silver future (regular)</x:v>
      </x:c>
      <x:c r="DS133" s="147" t="str">
        <x:v>Long</x:v>
      </x:c>
      <x:c r="DT133" s="167" t="n">
        <x:v>1.742</x:v>
      </x:c>
      <x:c r="DU133" s="167" t="n">
        <x:v>1.76</x:v>
      </x:c>
      <x:c r="DV133" s="166" t="n">
        <x:v>8.416564260276394e-35</x:v>
      </x:c>
      <x:c r="DW133" s="171" t="n">
        <x:f>IF(DQ133="","",IFERROR(F133*DV133/DT133,0))</x:f>
        <x:v>6.684562064950455e-35</x:v>
      </x:c>
      <x:c r="DX133" s="171" t="n">
        <x:f>IF(DQ133="","",F133*ABS(DV133))</x:f>
        <x:v>1.1644507117143693e-34</x:v>
      </x:c>
      <x:c r="DY133" s="165" t="n">
        <x:v>1.669</x:v>
      </x:c>
      <x:c r="DZ133" s="172" t="n">
        <x:f>IF(DQ133="","",IF(DY133="","",IFERROR(DT133/DY133-1,0)))</x:f>
        <x:v>0.043738765727980855</x:v>
      </x:c>
      <x:c r="EA133" s="166" t="n">
        <x:v>0.07370819672131147</x:v>
      </x:c>
      <x:c r="EB133" s="172" t="n">
        <x:f>IF(DQ133="","",IF(EA133="","",EA133-DZ133*365/EC133))</x:f>
        <x:v>0.01085524597047284</x:v>
      </x:c>
      <x:c r="EC133" s="164" t="n">
        <x:v>254</x:v>
      </x:c>
      <x:c r="ED133" s="172" t="n">
        <x:f>IF(DQ133="","",IFERROR(DV133*(DU133/DT133-1),0))</x:f>
        <x:v>8.696794298792984e-37</x:v>
      </x:c>
      <x:c r="EE133" s="147" t="str">
        <x:v>SI70K</x:v>
      </x:c>
      <x:c r="EF133" s="147" t="str">
        <x:v>Silver future (regular)</x:v>
      </x:c>
      <x:c r="EG133" s="147" t="str">
        <x:v>Long</x:v>
      </x:c>
      <x:c r="EH133" s="167" t="n">
        <x:v>1.7730000000000001</x:v>
      </x:c>
      <x:c r="EI133" s="167" t="n">
        <x:v>1.791</x:v>
      </x:c>
      <x:c r="EJ133" s="166" t="n">
        <x:v>1.2189221033335829e-35</x:v>
      </x:c>
      <x:c r="EK133" s="171" t="n">
        <x:f>IF(EE133="","",IFERROR(F133*EJ133/EH133,0))</x:f>
        <x:v>9.511597933554322e-36</x:v>
      </x:c>
      <x:c r="EL133" s="171" t="n">
        <x:f>IF(EE133="","",F133*ABS(EJ133))</x:f>
        <x:v>1.6864063136191815e-35</x:v>
      </x:c>
      <x:c r="EM133" s="165" t="n">
        <x:v>1.669</x:v>
      </x:c>
      <x:c r="EN133" s="172" t="n">
        <x:f>IF(EE133="","",IF(EM133="","",IFERROR(EH133/EM133-1,0)))</x:f>
        <x:v>0.06231276213301373</x:v>
      </x:c>
      <x:c r="EO133" s="166" t="n">
        <x:v>0.07430819672131148</x:v>
      </x:c>
      <x:c r="EP133" s="172" t="n">
        <x:f>IF(EE133="","",IF(EO133="","",EO133-EN133*365/EQ133))</x:f>
        <x:v>0.0021045199640098433</x:v>
      </x:c>
      <x:c r="EQ133" s="164" t="n">
        <x:v>315</x:v>
      </x:c>
      <x:c r="ER133" s="172" t="n">
        <x:f>IF(EE133="","",IFERROR(EJ133*(EI133/EH133-1),0))</x:f>
        <x:v>1.2374843688665583e-37</x:v>
      </x:c>
      <x:c r="ES133" s="147"/>
      <x:c r="ET133" s="147"/>
      <x:c r="EU133" s="147"/>
      <x:c r="EV133" s="167"/>
      <x:c r="EW133" s="167"/>
      <x:c r="EX133" s="166"/>
      <x:c r="EY133" s="171" t="str">
        <x:f>IF(ES133="","",IFERROR(F133*EX133/EV133,0))</x:f>
      </x:c>
      <x:c r="EZ133" s="171" t="str">
        <x:f>IF(ES133="","",F133*ABS(EX133))</x:f>
      </x:c>
      <x:c r="FA133" s="165"/>
      <x:c r="FB133" s="172" t="str">
        <x:f>IF(ES133="","",IF(FA133="","",IFERROR(EV133/FA133-1,0)))</x:f>
      </x:c>
      <x:c r="FC133" s="166"/>
      <x:c r="FD133" s="172" t="str">
        <x:f>IF(ES133="","",IF(FC133="","",FC133-FB133*365/FE133))</x:f>
      </x:c>
      <x:c r="FE133" s="164"/>
      <x:c r="FF133" s="172" t="str">
        <x:f>IF(ES133="","",IFERROR(EX133*(EW133/EV133-1),0))</x:f>
      </x:c>
      <x:c r="FG133" s="147"/>
      <x:c r="FH133" s="147"/>
      <x:c r="FI133" s="147"/>
      <x:c r="FJ133" s="167"/>
      <x:c r="FK133" s="167"/>
      <x:c r="FL133" s="166"/>
      <x:c r="FM133" s="171" t="str">
        <x:f>IF(FG133="","",IFERROR(F133*FL133/FJ133,0))</x:f>
      </x:c>
      <x:c r="FN133" s="171" t="str">
        <x:f>IF(FG133="","",F133*ABS(FL133))</x:f>
      </x:c>
      <x:c r="FO133" s="165"/>
      <x:c r="FP133" s="172" t="str">
        <x:f>IF(FG133="","",IF(FO133="","",IFERROR(FJ133/FO133-1,0)))</x:f>
      </x:c>
      <x:c r="FQ133" s="166"/>
      <x:c r="FR133" s="172" t="str">
        <x:f>IF(FG133="","",IF(FQ133="","",FQ133-FP133*365/FS133))</x:f>
      </x:c>
      <x:c r="FS133" s="164"/>
      <x:c r="FT133" s="172" t="str">
        <x:f>IF(FG133="","",IFERROR(FL133*(FK133/FJ133-1),0))</x:f>
      </x:c>
    </x:row>
    <x:row r="134" ht="18" customHeight="1">
      <x:c r="A134" s="163" t="n">
        <x:v>25401</x:v>
      </x:c>
      <x:c r="B134" s="163" t="n">
        <x:v>25402</x:v>
      </x:c>
      <x:c r="C134" s="170" t="n">
        <x:f>B134-A134</x:f>
        <x:v>1</x:v>
      </x:c>
      <x:c r="D134" s="163" t="n">
        <x:v>25401</x:v>
      </x:c>
      <x:c r="E134" s="147" t="str">
        <x:v>neutral</x:v>
      </x:c>
      <x:c r="F134" s="165" t="n">
        <x:v>1.393985539108858</x:v>
      </x:c>
      <x:c r="G134" s="168" t="n">
        <x:v>0.010384348728941404</x:v>
      </x:c>
      <x:c r="H134" s="172" t="n">
        <x:f>SUM(AX134,BL134,BZ134,CN134,DB134,DP134,ED134,ER134,FF134,FT134)</x:f>
        <x:v>0.010384348728941404</x:v>
      </x:c>
      <x:c r="I134" s="174" t="n">
        <x:f>G134-H134</x:f>
        <x:v>0</x:v>
      </x:c>
      <x:c r="J134" s="171" t="n">
        <x:f>F134*(1+H134)</x:f>
        <x:v>1.4084611710700659</x:v>
      </x:c>
      <x:c r="K134" s="169" t="n">
        <x:v>1.4084611710700659</x:v>
      </x:c>
      <x:c r="L134" s="175" t="n">
        <x:f>K134-J134</x:f>
        <x:v>0</x:v>
      </x:c>
      <x:c r="M134" s="167" t="n">
        <x:v>1.636</x:v>
      </x:c>
      <x:c r="N134" s="167" t="n">
        <x:v>1.653</x:v>
      </x:c>
      <x:c r="O134" s="172" t="n">
        <x:f>IFERROR(N134/M134-1,0)</x:f>
        <x:v>0.010391198044009897</x:v>
      </x:c>
      <x:c r="P134" s="171" t="n">
        <x:f>IFERROR(AD134/AH134,0)</x:f>
        <x:v>1.668351886048377</x:v>
      </x:c>
      <x:c r="Q134" s="171" t="n">
        <x:f>IFERROR(AE134/AI134,0)</x:f>
        <x:v>1.668340576500417</x:v>
      </x:c>
      <x:c r="R134" s="172" t="n">
        <x:f>IFERROR((Q134-P134)/(P134+S134),0)</x:f>
        <x:v>-0.000006778874441724742</x:v>
      </x:c>
      <x:c r="S134" s="172" t="n">
        <x:f>IFERROR(AF134/AH134,0)</x:f>
        <x:v>0</x:v>
      </x:c>
      <x:c r="T134" s="172" t="n">
        <x:f>IFERROR(AG134/AI134,0)</x:f>
        <x:v>0</x:v>
      </x:c>
      <x:c r="U134" s="172" t="n">
        <x:f>IFERROR((T134-S134)/(P134+S134),0)</x:f>
        <x:v>0</x:v>
      </x:c>
      <x:c r="V134" s="172" t="n">
        <x:f>R134+U134</x:f>
        <x:v>-0.000006778874441724742</x:v>
      </x:c>
      <x:c r="W134" s="172" t="n">
        <x:f>(1+O134)*(1+V134)-1</x:f>
        <x:v>0.01038434872894145</x:v>
      </x:c>
      <x:c r="X134" s="174" t="n">
        <x:f>G134-W134</x:f>
        <x:v>-4.683753385137379e-17</x:v>
      </x:c>
      <x:c r="Y134" s="172" t="n">
        <x:f>AX134</x:f>
        <x:v>0.010384348728941404</x:v>
      </x:c>
      <x:c r="Z134" s="172" t="str">
        <x:f>BL134</x:f>
      </x:c>
      <x:c r="AA134" s="172" t="n">
        <x:f>SUM(BZ134,CN134,DB134,DP134,ED134,ER134,FF134,FT134)</x:f>
        <x:v>0</x:v>
      </x:c>
      <x:c r="AB134" s="172" t="n">
        <x:f>SUM(Y134:AA134)</x:f>
        <x:v>0.010384348728941404</x:v>
      </x:c>
      <x:c r="AC134" s="174" t="n">
        <x:f>G134-AB134</x:f>
        <x:v>0</x:v>
      </x:c>
      <x:c r="AD134" s="169" t="n">
        <x:v>1.3939855391088583</x:v>
      </x:c>
      <x:c r="AE134" s="169" t="n">
        <x:v>1.408461171070066</x:v>
      </x:c>
      <x:c r="AF134" s="169" t="n">
        <x:v>0</x:v>
      </x:c>
      <x:c r="AG134" s="169" t="n">
        <x:v>0</x:v>
      </x:c>
      <x:c r="AH134" s="171" t="n">
        <x:f>M134/$M$3</x:f>
        <x:v>0.8355464759959141</x:v>
      </x:c>
      <x:c r="AI134" s="171" t="n">
        <x:f>N134/$M$3</x:f>
        <x:v>0.8442288049029623</x:v>
      </x:c>
      <x:c r="AJ134" s="170" t="n">
        <x:f>IF(AK134&lt;&gt;"",1,0)+IF(AY134&lt;&gt;"",1,0)+IF(BM134&lt;&gt;"",1,0)+IF(CA134&lt;&gt;"",1,0)+IF(CO134&lt;&gt;"",1,0)+IF(DC134&lt;&gt;"",1,0)+IF(DQ134&lt;&gt;"",1,0)+IF(EE134&lt;&gt;"",1,0)+IF(ES134&lt;&gt;"",1,0)+IF(FG134&lt;&gt;"",1,0)</x:f>
        <x:v>1</x:v>
      </x:c>
      <x:c r="AK134" s="147" t="str">
        <x:v>Silver replicating holding (LBMA/SLV proxy)</x:v>
      </x:c>
      <x:c r="AL134" s="147" t="str">
        <x:v>Physical-backed proxy</x:v>
      </x:c>
      <x:c r="AM134" s="147" t="str">
        <x:v>Long</x:v>
      </x:c>
      <x:c r="AN134" s="167" t="n">
        <x:v>1.636</x:v>
      </x:c>
      <x:c r="AO134" s="167" t="n">
        <x:v>1.653</x:v>
      </x:c>
      <x:c r="AP134" s="166" t="n">
        <x:v>1</x:v>
      </x:c>
      <x:c r="AQ134" s="171" t="n">
        <x:f>IF(AK134="","",IFERROR(F134*AP134/AN134,0))</x:f>
        <x:v>0.8520694004332874</x:v>
      </x:c>
      <x:c r="AR134" s="171" t="n">
        <x:f>IF(AK134="","",F134*ABS(AP134))</x:f>
        <x:v>1.393985539108858</x:v>
      </x:c>
      <x:c r="AS134" s="165"/>
      <x:c r="AT134" s="172" t="str">
        <x:f>IF(AK134="","",IF(AS134="","",IFERROR(AN134/AS134-1,0)))</x:f>
      </x:c>
      <x:c r="AU134" s="166"/>
      <x:c r="AV134" s="172" t="str">
        <x:f>IF(AK134="","",IF(AU134="","",AU134-AT134*365/AW134))</x:f>
      </x:c>
      <x:c r="AW134" s="164"/>
      <x:c r="AX134" s="173" t="n">
        <x:f>IF(AK134="","",IFERROR(AP134*(AO134/AN134-1-'Parameters'!$C$6*C134/365),0))</x:f>
        <x:v>0.010384348728941404</x:v>
      </x:c>
      <x:c r="AY134" s="147"/>
      <x:c r="AZ134" s="147"/>
      <x:c r="BA134" s="147"/>
      <x:c r="BB134" s="167"/>
      <x:c r="BC134" s="167"/>
      <x:c r="BD134" s="166"/>
      <x:c r="BE134" s="171" t="str">
        <x:f>IF(AY134="","",IFERROR(F134*BD134/BB134,0))</x:f>
      </x:c>
      <x:c r="BF134" s="171" t="str">
        <x:f>IF(AY134="","",F134*ABS(BD134))</x:f>
      </x:c>
      <x:c r="BG134" s="165"/>
      <x:c r="BH134" s="172" t="str">
        <x:f>IF(AY134="","",IF(BG134="","",IFERROR(BB134/BG134-1,0)))</x:f>
      </x:c>
      <x:c r="BI134" s="166"/>
      <x:c r="BJ134" s="172" t="str">
        <x:f>IF(AY134="","",IF(BI134="","",BI134-BH134*365/BK134))</x:f>
      </x:c>
      <x:c r="BK134" s="164"/>
      <x:c r="BL134" s="172" t="str">
        <x:f>IF(AY134="","",IFERROR(BD134*(BC134/BB134-1),0))</x:f>
      </x:c>
      <x:c r="BM134" s="147"/>
      <x:c r="BN134" s="147"/>
      <x:c r="BO134" s="147"/>
      <x:c r="BP134" s="167"/>
      <x:c r="BQ134" s="167"/>
      <x:c r="BR134" s="166"/>
      <x:c r="BS134" s="171" t="str">
        <x:f>IF(BM134="","",IFERROR(F134*BR134/BP134,0))</x:f>
      </x:c>
      <x:c r="BT134" s="171" t="str">
        <x:f>IF(BM134="","",F134*ABS(BR134))</x:f>
      </x:c>
      <x:c r="BU134" s="165"/>
      <x:c r="BV134" s="172" t="str">
        <x:f>IF(BM134="","",IF(BU134="","",IFERROR(BP134/BU134-1,0)))</x:f>
      </x:c>
      <x:c r="BW134" s="166"/>
      <x:c r="BX134" s="172" t="str">
        <x:f>IF(BM134="","",IF(BW134="","",BW134-BV134*365/BY134))</x:f>
      </x:c>
      <x:c r="BY134" s="164"/>
      <x:c r="BZ134" s="172" t="str">
        <x:f>IF(BM134="","",IFERROR(BR134*(BQ134/BP134-1),0))</x:f>
      </x:c>
      <x:c r="CA134" s="147"/>
      <x:c r="CB134" s="147"/>
      <x:c r="CC134" s="147"/>
      <x:c r="CD134" s="167"/>
      <x:c r="CE134" s="167"/>
      <x:c r="CF134" s="166"/>
      <x:c r="CG134" s="171" t="str">
        <x:f>IF(CA134="","",IFERROR(F134*CF134/CD134,0))</x:f>
      </x:c>
      <x:c r="CH134" s="171" t="str">
        <x:f>IF(CA134="","",F134*ABS(CF134))</x:f>
      </x:c>
      <x:c r="CI134" s="165"/>
      <x:c r="CJ134" s="172" t="str">
        <x:f>IF(CA134="","",IF(CI134="","",IFERROR(CD134/CI134-1,0)))</x:f>
      </x:c>
      <x:c r="CK134" s="166"/>
      <x:c r="CL134" s="172" t="str">
        <x:f>IF(CA134="","",IF(CK134="","",CK134-CJ134*365/CM134))</x:f>
      </x:c>
      <x:c r="CM134" s="164"/>
      <x:c r="CN134" s="172" t="str">
        <x:f>IF(CA134="","",IFERROR(CF134*(CE134/CD134-1),0))</x:f>
      </x:c>
      <x:c r="CO134" s="147"/>
      <x:c r="CP134" s="147"/>
      <x:c r="CQ134" s="147"/>
      <x:c r="CR134" s="167"/>
      <x:c r="CS134" s="167"/>
      <x:c r="CT134" s="166"/>
      <x:c r="CU134" s="171" t="str">
        <x:f>IF(CO134="","",IFERROR(F134*CT134/CR134,0))</x:f>
      </x:c>
      <x:c r="CV134" s="171" t="str">
        <x:f>IF(CO134="","",F134*ABS(CT134))</x:f>
      </x:c>
      <x:c r="CW134" s="165"/>
      <x:c r="CX134" s="172" t="str">
        <x:f>IF(CO134="","",IF(CW134="","",IFERROR(CR134/CW134-1,0)))</x:f>
      </x:c>
      <x:c r="CY134" s="166"/>
      <x:c r="CZ134" s="172" t="str">
        <x:f>IF(CO134="","",IF(CY134="","",CY134-CX134*365/DA134))</x:f>
      </x:c>
      <x:c r="DA134" s="164"/>
      <x:c r="DB134" s="172" t="str">
        <x:f>IF(CO134="","",IFERROR(CT134*(CS134/CR134-1),0))</x:f>
      </x:c>
      <x:c r="DC134" s="147"/>
      <x:c r="DD134" s="147"/>
      <x:c r="DE134" s="147"/>
      <x:c r="DF134" s="167"/>
      <x:c r="DG134" s="167"/>
      <x:c r="DH134" s="166"/>
      <x:c r="DI134" s="171" t="str">
        <x:f>IF(DC134="","",IFERROR(F134*DH134/DF134,0))</x:f>
      </x:c>
      <x:c r="DJ134" s="171" t="str">
        <x:f>IF(DC134="","",F134*ABS(DH134))</x:f>
      </x:c>
      <x:c r="DK134" s="165"/>
      <x:c r="DL134" s="172" t="str">
        <x:f>IF(DC134="","",IF(DK134="","",IFERROR(DF134/DK134-1,0)))</x:f>
      </x:c>
      <x:c r="DM134" s="166"/>
      <x:c r="DN134" s="172" t="str">
        <x:f>IF(DC134="","",IF(DM134="","",DM134-DL134*365/DO134))</x:f>
      </x:c>
      <x:c r="DO134" s="164"/>
      <x:c r="DP134" s="172" t="str">
        <x:f>IF(DC134="","",IFERROR(DH134*(DG134/DF134-1),0))</x:f>
      </x:c>
      <x:c r="DQ134" s="147"/>
      <x:c r="DR134" s="147"/>
      <x:c r="DS134" s="147"/>
      <x:c r="DT134" s="167"/>
      <x:c r="DU134" s="167"/>
      <x:c r="DV134" s="166"/>
      <x:c r="DW134" s="171" t="str">
        <x:f>IF(DQ134="","",IFERROR(F134*DV134/DT134,0))</x:f>
      </x:c>
      <x:c r="DX134" s="171" t="str">
        <x:f>IF(DQ134="","",F134*ABS(DV134))</x:f>
      </x:c>
      <x:c r="DY134" s="165"/>
      <x:c r="DZ134" s="172" t="str">
        <x:f>IF(DQ134="","",IF(DY134="","",IFERROR(DT134/DY134-1,0)))</x:f>
      </x:c>
      <x:c r="EA134" s="166"/>
      <x:c r="EB134" s="172" t="str">
        <x:f>IF(DQ134="","",IF(EA134="","",EA134-DZ134*365/EC134))</x:f>
      </x:c>
      <x:c r="EC134" s="164"/>
      <x:c r="ED134" s="172" t="str">
        <x:f>IF(DQ134="","",IFERROR(DV134*(DU134/DT134-1),0))</x:f>
      </x:c>
      <x:c r="EE134" s="147"/>
      <x:c r="EF134" s="147"/>
      <x:c r="EG134" s="147"/>
      <x:c r="EH134" s="167"/>
      <x:c r="EI134" s="167"/>
      <x:c r="EJ134" s="166"/>
      <x:c r="EK134" s="171" t="str">
        <x:f>IF(EE134="","",IFERROR(F134*EJ134/EH134,0))</x:f>
      </x:c>
      <x:c r="EL134" s="171" t="str">
        <x:f>IF(EE134="","",F134*ABS(EJ134))</x:f>
      </x:c>
      <x:c r="EM134" s="165"/>
      <x:c r="EN134" s="172" t="str">
        <x:f>IF(EE134="","",IF(EM134="","",IFERROR(EH134/EM134-1,0)))</x:f>
      </x:c>
      <x:c r="EO134" s="166"/>
      <x:c r="EP134" s="172" t="str">
        <x:f>IF(EE134="","",IF(EO134="","",EO134-EN134*365/EQ134))</x:f>
      </x:c>
      <x:c r="EQ134" s="164"/>
      <x:c r="ER134" s="172" t="str">
        <x:f>IF(EE134="","",IFERROR(EJ134*(EI134/EH134-1),0))</x:f>
      </x:c>
      <x:c r="ES134" s="147"/>
      <x:c r="ET134" s="147"/>
      <x:c r="EU134" s="147"/>
      <x:c r="EV134" s="167"/>
      <x:c r="EW134" s="167"/>
      <x:c r="EX134" s="166"/>
      <x:c r="EY134" s="171" t="str">
        <x:f>IF(ES134="","",IFERROR(F134*EX134/EV134,0))</x:f>
      </x:c>
      <x:c r="EZ134" s="171" t="str">
        <x:f>IF(ES134="","",F134*ABS(EX134))</x:f>
      </x:c>
      <x:c r="FA134" s="165"/>
      <x:c r="FB134" s="172" t="str">
        <x:f>IF(ES134="","",IF(FA134="","",IFERROR(EV134/FA134-1,0)))</x:f>
      </x:c>
      <x:c r="FC134" s="166"/>
      <x:c r="FD134" s="172" t="str">
        <x:f>IF(ES134="","",IF(FC134="","",FC134-FB134*365/FE134))</x:f>
      </x:c>
      <x:c r="FE134" s="164"/>
      <x:c r="FF134" s="172" t="str">
        <x:f>IF(ES134="","",IFERROR(EX134*(EW134/EV134-1),0))</x:f>
      </x:c>
      <x:c r="FG134" s="147"/>
      <x:c r="FH134" s="147"/>
      <x:c r="FI134" s="147"/>
      <x:c r="FJ134" s="167"/>
      <x:c r="FK134" s="167"/>
      <x:c r="FL134" s="166"/>
      <x:c r="FM134" s="171" t="str">
        <x:f>IF(FG134="","",IFERROR(F134*FL134/FJ134,0))</x:f>
      </x:c>
      <x:c r="FN134" s="171" t="str">
        <x:f>IF(FG134="","",F134*ABS(FL134))</x:f>
      </x:c>
      <x:c r="FO134" s="165"/>
      <x:c r="FP134" s="172" t="str">
        <x:f>IF(FG134="","",IF(FO134="","",IFERROR(FJ134/FO134-1,0)))</x:f>
      </x:c>
      <x:c r="FQ134" s="166"/>
      <x:c r="FR134" s="172" t="str">
        <x:f>IF(FG134="","",IF(FQ134="","",FQ134-FP134*365/FS134))</x:f>
      </x:c>
      <x:c r="FS134" s="164"/>
      <x:c r="FT134" s="172" t="str">
        <x:f>IF(FG134="","",IFERROR(FL134*(FK134/FJ134-1),0))</x:f>
      </x:c>
    </x:row>
    <x:row r="135" ht="18" customHeight="1">
      <x:c r="A135" s="163" t="n">
        <x:v>25402</x:v>
      </x:c>
      <x:c r="B135" s="163" t="n">
        <x:v>25406</x:v>
      </x:c>
      <x:c r="C135" s="170" t="n">
        <x:f>B135-A135</x:f>
        <x:v>4</x:v>
      </x:c>
      <x:c r="D135" s="163" t="n">
        <x:v>25402</x:v>
      </x:c>
      <x:c r="E135" s="147" t="str">
        <x:v>positive</x:v>
      </x:c>
      <x:c r="F135" s="165" t="n">
        <x:v>1.4084611710700659</x:v>
      </x:c>
      <x:c r="G135" s="168" t="n">
        <x:v>0.011725174686866005</x:v>
      </x:c>
      <x:c r="H135" s="172" t="n">
        <x:f>SUM(AX135,BL135,BZ135,CN135,DB135,DP135,ED135,ER135,FF135,FT135)</x:f>
        <x:v>0.011725174686865996</x:v>
      </x:c>
      <x:c r="I135" s="174" t="n">
        <x:f>G135-H135</x:f>
        <x:v>8.673617379884035e-18</x:v>
      </x:c>
      <x:c r="J135" s="171" t="n">
        <x:f>F135*(1+H135)</x:f>
        <x:v>1.4249756243405303</x:v>
      </x:c>
      <x:c r="K135" s="169" t="n">
        <x:v>1.4249756243405303</x:v>
      </x:c>
      <x:c r="L135" s="175" t="n">
        <x:f>K135-J135</x:f>
        <x:v>0</x:v>
      </x:c>
      <x:c r="M135" s="167" t="n">
        <x:v>1.653</x:v>
      </x:c>
      <x:c r="N135" s="167" t="n">
        <x:v>1.675</x:v>
      </x:c>
      <x:c r="O135" s="172" t="n">
        <x:f>IFERROR(N135/M135-1,0)</x:f>
        <x:v>0.01330913490623109</x:v>
      </x:c>
      <x:c r="P135" s="171" t="n">
        <x:f>IFERROR(AD135/AH135,0)</x:f>
        <x:v>1.668340576500417</x:v>
      </x:c>
      <x:c r="Q135" s="171" t="n">
        <x:f>IFERROR(AE135/AI135,0)</x:f>
        <x:v>1.665732699975378</x:v>
      </x:c>
      <x:c r="R135" s="172" t="n">
        <x:f>IFERROR((Q135-P135)/(P135+S135),0)</x:f>
        <x:v>-0.0015631559657376393</x:v>
      </x:c>
      <x:c r="S135" s="172" t="n">
        <x:f>IFERROR(AF135/AH135,0)</x:f>
        <x:v>0</x:v>
      </x:c>
      <x:c r="T135" s="172" t="n">
        <x:f>IFERROR(AG135/AI135,0)</x:f>
        <x:v>0</x:v>
      </x:c>
      <x:c r="U135" s="172" t="n">
        <x:f>IFERROR((T135-S135)/(P135+S135),0)</x:f>
        <x:v>0</x:v>
      </x:c>
      <x:c r="V135" s="172" t="n">
        <x:f>R135+U135</x:f>
        <x:v>-0.0015631559657376393</x:v>
      </x:c>
      <x:c r="W135" s="172" t="n">
        <x:f>(1+O135)*(1+V135)-1</x:f>
        <x:v>0.011725174686866069</x:v>
      </x:c>
      <x:c r="X135" s="174" t="n">
        <x:f>G135-W135</x:f>
        <x:v>-6.418476861114186e-17</x:v>
      </x:c>
      <x:c r="Y135" s="172" t="n">
        <x:f>AX135</x:f>
        <x:v>0.012371592019589386</x:v>
      </x:c>
      <x:c r="Z135" s="172" t="n">
        <x:f>BL135</x:f>
        <x:v>0.00005294344936073184</x:v>
      </x:c>
      <x:c r="AA135" s="172" t="n">
        <x:f>SUM(BZ135,CN135,DB135,DP135,ED135,ER135,FF135,FT135)</x:f>
        <x:v>-0.0006993607820841228</x:v>
      </x:c>
      <x:c r="AB135" s="172" t="n">
        <x:f>SUM(Y135:AA135)</x:f>
        <x:v>0.011725174686865996</x:v>
      </x:c>
      <x:c r="AC135" s="174" t="n">
        <x:f>G135-AB135</x:f>
        <x:v>8.673617379884035e-18</x:v>
      </x:c>
      <x:c r="AD135" s="169" t="n">
        <x:v>1.408461171070066</x:v>
      </x:c>
      <x:c r="AE135" s="169" t="n">
        <x:v>1.4249756243405305</x:v>
      </x:c>
      <x:c r="AF135" s="169" t="n">
        <x:v>0</x:v>
      </x:c>
      <x:c r="AG135" s="169" t="n">
        <x:v>0</x:v>
      </x:c>
      <x:c r="AH135" s="171" t="n">
        <x:f>M135/$M$3</x:f>
        <x:v>0.8442288049029623</x:v>
      </x:c>
      <x:c r="AI135" s="171" t="n">
        <x:f>N135/$M$3</x:f>
        <x:v>0.8554647599591421</x:v>
      </x:c>
      <x:c r="AJ135" s="170" t="n">
        <x:f>IF(AK135&lt;&gt;"",1,0)+IF(AY135&lt;&gt;"",1,0)+IF(BM135&lt;&gt;"",1,0)+IF(CA135&lt;&gt;"",1,0)+IF(CO135&lt;&gt;"",1,0)+IF(DC135&lt;&gt;"",1,0)+IF(DQ135&lt;&gt;"",1,0)+IF(EE135&lt;&gt;"",1,0)+IF(ES135&lt;&gt;"",1,0)+IF(FG135&lt;&gt;"",1,0)</x:f>
        <x:v>4</x:v>
      </x:c>
      <x:c r="AK135" s="147" t="str">
        <x:v>Silver replicating holding (LBMA/SLV proxy)</x:v>
      </x:c>
      <x:c r="AL135" s="147" t="str">
        <x:v>Physical-backed proxy</x:v>
      </x:c>
      <x:c r="AM135" s="147" t="str">
        <x:v>Long</x:v>
      </x:c>
      <x:c r="AN135" s="167" t="n">
        <x:v>1.653</x:v>
      </x:c>
      <x:c r="AO135" s="167" t="n">
        <x:v>1.675</x:v>
      </x:c>
      <x:c r="AP135" s="166" t="n">
        <x:v>0.9314739041962048</x:v>
      </x:c>
      <x:c r="AQ135" s="171" t="n">
        <x:f>IF(AK135="","",IFERROR(F135*AP135/AN135,0))</x:f>
        <x:v>0.7936750308078602</x:v>
      </x:c>
      <x:c r="AR135" s="171" t="n">
        <x:f>IF(AK135="","",F135*ABS(AP135))</x:f>
        <x:v>1.311944825925393</x:v>
      </x:c>
      <x:c r="AS135" s="165"/>
      <x:c r="AT135" s="172" t="str">
        <x:f>IF(AK135="","",IF(AS135="","",IFERROR(AN135/AS135-1,0)))</x:f>
      </x:c>
      <x:c r="AU135" s="166"/>
      <x:c r="AV135" s="172" t="str">
        <x:f>IF(AK135="","",IF(AU135="","",AU135-AT135*365/AW135))</x:f>
      </x:c>
      <x:c r="AW135" s="164"/>
      <x:c r="AX135" s="173" t="n">
        <x:f>IF(AK135="","",IFERROR(AP135*(AO135/AN135-1-'Parameters'!$C$6*C135/365),0))</x:f>
        <x:v>0.012371592019589386</x:v>
      </x:c>
      <x:c r="AY135" s="147" t="str">
        <x:v>Matched-maturity Treasury collateral</x:v>
      </x:c>
      <x:c r="AZ135" s="147" t="str">
        <x:v>Treasury</x:v>
      </x:c>
      <x:c r="BA135" s="147" t="str">
        <x:v>Long</x:v>
      </x:c>
      <x:c r="BB135" s="167" t="n">
        <x:v>103.4062927759396</x:v>
      </x:c>
      <x:c r="BC135" s="167" t="n">
        <x:v>103.4861847610432</x:v>
      </x:c>
      <x:c r="BD135" s="166" t="n">
        <x:v>0.06852609580379518</x:v>
      </x:c>
      <x:c r="BE135" s="171" t="n">
        <x:f>IF(AY135="","",IFERROR(F135*BD135/BB135,0))</x:f>
        <x:v>0.000933370132065407</x:v>
      </x:c>
      <x:c r="BF135" s="171" t="n">
        <x:f>IF(AY135="","",F135*ABS(BD135))</x:f>
        <x:v>0.09651634514467289</x:v>
      </x:c>
      <x:c r="BG135" s="165"/>
      <x:c r="BH135" s="172" t="str">
        <x:f>IF(AY135="","",IF(BG135="","",IFERROR(BB135/BG135-1,0)))</x:f>
      </x:c>
      <x:c r="BI135" s="166"/>
      <x:c r="BJ135" s="172" t="str">
        <x:f>IF(AY135="","",IF(BI135="","",BI135-BH135*365/BK135))</x:f>
      </x:c>
      <x:c r="BK135" s="164" t="n">
        <x:v>29.932910894996752</x:v>
      </x:c>
      <x:c r="BL135" s="172" t="n">
        <x:f>IF(AY135="","",IFERROR(BD135*(BC135/BB135-1),0))</x:f>
        <x:v>0.00005294344936073184</x:v>
      </x:c>
      <x:c r="BM135" s="147" t="str">
        <x:v>SI69N</x:v>
      </x:c>
      <x:c r="BN135" s="147" t="str">
        <x:v>Silver future (regular)</x:v>
      </x:c>
      <x:c r="BO135" s="147" t="str">
        <x:v>Long</x:v>
      </x:c>
      <x:c r="BP135" s="167" t="n">
        <x:v>1.656</x:v>
      </x:c>
      <x:c r="BQ135" s="167" t="n">
        <x:v>1.64</x:v>
      </x:c>
      <x:c r="BR135" s="166" t="n">
        <x:v>0.04653629129811272</x:v>
      </x:c>
      <x:c r="BS135" s="171" t="n">
        <x:f>IF(BM135="","",IFERROR(F135*BR135/BP135,0))</x:f>
        <x:v>0.03958004791002268</x:v>
      </x:c>
      <x:c r="BT135" s="171" t="n">
        <x:f>IF(BM135="","",F135*ABS(BR135))</x:f>
        <x:v>0.06554455933899755</x:v>
      </x:c>
      <x:c r="BU135" s="165" t="n">
        <x:v>1.653</x:v>
      </x:c>
      <x:c r="BV135" s="172" t="n">
        <x:f>IF(BM135="","",IF(BU135="","",IFERROR(BP135/BU135-1,0)))</x:f>
        <x:v>0.001814882032667775</x:v>
      </x:c>
      <x:c r="BW135" s="166" t="n">
        <x:v>0.0705</x:v>
      </x:c>
      <x:c r="BX135" s="172" t="n">
        <x:f>IF(BM135="","",IF(BW135="","",BW135-BV135*365/BY135))</x:f>
        <x:v>0.010278914370569277</x:v>
      </x:c>
      <x:c r="BY135" s="164" t="n">
        <x:v>11</x:v>
      </x:c>
      <x:c r="BZ135" s="172" t="n">
        <x:f>IF(BM135="","",IFERROR(BR135*(BQ135/BP135-1),0))</x:f>
        <x:v>-0.00044962600288031817</x:v>
      </x:c>
      <x:c r="CA135" s="147" t="str">
        <x:v>SI69U</x:v>
      </x:c>
      <x:c r="CB135" s="147" t="str">
        <x:v>Silver future (regular)</x:v>
      </x:c>
      <x:c r="CC135" s="147" t="str">
        <x:v>Long</x:v>
      </x:c>
      <x:c r="CD135" s="167" t="n">
        <x:v>1.673</x:v>
      </x:c>
      <x:c r="CE135" s="167" t="n">
        <x:v>1.6540000000000001</x:v>
      </x:c>
      <x:c r="CF135" s="166" t="n">
        <x:v>0.02198980450568246</x:v>
      </x:c>
      <x:c r="CG135" s="171" t="n">
        <x:f>IF(CA135="","",IFERROR(F135*CF135/CD135,0))</x:f>
        <x:v>0.018512723135490333</x:v>
      </x:c>
      <x:c r="CH135" s="171" t="n">
        <x:f>IF(CA135="","",F135*ABS(CF135))</x:f>
        <x:v>0.030971785805675327</x:v>
      </x:c>
      <x:c r="CI135" s="165" t="n">
        <x:v>1.653</x:v>
      </x:c>
      <x:c r="CJ135" s="172" t="n">
        <x:f>IF(CA135="","",IF(CI135="","",IFERROR(CD135/CI135-1,0)))</x:f>
        <x:v>0.012099213551119092</x:v>
      </x:c>
      <x:c r="CK135" s="166" t="n">
        <x:v>0.0705</x:v>
      </x:c>
      <x:c r="CL135" s="172" t="n">
        <x:f>IF(CA135="","",IF(CK135="","",CK135-CJ135*365/CM135))</x:f>
        <x:v>0.007411243626307587</x:v>
      </x:c>
      <x:c r="CM135" s="164" t="n">
        <x:v>70</x:v>
      </x:c>
      <x:c r="CN135" s="172" t="n">
        <x:f>IF(CA135="","",IFERROR(CF135*(CE135/CD135-1),0))</x:f>
        <x:v>-0.00024973477920380466</x:v>
      </x:c>
      <x:c r="CO135" s="147"/>
      <x:c r="CP135" s="147"/>
      <x:c r="CQ135" s="147"/>
      <x:c r="CR135" s="167"/>
      <x:c r="CS135" s="167"/>
      <x:c r="CT135" s="166"/>
      <x:c r="CU135" s="171" t="str">
        <x:f>IF(CO135="","",IFERROR(F135*CT135/CR135,0))</x:f>
      </x:c>
      <x:c r="CV135" s="171" t="str">
        <x:f>IF(CO135="","",F135*ABS(CT135))</x:f>
      </x:c>
      <x:c r="CW135" s="165"/>
      <x:c r="CX135" s="172" t="str">
        <x:f>IF(CO135="","",IF(CW135="","",IFERROR(CR135/CW135-1,0)))</x:f>
      </x:c>
      <x:c r="CY135" s="166"/>
      <x:c r="CZ135" s="172" t="str">
        <x:f>IF(CO135="","",IF(CY135="","",CY135-CX135*365/DA135))</x:f>
      </x:c>
      <x:c r="DA135" s="164"/>
      <x:c r="DB135" s="172" t="str">
        <x:f>IF(CO135="","",IFERROR(CT135*(CS135/CR135-1),0))</x:f>
      </x:c>
      <x:c r="DC135" s="147"/>
      <x:c r="DD135" s="147"/>
      <x:c r="DE135" s="147"/>
      <x:c r="DF135" s="167"/>
      <x:c r="DG135" s="167"/>
      <x:c r="DH135" s="166"/>
      <x:c r="DI135" s="171" t="str">
        <x:f>IF(DC135="","",IFERROR(F135*DH135/DF135,0))</x:f>
      </x:c>
      <x:c r="DJ135" s="171" t="str">
        <x:f>IF(DC135="","",F135*ABS(DH135))</x:f>
      </x:c>
      <x:c r="DK135" s="165"/>
      <x:c r="DL135" s="172" t="str">
        <x:f>IF(DC135="","",IF(DK135="","",IFERROR(DF135/DK135-1,0)))</x:f>
      </x:c>
      <x:c r="DM135" s="166"/>
      <x:c r="DN135" s="172" t="str">
        <x:f>IF(DC135="","",IF(DM135="","",DM135-DL135*365/DO135))</x:f>
      </x:c>
      <x:c r="DO135" s="164"/>
      <x:c r="DP135" s="172" t="str">
        <x:f>IF(DC135="","",IFERROR(DH135*(DG135/DF135-1),0))</x:f>
      </x:c>
      <x:c r="DQ135" s="147"/>
      <x:c r="DR135" s="147"/>
      <x:c r="DS135" s="147"/>
      <x:c r="DT135" s="167"/>
      <x:c r="DU135" s="167"/>
      <x:c r="DV135" s="166"/>
      <x:c r="DW135" s="171" t="str">
        <x:f>IF(DQ135="","",IFERROR(F135*DV135/DT135,0))</x:f>
      </x:c>
      <x:c r="DX135" s="171" t="str">
        <x:f>IF(DQ135="","",F135*ABS(DV135))</x:f>
      </x:c>
      <x:c r="DY135" s="165"/>
      <x:c r="DZ135" s="172" t="str">
        <x:f>IF(DQ135="","",IF(DY135="","",IFERROR(DT135/DY135-1,0)))</x:f>
      </x:c>
      <x:c r="EA135" s="166"/>
      <x:c r="EB135" s="172" t="str">
        <x:f>IF(DQ135="","",IF(EA135="","",EA135-DZ135*365/EC135))</x:f>
      </x:c>
      <x:c r="EC135" s="164"/>
      <x:c r="ED135" s="172" t="str">
        <x:f>IF(DQ135="","",IFERROR(DV135*(DU135/DT135-1),0))</x:f>
      </x:c>
      <x:c r="EE135" s="147"/>
      <x:c r="EF135" s="147"/>
      <x:c r="EG135" s="147"/>
      <x:c r="EH135" s="167"/>
      <x:c r="EI135" s="167"/>
      <x:c r="EJ135" s="166"/>
      <x:c r="EK135" s="171" t="str">
        <x:f>IF(EE135="","",IFERROR(F135*EJ135/EH135,0))</x:f>
      </x:c>
      <x:c r="EL135" s="171" t="str">
        <x:f>IF(EE135="","",F135*ABS(EJ135))</x:f>
      </x:c>
      <x:c r="EM135" s="165"/>
      <x:c r="EN135" s="172" t="str">
        <x:f>IF(EE135="","",IF(EM135="","",IFERROR(EH135/EM135-1,0)))</x:f>
      </x:c>
      <x:c r="EO135" s="166"/>
      <x:c r="EP135" s="172" t="str">
        <x:f>IF(EE135="","",IF(EO135="","",EO135-EN135*365/EQ135))</x:f>
      </x:c>
      <x:c r="EQ135" s="164"/>
      <x:c r="ER135" s="172" t="str">
        <x:f>IF(EE135="","",IFERROR(EJ135*(EI135/EH135-1),0))</x:f>
      </x:c>
      <x:c r="ES135" s="147"/>
      <x:c r="ET135" s="147"/>
      <x:c r="EU135" s="147"/>
      <x:c r="EV135" s="167"/>
      <x:c r="EW135" s="167"/>
      <x:c r="EX135" s="166"/>
      <x:c r="EY135" s="171" t="str">
        <x:f>IF(ES135="","",IFERROR(F135*EX135/EV135,0))</x:f>
      </x:c>
      <x:c r="EZ135" s="171" t="str">
        <x:f>IF(ES135="","",F135*ABS(EX135))</x:f>
      </x:c>
      <x:c r="FA135" s="165"/>
      <x:c r="FB135" s="172" t="str">
        <x:f>IF(ES135="","",IF(FA135="","",IFERROR(EV135/FA135-1,0)))</x:f>
      </x:c>
      <x:c r="FC135" s="166"/>
      <x:c r="FD135" s="172" t="str">
        <x:f>IF(ES135="","",IF(FC135="","",FC135-FB135*365/FE135))</x:f>
      </x:c>
      <x:c r="FE135" s="164"/>
      <x:c r="FF135" s="172" t="str">
        <x:f>IF(ES135="","",IFERROR(EX135*(EW135/EV135-1),0))</x:f>
      </x:c>
      <x:c r="FG135" s="147"/>
      <x:c r="FH135" s="147"/>
      <x:c r="FI135" s="147"/>
      <x:c r="FJ135" s="167"/>
      <x:c r="FK135" s="167"/>
      <x:c r="FL135" s="166"/>
      <x:c r="FM135" s="171" t="str">
        <x:f>IF(FG135="","",IFERROR(F135*FL135/FJ135,0))</x:f>
      </x:c>
      <x:c r="FN135" s="171" t="str">
        <x:f>IF(FG135="","",F135*ABS(FL135))</x:f>
      </x:c>
      <x:c r="FO135" s="165"/>
      <x:c r="FP135" s="172" t="str">
        <x:f>IF(FG135="","",IF(FO135="","",IFERROR(FJ135/FO135-1,0)))</x:f>
      </x:c>
      <x:c r="FQ135" s="166"/>
      <x:c r="FR135" s="172" t="str">
        <x:f>IF(FG135="","",IF(FQ135="","",FQ135-FP135*365/FS135))</x:f>
      </x:c>
      <x:c r="FS135" s="164"/>
      <x:c r="FT135" s="172" t="str">
        <x:f>IF(FG135="","",IFERROR(FL135*(FK135/FJ135-1),0))</x:f>
      </x:c>
    </x:row>
    <x:row r="136" ht="18" customHeight="1">
      <x:c r="A136" s="163" t="n">
        <x:v>25406</x:v>
      </x:c>
      <x:c r="B136" s="163" t="n">
        <x:v>25407</x:v>
      </x:c>
      <x:c r="C136" s="170" t="n">
        <x:f>B136-A136</x:f>
        <x:v>1</x:v>
      </x:c>
      <x:c r="D136" s="163" t="n">
        <x:v>25406</x:v>
      </x:c>
      <x:c r="E136" s="147" t="str">
        <x:v>positive</x:v>
      </x:c>
      <x:c r="F136" s="165" t="n">
        <x:v>1.4249756243405303</x:v>
      </x:c>
      <x:c r="G136" s="168" t="n">
        <x:v>-0.012834513978460608</x:v>
      </x:c>
      <x:c r="H136" s="172" t="n">
        <x:f>SUM(AX136,BL136,BZ136,CN136,DB136,DP136,ED136,ER136,FF136,FT136)</x:f>
        <x:v>-0.01283451397846055</x:v>
      </x:c>
      <x:c r="I136" s="174" t="n">
        <x:f>G136-H136</x:f>
        <x:v>-5.898059818321144e-17</x:v>
      </x:c>
      <x:c r="J136" s="171" t="n">
        <x:f>F136*(1+H136)</x:f>
        <x:v>1.406686754770966</x:v>
      </x:c>
      <x:c r="K136" s="169" t="n">
        <x:v>1.406686754770966</x:v>
      </x:c>
      <x:c r="L136" s="175" t="n">
        <x:f>K136-J136</x:f>
        <x:v>0</x:v>
      </x:c>
      <x:c r="M136" s="167" t="n">
        <x:v>1.675</x:v>
      </x:c>
      <x:c r="N136" s="167" t="n">
        <x:v>1.66</x:v>
      </x:c>
      <x:c r="O136" s="172" t="n">
        <x:f>IFERROR(N136/M136-1,0)</x:f>
        <x:v>-0.008955223880597107</x:v>
      </x:c>
      <x:c r="P136" s="171" t="n">
        <x:f>IFERROR(AD136/AH136,0)</x:f>
        <x:v>1.665732699975378</x:v>
      </x:c>
      <x:c r="Q136" s="171" t="n">
        <x:f>IFERROR(AE136/AI136,0)</x:f>
        <x:v>1.6592124493021396</x:v>
      </x:c>
      <x:c r="R136" s="172" t="n">
        <x:f>IFERROR((Q136-P136)/(P136+S136),0)</x:f>
        <x:v>-0.003914343924049068</x:v>
      </x:c>
      <x:c r="S136" s="172" t="n">
        <x:f>IFERROR(AF136/AH136,0)</x:f>
        <x:v>0</x:v>
      </x:c>
      <x:c r="T136" s="172" t="n">
        <x:f>IFERROR(AG136/AI136,0)</x:f>
        <x:v>0</x:v>
      </x:c>
      <x:c r="U136" s="172" t="n">
        <x:f>IFERROR((T136-S136)/(P136+S136),0)</x:f>
        <x:v>0</x:v>
      </x:c>
      <x:c r="V136" s="172" t="n">
        <x:f>R136+U136</x:f>
        <x:v>-0.003914343924049068</x:v>
      </x:c>
      <x:c r="W136" s="172" t="n">
        <x:f>(1+O136)*(1+V136)-1</x:f>
        <x:v>-0.012834513978460693</x:v>
      </x:c>
      <x:c r="X136" s="174" t="n">
        <x:f>G136-W136</x:f>
        <x:v>8.500145032286355e-17</x:v>
      </x:c>
      <x:c r="Y136" s="172" t="n">
        <x:f>AX136</x:f>
        <x:v>-0.0005893971683561031</x:v>
      </x:c>
      <x:c r="Z136" s="172" t="n">
        <x:f>BL136</x:f>
        <x:v>0.00018121585546742954</x:v>
      </x:c>
      <x:c r="AA136" s="172" t="n">
        <x:f>SUM(BZ136,CN136,DB136,DP136,ED136,ER136,FF136,FT136)</x:f>
        <x:v>-0.012426332665571875</x:v>
      </x:c>
      <x:c r="AB136" s="172" t="n">
        <x:f>SUM(Y136:AA136)</x:f>
        <x:v>-0.01283451397846055</x:v>
      </x:c>
      <x:c r="AC136" s="174" t="n">
        <x:f>G136-AB136</x:f>
        <x:v>-5.898059818321144e-17</x:v>
      </x:c>
      <x:c r="AD136" s="169" t="n">
        <x:v>1.4249756243405305</x:v>
      </x:c>
      <x:c r="AE136" s="169" t="n">
        <x:v>1.4066867547709663</x:v>
      </x:c>
      <x:c r="AF136" s="169" t="n">
        <x:v>0</x:v>
      </x:c>
      <x:c r="AG136" s="169" t="n">
        <x:v>0</x:v>
      </x:c>
      <x:c r="AH136" s="171" t="n">
        <x:f>M136/$M$3</x:f>
        <x:v>0.8554647599591421</x:v>
      </x:c>
      <x:c r="AI136" s="171" t="n">
        <x:f>N136/$M$3</x:f>
        <x:v>0.8478038815117467</x:v>
      </x:c>
      <x:c r="AJ136" s="170" t="n">
        <x:f>IF(AK136&lt;&gt;"",1,0)+IF(AY136&lt;&gt;"",1,0)+IF(BM136&lt;&gt;"",1,0)+IF(CA136&lt;&gt;"",1,0)+IF(CO136&lt;&gt;"",1,0)+IF(DC136&lt;&gt;"",1,0)+IF(DQ136&lt;&gt;"",1,0)+IF(EE136&lt;&gt;"",1,0)+IF(ES136&lt;&gt;"",1,0)+IF(FG136&lt;&gt;"",1,0)</x:f>
        <x:v>3</x:v>
      </x:c>
      <x:c r="AK136" s="147" t="str">
        <x:v>Silver replicating holding (LBMA/SLV proxy)</x:v>
      </x:c>
      <x:c r="AL136" s="147" t="str">
        <x:v>Physical-backed proxy</x:v>
      </x:c>
      <x:c r="AM136" s="147" t="str">
        <x:v>Long</x:v>
      </x:c>
      <x:c r="AN136" s="167" t="n">
        <x:v>1.675</x:v>
      </x:c>
      <x:c r="AO136" s="167" t="n">
        <x:v>1.66</x:v>
      </x:c>
      <x:c r="AP136" s="166" t="n">
        <x:v>0.0657657168701945</x:v>
      </x:c>
      <x:c r="AQ136" s="171" t="n">
        <x:f>IF(AK136="","",IFERROR(F136*AP136/AN136,0))</x:f>
        <x:v>0.05594898116854206</x:v>
      </x:c>
      <x:c r="AR136" s="171" t="n">
        <x:f>IF(AK136="","",F136*ABS(AP136))</x:f>
        <x:v>0.09371454345730795</x:v>
      </x:c>
      <x:c r="AS136" s="165"/>
      <x:c r="AT136" s="172" t="str">
        <x:f>IF(AK136="","",IF(AS136="","",IFERROR(AN136/AS136-1,0)))</x:f>
      </x:c>
      <x:c r="AU136" s="166"/>
      <x:c r="AV136" s="172" t="str">
        <x:f>IF(AK136="","",IF(AU136="","",AU136-AT136*365/AW136))</x:f>
      </x:c>
      <x:c r="AW136" s="164"/>
      <x:c r="AX136" s="173" t="n">
        <x:f>IF(AK136="","",IFERROR(AP136*(AO136/AN136-1-'Parameters'!$C$6*C136/365),0))</x:f>
        <x:v>-0.0005893971683561031</x:v>
      </x:c>
      <x:c r="AY136" s="147" t="str">
        <x:v>Matched-maturity Treasury collateral</x:v>
      </x:c>
      <x:c r="AZ136" s="147" t="str">
        <x:v>Treasury</x:v>
      </x:c>
      <x:c r="BA136" s="147" t="str">
        <x:v>Long</x:v>
      </x:c>
      <x:c r="BB136" s="167" t="n">
        <x:v>103.4861847610432</x:v>
      </x:c>
      <x:c r="BC136" s="167" t="n">
        <x:v>103.50625824564892</x:v>
      </x:c>
      <x:c r="BD136" s="166" t="n">
        <x:v>0.9342342831298055</x:v>
      </x:c>
      <x:c r="BE136" s="171" t="n">
        <x:f>IF(AY136="","",IFERROR(F136*BD136/BB136,0))</x:f>
        <x:v>0.012864143015390864</x:v>
      </x:c>
      <x:c r="BF136" s="171" t="n">
        <x:f>IF(AY136="","",F136*ABS(BD136))</x:f>
        <x:v>1.3312610808832224</x:v>
      </x:c>
      <x:c r="BG136" s="165"/>
      <x:c r="BH136" s="172" t="str">
        <x:f>IF(AY136="","",IF(BG136="","",IFERROR(BB136/BG136-1,0)))</x:f>
      </x:c>
      <x:c r="BI136" s="166"/>
      <x:c r="BJ136" s="172" t="str">
        <x:f>IF(AY136="","",IF(BI136="","",BI136-BH136*365/BK136))</x:f>
      </x:c>
      <x:c r="BK136" s="164" t="n">
        <x:v>66</x:v>
      </x:c>
      <x:c r="BL136" s="172" t="n">
        <x:f>IF(AY136="","",IFERROR(BD136*(BC136/BB136-1),0))</x:f>
        <x:v>0.00018121585546742954</x:v>
      </x:c>
      <x:c r="BM136" s="147" t="str">
        <x:v>SI69U</x:v>
      </x:c>
      <x:c r="BN136" s="147" t="str">
        <x:v>Silver future (regular)</x:v>
      </x:c>
      <x:c r="BO136" s="147" t="str">
        <x:v>Long</x:v>
      </x:c>
      <x:c r="BP136" s="167" t="n">
        <x:v>1.6540000000000001</x:v>
      </x:c>
      <x:c r="BQ136" s="167" t="n">
        <x:v>1.632</x:v>
      </x:c>
      <x:c r="BR136" s="166" t="n">
        <x:v>0.9342342831298055</x:v>
      </x:c>
      <x:c r="BS136" s="171" t="n">
        <x:f>IF(BM136="","",IFERROR(F136*BR136/BP136,0))</x:f>
        <x:v>0.8048736885630122</x:v>
      </x:c>
      <x:c r="BT136" s="171" t="n">
        <x:f>IF(BM136="","",F136*ABS(BR136))</x:f>
        <x:v>1.3312610808832224</x:v>
      </x:c>
      <x:c r="BU136" s="165" t="n">
        <x:v>1.675</x:v>
      </x:c>
      <x:c r="BV136" s="172" t="n">
        <x:f>IF(BM136="","",IF(BU136="","",IFERROR(BP136/BU136-1,0)))</x:f>
        <x:v>-0.012537313432835817</x:v>
      </x:c>
      <x:c r="BW136" s="166" t="n">
        <x:v>0.0708</x:v>
      </x:c>
      <x:c r="BX136" s="172" t="n">
        <x:f>IF(BM136="","",IF(BW136="","",BW136-BV136*365/BY136))</x:f>
        <x:v>0.1401351424694708</x:v>
      </x:c>
      <x:c r="BY136" s="164" t="n">
        <x:v>66</x:v>
      </x:c>
      <x:c r="BZ136" s="172" t="n">
        <x:f>IF(BM136="","",IFERROR(BR136*(BQ136/BP136-1),0))</x:f>
        <x:v>-0.012426332665571875</x:v>
      </x:c>
      <x:c r="CA136" s="147"/>
      <x:c r="CB136" s="147"/>
      <x:c r="CC136" s="147"/>
      <x:c r="CD136" s="167"/>
      <x:c r="CE136" s="167"/>
      <x:c r="CF136" s="166"/>
      <x:c r="CG136" s="171" t="str">
        <x:f>IF(CA136="","",IFERROR(F136*CF136/CD136,0))</x:f>
      </x:c>
      <x:c r="CH136" s="171" t="str">
        <x:f>IF(CA136="","",F136*ABS(CF136))</x:f>
      </x:c>
      <x:c r="CI136" s="165"/>
      <x:c r="CJ136" s="172" t="str">
        <x:f>IF(CA136="","",IF(CI136="","",IFERROR(CD136/CI136-1,0)))</x:f>
      </x:c>
      <x:c r="CK136" s="166"/>
      <x:c r="CL136" s="172" t="str">
        <x:f>IF(CA136="","",IF(CK136="","",CK136-CJ136*365/CM136))</x:f>
      </x:c>
      <x:c r="CM136" s="164"/>
      <x:c r="CN136" s="172" t="str">
        <x:f>IF(CA136="","",IFERROR(CF136*(CE136/CD136-1),0))</x:f>
      </x:c>
      <x:c r="CO136" s="147"/>
      <x:c r="CP136" s="147"/>
      <x:c r="CQ136" s="147"/>
      <x:c r="CR136" s="167"/>
      <x:c r="CS136" s="167"/>
      <x:c r="CT136" s="166"/>
      <x:c r="CU136" s="171" t="str">
        <x:f>IF(CO136="","",IFERROR(F136*CT136/CR136,0))</x:f>
      </x:c>
      <x:c r="CV136" s="171" t="str">
        <x:f>IF(CO136="","",F136*ABS(CT136))</x:f>
      </x:c>
      <x:c r="CW136" s="165"/>
      <x:c r="CX136" s="172" t="str">
        <x:f>IF(CO136="","",IF(CW136="","",IFERROR(CR136/CW136-1,0)))</x:f>
      </x:c>
      <x:c r="CY136" s="166"/>
      <x:c r="CZ136" s="172" t="str">
        <x:f>IF(CO136="","",IF(CY136="","",CY136-CX136*365/DA136))</x:f>
      </x:c>
      <x:c r="DA136" s="164"/>
      <x:c r="DB136" s="172" t="str">
        <x:f>IF(CO136="","",IFERROR(CT136*(CS136/CR136-1),0))</x:f>
      </x:c>
      <x:c r="DC136" s="147"/>
      <x:c r="DD136" s="147"/>
      <x:c r="DE136" s="147"/>
      <x:c r="DF136" s="167"/>
      <x:c r="DG136" s="167"/>
      <x:c r="DH136" s="166"/>
      <x:c r="DI136" s="171" t="str">
        <x:f>IF(DC136="","",IFERROR(F136*DH136/DF136,0))</x:f>
      </x:c>
      <x:c r="DJ136" s="171" t="str">
        <x:f>IF(DC136="","",F136*ABS(DH136))</x:f>
      </x:c>
      <x:c r="DK136" s="165"/>
      <x:c r="DL136" s="172" t="str">
        <x:f>IF(DC136="","",IF(DK136="","",IFERROR(DF136/DK136-1,0)))</x:f>
      </x:c>
      <x:c r="DM136" s="166"/>
      <x:c r="DN136" s="172" t="str">
        <x:f>IF(DC136="","",IF(DM136="","",DM136-DL136*365/DO136))</x:f>
      </x:c>
      <x:c r="DO136" s="164"/>
      <x:c r="DP136" s="172" t="str">
        <x:f>IF(DC136="","",IFERROR(DH136*(DG136/DF136-1),0))</x:f>
      </x:c>
      <x:c r="DQ136" s="147"/>
      <x:c r="DR136" s="147"/>
      <x:c r="DS136" s="147"/>
      <x:c r="DT136" s="167"/>
      <x:c r="DU136" s="167"/>
      <x:c r="DV136" s="166"/>
      <x:c r="DW136" s="171" t="str">
        <x:f>IF(DQ136="","",IFERROR(F136*DV136/DT136,0))</x:f>
      </x:c>
      <x:c r="DX136" s="171" t="str">
        <x:f>IF(DQ136="","",F136*ABS(DV136))</x:f>
      </x:c>
      <x:c r="DY136" s="165"/>
      <x:c r="DZ136" s="172" t="str">
        <x:f>IF(DQ136="","",IF(DY136="","",IFERROR(DT136/DY136-1,0)))</x:f>
      </x:c>
      <x:c r="EA136" s="166"/>
      <x:c r="EB136" s="172" t="str">
        <x:f>IF(DQ136="","",IF(EA136="","",EA136-DZ136*365/EC136))</x:f>
      </x:c>
      <x:c r="EC136" s="164"/>
      <x:c r="ED136" s="172" t="str">
        <x:f>IF(DQ136="","",IFERROR(DV136*(DU136/DT136-1),0))</x:f>
      </x:c>
      <x:c r="EE136" s="147"/>
      <x:c r="EF136" s="147"/>
      <x:c r="EG136" s="147"/>
      <x:c r="EH136" s="167"/>
      <x:c r="EI136" s="167"/>
      <x:c r="EJ136" s="166"/>
      <x:c r="EK136" s="171" t="str">
        <x:f>IF(EE136="","",IFERROR(F136*EJ136/EH136,0))</x:f>
      </x:c>
      <x:c r="EL136" s="171" t="str">
        <x:f>IF(EE136="","",F136*ABS(EJ136))</x:f>
      </x:c>
      <x:c r="EM136" s="165"/>
      <x:c r="EN136" s="172" t="str">
        <x:f>IF(EE136="","",IF(EM136="","",IFERROR(EH136/EM136-1,0)))</x:f>
      </x:c>
      <x:c r="EO136" s="166"/>
      <x:c r="EP136" s="172" t="str">
        <x:f>IF(EE136="","",IF(EO136="","",EO136-EN136*365/EQ136))</x:f>
      </x:c>
      <x:c r="EQ136" s="164"/>
      <x:c r="ER136" s="172" t="str">
        <x:f>IF(EE136="","",IFERROR(EJ136*(EI136/EH136-1),0))</x:f>
      </x:c>
      <x:c r="ES136" s="147"/>
      <x:c r="ET136" s="147"/>
      <x:c r="EU136" s="147"/>
      <x:c r="EV136" s="167"/>
      <x:c r="EW136" s="167"/>
      <x:c r="EX136" s="166"/>
      <x:c r="EY136" s="171" t="str">
        <x:f>IF(ES136="","",IFERROR(F136*EX136/EV136,0))</x:f>
      </x:c>
      <x:c r="EZ136" s="171" t="str">
        <x:f>IF(ES136="","",F136*ABS(EX136))</x:f>
      </x:c>
      <x:c r="FA136" s="165"/>
      <x:c r="FB136" s="172" t="str">
        <x:f>IF(ES136="","",IF(FA136="","",IFERROR(EV136/FA136-1,0)))</x:f>
      </x:c>
      <x:c r="FC136" s="166"/>
      <x:c r="FD136" s="172" t="str">
        <x:f>IF(ES136="","",IF(FC136="","",FC136-FB136*365/FE136))</x:f>
      </x:c>
      <x:c r="FE136" s="164"/>
      <x:c r="FF136" s="172" t="str">
        <x:f>IF(ES136="","",IFERROR(EX136*(EW136/EV136-1),0))</x:f>
      </x:c>
      <x:c r="FG136" s="147"/>
      <x:c r="FH136" s="147"/>
      <x:c r="FI136" s="147"/>
      <x:c r="FJ136" s="167"/>
      <x:c r="FK136" s="167"/>
      <x:c r="FL136" s="166"/>
      <x:c r="FM136" s="171" t="str">
        <x:f>IF(FG136="","",IFERROR(F136*FL136/FJ136,0))</x:f>
      </x:c>
      <x:c r="FN136" s="171" t="str">
        <x:f>IF(FG136="","",F136*ABS(FL136))</x:f>
      </x:c>
      <x:c r="FO136" s="165"/>
      <x:c r="FP136" s="172" t="str">
        <x:f>IF(FG136="","",IF(FO136="","",IFERROR(FJ136/FO136-1,0)))</x:f>
      </x:c>
      <x:c r="FQ136" s="166"/>
      <x:c r="FR136" s="172" t="str">
        <x:f>IF(FG136="","",IF(FQ136="","",FQ136-FP136*365/FS136))</x:f>
      </x:c>
      <x:c r="FS136" s="164"/>
      <x:c r="FT136" s="172" t="str">
        <x:f>IF(FG136="","",IFERROR(FL136*(FK136/FJ136-1),0))</x:f>
      </x:c>
    </x:row>
    <x:row r="137" ht="18" customHeight="1">
      <x:c r="A137" s="163" t="n">
        <x:v>25407</x:v>
      </x:c>
      <x:c r="B137" s="163" t="n">
        <x:v>25408</x:v>
      </x:c>
      <x:c r="C137" s="170" t="n">
        <x:f>B137-A137</x:f>
        <x:v>1</x:v>
      </x:c>
      <x:c r="D137" s="163" t="n">
        <x:v>25407</x:v>
      </x:c>
      <x:c r="E137" s="147" t="str">
        <x:v>positive</x:v>
      </x:c>
      <x:c r="F137" s="165" t="n">
        <x:v>1.406686754770966</x:v>
      </x:c>
      <x:c r="G137" s="168" t="n">
        <x:v>0.0020335777598711764</x:v>
      </x:c>
      <x:c r="H137" s="172" t="n">
        <x:f>SUM(AX137,BL137,BZ137,CN137,DB137,DP137,ED137,ER137,FF137,FT137)</x:f>
        <x:v>0.00203357775987123</x:v>
      </x:c>
      <x:c r="I137" s="174" t="n">
        <x:f>G137-H137</x:f>
        <x:v>-5.377642775528102e-17</x:v>
      </x:c>
      <x:c r="J137" s="171" t="n">
        <x:f>F137*(1+H137)</x:f>
        <x:v>1.4095473616705738</x:v>
      </x:c>
      <x:c r="K137" s="169" t="n">
        <x:v>1.4095473616705738</x:v>
      </x:c>
      <x:c r="L137" s="175" t="n">
        <x:f>K137-J137</x:f>
        <x:v>0</x:v>
      </x:c>
      <x:c r="M137" s="167" t="n">
        <x:v>1.66</x:v>
      </x:c>
      <x:c r="N137" s="167" t="n">
        <x:v>1.643</x:v>
      </x:c>
      <x:c r="O137" s="172" t="n">
        <x:f>IFERROR(N137/M137-1,0)</x:f>
        <x:v>-0.010240963855421614</x:v>
      </x:c>
      <x:c r="P137" s="171" t="n">
        <x:f>IFERROR(AD137/AH137,0)</x:f>
        <x:v>1.6592124493021396</x:v>
      </x:c>
      <x:c r="Q137" s="171" t="n">
        <x:f>IFERROR(AE137/AI137,0)</x:f>
        <x:v>1.679789247809485</x:v>
      </x:c>
      <x:c r="R137" s="172" t="n">
        <x:f>IFERROR((Q137-P137)/(P137+S137),0)</x:f>
        <x:v>0.012401545393418324</x:v>
      </x:c>
      <x:c r="S137" s="172" t="n">
        <x:f>IFERROR(AF137/AH137,0)</x:f>
        <x:v>0</x:v>
      </x:c>
      <x:c r="T137" s="172" t="n">
        <x:f>IFERROR(AG137/AI137,0)</x:f>
        <x:v>0</x:v>
      </x:c>
      <x:c r="U137" s="172" t="n">
        <x:f>IFERROR((T137-S137)/(P137+S137),0)</x:f>
        <x:v>0</x:v>
      </x:c>
      <x:c r="V137" s="172" t="n">
        <x:f>R137+U137</x:f>
        <x:v>0.012401545393418324</x:v>
      </x:c>
      <x:c r="W137" s="172" t="n">
        <x:f>(1+O137)*(1+V137)-1</x:f>
        <x:v>0.00203357775987123</x:v>
      </x:c>
      <x:c r="X137" s="174" t="n">
        <x:f>G137-W137</x:f>
        <x:v>-5.377642775528102e-17</x:v>
      </x:c>
      <x:c r="Y137" s="172" t="str">
        <x:f>AX137</x:f>
      </x:c>
      <x:c r="Z137" s="172" t="n">
        <x:f>BL137</x:f>
        <x:v>0.00019534246575347858</x:v>
      </x:c>
      <x:c r="AA137" s="172" t="n">
        <x:f>SUM(BZ137,CN137,DB137,DP137,ED137,ER137,FF137,FT137)</x:f>
        <x:v>0.0018382352941177516</x:v>
      </x:c>
      <x:c r="AB137" s="172" t="n">
        <x:f>SUM(Y137:AA137)</x:f>
        <x:v>0.00203357775987123</x:v>
      </x:c>
      <x:c r="AC137" s="174" t="n">
        <x:f>G137-AB137</x:f>
        <x:v>-5.377642775528102e-17</x:v>
      </x:c>
      <x:c r="AD137" s="169" t="n">
        <x:v>1.4066867547709663</x:v>
      </x:c>
      <x:c r="AE137" s="169" t="n">
        <x:v>1.4095473616705738</x:v>
      </x:c>
      <x:c r="AF137" s="169" t="n">
        <x:v>0</x:v>
      </x:c>
      <x:c r="AG137" s="169" t="n">
        <x:v>0</x:v>
      </x:c>
      <x:c r="AH137" s="171" t="n">
        <x:f>M137/$M$3</x:f>
        <x:v>0.8478038815117467</x:v>
      </x:c>
      <x:c r="AI137" s="171" t="n">
        <x:f>N137/$M$3</x:f>
        <x:v>0.8391215526046987</x:v>
      </x:c>
      <x:c r="AJ137" s="170" t="n">
        <x:f>IF(AK137&lt;&gt;"",1,0)+IF(AY137&lt;&gt;"",1,0)+IF(BM137&lt;&gt;"",1,0)+IF(CA137&lt;&gt;"",1,0)+IF(CO137&lt;&gt;"",1,0)+IF(DC137&lt;&gt;"",1,0)+IF(DQ137&lt;&gt;"",1,0)+IF(EE137&lt;&gt;"",1,0)+IF(ES137&lt;&gt;"",1,0)+IF(FG137&lt;&gt;"",1,0)</x:f>
        <x:v>2</x:v>
      </x:c>
      <x:c r="AK137" s="147"/>
      <x:c r="AL137" s="147"/>
      <x:c r="AM137" s="147"/>
      <x:c r="AN137" s="167"/>
      <x:c r="AO137" s="167"/>
      <x:c r="AP137" s="166"/>
      <x:c r="AQ137" s="171" t="str">
        <x:f>IF(AK137="","",IFERROR(F137*AP137/AN137,0))</x:f>
      </x:c>
      <x:c r="AR137" s="171" t="str">
        <x:f>IF(AK137="","",F137*ABS(AP137))</x:f>
      </x:c>
      <x:c r="AS137" s="165"/>
      <x:c r="AT137" s="172" t="str">
        <x:f>IF(AK137="","",IF(AS137="","",IFERROR(AN137/AS137-1,0)))</x:f>
      </x:c>
      <x:c r="AU137" s="166"/>
      <x:c r="AV137" s="172" t="str">
        <x:f>IF(AK137="","",IF(AU137="","",AU137-AT137*365/AW137))</x:f>
      </x:c>
      <x:c r="AW137" s="164"/>
      <x:c r="AX137" s="173" t="str">
        <x:f>IF(AK137="","",IFERROR(AP137*(AO137/AN137-1),0))</x:f>
      </x:c>
      <x:c r="AY137" s="147" t="str">
        <x:v>Matched-maturity Treasury collateral</x:v>
      </x:c>
      <x:c r="AZ137" s="147" t="str">
        <x:v>Treasury</x:v>
      </x:c>
      <x:c r="BA137" s="147" t="str">
        <x:v>Long</x:v>
      </x:c>
      <x:c r="BB137" s="167" t="n">
        <x:v>103.50625824564892</x:v>
      </x:c>
      <x:c r="BC137" s="167" t="n">
        <x:v>103.52647741335555</x:v>
      </x:c>
      <x:c r="BD137" s="166" t="n">
        <x:v>1</x:v>
      </x:c>
      <x:c r="BE137" s="171" t="n">
        <x:f>IF(AY137="","",IFERROR(F137*BD137/BB137,0))</x:f>
        <x:v>0.01359035461829284</x:v>
      </x:c>
      <x:c r="BF137" s="171" t="n">
        <x:f>IF(AY137="","",F137*ABS(BD137))</x:f>
        <x:v>1.406686754770966</x:v>
      </x:c>
      <x:c r="BG137" s="165"/>
      <x:c r="BH137" s="172" t="str">
        <x:f>IF(AY137="","",IF(BG137="","",IFERROR(BB137/BG137-1,0)))</x:f>
      </x:c>
      <x:c r="BI137" s="166"/>
      <x:c r="BJ137" s="172" t="str">
        <x:f>IF(AY137="","",IF(BI137="","",BI137-BH137*365/BK137))</x:f>
      </x:c>
      <x:c r="BK137" s="164" t="n">
        <x:v>65</x:v>
      </x:c>
      <x:c r="BL137" s="172" t="n">
        <x:f>IF(AY137="","",IFERROR(BD137*(BC137/BB137-1),0))</x:f>
        <x:v>0.00019534246575347858</x:v>
      </x:c>
      <x:c r="BM137" s="147" t="str">
        <x:v>SI69U</x:v>
      </x:c>
      <x:c r="BN137" s="147" t="str">
        <x:v>Silver future (regular)</x:v>
      </x:c>
      <x:c r="BO137" s="147" t="str">
        <x:v>Long</x:v>
      </x:c>
      <x:c r="BP137" s="167" t="n">
        <x:v>1.632</x:v>
      </x:c>
      <x:c r="BQ137" s="167" t="n">
        <x:v>1.635</x:v>
      </x:c>
      <x:c r="BR137" s="166" t="n">
        <x:v>1</x:v>
      </x:c>
      <x:c r="BS137" s="171" t="n">
        <x:f>IF(BM137="","",IFERROR(F137*BR137/BP137,0))</x:f>
        <x:v>0.8619404134626018</x:v>
      </x:c>
      <x:c r="BT137" s="171" t="n">
        <x:f>IF(BM137="","",F137*ABS(BR137))</x:f>
        <x:v>1.406686754770966</x:v>
      </x:c>
      <x:c r="BU137" s="165" t="n">
        <x:v>1.66</x:v>
      </x:c>
      <x:c r="BV137" s="172" t="n">
        <x:f>IF(BM137="","",IF(BU137="","",IFERROR(BP137/BU137-1,0)))</x:f>
        <x:v>-0.016867469879518038</x:v>
      </x:c>
      <x:c r="BW137" s="166" t="n">
        <x:v>0.0713</x:v>
      </x:c>
      <x:c r="BX137" s="172" t="n">
        <x:f>IF(BM137="","",IF(BW137="","",BW137-BV137*365/BY137))</x:f>
        <x:v>0.166017330861909</x:v>
      </x:c>
      <x:c r="BY137" s="164" t="n">
        <x:v>65</x:v>
      </x:c>
      <x:c r="BZ137" s="172" t="n">
        <x:f>IF(BM137="","",IFERROR(BR137*(BQ137/BP137-1),0))</x:f>
        <x:v>0.0018382352941177516</x:v>
      </x:c>
      <x:c r="CA137" s="147"/>
      <x:c r="CB137" s="147"/>
      <x:c r="CC137" s="147"/>
      <x:c r="CD137" s="167"/>
      <x:c r="CE137" s="167"/>
      <x:c r="CF137" s="166"/>
      <x:c r="CG137" s="171" t="str">
        <x:f>IF(CA137="","",IFERROR(F137*CF137/CD137,0))</x:f>
      </x:c>
      <x:c r="CH137" s="171" t="str">
        <x:f>IF(CA137="","",F137*ABS(CF137))</x:f>
      </x:c>
      <x:c r="CI137" s="165"/>
      <x:c r="CJ137" s="172" t="str">
        <x:f>IF(CA137="","",IF(CI137="","",IFERROR(CD137/CI137-1,0)))</x:f>
      </x:c>
      <x:c r="CK137" s="166"/>
      <x:c r="CL137" s="172" t="str">
        <x:f>IF(CA137="","",IF(CK137="","",CK137-CJ137*365/CM137))</x:f>
      </x:c>
      <x:c r="CM137" s="164"/>
      <x:c r="CN137" s="172" t="str">
        <x:f>IF(CA137="","",IFERROR(CF137*(CE137/CD137-1),0))</x:f>
      </x:c>
      <x:c r="CO137" s="147"/>
      <x:c r="CP137" s="147"/>
      <x:c r="CQ137" s="147"/>
      <x:c r="CR137" s="167"/>
      <x:c r="CS137" s="167"/>
      <x:c r="CT137" s="166"/>
      <x:c r="CU137" s="171" t="str">
        <x:f>IF(CO137="","",IFERROR(F137*CT137/CR137,0))</x:f>
      </x:c>
      <x:c r="CV137" s="171" t="str">
        <x:f>IF(CO137="","",F137*ABS(CT137))</x:f>
      </x:c>
      <x:c r="CW137" s="165"/>
      <x:c r="CX137" s="172" t="str">
        <x:f>IF(CO137="","",IF(CW137="","",IFERROR(CR137/CW137-1,0)))</x:f>
      </x:c>
      <x:c r="CY137" s="166"/>
      <x:c r="CZ137" s="172" t="str">
        <x:f>IF(CO137="","",IF(CY137="","",CY137-CX137*365/DA137))</x:f>
      </x:c>
      <x:c r="DA137" s="164"/>
      <x:c r="DB137" s="172" t="str">
        <x:f>IF(CO137="","",IFERROR(CT137*(CS137/CR137-1),0))</x:f>
      </x:c>
      <x:c r="DC137" s="147"/>
      <x:c r="DD137" s="147"/>
      <x:c r="DE137" s="147"/>
      <x:c r="DF137" s="167"/>
      <x:c r="DG137" s="167"/>
      <x:c r="DH137" s="166"/>
      <x:c r="DI137" s="171" t="str">
        <x:f>IF(DC137="","",IFERROR(F137*DH137/DF137,0))</x:f>
      </x:c>
      <x:c r="DJ137" s="171" t="str">
        <x:f>IF(DC137="","",F137*ABS(DH137))</x:f>
      </x:c>
      <x:c r="DK137" s="165"/>
      <x:c r="DL137" s="172" t="str">
        <x:f>IF(DC137="","",IF(DK137="","",IFERROR(DF137/DK137-1,0)))</x:f>
      </x:c>
      <x:c r="DM137" s="166"/>
      <x:c r="DN137" s="172" t="str">
        <x:f>IF(DC137="","",IF(DM137="","",DM137-DL137*365/DO137))</x:f>
      </x:c>
      <x:c r="DO137" s="164"/>
      <x:c r="DP137" s="172" t="str">
        <x:f>IF(DC137="","",IFERROR(DH137*(DG137/DF137-1),0))</x:f>
      </x:c>
      <x:c r="DQ137" s="147"/>
      <x:c r="DR137" s="147"/>
      <x:c r="DS137" s="147"/>
      <x:c r="DT137" s="167"/>
      <x:c r="DU137" s="167"/>
      <x:c r="DV137" s="166"/>
      <x:c r="DW137" s="171" t="str">
        <x:f>IF(DQ137="","",IFERROR(F137*DV137/DT137,0))</x:f>
      </x:c>
      <x:c r="DX137" s="171" t="str">
        <x:f>IF(DQ137="","",F137*ABS(DV137))</x:f>
      </x:c>
      <x:c r="DY137" s="165"/>
      <x:c r="DZ137" s="172" t="str">
        <x:f>IF(DQ137="","",IF(DY137="","",IFERROR(DT137/DY137-1,0)))</x:f>
      </x:c>
      <x:c r="EA137" s="166"/>
      <x:c r="EB137" s="172" t="str">
        <x:f>IF(DQ137="","",IF(EA137="","",EA137-DZ137*365/EC137))</x:f>
      </x:c>
      <x:c r="EC137" s="164"/>
      <x:c r="ED137" s="172" t="str">
        <x:f>IF(DQ137="","",IFERROR(DV137*(DU137/DT137-1),0))</x:f>
      </x:c>
      <x:c r="EE137" s="147"/>
      <x:c r="EF137" s="147"/>
      <x:c r="EG137" s="147"/>
      <x:c r="EH137" s="167"/>
      <x:c r="EI137" s="167"/>
      <x:c r="EJ137" s="166"/>
      <x:c r="EK137" s="171" t="str">
        <x:f>IF(EE137="","",IFERROR(F137*EJ137/EH137,0))</x:f>
      </x:c>
      <x:c r="EL137" s="171" t="str">
        <x:f>IF(EE137="","",F137*ABS(EJ137))</x:f>
      </x:c>
      <x:c r="EM137" s="165"/>
      <x:c r="EN137" s="172" t="str">
        <x:f>IF(EE137="","",IF(EM137="","",IFERROR(EH137/EM137-1,0)))</x:f>
      </x:c>
      <x:c r="EO137" s="166"/>
      <x:c r="EP137" s="172" t="str">
        <x:f>IF(EE137="","",IF(EO137="","",EO137-EN137*365/EQ137))</x:f>
      </x:c>
      <x:c r="EQ137" s="164"/>
      <x:c r="ER137" s="172" t="str">
        <x:f>IF(EE137="","",IFERROR(EJ137*(EI137/EH137-1),0))</x:f>
      </x:c>
      <x:c r="ES137" s="147"/>
      <x:c r="ET137" s="147"/>
      <x:c r="EU137" s="147"/>
      <x:c r="EV137" s="167"/>
      <x:c r="EW137" s="167"/>
      <x:c r="EX137" s="166"/>
      <x:c r="EY137" s="171" t="str">
        <x:f>IF(ES137="","",IFERROR(F137*EX137/EV137,0))</x:f>
      </x:c>
      <x:c r="EZ137" s="171" t="str">
        <x:f>IF(ES137="","",F137*ABS(EX137))</x:f>
      </x:c>
      <x:c r="FA137" s="165"/>
      <x:c r="FB137" s="172" t="str">
        <x:f>IF(ES137="","",IF(FA137="","",IFERROR(EV137/FA137-1,0)))</x:f>
      </x:c>
      <x:c r="FC137" s="166"/>
      <x:c r="FD137" s="172" t="str">
        <x:f>IF(ES137="","",IF(FC137="","",FC137-FB137*365/FE137))</x:f>
      </x:c>
      <x:c r="FE137" s="164"/>
      <x:c r="FF137" s="172" t="str">
        <x:f>IF(ES137="","",IFERROR(EX137*(EW137/EV137-1),0))</x:f>
      </x:c>
      <x:c r="FG137" s="147"/>
      <x:c r="FH137" s="147"/>
      <x:c r="FI137" s="147"/>
      <x:c r="FJ137" s="167"/>
      <x:c r="FK137" s="167"/>
      <x:c r="FL137" s="166"/>
      <x:c r="FM137" s="171" t="str">
        <x:f>IF(FG137="","",IFERROR(F137*FL137/FJ137,0))</x:f>
      </x:c>
      <x:c r="FN137" s="171" t="str">
        <x:f>IF(FG137="","",F137*ABS(FL137))</x:f>
      </x:c>
      <x:c r="FO137" s="165"/>
      <x:c r="FP137" s="172" t="str">
        <x:f>IF(FG137="","",IF(FO137="","",IFERROR(FJ137/FO137-1,0)))</x:f>
      </x:c>
      <x:c r="FQ137" s="166"/>
      <x:c r="FR137" s="172" t="str">
        <x:f>IF(FG137="","",IF(FQ137="","",FQ137-FP137*365/FS137))</x:f>
      </x:c>
      <x:c r="FS137" s="164"/>
      <x:c r="FT137" s="172" t="str">
        <x:f>IF(FG137="","",IFERROR(FL137*(FK137/FJ137-1),0))</x:f>
      </x:c>
    </x:row>
    <x:row r="138" ht="18" customHeight="1">
      <x:c r="A138" s="163" t="n">
        <x:v>25408</x:v>
      </x:c>
      <x:c r="B138" s="163" t="n">
        <x:v>25409</x:v>
      </x:c>
      <x:c r="C138" s="170" t="n">
        <x:f>B138-A138</x:f>
        <x:v>1</x:v>
      </x:c>
      <x:c r="D138" s="163" t="n">
        <x:v>25408</x:v>
      </x:c>
      <x:c r="E138" s="147" t="str">
        <x:v>positive</x:v>
      </x:c>
      <x:c r="F138" s="165" t="n">
        <x:v>1.4095473616705738</x:v>
      </x:c>
      <x:c r="G138" s="168" t="n">
        <x:v>0.005383036890006012</x:v>
      </x:c>
      <x:c r="H138" s="172" t="n">
        <x:f>SUM(AX138,BL138,BZ138,CN138,DB138,DP138,ED138,ER138,FF138,FT138)</x:f>
        <x:v>0.005383036890005991</x:v>
      </x:c>
      <x:c r="I138" s="174" t="n">
        <x:f>G138-H138</x:f>
        <x:v>2.168404344971009e-17</x:v>
      </x:c>
      <x:c r="J138" s="171" t="n">
        <x:f>F138*(1+H138)</x:f>
        <x:v>1.4171350071166573</x:v>
      </x:c>
      <x:c r="K138" s="169" t="n">
        <x:v>1.4171350071166573</x:v>
      </x:c>
      <x:c r="L138" s="175" t="n">
        <x:f>K138-J138</x:f>
        <x:v>0</x:v>
      </x:c>
      <x:c r="M138" s="167" t="n">
        <x:v>1.643</x:v>
      </x:c>
      <x:c r="N138" s="167" t="n">
        <x:v>1.645</x:v>
      </x:c>
      <x:c r="O138" s="172" t="n">
        <x:f>IFERROR(N138/M138-1,0)</x:f>
        <x:v>0.00121728545343891</x:v>
      </x:c>
      <x:c r="P138" s="171" t="n">
        <x:f>IFERROR(AD138/AH138,0)</x:f>
        <x:v>1.679789247809485</x:v>
      </x:c>
      <x:c r="Q138" s="171" t="n">
        <x:f>IFERROR(AE138/AI138,0)</x:f>
        <x:v>1.686778324580191</x:v>
      </x:c>
      <x:c r="R138" s="172" t="n">
        <x:f>IFERROR((Q138-P138)/(P138+S138),0)</x:f>
        <x:v>0.004160686693179038</x:v>
      </x:c>
      <x:c r="S138" s="172" t="n">
        <x:f>IFERROR(AF138/AH138,0)</x:f>
        <x:v>0</x:v>
      </x:c>
      <x:c r="T138" s="172" t="n">
        <x:f>IFERROR(AG138/AI138,0)</x:f>
        <x:v>0</x:v>
      </x:c>
      <x:c r="U138" s="172" t="n">
        <x:f>IFERROR((T138-S138)/(P138+S138),0)</x:f>
        <x:v>0</x:v>
      </x:c>
      <x:c r="V138" s="172" t="n">
        <x:f>R138+U138</x:f>
        <x:v>0.004160686693179038</x:v>
      </x:c>
      <x:c r="W138" s="172" t="n">
        <x:f>(1+O138)*(1+V138)-1</x:f>
        <x:v>0.0053830368900058545</x:v>
      </x:c>
      <x:c r="X138" s="174" t="n">
        <x:f>G138-W138</x:f>
        <x:v>1.5785983631388945e-16</x:v>
      </x:c>
      <x:c r="Y138" s="172" t="n">
        <x:f>AX138</x:f>
        <x:v>0.00041179582602493976</x:v>
      </x:c>
      <x:c r="Z138" s="172" t="n">
        <x:f>BL138</x:f>
        <x:v>0.00012870531320085518</x:v>
      </x:c>
      <x:c r="AA138" s="172" t="n">
        <x:f>SUM(BZ138,CN138,DB138,DP138,ED138,ER138,FF138,FT138)</x:f>
        <x:v>0.004842535750780196</x:v>
      </x:c>
      <x:c r="AB138" s="172" t="n">
        <x:f>SUM(Y138:AA138)</x:f>
        <x:v>0.005383036890005991</x:v>
      </x:c>
      <x:c r="AC138" s="174" t="n">
        <x:f>G138-AB138</x:f>
        <x:v>2.168404344971009e-17</x:v>
      </x:c>
      <x:c r="AD138" s="169" t="n">
        <x:v>1.4095473616705738</x:v>
      </x:c>
      <x:c r="AE138" s="169" t="n">
        <x:v>1.417135007116657</x:v>
      </x:c>
      <x:c r="AF138" s="169" t="n">
        <x:v>0</x:v>
      </x:c>
      <x:c r="AG138" s="169" t="n">
        <x:v>0</x:v>
      </x:c>
      <x:c r="AH138" s="171" t="n">
        <x:f>M138/$M$3</x:f>
        <x:v>0.8391215526046987</x:v>
      </x:c>
      <x:c r="AI138" s="171" t="n">
        <x:f>N138/$M$3</x:f>
        <x:v>0.8401430030643514</x:v>
      </x:c>
      <x:c r="AJ138" s="170" t="n">
        <x:f>IF(AK138&lt;&gt;"",1,0)+IF(AY138&lt;&gt;"",1,0)+IF(BM138&lt;&gt;"",1,0)+IF(CA138&lt;&gt;"",1,0)+IF(CO138&lt;&gt;"",1,0)+IF(DC138&lt;&gt;"",1,0)+IF(DQ138&lt;&gt;"",1,0)+IF(EE138&lt;&gt;"",1,0)+IF(ES138&lt;&gt;"",1,0)+IF(FG138&lt;&gt;"",1,0)</x:f>
        <x:v>3</x:v>
      </x:c>
      <x:c r="AK138" s="147" t="str">
        <x:v>Silver replicating holding (LBMA/SLV proxy)</x:v>
      </x:c>
      <x:c r="AL138" s="147" t="str">
        <x:v>Physical-backed proxy</x:v>
      </x:c>
      <x:c r="AM138" s="147" t="str">
        <x:v>Long</x:v>
      </x:c>
      <x:c r="AN138" s="167" t="n">
        <x:v>1.643</x:v>
      </x:c>
      <x:c r="AO138" s="167" t="n">
        <x:v>1.645</x:v>
      </x:c>
      <x:c r="AP138" s="166" t="n">
        <x:v>0.3402045039561784</x:v>
      </x:c>
      <x:c r="AQ138" s="171" t="n">
        <x:f>IF(AK138="","",IFERROR(F138*AP138/AN138,0))</x:f>
        <x:v>0.2918651010224453</x:v>
      </x:c>
      <x:c r="AR138" s="171" t="n">
        <x:f>IF(AK138="","",F138*ABS(AP138))</x:f>
        <x:v>0.47953436097987756</x:v>
      </x:c>
      <x:c r="AS138" s="165"/>
      <x:c r="AT138" s="172" t="str">
        <x:f>IF(AK138="","",IF(AS138="","",IFERROR(AN138/AS138-1,0)))</x:f>
      </x:c>
      <x:c r="AU138" s="166"/>
      <x:c r="AV138" s="172" t="str">
        <x:f>IF(AK138="","",IF(AU138="","",AU138-AT138*365/AW138))</x:f>
      </x:c>
      <x:c r="AW138" s="164"/>
      <x:c r="AX138" s="173" t="n">
        <x:f>IF(AK138="","",IFERROR(AP138*(AO138/AN138-1-'Parameters'!$C$6*C138/365),0))</x:f>
        <x:v>0.00041179582602493976</x:v>
      </x:c>
      <x:c r="AY138" s="147" t="str">
        <x:v>Matched-maturity Treasury collateral</x:v>
      </x:c>
      <x:c r="AZ138" s="147" t="str">
        <x:v>Treasury</x:v>
      </x:c>
      <x:c r="BA138" s="147" t="str">
        <x:v>Long</x:v>
      </x:c>
      <x:c r="BB138" s="167" t="n">
        <x:v>103.52647741335555</x:v>
      </x:c>
      <x:c r="BC138" s="167" t="n">
        <x:v>103.54667216730576</x:v>
      </x:c>
      <x:c r="BD138" s="166" t="n">
        <x:v>0.6597954960438216</x:v>
      </x:c>
      <x:c r="BE138" s="171" t="n">
        <x:f>IF(AY138="","",IFERROR(F138*BD138/BB138,0))</x:f>
        <x:v>0.008983334736459592</x:v>
      </x:c>
      <x:c r="BF138" s="171" t="n">
        <x:f>IF(AY138="","",F138*ABS(BD138))</x:f>
        <x:v>0.9300130006906963</x:v>
      </x:c>
      <x:c r="BG138" s="165"/>
      <x:c r="BH138" s="172" t="str">
        <x:f>IF(AY138="","",IF(BG138="","",IFERROR(BB138/BG138-1,0)))</x:f>
      </x:c>
      <x:c r="BI138" s="166"/>
      <x:c r="BJ138" s="172" t="str">
        <x:f>IF(AY138="","",IF(BI138="","",BI138-BH138*365/BK138))</x:f>
      </x:c>
      <x:c r="BK138" s="164" t="n">
        <x:v>64</x:v>
      </x:c>
      <x:c r="BL138" s="172" t="n">
        <x:f>IF(AY138="","",IFERROR(BD138*(BC138/BB138-1),0))</x:f>
        <x:v>0.00012870531320085518</x:v>
      </x:c>
      <x:c r="BM138" s="147" t="str">
        <x:v>SI69U</x:v>
      </x:c>
      <x:c r="BN138" s="147" t="str">
        <x:v>Silver future (regular)</x:v>
      </x:c>
      <x:c r="BO138" s="147" t="str">
        <x:v>Long</x:v>
      </x:c>
      <x:c r="BP138" s="167" t="n">
        <x:v>1.635</x:v>
      </x:c>
      <x:c r="BQ138" s="167" t="n">
        <x:v>1.6469999999999998</x:v>
      </x:c>
      <x:c r="BR138" s="166" t="n">
        <x:v>0.6597954960438216</x:v>
      </x:c>
      <x:c r="BS138" s="171" t="n">
        <x:f>IF(BM138="","",IFERROR(F138*BR138/BP138,0))</x:f>
        <x:v>0.5688152909423219</x:v>
      </x:c>
      <x:c r="BT138" s="171" t="n">
        <x:f>IF(BM138="","",F138*ABS(BR138))</x:f>
        <x:v>0.9300130006906963</x:v>
      </x:c>
      <x:c r="BU138" s="165" t="n">
        <x:v>1.643</x:v>
      </x:c>
      <x:c r="BV138" s="172" t="n">
        <x:f>IF(BM138="","",IF(BU138="","",IFERROR(BP138/BU138-1,0)))</x:f>
        <x:v>-0.004869141813755307</x:v>
      </x:c>
      <x:c r="BW138" s="166" t="n">
        <x:v>0.0712</x:v>
      </x:c>
      <x:c r="BX138" s="172" t="n">
        <x:f>IF(BM138="","",IF(BW138="","",BW138-BV138*365/BY138))</x:f>
        <x:v>0.09896932440657323</x:v>
      </x:c>
      <x:c r="BY138" s="164" t="n">
        <x:v>64</x:v>
      </x:c>
      <x:c r="BZ138" s="172" t="n">
        <x:f>IF(BM138="","",IFERROR(BR138*(BQ138/BP138-1),0))</x:f>
        <x:v>0.004842535750780196</x:v>
      </x:c>
      <x:c r="CA138" s="147"/>
      <x:c r="CB138" s="147"/>
      <x:c r="CC138" s="147"/>
      <x:c r="CD138" s="167"/>
      <x:c r="CE138" s="167"/>
      <x:c r="CF138" s="166"/>
      <x:c r="CG138" s="171" t="str">
        <x:f>IF(CA138="","",IFERROR(F138*CF138/CD138,0))</x:f>
      </x:c>
      <x:c r="CH138" s="171" t="str">
        <x:f>IF(CA138="","",F138*ABS(CF138))</x:f>
      </x:c>
      <x:c r="CI138" s="165"/>
      <x:c r="CJ138" s="172" t="str">
        <x:f>IF(CA138="","",IF(CI138="","",IFERROR(CD138/CI138-1,0)))</x:f>
      </x:c>
      <x:c r="CK138" s="166"/>
      <x:c r="CL138" s="172" t="str">
        <x:f>IF(CA138="","",IF(CK138="","",CK138-CJ138*365/CM138))</x:f>
      </x:c>
      <x:c r="CM138" s="164"/>
      <x:c r="CN138" s="172" t="str">
        <x:f>IF(CA138="","",IFERROR(CF138*(CE138/CD138-1),0))</x:f>
      </x:c>
      <x:c r="CO138" s="147"/>
      <x:c r="CP138" s="147"/>
      <x:c r="CQ138" s="147"/>
      <x:c r="CR138" s="167"/>
      <x:c r="CS138" s="167"/>
      <x:c r="CT138" s="166"/>
      <x:c r="CU138" s="171" t="str">
        <x:f>IF(CO138="","",IFERROR(F138*CT138/CR138,0))</x:f>
      </x:c>
      <x:c r="CV138" s="171" t="str">
        <x:f>IF(CO138="","",F138*ABS(CT138))</x:f>
      </x:c>
      <x:c r="CW138" s="165"/>
      <x:c r="CX138" s="172" t="str">
        <x:f>IF(CO138="","",IF(CW138="","",IFERROR(CR138/CW138-1,0)))</x:f>
      </x:c>
      <x:c r="CY138" s="166"/>
      <x:c r="CZ138" s="172" t="str">
        <x:f>IF(CO138="","",IF(CY138="","",CY138-CX138*365/DA138))</x:f>
      </x:c>
      <x:c r="DA138" s="164"/>
      <x:c r="DB138" s="172" t="str">
        <x:f>IF(CO138="","",IFERROR(CT138*(CS138/CR138-1),0))</x:f>
      </x:c>
      <x:c r="DC138" s="147"/>
      <x:c r="DD138" s="147"/>
      <x:c r="DE138" s="147"/>
      <x:c r="DF138" s="167"/>
      <x:c r="DG138" s="167"/>
      <x:c r="DH138" s="166"/>
      <x:c r="DI138" s="171" t="str">
        <x:f>IF(DC138="","",IFERROR(F138*DH138/DF138,0))</x:f>
      </x:c>
      <x:c r="DJ138" s="171" t="str">
        <x:f>IF(DC138="","",F138*ABS(DH138))</x:f>
      </x:c>
      <x:c r="DK138" s="165"/>
      <x:c r="DL138" s="172" t="str">
        <x:f>IF(DC138="","",IF(DK138="","",IFERROR(DF138/DK138-1,0)))</x:f>
      </x:c>
      <x:c r="DM138" s="166"/>
      <x:c r="DN138" s="172" t="str">
        <x:f>IF(DC138="","",IF(DM138="","",DM138-DL138*365/DO138))</x:f>
      </x:c>
      <x:c r="DO138" s="164"/>
      <x:c r="DP138" s="172" t="str">
        <x:f>IF(DC138="","",IFERROR(DH138*(DG138/DF138-1),0))</x:f>
      </x:c>
      <x:c r="DQ138" s="147"/>
      <x:c r="DR138" s="147"/>
      <x:c r="DS138" s="147"/>
      <x:c r="DT138" s="167"/>
      <x:c r="DU138" s="167"/>
      <x:c r="DV138" s="166"/>
      <x:c r="DW138" s="171" t="str">
        <x:f>IF(DQ138="","",IFERROR(F138*DV138/DT138,0))</x:f>
      </x:c>
      <x:c r="DX138" s="171" t="str">
        <x:f>IF(DQ138="","",F138*ABS(DV138))</x:f>
      </x:c>
      <x:c r="DY138" s="165"/>
      <x:c r="DZ138" s="172" t="str">
        <x:f>IF(DQ138="","",IF(DY138="","",IFERROR(DT138/DY138-1,0)))</x:f>
      </x:c>
      <x:c r="EA138" s="166"/>
      <x:c r="EB138" s="172" t="str">
        <x:f>IF(DQ138="","",IF(EA138="","",EA138-DZ138*365/EC138))</x:f>
      </x:c>
      <x:c r="EC138" s="164"/>
      <x:c r="ED138" s="172" t="str">
        <x:f>IF(DQ138="","",IFERROR(DV138*(DU138/DT138-1),0))</x:f>
      </x:c>
      <x:c r="EE138" s="147"/>
      <x:c r="EF138" s="147"/>
      <x:c r="EG138" s="147"/>
      <x:c r="EH138" s="167"/>
      <x:c r="EI138" s="167"/>
      <x:c r="EJ138" s="166"/>
      <x:c r="EK138" s="171" t="str">
        <x:f>IF(EE138="","",IFERROR(F138*EJ138/EH138,0))</x:f>
      </x:c>
      <x:c r="EL138" s="171" t="str">
        <x:f>IF(EE138="","",F138*ABS(EJ138))</x:f>
      </x:c>
      <x:c r="EM138" s="165"/>
      <x:c r="EN138" s="172" t="str">
        <x:f>IF(EE138="","",IF(EM138="","",IFERROR(EH138/EM138-1,0)))</x:f>
      </x:c>
      <x:c r="EO138" s="166"/>
      <x:c r="EP138" s="172" t="str">
        <x:f>IF(EE138="","",IF(EO138="","",EO138-EN138*365/EQ138))</x:f>
      </x:c>
      <x:c r="EQ138" s="164"/>
      <x:c r="ER138" s="172" t="str">
        <x:f>IF(EE138="","",IFERROR(EJ138*(EI138/EH138-1),0))</x:f>
      </x:c>
      <x:c r="ES138" s="147"/>
      <x:c r="ET138" s="147"/>
      <x:c r="EU138" s="147"/>
      <x:c r="EV138" s="167"/>
      <x:c r="EW138" s="167"/>
      <x:c r="EX138" s="166"/>
      <x:c r="EY138" s="171" t="str">
        <x:f>IF(ES138="","",IFERROR(F138*EX138/EV138,0))</x:f>
      </x:c>
      <x:c r="EZ138" s="171" t="str">
        <x:f>IF(ES138="","",F138*ABS(EX138))</x:f>
      </x:c>
      <x:c r="FA138" s="165"/>
      <x:c r="FB138" s="172" t="str">
        <x:f>IF(ES138="","",IF(FA138="","",IFERROR(EV138/FA138-1,0)))</x:f>
      </x:c>
      <x:c r="FC138" s="166"/>
      <x:c r="FD138" s="172" t="str">
        <x:f>IF(ES138="","",IF(FC138="","",FC138-FB138*365/FE138))</x:f>
      </x:c>
      <x:c r="FE138" s="164"/>
      <x:c r="FF138" s="172" t="str">
        <x:f>IF(ES138="","",IFERROR(EX138*(EW138/EV138-1),0))</x:f>
      </x:c>
      <x:c r="FG138" s="147"/>
      <x:c r="FH138" s="147"/>
      <x:c r="FI138" s="147"/>
      <x:c r="FJ138" s="167"/>
      <x:c r="FK138" s="167"/>
      <x:c r="FL138" s="166"/>
      <x:c r="FM138" s="171" t="str">
        <x:f>IF(FG138="","",IFERROR(F138*FL138/FJ138,0))</x:f>
      </x:c>
      <x:c r="FN138" s="171" t="str">
        <x:f>IF(FG138="","",F138*ABS(FL138))</x:f>
      </x:c>
      <x:c r="FO138" s="165"/>
      <x:c r="FP138" s="172" t="str">
        <x:f>IF(FG138="","",IF(FO138="","",IFERROR(FJ138/FO138-1,0)))</x:f>
      </x:c>
      <x:c r="FQ138" s="166"/>
      <x:c r="FR138" s="172" t="str">
        <x:f>IF(FG138="","",IF(FQ138="","",FQ138-FP138*365/FS138))</x:f>
      </x:c>
      <x:c r="FS138" s="164"/>
      <x:c r="FT138" s="172" t="str">
        <x:f>IF(FG138="","",IFERROR(FL138*(FK138/FJ138-1),0))</x:f>
      </x:c>
    </x:row>
    <x:row r="139" ht="18" customHeight="1">
      <x:c r="A139" s="163" t="n">
        <x:v>25409</x:v>
      </x:c>
      <x:c r="B139" s="163" t="n">
        <x:v>25412</x:v>
      </x:c>
      <x:c r="C139" s="170" t="n">
        <x:f>B139-A139</x:f>
        <x:v>3</x:v>
      </x:c>
      <x:c r="D139" s="163" t="n">
        <x:v>25409</x:v>
      </x:c>
      <x:c r="E139" s="147" t="str">
        <x:v>positive</x:v>
      </x:c>
      <x:c r="F139" s="165" t="n">
        <x:v>1.4171350071166573</x:v>
      </x:c>
      <x:c r="G139" s="168" t="n">
        <x:v>-0.00660421306725734</x:v>
      </x:c>
      <x:c r="H139" s="172" t="n">
        <x:f>SUM(AX139,BL139,BZ139,CN139,DB139,DP139,ED139,ER139,FF139,FT139)</x:f>
        <x:v>-0.006604213067257366</x:v>
      </x:c>
      <x:c r="I139" s="174" t="n">
        <x:f>G139-H139</x:f>
        <x:v>2.6020852139652106e-17</x:v>
      </x:c>
      <x:c r="J139" s="171" t="n">
        <x:f>F139*(1+H139)</x:f>
        <x:v>1.4077759455845897</x:v>
      </x:c>
      <x:c r="K139" s="169" t="n">
        <x:v>1.4077759455845897</x:v>
      </x:c>
      <x:c r="L139" s="175" t="n">
        <x:f>K139-J139</x:f>
        <x:v>0</x:v>
      </x:c>
      <x:c r="M139" s="167" t="n">
        <x:v>1.645</x:v>
      </x:c>
      <x:c r="N139" s="167" t="n">
        <x:v>1.653</x:v>
      </x:c>
      <x:c r="O139" s="172" t="n">
        <x:f>IFERROR(N139/M139-1,0)</x:f>
        <x:v>0.004863221884498392</x:v>
      </x:c>
      <x:c r="P139" s="171" t="n">
        <x:f>IFERROR(AD139/AH139,0)</x:f>
        <x:v>1.686778324580191</x:v>
      </x:c>
      <x:c r="Q139" s="171" t="n">
        <x:f>IFERROR(AE139/AI139,0)</x:f>
        <x:v>1.6675289180003787</x:v>
      </x:c>
      <x:c r="R139" s="172" t="n">
        <x:f>IFERROR((Q139-P139)/(P139+S139),0)</x:f>
        <x:v>-0.011411936174009804</x:v>
      </x:c>
      <x:c r="S139" s="172" t="n">
        <x:f>IFERROR(AF139/AH139,0)</x:f>
        <x:v>0</x:v>
      </x:c>
      <x:c r="T139" s="172" t="n">
        <x:f>IFERROR(AG139/AI139,0)</x:f>
        <x:v>0</x:v>
      </x:c>
      <x:c r="U139" s="172" t="n">
        <x:f>IFERROR((T139-S139)/(P139+S139),0)</x:f>
        <x:v>0</x:v>
      </x:c>
      <x:c r="V139" s="172" t="n">
        <x:f>R139+U139</x:f>
        <x:v>-0.011411936174009804</x:v>
      </x:c>
      <x:c r="W139" s="172" t="n">
        <x:f>(1+O139)*(1+V139)-1</x:f>
        <x:v>-0.006604213067257336</x:v>
      </x:c>
      <x:c r="X139" s="174" t="n">
        <x:f>G139-W139</x:f>
        <x:v>-3.469446951953614e-18</x:v>
      </x:c>
      <x:c r="Y139" s="172" t="n">
        <x:f>AX139</x:f>
        <x:v>0.0027682000227570963</x:v>
      </x:c>
      <x:c r="Z139" s="172" t="n">
        <x:f>BL139</x:f>
        <x:v>0.00025103869581795396</x:v>
      </x:c>
      <x:c r="AA139" s="172" t="n">
        <x:f>SUM(BZ139,CN139,DB139,DP139,ED139,ER139,FF139,FT139)</x:f>
        <x:v>-0.009623451785832416</x:v>
      </x:c>
      <x:c r="AB139" s="172" t="n">
        <x:f>SUM(Y139:AA139)</x:f>
        <x:v>-0.006604213067257366</x:v>
      </x:c>
      <x:c r="AC139" s="174" t="n">
        <x:f>G139-AB139</x:f>
        <x:v>2.6020852139652106e-17</x:v>
      </x:c>
      <x:c r="AD139" s="169" t="n">
        <x:v>1.417135007116657</x:v>
      </x:c>
      <x:c r="AE139" s="169" t="n">
        <x:v>1.4077759455845895</x:v>
      </x:c>
      <x:c r="AF139" s="169" t="n">
        <x:v>0</x:v>
      </x:c>
      <x:c r="AG139" s="169" t="n">
        <x:v>0</x:v>
      </x:c>
      <x:c r="AH139" s="171" t="n">
        <x:f>M139/$M$3</x:f>
        <x:v>0.8401430030643514</x:v>
      </x:c>
      <x:c r="AI139" s="171" t="n">
        <x:f>N139/$M$3</x:f>
        <x:v>0.8442288049029623</x:v>
      </x:c>
      <x:c r="AJ139" s="170" t="n">
        <x:f>IF(AK139&lt;&gt;"",1,0)+IF(AY139&lt;&gt;"",1,0)+IF(BM139&lt;&gt;"",1,0)+IF(CA139&lt;&gt;"",1,0)+IF(CO139&lt;&gt;"",1,0)+IF(DC139&lt;&gt;"",1,0)+IF(DQ139&lt;&gt;"",1,0)+IF(EE139&lt;&gt;"",1,0)+IF(ES139&lt;&gt;"",1,0)+IF(FG139&lt;&gt;"",1,0)</x:f>
        <x:v>3</x:v>
      </x:c>
      <x:c r="AK139" s="147" t="str">
        <x:v>Silver replicating holding (LBMA/SLV proxy)</x:v>
      </x:c>
      <x:c r="AL139" s="147" t="str">
        <x:v>Physical-backed proxy</x:v>
      </x:c>
      <x:c r="AM139" s="147" t="str">
        <x:v>Long</x:v>
      </x:c>
      <x:c r="AN139" s="167" t="n">
        <x:v>1.645</x:v>
      </x:c>
      <x:c r="AO139" s="167" t="n">
        <x:v>1.653</x:v>
      </x:c>
      <x:c r="AP139" s="166" t="n">
        <x:v>0.5716263488847002</x:v>
      </x:c>
      <x:c r="AQ139" s="171" t="n">
        <x:f>IF(AK139="","",IFERROR(F139*AP139/AN139,0))</x:f>
        <x:v>0.4924448085074702</x:v>
      </x:c>
      <x:c r="AR139" s="171" t="n">
        <x:f>IF(AK139="","",F139*ABS(AP139))</x:f>
        <x:v>0.8100717099947885</x:v>
      </x:c>
      <x:c r="AS139" s="165"/>
      <x:c r="AT139" s="172" t="str">
        <x:f>IF(AK139="","",IF(AS139="","",IFERROR(AN139/AS139-1,0)))</x:f>
      </x:c>
      <x:c r="AU139" s="166"/>
      <x:c r="AV139" s="172" t="str">
        <x:f>IF(AK139="","",IF(AU139="","",AU139-AT139*365/AW139))</x:f>
      </x:c>
      <x:c r="AW139" s="164"/>
      <x:c r="AX139" s="173" t="n">
        <x:f>IF(AK139="","",IFERROR(AP139*(AO139/AN139-1-'Parameters'!$C$6*C139/365),0))</x:f>
        <x:v>0.0027682000227570963</x:v>
      </x:c>
      <x:c r="AY139" s="147" t="str">
        <x:v>Matched-maturity Treasury collateral</x:v>
      </x:c>
      <x:c r="AZ139" s="147" t="str">
        <x:v>Treasury</x:v>
      </x:c>
      <x:c r="BA139" s="147" t="str">
        <x:v>Long</x:v>
      </x:c>
      <x:c r="BB139" s="167" t="n">
        <x:v>103.54667216730576</x:v>
      </x:c>
      <x:c r="BC139" s="167" t="n">
        <x:v>103.60735335409092</x:v>
      </x:c>
      <x:c r="BD139" s="166" t="n">
        <x:v>0.4283736511152998</x:v>
      </x:c>
      <x:c r="BE139" s="171" t="n">
        <x:f>IF(AY139="","",IFERROR(F139*BD139/BB139,0))</x:f>
        <x:v>0.0058627021459560285</x:v>
      </x:c>
      <x:c r="BF139" s="171" t="n">
        <x:f>IF(AY139="","",F139*ABS(BD139))</x:f>
        <x:v>0.6070632971218688</x:v>
      </x:c>
      <x:c r="BG139" s="165"/>
      <x:c r="BH139" s="172" t="str">
        <x:f>IF(AY139="","",IF(BG139="","",IFERROR(BB139/BG139-1,0)))</x:f>
      </x:c>
      <x:c r="BI139" s="166"/>
      <x:c r="BJ139" s="172" t="str">
        <x:f>IF(AY139="","",IF(BI139="","",BI139-BH139*365/BK139))</x:f>
      </x:c>
      <x:c r="BK139" s="164" t="n">
        <x:v>63</x:v>
      </x:c>
      <x:c r="BL139" s="172" t="n">
        <x:f>IF(AY139="","",IFERROR(BD139*(BC139/BB139-1),0))</x:f>
        <x:v>0.00025103869581795396</x:v>
      </x:c>
      <x:c r="BM139" s="147" t="str">
        <x:v>SI69U</x:v>
      </x:c>
      <x:c r="BN139" s="147" t="str">
        <x:v>Silver future (regular)</x:v>
      </x:c>
      <x:c r="BO139" s="147" t="str">
        <x:v>Long</x:v>
      </x:c>
      <x:c r="BP139" s="167" t="n">
        <x:v>1.6469999999999998</x:v>
      </x:c>
      <x:c r="BQ139" s="167" t="n">
        <x:v>1.61</x:v>
      </x:c>
      <x:c r="BR139" s="166" t="n">
        <x:v>0.42837365111529985</x:v>
      </x:c>
      <x:c r="BS139" s="171" t="n">
        <x:f>IF(BM139="","",IFERROR(F139*BR139/BP139,0))</x:f>
        <x:v>0.3685873085135816</x:v>
      </x:c>
      <x:c r="BT139" s="171" t="n">
        <x:f>IF(BM139="","",F139*ABS(BR139))</x:f>
        <x:v>0.6070632971218689</x:v>
      </x:c>
      <x:c r="BU139" s="165" t="n">
        <x:v>1.645</x:v>
      </x:c>
      <x:c r="BV139" s="172" t="n">
        <x:f>IF(BM139="","",IF(BU139="","",IFERROR(BP139/BU139-1,0)))</x:f>
        <x:v>0.0012158054711244315</x:v>
      </x:c>
      <x:c r="BW139" s="166" t="n">
        <x:v>0.0713</x:v>
      </x:c>
      <x:c r="BX139" s="172" t="n">
        <x:f>IF(BM139="","",IF(BW139="","",BW139-BV139*365/BY139))</x:f>
        <x:v>0.06425604766729497</x:v>
      </x:c>
      <x:c r="BY139" s="164" t="n">
        <x:v>63</x:v>
      </x:c>
      <x:c r="BZ139" s="172" t="n">
        <x:f>IF(BM139="","",IFERROR(BR139*(BQ139/BP139-1),0))</x:f>
        <x:v>-0.009623451785832416</x:v>
      </x:c>
      <x:c r="CA139" s="147"/>
      <x:c r="CB139" s="147"/>
      <x:c r="CC139" s="147"/>
      <x:c r="CD139" s="167"/>
      <x:c r="CE139" s="167"/>
      <x:c r="CF139" s="166"/>
      <x:c r="CG139" s="171" t="str">
        <x:f>IF(CA139="","",IFERROR(F139*CF139/CD139,0))</x:f>
      </x:c>
      <x:c r="CH139" s="171" t="str">
        <x:f>IF(CA139="","",F139*ABS(CF139))</x:f>
      </x:c>
      <x:c r="CI139" s="165"/>
      <x:c r="CJ139" s="172" t="str">
        <x:f>IF(CA139="","",IF(CI139="","",IFERROR(CD139/CI139-1,0)))</x:f>
      </x:c>
      <x:c r="CK139" s="166"/>
      <x:c r="CL139" s="172" t="str">
        <x:f>IF(CA139="","",IF(CK139="","",CK139-CJ139*365/CM139))</x:f>
      </x:c>
      <x:c r="CM139" s="164"/>
      <x:c r="CN139" s="172" t="str">
        <x:f>IF(CA139="","",IFERROR(CF139*(CE139/CD139-1),0))</x:f>
      </x:c>
      <x:c r="CO139" s="147"/>
      <x:c r="CP139" s="147"/>
      <x:c r="CQ139" s="147"/>
      <x:c r="CR139" s="167"/>
      <x:c r="CS139" s="167"/>
      <x:c r="CT139" s="166"/>
      <x:c r="CU139" s="171" t="str">
        <x:f>IF(CO139="","",IFERROR(F139*CT139/CR139,0))</x:f>
      </x:c>
      <x:c r="CV139" s="171" t="str">
        <x:f>IF(CO139="","",F139*ABS(CT139))</x:f>
      </x:c>
      <x:c r="CW139" s="165"/>
      <x:c r="CX139" s="172" t="str">
        <x:f>IF(CO139="","",IF(CW139="","",IFERROR(CR139/CW139-1,0)))</x:f>
      </x:c>
      <x:c r="CY139" s="166"/>
      <x:c r="CZ139" s="172" t="str">
        <x:f>IF(CO139="","",IF(CY139="","",CY139-CX139*365/DA139))</x:f>
      </x:c>
      <x:c r="DA139" s="164"/>
      <x:c r="DB139" s="172" t="str">
        <x:f>IF(CO139="","",IFERROR(CT139*(CS139/CR139-1),0))</x:f>
      </x:c>
      <x:c r="DC139" s="147"/>
      <x:c r="DD139" s="147"/>
      <x:c r="DE139" s="147"/>
      <x:c r="DF139" s="167"/>
      <x:c r="DG139" s="167"/>
      <x:c r="DH139" s="166"/>
      <x:c r="DI139" s="171" t="str">
        <x:f>IF(DC139="","",IFERROR(F139*DH139/DF139,0))</x:f>
      </x:c>
      <x:c r="DJ139" s="171" t="str">
        <x:f>IF(DC139="","",F139*ABS(DH139))</x:f>
      </x:c>
      <x:c r="DK139" s="165"/>
      <x:c r="DL139" s="172" t="str">
        <x:f>IF(DC139="","",IF(DK139="","",IFERROR(DF139/DK139-1,0)))</x:f>
      </x:c>
      <x:c r="DM139" s="166"/>
      <x:c r="DN139" s="172" t="str">
        <x:f>IF(DC139="","",IF(DM139="","",DM139-DL139*365/DO139))</x:f>
      </x:c>
      <x:c r="DO139" s="164"/>
      <x:c r="DP139" s="172" t="str">
        <x:f>IF(DC139="","",IFERROR(DH139*(DG139/DF139-1),0))</x:f>
      </x:c>
      <x:c r="DQ139" s="147"/>
      <x:c r="DR139" s="147"/>
      <x:c r="DS139" s="147"/>
      <x:c r="DT139" s="167"/>
      <x:c r="DU139" s="167"/>
      <x:c r="DV139" s="166"/>
      <x:c r="DW139" s="171" t="str">
        <x:f>IF(DQ139="","",IFERROR(F139*DV139/DT139,0))</x:f>
      </x:c>
      <x:c r="DX139" s="171" t="str">
        <x:f>IF(DQ139="","",F139*ABS(DV139))</x:f>
      </x:c>
      <x:c r="DY139" s="165"/>
      <x:c r="DZ139" s="172" t="str">
        <x:f>IF(DQ139="","",IF(DY139="","",IFERROR(DT139/DY139-1,0)))</x:f>
      </x:c>
      <x:c r="EA139" s="166"/>
      <x:c r="EB139" s="172" t="str">
        <x:f>IF(DQ139="","",IF(EA139="","",EA139-DZ139*365/EC139))</x:f>
      </x:c>
      <x:c r="EC139" s="164"/>
      <x:c r="ED139" s="172" t="str">
        <x:f>IF(DQ139="","",IFERROR(DV139*(DU139/DT139-1),0))</x:f>
      </x:c>
      <x:c r="EE139" s="147"/>
      <x:c r="EF139" s="147"/>
      <x:c r="EG139" s="147"/>
      <x:c r="EH139" s="167"/>
      <x:c r="EI139" s="167"/>
      <x:c r="EJ139" s="166"/>
      <x:c r="EK139" s="171" t="str">
        <x:f>IF(EE139="","",IFERROR(F139*EJ139/EH139,0))</x:f>
      </x:c>
      <x:c r="EL139" s="171" t="str">
        <x:f>IF(EE139="","",F139*ABS(EJ139))</x:f>
      </x:c>
      <x:c r="EM139" s="165"/>
      <x:c r="EN139" s="172" t="str">
        <x:f>IF(EE139="","",IF(EM139="","",IFERROR(EH139/EM139-1,0)))</x:f>
      </x:c>
      <x:c r="EO139" s="166"/>
      <x:c r="EP139" s="172" t="str">
        <x:f>IF(EE139="","",IF(EO139="","",EO139-EN139*365/EQ139))</x:f>
      </x:c>
      <x:c r="EQ139" s="164"/>
      <x:c r="ER139" s="172" t="str">
        <x:f>IF(EE139="","",IFERROR(EJ139*(EI139/EH139-1),0))</x:f>
      </x:c>
      <x:c r="ES139" s="147"/>
      <x:c r="ET139" s="147"/>
      <x:c r="EU139" s="147"/>
      <x:c r="EV139" s="167"/>
      <x:c r="EW139" s="167"/>
      <x:c r="EX139" s="166"/>
      <x:c r="EY139" s="171" t="str">
        <x:f>IF(ES139="","",IFERROR(F139*EX139/EV139,0))</x:f>
      </x:c>
      <x:c r="EZ139" s="171" t="str">
        <x:f>IF(ES139="","",F139*ABS(EX139))</x:f>
      </x:c>
      <x:c r="FA139" s="165"/>
      <x:c r="FB139" s="172" t="str">
        <x:f>IF(ES139="","",IF(FA139="","",IFERROR(EV139/FA139-1,0)))</x:f>
      </x:c>
      <x:c r="FC139" s="166"/>
      <x:c r="FD139" s="172" t="str">
        <x:f>IF(ES139="","",IF(FC139="","",FC139-FB139*365/FE139))</x:f>
      </x:c>
      <x:c r="FE139" s="164"/>
      <x:c r="FF139" s="172" t="str">
        <x:f>IF(ES139="","",IFERROR(EX139*(EW139/EV139-1),0))</x:f>
      </x:c>
      <x:c r="FG139" s="147"/>
      <x:c r="FH139" s="147"/>
      <x:c r="FI139" s="147"/>
      <x:c r="FJ139" s="167"/>
      <x:c r="FK139" s="167"/>
      <x:c r="FL139" s="166"/>
      <x:c r="FM139" s="171" t="str">
        <x:f>IF(FG139="","",IFERROR(F139*FL139/FJ139,0))</x:f>
      </x:c>
      <x:c r="FN139" s="171" t="str">
        <x:f>IF(FG139="","",F139*ABS(FL139))</x:f>
      </x:c>
      <x:c r="FO139" s="165"/>
      <x:c r="FP139" s="172" t="str">
        <x:f>IF(FG139="","",IF(FO139="","",IFERROR(FJ139/FO139-1,0)))</x:f>
      </x:c>
      <x:c r="FQ139" s="166"/>
      <x:c r="FR139" s="172" t="str">
        <x:f>IF(FG139="","",IF(FQ139="","",FQ139-FP139*365/FS139))</x:f>
      </x:c>
      <x:c r="FS139" s="164"/>
      <x:c r="FT139" s="172" t="str">
        <x:f>IF(FG139="","",IFERROR(FL139*(FK139/FJ139-1),0))</x:f>
      </x:c>
    </x:row>
    <x:row r="140" ht="18" customHeight="1">
      <x:c r="A140" s="163" t="n">
        <x:v>25412</x:v>
      </x:c>
      <x:c r="B140" s="163" t="n">
        <x:v>25413</x:v>
      </x:c>
      <x:c r="C140" s="170" t="n">
        <x:f>B140-A140</x:f>
        <x:v>1</x:v>
      </x:c>
      <x:c r="D140" s="163" t="n">
        <x:v>25412</x:v>
      </x:c>
      <x:c r="E140" s="147" t="str">
        <x:v>positive</x:v>
      </x:c>
      <x:c r="F140" s="165" t="n">
        <x:v>1.4077759455845897</x:v>
      </x:c>
      <x:c r="G140" s="168" t="n">
        <x:v>-0.006016111631072929</x:v>
      </x:c>
      <x:c r="H140" s="172" t="n">
        <x:f>SUM(AX140,BL140,BZ140,CN140,DB140,DP140,ED140,ER140,FF140,FT140)</x:f>
        <x:v>-0.006016111631072962</x:v>
      </x:c>
      <x:c r="I140" s="174" t="n">
        <x:f>G140-H140</x:f>
        <x:v>3.2959746043559335e-17</x:v>
      </x:c>
      <x:c r="J140" s="171" t="n">
        <x:f>F140*(1+H140)</x:f>
        <x:v>1.3993066083444134</x:v>
      </x:c>
      <x:c r="K140" s="169" t="n">
        <x:v>1.3993066083444134</x:v>
      </x:c>
      <x:c r="L140" s="175" t="n">
        <x:f>K140-J140</x:f>
        <x:v>0</x:v>
      </x:c>
      <x:c r="M140" s="167" t="n">
        <x:v>1.653</x:v>
      </x:c>
      <x:c r="N140" s="167" t="n">
        <x:v>1.621</x:v>
      </x:c>
      <x:c r="O140" s="172" t="n">
        <x:f>IFERROR(N140/M140-1,0)</x:f>
        <x:v>-0.019358741681790748</x:v>
      </x:c>
      <x:c r="P140" s="171" t="n">
        <x:f>IFERROR(AD140/AH140,0)</x:f>
        <x:v>1.6675289180003787</x:v>
      </x:c>
      <x:c r="Q140" s="171" t="n">
        <x:f>IFERROR(AE140/AI140,0)</x:f>
        <x:v>1.6902173591229868</x:v>
      </x:c>
      <x:c r="R140" s="172" t="n">
        <x:f>IFERROR((Q140-P140)/(P140+S140),0)</x:f>
        <x:v>0.013606025585340334</x:v>
      </x:c>
      <x:c r="S140" s="172" t="n">
        <x:f>IFERROR(AF140/AH140,0)</x:f>
        <x:v>0</x:v>
      </x:c>
      <x:c r="T140" s="172" t="n">
        <x:f>IFERROR(AG140/AI140,0)</x:f>
        <x:v>0</x:v>
      </x:c>
      <x:c r="U140" s="172" t="n">
        <x:f>IFERROR((T140-S140)/(P140+S140),0)</x:f>
        <x:v>0</x:v>
      </x:c>
      <x:c r="V140" s="172" t="n">
        <x:f>R140+U140</x:f>
        <x:v>0.013606025585340334</x:v>
      </x:c>
      <x:c r="W140" s="172" t="n">
        <x:f>(1+O140)*(1+V140)-1</x:f>
        <x:v>-0.006016111631072851</x:v>
      </x:c>
      <x:c r="X140" s="174" t="n">
        <x:f>G140-W140</x:f>
        <x:v>-7.806255641895632e-17</x:v>
      </x:c>
      <x:c r="Y140" s="172" t="str">
        <x:f>AX140</x:f>
      </x:c>
      <x:c r="Z140" s="172" t="n">
        <x:f>BL140</x:f>
        <x:v>0.0001950684931506519</x:v>
      </x:c>
      <x:c r="AA140" s="172" t="n">
        <x:f>SUM(BZ140,CN140,DB140,DP140,ED140,ER140,FF140,FT140)</x:f>
        <x:v>-0.006211180124223614</x:v>
      </x:c>
      <x:c r="AB140" s="172" t="n">
        <x:f>SUM(Y140:AA140)</x:f>
        <x:v>-0.006016111631072962</x:v>
      </x:c>
      <x:c r="AC140" s="174" t="n">
        <x:f>G140-AB140</x:f>
        <x:v>3.2959746043559335e-17</x:v>
      </x:c>
      <x:c r="AD140" s="169" t="n">
        <x:v>1.4077759455845895</x:v>
      </x:c>
      <x:c r="AE140" s="169" t="n">
        <x:v>1.3993066083444134</x:v>
      </x:c>
      <x:c r="AF140" s="169" t="n">
        <x:v>0</x:v>
      </x:c>
      <x:c r="AG140" s="169" t="n">
        <x:v>0</x:v>
      </x:c>
      <x:c r="AH140" s="171" t="n">
        <x:f>M140/$M$3</x:f>
        <x:v>0.8442288049029623</x:v>
      </x:c>
      <x:c r="AI140" s="171" t="n">
        <x:f>N140/$M$3</x:f>
        <x:v>0.8278855975485189</x:v>
      </x:c>
      <x:c r="AJ140" s="170" t="n">
        <x:f>IF(AK140&lt;&gt;"",1,0)+IF(AY140&lt;&gt;"",1,0)+IF(BM140&lt;&gt;"",1,0)+IF(CA140&lt;&gt;"",1,0)+IF(CO140&lt;&gt;"",1,0)+IF(DC140&lt;&gt;"",1,0)+IF(DQ140&lt;&gt;"",1,0)+IF(EE140&lt;&gt;"",1,0)+IF(ES140&lt;&gt;"",1,0)+IF(FG140&lt;&gt;"",1,0)</x:f>
        <x:v>2</x:v>
      </x:c>
      <x:c r="AK140" s="147"/>
      <x:c r="AL140" s="147"/>
      <x:c r="AM140" s="147"/>
      <x:c r="AN140" s="167"/>
      <x:c r="AO140" s="167"/>
      <x:c r="AP140" s="166"/>
      <x:c r="AQ140" s="171" t="str">
        <x:f>IF(AK140="","",IFERROR(F140*AP140/AN140,0))</x:f>
      </x:c>
      <x:c r="AR140" s="171" t="str">
        <x:f>IF(AK140="","",F140*ABS(AP140))</x:f>
      </x:c>
      <x:c r="AS140" s="165"/>
      <x:c r="AT140" s="172" t="str">
        <x:f>IF(AK140="","",IF(AS140="","",IFERROR(AN140/AS140-1,0)))</x:f>
      </x:c>
      <x:c r="AU140" s="166"/>
      <x:c r="AV140" s="172" t="str">
        <x:f>IF(AK140="","",IF(AU140="","",AU140-AT140*365/AW140))</x:f>
      </x:c>
      <x:c r="AW140" s="164"/>
      <x:c r="AX140" s="173" t="str">
        <x:f>IF(AK140="","",IFERROR(AP140*(AO140/AN140-1),0))</x:f>
      </x:c>
      <x:c r="AY140" s="147" t="str">
        <x:v>Matched-maturity Treasury collateral</x:v>
      </x:c>
      <x:c r="AZ140" s="147" t="str">
        <x:v>Treasury</x:v>
      </x:c>
      <x:c r="BA140" s="147" t="str">
        <x:v>Long</x:v>
      </x:c>
      <x:c r="BB140" s="167" t="n">
        <x:v>103.60735335409092</x:v>
      </x:c>
      <x:c r="BC140" s="167" t="n">
        <x:v>103.62756388438903</x:v>
      </x:c>
      <x:c r="BD140" s="166" t="n">
        <x:v>1</x:v>
      </x:c>
      <x:c r="BE140" s="171" t="n">
        <x:f>IF(AY140="","",IFERROR(F140*BD140/BB140,0))</x:f>
        <x:v>0.013587606477827318</x:v>
      </x:c>
      <x:c r="BF140" s="171" t="n">
        <x:f>IF(AY140="","",F140*ABS(BD140))</x:f>
        <x:v>1.4077759455845897</x:v>
      </x:c>
      <x:c r="BG140" s="165"/>
      <x:c r="BH140" s="172" t="str">
        <x:f>IF(AY140="","",IF(BG140="","",IFERROR(BB140/BG140-1,0)))</x:f>
      </x:c>
      <x:c r="BI140" s="166"/>
      <x:c r="BJ140" s="172" t="str">
        <x:f>IF(AY140="","",IF(BI140="","",BI140-BH140*365/BK140))</x:f>
      </x:c>
      <x:c r="BK140" s="164" t="n">
        <x:v>60</x:v>
      </x:c>
      <x:c r="BL140" s="172" t="n">
        <x:f>IF(AY140="","",IFERROR(BD140*(BC140/BB140-1),0))</x:f>
        <x:v>0.0001950684931506519</x:v>
      </x:c>
      <x:c r="BM140" s="147" t="str">
        <x:v>SI69U</x:v>
      </x:c>
      <x:c r="BN140" s="147" t="str">
        <x:v>Silver future (regular)</x:v>
      </x:c>
      <x:c r="BO140" s="147" t="str">
        <x:v>Long</x:v>
      </x:c>
      <x:c r="BP140" s="167" t="n">
        <x:v>1.61</x:v>
      </x:c>
      <x:c r="BQ140" s="167" t="n">
        <x:v>1.6</x:v>
      </x:c>
      <x:c r="BR140" s="166" t="n">
        <x:v>1</x:v>
      </x:c>
      <x:c r="BS140" s="171" t="n">
        <x:f>IF(BM140="","",IFERROR(F140*BR140/BP140,0))</x:f>
        <x:v>0.8743949972575091</x:v>
      </x:c>
      <x:c r="BT140" s="171" t="n">
        <x:f>IF(BM140="","",F140*ABS(BR140))</x:f>
        <x:v>1.4077759455845897</x:v>
      </x:c>
      <x:c r="BU140" s="165" t="n">
        <x:v>1.653</x:v>
      </x:c>
      <x:c r="BV140" s="172" t="n">
        <x:f>IF(BM140="","",IF(BU140="","",IFERROR(BP140/BU140-1,0)))</x:f>
        <x:v>-0.026013309134906182</x:v>
      </x:c>
      <x:c r="BW140" s="166" t="n">
        <x:v>0.0712</x:v>
      </x:c>
      <x:c r="BX140" s="172" t="n">
        <x:f>IF(BM140="","",IF(BW140="","",BW140-BV140*365/BY140))</x:f>
        <x:v>0.2294476305706793</x:v>
      </x:c>
      <x:c r="BY140" s="164" t="n">
        <x:v>60</x:v>
      </x:c>
      <x:c r="BZ140" s="172" t="n">
        <x:f>IF(BM140="","",IFERROR(BR140*(BQ140/BP140-1),0))</x:f>
        <x:v>-0.006211180124223614</x:v>
      </x:c>
      <x:c r="CA140" s="147"/>
      <x:c r="CB140" s="147"/>
      <x:c r="CC140" s="147"/>
      <x:c r="CD140" s="167"/>
      <x:c r="CE140" s="167"/>
      <x:c r="CF140" s="166"/>
      <x:c r="CG140" s="171" t="str">
        <x:f>IF(CA140="","",IFERROR(F140*CF140/CD140,0))</x:f>
      </x:c>
      <x:c r="CH140" s="171" t="str">
        <x:f>IF(CA140="","",F140*ABS(CF140))</x:f>
      </x:c>
      <x:c r="CI140" s="165"/>
      <x:c r="CJ140" s="172" t="str">
        <x:f>IF(CA140="","",IF(CI140="","",IFERROR(CD140/CI140-1,0)))</x:f>
      </x:c>
      <x:c r="CK140" s="166"/>
      <x:c r="CL140" s="172" t="str">
        <x:f>IF(CA140="","",IF(CK140="","",CK140-CJ140*365/CM140))</x:f>
      </x:c>
      <x:c r="CM140" s="164"/>
      <x:c r="CN140" s="172" t="str">
        <x:f>IF(CA140="","",IFERROR(CF140*(CE140/CD140-1),0))</x:f>
      </x:c>
      <x:c r="CO140" s="147"/>
      <x:c r="CP140" s="147"/>
      <x:c r="CQ140" s="147"/>
      <x:c r="CR140" s="167"/>
      <x:c r="CS140" s="167"/>
      <x:c r="CT140" s="166"/>
      <x:c r="CU140" s="171" t="str">
        <x:f>IF(CO140="","",IFERROR(F140*CT140/CR140,0))</x:f>
      </x:c>
      <x:c r="CV140" s="171" t="str">
        <x:f>IF(CO140="","",F140*ABS(CT140))</x:f>
      </x:c>
      <x:c r="CW140" s="165"/>
      <x:c r="CX140" s="172" t="str">
        <x:f>IF(CO140="","",IF(CW140="","",IFERROR(CR140/CW140-1,0)))</x:f>
      </x:c>
      <x:c r="CY140" s="166"/>
      <x:c r="CZ140" s="172" t="str">
        <x:f>IF(CO140="","",IF(CY140="","",CY140-CX140*365/DA140))</x:f>
      </x:c>
      <x:c r="DA140" s="164"/>
      <x:c r="DB140" s="172" t="str">
        <x:f>IF(CO140="","",IFERROR(CT140*(CS140/CR140-1),0))</x:f>
      </x:c>
      <x:c r="DC140" s="147"/>
      <x:c r="DD140" s="147"/>
      <x:c r="DE140" s="147"/>
      <x:c r="DF140" s="167"/>
      <x:c r="DG140" s="167"/>
      <x:c r="DH140" s="166"/>
      <x:c r="DI140" s="171" t="str">
        <x:f>IF(DC140="","",IFERROR(F140*DH140/DF140,0))</x:f>
      </x:c>
      <x:c r="DJ140" s="171" t="str">
        <x:f>IF(DC140="","",F140*ABS(DH140))</x:f>
      </x:c>
      <x:c r="DK140" s="165"/>
      <x:c r="DL140" s="172" t="str">
        <x:f>IF(DC140="","",IF(DK140="","",IFERROR(DF140/DK140-1,0)))</x:f>
      </x:c>
      <x:c r="DM140" s="166"/>
      <x:c r="DN140" s="172" t="str">
        <x:f>IF(DC140="","",IF(DM140="","",DM140-DL140*365/DO140))</x:f>
      </x:c>
      <x:c r="DO140" s="164"/>
      <x:c r="DP140" s="172" t="str">
        <x:f>IF(DC140="","",IFERROR(DH140*(DG140/DF140-1),0))</x:f>
      </x:c>
      <x:c r="DQ140" s="147"/>
      <x:c r="DR140" s="147"/>
      <x:c r="DS140" s="147"/>
      <x:c r="DT140" s="167"/>
      <x:c r="DU140" s="167"/>
      <x:c r="DV140" s="166"/>
      <x:c r="DW140" s="171" t="str">
        <x:f>IF(DQ140="","",IFERROR(F140*DV140/DT140,0))</x:f>
      </x:c>
      <x:c r="DX140" s="171" t="str">
        <x:f>IF(DQ140="","",F140*ABS(DV140))</x:f>
      </x:c>
      <x:c r="DY140" s="165"/>
      <x:c r="DZ140" s="172" t="str">
        <x:f>IF(DQ140="","",IF(DY140="","",IFERROR(DT140/DY140-1,0)))</x:f>
      </x:c>
      <x:c r="EA140" s="166"/>
      <x:c r="EB140" s="172" t="str">
        <x:f>IF(DQ140="","",IF(EA140="","",EA140-DZ140*365/EC140))</x:f>
      </x:c>
      <x:c r="EC140" s="164"/>
      <x:c r="ED140" s="172" t="str">
        <x:f>IF(DQ140="","",IFERROR(DV140*(DU140/DT140-1),0))</x:f>
      </x:c>
      <x:c r="EE140" s="147"/>
      <x:c r="EF140" s="147"/>
      <x:c r="EG140" s="147"/>
      <x:c r="EH140" s="167"/>
      <x:c r="EI140" s="167"/>
      <x:c r="EJ140" s="166"/>
      <x:c r="EK140" s="171" t="str">
        <x:f>IF(EE140="","",IFERROR(F140*EJ140/EH140,0))</x:f>
      </x:c>
      <x:c r="EL140" s="171" t="str">
        <x:f>IF(EE140="","",F140*ABS(EJ140))</x:f>
      </x:c>
      <x:c r="EM140" s="165"/>
      <x:c r="EN140" s="172" t="str">
        <x:f>IF(EE140="","",IF(EM140="","",IFERROR(EH140/EM140-1,0)))</x:f>
      </x:c>
      <x:c r="EO140" s="166"/>
      <x:c r="EP140" s="172" t="str">
        <x:f>IF(EE140="","",IF(EO140="","",EO140-EN140*365/EQ140))</x:f>
      </x:c>
      <x:c r="EQ140" s="164"/>
      <x:c r="ER140" s="172" t="str">
        <x:f>IF(EE140="","",IFERROR(EJ140*(EI140/EH140-1),0))</x:f>
      </x:c>
      <x:c r="ES140" s="147"/>
      <x:c r="ET140" s="147"/>
      <x:c r="EU140" s="147"/>
      <x:c r="EV140" s="167"/>
      <x:c r="EW140" s="167"/>
      <x:c r="EX140" s="166"/>
      <x:c r="EY140" s="171" t="str">
        <x:f>IF(ES140="","",IFERROR(F140*EX140/EV140,0))</x:f>
      </x:c>
      <x:c r="EZ140" s="171" t="str">
        <x:f>IF(ES140="","",F140*ABS(EX140))</x:f>
      </x:c>
      <x:c r="FA140" s="165"/>
      <x:c r="FB140" s="172" t="str">
        <x:f>IF(ES140="","",IF(FA140="","",IFERROR(EV140/FA140-1,0)))</x:f>
      </x:c>
      <x:c r="FC140" s="166"/>
      <x:c r="FD140" s="172" t="str">
        <x:f>IF(ES140="","",IF(FC140="","",FC140-FB140*365/FE140))</x:f>
      </x:c>
      <x:c r="FE140" s="164"/>
      <x:c r="FF140" s="172" t="str">
        <x:f>IF(ES140="","",IFERROR(EX140*(EW140/EV140-1),0))</x:f>
      </x:c>
      <x:c r="FG140" s="147"/>
      <x:c r="FH140" s="147"/>
      <x:c r="FI140" s="147"/>
      <x:c r="FJ140" s="167"/>
      <x:c r="FK140" s="167"/>
      <x:c r="FL140" s="166"/>
      <x:c r="FM140" s="171" t="str">
        <x:f>IF(FG140="","",IFERROR(F140*FL140/FJ140,0))</x:f>
      </x:c>
      <x:c r="FN140" s="171" t="str">
        <x:f>IF(FG140="","",F140*ABS(FL140))</x:f>
      </x:c>
      <x:c r="FO140" s="165"/>
      <x:c r="FP140" s="172" t="str">
        <x:f>IF(FG140="","",IF(FO140="","",IFERROR(FJ140/FO140-1,0)))</x:f>
      </x:c>
      <x:c r="FQ140" s="166"/>
      <x:c r="FR140" s="172" t="str">
        <x:f>IF(FG140="","",IF(FQ140="","",FQ140-FP140*365/FS140))</x:f>
      </x:c>
      <x:c r="FS140" s="164"/>
      <x:c r="FT140" s="172" t="str">
        <x:f>IF(FG140="","",IFERROR(FL140*(FK140/FJ140-1),0))</x:f>
      </x:c>
    </x:row>
    <x:row r="141" ht="18" customHeight="1">
      <x:c r="A141" s="163" t="n">
        <x:v>25413</x:v>
      </x:c>
      <x:c r="B141" s="163" t="n">
        <x:v>25414</x:v>
      </x:c>
      <x:c r="C141" s="170" t="n">
        <x:f>B141-A141</x:f>
        <x:v>1</x:v>
      </x:c>
      <x:c r="D141" s="163" t="n">
        <x:v>25413</x:v>
      </x:c>
      <x:c r="E141" s="147" t="str">
        <x:v>positive</x:v>
      </x:c>
      <x:c r="F141" s="165" t="n">
        <x:v>1.3993066083444134</x:v>
      </x:c>
      <x:c r="G141" s="168" t="n">
        <x:v>0.01269561643835612</x:v>
      </x:c>
      <x:c r="H141" s="172" t="n">
        <x:f>SUM(AX141,BL141,BZ141,CN141,DB141,DP141,ED141,ER141,FF141,FT141)</x:f>
        <x:v>0.012695616438356039</x:v>
      </x:c>
      <x:c r="I141" s="174" t="n">
        <x:f>G141-H141</x:f>
        <x:v>8.153200337090993e-17</x:v>
      </x:c>
      <x:c r="J141" s="171" t="n">
        <x:f>F141*(1+H141)</x:f>
        <x:v>1.417071668323611</x:v>
      </x:c>
      <x:c r="K141" s="169" t="n">
        <x:v>1.417071668323611</x:v>
      </x:c>
      <x:c r="L141" s="175" t="n">
        <x:f>K141-J141</x:f>
        <x:v>0</x:v>
      </x:c>
      <x:c r="M141" s="167" t="n">
        <x:v>1.621</x:v>
      </x:c>
      <x:c r="N141" s="167" t="n">
        <x:v>1.622</x:v>
      </x:c>
      <x:c r="O141" s="172" t="n">
        <x:f>IFERROR(N141/M141-1,0)</x:f>
        <x:v>0.0006169031462062158</x:v>
      </x:c>
      <x:c r="P141" s="171" t="n">
        <x:f>IFERROR(AD141/AH141,0)</x:f>
        <x:v>1.6902173591229868</x:v>
      </x:c>
      <x:c r="Q141" s="171" t="n">
        <x:f>IFERROR(AE141/AI141,0)</x:f>
        <x:v>1.710620423290771</x:v>
      </x:c>
      <x:c r="R141" s="172" t="n">
        <x:f>IFERROR((Q141-P141)/(P141+S141),0)</x:f>
        <x:v>0.012071266489873708</x:v>
      </x:c>
      <x:c r="S141" s="172" t="n">
        <x:f>IFERROR(AF141/AH141,0)</x:f>
        <x:v>0</x:v>
      </x:c>
      <x:c r="T141" s="172" t="n">
        <x:f>IFERROR(AG141/AI141,0)</x:f>
        <x:v>0</x:v>
      </x:c>
      <x:c r="U141" s="172" t="n">
        <x:f>IFERROR((T141-S141)/(P141+S141),0)</x:f>
        <x:v>0</x:v>
      </x:c>
      <x:c r="V141" s="172" t="n">
        <x:f>R141+U141</x:f>
        <x:v>0.012071266489873708</x:v>
      </x:c>
      <x:c r="W141" s="172" t="n">
        <x:f>(1+O141)*(1+V141)-1</x:f>
        <x:v>0.01269561643835626</x:v>
      </x:c>
      <x:c r="X141" s="174" t="n">
        <x:f>G141-W141</x:f>
        <x:v>-1.4051260155412137e-16</x:v>
      </x:c>
      <x:c r="Y141" s="172" t="str">
        <x:f>AX141</x:f>
      </x:c>
      <x:c r="Z141" s="172" t="n">
        <x:f>BL141</x:f>
        <x:v>0.00019561643835608322</x:v>
      </x:c>
      <x:c r="AA141" s="172" t="n">
        <x:f>SUM(BZ141,CN141,DB141,DP141,ED141,ER141,FF141,FT141)</x:f>
        <x:v>0.012499999999999956</x:v>
      </x:c>
      <x:c r="AB141" s="172" t="n">
        <x:f>SUM(Y141:AA141)</x:f>
        <x:v>0.012695616438356039</x:v>
      </x:c>
      <x:c r="AC141" s="174" t="n">
        <x:f>G141-AB141</x:f>
        <x:v>8.153200337090993e-17</x:v>
      </x:c>
      <x:c r="AD141" s="169" t="n">
        <x:v>1.3993066083444134</x:v>
      </x:c>
      <x:c r="AE141" s="169" t="n">
        <x:v>1.417071668323611</x:v>
      </x:c>
      <x:c r="AF141" s="169" t="n">
        <x:v>0</x:v>
      </x:c>
      <x:c r="AG141" s="169" t="n">
        <x:v>0</x:v>
      </x:c>
      <x:c r="AH141" s="171" t="n">
        <x:f>M141/$M$3</x:f>
        <x:v>0.8278855975485189</x:v>
      </x:c>
      <x:c r="AI141" s="171" t="n">
        <x:f>N141/$M$3</x:f>
        <x:v>0.8283963227783453</x:v>
      </x:c>
      <x:c r="AJ141" s="170" t="n">
        <x:f>IF(AK141&lt;&gt;"",1,0)+IF(AY141&lt;&gt;"",1,0)+IF(BM141&lt;&gt;"",1,0)+IF(CA141&lt;&gt;"",1,0)+IF(CO141&lt;&gt;"",1,0)+IF(DC141&lt;&gt;"",1,0)+IF(DQ141&lt;&gt;"",1,0)+IF(EE141&lt;&gt;"",1,0)+IF(ES141&lt;&gt;"",1,0)+IF(FG141&lt;&gt;"",1,0)</x:f>
        <x:v>2</x:v>
      </x:c>
      <x:c r="AK141" s="147"/>
      <x:c r="AL141" s="147"/>
      <x:c r="AM141" s="147"/>
      <x:c r="AN141" s="167"/>
      <x:c r="AO141" s="167"/>
      <x:c r="AP141" s="166"/>
      <x:c r="AQ141" s="171" t="str">
        <x:f>IF(AK141="","",IFERROR(F141*AP141/AN141,0))</x:f>
      </x:c>
      <x:c r="AR141" s="171" t="str">
        <x:f>IF(AK141="","",F141*ABS(AP141))</x:f>
      </x:c>
      <x:c r="AS141" s="165"/>
      <x:c r="AT141" s="172" t="str">
        <x:f>IF(AK141="","",IF(AS141="","",IFERROR(AN141/AS141-1,0)))</x:f>
      </x:c>
      <x:c r="AU141" s="166"/>
      <x:c r="AV141" s="172" t="str">
        <x:f>IF(AK141="","",IF(AU141="","",AU141-AT141*365/AW141))</x:f>
      </x:c>
      <x:c r="AW141" s="164"/>
      <x:c r="AX141" s="173" t="str">
        <x:f>IF(AK141="","",IFERROR(AP141*(AO141/AN141-1),0))</x:f>
      </x:c>
      <x:c r="AY141" s="147" t="str">
        <x:v>Matched-maturity Treasury collateral</x:v>
      </x:c>
      <x:c r="AZ141" s="147" t="str">
        <x:v>Treasury</x:v>
      </x:c>
      <x:c r="BA141" s="147" t="str">
        <x:v>Long</x:v>
      </x:c>
      <x:c r="BB141" s="167" t="n">
        <x:v>103.62756388438903</x:v>
      </x:c>
      <x:c r="BC141" s="167" t="n">
        <x:v>103.64783513935161</x:v>
      </x:c>
      <x:c r="BD141" s="166" t="n">
        <x:v>1</x:v>
      </x:c>
      <x:c r="BE141" s="171" t="n">
        <x:f>IF(AY141="","",IFERROR(F141*BD141/BB141,0))</x:f>
        <x:v>0.0135032278661451</x:v>
      </x:c>
      <x:c r="BF141" s="171" t="n">
        <x:f>IF(AY141="","",F141*ABS(BD141))</x:f>
        <x:v>1.3993066083444134</x:v>
      </x:c>
      <x:c r="BG141" s="165"/>
      <x:c r="BH141" s="172" t="str">
        <x:f>IF(AY141="","",IF(BG141="","",IFERROR(BB141/BG141-1,0)))</x:f>
      </x:c>
      <x:c r="BI141" s="166"/>
      <x:c r="BJ141" s="172" t="str">
        <x:f>IF(AY141="","",IF(BI141="","",BI141-BH141*365/BK141))</x:f>
      </x:c>
      <x:c r="BK141" s="164" t="n">
        <x:v>59</x:v>
      </x:c>
      <x:c r="BL141" s="172" t="n">
        <x:f>IF(AY141="","",IFERROR(BD141*(BC141/BB141-1),0))</x:f>
        <x:v>0.00019561643835608322</x:v>
      </x:c>
      <x:c r="BM141" s="147" t="str">
        <x:v>SI69U</x:v>
      </x:c>
      <x:c r="BN141" s="147" t="str">
        <x:v>Silver future (regular)</x:v>
      </x:c>
      <x:c r="BO141" s="147" t="str">
        <x:v>Long</x:v>
      </x:c>
      <x:c r="BP141" s="167" t="n">
        <x:v>1.6</x:v>
      </x:c>
      <x:c r="BQ141" s="167" t="n">
        <x:v>1.62</x:v>
      </x:c>
      <x:c r="BR141" s="166" t="n">
        <x:v>1</x:v>
      </x:c>
      <x:c r="BS141" s="171" t="n">
        <x:f>IF(BM141="","",IFERROR(F141*BR141/BP141,0))</x:f>
        <x:v>0.8745666302152584</x:v>
      </x:c>
      <x:c r="BT141" s="171" t="n">
        <x:f>IF(BM141="","",F141*ABS(BR141))</x:f>
        <x:v>1.3993066083444134</x:v>
      </x:c>
      <x:c r="BU141" s="165" t="n">
        <x:v>1.621</x:v>
      </x:c>
      <x:c r="BV141" s="172" t="n">
        <x:f>IF(BM141="","",IF(BU141="","",IFERROR(BP141/BU141-1,0)))</x:f>
        <x:v>-0.012954966070326868</x:v>
      </x:c>
      <x:c r="BW141" s="166" t="n">
        <x:v>0.07139999999999999</x:v>
      </x:c>
      <x:c r="BX141" s="172" t="n">
        <x:f>IF(BM141="","",IF(BW141="","",BW141-BV141*365/BY141))</x:f>
        <x:v>0.15154512907914078</x:v>
      </x:c>
      <x:c r="BY141" s="164" t="n">
        <x:v>59</x:v>
      </x:c>
      <x:c r="BZ141" s="172" t="n">
        <x:f>IF(BM141="","",IFERROR(BR141*(BQ141/BP141-1),0))</x:f>
        <x:v>0.012499999999999956</x:v>
      </x:c>
      <x:c r="CA141" s="147"/>
      <x:c r="CB141" s="147"/>
      <x:c r="CC141" s="147"/>
      <x:c r="CD141" s="167"/>
      <x:c r="CE141" s="167"/>
      <x:c r="CF141" s="166"/>
      <x:c r="CG141" s="171" t="str">
        <x:f>IF(CA141="","",IFERROR(F141*CF141/CD141,0))</x:f>
      </x:c>
      <x:c r="CH141" s="171" t="str">
        <x:f>IF(CA141="","",F141*ABS(CF141))</x:f>
      </x:c>
      <x:c r="CI141" s="165"/>
      <x:c r="CJ141" s="172" t="str">
        <x:f>IF(CA141="","",IF(CI141="","",IFERROR(CD141/CI141-1,0)))</x:f>
      </x:c>
      <x:c r="CK141" s="166"/>
      <x:c r="CL141" s="172" t="str">
        <x:f>IF(CA141="","",IF(CK141="","",CK141-CJ141*365/CM141))</x:f>
      </x:c>
      <x:c r="CM141" s="164"/>
      <x:c r="CN141" s="172" t="str">
        <x:f>IF(CA141="","",IFERROR(CF141*(CE141/CD141-1),0))</x:f>
      </x:c>
      <x:c r="CO141" s="147"/>
      <x:c r="CP141" s="147"/>
      <x:c r="CQ141" s="147"/>
      <x:c r="CR141" s="167"/>
      <x:c r="CS141" s="167"/>
      <x:c r="CT141" s="166"/>
      <x:c r="CU141" s="171" t="str">
        <x:f>IF(CO141="","",IFERROR(F141*CT141/CR141,0))</x:f>
      </x:c>
      <x:c r="CV141" s="171" t="str">
        <x:f>IF(CO141="","",F141*ABS(CT141))</x:f>
      </x:c>
      <x:c r="CW141" s="165"/>
      <x:c r="CX141" s="172" t="str">
        <x:f>IF(CO141="","",IF(CW141="","",IFERROR(CR141/CW141-1,0)))</x:f>
      </x:c>
      <x:c r="CY141" s="166"/>
      <x:c r="CZ141" s="172" t="str">
        <x:f>IF(CO141="","",IF(CY141="","",CY141-CX141*365/DA141))</x:f>
      </x:c>
      <x:c r="DA141" s="164"/>
      <x:c r="DB141" s="172" t="str">
        <x:f>IF(CO141="","",IFERROR(CT141*(CS141/CR141-1),0))</x:f>
      </x:c>
      <x:c r="DC141" s="147"/>
      <x:c r="DD141" s="147"/>
      <x:c r="DE141" s="147"/>
      <x:c r="DF141" s="167"/>
      <x:c r="DG141" s="167"/>
      <x:c r="DH141" s="166"/>
      <x:c r="DI141" s="171" t="str">
        <x:f>IF(DC141="","",IFERROR(F141*DH141/DF141,0))</x:f>
      </x:c>
      <x:c r="DJ141" s="171" t="str">
        <x:f>IF(DC141="","",F141*ABS(DH141))</x:f>
      </x:c>
      <x:c r="DK141" s="165"/>
      <x:c r="DL141" s="172" t="str">
        <x:f>IF(DC141="","",IF(DK141="","",IFERROR(DF141/DK141-1,0)))</x:f>
      </x:c>
      <x:c r="DM141" s="166"/>
      <x:c r="DN141" s="172" t="str">
        <x:f>IF(DC141="","",IF(DM141="","",DM141-DL141*365/DO141))</x:f>
      </x:c>
      <x:c r="DO141" s="164"/>
      <x:c r="DP141" s="172" t="str">
        <x:f>IF(DC141="","",IFERROR(DH141*(DG141/DF141-1),0))</x:f>
      </x:c>
      <x:c r="DQ141" s="147"/>
      <x:c r="DR141" s="147"/>
      <x:c r="DS141" s="147"/>
      <x:c r="DT141" s="167"/>
      <x:c r="DU141" s="167"/>
      <x:c r="DV141" s="166"/>
      <x:c r="DW141" s="171" t="str">
        <x:f>IF(DQ141="","",IFERROR(F141*DV141/DT141,0))</x:f>
      </x:c>
      <x:c r="DX141" s="171" t="str">
        <x:f>IF(DQ141="","",F141*ABS(DV141))</x:f>
      </x:c>
      <x:c r="DY141" s="165"/>
      <x:c r="DZ141" s="172" t="str">
        <x:f>IF(DQ141="","",IF(DY141="","",IFERROR(DT141/DY141-1,0)))</x:f>
      </x:c>
      <x:c r="EA141" s="166"/>
      <x:c r="EB141" s="172" t="str">
        <x:f>IF(DQ141="","",IF(EA141="","",EA141-DZ141*365/EC141))</x:f>
      </x:c>
      <x:c r="EC141" s="164"/>
      <x:c r="ED141" s="172" t="str">
        <x:f>IF(DQ141="","",IFERROR(DV141*(DU141/DT141-1),0))</x:f>
      </x:c>
      <x:c r="EE141" s="147"/>
      <x:c r="EF141" s="147"/>
      <x:c r="EG141" s="147"/>
      <x:c r="EH141" s="167"/>
      <x:c r="EI141" s="167"/>
      <x:c r="EJ141" s="166"/>
      <x:c r="EK141" s="171" t="str">
        <x:f>IF(EE141="","",IFERROR(F141*EJ141/EH141,0))</x:f>
      </x:c>
      <x:c r="EL141" s="171" t="str">
        <x:f>IF(EE141="","",F141*ABS(EJ141))</x:f>
      </x:c>
      <x:c r="EM141" s="165"/>
      <x:c r="EN141" s="172" t="str">
        <x:f>IF(EE141="","",IF(EM141="","",IFERROR(EH141/EM141-1,0)))</x:f>
      </x:c>
      <x:c r="EO141" s="166"/>
      <x:c r="EP141" s="172" t="str">
        <x:f>IF(EE141="","",IF(EO141="","",EO141-EN141*365/EQ141))</x:f>
      </x:c>
      <x:c r="EQ141" s="164"/>
      <x:c r="ER141" s="172" t="str">
        <x:f>IF(EE141="","",IFERROR(EJ141*(EI141/EH141-1),0))</x:f>
      </x:c>
      <x:c r="ES141" s="147"/>
      <x:c r="ET141" s="147"/>
      <x:c r="EU141" s="147"/>
      <x:c r="EV141" s="167"/>
      <x:c r="EW141" s="167"/>
      <x:c r="EX141" s="166"/>
      <x:c r="EY141" s="171" t="str">
        <x:f>IF(ES141="","",IFERROR(F141*EX141/EV141,0))</x:f>
      </x:c>
      <x:c r="EZ141" s="171" t="str">
        <x:f>IF(ES141="","",F141*ABS(EX141))</x:f>
      </x:c>
      <x:c r="FA141" s="165"/>
      <x:c r="FB141" s="172" t="str">
        <x:f>IF(ES141="","",IF(FA141="","",IFERROR(EV141/FA141-1,0)))</x:f>
      </x:c>
      <x:c r="FC141" s="166"/>
      <x:c r="FD141" s="172" t="str">
        <x:f>IF(ES141="","",IF(FC141="","",FC141-FB141*365/FE141))</x:f>
      </x:c>
      <x:c r="FE141" s="164"/>
      <x:c r="FF141" s="172" t="str">
        <x:f>IF(ES141="","",IFERROR(EX141*(EW141/EV141-1),0))</x:f>
      </x:c>
      <x:c r="FG141" s="147"/>
      <x:c r="FH141" s="147"/>
      <x:c r="FI141" s="147"/>
      <x:c r="FJ141" s="167"/>
      <x:c r="FK141" s="167"/>
      <x:c r="FL141" s="166"/>
      <x:c r="FM141" s="171" t="str">
        <x:f>IF(FG141="","",IFERROR(F141*FL141/FJ141,0))</x:f>
      </x:c>
      <x:c r="FN141" s="171" t="str">
        <x:f>IF(FG141="","",F141*ABS(FL141))</x:f>
      </x:c>
      <x:c r="FO141" s="165"/>
      <x:c r="FP141" s="172" t="str">
        <x:f>IF(FG141="","",IF(FO141="","",IFERROR(FJ141/FO141-1,0)))</x:f>
      </x:c>
      <x:c r="FQ141" s="166"/>
      <x:c r="FR141" s="172" t="str">
        <x:f>IF(FG141="","",IF(FQ141="","",FQ141-FP141*365/FS141))</x:f>
      </x:c>
      <x:c r="FS141" s="164"/>
      <x:c r="FT141" s="172" t="str">
        <x:f>IF(FG141="","",IFERROR(FL141*(FK141/FJ141-1),0))</x:f>
      </x:c>
    </x:row>
    <x:row r="142" ht="18" customHeight="1">
      <x:c r="A142" s="163" t="n">
        <x:v>25414</x:v>
      </x:c>
      <x:c r="B142" s="163" t="n">
        <x:v>25415</x:v>
      </x:c>
      <x:c r="C142" s="170" t="n">
        <x:f>B142-A142</x:f>
        <x:v>1</x:v>
      </x:c>
      <x:c r="D142" s="163" t="n">
        <x:v>25414</x:v>
      </x:c>
      <x:c r="E142" s="147" t="str">
        <x:v>positive</x:v>
      </x:c>
      <x:c r="F142" s="165" t="n">
        <x:v>1.417071668323611</x:v>
      </x:c>
      <x:c r="G142" s="168" t="n">
        <x:v>-0.0036955142713089484</x:v>
      </x:c>
      <x:c r="H142" s="172" t="n">
        <x:f>SUM(AX142,BL142,BZ142,CN142,DB142,DP142,ED142,ER142,FF142,FT142)</x:f>
        <x:v>-0.0036955142713090113</x:v>
      </x:c>
      <x:c r="I142" s="174" t="n">
        <x:f>G142-H142</x:f>
        <x:v>6.288372600415926e-17</x:v>
      </x:c>
      <x:c r="J142" s="171" t="n">
        <x:f>F142*(1+H142)</x:f>
        <x:v>1.4118348597498536</x:v>
      </x:c>
      <x:c r="K142" s="169" t="n">
        <x:v>1.4118348597498536</x:v>
      </x:c>
      <x:c r="L142" s="175" t="n">
        <x:f>K142-J142</x:f>
        <x:v>0</x:v>
      </x:c>
      <x:c r="M142" s="167" t="n">
        <x:v>1.622</x:v>
      </x:c>
      <x:c r="N142" s="167" t="n">
        <x:v>1.629</x:v>
      </x:c>
      <x:c r="O142" s="172" t="n">
        <x:f>IFERROR(N142/M142-1,0)</x:f>
        <x:v>0.004315659679408057</x:v>
      </x:c>
      <x:c r="P142" s="171" t="n">
        <x:f>IFERROR(AD142/AH142,0)</x:f>
        <x:v>1.710620423290771</x:v>
      </x:c>
      <x:c r="Q142" s="171" t="n">
        <x:f>IFERROR(AE142/AI142,0)</x:f>
        <x:v>1.6969752335114876</x:v>
      </x:c>
      <x:c r="R142" s="172" t="n">
        <x:f>IFERROR((Q142-P142)/(P142+S142),0)</x:f>
        <x:v>-0.007976749016613313</x:v>
      </x:c>
      <x:c r="S142" s="172" t="n">
        <x:f>IFERROR(AF142/AH142,0)</x:f>
        <x:v>0</x:v>
      </x:c>
      <x:c r="T142" s="172" t="n">
        <x:f>IFERROR(AG142/AI142,0)</x:f>
        <x:v>0</x:v>
      </x:c>
      <x:c r="U142" s="172" t="n">
        <x:f>IFERROR((T142-S142)/(P142+S142),0)</x:f>
        <x:v>0</x:v>
      </x:c>
      <x:c r="V142" s="172" t="n">
        <x:f>R142+U142</x:f>
        <x:v>-0.007976749016613313</x:v>
      </x:c>
      <x:c r="W142" s="172" t="n">
        <x:f>(1+O142)*(1+V142)-1</x:f>
        <x:v>-0.003695514271308986</x:v>
      </x:c>
      <x:c r="X142" s="174" t="n">
        <x:f>G142-W142</x:f>
        <x:v>3.7730235602495554e-17</x:v>
      </x:c>
      <x:c r="Y142" s="172" t="n">
        <x:f>AX142</x:f>
        <x:v>0.0020435342157873603</x:v>
      </x:c>
      <x:c r="Z142" s="172" t="n">
        <x:f>BL142</x:f>
        <x:v>0.00010240956179404419</x:v>
      </x:c>
      <x:c r="AA142" s="172" t="n">
        <x:f>SUM(BZ142,CN142,DB142,DP142,ED142,ER142,FF142,FT142)</x:f>
        <x:v>-0.005841458048890416</x:v>
      </x:c>
      <x:c r="AB142" s="172" t="n">
        <x:f>SUM(Y142:AA142)</x:f>
        <x:v>-0.0036955142713090113</x:v>
      </x:c>
      <x:c r="AC142" s="174" t="n">
        <x:f>G142-AB142</x:f>
        <x:v>6.288372600415926e-17</x:v>
      </x:c>
      <x:c r="AD142" s="169" t="n">
        <x:v>1.417071668323611</x:v>
      </x:c>
      <x:c r="AE142" s="169" t="n">
        <x:v>1.4118348597498536</x:v>
      </x:c>
      <x:c r="AF142" s="169" t="n">
        <x:v>0</x:v>
      </x:c>
      <x:c r="AG142" s="169" t="n">
        <x:v>0</x:v>
      </x:c>
      <x:c r="AH142" s="171" t="n">
        <x:f>M142/$M$3</x:f>
        <x:v>0.8283963227783453</x:v>
      </x:c>
      <x:c r="AI142" s="171" t="n">
        <x:f>N142/$M$3</x:f>
        <x:v>0.8319713993871297</x:v>
      </x:c>
      <x:c r="AJ142" s="170" t="n">
        <x:f>IF(AK142&lt;&gt;"",1,0)+IF(AY142&lt;&gt;"",1,0)+IF(BM142&lt;&gt;"",1,0)+IF(CA142&lt;&gt;"",1,0)+IF(CO142&lt;&gt;"",1,0)+IF(DC142&lt;&gt;"",1,0)+IF(DQ142&lt;&gt;"",1,0)+IF(EE142&lt;&gt;"",1,0)+IF(ES142&lt;&gt;"",1,0)+IF(FG142&lt;&gt;"",1,0)</x:f>
        <x:v>3</x:v>
      </x:c>
      <x:c r="AK142" s="147" t="str">
        <x:v>Silver replicating holding (LBMA/SLV proxy)</x:v>
      </x:c>
      <x:c r="AL142" s="147" t="str">
        <x:v>Physical-backed proxy</x:v>
      </x:c>
      <x:c r="AM142" s="147" t="str">
        <x:v>Long</x:v>
      </x:c>
      <x:c r="AN142" s="167" t="n">
        <x:v>1.622</x:v>
      </x:c>
      <x:c r="AO142" s="167" t="n">
        <x:v>1.629</x:v>
      </x:c>
      <x:c r="AP142" s="166" t="n">
        <x:v>0.47426877559987124</x:v>
      </x:c>
      <x:c r="AQ142" s="171" t="n">
        <x:f>IF(AK142="","",IFERROR(F142*AP142/AN142,0))</x:f>
        <x:v>0.414348239872445</x:v>
      </x:c>
      <x:c r="AR142" s="171" t="n">
        <x:f>IF(AK142="","",F142*ABS(AP142))</x:f>
        <x:v>0.6720728450731058</x:v>
      </x:c>
      <x:c r="AS142" s="165"/>
      <x:c r="AT142" s="172" t="str">
        <x:f>IF(AK142="","",IF(AS142="","",IFERROR(AN142/AS142-1,0)))</x:f>
      </x:c>
      <x:c r="AU142" s="166"/>
      <x:c r="AV142" s="172" t="str">
        <x:f>IF(AK142="","",IF(AU142="","",AU142-AT142*365/AW142))</x:f>
      </x:c>
      <x:c r="AW142" s="164"/>
      <x:c r="AX142" s="173" t="n">
        <x:f>IF(AK142="","",IFERROR(AP142*(AO142/AN142-1-'Parameters'!$C$6*C142/365),0))</x:f>
        <x:v>0.0020435342157873603</x:v>
      </x:c>
      <x:c r="AY142" s="147" t="str">
        <x:v>Matched-maturity Treasury collateral</x:v>
      </x:c>
      <x:c r="AZ142" s="147" t="str">
        <x:v>Treasury</x:v>
      </x:c>
      <x:c r="BA142" s="147" t="str">
        <x:v>Long</x:v>
      </x:c>
      <x:c r="BB142" s="167" t="n">
        <x:v>103.64783513935161</x:v>
      </x:c>
      <x:c r="BC142" s="167" t="n">
        <x:v>103.66802516970341</x:v>
      </x:c>
      <x:c r="BD142" s="166" t="n">
        <x:v>0.5257312244001288</x:v>
      </x:c>
      <x:c r="BE142" s="171" t="n">
        <x:f>IF(AY142="","",IFERROR(F142*BD142/BB142,0))</x:f>
        <x:v>0.007187789520628918</x:v>
      </x:c>
      <x:c r="BF142" s="171" t="n">
        <x:f>IF(AY142="","",F142*ABS(BD142))</x:f>
        <x:v>0.7449988232505053</x:v>
      </x:c>
      <x:c r="BG142" s="165"/>
      <x:c r="BH142" s="172" t="str">
        <x:f>IF(AY142="","",IF(BG142="","",IFERROR(BB142/BG142-1,0)))</x:f>
      </x:c>
      <x:c r="BI142" s="166"/>
      <x:c r="BJ142" s="172" t="str">
        <x:f>IF(AY142="","",IF(BI142="","",BI142-BH142*365/BK142))</x:f>
      </x:c>
      <x:c r="BK142" s="164" t="n">
        <x:v>58</x:v>
      </x:c>
      <x:c r="BL142" s="172" t="n">
        <x:f>IF(AY142="","",IFERROR(BD142*(BC142/BB142-1),0))</x:f>
        <x:v>0.00010240956179404419</x:v>
      </x:c>
      <x:c r="BM142" s="147" t="str">
        <x:v>SI69U</x:v>
      </x:c>
      <x:c r="BN142" s="147" t="str">
        <x:v>Silver future (regular)</x:v>
      </x:c>
      <x:c r="BO142" s="147" t="str">
        <x:v>Long</x:v>
      </x:c>
      <x:c r="BP142" s="167" t="n">
        <x:v>1.62</x:v>
      </x:c>
      <x:c r="BQ142" s="167" t="n">
        <x:v>1.6019999999999999</x:v>
      </x:c>
      <x:c r="BR142" s="166" t="n">
        <x:v>0.5257312244001288</x:v>
      </x:c>
      <x:c r="BS142" s="171" t="n">
        <x:f>IF(BM142="","",IFERROR(F142*BR142/BP142,0))</x:f>
        <x:v>0.4598758168212995</x:v>
      </x:c>
      <x:c r="BT142" s="171" t="n">
        <x:f>IF(BM142="","",F142*ABS(BR142))</x:f>
        <x:v>0.7449988232505053</x:v>
      </x:c>
      <x:c r="BU142" s="165" t="n">
        <x:v>1.622</x:v>
      </x:c>
      <x:c r="BV142" s="172" t="n">
        <x:f>IF(BM142="","",IF(BU142="","",IFERROR(BP142/BU142-1,0)))</x:f>
        <x:v>-0.0012330456226880004</x:v>
      </x:c>
      <x:c r="BW142" s="166" t="n">
        <x:v>0.0711</x:v>
      </x:c>
      <x:c r="BX142" s="172" t="n">
        <x:f>IF(BM142="","",IF(BW142="","",BW142-BV142*365/BY142))</x:f>
        <x:v>0.0788596836600193</x:v>
      </x:c>
      <x:c r="BY142" s="164" t="n">
        <x:v>58</x:v>
      </x:c>
      <x:c r="BZ142" s="172" t="n">
        <x:f>IF(BM142="","",IFERROR(BR142*(BQ142/BP142-1),0))</x:f>
        <x:v>-0.005841458048890416</x:v>
      </x:c>
      <x:c r="CA142" s="147"/>
      <x:c r="CB142" s="147"/>
      <x:c r="CC142" s="147"/>
      <x:c r="CD142" s="167"/>
      <x:c r="CE142" s="167"/>
      <x:c r="CF142" s="166"/>
      <x:c r="CG142" s="171" t="str">
        <x:f>IF(CA142="","",IFERROR(F142*CF142/CD142,0))</x:f>
      </x:c>
      <x:c r="CH142" s="171" t="str">
        <x:f>IF(CA142="","",F142*ABS(CF142))</x:f>
      </x:c>
      <x:c r="CI142" s="165"/>
      <x:c r="CJ142" s="172" t="str">
        <x:f>IF(CA142="","",IF(CI142="","",IFERROR(CD142/CI142-1,0)))</x:f>
      </x:c>
      <x:c r="CK142" s="166"/>
      <x:c r="CL142" s="172" t="str">
        <x:f>IF(CA142="","",IF(CK142="","",CK142-CJ142*365/CM142))</x:f>
      </x:c>
      <x:c r="CM142" s="164"/>
      <x:c r="CN142" s="172" t="str">
        <x:f>IF(CA142="","",IFERROR(CF142*(CE142/CD142-1),0))</x:f>
      </x:c>
      <x:c r="CO142" s="147"/>
      <x:c r="CP142" s="147"/>
      <x:c r="CQ142" s="147"/>
      <x:c r="CR142" s="167"/>
      <x:c r="CS142" s="167"/>
      <x:c r="CT142" s="166"/>
      <x:c r="CU142" s="171" t="str">
        <x:f>IF(CO142="","",IFERROR(F142*CT142/CR142,0))</x:f>
      </x:c>
      <x:c r="CV142" s="171" t="str">
        <x:f>IF(CO142="","",F142*ABS(CT142))</x:f>
      </x:c>
      <x:c r="CW142" s="165"/>
      <x:c r="CX142" s="172" t="str">
        <x:f>IF(CO142="","",IF(CW142="","",IFERROR(CR142/CW142-1,0)))</x:f>
      </x:c>
      <x:c r="CY142" s="166"/>
      <x:c r="CZ142" s="172" t="str">
        <x:f>IF(CO142="","",IF(CY142="","",CY142-CX142*365/DA142))</x:f>
      </x:c>
      <x:c r="DA142" s="164"/>
      <x:c r="DB142" s="172" t="str">
        <x:f>IF(CO142="","",IFERROR(CT142*(CS142/CR142-1),0))</x:f>
      </x:c>
      <x:c r="DC142" s="147"/>
      <x:c r="DD142" s="147"/>
      <x:c r="DE142" s="147"/>
      <x:c r="DF142" s="167"/>
      <x:c r="DG142" s="167"/>
      <x:c r="DH142" s="166"/>
      <x:c r="DI142" s="171" t="str">
        <x:f>IF(DC142="","",IFERROR(F142*DH142/DF142,0))</x:f>
      </x:c>
      <x:c r="DJ142" s="171" t="str">
        <x:f>IF(DC142="","",F142*ABS(DH142))</x:f>
      </x:c>
      <x:c r="DK142" s="165"/>
      <x:c r="DL142" s="172" t="str">
        <x:f>IF(DC142="","",IF(DK142="","",IFERROR(DF142/DK142-1,0)))</x:f>
      </x:c>
      <x:c r="DM142" s="166"/>
      <x:c r="DN142" s="172" t="str">
        <x:f>IF(DC142="","",IF(DM142="","",DM142-DL142*365/DO142))</x:f>
      </x:c>
      <x:c r="DO142" s="164"/>
      <x:c r="DP142" s="172" t="str">
        <x:f>IF(DC142="","",IFERROR(DH142*(DG142/DF142-1),0))</x:f>
      </x:c>
      <x:c r="DQ142" s="147"/>
      <x:c r="DR142" s="147"/>
      <x:c r="DS142" s="147"/>
      <x:c r="DT142" s="167"/>
      <x:c r="DU142" s="167"/>
      <x:c r="DV142" s="166"/>
      <x:c r="DW142" s="171" t="str">
        <x:f>IF(DQ142="","",IFERROR(F142*DV142/DT142,0))</x:f>
      </x:c>
      <x:c r="DX142" s="171" t="str">
        <x:f>IF(DQ142="","",F142*ABS(DV142))</x:f>
      </x:c>
      <x:c r="DY142" s="165"/>
      <x:c r="DZ142" s="172" t="str">
        <x:f>IF(DQ142="","",IF(DY142="","",IFERROR(DT142/DY142-1,0)))</x:f>
      </x:c>
      <x:c r="EA142" s="166"/>
      <x:c r="EB142" s="172" t="str">
        <x:f>IF(DQ142="","",IF(EA142="","",EA142-DZ142*365/EC142))</x:f>
      </x:c>
      <x:c r="EC142" s="164"/>
      <x:c r="ED142" s="172" t="str">
        <x:f>IF(DQ142="","",IFERROR(DV142*(DU142/DT142-1),0))</x:f>
      </x:c>
      <x:c r="EE142" s="147"/>
      <x:c r="EF142" s="147"/>
      <x:c r="EG142" s="147"/>
      <x:c r="EH142" s="167"/>
      <x:c r="EI142" s="167"/>
      <x:c r="EJ142" s="166"/>
      <x:c r="EK142" s="171" t="str">
        <x:f>IF(EE142="","",IFERROR(F142*EJ142/EH142,0))</x:f>
      </x:c>
      <x:c r="EL142" s="171" t="str">
        <x:f>IF(EE142="","",F142*ABS(EJ142))</x:f>
      </x:c>
      <x:c r="EM142" s="165"/>
      <x:c r="EN142" s="172" t="str">
        <x:f>IF(EE142="","",IF(EM142="","",IFERROR(EH142/EM142-1,0)))</x:f>
      </x:c>
      <x:c r="EO142" s="166"/>
      <x:c r="EP142" s="172" t="str">
        <x:f>IF(EE142="","",IF(EO142="","",EO142-EN142*365/EQ142))</x:f>
      </x:c>
      <x:c r="EQ142" s="164"/>
      <x:c r="ER142" s="172" t="str">
        <x:f>IF(EE142="","",IFERROR(EJ142*(EI142/EH142-1),0))</x:f>
      </x:c>
      <x:c r="ES142" s="147"/>
      <x:c r="ET142" s="147"/>
      <x:c r="EU142" s="147"/>
      <x:c r="EV142" s="167"/>
      <x:c r="EW142" s="167"/>
      <x:c r="EX142" s="166"/>
      <x:c r="EY142" s="171" t="str">
        <x:f>IF(ES142="","",IFERROR(F142*EX142/EV142,0))</x:f>
      </x:c>
      <x:c r="EZ142" s="171" t="str">
        <x:f>IF(ES142="","",F142*ABS(EX142))</x:f>
      </x:c>
      <x:c r="FA142" s="165"/>
      <x:c r="FB142" s="172" t="str">
        <x:f>IF(ES142="","",IF(FA142="","",IFERROR(EV142/FA142-1,0)))</x:f>
      </x:c>
      <x:c r="FC142" s="166"/>
      <x:c r="FD142" s="172" t="str">
        <x:f>IF(ES142="","",IF(FC142="","",FC142-FB142*365/FE142))</x:f>
      </x:c>
      <x:c r="FE142" s="164"/>
      <x:c r="FF142" s="172" t="str">
        <x:f>IF(ES142="","",IFERROR(EX142*(EW142/EV142-1),0))</x:f>
      </x:c>
      <x:c r="FG142" s="147"/>
      <x:c r="FH142" s="147"/>
      <x:c r="FI142" s="147"/>
      <x:c r="FJ142" s="167"/>
      <x:c r="FK142" s="167"/>
      <x:c r="FL142" s="166"/>
      <x:c r="FM142" s="171" t="str">
        <x:f>IF(FG142="","",IFERROR(F142*FL142/FJ142,0))</x:f>
      </x:c>
      <x:c r="FN142" s="171" t="str">
        <x:f>IF(FG142="","",F142*ABS(FL142))</x:f>
      </x:c>
      <x:c r="FO142" s="165"/>
      <x:c r="FP142" s="172" t="str">
        <x:f>IF(FG142="","",IF(FO142="","",IFERROR(FJ142/FO142-1,0)))</x:f>
      </x:c>
      <x:c r="FQ142" s="166"/>
      <x:c r="FR142" s="172" t="str">
        <x:f>IF(FG142="","",IF(FQ142="","",FQ142-FP142*365/FS142))</x:f>
      </x:c>
      <x:c r="FS142" s="164"/>
      <x:c r="FT142" s="172" t="str">
        <x:f>IF(FG142="","",IFERROR(FL142*(FK142/FJ142-1),0))</x:f>
      </x:c>
    </x:row>
    <x:row r="143" ht="18" customHeight="1">
      <x:c r="A143" s="163" t="n">
        <x:v>25415</x:v>
      </x:c>
      <x:c r="B143" s="163" t="n">
        <x:v>25416</x:v>
      </x:c>
      <x:c r="C143" s="170" t="n">
        <x:f>B143-A143</x:f>
        <x:v>1</x:v>
      </x:c>
      <x:c r="D143" s="163" t="n">
        <x:v>25415</x:v>
      </x:c>
      <x:c r="E143" s="147" t="str">
        <x:v>positive</x:v>
      </x:c>
      <x:c r="F143" s="165" t="n">
        <x:v>1.4118348597498536</x:v>
      </x:c>
      <x:c r="G143" s="168" t="n">
        <x:v>0.007059841636310904</x:v>
      </x:c>
      <x:c r="H143" s="172" t="n">
        <x:f>SUM(AX143,BL143,BZ143,CN143,DB143,DP143,ED143,ER143,FF143,FT143)</x:f>
        <x:v>0.007059841636310793</x:v>
      </x:c>
      <x:c r="I143" s="174" t="n">
        <x:f>G143-H143</x:f>
        <x:v>1.1102230246251565e-16</x:v>
      </x:c>
      <x:c r="J143" s="171" t="n">
        <x:f>F143*(1+H143)</x:f>
        <x:v>1.4218021902763105</x:v>
      </x:c>
      <x:c r="K143" s="169" t="n">
        <x:v>1.4218021902763105</x:v>
      </x:c>
      <x:c r="L143" s="175" t="n">
        <x:f>K143-J143</x:f>
        <x:v>0</x:v>
      </x:c>
      <x:c r="M143" s="167" t="n">
        <x:v>1.629</x:v>
      </x:c>
      <x:c r="N143" s="167" t="n">
        <x:v>1.614</x:v>
      </x:c>
      <x:c r="O143" s="172" t="n">
        <x:f>IFERROR(N143/M143-1,0)</x:f>
        <x:v>-0.009208103130755041</x:v>
      </x:c>
      <x:c r="P143" s="171" t="n">
        <x:f>IFERROR(AD143/AH143,0)</x:f>
        <x:v>1.6969752335114876</x:v>
      </x:c>
      <x:c r="Q143" s="171" t="n">
        <x:f>IFERROR(AE143/AI143,0)</x:f>
        <x:v>1.7248380970018689</x:v>
      </x:c>
      <x:c r="R143" s="172" t="n">
        <x:f>IFERROR((Q143-P143)/(P143+S143),0)</x:f>
        <x:v>0.016419133844826756</x:v>
      </x:c>
      <x:c r="S143" s="172" t="n">
        <x:f>IFERROR(AF143/AH143,0)</x:f>
        <x:v>0</x:v>
      </x:c>
      <x:c r="T143" s="172" t="n">
        <x:f>IFERROR(AG143/AI143,0)</x:f>
        <x:v>0</x:v>
      </x:c>
      <x:c r="U143" s="172" t="n">
        <x:f>IFERROR((T143-S143)/(P143+S143),0)</x:f>
        <x:v>0</x:v>
      </x:c>
      <x:c r="V143" s="172" t="n">
        <x:f>R143+U143</x:f>
        <x:v>0.016419133844826756</x:v>
      </x:c>
      <x:c r="W143" s="172" t="n">
        <x:f>(1+O143)*(1+V143)-1</x:f>
        <x:v>0.007059841636310793</x:v>
      </x:c>
      <x:c r="X143" s="174" t="n">
        <x:f>G143-W143</x:f>
        <x:v>1.1102230246251565e-16</x:v>
      </x:c>
      <x:c r="Y143" s="172" t="str">
        <x:f>AX143</x:f>
      </x:c>
      <x:c r="Z143" s="172" t="n">
        <x:f>BL143</x:f>
        <x:v>0.00019342465753413585</x:v>
      </x:c>
      <x:c r="AA143" s="172" t="n">
        <x:f>SUM(BZ143,CN143,DB143,DP143,ED143,ER143,FF143,FT143)</x:f>
        <x:v>0.006866416978776657</x:v>
      </x:c>
      <x:c r="AB143" s="172" t="n">
        <x:f>SUM(Y143:AA143)</x:f>
        <x:v>0.007059841636310793</x:v>
      </x:c>
      <x:c r="AC143" s="174" t="n">
        <x:f>G143-AB143</x:f>
        <x:v>1.1102230246251565e-16</x:v>
      </x:c>
      <x:c r="AD143" s="169" t="n">
        <x:v>1.4118348597498536</x:v>
      </x:c>
      <x:c r="AE143" s="169" t="n">
        <x:v>1.4218021902763107</x:v>
      </x:c>
      <x:c r="AF143" s="169" t="n">
        <x:v>0</x:v>
      </x:c>
      <x:c r="AG143" s="169" t="n">
        <x:v>0</x:v>
      </x:c>
      <x:c r="AH143" s="171" t="n">
        <x:f>M143/$M$3</x:f>
        <x:v>0.8319713993871297</x:v>
      </x:c>
      <x:c r="AI143" s="171" t="n">
        <x:f>N143/$M$3</x:f>
        <x:v>0.8243105209397344</x:v>
      </x:c>
      <x:c r="AJ143" s="170" t="n">
        <x:f>IF(AK143&lt;&gt;"",1,0)+IF(AY143&lt;&gt;"",1,0)+IF(BM143&lt;&gt;"",1,0)+IF(CA143&lt;&gt;"",1,0)+IF(CO143&lt;&gt;"",1,0)+IF(DC143&lt;&gt;"",1,0)+IF(DQ143&lt;&gt;"",1,0)+IF(EE143&lt;&gt;"",1,0)+IF(ES143&lt;&gt;"",1,0)+IF(FG143&lt;&gt;"",1,0)</x:f>
        <x:v>2</x:v>
      </x:c>
      <x:c r="AK143" s="147"/>
      <x:c r="AL143" s="147"/>
      <x:c r="AM143" s="147"/>
      <x:c r="AN143" s="167"/>
      <x:c r="AO143" s="167"/>
      <x:c r="AP143" s="166"/>
      <x:c r="AQ143" s="171" t="str">
        <x:f>IF(AK143="","",IFERROR(F143*AP143/AN143,0))</x:f>
      </x:c>
      <x:c r="AR143" s="171" t="str">
        <x:f>IF(AK143="","",F143*ABS(AP143))</x:f>
      </x:c>
      <x:c r="AS143" s="165"/>
      <x:c r="AT143" s="172" t="str">
        <x:f>IF(AK143="","",IF(AS143="","",IFERROR(AN143/AS143-1,0)))</x:f>
      </x:c>
      <x:c r="AU143" s="166"/>
      <x:c r="AV143" s="172" t="str">
        <x:f>IF(AK143="","",IF(AU143="","",AU143-AT143*365/AW143))</x:f>
      </x:c>
      <x:c r="AW143" s="164"/>
      <x:c r="AX143" s="173" t="str">
        <x:f>IF(AK143="","",IFERROR(AP143*(AO143/AN143-1),0))</x:f>
      </x:c>
      <x:c r="AY143" s="147" t="str">
        <x:v>Matched-maturity Treasury collateral</x:v>
      </x:c>
      <x:c r="AZ143" s="147" t="str">
        <x:v>Treasury</x:v>
      </x:c>
      <x:c r="BA143" s="147" t="str">
        <x:v>Long</x:v>
      </x:c>
      <x:c r="BB143" s="167" t="n">
        <x:v>103.66802516970341</x:v>
      </x:c>
      <x:c r="BC143" s="167" t="n">
        <x:v>103.6880771219691</x:v>
      </x:c>
      <x:c r="BD143" s="166" t="n">
        <x:v>1</x:v>
      </x:c>
      <x:c r="BE143" s="171" t="n">
        <x:f>IF(AY143="","",IFERROR(F143*BD143/BB143,0))</x:f>
        <x:v>0.013618807317287037</x:v>
      </x:c>
      <x:c r="BF143" s="171" t="n">
        <x:f>IF(AY143="","",F143*ABS(BD143))</x:f>
        <x:v>1.4118348597498536</x:v>
      </x:c>
      <x:c r="BG143" s="165"/>
      <x:c r="BH143" s="172" t="str">
        <x:f>IF(AY143="","",IF(BG143="","",IFERROR(BB143/BG143-1,0)))</x:f>
      </x:c>
      <x:c r="BI143" s="166"/>
      <x:c r="BJ143" s="172" t="str">
        <x:f>IF(AY143="","",IF(BI143="","",BI143-BH143*365/BK143))</x:f>
      </x:c>
      <x:c r="BK143" s="164" t="n">
        <x:v>57</x:v>
      </x:c>
      <x:c r="BL143" s="172" t="n">
        <x:f>IF(AY143="","",IFERROR(BD143*(BC143/BB143-1),0))</x:f>
        <x:v>0.00019342465753413585</x:v>
      </x:c>
      <x:c r="BM143" s="147" t="str">
        <x:v>SI69U</x:v>
      </x:c>
      <x:c r="BN143" s="147" t="str">
        <x:v>Silver future (regular)</x:v>
      </x:c>
      <x:c r="BO143" s="147" t="str">
        <x:v>Long</x:v>
      </x:c>
      <x:c r="BP143" s="167" t="n">
        <x:v>1.6019999999999999</x:v>
      </x:c>
      <x:c r="BQ143" s="167" t="n">
        <x:v>1.6130000000000002</x:v>
      </x:c>
      <x:c r="BR143" s="166" t="n">
        <x:v>1</x:v>
      </x:c>
      <x:c r="BS143" s="171" t="n">
        <x:f>IF(BM143="","",IFERROR(F143*BR143/BP143,0))</x:f>
        <x:v>0.8812951683831796</x:v>
      </x:c>
      <x:c r="BT143" s="171" t="n">
        <x:f>IF(BM143="","",F143*ABS(BR143))</x:f>
        <x:v>1.4118348597498536</x:v>
      </x:c>
      <x:c r="BU143" s="165" t="n">
        <x:v>1.629</x:v>
      </x:c>
      <x:c r="BV143" s="172" t="n">
        <x:f>IF(BM143="","",IF(BU143="","",IFERROR(BP143/BU143-1,0)))</x:f>
        <x:v>-0.016574585635359185</x:v>
      </x:c>
      <x:c r="BW143" s="166" t="n">
        <x:v>0.0706</x:v>
      </x:c>
      <x:c r="BX143" s="172" t="n">
        <x:f>IF(BM143="","",IF(BW143="","",BW143-BV143*365/BY143))</x:f>
        <x:v>0.1767355045071246</x:v>
      </x:c>
      <x:c r="BY143" s="164" t="n">
        <x:v>57</x:v>
      </x:c>
      <x:c r="BZ143" s="172" t="n">
        <x:f>IF(BM143="","",IFERROR(BR143*(BQ143/BP143-1),0))</x:f>
        <x:v>0.006866416978776657</x:v>
      </x:c>
      <x:c r="CA143" s="147"/>
      <x:c r="CB143" s="147"/>
      <x:c r="CC143" s="147"/>
      <x:c r="CD143" s="167"/>
      <x:c r="CE143" s="167"/>
      <x:c r="CF143" s="166"/>
      <x:c r="CG143" s="171" t="str">
        <x:f>IF(CA143="","",IFERROR(F143*CF143/CD143,0))</x:f>
      </x:c>
      <x:c r="CH143" s="171" t="str">
        <x:f>IF(CA143="","",F143*ABS(CF143))</x:f>
      </x:c>
      <x:c r="CI143" s="165"/>
      <x:c r="CJ143" s="172" t="str">
        <x:f>IF(CA143="","",IF(CI143="","",IFERROR(CD143/CI143-1,0)))</x:f>
      </x:c>
      <x:c r="CK143" s="166"/>
      <x:c r="CL143" s="172" t="str">
        <x:f>IF(CA143="","",IF(CK143="","",CK143-CJ143*365/CM143))</x:f>
      </x:c>
      <x:c r="CM143" s="164"/>
      <x:c r="CN143" s="172" t="str">
        <x:f>IF(CA143="","",IFERROR(CF143*(CE143/CD143-1),0))</x:f>
      </x:c>
      <x:c r="CO143" s="147"/>
      <x:c r="CP143" s="147"/>
      <x:c r="CQ143" s="147"/>
      <x:c r="CR143" s="167"/>
      <x:c r="CS143" s="167"/>
      <x:c r="CT143" s="166"/>
      <x:c r="CU143" s="171" t="str">
        <x:f>IF(CO143="","",IFERROR(F143*CT143/CR143,0))</x:f>
      </x:c>
      <x:c r="CV143" s="171" t="str">
        <x:f>IF(CO143="","",F143*ABS(CT143))</x:f>
      </x:c>
      <x:c r="CW143" s="165"/>
      <x:c r="CX143" s="172" t="str">
        <x:f>IF(CO143="","",IF(CW143="","",IFERROR(CR143/CW143-1,0)))</x:f>
      </x:c>
      <x:c r="CY143" s="166"/>
      <x:c r="CZ143" s="172" t="str">
        <x:f>IF(CO143="","",IF(CY143="","",CY143-CX143*365/DA143))</x:f>
      </x:c>
      <x:c r="DA143" s="164"/>
      <x:c r="DB143" s="172" t="str">
        <x:f>IF(CO143="","",IFERROR(CT143*(CS143/CR143-1),0))</x:f>
      </x:c>
      <x:c r="DC143" s="147"/>
      <x:c r="DD143" s="147"/>
      <x:c r="DE143" s="147"/>
      <x:c r="DF143" s="167"/>
      <x:c r="DG143" s="167"/>
      <x:c r="DH143" s="166"/>
      <x:c r="DI143" s="171" t="str">
        <x:f>IF(DC143="","",IFERROR(F143*DH143/DF143,0))</x:f>
      </x:c>
      <x:c r="DJ143" s="171" t="str">
        <x:f>IF(DC143="","",F143*ABS(DH143))</x:f>
      </x:c>
      <x:c r="DK143" s="165"/>
      <x:c r="DL143" s="172" t="str">
        <x:f>IF(DC143="","",IF(DK143="","",IFERROR(DF143/DK143-1,0)))</x:f>
      </x:c>
      <x:c r="DM143" s="166"/>
      <x:c r="DN143" s="172" t="str">
        <x:f>IF(DC143="","",IF(DM143="","",DM143-DL143*365/DO143))</x:f>
      </x:c>
      <x:c r="DO143" s="164"/>
      <x:c r="DP143" s="172" t="str">
        <x:f>IF(DC143="","",IFERROR(DH143*(DG143/DF143-1),0))</x:f>
      </x:c>
      <x:c r="DQ143" s="147"/>
      <x:c r="DR143" s="147"/>
      <x:c r="DS143" s="147"/>
      <x:c r="DT143" s="167"/>
      <x:c r="DU143" s="167"/>
      <x:c r="DV143" s="166"/>
      <x:c r="DW143" s="171" t="str">
        <x:f>IF(DQ143="","",IFERROR(F143*DV143/DT143,0))</x:f>
      </x:c>
      <x:c r="DX143" s="171" t="str">
        <x:f>IF(DQ143="","",F143*ABS(DV143))</x:f>
      </x:c>
      <x:c r="DY143" s="165"/>
      <x:c r="DZ143" s="172" t="str">
        <x:f>IF(DQ143="","",IF(DY143="","",IFERROR(DT143/DY143-1,0)))</x:f>
      </x:c>
      <x:c r="EA143" s="166"/>
      <x:c r="EB143" s="172" t="str">
        <x:f>IF(DQ143="","",IF(EA143="","",EA143-DZ143*365/EC143))</x:f>
      </x:c>
      <x:c r="EC143" s="164"/>
      <x:c r="ED143" s="172" t="str">
        <x:f>IF(DQ143="","",IFERROR(DV143*(DU143/DT143-1),0))</x:f>
      </x:c>
      <x:c r="EE143" s="147"/>
      <x:c r="EF143" s="147"/>
      <x:c r="EG143" s="147"/>
      <x:c r="EH143" s="167"/>
      <x:c r="EI143" s="167"/>
      <x:c r="EJ143" s="166"/>
      <x:c r="EK143" s="171" t="str">
        <x:f>IF(EE143="","",IFERROR(F143*EJ143/EH143,0))</x:f>
      </x:c>
      <x:c r="EL143" s="171" t="str">
        <x:f>IF(EE143="","",F143*ABS(EJ143))</x:f>
      </x:c>
      <x:c r="EM143" s="165"/>
      <x:c r="EN143" s="172" t="str">
        <x:f>IF(EE143="","",IF(EM143="","",IFERROR(EH143/EM143-1,0)))</x:f>
      </x:c>
      <x:c r="EO143" s="166"/>
      <x:c r="EP143" s="172" t="str">
        <x:f>IF(EE143="","",IF(EO143="","",EO143-EN143*365/EQ143))</x:f>
      </x:c>
      <x:c r="EQ143" s="164"/>
      <x:c r="ER143" s="172" t="str">
        <x:f>IF(EE143="","",IFERROR(EJ143*(EI143/EH143-1),0))</x:f>
      </x:c>
      <x:c r="ES143" s="147"/>
      <x:c r="ET143" s="147"/>
      <x:c r="EU143" s="147"/>
      <x:c r="EV143" s="167"/>
      <x:c r="EW143" s="167"/>
      <x:c r="EX143" s="166"/>
      <x:c r="EY143" s="171" t="str">
        <x:f>IF(ES143="","",IFERROR(F143*EX143/EV143,0))</x:f>
      </x:c>
      <x:c r="EZ143" s="171" t="str">
        <x:f>IF(ES143="","",F143*ABS(EX143))</x:f>
      </x:c>
      <x:c r="FA143" s="165"/>
      <x:c r="FB143" s="172" t="str">
        <x:f>IF(ES143="","",IF(FA143="","",IFERROR(EV143/FA143-1,0)))</x:f>
      </x:c>
      <x:c r="FC143" s="166"/>
      <x:c r="FD143" s="172" t="str">
        <x:f>IF(ES143="","",IF(FC143="","",FC143-FB143*365/FE143))</x:f>
      </x:c>
      <x:c r="FE143" s="164"/>
      <x:c r="FF143" s="172" t="str">
        <x:f>IF(ES143="","",IFERROR(EX143*(EW143/EV143-1),0))</x:f>
      </x:c>
      <x:c r="FG143" s="147"/>
      <x:c r="FH143" s="147"/>
      <x:c r="FI143" s="147"/>
      <x:c r="FJ143" s="167"/>
      <x:c r="FK143" s="167"/>
      <x:c r="FL143" s="166"/>
      <x:c r="FM143" s="171" t="str">
        <x:f>IF(FG143="","",IFERROR(F143*FL143/FJ143,0))</x:f>
      </x:c>
      <x:c r="FN143" s="171" t="str">
        <x:f>IF(FG143="","",F143*ABS(FL143))</x:f>
      </x:c>
      <x:c r="FO143" s="165"/>
      <x:c r="FP143" s="172" t="str">
        <x:f>IF(FG143="","",IF(FO143="","",IFERROR(FJ143/FO143-1,0)))</x:f>
      </x:c>
      <x:c r="FQ143" s="166"/>
      <x:c r="FR143" s="172" t="str">
        <x:f>IF(FG143="","",IF(FQ143="","",FQ143-FP143*365/FS143))</x:f>
      </x:c>
      <x:c r="FS143" s="164"/>
      <x:c r="FT143" s="172" t="str">
        <x:f>IF(FG143="","",IFERROR(FL143*(FK143/FJ143-1),0))</x:f>
      </x:c>
    </x:row>
    <x:row r="144" ht="18" customHeight="1">
      <x:c r="A144" s="163" t="n">
        <x:v>25416</x:v>
      </x:c>
      <x:c r="B144" s="163" t="n">
        <x:v>25419</x:v>
      </x:c>
      <x:c r="C144" s="170" t="n">
        <x:f>B144-A144</x:f>
        <x:v>3</x:v>
      </x:c>
      <x:c r="D144" s="163" t="n">
        <x:v>25416</x:v>
      </x:c>
      <x:c r="E144" s="147" t="str">
        <x:v>positive</x:v>
      </x:c>
      <x:c r="F144" s="165" t="n">
        <x:v>1.4218021902763105</x:v>
      </x:c>
      <x:c r="G144" s="168" t="n">
        <x:v>-0.0024572190125341765</x:v>
      </x:c>
      <x:c r="H144" s="172" t="n">
        <x:f>SUM(AX144,BL144,BZ144,CN144,DB144,DP144,ED144,ER144,FF144,FT144)</x:f>
        <x:v>-0.0024572190125341266</x:v>
      </x:c>
      <x:c r="I144" s="174" t="n">
        <x:f>G144-H144</x:f>
        <x:v>-4.9873299934333204e-17</x:v>
      </x:c>
      <x:c r="J144" s="171" t="n">
        <x:f>F144*(1+H144)</x:f>
        <x:v>1.4183085109023008</x:v>
      </x:c>
      <x:c r="K144" s="169" t="n">
        <x:v>1.4183085109023008</x:v>
      </x:c>
      <x:c r="L144" s="175" t="n">
        <x:f>K144-J144</x:f>
        <x:v>0</x:v>
      </x:c>
      <x:c r="M144" s="167" t="n">
        <x:v>1.614</x:v>
      </x:c>
      <x:c r="N144" s="167" t="n">
        <x:v>1.617</x:v>
      </x:c>
      <x:c r="O144" s="172" t="n">
        <x:f>IFERROR(N144/M144-1,0)</x:f>
        <x:v>0.0018587360594795044</x:v>
      </x:c>
      <x:c r="P144" s="171" t="n">
        <x:f>IFERROR(AD144/AH144,0)</x:f>
        <x:v>1.7248380970018689</x:v>
      </x:c>
      <x:c r="Q144" s="171" t="n">
        <x:f>IFERROR(AE144/AI144,0)</x:f>
        <x:v>1.7174075846299972</x:v>
      </x:c>
      <x:c r="R144" s="172" t="n">
        <x:f>IFERROR((Q144-P144)/(P144+S144),0)</x:f>
        <x:v>-0.004307947734217743</x:v>
      </x:c>
      <x:c r="S144" s="172" t="n">
        <x:f>IFERROR(AF144/AH144,0)</x:f>
        <x:v>0</x:v>
      </x:c>
      <x:c r="T144" s="172" t="n">
        <x:f>IFERROR(AG144/AI144,0)</x:f>
        <x:v>0</x:v>
      </x:c>
      <x:c r="U144" s="172" t="n">
        <x:f>IFERROR((T144-S144)/(P144+S144),0)</x:f>
        <x:v>0</x:v>
      </x:c>
      <x:c r="V144" s="172" t="n">
        <x:f>R144+U144</x:f>
        <x:v>-0.004307947734217743</x:v>
      </x:c>
      <x:c r="W144" s="172" t="n">
        <x:f>(1+O144)*(1+V144)-1</x:f>
        <x:v>-0.002457219012534151</x:v>
      </x:c>
      <x:c r="X144" s="174" t="n">
        <x:f>G144-W144</x:f>
        <x:v>-2.5587171270657905e-17</x:v>
      </x:c>
      <x:c r="Y144" s="172" t="n">
        <x:f>AX144</x:f>
        <x:v>0.0009308789830009406</x:v>
      </x:c>
      <x:c r="Z144" s="172" t="n">
        <x:f>BL144</x:f>
        <x:v>0.0002839826178473087</x:v>
      </x:c>
      <x:c r="AA144" s="172" t="n">
        <x:f>SUM(BZ144,CN144,DB144,DP144,ED144,ER144,FF144,FT144)</x:f>
        <x:v>-0.003672080613382376</x:v>
      </x:c>
      <x:c r="AB144" s="172" t="n">
        <x:f>SUM(Y144:AA144)</x:f>
        <x:v>-0.0024572190125341266</x:v>
      </x:c>
      <x:c r="AC144" s="174" t="n">
        <x:f>G144-AB144</x:f>
        <x:v>-4.9873299934333204e-17</x:v>
      </x:c>
      <x:c r="AD144" s="169" t="n">
        <x:v>1.4218021902763107</x:v>
      </x:c>
      <x:c r="AE144" s="169" t="n">
        <x:v>1.418308510902301</x:v>
      </x:c>
      <x:c r="AF144" s="169" t="n">
        <x:v>0</x:v>
      </x:c>
      <x:c r="AG144" s="169" t="n">
        <x:v>0</x:v>
      </x:c>
      <x:c r="AH144" s="171" t="n">
        <x:f>M144/$M$3</x:f>
        <x:v>0.8243105209397344</x:v>
      </x:c>
      <x:c r="AI144" s="171" t="n">
        <x:f>N144/$M$3</x:f>
        <x:v>0.8258426966292135</x:v>
      </x:c>
      <x:c r="AJ144" s="170" t="n">
        <x:f>IF(AK144&lt;&gt;"",1,0)+IF(AY144&lt;&gt;"",1,0)+IF(BM144&lt;&gt;"",1,0)+IF(CA144&lt;&gt;"",1,0)+IF(CO144&lt;&gt;"",1,0)+IF(DC144&lt;&gt;"",1,0)+IF(DQ144&lt;&gt;"",1,0)+IF(EE144&lt;&gt;"",1,0)+IF(ES144&lt;&gt;"",1,0)+IF(FG144&lt;&gt;"",1,0)</x:f>
        <x:v>3</x:v>
      </x:c>
      <x:c r="AK144" s="147" t="str">
        <x:v>Silver replicating holding (LBMA/SLV proxy)</x:v>
      </x:c>
      <x:c r="AL144" s="147" t="str">
        <x:v>Physical-backed proxy</x:v>
      </x:c>
      <x:c r="AM144" s="147" t="str">
        <x:v>Long</x:v>
      </x:c>
      <x:c r="AN144" s="167" t="n">
        <x:v>1.614</x:v>
      </x:c>
      <x:c r="AO144" s="167" t="n">
        <x:v>1.617</x:v>
      </x:c>
      <x:c r="AP144" s="166" t="n">
        <x:v>0.5064111642178595</x:v>
      </x:c>
      <x:c r="AQ144" s="171" t="n">
        <x:f>IF(AK144="","",IFERROR(F144*AP144/AN144,0))</x:f>
        <x:v>0.44610687885088535</x:v>
      </x:c>
      <x:c r="AR144" s="171" t="n">
        <x:f>IF(AK144="","",F144*ABS(AP144))</x:f>
        <x:v>0.720016502465329</x:v>
      </x:c>
      <x:c r="AS144" s="165"/>
      <x:c r="AT144" s="172" t="str">
        <x:f>IF(AK144="","",IF(AS144="","",IFERROR(AN144/AS144-1,0)))</x:f>
      </x:c>
      <x:c r="AU144" s="166"/>
      <x:c r="AV144" s="172" t="str">
        <x:f>IF(AK144="","",IF(AU144="","",AU144-AT144*365/AW144))</x:f>
      </x:c>
      <x:c r="AW144" s="164"/>
      <x:c r="AX144" s="173" t="n">
        <x:f>IF(AK144="","",IFERROR(AP144*(AO144/AN144-1-'Parameters'!$C$6*C144/365),0))</x:f>
        <x:v>0.0009308789830009406</x:v>
      </x:c>
      <x:c r="AY144" s="147" t="str">
        <x:v>Matched-maturity Treasury collateral</x:v>
      </x:c>
      <x:c r="AZ144" s="147" t="str">
        <x:v>Treasury</x:v>
      </x:c>
      <x:c r="BA144" s="147" t="str">
        <x:v>Long</x:v>
      </x:c>
      <x:c r="BB144" s="167" t="n">
        <x:v>103.6880771219691</x:v>
      </x:c>
      <x:c r="BC144" s="167" t="n">
        <x:v>103.7477332759297</x:v>
      </x:c>
      <x:c r="BD144" s="166" t="n">
        <x:v>0.49358883578214047</x:v>
      </x:c>
      <x:c r="BE144" s="171" t="n">
        <x:f>IF(AY144="","",IFERROR(F144*BD144/BB144,0))</x:f>
        <x:v>0.006768239003848682</x:v>
      </x:c>
      <x:c r="BF144" s="171" t="n">
        <x:f>IF(AY144="","",F144*ABS(BD144))</x:f>
        <x:v>0.7017856878109815</x:v>
      </x:c>
      <x:c r="BG144" s="165"/>
      <x:c r="BH144" s="172" t="str">
        <x:f>IF(AY144="","",IF(BG144="","",IFERROR(BB144/BG144-1,0)))</x:f>
      </x:c>
      <x:c r="BI144" s="166"/>
      <x:c r="BJ144" s="172" t="str">
        <x:f>IF(AY144="","",IF(BI144="","",BI144-BH144*365/BK144))</x:f>
      </x:c>
      <x:c r="BK144" s="164" t="n">
        <x:v>56</x:v>
      </x:c>
      <x:c r="BL144" s="172" t="n">
        <x:f>IF(AY144="","",IFERROR(BD144*(BC144/BB144-1),0))</x:f>
        <x:v>0.0002839826178473087</x:v>
      </x:c>
      <x:c r="BM144" s="147" t="str">
        <x:v>SI69U</x:v>
      </x:c>
      <x:c r="BN144" s="147" t="str">
        <x:v>Silver future (regular)</x:v>
      </x:c>
      <x:c r="BO144" s="147" t="str">
        <x:v>Long</x:v>
      </x:c>
      <x:c r="BP144" s="167" t="n">
        <x:v>1.6130000000000002</x:v>
      </x:c>
      <x:c r="BQ144" s="167" t="n">
        <x:v>1.601</x:v>
      </x:c>
      <x:c r="BR144" s="166" t="n">
        <x:v>0.49358883578214047</x:v>
      </x:c>
      <x:c r="BS144" s="171" t="n">
        <x:f>IF(BM144="","",IFERROR(F144*BR144/BP144,0))</x:f>
        <x:v>0.43508102158151357</x:v>
      </x:c>
      <x:c r="BT144" s="171" t="n">
        <x:f>IF(BM144="","",F144*ABS(BR144))</x:f>
        <x:v>0.7017856878109815</x:v>
      </x:c>
      <x:c r="BU144" s="165" t="n">
        <x:v>1.614</x:v>
      </x:c>
      <x:c r="BV144" s="172" t="n">
        <x:f>IF(BM144="","",IF(BU144="","",IFERROR(BP144/BU144-1,0)))</x:f>
        <x:v>-0.0006195786864930941</x:v>
      </x:c>
      <x:c r="BW144" s="166" t="n">
        <x:v>0.07</x:v>
      </x:c>
      <x:c r="BX144" s="172" t="n">
        <x:f>IF(BM144="","",IF(BW144="","",BW144-BV144*365/BY144))</x:f>
        <x:v>0.07403832536732106</x:v>
      </x:c>
      <x:c r="BY144" s="164" t="n">
        <x:v>56</x:v>
      </x:c>
      <x:c r="BZ144" s="172" t="n">
        <x:f>IF(BM144="","",IFERROR(BR144*(BQ144/BP144-1),0))</x:f>
        <x:v>-0.003672080613382376</x:v>
      </x:c>
      <x:c r="CA144" s="147"/>
      <x:c r="CB144" s="147"/>
      <x:c r="CC144" s="147"/>
      <x:c r="CD144" s="167"/>
      <x:c r="CE144" s="167"/>
      <x:c r="CF144" s="166"/>
      <x:c r="CG144" s="171" t="str">
        <x:f>IF(CA144="","",IFERROR(F144*CF144/CD144,0))</x:f>
      </x:c>
      <x:c r="CH144" s="171" t="str">
        <x:f>IF(CA144="","",F144*ABS(CF144))</x:f>
      </x:c>
      <x:c r="CI144" s="165"/>
      <x:c r="CJ144" s="172" t="str">
        <x:f>IF(CA144="","",IF(CI144="","",IFERROR(CD144/CI144-1,0)))</x:f>
      </x:c>
      <x:c r="CK144" s="166"/>
      <x:c r="CL144" s="172" t="str">
        <x:f>IF(CA144="","",IF(CK144="","",CK144-CJ144*365/CM144))</x:f>
      </x:c>
      <x:c r="CM144" s="164"/>
      <x:c r="CN144" s="172" t="str">
        <x:f>IF(CA144="","",IFERROR(CF144*(CE144/CD144-1),0))</x:f>
      </x:c>
      <x:c r="CO144" s="147"/>
      <x:c r="CP144" s="147"/>
      <x:c r="CQ144" s="147"/>
      <x:c r="CR144" s="167"/>
      <x:c r="CS144" s="167"/>
      <x:c r="CT144" s="166"/>
      <x:c r="CU144" s="171" t="str">
        <x:f>IF(CO144="","",IFERROR(F144*CT144/CR144,0))</x:f>
      </x:c>
      <x:c r="CV144" s="171" t="str">
        <x:f>IF(CO144="","",F144*ABS(CT144))</x:f>
      </x:c>
      <x:c r="CW144" s="165"/>
      <x:c r="CX144" s="172" t="str">
        <x:f>IF(CO144="","",IF(CW144="","",IFERROR(CR144/CW144-1,0)))</x:f>
      </x:c>
      <x:c r="CY144" s="166"/>
      <x:c r="CZ144" s="172" t="str">
        <x:f>IF(CO144="","",IF(CY144="","",CY144-CX144*365/DA144))</x:f>
      </x:c>
      <x:c r="DA144" s="164"/>
      <x:c r="DB144" s="172" t="str">
        <x:f>IF(CO144="","",IFERROR(CT144*(CS144/CR144-1),0))</x:f>
      </x:c>
      <x:c r="DC144" s="147"/>
      <x:c r="DD144" s="147"/>
      <x:c r="DE144" s="147"/>
      <x:c r="DF144" s="167"/>
      <x:c r="DG144" s="167"/>
      <x:c r="DH144" s="166"/>
      <x:c r="DI144" s="171" t="str">
        <x:f>IF(DC144="","",IFERROR(F144*DH144/DF144,0))</x:f>
      </x:c>
      <x:c r="DJ144" s="171" t="str">
        <x:f>IF(DC144="","",F144*ABS(DH144))</x:f>
      </x:c>
      <x:c r="DK144" s="165"/>
      <x:c r="DL144" s="172" t="str">
        <x:f>IF(DC144="","",IF(DK144="","",IFERROR(DF144/DK144-1,0)))</x:f>
      </x:c>
      <x:c r="DM144" s="166"/>
      <x:c r="DN144" s="172" t="str">
        <x:f>IF(DC144="","",IF(DM144="","",DM144-DL144*365/DO144))</x:f>
      </x:c>
      <x:c r="DO144" s="164"/>
      <x:c r="DP144" s="172" t="str">
        <x:f>IF(DC144="","",IFERROR(DH144*(DG144/DF144-1),0))</x:f>
      </x:c>
      <x:c r="DQ144" s="147"/>
      <x:c r="DR144" s="147"/>
      <x:c r="DS144" s="147"/>
      <x:c r="DT144" s="167"/>
      <x:c r="DU144" s="167"/>
      <x:c r="DV144" s="166"/>
      <x:c r="DW144" s="171" t="str">
        <x:f>IF(DQ144="","",IFERROR(F144*DV144/DT144,0))</x:f>
      </x:c>
      <x:c r="DX144" s="171" t="str">
        <x:f>IF(DQ144="","",F144*ABS(DV144))</x:f>
      </x:c>
      <x:c r="DY144" s="165"/>
      <x:c r="DZ144" s="172" t="str">
        <x:f>IF(DQ144="","",IF(DY144="","",IFERROR(DT144/DY144-1,0)))</x:f>
      </x:c>
      <x:c r="EA144" s="166"/>
      <x:c r="EB144" s="172" t="str">
        <x:f>IF(DQ144="","",IF(EA144="","",EA144-DZ144*365/EC144))</x:f>
      </x:c>
      <x:c r="EC144" s="164"/>
      <x:c r="ED144" s="172" t="str">
        <x:f>IF(DQ144="","",IFERROR(DV144*(DU144/DT144-1),0))</x:f>
      </x:c>
      <x:c r="EE144" s="147"/>
      <x:c r="EF144" s="147"/>
      <x:c r="EG144" s="147"/>
      <x:c r="EH144" s="167"/>
      <x:c r="EI144" s="167"/>
      <x:c r="EJ144" s="166"/>
      <x:c r="EK144" s="171" t="str">
        <x:f>IF(EE144="","",IFERROR(F144*EJ144/EH144,0))</x:f>
      </x:c>
      <x:c r="EL144" s="171" t="str">
        <x:f>IF(EE144="","",F144*ABS(EJ144))</x:f>
      </x:c>
      <x:c r="EM144" s="165"/>
      <x:c r="EN144" s="172" t="str">
        <x:f>IF(EE144="","",IF(EM144="","",IFERROR(EH144/EM144-1,0)))</x:f>
      </x:c>
      <x:c r="EO144" s="166"/>
      <x:c r="EP144" s="172" t="str">
        <x:f>IF(EE144="","",IF(EO144="","",EO144-EN144*365/EQ144))</x:f>
      </x:c>
      <x:c r="EQ144" s="164"/>
      <x:c r="ER144" s="172" t="str">
        <x:f>IF(EE144="","",IFERROR(EJ144*(EI144/EH144-1),0))</x:f>
      </x:c>
      <x:c r="ES144" s="147"/>
      <x:c r="ET144" s="147"/>
      <x:c r="EU144" s="147"/>
      <x:c r="EV144" s="167"/>
      <x:c r="EW144" s="167"/>
      <x:c r="EX144" s="166"/>
      <x:c r="EY144" s="171" t="str">
        <x:f>IF(ES144="","",IFERROR(F144*EX144/EV144,0))</x:f>
      </x:c>
      <x:c r="EZ144" s="171" t="str">
        <x:f>IF(ES144="","",F144*ABS(EX144))</x:f>
      </x:c>
      <x:c r="FA144" s="165"/>
      <x:c r="FB144" s="172" t="str">
        <x:f>IF(ES144="","",IF(FA144="","",IFERROR(EV144/FA144-1,0)))</x:f>
      </x:c>
      <x:c r="FC144" s="166"/>
      <x:c r="FD144" s="172" t="str">
        <x:f>IF(ES144="","",IF(FC144="","",FC144-FB144*365/FE144))</x:f>
      </x:c>
      <x:c r="FE144" s="164"/>
      <x:c r="FF144" s="172" t="str">
        <x:f>IF(ES144="","",IFERROR(EX144*(EW144/EV144-1),0))</x:f>
      </x:c>
      <x:c r="FG144" s="147"/>
      <x:c r="FH144" s="147"/>
      <x:c r="FI144" s="147"/>
      <x:c r="FJ144" s="167"/>
      <x:c r="FK144" s="167"/>
      <x:c r="FL144" s="166"/>
      <x:c r="FM144" s="171" t="str">
        <x:f>IF(FG144="","",IFERROR(F144*FL144/FJ144,0))</x:f>
      </x:c>
      <x:c r="FN144" s="171" t="str">
        <x:f>IF(FG144="","",F144*ABS(FL144))</x:f>
      </x:c>
      <x:c r="FO144" s="165"/>
      <x:c r="FP144" s="172" t="str">
        <x:f>IF(FG144="","",IF(FO144="","",IFERROR(FJ144/FO144-1,0)))</x:f>
      </x:c>
      <x:c r="FQ144" s="166"/>
      <x:c r="FR144" s="172" t="str">
        <x:f>IF(FG144="","",IF(FQ144="","",FQ144-FP144*365/FS144))</x:f>
      </x:c>
      <x:c r="FS144" s="164"/>
      <x:c r="FT144" s="172" t="str">
        <x:f>IF(FG144="","",IFERROR(FL144*(FK144/FJ144-1),0))</x:f>
      </x:c>
    </x:row>
    <x:row r="145" ht="18" customHeight="1">
      <x:c r="A145" s="163" t="n">
        <x:v>25419</x:v>
      </x:c>
      <x:c r="B145" s="163" t="n">
        <x:v>25420</x:v>
      </x:c>
      <x:c r="C145" s="170" t="n">
        <x:f>B145-A145</x:f>
        <x:v>1</x:v>
      </x:c>
      <x:c r="D145" s="163" t="n">
        <x:v>25419</x:v>
      </x:c>
      <x:c r="E145" s="147" t="str">
        <x:v>positive</x:v>
      </x:c>
      <x:c r="F145" s="165" t="n">
        <x:v>1.4183085109023008</x:v>
      </x:c>
      <x:c r="G145" s="168" t="n">
        <x:v>0.015839020031629087</x:v>
      </x:c>
      <x:c r="H145" s="172" t="n">
        <x:f>SUM(AX145,BL145,BZ145,CN145,DB145,DP145,ED145,ER145,FF145,FT145)</x:f>
        <x:v>0.01583902003162917</x:v>
      </x:c>
      <x:c r="I145" s="174" t="n">
        <x:f>G145-H145</x:f>
        <x:v>-8.326672684688674e-17</x:v>
      </x:c>
      <x:c r="J145" s="171" t="n">
        <x:f>F145*(1+H145)</x:f>
        <x:v>1.4407731278175124</x:v>
      </x:c>
      <x:c r="K145" s="169" t="n">
        <x:v>1.4407731278175124</x:v>
      </x:c>
      <x:c r="L145" s="175" t="n">
        <x:f>K145-J145</x:f>
        <x:v>0</x:v>
      </x:c>
      <x:c r="M145" s="167" t="n">
        <x:v>1.617</x:v>
      </x:c>
      <x:c r="N145" s="167" t="n">
        <x:v>1.599</x:v>
      </x:c>
      <x:c r="O145" s="172" t="n">
        <x:f>IFERROR(N145/M145-1,0)</x:f>
        <x:v>-0.011131725417439675</x:v>
      </x:c>
      <x:c r="P145" s="171" t="n">
        <x:f>IFERROR(AD145/AH145,0)</x:f>
        <x:v>1.7174075846299972</x:v>
      </x:c>
      <x:c r="Q145" s="171" t="n">
        <x:f>IFERROR(AE145/AI145,0)</x:f>
        <x:v>1.7642487706483363</x:v>
      </x:c>
      <x:c r="R145" s="172" t="n">
        <x:f>IFERROR((Q145-P145)/(P145+S145),0)</x:f>
        <x:v>0.02727435609202266</x:v>
      </x:c>
      <x:c r="S145" s="172" t="n">
        <x:f>IFERROR(AF145/AH145,0)</x:f>
        <x:v>0</x:v>
      </x:c>
      <x:c r="T145" s="172" t="n">
        <x:f>IFERROR(AG145/AI145,0)</x:f>
        <x:v>0</x:v>
      </x:c>
      <x:c r="U145" s="172" t="n">
        <x:f>IFERROR((T145-S145)/(P145+S145),0)</x:f>
        <x:v>0</x:v>
      </x:c>
      <x:c r="V145" s="172" t="n">
        <x:f>R145+U145</x:f>
        <x:v>0.02727435609202266</x:v>
      </x:c>
      <x:c r="W145" s="172" t="n">
        <x:f>(1+O145)*(1+V145)-1</x:f>
        <x:v>0.01583902003162896</x:v>
      </x:c>
      <x:c r="X145" s="174" t="n">
        <x:f>G145-W145</x:f>
        <x:v>1.2836953722228372e-16</x:v>
      </x:c>
      <x:c r="Y145" s="172" t="n">
        <x:f>AX145</x:f>
        <x:v>-0.000932380711964617</x:v>
      </x:c>
      <x:c r="Z145" s="172" t="n">
        <x:f>BL145</x:f>
        <x:v>0.0001739700816010883</x:v>
      </x:c>
      <x:c r="AA145" s="172" t="n">
        <x:f>SUM(BZ145,CN145,DB145,DP145,ED145,ER145,FF145,FT145)</x:f>
        <x:v>0.0165974306619927</x:v>
      </x:c>
      <x:c r="AB145" s="172" t="n">
        <x:f>SUM(Y145:AA145)</x:f>
        <x:v>0.01583902003162917</x:v>
      </x:c>
      <x:c r="AC145" s="174" t="n">
        <x:f>G145-AB145</x:f>
        <x:v>-8.326672684688674e-17</x:v>
      </x:c>
      <x:c r="AD145" s="169" t="n">
        <x:v>1.418308510902301</x:v>
      </x:c>
      <x:c r="AE145" s="169" t="n">
        <x:v>1.4407731278175127</x:v>
      </x:c>
      <x:c r="AF145" s="169" t="n">
        <x:v>0</x:v>
      </x:c>
      <x:c r="AG145" s="169" t="n">
        <x:v>0</x:v>
      </x:c>
      <x:c r="AH145" s="171" t="n">
        <x:f>M145/$M$3</x:f>
        <x:v>0.8258426966292135</x:v>
      </x:c>
      <x:c r="AI145" s="171" t="n">
        <x:f>N145/$M$3</x:f>
        <x:v>0.8166496424923392</x:v>
      </x:c>
      <x:c r="AJ145" s="170" t="n">
        <x:f>IF(AK145&lt;&gt;"",1,0)+IF(AY145&lt;&gt;"",1,0)+IF(BM145&lt;&gt;"",1,0)+IF(CA145&lt;&gt;"",1,0)+IF(CO145&lt;&gt;"",1,0)+IF(DC145&lt;&gt;"",1,0)+IF(DQ145&lt;&gt;"",1,0)+IF(EE145&lt;&gt;"",1,0)+IF(ES145&lt;&gt;"",1,0)+IF(FG145&lt;&gt;"",1,0)</x:f>
        <x:v>3</x:v>
      </x:c>
      <x:c r="AK145" s="147" t="str">
        <x:v>Silver replicating holding (LBMA/SLV proxy)</x:v>
      </x:c>
      <x:c r="AL145" s="147" t="str">
        <x:v>Physical-backed proxy</x:v>
      </x:c>
      <x:c r="AM145" s="147" t="str">
        <x:v>Long</x:v>
      </x:c>
      <x:c r="AN145" s="167" t="n">
        <x:v>1.617</x:v>
      </x:c>
      <x:c r="AO145" s="167" t="n">
        <x:v>1.599</x:v>
      </x:c>
      <x:c r="AP145" s="166" t="n">
        <x:v>0.0837073624189497</x:v>
      </x:c>
      <x:c r="AQ145" s="171" t="n">
        <x:f>IF(AK145="","",IFERROR(F145*AP145/AN145,0))</x:f>
        <x:v>0.07342168493752614</x:v>
      </x:c>
      <x:c r="AR145" s="171" t="n">
        <x:f>IF(AK145="","",F145*ABS(AP145))</x:f>
        <x:v>0.11872286454397976</x:v>
      </x:c>
      <x:c r="AS145" s="165"/>
      <x:c r="AT145" s="172" t="str">
        <x:f>IF(AK145="","",IF(AS145="","",IFERROR(AN145/AS145-1,0)))</x:f>
      </x:c>
      <x:c r="AU145" s="166"/>
      <x:c r="AV145" s="172" t="str">
        <x:f>IF(AK145="","",IF(AU145="","",AU145-AT145*365/AW145))</x:f>
      </x:c>
      <x:c r="AW145" s="164"/>
      <x:c r="AX145" s="173" t="n">
        <x:f>IF(AK145="","",IFERROR(AP145*(AO145/AN145-1-'Parameters'!$C$6*C145/365),0))</x:f>
        <x:v>-0.000932380711964617</x:v>
      </x:c>
      <x:c r="AY145" s="147" t="str">
        <x:v>Matched-maturity Treasury collateral</x:v>
      </x:c>
      <x:c r="AZ145" s="147" t="str">
        <x:v>Treasury</x:v>
      </x:c>
      <x:c r="BA145" s="147" t="str">
        <x:v>Long</x:v>
      </x:c>
      <x:c r="BB145" s="167" t="n">
        <x:v>103.7477332759297</x:v>
      </x:c>
      <x:c r="BC145" s="167" t="n">
        <x:v>103.76743113323388</x:v>
      </x:c>
      <x:c r="BD145" s="166" t="n">
        <x:v>0.9162926375810503</x:v>
      </x:c>
      <x:c r="BE145" s="171" t="n">
        <x:f>IF(AY145="","",IFERROR(F145*BD145/BB145,0))</x:f>
        <x:v>0.012526400387967178</x:v>
      </x:c>
      <x:c r="BF145" s="171" t="n">
        <x:f>IF(AY145="","",F145*ABS(BD145))</x:f>
        <x:v>1.299585646358321</x:v>
      </x:c>
      <x:c r="BG145" s="165"/>
      <x:c r="BH145" s="172" t="str">
        <x:f>IF(AY145="","",IF(BG145="","",IFERROR(BB145/BG145-1,0)))</x:f>
      </x:c>
      <x:c r="BI145" s="166"/>
      <x:c r="BJ145" s="172" t="str">
        <x:f>IF(AY145="","",IF(BI145="","",BI145-BH145*365/BK145))</x:f>
      </x:c>
      <x:c r="BK145" s="164" t="n">
        <x:v>53</x:v>
      </x:c>
      <x:c r="BL145" s="172" t="n">
        <x:f>IF(AY145="","",IFERROR(BD145*(BC145/BB145-1),0))</x:f>
        <x:v>0.0001739700816010883</x:v>
      </x:c>
      <x:c r="BM145" s="147" t="str">
        <x:v>SI69U</x:v>
      </x:c>
      <x:c r="BN145" s="147" t="str">
        <x:v>Silver future (regular)</x:v>
      </x:c>
      <x:c r="BO145" s="147" t="str">
        <x:v>Long</x:v>
      </x:c>
      <x:c r="BP145" s="167" t="n">
        <x:v>1.601</x:v>
      </x:c>
      <x:c r="BQ145" s="167" t="n">
        <x:v>1.63</x:v>
      </x:c>
      <x:c r="BR145" s="166" t="n">
        <x:v>0.9162926375810503</x:v>
      </x:c>
      <x:c r="BS145" s="171" t="n">
        <x:f>IF(BM145="","",IFERROR(F145*BR145/BP145,0))</x:f>
        <x:v>0.8117336954143167</x:v>
      </x:c>
      <x:c r="BT145" s="171" t="n">
        <x:f>IF(BM145="","",F145*ABS(BR145))</x:f>
        <x:v>1.299585646358321</x:v>
      </x:c>
      <x:c r="BU145" s="165" t="n">
        <x:v>1.617</x:v>
      </x:c>
      <x:c r="BV145" s="172" t="n">
        <x:f>IF(BM145="","",IF(BU145="","",IFERROR(BP145/BU145-1,0)))</x:f>
        <x:v>-0.009894867037724242</x:v>
      </x:c>
      <x:c r="BW145" s="166" t="n">
        <x:v>0.0693</x:v>
      </x:c>
      <x:c r="BX145" s="172" t="n">
        <x:f>IF(BM145="","",IF(BW145="","",BW145-BV145*365/BY145))</x:f>
        <x:v>0.13744389563715753</x:v>
      </x:c>
      <x:c r="BY145" s="164" t="n">
        <x:v>53</x:v>
      </x:c>
      <x:c r="BZ145" s="172" t="n">
        <x:f>IF(BM145="","",IFERROR(BR145*(BQ145/BP145-1),0))</x:f>
        <x:v>0.0165974306619927</x:v>
      </x:c>
      <x:c r="CA145" s="147"/>
      <x:c r="CB145" s="147"/>
      <x:c r="CC145" s="147"/>
      <x:c r="CD145" s="167"/>
      <x:c r="CE145" s="167"/>
      <x:c r="CF145" s="166"/>
      <x:c r="CG145" s="171" t="str">
        <x:f>IF(CA145="","",IFERROR(F145*CF145/CD145,0))</x:f>
      </x:c>
      <x:c r="CH145" s="171" t="str">
        <x:f>IF(CA145="","",F145*ABS(CF145))</x:f>
      </x:c>
      <x:c r="CI145" s="165"/>
      <x:c r="CJ145" s="172" t="str">
        <x:f>IF(CA145="","",IF(CI145="","",IFERROR(CD145/CI145-1,0)))</x:f>
      </x:c>
      <x:c r="CK145" s="166"/>
      <x:c r="CL145" s="172" t="str">
        <x:f>IF(CA145="","",IF(CK145="","",CK145-CJ145*365/CM145))</x:f>
      </x:c>
      <x:c r="CM145" s="164"/>
      <x:c r="CN145" s="172" t="str">
        <x:f>IF(CA145="","",IFERROR(CF145*(CE145/CD145-1),0))</x:f>
      </x:c>
      <x:c r="CO145" s="147"/>
      <x:c r="CP145" s="147"/>
      <x:c r="CQ145" s="147"/>
      <x:c r="CR145" s="167"/>
      <x:c r="CS145" s="167"/>
      <x:c r="CT145" s="166"/>
      <x:c r="CU145" s="171" t="str">
        <x:f>IF(CO145="","",IFERROR(F145*CT145/CR145,0))</x:f>
      </x:c>
      <x:c r="CV145" s="171" t="str">
        <x:f>IF(CO145="","",F145*ABS(CT145))</x:f>
      </x:c>
      <x:c r="CW145" s="165"/>
      <x:c r="CX145" s="172" t="str">
        <x:f>IF(CO145="","",IF(CW145="","",IFERROR(CR145/CW145-1,0)))</x:f>
      </x:c>
      <x:c r="CY145" s="166"/>
      <x:c r="CZ145" s="172" t="str">
        <x:f>IF(CO145="","",IF(CY145="","",CY145-CX145*365/DA145))</x:f>
      </x:c>
      <x:c r="DA145" s="164"/>
      <x:c r="DB145" s="172" t="str">
        <x:f>IF(CO145="","",IFERROR(CT145*(CS145/CR145-1),0))</x:f>
      </x:c>
      <x:c r="DC145" s="147"/>
      <x:c r="DD145" s="147"/>
      <x:c r="DE145" s="147"/>
      <x:c r="DF145" s="167"/>
      <x:c r="DG145" s="167"/>
      <x:c r="DH145" s="166"/>
      <x:c r="DI145" s="171" t="str">
        <x:f>IF(DC145="","",IFERROR(F145*DH145/DF145,0))</x:f>
      </x:c>
      <x:c r="DJ145" s="171" t="str">
        <x:f>IF(DC145="","",F145*ABS(DH145))</x:f>
      </x:c>
      <x:c r="DK145" s="165"/>
      <x:c r="DL145" s="172" t="str">
        <x:f>IF(DC145="","",IF(DK145="","",IFERROR(DF145/DK145-1,0)))</x:f>
      </x:c>
      <x:c r="DM145" s="166"/>
      <x:c r="DN145" s="172" t="str">
        <x:f>IF(DC145="","",IF(DM145="","",DM145-DL145*365/DO145))</x:f>
      </x:c>
      <x:c r="DO145" s="164"/>
      <x:c r="DP145" s="172" t="str">
        <x:f>IF(DC145="","",IFERROR(DH145*(DG145/DF145-1),0))</x:f>
      </x:c>
      <x:c r="DQ145" s="147"/>
      <x:c r="DR145" s="147"/>
      <x:c r="DS145" s="147"/>
      <x:c r="DT145" s="167"/>
      <x:c r="DU145" s="167"/>
      <x:c r="DV145" s="166"/>
      <x:c r="DW145" s="171" t="str">
        <x:f>IF(DQ145="","",IFERROR(F145*DV145/DT145,0))</x:f>
      </x:c>
      <x:c r="DX145" s="171" t="str">
        <x:f>IF(DQ145="","",F145*ABS(DV145))</x:f>
      </x:c>
      <x:c r="DY145" s="165"/>
      <x:c r="DZ145" s="172" t="str">
        <x:f>IF(DQ145="","",IF(DY145="","",IFERROR(DT145/DY145-1,0)))</x:f>
      </x:c>
      <x:c r="EA145" s="166"/>
      <x:c r="EB145" s="172" t="str">
        <x:f>IF(DQ145="","",IF(EA145="","",EA145-DZ145*365/EC145))</x:f>
      </x:c>
      <x:c r="EC145" s="164"/>
      <x:c r="ED145" s="172" t="str">
        <x:f>IF(DQ145="","",IFERROR(DV145*(DU145/DT145-1),0))</x:f>
      </x:c>
      <x:c r="EE145" s="147"/>
      <x:c r="EF145" s="147"/>
      <x:c r="EG145" s="147"/>
      <x:c r="EH145" s="167"/>
      <x:c r="EI145" s="167"/>
      <x:c r="EJ145" s="166"/>
      <x:c r="EK145" s="171" t="str">
        <x:f>IF(EE145="","",IFERROR(F145*EJ145/EH145,0))</x:f>
      </x:c>
      <x:c r="EL145" s="171" t="str">
        <x:f>IF(EE145="","",F145*ABS(EJ145))</x:f>
      </x:c>
      <x:c r="EM145" s="165"/>
      <x:c r="EN145" s="172" t="str">
        <x:f>IF(EE145="","",IF(EM145="","",IFERROR(EH145/EM145-1,0)))</x:f>
      </x:c>
      <x:c r="EO145" s="166"/>
      <x:c r="EP145" s="172" t="str">
        <x:f>IF(EE145="","",IF(EO145="","",EO145-EN145*365/EQ145))</x:f>
      </x:c>
      <x:c r="EQ145" s="164"/>
      <x:c r="ER145" s="172" t="str">
        <x:f>IF(EE145="","",IFERROR(EJ145*(EI145/EH145-1),0))</x:f>
      </x:c>
      <x:c r="ES145" s="147"/>
      <x:c r="ET145" s="147"/>
      <x:c r="EU145" s="147"/>
      <x:c r="EV145" s="167"/>
      <x:c r="EW145" s="167"/>
      <x:c r="EX145" s="166"/>
      <x:c r="EY145" s="171" t="str">
        <x:f>IF(ES145="","",IFERROR(F145*EX145/EV145,0))</x:f>
      </x:c>
      <x:c r="EZ145" s="171" t="str">
        <x:f>IF(ES145="","",F145*ABS(EX145))</x:f>
      </x:c>
      <x:c r="FA145" s="165"/>
      <x:c r="FB145" s="172" t="str">
        <x:f>IF(ES145="","",IF(FA145="","",IFERROR(EV145/FA145-1,0)))</x:f>
      </x:c>
      <x:c r="FC145" s="166"/>
      <x:c r="FD145" s="172" t="str">
        <x:f>IF(ES145="","",IF(FC145="","",FC145-FB145*365/FE145))</x:f>
      </x:c>
      <x:c r="FE145" s="164"/>
      <x:c r="FF145" s="172" t="str">
        <x:f>IF(ES145="","",IFERROR(EX145*(EW145/EV145-1),0))</x:f>
      </x:c>
      <x:c r="FG145" s="147"/>
      <x:c r="FH145" s="147"/>
      <x:c r="FI145" s="147"/>
      <x:c r="FJ145" s="167"/>
      <x:c r="FK145" s="167"/>
      <x:c r="FL145" s="166"/>
      <x:c r="FM145" s="171" t="str">
        <x:f>IF(FG145="","",IFERROR(F145*FL145/FJ145,0))</x:f>
      </x:c>
      <x:c r="FN145" s="171" t="str">
        <x:f>IF(FG145="","",F145*ABS(FL145))</x:f>
      </x:c>
      <x:c r="FO145" s="165"/>
      <x:c r="FP145" s="172" t="str">
        <x:f>IF(FG145="","",IF(FO145="","",IFERROR(FJ145/FO145-1,0)))</x:f>
      </x:c>
      <x:c r="FQ145" s="166"/>
      <x:c r="FR145" s="172" t="str">
        <x:f>IF(FG145="","",IF(FQ145="","",FQ145-FP145*365/FS145))</x:f>
      </x:c>
      <x:c r="FS145" s="164"/>
      <x:c r="FT145" s="172" t="str">
        <x:f>IF(FG145="","",IFERROR(FL145*(FK145/FJ145-1),0))</x:f>
      </x:c>
    </x:row>
    <x:row r="146" ht="18" customHeight="1">
      <x:c r="A146" s="163" t="n">
        <x:v>25420</x:v>
      </x:c>
      <x:c r="B146" s="163" t="n">
        <x:v>25421</x:v>
      </x:c>
      <x:c r="C146" s="170" t="n">
        <x:f>B146-A146</x:f>
        <x:v>1</x:v>
      </x:c>
      <x:c r="D146" s="163" t="n">
        <x:v>25420</x:v>
      </x:c>
      <x:c r="E146" s="147" t="str">
        <x:v>neutral</x:v>
      </x:c>
      <x:c r="F146" s="165" t="n">
        <x:v>1.4407731278175124</x:v>
      </x:c>
      <x:c r="G146" s="168" t="n">
        <x:v>0.009374013724331174</x:v>
      </x:c>
      <x:c r="H146" s="172" t="n">
        <x:f>SUM(AX146,BL146,BZ146,CN146,DB146,DP146,ED146,ER146,FF146,FT146)</x:f>
        <x:v>0.009374013724331174</x:v>
      </x:c>
      <x:c r="I146" s="174" t="n">
        <x:f>G146-H146</x:f>
        <x:v>0</x:v>
      </x:c>
      <x:c r="J146" s="171" t="n">
        <x:f>F146*(1+H146)</x:f>
        <x:v>1.4542789548913213</x:v>
      </x:c>
      <x:c r="K146" s="169" t="n">
        <x:v>1.4542789548913213</x:v>
      </x:c>
      <x:c r="L146" s="175" t="n">
        <x:f>K146-J146</x:f>
        <x:v>0</x:v>
      </x:c>
      <x:c r="M146" s="167" t="n">
        <x:v>1.599</x:v>
      </x:c>
      <x:c r="N146" s="167" t="n">
        <x:v>1.614</x:v>
      </x:c>
      <x:c r="O146" s="172" t="n">
        <x:f>IFERROR(N146/M146-1,0)</x:f>
        <x:v>0.009380863039399667</x:v>
      </x:c>
      <x:c r="P146" s="171" t="n">
        <x:f>IFERROR(AD146/AH146,0)</x:f>
        <x:v>1.7642487706483363</x:v>
      </x:c>
      <x:c r="Q146" s="171" t="n">
        <x:f>IFERROR(AE146/AI146,0)</x:f>
        <x:v>1.7642367990565102</x:v>
      </x:c>
      <x:c r="R146" s="172" t="n">
        <x:f>IFERROR((Q146-P146)/(P146+S146),0)</x:f>
        <x:v>-0.000006785659723990204</x:v>
      </x:c>
      <x:c r="S146" s="172" t="n">
        <x:f>IFERROR(AF146/AH146,0)</x:f>
        <x:v>0</x:v>
      </x:c>
      <x:c r="T146" s="172" t="n">
        <x:f>IFERROR(AG146/AI146,0)</x:f>
        <x:v>0</x:v>
      </x:c>
      <x:c r="U146" s="172" t="n">
        <x:f>IFERROR((T146-S146)/(P146+S146),0)</x:f>
        <x:v>0</x:v>
      </x:c>
      <x:c r="V146" s="172" t="n">
        <x:f>R146+U146</x:f>
        <x:v>-0.000006785659723990204</x:v>
      </x:c>
      <x:c r="W146" s="172" t="n">
        <x:f>(1+O146)*(1+V146)-1</x:f>
        <x:v>0.00937401372433122</x:v>
      </x:c>
      <x:c r="X146" s="174" t="n">
        <x:f>G146-W146</x:f>
        <x:v>-4.683753385137379e-17</x:v>
      </x:c>
      <x:c r="Y146" s="172" t="n">
        <x:f>AX146</x:f>
        <x:v>0.009374013724331174</x:v>
      </x:c>
      <x:c r="Z146" s="172" t="str">
        <x:f>BL146</x:f>
      </x:c>
      <x:c r="AA146" s="172" t="n">
        <x:f>SUM(BZ146,CN146,DB146,DP146,ED146,ER146,FF146,FT146)</x:f>
        <x:v>0</x:v>
      </x:c>
      <x:c r="AB146" s="172" t="n">
        <x:f>SUM(Y146:AA146)</x:f>
        <x:v>0.009374013724331174</x:v>
      </x:c>
      <x:c r="AC146" s="174" t="n">
        <x:f>G146-AB146</x:f>
        <x:v>0</x:v>
      </x:c>
      <x:c r="AD146" s="169" t="n">
        <x:v>1.4407731278175127</x:v>
      </x:c>
      <x:c r="AE146" s="169" t="n">
        <x:v>1.4542789548913215</x:v>
      </x:c>
      <x:c r="AF146" s="169" t="n">
        <x:v>0</x:v>
      </x:c>
      <x:c r="AG146" s="169" t="n">
        <x:v>0</x:v>
      </x:c>
      <x:c r="AH146" s="171" t="n">
        <x:f>M146/$M$3</x:f>
        <x:v>0.8166496424923392</x:v>
      </x:c>
      <x:c r="AI146" s="171" t="n">
        <x:f>N146/$M$3</x:f>
        <x:v>0.8243105209397344</x:v>
      </x:c>
      <x:c r="AJ146" s="170" t="n">
        <x:f>IF(AK146&lt;&gt;"",1,0)+IF(AY146&lt;&gt;"",1,0)+IF(BM146&lt;&gt;"",1,0)+IF(CA146&lt;&gt;"",1,0)+IF(CO146&lt;&gt;"",1,0)+IF(DC146&lt;&gt;"",1,0)+IF(DQ146&lt;&gt;"",1,0)+IF(EE146&lt;&gt;"",1,0)+IF(ES146&lt;&gt;"",1,0)+IF(FG146&lt;&gt;"",1,0)</x:f>
        <x:v>1</x:v>
      </x:c>
      <x:c r="AK146" s="147" t="str">
        <x:v>Silver replicating holding (LBMA/SLV proxy)</x:v>
      </x:c>
      <x:c r="AL146" s="147" t="str">
        <x:v>Physical-backed proxy</x:v>
      </x:c>
      <x:c r="AM146" s="147" t="str">
        <x:v>Long</x:v>
      </x:c>
      <x:c r="AN146" s="167" t="n">
        <x:v>1.599</x:v>
      </x:c>
      <x:c r="AO146" s="167" t="n">
        <x:v>1.614</x:v>
      </x:c>
      <x:c r="AP146" s="166" t="n">
        <x:v>1</x:v>
      </x:c>
      <x:c r="AQ146" s="171" t="n">
        <x:f>IF(AK146="","",IFERROR(F146*AP146/AN146,0))</x:f>
        <x:v>0.9010463588602329</x:v>
      </x:c>
      <x:c r="AR146" s="171" t="n">
        <x:f>IF(AK146="","",F146*ABS(AP146))</x:f>
        <x:v>1.4407731278175124</x:v>
      </x:c>
      <x:c r="AS146" s="165"/>
      <x:c r="AT146" s="172" t="str">
        <x:f>IF(AK146="","",IF(AS146="","",IFERROR(AN146/AS146-1,0)))</x:f>
      </x:c>
      <x:c r="AU146" s="166"/>
      <x:c r="AV146" s="172" t="str">
        <x:f>IF(AK146="","",IF(AU146="","",AU146-AT146*365/AW146))</x:f>
      </x:c>
      <x:c r="AW146" s="164"/>
      <x:c r="AX146" s="173" t="n">
        <x:f>IF(AK146="","",IFERROR(AP146*(AO146/AN146-1-'Parameters'!$C$6*C146/365),0))</x:f>
        <x:v>0.009374013724331174</x:v>
      </x:c>
      <x:c r="AY146" s="147"/>
      <x:c r="AZ146" s="147"/>
      <x:c r="BA146" s="147"/>
      <x:c r="BB146" s="167"/>
      <x:c r="BC146" s="167"/>
      <x:c r="BD146" s="166"/>
      <x:c r="BE146" s="171" t="str">
        <x:f>IF(AY146="","",IFERROR(F146*BD146/BB146,0))</x:f>
      </x:c>
      <x:c r="BF146" s="171" t="str">
        <x:f>IF(AY146="","",F146*ABS(BD146))</x:f>
      </x:c>
      <x:c r="BG146" s="165"/>
      <x:c r="BH146" s="172" t="str">
        <x:f>IF(AY146="","",IF(BG146="","",IFERROR(BB146/BG146-1,0)))</x:f>
      </x:c>
      <x:c r="BI146" s="166"/>
      <x:c r="BJ146" s="172" t="str">
        <x:f>IF(AY146="","",IF(BI146="","",BI146-BH146*365/BK146))</x:f>
      </x:c>
      <x:c r="BK146" s="164"/>
      <x:c r="BL146" s="172" t="str">
        <x:f>IF(AY146="","",IFERROR(BD146*(BC146/BB146-1),0))</x:f>
      </x:c>
      <x:c r="BM146" s="147"/>
      <x:c r="BN146" s="147"/>
      <x:c r="BO146" s="147"/>
      <x:c r="BP146" s="167"/>
      <x:c r="BQ146" s="167"/>
      <x:c r="BR146" s="166"/>
      <x:c r="BS146" s="171" t="str">
        <x:f>IF(BM146="","",IFERROR(F146*BR146/BP146,0))</x:f>
      </x:c>
      <x:c r="BT146" s="171" t="str">
        <x:f>IF(BM146="","",F146*ABS(BR146))</x:f>
      </x:c>
      <x:c r="BU146" s="165"/>
      <x:c r="BV146" s="172" t="str">
        <x:f>IF(BM146="","",IF(BU146="","",IFERROR(BP146/BU146-1,0)))</x:f>
      </x:c>
      <x:c r="BW146" s="166"/>
      <x:c r="BX146" s="172" t="str">
        <x:f>IF(BM146="","",IF(BW146="","",BW146-BV146*365/BY146))</x:f>
      </x:c>
      <x:c r="BY146" s="164"/>
      <x:c r="BZ146" s="172" t="str">
        <x:f>IF(BM146="","",IFERROR(BR146*(BQ146/BP146-1),0))</x:f>
      </x:c>
      <x:c r="CA146" s="147"/>
      <x:c r="CB146" s="147"/>
      <x:c r="CC146" s="147"/>
      <x:c r="CD146" s="167"/>
      <x:c r="CE146" s="167"/>
      <x:c r="CF146" s="166"/>
      <x:c r="CG146" s="171" t="str">
        <x:f>IF(CA146="","",IFERROR(F146*CF146/CD146,0))</x:f>
      </x:c>
      <x:c r="CH146" s="171" t="str">
        <x:f>IF(CA146="","",F146*ABS(CF146))</x:f>
      </x:c>
      <x:c r="CI146" s="165"/>
      <x:c r="CJ146" s="172" t="str">
        <x:f>IF(CA146="","",IF(CI146="","",IFERROR(CD146/CI146-1,0)))</x:f>
      </x:c>
      <x:c r="CK146" s="166"/>
      <x:c r="CL146" s="172" t="str">
        <x:f>IF(CA146="","",IF(CK146="","",CK146-CJ146*365/CM146))</x:f>
      </x:c>
      <x:c r="CM146" s="164"/>
      <x:c r="CN146" s="172" t="str">
        <x:f>IF(CA146="","",IFERROR(CF146*(CE146/CD146-1),0))</x:f>
      </x:c>
      <x:c r="CO146" s="147"/>
      <x:c r="CP146" s="147"/>
      <x:c r="CQ146" s="147"/>
      <x:c r="CR146" s="167"/>
      <x:c r="CS146" s="167"/>
      <x:c r="CT146" s="166"/>
      <x:c r="CU146" s="171" t="str">
        <x:f>IF(CO146="","",IFERROR(F146*CT146/CR146,0))</x:f>
      </x:c>
      <x:c r="CV146" s="171" t="str">
        <x:f>IF(CO146="","",F146*ABS(CT146))</x:f>
      </x:c>
      <x:c r="CW146" s="165"/>
      <x:c r="CX146" s="172" t="str">
        <x:f>IF(CO146="","",IF(CW146="","",IFERROR(CR146/CW146-1,0)))</x:f>
      </x:c>
      <x:c r="CY146" s="166"/>
      <x:c r="CZ146" s="172" t="str">
        <x:f>IF(CO146="","",IF(CY146="","",CY146-CX146*365/DA146))</x:f>
      </x:c>
      <x:c r="DA146" s="164"/>
      <x:c r="DB146" s="172" t="str">
        <x:f>IF(CO146="","",IFERROR(CT146*(CS146/CR146-1),0))</x:f>
      </x:c>
      <x:c r="DC146" s="147"/>
      <x:c r="DD146" s="147"/>
      <x:c r="DE146" s="147"/>
      <x:c r="DF146" s="167"/>
      <x:c r="DG146" s="167"/>
      <x:c r="DH146" s="166"/>
      <x:c r="DI146" s="171" t="str">
        <x:f>IF(DC146="","",IFERROR(F146*DH146/DF146,0))</x:f>
      </x:c>
      <x:c r="DJ146" s="171" t="str">
        <x:f>IF(DC146="","",F146*ABS(DH146))</x:f>
      </x:c>
      <x:c r="DK146" s="165"/>
      <x:c r="DL146" s="172" t="str">
        <x:f>IF(DC146="","",IF(DK146="","",IFERROR(DF146/DK146-1,0)))</x:f>
      </x:c>
      <x:c r="DM146" s="166"/>
      <x:c r="DN146" s="172" t="str">
        <x:f>IF(DC146="","",IF(DM146="","",DM146-DL146*365/DO146))</x:f>
      </x:c>
      <x:c r="DO146" s="164"/>
      <x:c r="DP146" s="172" t="str">
        <x:f>IF(DC146="","",IFERROR(DH146*(DG146/DF146-1),0))</x:f>
      </x:c>
      <x:c r="DQ146" s="147"/>
      <x:c r="DR146" s="147"/>
      <x:c r="DS146" s="147"/>
      <x:c r="DT146" s="167"/>
      <x:c r="DU146" s="167"/>
      <x:c r="DV146" s="166"/>
      <x:c r="DW146" s="171" t="str">
        <x:f>IF(DQ146="","",IFERROR(F146*DV146/DT146,0))</x:f>
      </x:c>
      <x:c r="DX146" s="171" t="str">
        <x:f>IF(DQ146="","",F146*ABS(DV146))</x:f>
      </x:c>
      <x:c r="DY146" s="165"/>
      <x:c r="DZ146" s="172" t="str">
        <x:f>IF(DQ146="","",IF(DY146="","",IFERROR(DT146/DY146-1,0)))</x:f>
      </x:c>
      <x:c r="EA146" s="166"/>
      <x:c r="EB146" s="172" t="str">
        <x:f>IF(DQ146="","",IF(EA146="","",EA146-DZ146*365/EC146))</x:f>
      </x:c>
      <x:c r="EC146" s="164"/>
      <x:c r="ED146" s="172" t="str">
        <x:f>IF(DQ146="","",IFERROR(DV146*(DU146/DT146-1),0))</x:f>
      </x:c>
      <x:c r="EE146" s="147"/>
      <x:c r="EF146" s="147"/>
      <x:c r="EG146" s="147"/>
      <x:c r="EH146" s="167"/>
      <x:c r="EI146" s="167"/>
      <x:c r="EJ146" s="166"/>
      <x:c r="EK146" s="171" t="str">
        <x:f>IF(EE146="","",IFERROR(F146*EJ146/EH146,0))</x:f>
      </x:c>
      <x:c r="EL146" s="171" t="str">
        <x:f>IF(EE146="","",F146*ABS(EJ146))</x:f>
      </x:c>
      <x:c r="EM146" s="165"/>
      <x:c r="EN146" s="172" t="str">
        <x:f>IF(EE146="","",IF(EM146="","",IFERROR(EH146/EM146-1,0)))</x:f>
      </x:c>
      <x:c r="EO146" s="166"/>
      <x:c r="EP146" s="172" t="str">
        <x:f>IF(EE146="","",IF(EO146="","",EO146-EN146*365/EQ146))</x:f>
      </x:c>
      <x:c r="EQ146" s="164"/>
      <x:c r="ER146" s="172" t="str">
        <x:f>IF(EE146="","",IFERROR(EJ146*(EI146/EH146-1),0))</x:f>
      </x:c>
      <x:c r="ES146" s="147"/>
      <x:c r="ET146" s="147"/>
      <x:c r="EU146" s="147"/>
      <x:c r="EV146" s="167"/>
      <x:c r="EW146" s="167"/>
      <x:c r="EX146" s="166"/>
      <x:c r="EY146" s="171" t="str">
        <x:f>IF(ES146="","",IFERROR(F146*EX146/EV146,0))</x:f>
      </x:c>
      <x:c r="EZ146" s="171" t="str">
        <x:f>IF(ES146="","",F146*ABS(EX146))</x:f>
      </x:c>
      <x:c r="FA146" s="165"/>
      <x:c r="FB146" s="172" t="str">
        <x:f>IF(ES146="","",IF(FA146="","",IFERROR(EV146/FA146-1,0)))</x:f>
      </x:c>
      <x:c r="FC146" s="166"/>
      <x:c r="FD146" s="172" t="str">
        <x:f>IF(ES146="","",IF(FC146="","",FC146-FB146*365/FE146))</x:f>
      </x:c>
      <x:c r="FE146" s="164"/>
      <x:c r="FF146" s="172" t="str">
        <x:f>IF(ES146="","",IFERROR(EX146*(EW146/EV146-1),0))</x:f>
      </x:c>
      <x:c r="FG146" s="147"/>
      <x:c r="FH146" s="147"/>
      <x:c r="FI146" s="147"/>
      <x:c r="FJ146" s="167"/>
      <x:c r="FK146" s="167"/>
      <x:c r="FL146" s="166"/>
      <x:c r="FM146" s="171" t="str">
        <x:f>IF(FG146="","",IFERROR(F146*FL146/FJ146,0))</x:f>
      </x:c>
      <x:c r="FN146" s="171" t="str">
        <x:f>IF(FG146="","",F146*ABS(FL146))</x:f>
      </x:c>
      <x:c r="FO146" s="165"/>
      <x:c r="FP146" s="172" t="str">
        <x:f>IF(FG146="","",IF(FO146="","",IFERROR(FJ146/FO146-1,0)))</x:f>
      </x:c>
      <x:c r="FQ146" s="166"/>
      <x:c r="FR146" s="172" t="str">
        <x:f>IF(FG146="","",IF(FQ146="","",FQ146-FP146*365/FS146))</x:f>
      </x:c>
      <x:c r="FS146" s="164"/>
      <x:c r="FT146" s="172" t="str">
        <x:f>IF(FG146="","",IFERROR(FL146*(FK146/FJ146-1),0))</x:f>
      </x:c>
    </x:row>
    <x:row r="147" ht="18" customHeight="1">
      <x:c r="A147" s="163" t="n">
        <x:v>25421</x:v>
      </x:c>
      <x:c r="B147" s="163" t="n">
        <x:v>25422</x:v>
      </x:c>
      <x:c r="C147" s="170" t="n">
        <x:f>B147-A147</x:f>
        <x:v>1</x:v>
      </x:c>
      <x:c r="D147" s="163" t="n">
        <x:v>25421</x:v>
      </x:c>
      <x:c r="E147" s="147" t="str">
        <x:v>positive</x:v>
      </x:c>
      <x:c r="F147" s="165" t="n">
        <x:v>1.4542789548913213</x:v>
      </x:c>
      <x:c r="G147" s="168" t="n">
        <x:v>0.00019440359290555002</x:v>
      </x:c>
      <x:c r="H147" s="172" t="n">
        <x:f>SUM(AX147,BL147,BZ147,CN147,DB147,DP147,ED147,ER147,FF147,FT147)</x:f>
        <x:v>0.0001944035929055425</x:v>
      </x:c>
      <x:c r="I147" s="174" t="n">
        <x:f>G147-H147</x:f>
        <x:v>7.508100044462118e-18</x:v>
      </x:c>
      <x:c r="J147" s="171" t="n">
        <x:f>F147*(1+H147)</x:f>
        <x:v>1.4545616719452392</x:v>
      </x:c>
      <x:c r="K147" s="169" t="n">
        <x:v>1.4545616719452392</x:v>
      </x:c>
      <x:c r="L147" s="175" t="n">
        <x:f>K147-J147</x:f>
        <x:v>0</x:v>
      </x:c>
      <x:c r="M147" s="167" t="n">
        <x:v>1.614</x:v>
      </x:c>
      <x:c r="N147" s="167" t="n">
        <x:v>1.614</x:v>
      </x:c>
      <x:c r="O147" s="172" t="n">
        <x:f>IFERROR(N147/M147-1,0)</x:f>
        <x:v>0</x:v>
      </x:c>
      <x:c r="P147" s="171" t="n">
        <x:f>IFERROR(AD147/AH147,0)</x:f>
        <x:v>1.7642367990565102</x:v>
      </x:c>
      <x:c r="Q147" s="171" t="n">
        <x:f>IFERROR(AE147/AI147,0)</x:f>
        <x:v>1.764579773028983</x:v>
      </x:c>
      <x:c r="R147" s="172" t="n">
        <x:f>IFERROR((Q147-P147)/(P147+S147),0)</x:f>
        <x:v>0.00019440359290553028</x:v>
      </x:c>
      <x:c r="S147" s="172" t="n">
        <x:f>IFERROR(AF147/AH147,0)</x:f>
        <x:v>0</x:v>
      </x:c>
      <x:c r="T147" s="172" t="n">
        <x:f>IFERROR(AG147/AI147,0)</x:f>
        <x:v>0</x:v>
      </x:c>
      <x:c r="U147" s="172" t="n">
        <x:f>IFERROR((T147-S147)/(P147+S147),0)</x:f>
        <x:v>0</x:v>
      </x:c>
      <x:c r="V147" s="172" t="n">
        <x:f>R147+U147</x:f>
        <x:v>0.00019440359290553028</x:v>
      </x:c>
      <x:c r="W147" s="172" t="n">
        <x:f>(1+O147)*(1+V147)-1</x:f>
        <x:v>0.00019440359290556763</x:v>
      </x:c>
      <x:c r="X147" s="174" t="n">
        <x:f>G147-W147</x:f>
        <x:v>-1.7618285302889447e-17</x:v>
      </x:c>
      <x:c r="Y147" s="172" t="n">
        <x:f>AX147</x:f>
        <x:v>-0.000005884777890831854</x:v>
      </x:c>
      <x:c r="Z147" s="172" t="n">
        <x:f>BL147</x:f>
        <x:v>0.00002696845948740236</x:v>
      </x:c>
      <x:c r="AA147" s="172" t="n">
        <x:f>SUM(BZ147,CN147,DB147,DP147,ED147,ER147,FF147,FT147)</x:f>
        <x:v>0.000173319911308972</x:v>
      </x:c>
      <x:c r="AB147" s="172" t="n">
        <x:f>SUM(Y147:AA147)</x:f>
        <x:v>0.0001944035929055425</x:v>
      </x:c>
      <x:c r="AC147" s="174" t="n">
        <x:f>G147-AB147</x:f>
        <x:v>7.508100044462118e-18</x:v>
      </x:c>
      <x:c r="AD147" s="169" t="n">
        <x:v>1.4542789548913215</x:v>
      </x:c>
      <x:c r="AE147" s="169" t="n">
        <x:v>1.4545616719452392</x:v>
      </x:c>
      <x:c r="AF147" s="169" t="n">
        <x:v>0</x:v>
      </x:c>
      <x:c r="AG147" s="169" t="n">
        <x:v>0</x:v>
      </x:c>
      <x:c r="AH147" s="171" t="n">
        <x:f>M147/$M$3</x:f>
        <x:v>0.8243105209397344</x:v>
      </x:c>
      <x:c r="AI147" s="171" t="n">
        <x:f>N147/$M$3</x:f>
        <x:v>0.8243105209397344</x:v>
      </x:c>
      <x:c r="AJ147" s="170" t="n">
        <x:f>IF(AK147&lt;&gt;"",1,0)+IF(AY147&lt;&gt;"",1,0)+IF(BM147&lt;&gt;"",1,0)+IF(CA147&lt;&gt;"",1,0)+IF(CO147&lt;&gt;"",1,0)+IF(DC147&lt;&gt;"",1,0)+IF(DQ147&lt;&gt;"",1,0)+IF(EE147&lt;&gt;"",1,0)+IF(ES147&lt;&gt;"",1,0)+IF(FG147&lt;&gt;"",1,0)</x:f>
        <x:v>3</x:v>
      </x:c>
      <x:c r="AK147" s="147" t="str">
        <x:v>Silver replicating holding (LBMA/SLV proxy)</x:v>
      </x:c>
      <x:c r="AL147" s="147" t="str">
        <x:v>Physical-backed proxy</x:v>
      </x:c>
      <x:c r="AM147" s="147" t="str">
        <x:v>Long</x:v>
      </x:c>
      <x:c r="AN147" s="167" t="n">
        <x:v>1.614</x:v>
      </x:c>
      <x:c r="AO147" s="167" t="n">
        <x:v>1.614</x:v>
      </x:c>
      <x:c r="AP147" s="166" t="n">
        <x:v>0.8591775720614507</x:v>
      </x:c>
      <x:c r="AQ147" s="171" t="n">
        <x:f>IF(AK147="","",IFERROR(F147*AP147/AN147,0))</x:f>
        <x:v>0.7741535697420009</x:v>
      </x:c>
      <x:c r="AR147" s="171" t="n">
        <x:f>IF(AK147="","",F147*ABS(AP147))</x:f>
        <x:v>1.2494838615635895</x:v>
      </x:c>
      <x:c r="AS147" s="165"/>
      <x:c r="AT147" s="172" t="str">
        <x:f>IF(AK147="","",IF(AS147="","",IFERROR(AN147/AS147-1,0)))</x:f>
      </x:c>
      <x:c r="AU147" s="166"/>
      <x:c r="AV147" s="172" t="str">
        <x:f>IF(AK147="","",IF(AU147="","",AU147-AT147*365/AW147))</x:f>
      </x:c>
      <x:c r="AW147" s="164"/>
      <x:c r="AX147" s="173" t="n">
        <x:f>IF(AK147="","",IFERROR(AP147*(AO147/AN147-1-'Parameters'!$C$6*C147/365),0))</x:f>
        <x:v>-0.000005884777890831854</x:v>
      </x:c>
      <x:c r="AY147" s="147" t="str">
        <x:v>Matched-maturity Treasury collateral</x:v>
      </x:c>
      <x:c r="AZ147" s="147" t="str">
        <x:v>Treasury</x:v>
      </x:c>
      <x:c r="BA147" s="147" t="str">
        <x:v>Long</x:v>
      </x:c>
      <x:c r="BB147" s="167" t="n">
        <x:v>103.78727487759853</x:v>
      </x:c>
      <x:c r="BC147" s="167" t="n">
        <x:v>103.80715085160934</x:v>
      </x:c>
      <x:c r="BD147" s="166" t="n">
        <x:v>0.1408224279385494</x:v>
      </x:c>
      <x:c r="BE147" s="171" t="n">
        <x:f>IF(AY147="","",IFERROR(F147*BD147/BB147,0))</x:f>
        <x:v>0.001973219680054776</x:v>
      </x:c>
      <x:c r="BF147" s="171" t="n">
        <x:f>IF(AY147="","",F147*ABS(BD147))</x:f>
        <x:v>0.20479509332773205</x:v>
      </x:c>
      <x:c r="BG147" s="165"/>
      <x:c r="BH147" s="172" t="str">
        <x:f>IF(AY147="","",IF(BG147="","",IFERROR(BB147/BG147-1,0)))</x:f>
      </x:c>
      <x:c r="BI147" s="166"/>
      <x:c r="BJ147" s="172" t="str">
        <x:f>IF(AY147="","",IF(BI147="","",BI147-BH147*365/BK147))</x:f>
      </x:c>
      <x:c r="BK147" s="164" t="n">
        <x:v>51</x:v>
      </x:c>
      <x:c r="BL147" s="172" t="n">
        <x:f>IF(AY147="","",IFERROR(BD147*(BC147/BB147-1),0))</x:f>
        <x:v>0.00002696845948740236</x:v>
      </x:c>
      <x:c r="BM147" s="147" t="str">
        <x:v>SI69U</x:v>
      </x:c>
      <x:c r="BN147" s="147" t="str">
        <x:v>Silver future (regular)</x:v>
      </x:c>
      <x:c r="BO147" s="147" t="str">
        <x:v>Long</x:v>
      </x:c>
      <x:c r="BP147" s="167" t="n">
        <x:v>1.625</x:v>
      </x:c>
      <x:c r="BQ147" s="167" t="n">
        <x:v>1.6269999999999998</x:v>
      </x:c>
      <x:c r="BR147" s="166" t="n">
        <x:v>0.1408224279385494</x:v>
      </x:c>
      <x:c r="BS147" s="171" t="n">
        <x:f>IF(BM147="","",IFERROR(F147*BR147/BP147,0))</x:f>
        <x:v>0.1260277497401428</x:v>
      </x:c>
      <x:c r="BT147" s="171" t="n">
        <x:f>IF(BM147="","",F147*ABS(BR147))</x:f>
        <x:v>0.20479509332773205</x:v>
      </x:c>
      <x:c r="BU147" s="165" t="n">
        <x:v>1.614</x:v>
      </x:c>
      <x:c r="BV147" s="172" t="n">
        <x:f>IF(BM147="","",IF(BU147="","",IFERROR(BP147/BU147-1,0)))</x:f>
        <x:v>0.006815365551424923</x:v>
      </x:c>
      <x:c r="BW147" s="166" t="n">
        <x:v>0.0699</x:v>
      </x:c>
      <x:c r="BX147" s="172" t="n">
        <x:f>IF(BM147="","",IF(BW147="","",BW147-BV147*365/BY147))</x:f>
        <x:v>0.02112336419078241</x:v>
      </x:c>
      <x:c r="BY147" s="164" t="n">
        <x:v>51</x:v>
      </x:c>
      <x:c r="BZ147" s="172" t="n">
        <x:f>IF(BM147="","",IFERROR(BR147*(BQ147/BP147-1),0))</x:f>
        <x:v>0.000173319911308972</x:v>
      </x:c>
      <x:c r="CA147" s="147"/>
      <x:c r="CB147" s="147"/>
      <x:c r="CC147" s="147"/>
      <x:c r="CD147" s="167"/>
      <x:c r="CE147" s="167"/>
      <x:c r="CF147" s="166"/>
      <x:c r="CG147" s="171" t="str">
        <x:f>IF(CA147="","",IFERROR(F147*CF147/CD147,0))</x:f>
      </x:c>
      <x:c r="CH147" s="171" t="str">
        <x:f>IF(CA147="","",F147*ABS(CF147))</x:f>
      </x:c>
      <x:c r="CI147" s="165"/>
      <x:c r="CJ147" s="172" t="str">
        <x:f>IF(CA147="","",IF(CI147="","",IFERROR(CD147/CI147-1,0)))</x:f>
      </x:c>
      <x:c r="CK147" s="166"/>
      <x:c r="CL147" s="172" t="str">
        <x:f>IF(CA147="","",IF(CK147="","",CK147-CJ147*365/CM147))</x:f>
      </x:c>
      <x:c r="CM147" s="164"/>
      <x:c r="CN147" s="172" t="str">
        <x:f>IF(CA147="","",IFERROR(CF147*(CE147/CD147-1),0))</x:f>
      </x:c>
      <x:c r="CO147" s="147"/>
      <x:c r="CP147" s="147"/>
      <x:c r="CQ147" s="147"/>
      <x:c r="CR147" s="167"/>
      <x:c r="CS147" s="167"/>
      <x:c r="CT147" s="166"/>
      <x:c r="CU147" s="171" t="str">
        <x:f>IF(CO147="","",IFERROR(F147*CT147/CR147,0))</x:f>
      </x:c>
      <x:c r="CV147" s="171" t="str">
        <x:f>IF(CO147="","",F147*ABS(CT147))</x:f>
      </x:c>
      <x:c r="CW147" s="165"/>
      <x:c r="CX147" s="172" t="str">
        <x:f>IF(CO147="","",IF(CW147="","",IFERROR(CR147/CW147-1,0)))</x:f>
      </x:c>
      <x:c r="CY147" s="166"/>
      <x:c r="CZ147" s="172" t="str">
        <x:f>IF(CO147="","",IF(CY147="","",CY147-CX147*365/DA147))</x:f>
      </x:c>
      <x:c r="DA147" s="164"/>
      <x:c r="DB147" s="172" t="str">
        <x:f>IF(CO147="","",IFERROR(CT147*(CS147/CR147-1),0))</x:f>
      </x:c>
      <x:c r="DC147" s="147"/>
      <x:c r="DD147" s="147"/>
      <x:c r="DE147" s="147"/>
      <x:c r="DF147" s="167"/>
      <x:c r="DG147" s="167"/>
      <x:c r="DH147" s="166"/>
      <x:c r="DI147" s="171" t="str">
        <x:f>IF(DC147="","",IFERROR(F147*DH147/DF147,0))</x:f>
      </x:c>
      <x:c r="DJ147" s="171" t="str">
        <x:f>IF(DC147="","",F147*ABS(DH147))</x:f>
      </x:c>
      <x:c r="DK147" s="165"/>
      <x:c r="DL147" s="172" t="str">
        <x:f>IF(DC147="","",IF(DK147="","",IFERROR(DF147/DK147-1,0)))</x:f>
      </x:c>
      <x:c r="DM147" s="166"/>
      <x:c r="DN147" s="172" t="str">
        <x:f>IF(DC147="","",IF(DM147="","",DM147-DL147*365/DO147))</x:f>
      </x:c>
      <x:c r="DO147" s="164"/>
      <x:c r="DP147" s="172" t="str">
        <x:f>IF(DC147="","",IFERROR(DH147*(DG147/DF147-1),0))</x:f>
      </x:c>
      <x:c r="DQ147" s="147"/>
      <x:c r="DR147" s="147"/>
      <x:c r="DS147" s="147"/>
      <x:c r="DT147" s="167"/>
      <x:c r="DU147" s="167"/>
      <x:c r="DV147" s="166"/>
      <x:c r="DW147" s="171" t="str">
        <x:f>IF(DQ147="","",IFERROR(F147*DV147/DT147,0))</x:f>
      </x:c>
      <x:c r="DX147" s="171" t="str">
        <x:f>IF(DQ147="","",F147*ABS(DV147))</x:f>
      </x:c>
      <x:c r="DY147" s="165"/>
      <x:c r="DZ147" s="172" t="str">
        <x:f>IF(DQ147="","",IF(DY147="","",IFERROR(DT147/DY147-1,0)))</x:f>
      </x:c>
      <x:c r="EA147" s="166"/>
      <x:c r="EB147" s="172" t="str">
        <x:f>IF(DQ147="","",IF(EA147="","",EA147-DZ147*365/EC147))</x:f>
      </x:c>
      <x:c r="EC147" s="164"/>
      <x:c r="ED147" s="172" t="str">
        <x:f>IF(DQ147="","",IFERROR(DV147*(DU147/DT147-1),0))</x:f>
      </x:c>
      <x:c r="EE147" s="147"/>
      <x:c r="EF147" s="147"/>
      <x:c r="EG147" s="147"/>
      <x:c r="EH147" s="167"/>
      <x:c r="EI147" s="167"/>
      <x:c r="EJ147" s="166"/>
      <x:c r="EK147" s="171" t="str">
        <x:f>IF(EE147="","",IFERROR(F147*EJ147/EH147,0))</x:f>
      </x:c>
      <x:c r="EL147" s="171" t="str">
        <x:f>IF(EE147="","",F147*ABS(EJ147))</x:f>
      </x:c>
      <x:c r="EM147" s="165"/>
      <x:c r="EN147" s="172" t="str">
        <x:f>IF(EE147="","",IF(EM147="","",IFERROR(EH147/EM147-1,0)))</x:f>
      </x:c>
      <x:c r="EO147" s="166"/>
      <x:c r="EP147" s="172" t="str">
        <x:f>IF(EE147="","",IF(EO147="","",EO147-EN147*365/EQ147))</x:f>
      </x:c>
      <x:c r="EQ147" s="164"/>
      <x:c r="ER147" s="172" t="str">
        <x:f>IF(EE147="","",IFERROR(EJ147*(EI147/EH147-1),0))</x:f>
      </x:c>
      <x:c r="ES147" s="147"/>
      <x:c r="ET147" s="147"/>
      <x:c r="EU147" s="147"/>
      <x:c r="EV147" s="167"/>
      <x:c r="EW147" s="167"/>
      <x:c r="EX147" s="166"/>
      <x:c r="EY147" s="171" t="str">
        <x:f>IF(ES147="","",IFERROR(F147*EX147/EV147,0))</x:f>
      </x:c>
      <x:c r="EZ147" s="171" t="str">
        <x:f>IF(ES147="","",F147*ABS(EX147))</x:f>
      </x:c>
      <x:c r="FA147" s="165"/>
      <x:c r="FB147" s="172" t="str">
        <x:f>IF(ES147="","",IF(FA147="","",IFERROR(EV147/FA147-1,0)))</x:f>
      </x:c>
      <x:c r="FC147" s="166"/>
      <x:c r="FD147" s="172" t="str">
        <x:f>IF(ES147="","",IF(FC147="","",FC147-FB147*365/FE147))</x:f>
      </x:c>
      <x:c r="FE147" s="164"/>
      <x:c r="FF147" s="172" t="str">
        <x:f>IF(ES147="","",IFERROR(EX147*(EW147/EV147-1),0))</x:f>
      </x:c>
      <x:c r="FG147" s="147"/>
      <x:c r="FH147" s="147"/>
      <x:c r="FI147" s="147"/>
      <x:c r="FJ147" s="167"/>
      <x:c r="FK147" s="167"/>
      <x:c r="FL147" s="166"/>
      <x:c r="FM147" s="171" t="str">
        <x:f>IF(FG147="","",IFERROR(F147*FL147/FJ147,0))</x:f>
      </x:c>
      <x:c r="FN147" s="171" t="str">
        <x:f>IF(FG147="","",F147*ABS(FL147))</x:f>
      </x:c>
      <x:c r="FO147" s="165"/>
      <x:c r="FP147" s="172" t="str">
        <x:f>IF(FG147="","",IF(FO147="","",IFERROR(FJ147/FO147-1,0)))</x:f>
      </x:c>
      <x:c r="FQ147" s="166"/>
      <x:c r="FR147" s="172" t="str">
        <x:f>IF(FG147="","",IF(FQ147="","",FQ147-FP147*365/FS147))</x:f>
      </x:c>
      <x:c r="FS147" s="164"/>
      <x:c r="FT147" s="172" t="str">
        <x:f>IF(FG147="","",IFERROR(FL147*(FK147/FJ147-1),0))</x:f>
      </x:c>
    </x:row>
    <x:row r="148" ht="18" customHeight="1">
      <x:c r="A148" s="163" t="n">
        <x:v>25422</x:v>
      </x:c>
      <x:c r="B148" s="163" t="n">
        <x:v>25423</x:v>
      </x:c>
      <x:c r="C148" s="170" t="n">
        <x:f>B148-A148</x:f>
        <x:v>1</x:v>
      </x:c>
      <x:c r="D148" s="163" t="n">
        <x:v>25422</x:v>
      </x:c>
      <x:c r="E148" s="147" t="str">
        <x:v>positive</x:v>
      </x:c>
      <x:c r="F148" s="165" t="n">
        <x:v>1.4545616719452392</x:v>
      </x:c>
      <x:c r="G148" s="168" t="n">
        <x:v>0.005797676258439385</x:v>
      </x:c>
      <x:c r="H148" s="172" t="n">
        <x:f>SUM(AX148,BL148,BZ148,CN148,DB148,DP148,ED148,ER148,FF148,FT148)</x:f>
        <x:v>0.005797676258439383</x:v>
      </x:c>
      <x:c r="I148" s="174" t="n">
        <x:f>G148-H148</x:f>
        <x:v>2.6020852139652106e-18</x:v>
      </x:c>
      <x:c r="J148" s="171" t="n">
        <x:f>F148*(1+H148)</x:f>
        <x:v>1.4629947496171118</x:v>
      </x:c>
      <x:c r="K148" s="169" t="n">
        <x:v>1.4629947496171118</x:v>
      </x:c>
      <x:c r="L148" s="175" t="n">
        <x:f>K148-J148</x:f>
        <x:v>0</x:v>
      </x:c>
      <x:c r="M148" s="167" t="n">
        <x:v>1.614</x:v>
      </x:c>
      <x:c r="N148" s="167" t="n">
        <x:v>1.624</x:v>
      </x:c>
      <x:c r="O148" s="172" t="n">
        <x:f>IFERROR(N148/M148-1,0)</x:f>
        <x:v>0.006195786864931829</x:v>
      </x:c>
      <x:c r="P148" s="171" t="n">
        <x:f>IFERROR(AD148/AH148,0)</x:f>
        <x:v>1.764579773028983</x:v>
      </x:c>
      <x:c r="Q148" s="171" t="n">
        <x:f>IFERROR(AE148/AI148,0)</x:f>
        <x:v>1.7638816008314686</x:v>
      </x:c>
      <x:c r="R148" s="172" t="n">
        <x:f>IFERROR((Q148-P148)/(P148+S148),0)</x:f>
        <x:v>-0.0003956591865018889</x:v>
      </x:c>
      <x:c r="S148" s="172" t="n">
        <x:f>IFERROR(AF148/AH148,0)</x:f>
        <x:v>0</x:v>
      </x:c>
      <x:c r="T148" s="172" t="n">
        <x:f>IFERROR(AG148/AI148,0)</x:f>
        <x:v>0</x:v>
      </x:c>
      <x:c r="U148" s="172" t="n">
        <x:f>IFERROR((T148-S148)/(P148+S148),0)</x:f>
        <x:v>0</x:v>
      </x:c>
      <x:c r="V148" s="172" t="n">
        <x:f>R148+U148</x:f>
        <x:v>-0.0003956591865018889</x:v>
      </x:c>
      <x:c r="W148" s="172" t="n">
        <x:f>(1+O148)*(1+V148)-1</x:f>
        <x:v>0.005797676258439299</x:v>
      </x:c>
      <x:c r="X148" s="174" t="n">
        <x:f>G148-W148</x:f>
        <x:v>8.586881206085195e-17</x:v>
      </x:c>
      <x:c r="Y148" s="172" t="n">
        <x:f>AX148</x:f>
        <x:v>0.005739126284518824</x:v>
      </x:c>
      <x:c r="Z148" s="172" t="n">
        <x:f>BL148</x:f>
        <x:v>0.000013878871065394737</x:v>
      </x:c>
      <x:c r="AA148" s="172" t="n">
        <x:f>SUM(BZ148,CN148,DB148,DP148,ED148,ER148,FF148,FT148)</x:f>
        <x:v>0.000044671102855163974</x:v>
      </x:c>
      <x:c r="AB148" s="172" t="n">
        <x:f>SUM(Y148:AA148)</x:f>
        <x:v>0.005797676258439383</x:v>
      </x:c>
      <x:c r="AC148" s="174" t="n">
        <x:f>G148-AB148</x:f>
        <x:v>2.6020852139652106e-18</x:v>
      </x:c>
      <x:c r="AD148" s="169" t="n">
        <x:v>1.4545616719452392</x:v>
      </x:c>
      <x:c r="AE148" s="169" t="n">
        <x:v>1.462994749617112</x:v>
      </x:c>
      <x:c r="AF148" s="169" t="n">
        <x:v>0</x:v>
      </x:c>
      <x:c r="AG148" s="169" t="n">
        <x:v>0</x:v>
      </x:c>
      <x:c r="AH148" s="171" t="n">
        <x:f>M148/$M$3</x:f>
        <x:v>0.8243105209397344</x:v>
      </x:c>
      <x:c r="AI148" s="171" t="n">
        <x:f>N148/$M$3</x:f>
        <x:v>0.829417773237998</x:v>
      </x:c>
      <x:c r="AJ148" s="170" t="n">
        <x:f>IF(AK148&lt;&gt;"",1,0)+IF(AY148&lt;&gt;"",1,0)+IF(BM148&lt;&gt;"",1,0)+IF(CA148&lt;&gt;"",1,0)+IF(CO148&lt;&gt;"",1,0)+IF(DC148&lt;&gt;"",1,0)+IF(DQ148&lt;&gt;"",1,0)+IF(EE148&lt;&gt;"",1,0)+IF(ES148&lt;&gt;"",1,0)+IF(FG148&lt;&gt;"",1,0)</x:f>
        <x:v>3</x:v>
      </x:c>
      <x:c r="AK148" s="147" t="str">
        <x:v>Silver replicating holding (LBMA/SLV proxy)</x:v>
      </x:c>
      <x:c r="AL148" s="147" t="str">
        <x:v>Physical-backed proxy</x:v>
      </x:c>
      <x:c r="AM148" s="147" t="str">
        <x:v>Long</x:v>
      </x:c>
      <x:c r="AN148" s="167" t="n">
        <x:v>1.614</x:v>
      </x:c>
      <x:c r="AO148" s="167" t="n">
        <x:v>1.624</x:v>
      </x:c>
      <x:c r="AP148" s="166" t="n">
        <x:v>0.927320115654674</x:v>
      </x:c>
      <x:c r="AQ148" s="171" t="n">
        <x:f>IF(AK148="","",IFERROR(F148*AP148/AN148,0))</x:f>
        <x:v>0.8357151783488941</x:v>
      </x:c>
      <x:c r="AR148" s="171" t="n">
        <x:f>IF(AK148="","",F148*ABS(AP148))</x:f>
        <x:v>1.3488442978551152</x:v>
      </x:c>
      <x:c r="AS148" s="165"/>
      <x:c r="AT148" s="172" t="str">
        <x:f>IF(AK148="","",IF(AS148="","",IFERROR(AN148/AS148-1,0)))</x:f>
      </x:c>
      <x:c r="AU148" s="166"/>
      <x:c r="AV148" s="172" t="str">
        <x:f>IF(AK148="","",IF(AU148="","",AU148-AT148*365/AW148))</x:f>
      </x:c>
      <x:c r="AW148" s="164"/>
      <x:c r="AX148" s="173" t="n">
        <x:f>IF(AK148="","",IFERROR(AP148*(AO148/AN148-1-'Parameters'!$C$6*C148/365),0))</x:f>
        <x:v>0.005739126284518824</x:v>
      </x:c>
      <x:c r="AY148" s="147" t="str">
        <x:v>Matched-maturity Treasury collateral</x:v>
      </x:c>
      <x:c r="AZ148" s="147" t="str">
        <x:v>Treasury</x:v>
      </x:c>
      <x:c r="BA148" s="147" t="str">
        <x:v>Long</x:v>
      </x:c>
      <x:c r="BB148" s="167" t="n">
        <x:v>103.80715085160934</x:v>
      </x:c>
      <x:c r="BC148" s="167" t="n">
        <x:v>103.82697375137471</x:v>
      </x:c>
      <x:c r="BD148" s="166" t="n">
        <x:v>0.07267988434532593</x:v>
      </x:c>
      <x:c r="BE148" s="171" t="n">
        <x:f>IF(AY148="","",IFERROR(F148*BD148/BB148,0))</x:f>
        <x:v>0.001018401653670711</x:v>
      </x:c>
      <x:c r="BF148" s="171" t="n">
        <x:f>IF(AY148="","",F148*ABS(BD148))</x:f>
        <x:v>0.10571737409012391</x:v>
      </x:c>
      <x:c r="BG148" s="165"/>
      <x:c r="BH148" s="172" t="str">
        <x:f>IF(AY148="","",IF(BG148="","",IFERROR(BB148/BG148-1,0)))</x:f>
      </x:c>
      <x:c r="BI148" s="166"/>
      <x:c r="BJ148" s="172" t="str">
        <x:f>IF(AY148="","",IF(BI148="","",BI148-BH148*365/BK148))</x:f>
      </x:c>
      <x:c r="BK148" s="164" t="n">
        <x:v>50</x:v>
      </x:c>
      <x:c r="BL148" s="172" t="n">
        <x:f>IF(AY148="","",IFERROR(BD148*(BC148/BB148-1),0))</x:f>
        <x:v>0.000013878871065394737</x:v>
      </x:c>
      <x:c r="BM148" s="147" t="str">
        <x:v>SI69U</x:v>
      </x:c>
      <x:c r="BN148" s="147" t="str">
        <x:v>Silver future (regular)</x:v>
      </x:c>
      <x:c r="BO148" s="147" t="str">
        <x:v>Long</x:v>
      </x:c>
      <x:c r="BP148" s="167" t="n">
        <x:v>1.6269999999999998</x:v>
      </x:c>
      <x:c r="BQ148" s="167" t="n">
        <x:v>1.6280000000000001</x:v>
      </x:c>
      <x:c r="BR148" s="166" t="n">
        <x:v>0.07267988434532593</x:v>
      </x:c>
      <x:c r="BS148" s="171" t="n">
        <x:f>IF(BM148="","",IFERROR(F148*BR148/BP148,0))</x:f>
        <x:v>0.06497687405662196</x:v>
      </x:c>
      <x:c r="BT148" s="171" t="n">
        <x:f>IF(BM148="","",F148*ABS(BR148))</x:f>
        <x:v>0.10571737409012391</x:v>
      </x:c>
      <x:c r="BU148" s="165" t="n">
        <x:v>1.614</x:v>
      </x:c>
      <x:c r="BV148" s="172" t="n">
        <x:f>IF(BM148="","",IF(BU148="","",IFERROR(BP148/BU148-1,0)))</x:f>
        <x:v>0.008054522924411112</x:v>
      </x:c>
      <x:c r="BW148" s="166" t="n">
        <x:v>0.0697</x:v>
      </x:c>
      <x:c r="BX148" s="172" t="n">
        <x:f>IF(BM148="","",IF(BW148="","",BW148-BV148*365/BY148))</x:f>
        <x:v>0.01090198265179889</x:v>
      </x:c>
      <x:c r="BY148" s="164" t="n">
        <x:v>50</x:v>
      </x:c>
      <x:c r="BZ148" s="172" t="n">
        <x:f>IF(BM148="","",IFERROR(BR148*(BQ148/BP148-1),0))</x:f>
        <x:v>0.000044671102855163974</x:v>
      </x:c>
      <x:c r="CA148" s="147"/>
      <x:c r="CB148" s="147"/>
      <x:c r="CC148" s="147"/>
      <x:c r="CD148" s="167"/>
      <x:c r="CE148" s="167"/>
      <x:c r="CF148" s="166"/>
      <x:c r="CG148" s="171" t="str">
        <x:f>IF(CA148="","",IFERROR(F148*CF148/CD148,0))</x:f>
      </x:c>
      <x:c r="CH148" s="171" t="str">
        <x:f>IF(CA148="","",F148*ABS(CF148))</x:f>
      </x:c>
      <x:c r="CI148" s="165"/>
      <x:c r="CJ148" s="172" t="str">
        <x:f>IF(CA148="","",IF(CI148="","",IFERROR(CD148/CI148-1,0)))</x:f>
      </x:c>
      <x:c r="CK148" s="166"/>
      <x:c r="CL148" s="172" t="str">
        <x:f>IF(CA148="","",IF(CK148="","",CK148-CJ148*365/CM148))</x:f>
      </x:c>
      <x:c r="CM148" s="164"/>
      <x:c r="CN148" s="172" t="str">
        <x:f>IF(CA148="","",IFERROR(CF148*(CE148/CD148-1),0))</x:f>
      </x:c>
      <x:c r="CO148" s="147"/>
      <x:c r="CP148" s="147"/>
      <x:c r="CQ148" s="147"/>
      <x:c r="CR148" s="167"/>
      <x:c r="CS148" s="167"/>
      <x:c r="CT148" s="166"/>
      <x:c r="CU148" s="171" t="str">
        <x:f>IF(CO148="","",IFERROR(F148*CT148/CR148,0))</x:f>
      </x:c>
      <x:c r="CV148" s="171" t="str">
        <x:f>IF(CO148="","",F148*ABS(CT148))</x:f>
      </x:c>
      <x:c r="CW148" s="165"/>
      <x:c r="CX148" s="172" t="str">
        <x:f>IF(CO148="","",IF(CW148="","",IFERROR(CR148/CW148-1,0)))</x:f>
      </x:c>
      <x:c r="CY148" s="166"/>
      <x:c r="CZ148" s="172" t="str">
        <x:f>IF(CO148="","",IF(CY148="","",CY148-CX148*365/DA148))</x:f>
      </x:c>
      <x:c r="DA148" s="164"/>
      <x:c r="DB148" s="172" t="str">
        <x:f>IF(CO148="","",IFERROR(CT148*(CS148/CR148-1),0))</x:f>
      </x:c>
      <x:c r="DC148" s="147"/>
      <x:c r="DD148" s="147"/>
      <x:c r="DE148" s="147"/>
      <x:c r="DF148" s="167"/>
      <x:c r="DG148" s="167"/>
      <x:c r="DH148" s="166"/>
      <x:c r="DI148" s="171" t="str">
        <x:f>IF(DC148="","",IFERROR(F148*DH148/DF148,0))</x:f>
      </x:c>
      <x:c r="DJ148" s="171" t="str">
        <x:f>IF(DC148="","",F148*ABS(DH148))</x:f>
      </x:c>
      <x:c r="DK148" s="165"/>
      <x:c r="DL148" s="172" t="str">
        <x:f>IF(DC148="","",IF(DK148="","",IFERROR(DF148/DK148-1,0)))</x:f>
      </x:c>
      <x:c r="DM148" s="166"/>
      <x:c r="DN148" s="172" t="str">
        <x:f>IF(DC148="","",IF(DM148="","",DM148-DL148*365/DO148))</x:f>
      </x:c>
      <x:c r="DO148" s="164"/>
      <x:c r="DP148" s="172" t="str">
        <x:f>IF(DC148="","",IFERROR(DH148*(DG148/DF148-1),0))</x:f>
      </x:c>
      <x:c r="DQ148" s="147"/>
      <x:c r="DR148" s="147"/>
      <x:c r="DS148" s="147"/>
      <x:c r="DT148" s="167"/>
      <x:c r="DU148" s="167"/>
      <x:c r="DV148" s="166"/>
      <x:c r="DW148" s="171" t="str">
        <x:f>IF(DQ148="","",IFERROR(F148*DV148/DT148,0))</x:f>
      </x:c>
      <x:c r="DX148" s="171" t="str">
        <x:f>IF(DQ148="","",F148*ABS(DV148))</x:f>
      </x:c>
      <x:c r="DY148" s="165"/>
      <x:c r="DZ148" s="172" t="str">
        <x:f>IF(DQ148="","",IF(DY148="","",IFERROR(DT148/DY148-1,0)))</x:f>
      </x:c>
      <x:c r="EA148" s="166"/>
      <x:c r="EB148" s="172" t="str">
        <x:f>IF(DQ148="","",IF(EA148="","",EA148-DZ148*365/EC148))</x:f>
      </x:c>
      <x:c r="EC148" s="164"/>
      <x:c r="ED148" s="172" t="str">
        <x:f>IF(DQ148="","",IFERROR(DV148*(DU148/DT148-1),0))</x:f>
      </x:c>
      <x:c r="EE148" s="147"/>
      <x:c r="EF148" s="147"/>
      <x:c r="EG148" s="147"/>
      <x:c r="EH148" s="167"/>
      <x:c r="EI148" s="167"/>
      <x:c r="EJ148" s="166"/>
      <x:c r="EK148" s="171" t="str">
        <x:f>IF(EE148="","",IFERROR(F148*EJ148/EH148,0))</x:f>
      </x:c>
      <x:c r="EL148" s="171" t="str">
        <x:f>IF(EE148="","",F148*ABS(EJ148))</x:f>
      </x:c>
      <x:c r="EM148" s="165"/>
      <x:c r="EN148" s="172" t="str">
        <x:f>IF(EE148="","",IF(EM148="","",IFERROR(EH148/EM148-1,0)))</x:f>
      </x:c>
      <x:c r="EO148" s="166"/>
      <x:c r="EP148" s="172" t="str">
        <x:f>IF(EE148="","",IF(EO148="","",EO148-EN148*365/EQ148))</x:f>
      </x:c>
      <x:c r="EQ148" s="164"/>
      <x:c r="ER148" s="172" t="str">
        <x:f>IF(EE148="","",IFERROR(EJ148*(EI148/EH148-1),0))</x:f>
      </x:c>
      <x:c r="ES148" s="147"/>
      <x:c r="ET148" s="147"/>
      <x:c r="EU148" s="147"/>
      <x:c r="EV148" s="167"/>
      <x:c r="EW148" s="167"/>
      <x:c r="EX148" s="166"/>
      <x:c r="EY148" s="171" t="str">
        <x:f>IF(ES148="","",IFERROR(F148*EX148/EV148,0))</x:f>
      </x:c>
      <x:c r="EZ148" s="171" t="str">
        <x:f>IF(ES148="","",F148*ABS(EX148))</x:f>
      </x:c>
      <x:c r="FA148" s="165"/>
      <x:c r="FB148" s="172" t="str">
        <x:f>IF(ES148="","",IF(FA148="","",IFERROR(EV148/FA148-1,0)))</x:f>
      </x:c>
      <x:c r="FC148" s="166"/>
      <x:c r="FD148" s="172" t="str">
        <x:f>IF(ES148="","",IF(FC148="","",FC148-FB148*365/FE148))</x:f>
      </x:c>
      <x:c r="FE148" s="164"/>
      <x:c r="FF148" s="172" t="str">
        <x:f>IF(ES148="","",IFERROR(EX148*(EW148/EV148-1),0))</x:f>
      </x:c>
      <x:c r="FG148" s="147"/>
      <x:c r="FH148" s="147"/>
      <x:c r="FI148" s="147"/>
      <x:c r="FJ148" s="167"/>
      <x:c r="FK148" s="167"/>
      <x:c r="FL148" s="166"/>
      <x:c r="FM148" s="171" t="str">
        <x:f>IF(FG148="","",IFERROR(F148*FL148/FJ148,0))</x:f>
      </x:c>
      <x:c r="FN148" s="171" t="str">
        <x:f>IF(FG148="","",F148*ABS(FL148))</x:f>
      </x:c>
      <x:c r="FO148" s="165"/>
      <x:c r="FP148" s="172" t="str">
        <x:f>IF(FG148="","",IF(FO148="","",IFERROR(FJ148/FO148-1,0)))</x:f>
      </x:c>
      <x:c r="FQ148" s="166"/>
      <x:c r="FR148" s="172" t="str">
        <x:f>IF(FG148="","",IF(FQ148="","",FQ148-FP148*365/FS148))</x:f>
      </x:c>
      <x:c r="FS148" s="164"/>
      <x:c r="FT148" s="172" t="str">
        <x:f>IF(FG148="","",IFERROR(FL148*(FK148/FJ148-1),0))</x:f>
      </x:c>
    </x:row>
    <x:row r="149" ht="18" customHeight="1">
      <x:c r="A149" s="163" t="n">
        <x:v>25423</x:v>
      </x:c>
      <x:c r="B149" s="163" t="n">
        <x:v>25426</x:v>
      </x:c>
      <x:c r="C149" s="170" t="n">
        <x:f>B149-A149</x:f>
        <x:v>3</x:v>
      </x:c>
      <x:c r="D149" s="163" t="n">
        <x:v>25423</x:v>
      </x:c>
      <x:c r="E149" s="147" t="str">
        <x:v>positive</x:v>
      </x:c>
      <x:c r="F149" s="165" t="n">
        <x:v>1.4629947496171118</x:v>
      </x:c>
      <x:c r="G149" s="168" t="n">
        <x:v>0.035908129878511115</x:v>
      </x:c>
      <x:c r="H149" s="172" t="n">
        <x:f>SUM(AX149,BL149,BZ149,CN149,DB149,DP149,ED149,ER149,FF149,FT149)</x:f>
        <x:v>0.035908129878511094</x:v>
      </x:c>
      <x:c r="I149" s="174" t="n">
        <x:f>G149-H149</x:f>
        <x:v>2.0816681711721685e-17</x:v>
      </x:c>
      <x:c r="J149" s="171" t="n">
        <x:f>F149*(1+H149)</x:f>
        <x:v>1.515528155097943</x:v>
      </x:c>
      <x:c r="K149" s="169" t="n">
        <x:v>1.515528155097943</x:v>
      </x:c>
      <x:c r="L149" s="175" t="n">
        <x:f>K149-J149</x:f>
        <x:v>0</x:v>
      </x:c>
      <x:c r="M149" s="167" t="n">
        <x:v>1.624</x:v>
      </x:c>
      <x:c r="N149" s="167" t="n">
        <x:v>1.69</x:v>
      </x:c>
      <x:c r="O149" s="172" t="n">
        <x:f>IFERROR(N149/M149-1,0)</x:f>
        <x:v>0.04064039408866993</x:v>
      </x:c>
      <x:c r="P149" s="171" t="n">
        <x:f>IFERROR(AD149/AH149,0)</x:f>
        <x:v>1.7638816008314686</x:v>
      </x:c>
      <x:c r="Q149" s="171" t="n">
        <x:f>IFERROR(AE149/AI149,0)</x:f>
        <x:v>1.7558604305809307</x:v>
      </x:c>
      <x:c r="R149" s="172" t="n">
        <x:f>IFERROR((Q149-P149)/(P149+S149),0)</x:f>
        <x:v>-0.004547453891892109</x:v>
      </x:c>
      <x:c r="S149" s="172" t="n">
        <x:f>IFERROR(AF149/AH149,0)</x:f>
        <x:v>0</x:v>
      </x:c>
      <x:c r="T149" s="172" t="n">
        <x:f>IFERROR(AG149/AI149,0)</x:f>
        <x:v>0</x:v>
      </x:c>
      <x:c r="U149" s="172" t="n">
        <x:f>IFERROR((T149-S149)/(P149+S149),0)</x:f>
        <x:v>0</x:v>
      </x:c>
      <x:c r="V149" s="172" t="n">
        <x:f>R149+U149</x:f>
        <x:v>-0.004547453891892109</x:v>
      </x:c>
      <x:c r="W149" s="172" t="n">
        <x:f>(1+O149)*(1+V149)-1</x:f>
        <x:v>0.03590812987851133</x:v>
      </x:c>
      <x:c r="X149" s="174" t="n">
        <x:f>G149-W149</x:f>
        <x:v>-2.1510571102112408e-16</x:v>
      </x:c>
      <x:c r="Y149" s="172" t="n">
        <x:f>AX149</x:f>
        <x:v>0.026578172022645275</x:v>
      </x:c>
      <x:c r="Z149" s="172" t="n">
        <x:f>BL149</x:f>
        <x:v>0.00019945554661622762</x:v>
      </x:c>
      <x:c r="AA149" s="172" t="n">
        <x:f>SUM(BZ149,CN149,DB149,DP149,ED149,ER149,FF149,FT149)</x:f>
        <x:v>0.009130502309249593</x:v>
      </x:c>
      <x:c r="AB149" s="172" t="n">
        <x:f>SUM(Y149:AA149)</x:f>
        <x:v>0.035908129878511094</x:v>
      </x:c>
      <x:c r="AC149" s="174" t="n">
        <x:f>G149-AB149</x:f>
        <x:v>2.0816681711721685e-17</x:v>
      </x:c>
      <x:c r="AD149" s="169" t="n">
        <x:v>1.462994749617112</x:v>
      </x:c>
      <x:c r="AE149" s="169" t="n">
        <x:v>1.5155281550979431</x:v>
      </x:c>
      <x:c r="AF149" s="169" t="n">
        <x:v>0</x:v>
      </x:c>
      <x:c r="AG149" s="169" t="n">
        <x:v>0</x:v>
      </x:c>
      <x:c r="AH149" s="171" t="n">
        <x:f>M149/$M$3</x:f>
        <x:v>0.829417773237998</x:v>
      </x:c>
      <x:c r="AI149" s="171" t="n">
        <x:f>N149/$M$3</x:f>
        <x:v>0.8631256384065372</x:v>
      </x:c>
      <x:c r="AJ149" s="170" t="n">
        <x:f>IF(AK149&lt;&gt;"",1,0)+IF(AY149&lt;&gt;"",1,0)+IF(BM149&lt;&gt;"",1,0)+IF(CA149&lt;&gt;"",1,0)+IF(CO149&lt;&gt;"",1,0)+IF(DC149&lt;&gt;"",1,0)+IF(DQ149&lt;&gt;"",1,0)+IF(EE149&lt;&gt;"",1,0)+IF(ES149&lt;&gt;"",1,0)+IF(FG149&lt;&gt;"",1,0)</x:f>
        <x:v>3</x:v>
      </x:c>
      <x:c r="AK149" s="147" t="str">
        <x:v>Silver replicating holding (LBMA/SLV proxy)</x:v>
      </x:c>
      <x:c r="AL149" s="147" t="str">
        <x:v>Physical-backed proxy</x:v>
      </x:c>
      <x:c r="AM149" s="147" t="str">
        <x:v>Long</x:v>
      </x:c>
      <x:c r="AN149" s="167" t="n">
        <x:v>1.624</x:v>
      </x:c>
      <x:c r="AO149" s="167" t="n">
        <x:v>1.69</x:v>
      </x:c>
      <x:c r="AP149" s="166" t="n">
        <x:v>0.65431493582655</x:v>
      </x:c>
      <x:c r="AQ149" s="171" t="n">
        <x:f>IF(AK149="","",IFERROR(F149*AP149/AN149,0))</x:f>
        <x:v>0.5894453914472291</x:v>
      </x:c>
      <x:c r="AR149" s="171" t="n">
        <x:f>IF(AK149="","",F149*ABS(AP149))</x:f>
        <x:v>0.9572593157103001</x:v>
      </x:c>
      <x:c r="AS149" s="165"/>
      <x:c r="AT149" s="172" t="str">
        <x:f>IF(AK149="","",IF(AS149="","",IFERROR(AN149/AS149-1,0)))</x:f>
      </x:c>
      <x:c r="AU149" s="166"/>
      <x:c r="AV149" s="172" t="str">
        <x:f>IF(AK149="","",IF(AU149="","",AU149-AT149*365/AW149))</x:f>
      </x:c>
      <x:c r="AW149" s="164"/>
      <x:c r="AX149" s="173" t="n">
        <x:f>IF(AK149="","",IFERROR(AP149*(AO149/AN149-1-'Parameters'!$C$6*C149/365),0))</x:f>
        <x:v>0.026578172022645275</x:v>
      </x:c>
      <x:c r="AY149" s="147" t="str">
        <x:v>Matched-maturity Treasury collateral</x:v>
      </x:c>
      <x:c r="AZ149" s="147" t="str">
        <x:v>Treasury</x:v>
      </x:c>
      <x:c r="BA149" s="147" t="str">
        <x:v>Long</x:v>
      </x:c>
      <x:c r="BB149" s="167" t="n">
        <x:v>103.82697375137471</x:v>
      </x:c>
      <x:c r="BC149" s="167" t="n">
        <x:v>103.88688049294193</x:v>
      </x:c>
      <x:c r="BD149" s="166" t="n">
        <x:v>0.34568506417344996</x:v>
      </x:c>
      <x:c r="BE149" s="171" t="n">
        <x:f>IF(AY149="","",IFERROR(F149*BD149/BB149,0))</x:f>
        <x:v>0.0048709445689696365</x:v>
      </x:c>
      <x:c r="BF149" s="171" t="n">
        <x:f>IF(AY149="","",F149*ABS(BD149))</x:f>
        <x:v>0.5057354339068116</x:v>
      </x:c>
      <x:c r="BG149" s="165"/>
      <x:c r="BH149" s="172" t="str">
        <x:f>IF(AY149="","",IF(BG149="","",IFERROR(BB149/BG149-1,0)))</x:f>
      </x:c>
      <x:c r="BI149" s="166"/>
      <x:c r="BJ149" s="172" t="str">
        <x:f>IF(AY149="","",IF(BI149="","",BI149-BH149*365/BK149))</x:f>
      </x:c>
      <x:c r="BK149" s="164" t="n">
        <x:v>49</x:v>
      </x:c>
      <x:c r="BL149" s="172" t="n">
        <x:f>IF(AY149="","",IFERROR(BD149*(BC149/BB149-1),0))</x:f>
        <x:v>0.00019945554661622762</x:v>
      </x:c>
      <x:c r="BM149" s="147" t="str">
        <x:v>SI69U</x:v>
      </x:c>
      <x:c r="BN149" s="147" t="str">
        <x:v>Silver future (regular)</x:v>
      </x:c>
      <x:c r="BO149" s="147" t="str">
        <x:v>Long</x:v>
      </x:c>
      <x:c r="BP149" s="167" t="n">
        <x:v>1.6280000000000001</x:v>
      </x:c>
      <x:c r="BQ149" s="167" t="n">
        <x:v>1.671</x:v>
      </x:c>
      <x:c r="BR149" s="166" t="n">
        <x:v>0.34568506417344996</x:v>
      </x:c>
      <x:c r="BS149" s="171" t="n">
        <x:f>IF(BM149="","",IFERROR(F149*BR149/BP149,0))</x:f>
        <x:v>0.31064830092555995</x:v>
      </x:c>
      <x:c r="BT149" s="171" t="n">
        <x:f>IF(BM149="","",F149*ABS(BR149))</x:f>
        <x:v>0.5057354339068116</x:v>
      </x:c>
      <x:c r="BU149" s="165" t="n">
        <x:v>1.624</x:v>
      </x:c>
      <x:c r="BV149" s="172" t="n">
        <x:f>IF(BM149="","",IF(BU149="","",IFERROR(BP149/BU149-1,0)))</x:f>
        <x:v>0.0024630541871921707</x:v>
      </x:c>
      <x:c r="BW149" s="166" t="n">
        <x:v>0.0702</x:v>
      </x:c>
      <x:c r="BX149" s="172" t="n">
        <x:f>IF(BM149="","",IF(BW149="","",BW149-BV149*365/BY149))</x:f>
        <x:v>0.0518527596260175</x:v>
      </x:c>
      <x:c r="BY149" s="164" t="n">
        <x:v>49</x:v>
      </x:c>
      <x:c r="BZ149" s="172" t="n">
        <x:f>IF(BM149="","",IFERROR(BR149*(BQ149/BP149-1),0))</x:f>
        <x:v>0.009130502309249593</x:v>
      </x:c>
      <x:c r="CA149" s="147"/>
      <x:c r="CB149" s="147"/>
      <x:c r="CC149" s="147"/>
      <x:c r="CD149" s="167"/>
      <x:c r="CE149" s="167"/>
      <x:c r="CF149" s="166"/>
      <x:c r="CG149" s="171" t="str">
        <x:f>IF(CA149="","",IFERROR(F149*CF149/CD149,0))</x:f>
      </x:c>
      <x:c r="CH149" s="171" t="str">
        <x:f>IF(CA149="","",F149*ABS(CF149))</x:f>
      </x:c>
      <x:c r="CI149" s="165"/>
      <x:c r="CJ149" s="172" t="str">
        <x:f>IF(CA149="","",IF(CI149="","",IFERROR(CD149/CI149-1,0)))</x:f>
      </x:c>
      <x:c r="CK149" s="166"/>
      <x:c r="CL149" s="172" t="str">
        <x:f>IF(CA149="","",IF(CK149="","",CK149-CJ149*365/CM149))</x:f>
      </x:c>
      <x:c r="CM149" s="164"/>
      <x:c r="CN149" s="172" t="str">
        <x:f>IF(CA149="","",IFERROR(CF149*(CE149/CD149-1),0))</x:f>
      </x:c>
      <x:c r="CO149" s="147"/>
      <x:c r="CP149" s="147"/>
      <x:c r="CQ149" s="147"/>
      <x:c r="CR149" s="167"/>
      <x:c r="CS149" s="167"/>
      <x:c r="CT149" s="166"/>
      <x:c r="CU149" s="171" t="str">
        <x:f>IF(CO149="","",IFERROR(F149*CT149/CR149,0))</x:f>
      </x:c>
      <x:c r="CV149" s="171" t="str">
        <x:f>IF(CO149="","",F149*ABS(CT149))</x:f>
      </x:c>
      <x:c r="CW149" s="165"/>
      <x:c r="CX149" s="172" t="str">
        <x:f>IF(CO149="","",IF(CW149="","",IFERROR(CR149/CW149-1,0)))</x:f>
      </x:c>
      <x:c r="CY149" s="166"/>
      <x:c r="CZ149" s="172" t="str">
        <x:f>IF(CO149="","",IF(CY149="","",CY149-CX149*365/DA149))</x:f>
      </x:c>
      <x:c r="DA149" s="164"/>
      <x:c r="DB149" s="172" t="str">
        <x:f>IF(CO149="","",IFERROR(CT149*(CS149/CR149-1),0))</x:f>
      </x:c>
      <x:c r="DC149" s="147"/>
      <x:c r="DD149" s="147"/>
      <x:c r="DE149" s="147"/>
      <x:c r="DF149" s="167"/>
      <x:c r="DG149" s="167"/>
      <x:c r="DH149" s="166"/>
      <x:c r="DI149" s="171" t="str">
        <x:f>IF(DC149="","",IFERROR(F149*DH149/DF149,0))</x:f>
      </x:c>
      <x:c r="DJ149" s="171" t="str">
        <x:f>IF(DC149="","",F149*ABS(DH149))</x:f>
      </x:c>
      <x:c r="DK149" s="165"/>
      <x:c r="DL149" s="172" t="str">
        <x:f>IF(DC149="","",IF(DK149="","",IFERROR(DF149/DK149-1,0)))</x:f>
      </x:c>
      <x:c r="DM149" s="166"/>
      <x:c r="DN149" s="172" t="str">
        <x:f>IF(DC149="","",IF(DM149="","",DM149-DL149*365/DO149))</x:f>
      </x:c>
      <x:c r="DO149" s="164"/>
      <x:c r="DP149" s="172" t="str">
        <x:f>IF(DC149="","",IFERROR(DH149*(DG149/DF149-1),0))</x:f>
      </x:c>
      <x:c r="DQ149" s="147"/>
      <x:c r="DR149" s="147"/>
      <x:c r="DS149" s="147"/>
      <x:c r="DT149" s="167"/>
      <x:c r="DU149" s="167"/>
      <x:c r="DV149" s="166"/>
      <x:c r="DW149" s="171" t="str">
        <x:f>IF(DQ149="","",IFERROR(F149*DV149/DT149,0))</x:f>
      </x:c>
      <x:c r="DX149" s="171" t="str">
        <x:f>IF(DQ149="","",F149*ABS(DV149))</x:f>
      </x:c>
      <x:c r="DY149" s="165"/>
      <x:c r="DZ149" s="172" t="str">
        <x:f>IF(DQ149="","",IF(DY149="","",IFERROR(DT149/DY149-1,0)))</x:f>
      </x:c>
      <x:c r="EA149" s="166"/>
      <x:c r="EB149" s="172" t="str">
        <x:f>IF(DQ149="","",IF(EA149="","",EA149-DZ149*365/EC149))</x:f>
      </x:c>
      <x:c r="EC149" s="164"/>
      <x:c r="ED149" s="172" t="str">
        <x:f>IF(DQ149="","",IFERROR(DV149*(DU149/DT149-1),0))</x:f>
      </x:c>
      <x:c r="EE149" s="147"/>
      <x:c r="EF149" s="147"/>
      <x:c r="EG149" s="147"/>
      <x:c r="EH149" s="167"/>
      <x:c r="EI149" s="167"/>
      <x:c r="EJ149" s="166"/>
      <x:c r="EK149" s="171" t="str">
        <x:f>IF(EE149="","",IFERROR(F149*EJ149/EH149,0))</x:f>
      </x:c>
      <x:c r="EL149" s="171" t="str">
        <x:f>IF(EE149="","",F149*ABS(EJ149))</x:f>
      </x:c>
      <x:c r="EM149" s="165"/>
      <x:c r="EN149" s="172" t="str">
        <x:f>IF(EE149="","",IF(EM149="","",IFERROR(EH149/EM149-1,0)))</x:f>
      </x:c>
      <x:c r="EO149" s="166"/>
      <x:c r="EP149" s="172" t="str">
        <x:f>IF(EE149="","",IF(EO149="","",EO149-EN149*365/EQ149))</x:f>
      </x:c>
      <x:c r="EQ149" s="164"/>
      <x:c r="ER149" s="172" t="str">
        <x:f>IF(EE149="","",IFERROR(EJ149*(EI149/EH149-1),0))</x:f>
      </x:c>
      <x:c r="ES149" s="147"/>
      <x:c r="ET149" s="147"/>
      <x:c r="EU149" s="147"/>
      <x:c r="EV149" s="167"/>
      <x:c r="EW149" s="167"/>
      <x:c r="EX149" s="166"/>
      <x:c r="EY149" s="171" t="str">
        <x:f>IF(ES149="","",IFERROR(F149*EX149/EV149,0))</x:f>
      </x:c>
      <x:c r="EZ149" s="171" t="str">
        <x:f>IF(ES149="","",F149*ABS(EX149))</x:f>
      </x:c>
      <x:c r="FA149" s="165"/>
      <x:c r="FB149" s="172" t="str">
        <x:f>IF(ES149="","",IF(FA149="","",IFERROR(EV149/FA149-1,0)))</x:f>
      </x:c>
      <x:c r="FC149" s="166"/>
      <x:c r="FD149" s="172" t="str">
        <x:f>IF(ES149="","",IF(FC149="","",FC149-FB149*365/FE149))</x:f>
      </x:c>
      <x:c r="FE149" s="164"/>
      <x:c r="FF149" s="172" t="str">
        <x:f>IF(ES149="","",IFERROR(EX149*(EW149/EV149-1),0))</x:f>
      </x:c>
      <x:c r="FG149" s="147"/>
      <x:c r="FH149" s="147"/>
      <x:c r="FI149" s="147"/>
      <x:c r="FJ149" s="167"/>
      <x:c r="FK149" s="167"/>
      <x:c r="FL149" s="166"/>
      <x:c r="FM149" s="171" t="str">
        <x:f>IF(FG149="","",IFERROR(F149*FL149/FJ149,0))</x:f>
      </x:c>
      <x:c r="FN149" s="171" t="str">
        <x:f>IF(FG149="","",F149*ABS(FL149))</x:f>
      </x:c>
      <x:c r="FO149" s="165"/>
      <x:c r="FP149" s="172" t="str">
        <x:f>IF(FG149="","",IF(FO149="","",IFERROR(FJ149/FO149-1,0)))</x:f>
      </x:c>
      <x:c r="FQ149" s="166"/>
      <x:c r="FR149" s="172" t="str">
        <x:f>IF(FG149="","",IF(FQ149="","",FQ149-FP149*365/FS149))</x:f>
      </x:c>
      <x:c r="FS149" s="164"/>
      <x:c r="FT149" s="172" t="str">
        <x:f>IF(FG149="","",IFERROR(FL149*(FK149/FJ149-1),0))</x:f>
      </x:c>
    </x:row>
    <x:row r="150" ht="18" customHeight="1">
      <x:c r="A150" s="163" t="n">
        <x:v>25426</x:v>
      </x:c>
      <x:c r="B150" s="163" t="n">
        <x:v>25427</x:v>
      </x:c>
      <x:c r="C150" s="170" t="n">
        <x:f>B150-A150</x:f>
        <x:v>1</x:v>
      </x:c>
      <x:c r="D150" s="163" t="n">
        <x:v>25426</x:v>
      </x:c>
      <x:c r="E150" s="147" t="str">
        <x:v>positive</x:v>
      </x:c>
      <x:c r="F150" s="165" t="n">
        <x:v>1.515528155097943</x:v>
      </x:c>
      <x:c r="G150" s="168" t="n">
        <x:v>0.0037827190674110016</x:v>
      </x:c>
      <x:c r="H150" s="172" t="n">
        <x:f>SUM(AX150,BL150,BZ150,CN150,DB150,DP150,ED150,ER150,FF150,FT150)</x:f>
        <x:v>0.003782719067410678</x:v>
      </x:c>
      <x:c r="I150" s="174" t="n">
        <x:f>G150-H150</x:f>
        <x:v>3.235259282696745e-16</x:v>
      </x:c>
      <x:c r="J150" s="171" t="n">
        <x:f>F150*(1+H150)</x:f>
        <x:v>1.5212609723474297</x:v>
      </x:c>
      <x:c r="K150" s="169" t="n">
        <x:v>1.52126097234743</x:v>
      </x:c>
      <x:c r="L150" s="175" t="n">
        <x:f>K150-J150</x:f>
        <x:v>2.220446049250313e-16</x:v>
      </x:c>
      <x:c r="M150" s="167" t="n">
        <x:v>1.69</x:v>
      </x:c>
      <x:c r="N150" s="167" t="n">
        <x:v>1.654</x:v>
      </x:c>
      <x:c r="O150" s="172" t="n">
        <x:f>IFERROR(N150/M150-1,0)</x:f>
        <x:v>-0.02130177514792897</x:v>
      </x:c>
      <x:c r="P150" s="171" t="n">
        <x:f>IFERROR(AD150/AH150,0)</x:f>
        <x:v>1.7558604305809307</x:v>
      </x:c>
      <x:c r="Q150" s="171" t="n">
        <x:f>IFERROR(AE150/AI150,0)</x:f>
        <x:v>1.8008639563822664</x:v>
      </x:c>
      <x:c r="R150" s="172" t="n">
        <x:f>IFERROR((Q150-P150)/(P150+S150),0)</x:f>
        <x:v>0.02563046869644769</x:v>
      </x:c>
      <x:c r="S150" s="172" t="n">
        <x:f>IFERROR(AF150/AH150,0)</x:f>
        <x:v>0</x:v>
      </x:c>
      <x:c r="T150" s="172" t="n">
        <x:f>IFERROR(AG150/AI150,0)</x:f>
        <x:v>0</x:v>
      </x:c>
      <x:c r="U150" s="172" t="n">
        <x:f>IFERROR((T150-S150)/(P150+S150),0)</x:f>
        <x:v>0</x:v>
      </x:c>
      <x:c r="V150" s="172" t="n">
        <x:f>R150+U150</x:f>
        <x:v>0.02563046869644769</x:v>
      </x:c>
      <x:c r="W150" s="172" t="n">
        <x:f>(1+O150)*(1+V150)-1</x:f>
        <x:v>0.0037827190674109</x:v>
      </x:c>
      <x:c r="X150" s="174" t="n">
        <x:f>G150-W150</x:f>
        <x:v>1.0148132334464322e-16</x:v>
      </x:c>
      <x:c r="Y150" s="172" t="n">
        <x:f>AX150</x:f>
        <x:v>0</x:v>
      </x:c>
      <x:c r="Z150" s="172" t="n">
        <x:f>BL150</x:f>
        <x:v>0.00019205479452022445</x:v>
      </x:c>
      <x:c r="AA150" s="172" t="n">
        <x:f>SUM(BZ150,CN150,DB150,DP150,ED150,ER150,FF150,FT150)</x:f>
        <x:v>0.0035906642728904536</x:v>
      </x:c>
      <x:c r="AB150" s="172" t="n">
        <x:f>SUM(Y150:AA150)</x:f>
        <x:v>0.003782719067410678</x:v>
      </x:c>
      <x:c r="AC150" s="174" t="n">
        <x:f>G150-AB150</x:f>
        <x:v>3.235259282696745e-16</x:v>
      </x:c>
      <x:c r="AD150" s="169" t="n">
        <x:v>1.5155281550979431</x:v>
      </x:c>
      <x:c r="AE150" s="169" t="n">
        <x:v>1.5212609723474304</x:v>
      </x:c>
      <x:c r="AF150" s="169" t="n">
        <x:v>0</x:v>
      </x:c>
      <x:c r="AG150" s="169" t="n">
        <x:v>0</x:v>
      </x:c>
      <x:c r="AH150" s="171" t="n">
        <x:f>M150/$M$3</x:f>
        <x:v>0.8631256384065372</x:v>
      </x:c>
      <x:c r="AI150" s="171" t="n">
        <x:f>N150/$M$3</x:f>
        <x:v>0.8447395301327886</x:v>
      </x:c>
      <x:c r="AJ150" s="170" t="n">
        <x:f>IF(AK150&lt;&gt;"",1,0)+IF(AY150&lt;&gt;"",1,0)+IF(BM150&lt;&gt;"",1,0)+IF(CA150&lt;&gt;"",1,0)+IF(CO150&lt;&gt;"",1,0)+IF(DC150&lt;&gt;"",1,0)+IF(DQ150&lt;&gt;"",1,0)+IF(EE150&lt;&gt;"",1,0)+IF(ES150&lt;&gt;"",1,0)+IF(FG150&lt;&gt;"",1,0)</x:f>
        <x:v>2</x:v>
      </x:c>
      <x:c r="AK150" s="147"/>
      <x:c r="AL150" s="147"/>
      <x:c r="AM150" s="147"/>
      <x:c r="AN150" s="167"/>
      <x:c r="AO150" s="167"/>
      <x:c r="AP150" s="166"/>
      <x:c r="AQ150" s="171" t="str">
        <x:f>IF(AK150="","",IFERROR(F150*AP150/AN150,0))</x:f>
      </x:c>
      <x:c r="AR150" s="171" t="str">
        <x:f>IF(AK150="","",F150*ABS(AP150))</x:f>
      </x:c>
      <x:c r="AS150" s="165"/>
      <x:c r="AT150" s="172" t="str">
        <x:f>IF(AK150="","",IF(AS150="","",IFERROR(AN150/AS150-1,0)))</x:f>
      </x:c>
      <x:c r="AU150" s="166"/>
      <x:c r="AV150" s="172" t="str">
        <x:f>IF(AK150="","",IF(AU150="","",AU150-AT150*365/AW150))</x:f>
      </x:c>
      <x:c r="AW150" s="164"/>
      <x:c r="AX150" s="173" t="str">
        <x:f>IF(AK150="","",IFERROR(AP150*(AO150/AN150-1),0))</x:f>
      </x:c>
      <x:c r="AY150" s="147" t="str">
        <x:v>Matched-maturity Treasury collateral</x:v>
      </x:c>
      <x:c r="AZ150" s="147" t="str">
        <x:v>Treasury</x:v>
      </x:c>
      <x:c r="BA150" s="147" t="str">
        <x:v>Long</x:v>
      </x:c>
      <x:c r="BB150" s="167" t="n">
        <x:v>103.88688049294193</x:v>
      </x:c>
      <x:c r="BC150" s="167" t="n">
        <x:v>103.90683246642836</x:v>
      </x:c>
      <x:c r="BD150" s="166" t="n">
        <x:v>1</x:v>
      </x:c>
      <x:c r="BE150" s="171" t="n">
        <x:f>IF(AY150="","",IFERROR(F150*BD150/BB150,0))</x:f>
        <x:v>0.014588253568754601</x:v>
      </x:c>
      <x:c r="BF150" s="171" t="n">
        <x:f>IF(AY150="","",F150*ABS(BD150))</x:f>
        <x:v>1.515528155097943</x:v>
      </x:c>
      <x:c r="BG150" s="165"/>
      <x:c r="BH150" s="172" t="str">
        <x:f>IF(AY150="","",IF(BG150="","",IFERROR(BB150/BG150-1,0)))</x:f>
      </x:c>
      <x:c r="BI150" s="166"/>
      <x:c r="BJ150" s="172" t="str">
        <x:f>IF(AY150="","",IF(BI150="","",BI150-BH150*365/BK150))</x:f>
      </x:c>
      <x:c r="BK150" s="164" t="n">
        <x:v>46</x:v>
      </x:c>
      <x:c r="BL150" s="172" t="n">
        <x:f>IF(AY150="","",IFERROR(BD150*(BC150/BB150-1),0))</x:f>
        <x:v>0.00019205479452022445</x:v>
      </x:c>
      <x:c r="BM150" s="147" t="str">
        <x:v>SI69U</x:v>
      </x:c>
      <x:c r="BN150" s="147" t="str">
        <x:v>Silver future (regular)</x:v>
      </x:c>
      <x:c r="BO150" s="147" t="str">
        <x:v>Long</x:v>
      </x:c>
      <x:c r="BP150" s="167" t="n">
        <x:v>1.671</x:v>
      </x:c>
      <x:c r="BQ150" s="167" t="n">
        <x:v>1.6769999999999998</x:v>
      </x:c>
      <x:c r="BR150" s="166" t="n">
        <x:v>1</x:v>
      </x:c>
      <x:c r="BS150" s="171" t="n">
        <x:f>IF(BM150="","",IFERROR(F150*BR150/BP150,0))</x:f>
        <x:v>0.9069588001783021</x:v>
      </x:c>
      <x:c r="BT150" s="171" t="n">
        <x:f>IF(BM150="","",F150*ABS(BR150))</x:f>
        <x:v>1.515528155097943</x:v>
      </x:c>
      <x:c r="BU150" s="165" t="n">
        <x:v>1.69</x:v>
      </x:c>
      <x:c r="BV150" s="172" t="n">
        <x:f>IF(BM150="","",IF(BU150="","",IFERROR(BP150/BU150-1,0)))</x:f>
        <x:v>-0.011242603550295827</x:v>
      </x:c>
      <x:c r="BW150" s="166" t="n">
        <x:v>0.0701</x:v>
      </x:c>
      <x:c r="BX150" s="172" t="n">
        <x:f>IF(BM150="","",IF(BW150="","",BW150-BV150*365/BY150))</x:f>
        <x:v>0.1593076151273473</x:v>
      </x:c>
      <x:c r="BY150" s="164" t="n">
        <x:v>46</x:v>
      </x:c>
      <x:c r="BZ150" s="172" t="n">
        <x:f>IF(BM150="","",IFERROR(BR150*(BQ150/BP150-1),0))</x:f>
        <x:v>0.0035906642728904536</x:v>
      </x:c>
      <x:c r="CA150" s="147"/>
      <x:c r="CB150" s="147"/>
      <x:c r="CC150" s="147"/>
      <x:c r="CD150" s="167"/>
      <x:c r="CE150" s="167"/>
      <x:c r="CF150" s="166"/>
      <x:c r="CG150" s="171" t="str">
        <x:f>IF(CA150="","",IFERROR(F150*CF150/CD150,0))</x:f>
      </x:c>
      <x:c r="CH150" s="171" t="str">
        <x:f>IF(CA150="","",F150*ABS(CF150))</x:f>
      </x:c>
      <x:c r="CI150" s="165"/>
      <x:c r="CJ150" s="172" t="str">
        <x:f>IF(CA150="","",IF(CI150="","",IFERROR(CD150/CI150-1,0)))</x:f>
      </x:c>
      <x:c r="CK150" s="166"/>
      <x:c r="CL150" s="172" t="str">
        <x:f>IF(CA150="","",IF(CK150="","",CK150-CJ150*365/CM150))</x:f>
      </x:c>
      <x:c r="CM150" s="164"/>
      <x:c r="CN150" s="172" t="str">
        <x:f>IF(CA150="","",IFERROR(CF150*(CE150/CD150-1),0))</x:f>
      </x:c>
      <x:c r="CO150" s="147"/>
      <x:c r="CP150" s="147"/>
      <x:c r="CQ150" s="147"/>
      <x:c r="CR150" s="167"/>
      <x:c r="CS150" s="167"/>
      <x:c r="CT150" s="166"/>
      <x:c r="CU150" s="171" t="str">
        <x:f>IF(CO150="","",IFERROR(F150*CT150/CR150,0))</x:f>
      </x:c>
      <x:c r="CV150" s="171" t="str">
        <x:f>IF(CO150="","",F150*ABS(CT150))</x:f>
      </x:c>
      <x:c r="CW150" s="165"/>
      <x:c r="CX150" s="172" t="str">
        <x:f>IF(CO150="","",IF(CW150="","",IFERROR(CR150/CW150-1,0)))</x:f>
      </x:c>
      <x:c r="CY150" s="166"/>
      <x:c r="CZ150" s="172" t="str">
        <x:f>IF(CO150="","",IF(CY150="","",CY150-CX150*365/DA150))</x:f>
      </x:c>
      <x:c r="DA150" s="164"/>
      <x:c r="DB150" s="172" t="str">
        <x:f>IF(CO150="","",IFERROR(CT150*(CS150/CR150-1),0))</x:f>
      </x:c>
      <x:c r="DC150" s="147"/>
      <x:c r="DD150" s="147"/>
      <x:c r="DE150" s="147"/>
      <x:c r="DF150" s="167"/>
      <x:c r="DG150" s="167"/>
      <x:c r="DH150" s="166"/>
      <x:c r="DI150" s="171" t="str">
        <x:f>IF(DC150="","",IFERROR(F150*DH150/DF150,0))</x:f>
      </x:c>
      <x:c r="DJ150" s="171" t="str">
        <x:f>IF(DC150="","",F150*ABS(DH150))</x:f>
      </x:c>
      <x:c r="DK150" s="165"/>
      <x:c r="DL150" s="172" t="str">
        <x:f>IF(DC150="","",IF(DK150="","",IFERROR(DF150/DK150-1,0)))</x:f>
      </x:c>
      <x:c r="DM150" s="166"/>
      <x:c r="DN150" s="172" t="str">
        <x:f>IF(DC150="","",IF(DM150="","",DM150-DL150*365/DO150))</x:f>
      </x:c>
      <x:c r="DO150" s="164"/>
      <x:c r="DP150" s="172" t="str">
        <x:f>IF(DC150="","",IFERROR(DH150*(DG150/DF150-1),0))</x:f>
      </x:c>
      <x:c r="DQ150" s="147"/>
      <x:c r="DR150" s="147"/>
      <x:c r="DS150" s="147"/>
      <x:c r="DT150" s="167"/>
      <x:c r="DU150" s="167"/>
      <x:c r="DV150" s="166"/>
      <x:c r="DW150" s="171" t="str">
        <x:f>IF(DQ150="","",IFERROR(F150*DV150/DT150,0))</x:f>
      </x:c>
      <x:c r="DX150" s="171" t="str">
        <x:f>IF(DQ150="","",F150*ABS(DV150))</x:f>
      </x:c>
      <x:c r="DY150" s="165"/>
      <x:c r="DZ150" s="172" t="str">
        <x:f>IF(DQ150="","",IF(DY150="","",IFERROR(DT150/DY150-1,0)))</x:f>
      </x:c>
      <x:c r="EA150" s="166"/>
      <x:c r="EB150" s="172" t="str">
        <x:f>IF(DQ150="","",IF(EA150="","",EA150-DZ150*365/EC150))</x:f>
      </x:c>
      <x:c r="EC150" s="164"/>
      <x:c r="ED150" s="172" t="str">
        <x:f>IF(DQ150="","",IFERROR(DV150*(DU150/DT150-1),0))</x:f>
      </x:c>
      <x:c r="EE150" s="147"/>
      <x:c r="EF150" s="147"/>
      <x:c r="EG150" s="147"/>
      <x:c r="EH150" s="167"/>
      <x:c r="EI150" s="167"/>
      <x:c r="EJ150" s="166"/>
      <x:c r="EK150" s="171" t="str">
        <x:f>IF(EE150="","",IFERROR(F150*EJ150/EH150,0))</x:f>
      </x:c>
      <x:c r="EL150" s="171" t="str">
        <x:f>IF(EE150="","",F150*ABS(EJ150))</x:f>
      </x:c>
      <x:c r="EM150" s="165"/>
      <x:c r="EN150" s="172" t="str">
        <x:f>IF(EE150="","",IF(EM150="","",IFERROR(EH150/EM150-1,0)))</x:f>
      </x:c>
      <x:c r="EO150" s="166"/>
      <x:c r="EP150" s="172" t="str">
        <x:f>IF(EE150="","",IF(EO150="","",EO150-EN150*365/EQ150))</x:f>
      </x:c>
      <x:c r="EQ150" s="164"/>
      <x:c r="ER150" s="172" t="str">
        <x:f>IF(EE150="","",IFERROR(EJ150*(EI150/EH150-1),0))</x:f>
      </x:c>
      <x:c r="ES150" s="147"/>
      <x:c r="ET150" s="147"/>
      <x:c r="EU150" s="147"/>
      <x:c r="EV150" s="167"/>
      <x:c r="EW150" s="167"/>
      <x:c r="EX150" s="166"/>
      <x:c r="EY150" s="171" t="str">
        <x:f>IF(ES150="","",IFERROR(F150*EX150/EV150,0))</x:f>
      </x:c>
      <x:c r="EZ150" s="171" t="str">
        <x:f>IF(ES150="","",F150*ABS(EX150))</x:f>
      </x:c>
      <x:c r="FA150" s="165"/>
      <x:c r="FB150" s="172" t="str">
        <x:f>IF(ES150="","",IF(FA150="","",IFERROR(EV150/FA150-1,0)))</x:f>
      </x:c>
      <x:c r="FC150" s="166"/>
      <x:c r="FD150" s="172" t="str">
        <x:f>IF(ES150="","",IF(FC150="","",FC150-FB150*365/FE150))</x:f>
      </x:c>
      <x:c r="FE150" s="164"/>
      <x:c r="FF150" s="172" t="str">
        <x:f>IF(ES150="","",IFERROR(EX150*(EW150/EV150-1),0))</x:f>
      </x:c>
      <x:c r="FG150" s="147"/>
      <x:c r="FH150" s="147"/>
      <x:c r="FI150" s="147"/>
      <x:c r="FJ150" s="167"/>
      <x:c r="FK150" s="167"/>
      <x:c r="FL150" s="166"/>
      <x:c r="FM150" s="171" t="str">
        <x:f>IF(FG150="","",IFERROR(F150*FL150/FJ150,0))</x:f>
      </x:c>
      <x:c r="FN150" s="171" t="str">
        <x:f>IF(FG150="","",F150*ABS(FL150))</x:f>
      </x:c>
      <x:c r="FO150" s="165"/>
      <x:c r="FP150" s="172" t="str">
        <x:f>IF(FG150="","",IF(FO150="","",IFERROR(FJ150/FO150-1,0)))</x:f>
      </x:c>
      <x:c r="FQ150" s="166"/>
      <x:c r="FR150" s="172" t="str">
        <x:f>IF(FG150="","",IF(FQ150="","",FQ150-FP150*365/FS150))</x:f>
      </x:c>
      <x:c r="FS150" s="164"/>
      <x:c r="FT150" s="172" t="str">
        <x:f>IF(FG150="","",IFERROR(FL150*(FK150/FJ150-1),0))</x:f>
      </x:c>
    </x:row>
    <x:row r="151" ht="18" customHeight="1">
      <x:c r="A151" s="163" t="n">
        <x:v>25427</x:v>
      </x:c>
      <x:c r="B151" s="163" t="n">
        <x:v>25428</x:v>
      </x:c>
      <x:c r="C151" s="170" t="n">
        <x:f>B151-A151</x:f>
        <x:v>1</x:v>
      </x:c>
      <x:c r="D151" s="163" t="n">
        <x:v>25427</x:v>
      </x:c>
      <x:c r="E151" s="147" t="str">
        <x:v>neutral</x:v>
      </x:c>
      <x:c r="F151" s="165" t="n">
        <x:v>1.52126097234743</x:v>
      </x:c>
      <x:c r="G151" s="168" t="n">
        <x:v>0.012689644034387501</x:v>
      </x:c>
      <x:c r="H151" s="172" t="n">
        <x:f>SUM(AX151,BL151,BZ151,CN151,DB151,DP151,ED151,ER151,FF151,FT151)</x:f>
        <x:v>0.012689644034387501</x:v>
      </x:c>
      <x:c r="I151" s="174" t="n">
        <x:f>G151-H151</x:f>
        <x:v>0</x:v>
      </x:c>
      <x:c r="J151" s="171" t="n">
        <x:f>F151*(1+H151)</x:f>
        <x:v>1.540565232569925</x:v>
      </x:c>
      <x:c r="K151" s="169" t="n">
        <x:v>1.540565232569925</x:v>
      </x:c>
      <x:c r="L151" s="175" t="n">
        <x:f>K151-J151</x:f>
        <x:v>0</x:v>
      </x:c>
      <x:c r="M151" s="167" t="n">
        <x:v>1.654</x:v>
      </x:c>
      <x:c r="N151" s="167" t="n">
        <x:v>1.675</x:v>
      </x:c>
      <x:c r="O151" s="172" t="n">
        <x:f>IFERROR(N151/M151-1,0)</x:f>
        <x:v>0.012696493349455995</x:v>
      </x:c>
      <x:c r="P151" s="171" t="n">
        <x:f>IFERROR(AD151/AH151,0)</x:f>
        <x:v>1.8008639563822664</x:v>
      </x:c>
      <x:c r="Q151" s="171" t="n">
        <x:f>IFERROR(AE151/AI151,0)</x:f>
        <x:v>1.8008517763414411</x:v>
      </x:c>
      <x:c r="R151" s="172" t="n">
        <x:f>IFERROR((Q151-P151)/(P151+S151),0)</x:f>
        <x:v>-0.000006763443058590999</x:v>
      </x:c>
      <x:c r="S151" s="172" t="n">
        <x:f>IFERROR(AF151/AH151,0)</x:f>
        <x:v>0</x:v>
      </x:c>
      <x:c r="T151" s="172" t="n">
        <x:f>IFERROR(AG151/AI151,0)</x:f>
        <x:v>0</x:v>
      </x:c>
      <x:c r="U151" s="172" t="n">
        <x:f>IFERROR((T151-S151)/(P151+S151),0)</x:f>
        <x:v>0</x:v>
      </x:c>
      <x:c r="V151" s="172" t="n">
        <x:f>R151+U151</x:f>
        <x:v>-0.000006763443058590999</x:v>
      </x:c>
      <x:c r="W151" s="172" t="n">
        <x:f>(1+O151)*(1+V151)-1</x:f>
        <x:v>0.012689644034387548</x:v>
      </x:c>
      <x:c r="X151" s="174" t="n">
        <x:f>G151-W151</x:f>
        <x:v>-4.683753385137379e-17</x:v>
      </x:c>
      <x:c r="Y151" s="172" t="n">
        <x:f>AX151</x:f>
        <x:v>0.012689644034387501</x:v>
      </x:c>
      <x:c r="Z151" s="172" t="n">
        <x:f>BL151</x:f>
        <x:v>0</x:v>
      </x:c>
      <x:c r="AA151" s="172" t="n">
        <x:f>SUM(BZ151,CN151,DB151,DP151,ED151,ER151,FF151,FT151)</x:f>
        <x:v>0</x:v>
      </x:c>
      <x:c r="AB151" s="172" t="n">
        <x:f>SUM(Y151:AA151)</x:f>
        <x:v>0.012689644034387501</x:v>
      </x:c>
      <x:c r="AC151" s="174" t="n">
        <x:f>G151-AB151</x:f>
        <x:v>0</x:v>
      </x:c>
      <x:c r="AD151" s="169" t="n">
        <x:v>1.5212609723474304</x:v>
      </x:c>
      <x:c r="AE151" s="169" t="n">
        <x:v>1.5405652325699255</x:v>
      </x:c>
      <x:c r="AF151" s="169" t="n">
        <x:v>0</x:v>
      </x:c>
      <x:c r="AG151" s="169" t="n">
        <x:v>0</x:v>
      </x:c>
      <x:c r="AH151" s="171" t="n">
        <x:f>M151/$M$3</x:f>
        <x:v>0.8447395301327886</x:v>
      </x:c>
      <x:c r="AI151" s="171" t="n">
        <x:f>N151/$M$3</x:f>
        <x:v>0.8554647599591421</x:v>
      </x:c>
      <x:c r="AJ151" s="170" t="n">
        <x:f>IF(AK151&lt;&gt;"",1,0)+IF(AY151&lt;&gt;"",1,0)+IF(BM151&lt;&gt;"",1,0)+IF(CA151&lt;&gt;"",1,0)+IF(CO151&lt;&gt;"",1,0)+IF(DC151&lt;&gt;"",1,0)+IF(DQ151&lt;&gt;"",1,0)+IF(EE151&lt;&gt;"",1,0)+IF(ES151&lt;&gt;"",1,0)+IF(FG151&lt;&gt;"",1,0)</x:f>
        <x:v>1</x:v>
      </x:c>
      <x:c r="AK151" s="147" t="str">
        <x:v>Silver replicating holding (LBMA/SLV proxy)</x:v>
      </x:c>
      <x:c r="AL151" s="147" t="str">
        <x:v>Physical-backed proxy</x:v>
      </x:c>
      <x:c r="AM151" s="147" t="str">
        <x:v>Long</x:v>
      </x:c>
      <x:c r="AN151" s="167" t="n">
        <x:v>1.654</x:v>
      </x:c>
      <x:c r="AO151" s="167" t="n">
        <x:v>1.675</x:v>
      </x:c>
      <x:c r="AP151" s="166" t="n">
        <x:v>1</x:v>
      </x:c>
      <x:c r="AQ151" s="171" t="n">
        <x:f>IF(AK151="","",IFERROR(F151*AP151/AN151,0))</x:f>
        <x:v>0.919746658009329</x:v>
      </x:c>
      <x:c r="AR151" s="171" t="n">
        <x:f>IF(AK151="","",F151*ABS(AP151))</x:f>
        <x:v>1.52126097234743</x:v>
      </x:c>
      <x:c r="AS151" s="165"/>
      <x:c r="AT151" s="172" t="str">
        <x:f>IF(AK151="","",IF(AS151="","",IFERROR(AN151/AS151-1,0)))</x:f>
      </x:c>
      <x:c r="AU151" s="166"/>
      <x:c r="AV151" s="172" t="str">
        <x:f>IF(AK151="","",IF(AU151="","",AU151-AT151*365/AW151))</x:f>
      </x:c>
      <x:c r="AW151" s="164"/>
      <x:c r="AX151" s="173" t="n">
        <x:f>IF(AK151="","",IFERROR(AP151*(AO151/AN151-1-'Parameters'!$C$6*C151/365),0))</x:f>
        <x:v>0.012689644034387501</x:v>
      </x:c>
      <x:c r="AY151" s="147"/>
      <x:c r="AZ151" s="147"/>
      <x:c r="BA151" s="147"/>
      <x:c r="BB151" s="167"/>
      <x:c r="BC151" s="167"/>
      <x:c r="BD151" s="166"/>
      <x:c r="BE151" s="171" t="str">
        <x:f>IF(AY151="","",IFERROR(F151*BD151/BB151,0))</x:f>
      </x:c>
      <x:c r="BF151" s="171" t="str">
        <x:f>IF(AY151="","",F151*ABS(BD151))</x:f>
      </x:c>
      <x:c r="BG151" s="165"/>
      <x:c r="BH151" s="172" t="str">
        <x:f>IF(AY151="","",IF(BG151="","",IFERROR(BB151/BG151-1,0)))</x:f>
      </x:c>
      <x:c r="BI151" s="166"/>
      <x:c r="BJ151" s="172" t="str">
        <x:f>IF(AY151="","",IF(BI151="","",BI151-BH151*365/BK151))</x:f>
      </x:c>
      <x:c r="BK151" s="164"/>
      <x:c r="BL151" s="172" t="str">
        <x:f>IF(AY151="","",IFERROR(BD151*(BC151/BB151-1),0))</x:f>
      </x:c>
      <x:c r="BM151" s="147"/>
      <x:c r="BN151" s="147"/>
      <x:c r="BO151" s="147"/>
      <x:c r="BP151" s="167"/>
      <x:c r="BQ151" s="167"/>
      <x:c r="BR151" s="166"/>
      <x:c r="BS151" s="171" t="str">
        <x:f>IF(BM151="","",IFERROR(F151*BR151/BP151,0))</x:f>
      </x:c>
      <x:c r="BT151" s="171" t="str">
        <x:f>IF(BM151="","",F151*ABS(BR151))</x:f>
      </x:c>
      <x:c r="BU151" s="165"/>
      <x:c r="BV151" s="172" t="str">
        <x:f>IF(BM151="","",IF(BU151="","",IFERROR(BP151/BU151-1,0)))</x:f>
      </x:c>
      <x:c r="BW151" s="166"/>
      <x:c r="BX151" s="172" t="str">
        <x:f>IF(BM151="","",IF(BW151="","",BW151-BV151*365/BY151))</x:f>
      </x:c>
      <x:c r="BY151" s="164"/>
      <x:c r="BZ151" s="172" t="str">
        <x:f>IF(BM151="","",IFERROR(BR151*(BQ151/BP151-1),0))</x:f>
      </x:c>
      <x:c r="CA151" s="147"/>
      <x:c r="CB151" s="147"/>
      <x:c r="CC151" s="147"/>
      <x:c r="CD151" s="167"/>
      <x:c r="CE151" s="167"/>
      <x:c r="CF151" s="166"/>
      <x:c r="CG151" s="171" t="str">
        <x:f>IF(CA151="","",IFERROR(F151*CF151/CD151,0))</x:f>
      </x:c>
      <x:c r="CH151" s="171" t="str">
        <x:f>IF(CA151="","",F151*ABS(CF151))</x:f>
      </x:c>
      <x:c r="CI151" s="165"/>
      <x:c r="CJ151" s="172" t="str">
        <x:f>IF(CA151="","",IF(CI151="","",IFERROR(CD151/CI151-1,0)))</x:f>
      </x:c>
      <x:c r="CK151" s="166"/>
      <x:c r="CL151" s="172" t="str">
        <x:f>IF(CA151="","",IF(CK151="","",CK151-CJ151*365/CM151))</x:f>
      </x:c>
      <x:c r="CM151" s="164"/>
      <x:c r="CN151" s="172" t="str">
        <x:f>IF(CA151="","",IFERROR(CF151*(CE151/CD151-1),0))</x:f>
      </x:c>
      <x:c r="CO151" s="147"/>
      <x:c r="CP151" s="147"/>
      <x:c r="CQ151" s="147"/>
      <x:c r="CR151" s="167"/>
      <x:c r="CS151" s="167"/>
      <x:c r="CT151" s="166"/>
      <x:c r="CU151" s="171" t="str">
        <x:f>IF(CO151="","",IFERROR(F151*CT151/CR151,0))</x:f>
      </x:c>
      <x:c r="CV151" s="171" t="str">
        <x:f>IF(CO151="","",F151*ABS(CT151))</x:f>
      </x:c>
      <x:c r="CW151" s="165"/>
      <x:c r="CX151" s="172" t="str">
        <x:f>IF(CO151="","",IF(CW151="","",IFERROR(CR151/CW151-1,0)))</x:f>
      </x:c>
      <x:c r="CY151" s="166"/>
      <x:c r="CZ151" s="172" t="str">
        <x:f>IF(CO151="","",IF(CY151="","",CY151-CX151*365/DA151))</x:f>
      </x:c>
      <x:c r="DA151" s="164"/>
      <x:c r="DB151" s="172" t="str">
        <x:f>IF(CO151="","",IFERROR(CT151*(CS151/CR151-1),0))</x:f>
      </x:c>
      <x:c r="DC151" s="147"/>
      <x:c r="DD151" s="147"/>
      <x:c r="DE151" s="147"/>
      <x:c r="DF151" s="167"/>
      <x:c r="DG151" s="167"/>
      <x:c r="DH151" s="166"/>
      <x:c r="DI151" s="171" t="str">
        <x:f>IF(DC151="","",IFERROR(F151*DH151/DF151,0))</x:f>
      </x:c>
      <x:c r="DJ151" s="171" t="str">
        <x:f>IF(DC151="","",F151*ABS(DH151))</x:f>
      </x:c>
      <x:c r="DK151" s="165"/>
      <x:c r="DL151" s="172" t="str">
        <x:f>IF(DC151="","",IF(DK151="","",IFERROR(DF151/DK151-1,0)))</x:f>
      </x:c>
      <x:c r="DM151" s="166"/>
      <x:c r="DN151" s="172" t="str">
        <x:f>IF(DC151="","",IF(DM151="","",DM151-DL151*365/DO151))</x:f>
      </x:c>
      <x:c r="DO151" s="164"/>
      <x:c r="DP151" s="172" t="str">
        <x:f>IF(DC151="","",IFERROR(DH151*(DG151/DF151-1),0))</x:f>
      </x:c>
      <x:c r="DQ151" s="147"/>
      <x:c r="DR151" s="147"/>
      <x:c r="DS151" s="147"/>
      <x:c r="DT151" s="167"/>
      <x:c r="DU151" s="167"/>
      <x:c r="DV151" s="166"/>
      <x:c r="DW151" s="171" t="str">
        <x:f>IF(DQ151="","",IFERROR(F151*DV151/DT151,0))</x:f>
      </x:c>
      <x:c r="DX151" s="171" t="str">
        <x:f>IF(DQ151="","",F151*ABS(DV151))</x:f>
      </x:c>
      <x:c r="DY151" s="165"/>
      <x:c r="DZ151" s="172" t="str">
        <x:f>IF(DQ151="","",IF(DY151="","",IFERROR(DT151/DY151-1,0)))</x:f>
      </x:c>
      <x:c r="EA151" s="166"/>
      <x:c r="EB151" s="172" t="str">
        <x:f>IF(DQ151="","",IF(EA151="","",EA151-DZ151*365/EC151))</x:f>
      </x:c>
      <x:c r="EC151" s="164"/>
      <x:c r="ED151" s="172" t="str">
        <x:f>IF(DQ151="","",IFERROR(DV151*(DU151/DT151-1),0))</x:f>
      </x:c>
      <x:c r="EE151" s="147"/>
      <x:c r="EF151" s="147"/>
      <x:c r="EG151" s="147"/>
      <x:c r="EH151" s="167"/>
      <x:c r="EI151" s="167"/>
      <x:c r="EJ151" s="166"/>
      <x:c r="EK151" s="171" t="str">
        <x:f>IF(EE151="","",IFERROR(F151*EJ151/EH151,0))</x:f>
      </x:c>
      <x:c r="EL151" s="171" t="str">
        <x:f>IF(EE151="","",F151*ABS(EJ151))</x:f>
      </x:c>
      <x:c r="EM151" s="165"/>
      <x:c r="EN151" s="172" t="str">
        <x:f>IF(EE151="","",IF(EM151="","",IFERROR(EH151/EM151-1,0)))</x:f>
      </x:c>
      <x:c r="EO151" s="166"/>
      <x:c r="EP151" s="172" t="str">
        <x:f>IF(EE151="","",IF(EO151="","",EO151-EN151*365/EQ151))</x:f>
      </x:c>
      <x:c r="EQ151" s="164"/>
      <x:c r="ER151" s="172" t="str">
        <x:f>IF(EE151="","",IFERROR(EJ151*(EI151/EH151-1),0))</x:f>
      </x:c>
      <x:c r="ES151" s="147"/>
      <x:c r="ET151" s="147"/>
      <x:c r="EU151" s="147"/>
      <x:c r="EV151" s="167"/>
      <x:c r="EW151" s="167"/>
      <x:c r="EX151" s="166"/>
      <x:c r="EY151" s="171" t="str">
        <x:f>IF(ES151="","",IFERROR(F151*EX151/EV151,0))</x:f>
      </x:c>
      <x:c r="EZ151" s="171" t="str">
        <x:f>IF(ES151="","",F151*ABS(EX151))</x:f>
      </x:c>
      <x:c r="FA151" s="165"/>
      <x:c r="FB151" s="172" t="str">
        <x:f>IF(ES151="","",IF(FA151="","",IFERROR(EV151/FA151-1,0)))</x:f>
      </x:c>
      <x:c r="FC151" s="166"/>
      <x:c r="FD151" s="172" t="str">
        <x:f>IF(ES151="","",IF(FC151="","",FC151-FB151*365/FE151))</x:f>
      </x:c>
      <x:c r="FE151" s="164"/>
      <x:c r="FF151" s="172" t="str">
        <x:f>IF(ES151="","",IFERROR(EX151*(EW151/EV151-1),0))</x:f>
      </x:c>
      <x:c r="FG151" s="147"/>
      <x:c r="FH151" s="147"/>
      <x:c r="FI151" s="147"/>
      <x:c r="FJ151" s="167"/>
      <x:c r="FK151" s="167"/>
      <x:c r="FL151" s="166"/>
      <x:c r="FM151" s="171" t="str">
        <x:f>IF(FG151="","",IFERROR(F151*FL151/FJ151,0))</x:f>
      </x:c>
      <x:c r="FN151" s="171" t="str">
        <x:f>IF(FG151="","",F151*ABS(FL151))</x:f>
      </x:c>
      <x:c r="FO151" s="165"/>
      <x:c r="FP151" s="172" t="str">
        <x:f>IF(FG151="","",IF(FO151="","",IFERROR(FJ151/FO151-1,0)))</x:f>
      </x:c>
      <x:c r="FQ151" s="166"/>
      <x:c r="FR151" s="172" t="str">
        <x:f>IF(FG151="","",IF(FQ151="","",FQ151-FP151*365/FS151))</x:f>
      </x:c>
      <x:c r="FS151" s="164"/>
      <x:c r="FT151" s="172" t="str">
        <x:f>IF(FG151="","",IFERROR(FL151*(FK151/FJ151-1),0))</x:f>
      </x:c>
    </x:row>
    <x:row r="152" ht="18" customHeight="1">
      <x:c r="A152" s="163" t="n">
        <x:v>25428</x:v>
      </x:c>
      <x:c r="B152" s="163" t="n">
        <x:v>25429</x:v>
      </x:c>
      <x:c r="C152" s="170" t="n">
        <x:f>B152-A152</x:f>
        <x:v>1</x:v>
      </x:c>
      <x:c r="D152" s="163" t="n">
        <x:v>25428</x:v>
      </x:c>
      <x:c r="E152" s="147" t="str">
        <x:v>neutral</x:v>
      </x:c>
      <x:c r="F152" s="165" t="n">
        <x:v>1.540565232569925</x:v>
      </x:c>
      <x:c r="G152" s="168" t="n">
        <x:v>0.019097628296871737</x:v>
      </x:c>
      <x:c r="H152" s="172" t="n">
        <x:f>SUM(AX152,BL152,BZ152,CN152,DB152,DP152,ED152,ER152,FF152,FT152)</x:f>
        <x:v>0.019097628296871737</x:v>
      </x:c>
      <x:c r="I152" s="174" t="n">
        <x:f>G152-H152</x:f>
        <x:v>0</x:v>
      </x:c>
      <x:c r="J152" s="171" t="n">
        <x:f>F152*(1+H152)</x:f>
        <x:v>1.5699863747486293</x:v>
      </x:c>
      <x:c r="K152" s="169" t="n">
        <x:v>1.5699863747486293</x:v>
      </x:c>
      <x:c r="L152" s="175" t="n">
        <x:f>K152-J152</x:f>
        <x:v>0</x:v>
      </x:c>
      <x:c r="M152" s="167" t="n">
        <x:v>1.675</x:v>
      </x:c>
      <x:c r="N152" s="167" t="n">
        <x:v>1.707</x:v>
      </x:c>
      <x:c r="O152" s="172" t="n">
        <x:f>IFERROR(N152/M152-1,0)</x:f>
        <x:v>0.01910447761194023</x:v>
      </x:c>
      <x:c r="P152" s="171" t="n">
        <x:f>IFERROR(AD152/AH152,0)</x:f>
        <x:v>1.8008517763414411</x:v>
      </x:c>
      <x:c r="Q152" s="171" t="n">
        <x:f>IFERROR(AE152/AI152,0)</x:f>
        <x:v>1.800839672968844</x:v>
      </x:c>
      <x:c r="R152" s="172" t="n">
        <x:f>IFERROR((Q152-P152)/(P152+S152),0)</x:f>
        <x:v>-0.000006720915489024155</x:v>
      </x:c>
      <x:c r="S152" s="172" t="n">
        <x:f>IFERROR(AF152/AH152,0)</x:f>
        <x:v>0</x:v>
      </x:c>
      <x:c r="T152" s="172" t="n">
        <x:f>IFERROR(AG152/AI152,0)</x:f>
        <x:v>0</x:v>
      </x:c>
      <x:c r="U152" s="172" t="n">
        <x:f>IFERROR((T152-S152)/(P152+S152),0)</x:f>
        <x:v>0</x:v>
      </x:c>
      <x:c r="V152" s="172" t="n">
        <x:f>R152+U152</x:f>
        <x:v>-0.000006720915489024155</x:v>
      </x:c>
      <x:c r="W152" s="172" t="n">
        <x:f>(1+O152)*(1+V152)-1</x:f>
        <x:v>0.019097628296871783</x:v>
      </x:c>
      <x:c r="X152" s="174" t="n">
        <x:f>G152-W152</x:f>
        <x:v>-4.5102810375396984e-17</x:v>
      </x:c>
      <x:c r="Y152" s="172" t="n">
        <x:f>AX152</x:f>
        <x:v>0.019097628296871737</x:v>
      </x:c>
      <x:c r="Z152" s="172" t="str">
        <x:f>BL152</x:f>
      </x:c>
      <x:c r="AA152" s="172" t="n">
        <x:f>SUM(BZ152,CN152,DB152,DP152,ED152,ER152,FF152,FT152)</x:f>
        <x:v>0</x:v>
      </x:c>
      <x:c r="AB152" s="172" t="n">
        <x:f>SUM(Y152:AA152)</x:f>
        <x:v>0.019097628296871737</x:v>
      </x:c>
      <x:c r="AC152" s="174" t="n">
        <x:f>G152-AB152</x:f>
        <x:v>0</x:v>
      </x:c>
      <x:c r="AD152" s="169" t="n">
        <x:v>1.5405652325699255</x:v>
      </x:c>
      <x:c r="AE152" s="169" t="n">
        <x:v>1.5699863747486298</x:v>
      </x:c>
      <x:c r="AF152" s="169" t="n">
        <x:v>0</x:v>
      </x:c>
      <x:c r="AG152" s="169" t="n">
        <x:v>0</x:v>
      </x:c>
      <x:c r="AH152" s="171" t="n">
        <x:f>M152/$M$3</x:f>
        <x:v>0.8554647599591421</x:v>
      </x:c>
      <x:c r="AI152" s="171" t="n">
        <x:f>N152/$M$3</x:f>
        <x:v>0.8718079673135853</x:v>
      </x:c>
      <x:c r="AJ152" s="170" t="n">
        <x:f>IF(AK152&lt;&gt;"",1,0)+IF(AY152&lt;&gt;"",1,0)+IF(BM152&lt;&gt;"",1,0)+IF(CA152&lt;&gt;"",1,0)+IF(CO152&lt;&gt;"",1,0)+IF(DC152&lt;&gt;"",1,0)+IF(DQ152&lt;&gt;"",1,0)+IF(EE152&lt;&gt;"",1,0)+IF(ES152&lt;&gt;"",1,0)+IF(FG152&lt;&gt;"",1,0)</x:f>
        <x:v>1</x:v>
      </x:c>
      <x:c r="AK152" s="147" t="str">
        <x:v>Silver replicating holding (LBMA/SLV proxy)</x:v>
      </x:c>
      <x:c r="AL152" s="147" t="str">
        <x:v>Physical-backed proxy</x:v>
      </x:c>
      <x:c r="AM152" s="147" t="str">
        <x:v>Long</x:v>
      </x:c>
      <x:c r="AN152" s="167" t="n">
        <x:v>1.675</x:v>
      </x:c>
      <x:c r="AO152" s="167" t="n">
        <x:v>1.707</x:v>
      </x:c>
      <x:c r="AP152" s="166" t="n">
        <x:v>1</x:v>
      </x:c>
      <x:c r="AQ152" s="171" t="n">
        <x:f>IF(AK152="","",IFERROR(F152*AP152/AN152,0))</x:f>
        <x:v>0.9197404373551791</x:v>
      </x:c>
      <x:c r="AR152" s="171" t="n">
        <x:f>IF(AK152="","",F152*ABS(AP152))</x:f>
        <x:v>1.540565232569925</x:v>
      </x:c>
      <x:c r="AS152" s="165"/>
      <x:c r="AT152" s="172" t="str">
        <x:f>IF(AK152="","",IF(AS152="","",IFERROR(AN152/AS152-1,0)))</x:f>
      </x:c>
      <x:c r="AU152" s="166"/>
      <x:c r="AV152" s="172" t="str">
        <x:f>IF(AK152="","",IF(AU152="","",AU152-AT152*365/AW152))</x:f>
      </x:c>
      <x:c r="AW152" s="164"/>
      <x:c r="AX152" s="173" t="n">
        <x:f>IF(AK152="","",IFERROR(AP152*(AO152/AN152-1-'Parameters'!$C$6*C152/365),0))</x:f>
        <x:v>0.019097628296871737</x:v>
      </x:c>
      <x:c r="AY152" s="147"/>
      <x:c r="AZ152" s="147"/>
      <x:c r="BA152" s="147"/>
      <x:c r="BB152" s="167"/>
      <x:c r="BC152" s="167"/>
      <x:c r="BD152" s="166"/>
      <x:c r="BE152" s="171" t="str">
        <x:f>IF(AY152="","",IFERROR(F152*BD152/BB152,0))</x:f>
      </x:c>
      <x:c r="BF152" s="171" t="str">
        <x:f>IF(AY152="","",F152*ABS(BD152))</x:f>
      </x:c>
      <x:c r="BG152" s="165"/>
      <x:c r="BH152" s="172" t="str">
        <x:f>IF(AY152="","",IF(BG152="","",IFERROR(BB152/BG152-1,0)))</x:f>
      </x:c>
      <x:c r="BI152" s="166"/>
      <x:c r="BJ152" s="172" t="str">
        <x:f>IF(AY152="","",IF(BI152="","",BI152-BH152*365/BK152))</x:f>
      </x:c>
      <x:c r="BK152" s="164"/>
      <x:c r="BL152" s="172" t="str">
        <x:f>IF(AY152="","",IFERROR(BD152*(BC152/BB152-1),0))</x:f>
      </x:c>
      <x:c r="BM152" s="147"/>
      <x:c r="BN152" s="147"/>
      <x:c r="BO152" s="147"/>
      <x:c r="BP152" s="167"/>
      <x:c r="BQ152" s="167"/>
      <x:c r="BR152" s="166"/>
      <x:c r="BS152" s="171" t="str">
        <x:f>IF(BM152="","",IFERROR(F152*BR152/BP152,0))</x:f>
      </x:c>
      <x:c r="BT152" s="171" t="str">
        <x:f>IF(BM152="","",F152*ABS(BR152))</x:f>
      </x:c>
      <x:c r="BU152" s="165"/>
      <x:c r="BV152" s="172" t="str">
        <x:f>IF(BM152="","",IF(BU152="","",IFERROR(BP152/BU152-1,0)))</x:f>
      </x:c>
      <x:c r="BW152" s="166"/>
      <x:c r="BX152" s="172" t="str">
        <x:f>IF(BM152="","",IF(BW152="","",BW152-BV152*365/BY152))</x:f>
      </x:c>
      <x:c r="BY152" s="164"/>
      <x:c r="BZ152" s="172" t="str">
        <x:f>IF(BM152="","",IFERROR(BR152*(BQ152/BP152-1),0))</x:f>
      </x:c>
      <x:c r="CA152" s="147"/>
      <x:c r="CB152" s="147"/>
      <x:c r="CC152" s="147"/>
      <x:c r="CD152" s="167"/>
      <x:c r="CE152" s="167"/>
      <x:c r="CF152" s="166"/>
      <x:c r="CG152" s="171" t="str">
        <x:f>IF(CA152="","",IFERROR(F152*CF152/CD152,0))</x:f>
      </x:c>
      <x:c r="CH152" s="171" t="str">
        <x:f>IF(CA152="","",F152*ABS(CF152))</x:f>
      </x:c>
      <x:c r="CI152" s="165"/>
      <x:c r="CJ152" s="172" t="str">
        <x:f>IF(CA152="","",IF(CI152="","",IFERROR(CD152/CI152-1,0)))</x:f>
      </x:c>
      <x:c r="CK152" s="166"/>
      <x:c r="CL152" s="172" t="str">
        <x:f>IF(CA152="","",IF(CK152="","",CK152-CJ152*365/CM152))</x:f>
      </x:c>
      <x:c r="CM152" s="164"/>
      <x:c r="CN152" s="172" t="str">
        <x:f>IF(CA152="","",IFERROR(CF152*(CE152/CD152-1),0))</x:f>
      </x:c>
      <x:c r="CO152" s="147"/>
      <x:c r="CP152" s="147"/>
      <x:c r="CQ152" s="147"/>
      <x:c r="CR152" s="167"/>
      <x:c r="CS152" s="167"/>
      <x:c r="CT152" s="166"/>
      <x:c r="CU152" s="171" t="str">
        <x:f>IF(CO152="","",IFERROR(F152*CT152/CR152,0))</x:f>
      </x:c>
      <x:c r="CV152" s="171" t="str">
        <x:f>IF(CO152="","",F152*ABS(CT152))</x:f>
      </x:c>
      <x:c r="CW152" s="165"/>
      <x:c r="CX152" s="172" t="str">
        <x:f>IF(CO152="","",IF(CW152="","",IFERROR(CR152/CW152-1,0)))</x:f>
      </x:c>
      <x:c r="CY152" s="166"/>
      <x:c r="CZ152" s="172" t="str">
        <x:f>IF(CO152="","",IF(CY152="","",CY152-CX152*365/DA152))</x:f>
      </x:c>
      <x:c r="DA152" s="164"/>
      <x:c r="DB152" s="172" t="str">
        <x:f>IF(CO152="","",IFERROR(CT152*(CS152/CR152-1),0))</x:f>
      </x:c>
      <x:c r="DC152" s="147"/>
      <x:c r="DD152" s="147"/>
      <x:c r="DE152" s="147"/>
      <x:c r="DF152" s="167"/>
      <x:c r="DG152" s="167"/>
      <x:c r="DH152" s="166"/>
      <x:c r="DI152" s="171" t="str">
        <x:f>IF(DC152="","",IFERROR(F152*DH152/DF152,0))</x:f>
      </x:c>
      <x:c r="DJ152" s="171" t="str">
        <x:f>IF(DC152="","",F152*ABS(DH152))</x:f>
      </x:c>
      <x:c r="DK152" s="165"/>
      <x:c r="DL152" s="172" t="str">
        <x:f>IF(DC152="","",IF(DK152="","",IFERROR(DF152/DK152-1,0)))</x:f>
      </x:c>
      <x:c r="DM152" s="166"/>
      <x:c r="DN152" s="172" t="str">
        <x:f>IF(DC152="","",IF(DM152="","",DM152-DL152*365/DO152))</x:f>
      </x:c>
      <x:c r="DO152" s="164"/>
      <x:c r="DP152" s="172" t="str">
        <x:f>IF(DC152="","",IFERROR(DH152*(DG152/DF152-1),0))</x:f>
      </x:c>
      <x:c r="DQ152" s="147"/>
      <x:c r="DR152" s="147"/>
      <x:c r="DS152" s="147"/>
      <x:c r="DT152" s="167"/>
      <x:c r="DU152" s="167"/>
      <x:c r="DV152" s="166"/>
      <x:c r="DW152" s="171" t="str">
        <x:f>IF(DQ152="","",IFERROR(F152*DV152/DT152,0))</x:f>
      </x:c>
      <x:c r="DX152" s="171" t="str">
        <x:f>IF(DQ152="","",F152*ABS(DV152))</x:f>
      </x:c>
      <x:c r="DY152" s="165"/>
      <x:c r="DZ152" s="172" t="str">
        <x:f>IF(DQ152="","",IF(DY152="","",IFERROR(DT152/DY152-1,0)))</x:f>
      </x:c>
      <x:c r="EA152" s="166"/>
      <x:c r="EB152" s="172" t="str">
        <x:f>IF(DQ152="","",IF(EA152="","",EA152-DZ152*365/EC152))</x:f>
      </x:c>
      <x:c r="EC152" s="164"/>
      <x:c r="ED152" s="172" t="str">
        <x:f>IF(DQ152="","",IFERROR(DV152*(DU152/DT152-1),0))</x:f>
      </x:c>
      <x:c r="EE152" s="147"/>
      <x:c r="EF152" s="147"/>
      <x:c r="EG152" s="147"/>
      <x:c r="EH152" s="167"/>
      <x:c r="EI152" s="167"/>
      <x:c r="EJ152" s="166"/>
      <x:c r="EK152" s="171" t="str">
        <x:f>IF(EE152="","",IFERROR(F152*EJ152/EH152,0))</x:f>
      </x:c>
      <x:c r="EL152" s="171" t="str">
        <x:f>IF(EE152="","",F152*ABS(EJ152))</x:f>
      </x:c>
      <x:c r="EM152" s="165"/>
      <x:c r="EN152" s="172" t="str">
        <x:f>IF(EE152="","",IF(EM152="","",IFERROR(EH152/EM152-1,0)))</x:f>
      </x:c>
      <x:c r="EO152" s="166"/>
      <x:c r="EP152" s="172" t="str">
        <x:f>IF(EE152="","",IF(EO152="","",EO152-EN152*365/EQ152))</x:f>
      </x:c>
      <x:c r="EQ152" s="164"/>
      <x:c r="ER152" s="172" t="str">
        <x:f>IF(EE152="","",IFERROR(EJ152*(EI152/EH152-1),0))</x:f>
      </x:c>
      <x:c r="ES152" s="147"/>
      <x:c r="ET152" s="147"/>
      <x:c r="EU152" s="147"/>
      <x:c r="EV152" s="167"/>
      <x:c r="EW152" s="167"/>
      <x:c r="EX152" s="166"/>
      <x:c r="EY152" s="171" t="str">
        <x:f>IF(ES152="","",IFERROR(F152*EX152/EV152,0))</x:f>
      </x:c>
      <x:c r="EZ152" s="171" t="str">
        <x:f>IF(ES152="","",F152*ABS(EX152))</x:f>
      </x:c>
      <x:c r="FA152" s="165"/>
      <x:c r="FB152" s="172" t="str">
        <x:f>IF(ES152="","",IF(FA152="","",IFERROR(EV152/FA152-1,0)))</x:f>
      </x:c>
      <x:c r="FC152" s="166"/>
      <x:c r="FD152" s="172" t="str">
        <x:f>IF(ES152="","",IF(FC152="","",FC152-FB152*365/FE152))</x:f>
      </x:c>
      <x:c r="FE152" s="164"/>
      <x:c r="FF152" s="172" t="str">
        <x:f>IF(ES152="","",IFERROR(EX152*(EW152/EV152-1),0))</x:f>
      </x:c>
      <x:c r="FG152" s="147"/>
      <x:c r="FH152" s="147"/>
      <x:c r="FI152" s="147"/>
      <x:c r="FJ152" s="167"/>
      <x:c r="FK152" s="167"/>
      <x:c r="FL152" s="166"/>
      <x:c r="FM152" s="171" t="str">
        <x:f>IF(FG152="","",IFERROR(F152*FL152/FJ152,0))</x:f>
      </x:c>
      <x:c r="FN152" s="171" t="str">
        <x:f>IF(FG152="","",F152*ABS(FL152))</x:f>
      </x:c>
      <x:c r="FO152" s="165"/>
      <x:c r="FP152" s="172" t="str">
        <x:f>IF(FG152="","",IF(FO152="","",IFERROR(FJ152/FO152-1,0)))</x:f>
      </x:c>
      <x:c r="FQ152" s="166"/>
      <x:c r="FR152" s="172" t="str">
        <x:f>IF(FG152="","",IF(FQ152="","",FQ152-FP152*365/FS152))</x:f>
      </x:c>
      <x:c r="FS152" s="164"/>
      <x:c r="FT152" s="172" t="str">
        <x:f>IF(FG152="","",IFERROR(FL152*(FK152/FJ152-1),0))</x:f>
      </x:c>
    </x:row>
    <x:row r="153" ht="18" customHeight="1">
      <x:c r="A153" s="163" t="n">
        <x:v>25429</x:v>
      </x:c>
      <x:c r="B153" s="163" t="n">
        <x:v>25430</x:v>
      </x:c>
      <x:c r="C153" s="170" t="n">
        <x:f>B153-A153</x:f>
        <x:v>1</x:v>
      </x:c>
      <x:c r="D153" s="163" t="n">
        <x:v>25429</x:v>
      </x:c>
      <x:c r="E153" s="147" t="str">
        <x:v>positive</x:v>
      </x:c>
      <x:c r="F153" s="165" t="n">
        <x:v>1.5699863747486293</x:v>
      </x:c>
      <x:c r="G153" s="168" t="n">
        <x:v>0.0031987265761214624</x:v>
      </x:c>
      <x:c r="H153" s="172" t="n">
        <x:f>SUM(AX153,BL153,BZ153,CN153,DB153,DP153,ED153,ER153,FF153,FT153)</x:f>
        <x:v>0.003198726576121458</x:v>
      </x:c>
      <x:c r="I153" s="174" t="n">
        <x:f>G153-H153</x:f>
        <x:v>4.336808689942018e-18</x:v>
      </x:c>
      <x:c r="J153" s="171" t="n">
        <x:f>F153*(1+H153)</x:f>
        <x:v>1.5750083318896864</x:v>
      </x:c>
      <x:c r="K153" s="169" t="n">
        <x:v>1.5750083318896864</x:v>
      </x:c>
      <x:c r="L153" s="175" t="n">
        <x:f>K153-J153</x:f>
        <x:v>0</x:v>
      </x:c>
      <x:c r="M153" s="167" t="n">
        <x:v>1.707</x:v>
      </x:c>
      <x:c r="N153" s="167" t="n">
        <x:v>1.696</x:v>
      </x:c>
      <x:c r="O153" s="172" t="n">
        <x:f>IFERROR(N153/M153-1,0)</x:f>
        <x:v>-0.006444053895723556</x:v>
      </x:c>
      <x:c r="P153" s="171" t="n">
        <x:f>IFERROR(AD153/AH153,0)</x:f>
        <x:v>1.800839672968844</x:v>
      </x:c>
      <x:c r="Q153" s="171" t="n">
        <x:f>IFERROR(AE153/AI153,0)</x:f>
        <x:v>1.8183174020283057</x:v>
      </x:c>
      <x:c r="R153" s="172" t="n">
        <x:f>IFERROR((Q153-P153)/(P153+S153),0)</x:f>
        <x:v>0.009705322090471312</x:v>
      </x:c>
      <x:c r="S153" s="172" t="n">
        <x:f>IFERROR(AF153/AH153,0)</x:f>
        <x:v>0</x:v>
      </x:c>
      <x:c r="T153" s="172" t="n">
        <x:f>IFERROR(AG153/AI153,0)</x:f>
        <x:v>0</x:v>
      </x:c>
      <x:c r="U153" s="172" t="n">
        <x:f>IFERROR((T153-S153)/(P153+S153),0)</x:f>
        <x:v>0</x:v>
      </x:c>
      <x:c r="V153" s="172" t="n">
        <x:f>R153+U153</x:f>
        <x:v>0.009705322090471312</x:v>
      </x:c>
      <x:c r="W153" s="172" t="n">
        <x:f>(1+O153)*(1+V153)-1</x:f>
        <x:v>0.0031987265761213024</x:v>
      </x:c>
      <x:c r="X153" s="174" t="n">
        <x:f>G153-W153</x:f>
        <x:v>1.6002824065886045e-16</x:v>
      </x:c>
      <x:c r="Y153" s="172" t="n">
        <x:f>AX153</x:f>
        <x:v>-0.000673263744344254</x:v>
      </x:c>
      <x:c r="Z153" s="172" t="n">
        <x:f>BL153</x:f>
        <x:v>0.00017102902722325735</x:v>
      </x:c>
      <x:c r="AA153" s="172" t="n">
        <x:f>SUM(BZ153,CN153,DB153,DP153,ED153,ER153,FF153,FT153)</x:f>
        <x:v>0.0037009612932424546</x:v>
      </x:c>
      <x:c r="AB153" s="172" t="n">
        <x:f>SUM(Y153:AA153)</x:f>
        <x:v>0.003198726576121458</x:v>
      </x:c>
      <x:c r="AC153" s="174" t="n">
        <x:f>G153-AB153</x:f>
        <x:v>4.336808689942018e-18</x:v>
      </x:c>
      <x:c r="AD153" s="169" t="n">
        <x:v>1.5699863747486298</x:v>
      </x:c>
      <x:c r="AE153" s="169" t="n">
        <x:v>1.5750083318896868</x:v>
      </x:c>
      <x:c r="AF153" s="169" t="n">
        <x:v>0</x:v>
      </x:c>
      <x:c r="AG153" s="169" t="n">
        <x:v>0</x:v>
      </x:c>
      <x:c r="AH153" s="171" t="n">
        <x:f>M153/$M$3</x:f>
        <x:v>0.8718079673135853</x:v>
      </x:c>
      <x:c r="AI153" s="171" t="n">
        <x:f>N153/$M$3</x:f>
        <x:v>0.8661899897854954</x:v>
      </x:c>
      <x:c r="AJ153" s="170" t="n">
        <x:f>IF(AK153&lt;&gt;"",1,0)+IF(AY153&lt;&gt;"",1,0)+IF(BM153&lt;&gt;"",1,0)+IF(CA153&lt;&gt;"",1,0)+IF(CO153&lt;&gt;"",1,0)+IF(DC153&lt;&gt;"",1,0)+IF(DQ153&lt;&gt;"",1,0)+IF(EE153&lt;&gt;"",1,0)+IF(ES153&lt;&gt;"",1,0)+IF(FG153&lt;&gt;"",1,0)</x:f>
        <x:v>5</x:v>
      </x:c>
      <x:c r="AK153" s="147" t="str">
        <x:v>Silver replicating holding (LBMA/SLV proxy)</x:v>
      </x:c>
      <x:c r="AL153" s="147" t="str">
        <x:v>Physical-backed proxy</x:v>
      </x:c>
      <x:c r="AM153" s="147" t="str">
        <x:v>Long</x:v>
      </x:c>
      <x:c r="AN153" s="167" t="n">
        <x:v>1.707</x:v>
      </x:c>
      <x:c r="AO153" s="167" t="n">
        <x:v>1.696</x:v>
      </x:c>
      <x:c r="AP153" s="166" t="n">
        <x:v>0.10436736102595934</x:v>
      </x:c>
      <x:c r="AQ153" s="171" t="n">
        <x:f>IF(AK153="","",IFERROR(F153*AP153/AN153,0))</x:f>
        <x:v>0.09599023712901422</x:v>
      </x:c>
      <x:c r="AR153" s="171" t="n">
        <x:f>IF(AK153="","",F153*ABS(AP153))</x:f>
        <x:v>0.16385533477922729</x:v>
      </x:c>
      <x:c r="AS153" s="165"/>
      <x:c r="AT153" s="172" t="str">
        <x:f>IF(AK153="","",IF(AS153="","",IFERROR(AN153/AS153-1,0)))</x:f>
      </x:c>
      <x:c r="AU153" s="166"/>
      <x:c r="AV153" s="172" t="str">
        <x:f>IF(AK153="","",IF(AU153="","",AU153-AT153*365/AW153))</x:f>
      </x:c>
      <x:c r="AW153" s="164"/>
      <x:c r="AX153" s="173" t="n">
        <x:f>IF(AK153="","",IFERROR(AP153*(AO153/AN153-1-'Parameters'!$C$6*C153/365),0))</x:f>
        <x:v>-0.000673263744344254</x:v>
      </x:c>
      <x:c r="AY153" s="147" t="str">
        <x:v>Matched-maturity Treasury collateral</x:v>
      </x:c>
      <x:c r="AZ153" s="147" t="str">
        <x:v>Treasury</x:v>
      </x:c>
      <x:c r="BA153" s="147" t="str">
        <x:v>Long</x:v>
      </x:c>
      <x:c r="BB153" s="167" t="n">
        <x:v>103.9472034797279</x:v>
      </x:c>
      <x:c r="BC153" s="167" t="n">
        <x:v>103.96705312378964</x:v>
      </x:c>
      <x:c r="BD153" s="166" t="n">
        <x:v>0.8956326389740407</x:v>
      </x:c>
      <x:c r="BE153" s="171" t="n">
        <x:f>IF(AY153="","",IFERROR(F153*BD153/BB153,0))</x:f>
        <x:v>0.013527358051952114</x:v>
      </x:c>
      <x:c r="BF153" s="171" t="n">
        <x:f>IF(AY153="","",F153*ABS(BD153))</x:f>
        <x:v>1.406131039969402</x:v>
      </x:c>
      <x:c r="BG153" s="165"/>
      <x:c r="BH153" s="172" t="str">
        <x:f>IF(AY153="","",IF(BG153="","",IFERROR(BB153/BG153-1,0)))</x:f>
      </x:c>
      <x:c r="BI153" s="166"/>
      <x:c r="BJ153" s="172" t="str">
        <x:f>IF(AY153="","",IF(BI153="","",BI153-BH153*365/BK153))</x:f>
      </x:c>
      <x:c r="BK153" s="164" t="n">
        <x:v>43.000021544740264</x:v>
      </x:c>
      <x:c r="BL153" s="172" t="n">
        <x:f>IF(AY153="","",IFERROR(BD153*(BC153/BB153-1),0))</x:f>
        <x:v>0.00017102902722325735</x:v>
      </x:c>
      <x:c r="BM153" s="147" t="str">
        <x:v>SI69U</x:v>
      </x:c>
      <x:c r="BN153" s="147" t="str">
        <x:v>Silver future (regular)</x:v>
      </x:c>
      <x:c r="BO153" s="147" t="str">
        <x:v>Long</x:v>
      </x:c>
      <x:c r="BP153" s="167" t="n">
        <x:v>1.694</x:v>
      </x:c>
      <x:c r="BQ153" s="167" t="n">
        <x:v>1.7009999999999998</x:v>
      </x:c>
      <x:c r="BR153" s="166" t="n">
        <x:v>0.8956324390509784</x:v>
      </x:c>
      <x:c r="BS153" s="171" t="n">
        <x:f>IF(BM153="","",IFERROR(F153*BR153/BP153,0))</x:f>
        <x:v>0.8300653636912151</x:v>
      </x:c>
      <x:c r="BT153" s="171" t="n">
        <x:f>IF(BM153="","",F153*ABS(BR153))</x:f>
        <x:v>1.4061307260929183</x:v>
      </x:c>
      <x:c r="BU153" s="165" t="n">
        <x:v>1.707</x:v>
      </x:c>
      <x:c r="BV153" s="172" t="n">
        <x:f>IF(BM153="","",IF(BU153="","",IFERROR(BP153/BU153-1,0)))</x:f>
        <x:v>-0.007615700058582364</x:v>
      </x:c>
      <x:c r="BW153" s="166" t="n">
        <x:v>0.0697</x:v>
      </x:c>
      <x:c r="BX153" s="172" t="n">
        <x:f>IF(BM153="","",IF(BW153="","",BW153-BV153*365/BY153))</x:f>
        <x:v>0.1343448958461061</x:v>
      </x:c>
      <x:c r="BY153" s="164" t="n">
        <x:v>43</x:v>
      </x:c>
      <x:c r="BZ153" s="172" t="n">
        <x:f>IF(BM153="","",IFERROR(BR153*(BQ153/BP153-1),0))</x:f>
        <x:v>0.0037009604919460803</x:v>
      </x:c>
      <x:c r="CA153" s="147" t="str">
        <x:v>SI69Z</x:v>
      </x:c>
      <x:c r="CB153" s="147" t="str">
        <x:v>Silver future (regular)</x:v>
      </x:c>
      <x:c r="CC153" s="147" t="str">
        <x:v>Long</x:v>
      </x:c>
      <x:c r="CD153" s="167" t="n">
        <x:v>1.745</x:v>
      </x:c>
      <x:c r="CE153" s="167" t="n">
        <x:v>1.7519999999999998</x:v>
      </x:c>
      <x:c r="CF153" s="166" t="n">
        <x:v>1.831429045097006e-7</x:v>
      </x:c>
      <x:c r="CG153" s="171" t="n">
        <x:f>IF(CA153="","",IFERROR(F153*CF153/CD153,0))</x:f>
        <x:v>1.6477470757141503e-7</x:v>
      </x:c>
      <x:c r="CH153" s="171" t="n">
        <x:f>IF(CA153="","",F153*ABS(CF153))</x:f>
        <x:v>2.8753186471211925e-7</x:v>
      </x:c>
      <x:c r="CI153" s="165" t="n">
        <x:v>1.707</x:v>
      </x:c>
      <x:c r="CJ153" s="172" t="n">
        <x:f>IF(CA153="","",IF(CI153="","",IFERROR(CD153/CI153-1,0)))</x:f>
        <x:v>0.022261277094317578</x:v>
      </x:c>
      <x:c r="CK153" s="166" t="n">
        <x:v>0.07106483516483517</x:v>
      </x:c>
      <x:c r="CL153" s="172" t="n">
        <x:f>IF(CA153="","",IF(CK153="","",CK153-CJ153*365/CM153))</x:f>
        <x:v>0.011755593271215344</x:v>
      </x:c>
      <x:c r="CM153" s="164" t="n">
        <x:v>137</x:v>
      </x:c>
      <x:c r="CN153" s="172" t="n">
        <x:f>IF(CA153="","",IFERROR(CF153*(CE153/CD153-1),0))</x:f>
        <x:v>7.346706771162273e-10</x:v>
      </x:c>
      <x:c r="CO153" s="147" t="str">
        <x:v>SI70F</x:v>
      </x:c>
      <x:c r="CP153" s="147" t="str">
        <x:v>Silver future (regular)</x:v>
      </x:c>
      <x:c r="CQ153" s="147" t="str">
        <x:v>Long</x:v>
      </x:c>
      <x:c r="CR153" s="167" t="n">
        <x:v>1.7630000000000001</x:v>
      </x:c>
      <x:c r="CS153" s="167" t="n">
        <x:v>1.77</x:v>
      </x:c>
      <x:c r="CT153" s="166" t="n">
        <x:v>1.678015770237776e-8</x:v>
      </x:c>
      <x:c r="CU153" s="171" t="n">
        <x:f>IF(CO153="","",IFERROR(F153*CT153/CR153,0))</x:f>
        <x:v>1.4943062370315572e-8</x:v>
      </x:c>
      <x:c r="CV153" s="171" t="n">
        <x:f>IF(CO153="","",F153*ABS(CT153))</x:f>
        <x:v>2.6344618958866353e-8</x:v>
      </x:c>
      <x:c r="CW153" s="165" t="n">
        <x:v>1.707</x:v>
      </x:c>
      <x:c r="CX153" s="172" t="n">
        <x:f>IF(CO153="","",IF(CW153="","",IFERROR(CR153/CW153-1,0)))</x:f>
        <x:v>0.03280609256004685</x:v>
      </x:c>
      <x:c r="CY153" s="166" t="n">
        <x:v>0.07195494505494507</x:v>
      </x:c>
      <x:c r="CZ153" s="172" t="n">
        <x:f>IF(CO153="","",IF(CY153="","",CY153-CX153*365/DA153))</x:f>
        <x:v>0.00025300622610015255</x:v>
      </x:c>
      <x:c r="DA153" s="164" t="n">
        <x:v>167</x:v>
      </x:c>
      <x:c r="DB153" s="172" t="n">
        <x:f>IF(CO153="","",IFERROR(CT153*(CS153/CR153-1),0))</x:f>
        <x:v>6.662569705992189e-11</x:v>
      </x:c>
      <x:c r="DC153" s="147"/>
      <x:c r="DD153" s="147"/>
      <x:c r="DE153" s="147"/>
      <x:c r="DF153" s="167"/>
      <x:c r="DG153" s="167"/>
      <x:c r="DH153" s="166"/>
      <x:c r="DI153" s="171" t="str">
        <x:f>IF(DC153="","",IFERROR(F153*DH153/DF153,0))</x:f>
      </x:c>
      <x:c r="DJ153" s="171" t="str">
        <x:f>IF(DC153="","",F153*ABS(DH153))</x:f>
      </x:c>
      <x:c r="DK153" s="165"/>
      <x:c r="DL153" s="172" t="str">
        <x:f>IF(DC153="","",IF(DK153="","",IFERROR(DF153/DK153-1,0)))</x:f>
      </x:c>
      <x:c r="DM153" s="166"/>
      <x:c r="DN153" s="172" t="str">
        <x:f>IF(DC153="","",IF(DM153="","",DM153-DL153*365/DO153))</x:f>
      </x:c>
      <x:c r="DO153" s="164"/>
      <x:c r="DP153" s="172" t="str">
        <x:f>IF(DC153="","",IFERROR(DH153*(DG153/DF153-1),0))</x:f>
      </x:c>
      <x:c r="DQ153" s="147"/>
      <x:c r="DR153" s="147"/>
      <x:c r="DS153" s="147"/>
      <x:c r="DT153" s="167"/>
      <x:c r="DU153" s="167"/>
      <x:c r="DV153" s="166"/>
      <x:c r="DW153" s="171" t="str">
        <x:f>IF(DQ153="","",IFERROR(F153*DV153/DT153,0))</x:f>
      </x:c>
      <x:c r="DX153" s="171" t="str">
        <x:f>IF(DQ153="","",F153*ABS(DV153))</x:f>
      </x:c>
      <x:c r="DY153" s="165"/>
      <x:c r="DZ153" s="172" t="str">
        <x:f>IF(DQ153="","",IF(DY153="","",IFERROR(DT153/DY153-1,0)))</x:f>
      </x:c>
      <x:c r="EA153" s="166"/>
      <x:c r="EB153" s="172" t="str">
        <x:f>IF(DQ153="","",IF(EA153="","",EA153-DZ153*365/EC153))</x:f>
      </x:c>
      <x:c r="EC153" s="164"/>
      <x:c r="ED153" s="172" t="str">
        <x:f>IF(DQ153="","",IFERROR(DV153*(DU153/DT153-1),0))</x:f>
      </x:c>
      <x:c r="EE153" s="147"/>
      <x:c r="EF153" s="147"/>
      <x:c r="EG153" s="147"/>
      <x:c r="EH153" s="167"/>
      <x:c r="EI153" s="167"/>
      <x:c r="EJ153" s="166"/>
      <x:c r="EK153" s="171" t="str">
        <x:f>IF(EE153="","",IFERROR(F153*EJ153/EH153,0))</x:f>
      </x:c>
      <x:c r="EL153" s="171" t="str">
        <x:f>IF(EE153="","",F153*ABS(EJ153))</x:f>
      </x:c>
      <x:c r="EM153" s="165"/>
      <x:c r="EN153" s="172" t="str">
        <x:f>IF(EE153="","",IF(EM153="","",IFERROR(EH153/EM153-1,0)))</x:f>
      </x:c>
      <x:c r="EO153" s="166"/>
      <x:c r="EP153" s="172" t="str">
        <x:f>IF(EE153="","",IF(EO153="","",EO153-EN153*365/EQ153))</x:f>
      </x:c>
      <x:c r="EQ153" s="164"/>
      <x:c r="ER153" s="172" t="str">
        <x:f>IF(EE153="","",IFERROR(EJ153*(EI153/EH153-1),0))</x:f>
      </x:c>
      <x:c r="ES153" s="147"/>
      <x:c r="ET153" s="147"/>
      <x:c r="EU153" s="147"/>
      <x:c r="EV153" s="167"/>
      <x:c r="EW153" s="167"/>
      <x:c r="EX153" s="166"/>
      <x:c r="EY153" s="171" t="str">
        <x:f>IF(ES153="","",IFERROR(F153*EX153/EV153,0))</x:f>
      </x:c>
      <x:c r="EZ153" s="171" t="str">
        <x:f>IF(ES153="","",F153*ABS(EX153))</x:f>
      </x:c>
      <x:c r="FA153" s="165"/>
      <x:c r="FB153" s="172" t="str">
        <x:f>IF(ES153="","",IF(FA153="","",IFERROR(EV153/FA153-1,0)))</x:f>
      </x:c>
      <x:c r="FC153" s="166"/>
      <x:c r="FD153" s="172" t="str">
        <x:f>IF(ES153="","",IF(FC153="","",FC153-FB153*365/FE153))</x:f>
      </x:c>
      <x:c r="FE153" s="164"/>
      <x:c r="FF153" s="172" t="str">
        <x:f>IF(ES153="","",IFERROR(EX153*(EW153/EV153-1),0))</x:f>
      </x:c>
      <x:c r="FG153" s="147"/>
      <x:c r="FH153" s="147"/>
      <x:c r="FI153" s="147"/>
      <x:c r="FJ153" s="167"/>
      <x:c r="FK153" s="167"/>
      <x:c r="FL153" s="166"/>
      <x:c r="FM153" s="171" t="str">
        <x:f>IF(FG153="","",IFERROR(F153*FL153/FJ153,0))</x:f>
      </x:c>
      <x:c r="FN153" s="171" t="str">
        <x:f>IF(FG153="","",F153*ABS(FL153))</x:f>
      </x:c>
      <x:c r="FO153" s="165"/>
      <x:c r="FP153" s="172" t="str">
        <x:f>IF(FG153="","",IF(FO153="","",IFERROR(FJ153/FO153-1,0)))</x:f>
      </x:c>
      <x:c r="FQ153" s="166"/>
      <x:c r="FR153" s="172" t="str">
        <x:f>IF(FG153="","",IF(FQ153="","",FQ153-FP153*365/FS153))</x:f>
      </x:c>
      <x:c r="FS153" s="164"/>
      <x:c r="FT153" s="172" t="str">
        <x:f>IF(FG153="","",IFERROR(FL153*(FK153/FJ153-1),0))</x:f>
      </x:c>
    </x:row>
    <x:row r="154" ht="18" customHeight="1">
      <x:c r="A154" s="163" t="n">
        <x:v>25430</x:v>
      </x:c>
      <x:c r="B154" s="163" t="n">
        <x:v>25433</x:v>
      </x:c>
      <x:c r="C154" s="170" t="n">
        <x:f>B154-A154</x:f>
        <x:v>3</x:v>
      </x:c>
      <x:c r="D154" s="163" t="n">
        <x:v>25430</x:v>
      </x:c>
      <x:c r="E154" s="147" t="str">
        <x:v>positive</x:v>
      </x:c>
      <x:c r="F154" s="165" t="n">
        <x:v>1.5750083318896864</x:v>
      </x:c>
      <x:c r="G154" s="168" t="n">
        <x:v>-0.014993668719898426</x:v>
      </x:c>
      <x:c r="H154" s="172" t="n">
        <x:f>SUM(AX154,BL154,BZ154,CN154,DB154,DP154,ED154,ER154,FF154,FT154)</x:f>
        <x:v>-0.014993668719898436</x:v>
      </x:c>
      <x:c r="I154" s="174" t="n">
        <x:f>G154-H154</x:f>
        <x:v>1.0408340855860843e-17</x:v>
      </x:c>
      <x:c r="J154" s="171" t="n">
        <x:f>F154*(1+H154)</x:f>
        <x:v>1.5513931787302524</x:v>
      </x:c>
      <x:c r="K154" s="169" t="n">
        <x:v>1.5513931787302526</x:v>
      </x:c>
      <x:c r="L154" s="175" t="n">
        <x:f>K154-J154</x:f>
        <x:v>2.220446049250313e-16</x:v>
      </x:c>
      <x:c r="M154" s="167" t="n">
        <x:v>1.696</x:v>
      </x:c>
      <x:c r="N154" s="167" t="n">
        <x:v>1.68</x:v>
      </x:c>
      <x:c r="O154" s="172" t="n">
        <x:f>IFERROR(N154/M154-1,0)</x:f>
        <x:v>-0.009433962264150941</x:v>
      </x:c>
      <x:c r="P154" s="171" t="n">
        <x:f>IFERROR(AD154/AH154,0)</x:f>
        <x:v>1.8183174020283057</x:v>
      </x:c>
      <x:c r="Q154" s="171" t="n">
        <x:f>IFERROR(AE154/AI154,0)</x:f>
        <x:v>1.808111811877283</x:v>
      </x:c>
      <x:c r="R154" s="172" t="n">
        <x:f>IFERROR((Q154-P154)/(P154+S154),0)</x:f>
        <x:v>-0.005612656041040225</x:v>
      </x:c>
      <x:c r="S154" s="172" t="n">
        <x:f>IFERROR(AF154/AH154,0)</x:f>
        <x:v>0</x:v>
      </x:c>
      <x:c r="T154" s="172" t="n">
        <x:f>IFERROR(AG154/AI154,0)</x:f>
        <x:v>0</x:v>
      </x:c>
      <x:c r="U154" s="172" t="n">
        <x:f>IFERROR((T154-S154)/(P154+S154),0)</x:f>
        <x:v>0</x:v>
      </x:c>
      <x:c r="V154" s="172" t="n">
        <x:f>R154+U154</x:f>
        <x:v>-0.005612656041040225</x:v>
      </x:c>
      <x:c r="W154" s="172" t="n">
        <x:f>(1+O154)*(1+V154)-1</x:f>
        <x:v>-0.014993668719898379</x:v>
      </x:c>
      <x:c r="X154" s="174" t="n">
        <x:f>G154-W154</x:f>
        <x:v>-4.683753385137379e-17</x:v>
      </x:c>
      <x:c r="Y154" s="172" t="n">
        <x:f>AX154</x:f>
        <x:v>-0.006751812887237411</x:v>
      </x:c>
      <x:c r="Z154" s="172" t="n">
        <x:f>BL154</x:f>
        <x:v>0.00016094494393776416</x:v>
      </x:c>
      <x:c r="AA154" s="172" t="n">
        <x:f>SUM(BZ154,CN154,DB154,DP154,ED154,ER154,FF154,FT154)</x:f>
        <x:v>-0.008402800776598789</x:v>
      </x:c>
      <x:c r="AB154" s="172" t="n">
        <x:f>SUM(Y154:AA154)</x:f>
        <x:v>-0.014993668719898436</x:v>
      </x:c>
      <x:c r="AC154" s="174" t="n">
        <x:f>G154-AB154</x:f>
        <x:v>1.0408340855860843e-17</x:v>
      </x:c>
      <x:c r="AD154" s="169" t="n">
        <x:v>1.5750083318896868</x:v>
      </x:c>
      <x:c r="AE154" s="169" t="n">
        <x:v>1.551393178730253</x:v>
      </x:c>
      <x:c r="AF154" s="169" t="n">
        <x:v>0</x:v>
      </x:c>
      <x:c r="AG154" s="169" t="n">
        <x:v>0</x:v>
      </x:c>
      <x:c r="AH154" s="171" t="n">
        <x:f>M154/$M$3</x:f>
        <x:v>0.8661899897854954</x:v>
      </x:c>
      <x:c r="AI154" s="171" t="n">
        <x:f>N154/$M$3</x:f>
        <x:v>0.8580183861082737</x:v>
      </x:c>
      <x:c r="AJ154" s="170" t="n">
        <x:f>IF(AK154&lt;&gt;"",1,0)+IF(AY154&lt;&gt;"",1,0)+IF(BM154&lt;&gt;"",1,0)+IF(CA154&lt;&gt;"",1,0)+IF(CO154&lt;&gt;"",1,0)+IF(DC154&lt;&gt;"",1,0)+IF(DQ154&lt;&gt;"",1,0)+IF(EE154&lt;&gt;"",1,0)+IF(ES154&lt;&gt;"",1,0)+IF(FG154&lt;&gt;"",1,0)</x:f>
        <x:v>3</x:v>
      </x:c>
      <x:c r="AK154" s="147" t="str">
        <x:v>Silver replicating holding (LBMA/SLV proxy)</x:v>
      </x:c>
      <x:c r="AL154" s="147" t="str">
        <x:v>Physical-backed proxy</x:v>
      </x:c>
      <x:c r="AM154" s="147" t="str">
        <x:v>Long</x:v>
      </x:c>
      <x:c r="AN154" s="167" t="n">
        <x:v>1.696</x:v>
      </x:c>
      <x:c r="AO154" s="167" t="n">
        <x:v>1.68</x:v>
      </x:c>
      <x:c r="AP154" s="166" t="n">
        <x:v>0.7141367175801078</x:v>
      </x:c>
      <x:c r="AQ154" s="171" t="n">
        <x:f>IF(AK154="","",IFERROR(F154*AP154/AN154,0))</x:f>
        <x:v>0.6631906133826778</x:v>
      </x:c>
      <x:c r="AR154" s="171" t="n">
        <x:f>IF(AK154="","",F154*ABS(AP154))</x:f>
        <x:v>1.1247712802970216</x:v>
      </x:c>
      <x:c r="AS154" s="165"/>
      <x:c r="AT154" s="172" t="str">
        <x:f>IF(AK154="","",IF(AS154="","",IFERROR(AN154/AS154-1,0)))</x:f>
      </x:c>
      <x:c r="AU154" s="166"/>
      <x:c r="AV154" s="172" t="str">
        <x:f>IF(AK154="","",IF(AU154="","",AU154-AT154*365/AW154))</x:f>
      </x:c>
      <x:c r="AW154" s="164"/>
      <x:c r="AX154" s="173" t="n">
        <x:f>IF(AK154="","",IFERROR(AP154*(AO154/AN154-1-'Parameters'!$C$6*C154/365),0))</x:f>
        <x:v>-0.006751812887237411</x:v>
      </x:c>
      <x:c r="AY154" s="147" t="str">
        <x:v>Matched-maturity Treasury collateral</x:v>
      </x:c>
      <x:c r="AZ154" s="147" t="str">
        <x:v>Treasury</x:v>
      </x:c>
      <x:c r="BA154" s="147" t="str">
        <x:v>Long</x:v>
      </x:c>
      <x:c r="BB154" s="167" t="n">
        <x:v>103.96705312378964</x:v>
      </x:c>
      <x:c r="BC154" s="167" t="n">
        <x:v>104.02558799890454</x:v>
      </x:c>
      <x:c r="BD154" s="166" t="n">
        <x:v>0.28586328241989223</x:v>
      </x:c>
      <x:c r="BE154" s="171" t="n">
        <x:f>IF(AY154="","",IFERROR(F154*BD154/BB154,0))</x:f>
        <x:v>0.004330574331625852</x:v>
      </x:c>
      <x:c r="BF154" s="171" t="n">
        <x:f>IF(AY154="","",F154*ABS(BD154))</x:f>
        <x:v>0.45023705159266475</x:v>
      </x:c>
      <x:c r="BG154" s="165"/>
      <x:c r="BH154" s="172" t="str">
        <x:f>IF(AY154="","",IF(BG154="","",IFERROR(BB154/BG154-1,0)))</x:f>
      </x:c>
      <x:c r="BI154" s="166"/>
      <x:c r="BJ154" s="172" t="str">
        <x:f>IF(AY154="","",IF(BI154="","",BI154-BH154*365/BK154))</x:f>
      </x:c>
      <x:c r="BK154" s="164" t="n">
        <x:v>42</x:v>
      </x:c>
      <x:c r="BL154" s="172" t="n">
        <x:f>IF(AY154="","",IFERROR(BD154*(BC154/BB154-1),0))</x:f>
        <x:v>0.00016094494393776416</x:v>
      </x:c>
      <x:c r="BM154" s="147" t="str">
        <x:v>SI69U</x:v>
      </x:c>
      <x:c r="BN154" s="147" t="str">
        <x:v>Silver future (regular)</x:v>
      </x:c>
      <x:c r="BO154" s="147" t="str">
        <x:v>Long</x:v>
      </x:c>
      <x:c r="BP154" s="167" t="n">
        <x:v>1.7009999999999998</x:v>
      </x:c>
      <x:c r="BQ154" s="167" t="n">
        <x:v>1.651</x:v>
      </x:c>
      <x:c r="BR154" s="166" t="n">
        <x:v>0.28586328241989223</x:v>
      </x:c>
      <x:c r="BS154" s="171" t="n">
        <x:f>IF(BM154="","",IFERROR(F154*BR154/BP154,0))</x:f>
        <x:v>0.2646896246870457</x:v>
      </x:c>
      <x:c r="BT154" s="171" t="n">
        <x:f>IF(BM154="","",F154*ABS(BR154))</x:f>
        <x:v>0.45023705159266475</x:v>
      </x:c>
      <x:c r="BU154" s="165" t="n">
        <x:v>1.696</x:v>
      </x:c>
      <x:c r="BV154" s="172" t="n">
        <x:f>IF(BM154="","",IF(BU154="","",IFERROR(BP154/BU154-1,0)))</x:f>
        <x:v>0.002948113207547065</x:v>
      </x:c>
      <x:c r="BW154" s="166" t="n">
        <x:v>0.06849999999999999</x:v>
      </x:c>
      <x:c r="BX154" s="172" t="n">
        <x:f>IF(BM154="","",IF(BW154="","",BW154-BV154*365/BY154))</x:f>
        <x:v>0.04287949236298383</x:v>
      </x:c>
      <x:c r="BY154" s="164" t="n">
        <x:v>42</x:v>
      </x:c>
      <x:c r="BZ154" s="172" t="n">
        <x:f>IF(BM154="","",IFERROR(BR154*(BQ154/BP154-1),0))</x:f>
        <x:v>-0.008402800776598789</x:v>
      </x:c>
      <x:c r="CA154" s="147"/>
      <x:c r="CB154" s="147"/>
      <x:c r="CC154" s="147"/>
      <x:c r="CD154" s="167"/>
      <x:c r="CE154" s="167"/>
      <x:c r="CF154" s="166"/>
      <x:c r="CG154" s="171" t="str">
        <x:f>IF(CA154="","",IFERROR(F154*CF154/CD154,0))</x:f>
      </x:c>
      <x:c r="CH154" s="171" t="str">
        <x:f>IF(CA154="","",F154*ABS(CF154))</x:f>
      </x:c>
      <x:c r="CI154" s="165"/>
      <x:c r="CJ154" s="172" t="str">
        <x:f>IF(CA154="","",IF(CI154="","",IFERROR(CD154/CI154-1,0)))</x:f>
      </x:c>
      <x:c r="CK154" s="166"/>
      <x:c r="CL154" s="172" t="str">
        <x:f>IF(CA154="","",IF(CK154="","",CK154-CJ154*365/CM154))</x:f>
      </x:c>
      <x:c r="CM154" s="164"/>
      <x:c r="CN154" s="172" t="str">
        <x:f>IF(CA154="","",IFERROR(CF154*(CE154/CD154-1),0))</x:f>
      </x:c>
      <x:c r="CO154" s="147"/>
      <x:c r="CP154" s="147"/>
      <x:c r="CQ154" s="147"/>
      <x:c r="CR154" s="167"/>
      <x:c r="CS154" s="167"/>
      <x:c r="CT154" s="166"/>
      <x:c r="CU154" s="171" t="str">
        <x:f>IF(CO154="","",IFERROR(F154*CT154/CR154,0))</x:f>
      </x:c>
      <x:c r="CV154" s="171" t="str">
        <x:f>IF(CO154="","",F154*ABS(CT154))</x:f>
      </x:c>
      <x:c r="CW154" s="165"/>
      <x:c r="CX154" s="172" t="str">
        <x:f>IF(CO154="","",IF(CW154="","",IFERROR(CR154/CW154-1,0)))</x:f>
      </x:c>
      <x:c r="CY154" s="166"/>
      <x:c r="CZ154" s="172" t="str">
        <x:f>IF(CO154="","",IF(CY154="","",CY154-CX154*365/DA154))</x:f>
      </x:c>
      <x:c r="DA154" s="164"/>
      <x:c r="DB154" s="172" t="str">
        <x:f>IF(CO154="","",IFERROR(CT154*(CS154/CR154-1),0))</x:f>
      </x:c>
      <x:c r="DC154" s="147"/>
      <x:c r="DD154" s="147"/>
      <x:c r="DE154" s="147"/>
      <x:c r="DF154" s="167"/>
      <x:c r="DG154" s="167"/>
      <x:c r="DH154" s="166"/>
      <x:c r="DI154" s="171" t="str">
        <x:f>IF(DC154="","",IFERROR(F154*DH154/DF154,0))</x:f>
      </x:c>
      <x:c r="DJ154" s="171" t="str">
        <x:f>IF(DC154="","",F154*ABS(DH154))</x:f>
      </x:c>
      <x:c r="DK154" s="165"/>
      <x:c r="DL154" s="172" t="str">
        <x:f>IF(DC154="","",IF(DK154="","",IFERROR(DF154/DK154-1,0)))</x:f>
      </x:c>
      <x:c r="DM154" s="166"/>
      <x:c r="DN154" s="172" t="str">
        <x:f>IF(DC154="","",IF(DM154="","",DM154-DL154*365/DO154))</x:f>
      </x:c>
      <x:c r="DO154" s="164"/>
      <x:c r="DP154" s="172" t="str">
        <x:f>IF(DC154="","",IFERROR(DH154*(DG154/DF154-1),0))</x:f>
      </x:c>
      <x:c r="DQ154" s="147"/>
      <x:c r="DR154" s="147"/>
      <x:c r="DS154" s="147"/>
      <x:c r="DT154" s="167"/>
      <x:c r="DU154" s="167"/>
      <x:c r="DV154" s="166"/>
      <x:c r="DW154" s="171" t="str">
        <x:f>IF(DQ154="","",IFERROR(F154*DV154/DT154,0))</x:f>
      </x:c>
      <x:c r="DX154" s="171" t="str">
        <x:f>IF(DQ154="","",F154*ABS(DV154))</x:f>
      </x:c>
      <x:c r="DY154" s="165"/>
      <x:c r="DZ154" s="172" t="str">
        <x:f>IF(DQ154="","",IF(DY154="","",IFERROR(DT154/DY154-1,0)))</x:f>
      </x:c>
      <x:c r="EA154" s="166"/>
      <x:c r="EB154" s="172" t="str">
        <x:f>IF(DQ154="","",IF(EA154="","",EA154-DZ154*365/EC154))</x:f>
      </x:c>
      <x:c r="EC154" s="164"/>
      <x:c r="ED154" s="172" t="str">
        <x:f>IF(DQ154="","",IFERROR(DV154*(DU154/DT154-1),0))</x:f>
      </x:c>
      <x:c r="EE154" s="147"/>
      <x:c r="EF154" s="147"/>
      <x:c r="EG154" s="147"/>
      <x:c r="EH154" s="167"/>
      <x:c r="EI154" s="167"/>
      <x:c r="EJ154" s="166"/>
      <x:c r="EK154" s="171" t="str">
        <x:f>IF(EE154="","",IFERROR(F154*EJ154/EH154,0))</x:f>
      </x:c>
      <x:c r="EL154" s="171" t="str">
        <x:f>IF(EE154="","",F154*ABS(EJ154))</x:f>
      </x:c>
      <x:c r="EM154" s="165"/>
      <x:c r="EN154" s="172" t="str">
        <x:f>IF(EE154="","",IF(EM154="","",IFERROR(EH154/EM154-1,0)))</x:f>
      </x:c>
      <x:c r="EO154" s="166"/>
      <x:c r="EP154" s="172" t="str">
        <x:f>IF(EE154="","",IF(EO154="","",EO154-EN154*365/EQ154))</x:f>
      </x:c>
      <x:c r="EQ154" s="164"/>
      <x:c r="ER154" s="172" t="str">
        <x:f>IF(EE154="","",IFERROR(EJ154*(EI154/EH154-1),0))</x:f>
      </x:c>
      <x:c r="ES154" s="147"/>
      <x:c r="ET154" s="147"/>
      <x:c r="EU154" s="147"/>
      <x:c r="EV154" s="167"/>
      <x:c r="EW154" s="167"/>
      <x:c r="EX154" s="166"/>
      <x:c r="EY154" s="171" t="str">
        <x:f>IF(ES154="","",IFERROR(F154*EX154/EV154,0))</x:f>
      </x:c>
      <x:c r="EZ154" s="171" t="str">
        <x:f>IF(ES154="","",F154*ABS(EX154))</x:f>
      </x:c>
      <x:c r="FA154" s="165"/>
      <x:c r="FB154" s="172" t="str">
        <x:f>IF(ES154="","",IF(FA154="","",IFERROR(EV154/FA154-1,0)))</x:f>
      </x:c>
      <x:c r="FC154" s="166"/>
      <x:c r="FD154" s="172" t="str">
        <x:f>IF(ES154="","",IF(FC154="","",FC154-FB154*365/FE154))</x:f>
      </x:c>
      <x:c r="FE154" s="164"/>
      <x:c r="FF154" s="172" t="str">
        <x:f>IF(ES154="","",IFERROR(EX154*(EW154/EV154-1),0))</x:f>
      </x:c>
      <x:c r="FG154" s="147"/>
      <x:c r="FH154" s="147"/>
      <x:c r="FI154" s="147"/>
      <x:c r="FJ154" s="167"/>
      <x:c r="FK154" s="167"/>
      <x:c r="FL154" s="166"/>
      <x:c r="FM154" s="171" t="str">
        <x:f>IF(FG154="","",IFERROR(F154*FL154/FJ154,0))</x:f>
      </x:c>
      <x:c r="FN154" s="171" t="str">
        <x:f>IF(FG154="","",F154*ABS(FL154))</x:f>
      </x:c>
      <x:c r="FO154" s="165"/>
      <x:c r="FP154" s="172" t="str">
        <x:f>IF(FG154="","",IF(FO154="","",IFERROR(FJ154/FO154-1,0)))</x:f>
      </x:c>
      <x:c r="FQ154" s="166"/>
      <x:c r="FR154" s="172" t="str">
        <x:f>IF(FG154="","",IF(FQ154="","",FQ154-FP154*365/FS154))</x:f>
      </x:c>
      <x:c r="FS154" s="164"/>
      <x:c r="FT154" s="172" t="str">
        <x:f>IF(FG154="","",IFERROR(FL154*(FK154/FJ154-1),0))</x:f>
      </x:c>
    </x:row>
    <x:row r="155" ht="18" customHeight="1">
      <x:c r="A155" s="163" t="n">
        <x:v>25433</x:v>
      </x:c>
      <x:c r="B155" s="163" t="n">
        <x:v>25434</x:v>
      </x:c>
      <x:c r="C155" s="170" t="n">
        <x:f>B155-A155</x:f>
        <x:v>1</x:v>
      </x:c>
      <x:c r="D155" s="163" t="n">
        <x:v>25433</x:v>
      </x:c>
      <x:c r="E155" s="147" t="str">
        <x:v>positive</x:v>
      </x:c>
      <x:c r="F155" s="165" t="n">
        <x:v>1.5513931787302526</x:v>
      </x:c>
      <x:c r="G155" s="168" t="n">
        <x:v>0.0026085275009749475</x:v>
      </x:c>
      <x:c r="H155" s="172" t="n">
        <x:f>SUM(AX155,BL155,BZ155,CN155,DB155,DP155,ED155,ER155,FF155,FT155)</x:f>
        <x:v>0.0026085275009746223</x:v>
      </x:c>
      <x:c r="I155" s="174" t="n">
        <x:f>G155-H155</x:f>
        <x:v>3.2526065174565133e-16</x:v>
      </x:c>
      <x:c r="J155" s="171" t="n">
        <x:f>F155*(1+H155)</x:f>
        <x:v>1.555440030501795</x:v>
      </x:c>
      <x:c r="K155" s="169" t="n">
        <x:v>1.5554400305017952</x:v>
      </x:c>
      <x:c r="L155" s="175" t="n">
        <x:f>K155-J155</x:f>
        <x:v>2.220446049250313e-16</x:v>
      </x:c>
      <x:c r="M155" s="167" t="n">
        <x:v>1.68</x:v>
      </x:c>
      <x:c r="N155" s="167" t="n">
        <x:v>1.659</x:v>
      </x:c>
      <x:c r="O155" s="172" t="n">
        <x:f>IFERROR(N155/M155-1,0)</x:f>
        <x:v>-0.012499999999999956</x:v>
      </x:c>
      <x:c r="P155" s="171" t="n">
        <x:f>IFERROR(AD155/AH155,0)</x:f>
        <x:v>1.808111811877283</x:v>
      </x:c>
      <x:c r="Q155" s="171" t="n">
        <x:f>IFERROR(AE155/AI155,0)</x:f>
        <x:v>1.8357755152034456</x:v>
      </x:c>
      <x:c r="R155" s="172" t="n">
        <x:f>IFERROR((Q155-P155)/(P155+S155),0)</x:f>
        <x:v>0.01529977468453161</x:v>
      </x:c>
      <x:c r="S155" s="172" t="n">
        <x:f>IFERROR(AF155/AH155,0)</x:f>
        <x:v>0</x:v>
      </x:c>
      <x:c r="T155" s="172" t="n">
        <x:f>IFERROR(AG155/AI155,0)</x:f>
        <x:v>0</x:v>
      </x:c>
      <x:c r="U155" s="172" t="n">
        <x:f>IFERROR((T155-S155)/(P155+S155),0)</x:f>
        <x:v>0</x:v>
      </x:c>
      <x:c r="V155" s="172" t="n">
        <x:f>R155+U155</x:f>
        <x:v>0.01529977468453161</x:v>
      </x:c>
      <x:c r="W155" s="172" t="n">
        <x:f>(1+O155)*(1+V155)-1</x:f>
        <x:v>0.0026085275009750664</x:v>
      </x:c>
      <x:c r="X155" s="174" t="n">
        <x:f>G155-W155</x:f>
        <x:v>-1.1882855810441129e-16</x:v>
      </x:c>
      <x:c r="Y155" s="172" t="str">
        <x:f>AX155</x:f>
      </x:c>
      <x:c r="Z155" s="172" t="n">
        <x:f>BL155</x:f>
        <x:v>0.000185753424657209</x:v>
      </x:c>
      <x:c r="AA155" s="172" t="n">
        <x:f>SUM(BZ155,CN155,DB155,DP155,ED155,ER155,FF155,FT155)</x:f>
        <x:v>0.0024227740763174133</x:v>
      </x:c>
      <x:c r="AB155" s="172" t="n">
        <x:f>SUM(Y155:AA155)</x:f>
        <x:v>0.0026085275009746223</x:v>
      </x:c>
      <x:c r="AC155" s="174" t="n">
        <x:f>G155-AB155</x:f>
        <x:v>3.2526065174565133e-16</x:v>
      </x:c>
      <x:c r="AD155" s="169" t="n">
        <x:v>1.551393178730253</x:v>
      </x:c>
      <x:c r="AE155" s="169" t="n">
        <x:v>1.555440030501796</x:v>
      </x:c>
      <x:c r="AF155" s="169" t="n">
        <x:v>0</x:v>
      </x:c>
      <x:c r="AG155" s="169" t="n">
        <x:v>0</x:v>
      </x:c>
      <x:c r="AH155" s="171" t="n">
        <x:f>M155/$M$3</x:f>
        <x:v>0.8580183861082737</x:v>
      </x:c>
      <x:c r="AI155" s="171" t="n">
        <x:f>N155/$M$3</x:f>
        <x:v>0.8472931562819204</x:v>
      </x:c>
      <x:c r="AJ155" s="170" t="n">
        <x:f>IF(AK155&lt;&gt;"",1,0)+IF(AY155&lt;&gt;"",1,0)+IF(BM155&lt;&gt;"",1,0)+IF(CA155&lt;&gt;"",1,0)+IF(CO155&lt;&gt;"",1,0)+IF(DC155&lt;&gt;"",1,0)+IF(DQ155&lt;&gt;"",1,0)+IF(EE155&lt;&gt;"",1,0)+IF(ES155&lt;&gt;"",1,0)+IF(FG155&lt;&gt;"",1,0)</x:f>
        <x:v>2</x:v>
      </x:c>
      <x:c r="AK155" s="147"/>
      <x:c r="AL155" s="147"/>
      <x:c r="AM155" s="147"/>
      <x:c r="AN155" s="167"/>
      <x:c r="AO155" s="167"/>
      <x:c r="AP155" s="166"/>
      <x:c r="AQ155" s="171" t="str">
        <x:f>IF(AK155="","",IFERROR(F155*AP155/AN155,0))</x:f>
      </x:c>
      <x:c r="AR155" s="171" t="str">
        <x:f>IF(AK155="","",F155*ABS(AP155))</x:f>
      </x:c>
      <x:c r="AS155" s="165"/>
      <x:c r="AT155" s="172" t="str">
        <x:f>IF(AK155="","",IF(AS155="","",IFERROR(AN155/AS155-1,0)))</x:f>
      </x:c>
      <x:c r="AU155" s="166"/>
      <x:c r="AV155" s="172" t="str">
        <x:f>IF(AK155="","",IF(AU155="","",AU155-AT155*365/AW155))</x:f>
      </x:c>
      <x:c r="AW155" s="164"/>
      <x:c r="AX155" s="173" t="str">
        <x:f>IF(AK155="","",IFERROR(AP155*(AO155/AN155-1),0))</x:f>
      </x:c>
      <x:c r="AY155" s="147" t="str">
        <x:v>Matched-maturity Treasury collateral</x:v>
      </x:c>
      <x:c r="AZ155" s="147" t="str">
        <x:v>Treasury</x:v>
      </x:c>
      <x:c r="BA155" s="147" t="str">
        <x:v>Long</x:v>
      </x:c>
      <x:c r="BB155" s="167" t="n">
        <x:v>104.02558799890454</x:v>
      </x:c>
      <x:c r="BC155" s="167" t="n">
        <x:v>104.04491110812732</x:v>
      </x:c>
      <x:c r="BD155" s="166" t="n">
        <x:v>1</x:v>
      </x:c>
      <x:c r="BE155" s="171" t="n">
        <x:f>IF(AY155="","",IFERROR(F155*BD155/BB155,0))</x:f>
        <x:v>0.014913572790827098</x:v>
      </x:c>
      <x:c r="BF155" s="171" t="n">
        <x:f>IF(AY155="","",F155*ABS(BD155))</x:f>
        <x:v>1.5513931787302526</x:v>
      </x:c>
      <x:c r="BG155" s="165"/>
      <x:c r="BH155" s="172" t="str">
        <x:f>IF(AY155="","",IF(BG155="","",IFERROR(BB155/BG155-1,0)))</x:f>
      </x:c>
      <x:c r="BI155" s="166"/>
      <x:c r="BJ155" s="172" t="str">
        <x:f>IF(AY155="","",IF(BI155="","",BI155-BH155*365/BK155))</x:f>
      </x:c>
      <x:c r="BK155" s="164" t="n">
        <x:v>39</x:v>
      </x:c>
      <x:c r="BL155" s="172" t="n">
        <x:f>IF(AY155="","",IFERROR(BD155*(BC155/BB155-1),0))</x:f>
        <x:v>0.000185753424657209</x:v>
      </x:c>
      <x:c r="BM155" s="147" t="str">
        <x:v>SI69U</x:v>
      </x:c>
      <x:c r="BN155" s="147" t="str">
        <x:v>Silver future (regular)</x:v>
      </x:c>
      <x:c r="BO155" s="147" t="str">
        <x:v>Long</x:v>
      </x:c>
      <x:c r="BP155" s="167" t="n">
        <x:v>1.651</x:v>
      </x:c>
      <x:c r="BQ155" s="167" t="n">
        <x:v>1.655</x:v>
      </x:c>
      <x:c r="BR155" s="166" t="n">
        <x:v>1</x:v>
      </x:c>
      <x:c r="BS155" s="171" t="n">
        <x:f>IF(BM155="","",IFERROR(F155*BR155/BP155,0))</x:f>
        <x:v>0.9396687939008193</x:v>
      </x:c>
      <x:c r="BT155" s="171" t="n">
        <x:f>IF(BM155="","",F155*ABS(BR155))</x:f>
        <x:v>1.5513931787302526</x:v>
      </x:c>
      <x:c r="BU155" s="165" t="n">
        <x:v>1.68</x:v>
      </x:c>
      <x:c r="BV155" s="172" t="n">
        <x:f>IF(BM155="","",IF(BU155="","",IFERROR(BP155/BU155-1,0)))</x:f>
        <x:v>-0.0172619047619047</x:v>
      </x:c>
      <x:c r="BW155" s="166" t="n">
        <x:v>0.0678</x:v>
      </x:c>
      <x:c r="BX155" s="172" t="n">
        <x:f>IF(BM155="","",IF(BW155="","",BW155-BV155*365/BY155))</x:f>
        <x:v>0.22935372405372348</x:v>
      </x:c>
      <x:c r="BY155" s="164" t="n">
        <x:v>39</x:v>
      </x:c>
      <x:c r="BZ155" s="172" t="n">
        <x:f>IF(BM155="","",IFERROR(BR155*(BQ155/BP155-1),0))</x:f>
        <x:v>0.0024227740763174133</x:v>
      </x:c>
      <x:c r="CA155" s="147"/>
      <x:c r="CB155" s="147"/>
      <x:c r="CC155" s="147"/>
      <x:c r="CD155" s="167"/>
      <x:c r="CE155" s="167"/>
      <x:c r="CF155" s="166"/>
      <x:c r="CG155" s="171" t="str">
        <x:f>IF(CA155="","",IFERROR(F155*CF155/CD155,0))</x:f>
      </x:c>
      <x:c r="CH155" s="171" t="str">
        <x:f>IF(CA155="","",F155*ABS(CF155))</x:f>
      </x:c>
      <x:c r="CI155" s="165"/>
      <x:c r="CJ155" s="172" t="str">
        <x:f>IF(CA155="","",IF(CI155="","",IFERROR(CD155/CI155-1,0)))</x:f>
      </x:c>
      <x:c r="CK155" s="166"/>
      <x:c r="CL155" s="172" t="str">
        <x:f>IF(CA155="","",IF(CK155="","",CK155-CJ155*365/CM155))</x:f>
      </x:c>
      <x:c r="CM155" s="164"/>
      <x:c r="CN155" s="172" t="str">
        <x:f>IF(CA155="","",IFERROR(CF155*(CE155/CD155-1),0))</x:f>
      </x:c>
      <x:c r="CO155" s="147"/>
      <x:c r="CP155" s="147"/>
      <x:c r="CQ155" s="147"/>
      <x:c r="CR155" s="167"/>
      <x:c r="CS155" s="167"/>
      <x:c r="CT155" s="166"/>
      <x:c r="CU155" s="171" t="str">
        <x:f>IF(CO155="","",IFERROR(F155*CT155/CR155,0))</x:f>
      </x:c>
      <x:c r="CV155" s="171" t="str">
        <x:f>IF(CO155="","",F155*ABS(CT155))</x:f>
      </x:c>
      <x:c r="CW155" s="165"/>
      <x:c r="CX155" s="172" t="str">
        <x:f>IF(CO155="","",IF(CW155="","",IFERROR(CR155/CW155-1,0)))</x:f>
      </x:c>
      <x:c r="CY155" s="166"/>
      <x:c r="CZ155" s="172" t="str">
        <x:f>IF(CO155="","",IF(CY155="","",CY155-CX155*365/DA155))</x:f>
      </x:c>
      <x:c r="DA155" s="164"/>
      <x:c r="DB155" s="172" t="str">
        <x:f>IF(CO155="","",IFERROR(CT155*(CS155/CR155-1),0))</x:f>
      </x:c>
      <x:c r="DC155" s="147"/>
      <x:c r="DD155" s="147"/>
      <x:c r="DE155" s="147"/>
      <x:c r="DF155" s="167"/>
      <x:c r="DG155" s="167"/>
      <x:c r="DH155" s="166"/>
      <x:c r="DI155" s="171" t="str">
        <x:f>IF(DC155="","",IFERROR(F155*DH155/DF155,0))</x:f>
      </x:c>
      <x:c r="DJ155" s="171" t="str">
        <x:f>IF(DC155="","",F155*ABS(DH155))</x:f>
      </x:c>
      <x:c r="DK155" s="165"/>
      <x:c r="DL155" s="172" t="str">
        <x:f>IF(DC155="","",IF(DK155="","",IFERROR(DF155/DK155-1,0)))</x:f>
      </x:c>
      <x:c r="DM155" s="166"/>
      <x:c r="DN155" s="172" t="str">
        <x:f>IF(DC155="","",IF(DM155="","",DM155-DL155*365/DO155))</x:f>
      </x:c>
      <x:c r="DO155" s="164"/>
      <x:c r="DP155" s="172" t="str">
        <x:f>IF(DC155="","",IFERROR(DH155*(DG155/DF155-1),0))</x:f>
      </x:c>
      <x:c r="DQ155" s="147"/>
      <x:c r="DR155" s="147"/>
      <x:c r="DS155" s="147"/>
      <x:c r="DT155" s="167"/>
      <x:c r="DU155" s="167"/>
      <x:c r="DV155" s="166"/>
      <x:c r="DW155" s="171" t="str">
        <x:f>IF(DQ155="","",IFERROR(F155*DV155/DT155,0))</x:f>
      </x:c>
      <x:c r="DX155" s="171" t="str">
        <x:f>IF(DQ155="","",F155*ABS(DV155))</x:f>
      </x:c>
      <x:c r="DY155" s="165"/>
      <x:c r="DZ155" s="172" t="str">
        <x:f>IF(DQ155="","",IF(DY155="","",IFERROR(DT155/DY155-1,0)))</x:f>
      </x:c>
      <x:c r="EA155" s="166"/>
      <x:c r="EB155" s="172" t="str">
        <x:f>IF(DQ155="","",IF(EA155="","",EA155-DZ155*365/EC155))</x:f>
      </x:c>
      <x:c r="EC155" s="164"/>
      <x:c r="ED155" s="172" t="str">
        <x:f>IF(DQ155="","",IFERROR(DV155*(DU155/DT155-1),0))</x:f>
      </x:c>
      <x:c r="EE155" s="147"/>
      <x:c r="EF155" s="147"/>
      <x:c r="EG155" s="147"/>
      <x:c r="EH155" s="167"/>
      <x:c r="EI155" s="167"/>
      <x:c r="EJ155" s="166"/>
      <x:c r="EK155" s="171" t="str">
        <x:f>IF(EE155="","",IFERROR(F155*EJ155/EH155,0))</x:f>
      </x:c>
      <x:c r="EL155" s="171" t="str">
        <x:f>IF(EE155="","",F155*ABS(EJ155))</x:f>
      </x:c>
      <x:c r="EM155" s="165"/>
      <x:c r="EN155" s="172" t="str">
        <x:f>IF(EE155="","",IF(EM155="","",IFERROR(EH155/EM155-1,0)))</x:f>
      </x:c>
      <x:c r="EO155" s="166"/>
      <x:c r="EP155" s="172" t="str">
        <x:f>IF(EE155="","",IF(EO155="","",EO155-EN155*365/EQ155))</x:f>
      </x:c>
      <x:c r="EQ155" s="164"/>
      <x:c r="ER155" s="172" t="str">
        <x:f>IF(EE155="","",IFERROR(EJ155*(EI155/EH155-1),0))</x:f>
      </x:c>
      <x:c r="ES155" s="147"/>
      <x:c r="ET155" s="147"/>
      <x:c r="EU155" s="147"/>
      <x:c r="EV155" s="167"/>
      <x:c r="EW155" s="167"/>
      <x:c r="EX155" s="166"/>
      <x:c r="EY155" s="171" t="str">
        <x:f>IF(ES155="","",IFERROR(F155*EX155/EV155,0))</x:f>
      </x:c>
      <x:c r="EZ155" s="171" t="str">
        <x:f>IF(ES155="","",F155*ABS(EX155))</x:f>
      </x:c>
      <x:c r="FA155" s="165"/>
      <x:c r="FB155" s="172" t="str">
        <x:f>IF(ES155="","",IF(FA155="","",IFERROR(EV155/FA155-1,0)))</x:f>
      </x:c>
      <x:c r="FC155" s="166"/>
      <x:c r="FD155" s="172" t="str">
        <x:f>IF(ES155="","",IF(FC155="","",FC155-FB155*365/FE155))</x:f>
      </x:c>
      <x:c r="FE155" s="164"/>
      <x:c r="FF155" s="172" t="str">
        <x:f>IF(ES155="","",IFERROR(EX155*(EW155/EV155-1),0))</x:f>
      </x:c>
      <x:c r="FG155" s="147"/>
      <x:c r="FH155" s="147"/>
      <x:c r="FI155" s="147"/>
      <x:c r="FJ155" s="167"/>
      <x:c r="FK155" s="167"/>
      <x:c r="FL155" s="166"/>
      <x:c r="FM155" s="171" t="str">
        <x:f>IF(FG155="","",IFERROR(F155*FL155/FJ155,0))</x:f>
      </x:c>
      <x:c r="FN155" s="171" t="str">
        <x:f>IF(FG155="","",F155*ABS(FL155))</x:f>
      </x:c>
      <x:c r="FO155" s="165"/>
      <x:c r="FP155" s="172" t="str">
        <x:f>IF(FG155="","",IF(FO155="","",IFERROR(FJ155/FO155-1,0)))</x:f>
      </x:c>
      <x:c r="FQ155" s="166"/>
      <x:c r="FR155" s="172" t="str">
        <x:f>IF(FG155="","",IF(FQ155="","",FQ155-FP155*365/FS155))</x:f>
      </x:c>
      <x:c r="FS155" s="164"/>
      <x:c r="FT155" s="172" t="str">
        <x:f>IF(FG155="","",IFERROR(FL155*(FK155/FJ155-1),0))</x:f>
      </x:c>
    </x:row>
    <x:row r="156" ht="18" customHeight="1">
      <x:c r="A156" s="163" t="n">
        <x:v>25434</x:v>
      </x:c>
      <x:c r="B156" s="163" t="n">
        <x:v>25435</x:v>
      </x:c>
      <x:c r="C156" s="170" t="n">
        <x:f>B156-A156</x:f>
        <x:v>1</x:v>
      </x:c>
      <x:c r="D156" s="163" t="n">
        <x:v>25434</x:v>
      </x:c>
      <x:c r="E156" s="147" t="str">
        <x:v>positive</x:v>
      </x:c>
      <x:c r="F156" s="165" t="n">
        <x:v>1.5554400305017952</x:v>
      </x:c>
      <x:c r="G156" s="168" t="n">
        <x:v>0.001657856619843543</x:v>
      </x:c>
      <x:c r="H156" s="172" t="n">
        <x:f>SUM(AX156,BL156,BZ156,CN156,DB156,DP156,ED156,ER156,FF156,FT156)</x:f>
        <x:v>0.0016578566198435273</x:v>
      </x:c>
      <x:c r="I156" s="174" t="n">
        <x:f>G156-H156</x:f>
        <x:v>1.5612511283791264e-17</x:v>
      </x:c>
      <x:c r="J156" s="171" t="n">
        <x:f>F156*(1+H156)</x:f>
        <x:v>1.5580187270531323</x:v>
      </x:c>
      <x:c r="K156" s="169" t="n">
        <x:v>1.5580187270531323</x:v>
      </x:c>
      <x:c r="L156" s="175" t="n">
        <x:f>K156-J156</x:f>
        <x:v>0</x:v>
      </x:c>
      <x:c r="M156" s="167" t="n">
        <x:v>1.659</x:v>
      </x:c>
      <x:c r="N156" s="167" t="n">
        <x:v>1.686</x:v>
      </x:c>
      <x:c r="O156" s="172" t="n">
        <x:f>IFERROR(N156/M156-1,0)</x:f>
        <x:v>0.016274864376130127</x:v>
      </x:c>
      <x:c r="P156" s="171" t="n">
        <x:f>IFERROR(AD156/AH156,0)</x:f>
        <x:v>1.8357755152034456</x:v>
      </x:c>
      <x:c r="Q156" s="171" t="n">
        <x:f>IFERROR(AE156/AI156,0)</x:f>
        <x:v>1.8093716889501983</x:v>
      </x:c>
      <x:c r="R156" s="172" t="n">
        <x:f>IFERROR((Q156-P156)/(P156+S156),0)</x:f>
        <x:v>-0.014382927560901251</x:v>
      </x:c>
      <x:c r="S156" s="172" t="n">
        <x:f>IFERROR(AF156/AH156,0)</x:f>
        <x:v>0</x:v>
      </x:c>
      <x:c r="T156" s="172" t="n">
        <x:f>IFERROR(AG156/AI156,0)</x:f>
        <x:v>0</x:v>
      </x:c>
      <x:c r="U156" s="172" t="n">
        <x:f>IFERROR((T156-S156)/(P156+S156),0)</x:f>
        <x:v>0</x:v>
      </x:c>
      <x:c r="V156" s="172" t="n">
        <x:f>R156+U156</x:f>
        <x:v>-0.014382927560901251</x:v>
      </x:c>
      <x:c r="W156" s="172" t="n">
        <x:f>(1+O156)*(1+V156)-1</x:f>
        <x:v>0.001657856619843523</x:v>
      </x:c>
      <x:c r="X156" s="174" t="n">
        <x:f>G156-W156</x:f>
        <x:v>1.9949319973733282e-17</x:v>
      </x:c>
      <x:c r="Y156" s="172" t="n">
        <x:f>AX156</x:f>
        <x:v>0.00633810936391324</x:v>
      </x:c>
      <x:c r="Z156" s="172" t="n">
        <x:f>BL156</x:f>
        <x:v>0.00011438624290914762</x:v>
      </x:c>
      <x:c r="AA156" s="172" t="n">
        <x:f>SUM(BZ156,CN156,DB156,DP156,ED156,ER156,FF156,FT156)</x:f>
        <x:v>-0.00479463898697886</x:v>
      </x:c>
      <x:c r="AB156" s="172" t="n">
        <x:f>SUM(Y156:AA156)</x:f>
        <x:v>0.0016578566198435273</x:v>
      </x:c>
      <x:c r="AC156" s="174" t="n">
        <x:f>G156-AB156</x:f>
        <x:v>1.5612511283791264e-17</x:v>
      </x:c>
      <x:c r="AD156" s="169" t="n">
        <x:v>1.555440030501796</x:v>
      </x:c>
      <x:c r="AE156" s="169" t="n">
        <x:v>1.558018727053133</x:v>
      </x:c>
      <x:c r="AF156" s="169" t="n">
        <x:v>0</x:v>
      </x:c>
      <x:c r="AG156" s="169" t="n">
        <x:v>0</x:v>
      </x:c>
      <x:c r="AH156" s="171" t="n">
        <x:f>M156/$M$3</x:f>
        <x:v>0.8472931562819204</x:v>
      </x:c>
      <x:c r="AI156" s="171" t="n">
        <x:f>N156/$M$3</x:f>
        <x:v>0.8610827374872319</x:v>
      </x:c>
      <x:c r="AJ156" s="170" t="n">
        <x:f>IF(AK156&lt;&gt;"",1,0)+IF(AY156&lt;&gt;"",1,0)+IF(BM156&lt;&gt;"",1,0)+IF(CA156&lt;&gt;"",1,0)+IF(CO156&lt;&gt;"",1,0)+IF(DC156&lt;&gt;"",1,0)+IF(DQ156&lt;&gt;"",1,0)+IF(EE156&lt;&gt;"",1,0)+IF(ES156&lt;&gt;"",1,0)+IF(FG156&lt;&gt;"",1,0)</x:f>
        <x:v>3</x:v>
      </x:c>
      <x:c r="AK156" s="147" t="str">
        <x:v>Silver replicating holding (LBMA/SLV proxy)</x:v>
      </x:c>
      <x:c r="AL156" s="147" t="str">
        <x:v>Physical-backed proxy</x:v>
      </x:c>
      <x:c r="AM156" s="147" t="str">
        <x:v>Long</x:v>
      </x:c>
      <x:c r="AN156" s="167" t="n">
        <x:v>1.659</x:v>
      </x:c>
      <x:c r="AO156" s="167" t="n">
        <x:v>1.686</x:v>
      </x:c>
      <x:c r="AP156" s="166" t="n">
        <x:v>0.38960557511923155</x:v>
      </x:c>
      <x:c r="AQ156" s="171" t="n">
        <x:f>IF(AK156="","",IFERROR(F156*AP156/AN156,0))</x:f>
        <x:v>0.36528517639971486</x:v>
      </x:c>
      <x:c r="AR156" s="171" t="n">
        <x:f>IF(AK156="","",F156*ABS(AP156))</x:f>
        <x:v>0.606008107647127</x:v>
      </x:c>
      <x:c r="AS156" s="165"/>
      <x:c r="AT156" s="172" t="str">
        <x:f>IF(AK156="","",IF(AS156="","",IFERROR(AN156/AS156-1,0)))</x:f>
      </x:c>
      <x:c r="AU156" s="166"/>
      <x:c r="AV156" s="172" t="str">
        <x:f>IF(AK156="","",IF(AU156="","",AU156-AT156*365/AW156))</x:f>
      </x:c>
      <x:c r="AW156" s="164"/>
      <x:c r="AX156" s="173" t="n">
        <x:f>IF(AK156="","",IFERROR(AP156*(AO156/AN156-1-'Parameters'!$C$6*C156/365),0))</x:f>
        <x:v>0.00633810936391324</x:v>
      </x:c>
      <x:c r="AY156" s="147" t="str">
        <x:v>Matched-maturity Treasury collateral</x:v>
      </x:c>
      <x:c r="AZ156" s="147" t="str">
        <x:v>Treasury</x:v>
      </x:c>
      <x:c r="BA156" s="147" t="str">
        <x:v>Long</x:v>
      </x:c>
      <x:c r="BB156" s="167" t="n">
        <x:v>104.04491110812732</x:v>
      </x:c>
      <x:c r="BC156" s="167" t="n">
        <x:v>104.06440883941444</x:v>
      </x:c>
      <x:c r="BD156" s="166" t="n">
        <x:v>0.6103944248807684</x:v>
      </x:c>
      <x:c r="BE156" s="171" t="n">
        <x:f>IF(AY156="","",IFERROR(F156*BD156/BB156,0))</x:f>
        <x:v>0.009125212494708016</x:v>
      </x:c>
      <x:c r="BF156" s="171" t="n">
        <x:f>IF(AY156="","",F156*ABS(BD156))</x:f>
        <x:v>0.9494319228546683</x:v>
      </x:c>
      <x:c r="BG156" s="165"/>
      <x:c r="BH156" s="172" t="str">
        <x:f>IF(AY156="","",IF(BG156="","",IFERROR(BB156/BG156-1,0)))</x:f>
      </x:c>
      <x:c r="BI156" s="166"/>
      <x:c r="BJ156" s="172" t="str">
        <x:f>IF(AY156="","",IF(BI156="","",BI156-BH156*365/BK156))</x:f>
      </x:c>
      <x:c r="BK156" s="164" t="n">
        <x:v>38</x:v>
      </x:c>
      <x:c r="BL156" s="172" t="n">
        <x:f>IF(AY156="","",IFERROR(BD156*(BC156/BB156-1),0))</x:f>
        <x:v>0.00011438624290914762</x:v>
      </x:c>
      <x:c r="BM156" s="147" t="str">
        <x:v>SI69U</x:v>
      </x:c>
      <x:c r="BN156" s="147" t="str">
        <x:v>Silver future (regular)</x:v>
      </x:c>
      <x:c r="BO156" s="147" t="str">
        <x:v>Long</x:v>
      </x:c>
      <x:c r="BP156" s="167" t="n">
        <x:v>1.655</x:v>
      </x:c>
      <x:c r="BQ156" s="167" t="n">
        <x:v>1.642</x:v>
      </x:c>
      <x:c r="BR156" s="166" t="n">
        <x:v>0.6103944248807684</x:v>
      </x:c>
      <x:c r="BS156" s="171" t="n">
        <x:f>IF(BM156="","",IFERROR(F156*BR156/BP156,0))</x:f>
        <x:v>0.5736748778578056</x:v>
      </x:c>
      <x:c r="BT156" s="171" t="n">
        <x:f>IF(BM156="","",F156*ABS(BR156))</x:f>
        <x:v>0.9494319228546683</x:v>
      </x:c>
      <x:c r="BU156" s="165" t="n">
        <x:v>1.659</x:v>
      </x:c>
      <x:c r="BV156" s="172" t="n">
        <x:f>IF(BM156="","",IF(BU156="","",IFERROR(BP156/BU156-1,0)))</x:f>
        <x:v>-0.0024110910186859735</x:v>
      </x:c>
      <x:c r="BW156" s="166" t="n">
        <x:v>0.0684</x:v>
      </x:c>
      <x:c r="BX156" s="172" t="n">
        <x:f>IF(BM156="","",IF(BW156="","",BW156-BV156*365/BY156))</x:f>
        <x:v>0.09155916373211527</x:v>
      </x:c>
      <x:c r="BY156" s="164" t="n">
        <x:v>38</x:v>
      </x:c>
      <x:c r="BZ156" s="172" t="n">
        <x:f>IF(BM156="","",IFERROR(BR156*(BQ156/BP156-1),0))</x:f>
        <x:v>-0.00479463898697886</x:v>
      </x:c>
      <x:c r="CA156" s="147"/>
      <x:c r="CB156" s="147"/>
      <x:c r="CC156" s="147"/>
      <x:c r="CD156" s="167"/>
      <x:c r="CE156" s="167"/>
      <x:c r="CF156" s="166"/>
      <x:c r="CG156" s="171" t="str">
        <x:f>IF(CA156="","",IFERROR(F156*CF156/CD156,0))</x:f>
      </x:c>
      <x:c r="CH156" s="171" t="str">
        <x:f>IF(CA156="","",F156*ABS(CF156))</x:f>
      </x:c>
      <x:c r="CI156" s="165"/>
      <x:c r="CJ156" s="172" t="str">
        <x:f>IF(CA156="","",IF(CI156="","",IFERROR(CD156/CI156-1,0)))</x:f>
      </x:c>
      <x:c r="CK156" s="166"/>
      <x:c r="CL156" s="172" t="str">
        <x:f>IF(CA156="","",IF(CK156="","",CK156-CJ156*365/CM156))</x:f>
      </x:c>
      <x:c r="CM156" s="164"/>
      <x:c r="CN156" s="172" t="str">
        <x:f>IF(CA156="","",IFERROR(CF156*(CE156/CD156-1),0))</x:f>
      </x:c>
      <x:c r="CO156" s="147"/>
      <x:c r="CP156" s="147"/>
      <x:c r="CQ156" s="147"/>
      <x:c r="CR156" s="167"/>
      <x:c r="CS156" s="167"/>
      <x:c r="CT156" s="166"/>
      <x:c r="CU156" s="171" t="str">
        <x:f>IF(CO156="","",IFERROR(F156*CT156/CR156,0))</x:f>
      </x:c>
      <x:c r="CV156" s="171" t="str">
        <x:f>IF(CO156="","",F156*ABS(CT156))</x:f>
      </x:c>
      <x:c r="CW156" s="165"/>
      <x:c r="CX156" s="172" t="str">
        <x:f>IF(CO156="","",IF(CW156="","",IFERROR(CR156/CW156-1,0)))</x:f>
      </x:c>
      <x:c r="CY156" s="166"/>
      <x:c r="CZ156" s="172" t="str">
        <x:f>IF(CO156="","",IF(CY156="","",CY156-CX156*365/DA156))</x:f>
      </x:c>
      <x:c r="DA156" s="164"/>
      <x:c r="DB156" s="172" t="str">
        <x:f>IF(CO156="","",IFERROR(CT156*(CS156/CR156-1),0))</x:f>
      </x:c>
      <x:c r="DC156" s="147"/>
      <x:c r="DD156" s="147"/>
      <x:c r="DE156" s="147"/>
      <x:c r="DF156" s="167"/>
      <x:c r="DG156" s="167"/>
      <x:c r="DH156" s="166"/>
      <x:c r="DI156" s="171" t="str">
        <x:f>IF(DC156="","",IFERROR(F156*DH156/DF156,0))</x:f>
      </x:c>
      <x:c r="DJ156" s="171" t="str">
        <x:f>IF(DC156="","",F156*ABS(DH156))</x:f>
      </x:c>
      <x:c r="DK156" s="165"/>
      <x:c r="DL156" s="172" t="str">
        <x:f>IF(DC156="","",IF(DK156="","",IFERROR(DF156/DK156-1,0)))</x:f>
      </x:c>
      <x:c r="DM156" s="166"/>
      <x:c r="DN156" s="172" t="str">
        <x:f>IF(DC156="","",IF(DM156="","",DM156-DL156*365/DO156))</x:f>
      </x:c>
      <x:c r="DO156" s="164"/>
      <x:c r="DP156" s="172" t="str">
        <x:f>IF(DC156="","",IFERROR(DH156*(DG156/DF156-1),0))</x:f>
      </x:c>
      <x:c r="DQ156" s="147"/>
      <x:c r="DR156" s="147"/>
      <x:c r="DS156" s="147"/>
      <x:c r="DT156" s="167"/>
      <x:c r="DU156" s="167"/>
      <x:c r="DV156" s="166"/>
      <x:c r="DW156" s="171" t="str">
        <x:f>IF(DQ156="","",IFERROR(F156*DV156/DT156,0))</x:f>
      </x:c>
      <x:c r="DX156" s="171" t="str">
        <x:f>IF(DQ156="","",F156*ABS(DV156))</x:f>
      </x:c>
      <x:c r="DY156" s="165"/>
      <x:c r="DZ156" s="172" t="str">
        <x:f>IF(DQ156="","",IF(DY156="","",IFERROR(DT156/DY156-1,0)))</x:f>
      </x:c>
      <x:c r="EA156" s="166"/>
      <x:c r="EB156" s="172" t="str">
        <x:f>IF(DQ156="","",IF(EA156="","",EA156-DZ156*365/EC156))</x:f>
      </x:c>
      <x:c r="EC156" s="164"/>
      <x:c r="ED156" s="172" t="str">
        <x:f>IF(DQ156="","",IFERROR(DV156*(DU156/DT156-1),0))</x:f>
      </x:c>
      <x:c r="EE156" s="147"/>
      <x:c r="EF156" s="147"/>
      <x:c r="EG156" s="147"/>
      <x:c r="EH156" s="167"/>
      <x:c r="EI156" s="167"/>
      <x:c r="EJ156" s="166"/>
      <x:c r="EK156" s="171" t="str">
        <x:f>IF(EE156="","",IFERROR(F156*EJ156/EH156,0))</x:f>
      </x:c>
      <x:c r="EL156" s="171" t="str">
        <x:f>IF(EE156="","",F156*ABS(EJ156))</x:f>
      </x:c>
      <x:c r="EM156" s="165"/>
      <x:c r="EN156" s="172" t="str">
        <x:f>IF(EE156="","",IF(EM156="","",IFERROR(EH156/EM156-1,0)))</x:f>
      </x:c>
      <x:c r="EO156" s="166"/>
      <x:c r="EP156" s="172" t="str">
        <x:f>IF(EE156="","",IF(EO156="","",EO156-EN156*365/EQ156))</x:f>
      </x:c>
      <x:c r="EQ156" s="164"/>
      <x:c r="ER156" s="172" t="str">
        <x:f>IF(EE156="","",IFERROR(EJ156*(EI156/EH156-1),0))</x:f>
      </x:c>
      <x:c r="ES156" s="147"/>
      <x:c r="ET156" s="147"/>
      <x:c r="EU156" s="147"/>
      <x:c r="EV156" s="167"/>
      <x:c r="EW156" s="167"/>
      <x:c r="EX156" s="166"/>
      <x:c r="EY156" s="171" t="str">
        <x:f>IF(ES156="","",IFERROR(F156*EX156/EV156,0))</x:f>
      </x:c>
      <x:c r="EZ156" s="171" t="str">
        <x:f>IF(ES156="","",F156*ABS(EX156))</x:f>
      </x:c>
      <x:c r="FA156" s="165"/>
      <x:c r="FB156" s="172" t="str">
        <x:f>IF(ES156="","",IF(FA156="","",IFERROR(EV156/FA156-1,0)))</x:f>
      </x:c>
      <x:c r="FC156" s="166"/>
      <x:c r="FD156" s="172" t="str">
        <x:f>IF(ES156="","",IF(FC156="","",FC156-FB156*365/FE156))</x:f>
      </x:c>
      <x:c r="FE156" s="164"/>
      <x:c r="FF156" s="172" t="str">
        <x:f>IF(ES156="","",IFERROR(EX156*(EW156/EV156-1),0))</x:f>
      </x:c>
      <x:c r="FG156" s="147"/>
      <x:c r="FH156" s="147"/>
      <x:c r="FI156" s="147"/>
      <x:c r="FJ156" s="167"/>
      <x:c r="FK156" s="167"/>
      <x:c r="FL156" s="166"/>
      <x:c r="FM156" s="171" t="str">
        <x:f>IF(FG156="","",IFERROR(F156*FL156/FJ156,0))</x:f>
      </x:c>
      <x:c r="FN156" s="171" t="str">
        <x:f>IF(FG156="","",F156*ABS(FL156))</x:f>
      </x:c>
      <x:c r="FO156" s="165"/>
      <x:c r="FP156" s="172" t="str">
        <x:f>IF(FG156="","",IF(FO156="","",IFERROR(FJ156/FO156-1,0)))</x:f>
      </x:c>
      <x:c r="FQ156" s="166"/>
      <x:c r="FR156" s="172" t="str">
        <x:f>IF(FG156="","",IF(FQ156="","",FQ156-FP156*365/FS156))</x:f>
      </x:c>
      <x:c r="FS156" s="164"/>
      <x:c r="FT156" s="172" t="str">
        <x:f>IF(FG156="","",IFERROR(FL156*(FK156/FJ156-1),0))</x:f>
      </x:c>
    </x:row>
    <x:row r="157" ht="18" customHeight="1">
      <x:c r="A157" s="163" t="n">
        <x:v>25435</x:v>
      </x:c>
      <x:c r="B157" s="163" t="n">
        <x:v>25436</x:v>
      </x:c>
      <x:c r="C157" s="170" t="n">
        <x:f>B157-A157</x:f>
        <x:v>1</x:v>
      </x:c>
      <x:c r="D157" s="163" t="n">
        <x:v>25435</x:v>
      </x:c>
      <x:c r="E157" s="147" t="str">
        <x:v>positive</x:v>
      </x:c>
      <x:c r="F157" s="165" t="n">
        <x:v>1.5580187270531323</x:v>
      </x:c>
      <x:c r="G157" s="168" t="n">
        <x:v>0.006887092586722005</x:v>
      </x:c>
      <x:c r="H157" s="172" t="n">
        <x:f>SUM(AX157,BL157,BZ157,CN157,DB157,DP157,ED157,ER157,FF157,FT157)</x:f>
        <x:v>0.006887092586721932</x:v>
      </x:c>
      <x:c r="I157" s="174" t="n">
        <x:f>G157-H157</x:f>
        <x:v>7.28583859910259e-17</x:v>
      </x:c>
      <x:c r="J157" s="171" t="n">
        <x:f>F157*(1+H157)</x:f>
        <x:v>1.5687489462781938</x:v>
      </x:c>
      <x:c r="K157" s="169" t="n">
        <x:v>1.5687489462781938</x:v>
      </x:c>
      <x:c r="L157" s="175" t="n">
        <x:f>K157-J157</x:f>
        <x:v>0</x:v>
      </x:c>
      <x:c r="M157" s="167" t="n">
        <x:v>1.686</x:v>
      </x:c>
      <x:c r="N157" s="167" t="n">
        <x:v>1.674</x:v>
      </x:c>
      <x:c r="O157" s="172" t="n">
        <x:f>IFERROR(N157/M157-1,0)</x:f>
        <x:v>-0.007117437722419906</x:v>
      </x:c>
      <x:c r="P157" s="171" t="n">
        <x:f>IFERROR(AD157/AH157,0)</x:f>
        <x:v>1.8093716889501983</x:v>
      </x:c>
      <x:c r="Q157" s="171" t="n">
        <x:f>IFERROR(AE157/AI157,0)</x:f>
        <x:v>1.834892734057769</x:v>
      </x:c>
      <x:c r="R157" s="172" t="n">
        <x:f>IFERROR((Q157-P157)/(P157+S157),0)</x:f>
        <x:v>0.014104921207415412</x:v>
      </x:c>
      <x:c r="S157" s="172" t="n">
        <x:f>IFERROR(AF157/AH157,0)</x:f>
        <x:v>0</x:v>
      </x:c>
      <x:c r="T157" s="172" t="n">
        <x:f>IFERROR(AG157/AI157,0)</x:f>
        <x:v>0</x:v>
      </x:c>
      <x:c r="U157" s="172" t="n">
        <x:f>IFERROR((T157-S157)/(P157+S157),0)</x:f>
        <x:v>0</x:v>
      </x:c>
      <x:c r="V157" s="172" t="n">
        <x:f>R157+U157</x:f>
        <x:v>0.014104921207415412</x:v>
      </x:c>
      <x:c r="W157" s="172" t="n">
        <x:f>(1+O157)*(1+V157)-1</x:f>
        <x:v>0.006887092586721932</x:v>
      </x:c>
      <x:c r="X157" s="174" t="n">
        <x:f>G157-W157</x:f>
        <x:v>7.28583859910259e-17</x:v>
      </x:c>
      <x:c r="Y157" s="172" t="str">
        <x:f>AX157</x:f>
      </x:c>
      <x:c r="Z157" s="172" t="n">
        <x:f>BL157</x:f>
        <x:v>0.00018794520547937843</x:v>
      </x:c>
      <x:c r="AA157" s="172" t="n">
        <x:f>SUM(BZ157,CN157,DB157,DP157,ED157,ER157,FF157,FT157)</x:f>
        <x:v>0.006699147381242554</x:v>
      </x:c>
      <x:c r="AB157" s="172" t="n">
        <x:f>SUM(Y157:AA157)</x:f>
        <x:v>0.006887092586721932</x:v>
      </x:c>
      <x:c r="AC157" s="174" t="n">
        <x:f>G157-AB157</x:f>
        <x:v>7.28583859910259e-17</x:v>
      </x:c>
      <x:c r="AD157" s="169" t="n">
        <x:v>1.558018727053133</x:v>
      </x:c>
      <x:c r="AE157" s="169" t="n">
        <x:v>1.5687489462781947</x:v>
      </x:c>
      <x:c r="AF157" s="169" t="n">
        <x:v>0</x:v>
      </x:c>
      <x:c r="AG157" s="169" t="n">
        <x:v>0</x:v>
      </x:c>
      <x:c r="AH157" s="171" t="n">
        <x:f>M157/$M$3</x:f>
        <x:v>0.8610827374872319</x:v>
      </x:c>
      <x:c r="AI157" s="171" t="n">
        <x:f>N157/$M$3</x:f>
        <x:v>0.8549540347293156</x:v>
      </x:c>
      <x:c r="AJ157" s="170" t="n">
        <x:f>IF(AK157&lt;&gt;"",1,0)+IF(AY157&lt;&gt;"",1,0)+IF(BM157&lt;&gt;"",1,0)+IF(CA157&lt;&gt;"",1,0)+IF(CO157&lt;&gt;"",1,0)+IF(DC157&lt;&gt;"",1,0)+IF(DQ157&lt;&gt;"",1,0)+IF(EE157&lt;&gt;"",1,0)+IF(ES157&lt;&gt;"",1,0)+IF(FG157&lt;&gt;"",1,0)</x:f>
        <x:v>2</x:v>
      </x:c>
      <x:c r="AK157" s="147"/>
      <x:c r="AL157" s="147"/>
      <x:c r="AM157" s="147"/>
      <x:c r="AN157" s="167"/>
      <x:c r="AO157" s="167"/>
      <x:c r="AP157" s="166"/>
      <x:c r="AQ157" s="171" t="str">
        <x:f>IF(AK157="","",IFERROR(F157*AP157/AN157,0))</x:f>
      </x:c>
      <x:c r="AR157" s="171" t="str">
        <x:f>IF(AK157="","",F157*ABS(AP157))</x:f>
      </x:c>
      <x:c r="AS157" s="165"/>
      <x:c r="AT157" s="172" t="str">
        <x:f>IF(AK157="","",IF(AS157="","",IFERROR(AN157/AS157-1,0)))</x:f>
      </x:c>
      <x:c r="AU157" s="166"/>
      <x:c r="AV157" s="172" t="str">
        <x:f>IF(AK157="","",IF(AU157="","",AU157-AT157*365/AW157))</x:f>
      </x:c>
      <x:c r="AW157" s="164"/>
      <x:c r="AX157" s="173" t="str">
        <x:f>IF(AK157="","",IFERROR(AP157*(AO157/AN157-1),0))</x:f>
      </x:c>
      <x:c r="AY157" s="147" t="str">
        <x:v>Matched-maturity Treasury collateral</x:v>
      </x:c>
      <x:c r="AZ157" s="147" t="str">
        <x:v>Treasury</x:v>
      </x:c>
      <x:c r="BA157" s="147" t="str">
        <x:v>Long</x:v>
      </x:c>
      <x:c r="BB157" s="167" t="n">
        <x:v>104.06440883941444</x:v>
      </x:c>
      <x:c r="BC157" s="167" t="n">
        <x:v>104.08396724611686</x:v>
      </x:c>
      <x:c r="BD157" s="166" t="n">
        <x:v>1</x:v>
      </x:c>
      <x:c r="BE157" s="171" t="n">
        <x:f>IF(AY157="","",IFERROR(F157*BD157/BB157,0))</x:f>
        <x:v>0.014971677102950418</x:v>
      </x:c>
      <x:c r="BF157" s="171" t="n">
        <x:f>IF(AY157="","",F157*ABS(BD157))</x:f>
        <x:v>1.5580187270531323</x:v>
      </x:c>
      <x:c r="BG157" s="165"/>
      <x:c r="BH157" s="172" t="str">
        <x:f>IF(AY157="","",IF(BG157="","",IFERROR(BB157/BG157-1,0)))</x:f>
      </x:c>
      <x:c r="BI157" s="166"/>
      <x:c r="BJ157" s="172" t="str">
        <x:f>IF(AY157="","",IF(BI157="","",BI157-BH157*365/BK157))</x:f>
      </x:c>
      <x:c r="BK157" s="164" t="n">
        <x:v>37</x:v>
      </x:c>
      <x:c r="BL157" s="172" t="n">
        <x:f>IF(AY157="","",IFERROR(BD157*(BC157/BB157-1),0))</x:f>
        <x:v>0.00018794520547937843</x:v>
      </x:c>
      <x:c r="BM157" s="147" t="str">
        <x:v>SI69U</x:v>
      </x:c>
      <x:c r="BN157" s="147" t="str">
        <x:v>Silver future (regular)</x:v>
      </x:c>
      <x:c r="BO157" s="147" t="str">
        <x:v>Long</x:v>
      </x:c>
      <x:c r="BP157" s="167" t="n">
        <x:v>1.642</x:v>
      </x:c>
      <x:c r="BQ157" s="167" t="n">
        <x:v>1.653</x:v>
      </x:c>
      <x:c r="BR157" s="166" t="n">
        <x:v>1</x:v>
      </x:c>
      <x:c r="BS157" s="171" t="n">
        <x:f>IF(BM157="","",IFERROR(F157*BR157/BP157,0))</x:f>
        <x:v>0.9488542795695082</x:v>
      </x:c>
      <x:c r="BT157" s="171" t="n">
        <x:f>IF(BM157="","",F157*ABS(BR157))</x:f>
        <x:v>1.5580187270531323</x:v>
      </x:c>
      <x:c r="BU157" s="165" t="n">
        <x:v>1.686</x:v>
      </x:c>
      <x:c r="BV157" s="172" t="n">
        <x:f>IF(BM157="","",IF(BU157="","",IFERROR(BP157/BU157-1,0)))</x:f>
        <x:v>-0.0260972716488731</x:v>
      </x:c>
      <x:c r="BW157" s="166" t="n">
        <x:v>0.06860000000000001</x:v>
      </x:c>
      <x:c r="BX157" s="172" t="n">
        <x:f>IF(BM157="","",IF(BW157="","",BW157-BV157*365/BY157))</x:f>
        <x:v>0.3260460581578022</x:v>
      </x:c>
      <x:c r="BY157" s="164" t="n">
        <x:v>37</x:v>
      </x:c>
      <x:c r="BZ157" s="172" t="n">
        <x:f>IF(BM157="","",IFERROR(BR157*(BQ157/BP157-1),0))</x:f>
        <x:v>0.006699147381242554</x:v>
      </x:c>
      <x:c r="CA157" s="147"/>
      <x:c r="CB157" s="147"/>
      <x:c r="CC157" s="147"/>
      <x:c r="CD157" s="167"/>
      <x:c r="CE157" s="167"/>
      <x:c r="CF157" s="166"/>
      <x:c r="CG157" s="171" t="str">
        <x:f>IF(CA157="","",IFERROR(F157*CF157/CD157,0))</x:f>
      </x:c>
      <x:c r="CH157" s="171" t="str">
        <x:f>IF(CA157="","",F157*ABS(CF157))</x:f>
      </x:c>
      <x:c r="CI157" s="165"/>
      <x:c r="CJ157" s="172" t="str">
        <x:f>IF(CA157="","",IF(CI157="","",IFERROR(CD157/CI157-1,0)))</x:f>
      </x:c>
      <x:c r="CK157" s="166"/>
      <x:c r="CL157" s="172" t="str">
        <x:f>IF(CA157="","",IF(CK157="","",CK157-CJ157*365/CM157))</x:f>
      </x:c>
      <x:c r="CM157" s="164"/>
      <x:c r="CN157" s="172" t="str">
        <x:f>IF(CA157="","",IFERROR(CF157*(CE157/CD157-1),0))</x:f>
      </x:c>
      <x:c r="CO157" s="147"/>
      <x:c r="CP157" s="147"/>
      <x:c r="CQ157" s="147"/>
      <x:c r="CR157" s="167"/>
      <x:c r="CS157" s="167"/>
      <x:c r="CT157" s="166"/>
      <x:c r="CU157" s="171" t="str">
        <x:f>IF(CO157="","",IFERROR(F157*CT157/CR157,0))</x:f>
      </x:c>
      <x:c r="CV157" s="171" t="str">
        <x:f>IF(CO157="","",F157*ABS(CT157))</x:f>
      </x:c>
      <x:c r="CW157" s="165"/>
      <x:c r="CX157" s="172" t="str">
        <x:f>IF(CO157="","",IF(CW157="","",IFERROR(CR157/CW157-1,0)))</x:f>
      </x:c>
      <x:c r="CY157" s="166"/>
      <x:c r="CZ157" s="172" t="str">
        <x:f>IF(CO157="","",IF(CY157="","",CY157-CX157*365/DA157))</x:f>
      </x:c>
      <x:c r="DA157" s="164"/>
      <x:c r="DB157" s="172" t="str">
        <x:f>IF(CO157="","",IFERROR(CT157*(CS157/CR157-1),0))</x:f>
      </x:c>
      <x:c r="DC157" s="147"/>
      <x:c r="DD157" s="147"/>
      <x:c r="DE157" s="147"/>
      <x:c r="DF157" s="167"/>
      <x:c r="DG157" s="167"/>
      <x:c r="DH157" s="166"/>
      <x:c r="DI157" s="171" t="str">
        <x:f>IF(DC157="","",IFERROR(F157*DH157/DF157,0))</x:f>
      </x:c>
      <x:c r="DJ157" s="171" t="str">
        <x:f>IF(DC157="","",F157*ABS(DH157))</x:f>
      </x:c>
      <x:c r="DK157" s="165"/>
      <x:c r="DL157" s="172" t="str">
        <x:f>IF(DC157="","",IF(DK157="","",IFERROR(DF157/DK157-1,0)))</x:f>
      </x:c>
      <x:c r="DM157" s="166"/>
      <x:c r="DN157" s="172" t="str">
        <x:f>IF(DC157="","",IF(DM157="","",DM157-DL157*365/DO157))</x:f>
      </x:c>
      <x:c r="DO157" s="164"/>
      <x:c r="DP157" s="172" t="str">
        <x:f>IF(DC157="","",IFERROR(DH157*(DG157/DF157-1),0))</x:f>
      </x:c>
      <x:c r="DQ157" s="147"/>
      <x:c r="DR157" s="147"/>
      <x:c r="DS157" s="147"/>
      <x:c r="DT157" s="167"/>
      <x:c r="DU157" s="167"/>
      <x:c r="DV157" s="166"/>
      <x:c r="DW157" s="171" t="str">
        <x:f>IF(DQ157="","",IFERROR(F157*DV157/DT157,0))</x:f>
      </x:c>
      <x:c r="DX157" s="171" t="str">
        <x:f>IF(DQ157="","",F157*ABS(DV157))</x:f>
      </x:c>
      <x:c r="DY157" s="165"/>
      <x:c r="DZ157" s="172" t="str">
        <x:f>IF(DQ157="","",IF(DY157="","",IFERROR(DT157/DY157-1,0)))</x:f>
      </x:c>
      <x:c r="EA157" s="166"/>
      <x:c r="EB157" s="172" t="str">
        <x:f>IF(DQ157="","",IF(EA157="","",EA157-DZ157*365/EC157))</x:f>
      </x:c>
      <x:c r="EC157" s="164"/>
      <x:c r="ED157" s="172" t="str">
        <x:f>IF(DQ157="","",IFERROR(DV157*(DU157/DT157-1),0))</x:f>
      </x:c>
      <x:c r="EE157" s="147"/>
      <x:c r="EF157" s="147"/>
      <x:c r="EG157" s="147"/>
      <x:c r="EH157" s="167"/>
      <x:c r="EI157" s="167"/>
      <x:c r="EJ157" s="166"/>
      <x:c r="EK157" s="171" t="str">
        <x:f>IF(EE157="","",IFERROR(F157*EJ157/EH157,0))</x:f>
      </x:c>
      <x:c r="EL157" s="171" t="str">
        <x:f>IF(EE157="","",F157*ABS(EJ157))</x:f>
      </x:c>
      <x:c r="EM157" s="165"/>
      <x:c r="EN157" s="172" t="str">
        <x:f>IF(EE157="","",IF(EM157="","",IFERROR(EH157/EM157-1,0)))</x:f>
      </x:c>
      <x:c r="EO157" s="166"/>
      <x:c r="EP157" s="172" t="str">
        <x:f>IF(EE157="","",IF(EO157="","",EO157-EN157*365/EQ157))</x:f>
      </x:c>
      <x:c r="EQ157" s="164"/>
      <x:c r="ER157" s="172" t="str">
        <x:f>IF(EE157="","",IFERROR(EJ157*(EI157/EH157-1),0))</x:f>
      </x:c>
      <x:c r="ES157" s="147"/>
      <x:c r="ET157" s="147"/>
      <x:c r="EU157" s="147"/>
      <x:c r="EV157" s="167"/>
      <x:c r="EW157" s="167"/>
      <x:c r="EX157" s="166"/>
      <x:c r="EY157" s="171" t="str">
        <x:f>IF(ES157="","",IFERROR(F157*EX157/EV157,0))</x:f>
      </x:c>
      <x:c r="EZ157" s="171" t="str">
        <x:f>IF(ES157="","",F157*ABS(EX157))</x:f>
      </x:c>
      <x:c r="FA157" s="165"/>
      <x:c r="FB157" s="172" t="str">
        <x:f>IF(ES157="","",IF(FA157="","",IFERROR(EV157/FA157-1,0)))</x:f>
      </x:c>
      <x:c r="FC157" s="166"/>
      <x:c r="FD157" s="172" t="str">
        <x:f>IF(ES157="","",IF(FC157="","",FC157-FB157*365/FE157))</x:f>
      </x:c>
      <x:c r="FE157" s="164"/>
      <x:c r="FF157" s="172" t="str">
        <x:f>IF(ES157="","",IFERROR(EX157*(EW157/EV157-1),0))</x:f>
      </x:c>
      <x:c r="FG157" s="147"/>
      <x:c r="FH157" s="147"/>
      <x:c r="FI157" s="147"/>
      <x:c r="FJ157" s="167"/>
      <x:c r="FK157" s="167"/>
      <x:c r="FL157" s="166"/>
      <x:c r="FM157" s="171" t="str">
        <x:f>IF(FG157="","",IFERROR(F157*FL157/FJ157,0))</x:f>
      </x:c>
      <x:c r="FN157" s="171" t="str">
        <x:f>IF(FG157="","",F157*ABS(FL157))</x:f>
      </x:c>
      <x:c r="FO157" s="165"/>
      <x:c r="FP157" s="172" t="str">
        <x:f>IF(FG157="","",IF(FO157="","",IFERROR(FJ157/FO157-1,0)))</x:f>
      </x:c>
      <x:c r="FQ157" s="166"/>
      <x:c r="FR157" s="172" t="str">
        <x:f>IF(FG157="","",IF(FQ157="","",FQ157-FP157*365/FS157))</x:f>
      </x:c>
      <x:c r="FS157" s="164"/>
      <x:c r="FT157" s="172" t="str">
        <x:f>IF(FG157="","",IFERROR(FL157*(FK157/FJ157-1),0))</x:f>
      </x:c>
    </x:row>
    <x:row r="158" ht="18" customHeight="1">
      <x:c r="A158" s="163" t="n">
        <x:v>25436</x:v>
      </x:c>
      <x:c r="B158" s="163" t="n">
        <x:v>25437</x:v>
      </x:c>
      <x:c r="C158" s="170" t="n">
        <x:f>B158-A158</x:f>
        <x:v>1</x:v>
      </x:c>
      <x:c r="D158" s="163" t="n">
        <x:v>25436</x:v>
      </x:c>
      <x:c r="E158" s="147" t="str">
        <x:v>positive</x:v>
      </x:c>
      <x:c r="F158" s="165" t="n">
        <x:v>1.5687489462781938</x:v>
      </x:c>
      <x:c r="G158" s="168" t="n">
        <x:v>-0.001020058341413257</x:v>
      </x:c>
      <x:c r="H158" s="172" t="n">
        <x:f>SUM(AX158,BL158,BZ158,CN158,DB158,DP158,ED158,ER158,FF158,FT158)</x:f>
        <x:v>-0.0010200583414131659</x:v>
      </x:c>
      <x:c r="I158" s="174" t="n">
        <x:f>G158-H158</x:f>
        <x:v>-9.107298248878237e-17</x:v>
      </x:c>
      <x:c r="J158" s="171" t="n">
        <x:f>F158*(1+H158)</x:f>
        <x:v>1.5671487308299596</x:v>
      </x:c>
      <x:c r="K158" s="169" t="n">
        <x:v>1.5671487308299594</x:v>
      </x:c>
      <x:c r="L158" s="175" t="n">
        <x:f>K158-J158</x:f>
        <x:v>-2.220446049250313e-16</x:v>
      </x:c>
      <x:c r="M158" s="167" t="n">
        <x:v>1.674</x:v>
      </x:c>
      <x:c r="N158" s="167" t="n">
        <x:v>1.683</x:v>
      </x:c>
      <x:c r="O158" s="172" t="n">
        <x:f>IFERROR(N158/M158-1,0)</x:f>
        <x:v>0.005376344086021501</x:v>
      </x:c>
      <x:c r="P158" s="171" t="n">
        <x:f>IFERROR(AD158/AH158,0)</x:f>
        <x:v>1.834892734057769</x:v>
      </x:c>
      <x:c r="Q158" s="171" t="n">
        <x:f>IFERROR(AE158/AI158,0)</x:f>
        <x:v>1.8232187848871433</x:v>
      </x:c>
      <x:c r="R158" s="172" t="n">
        <x:f>IFERROR((Q158-P158)/(P158+S158),0)</x:f>
        <x:v>-0.006362197066860345</x:v>
      </x:c>
      <x:c r="S158" s="172" t="n">
        <x:f>IFERROR(AF158/AH158,0)</x:f>
        <x:v>0</x:v>
      </x:c>
      <x:c r="T158" s="172" t="n">
        <x:f>IFERROR(AG158/AI158,0)</x:f>
        <x:v>0</x:v>
      </x:c>
      <x:c r="U158" s="172" t="n">
        <x:f>IFERROR((T158-S158)/(P158+S158),0)</x:f>
        <x:v>0</x:v>
      </x:c>
      <x:c r="V158" s="172" t="n">
        <x:f>R158+U158</x:f>
        <x:v>-0.006362197066860345</x:v>
      </x:c>
      <x:c r="W158" s="172" t="n">
        <x:f>(1+O158)*(1+V158)-1</x:f>
        <x:v>-0.001020058341413388</x:v>
      </x:c>
      <x:c r="X158" s="174" t="n">
        <x:f>G158-W158</x:f>
        <x:v>1.3097162243624894e-16</x:v>
      </x:c>
      <x:c r="Y158" s="172" t="str">
        <x:f>AX158</x:f>
      </x:c>
      <x:c r="Z158" s="172" t="n">
        <x:f>BL158</x:f>
        <x:v>0.00018986301369872116</x:v>
      </x:c>
      <x:c r="AA158" s="172" t="n">
        <x:f>SUM(BZ158,CN158,DB158,DP158,ED158,ER158,FF158,FT158)</x:f>
        <x:v>-0.001209921355111887</x:v>
      </x:c>
      <x:c r="AB158" s="172" t="n">
        <x:f>SUM(Y158:AA158)</x:f>
        <x:v>-0.0010200583414131659</x:v>
      </x:c>
      <x:c r="AC158" s="174" t="n">
        <x:f>G158-AB158</x:f>
        <x:v>-9.107298248878237e-17</x:v>
      </x:c>
      <x:c r="AD158" s="169" t="n">
        <x:v>1.5687489462781947</x:v>
      </x:c>
      <x:c r="AE158" s="169" t="n">
        <x:v>1.5671487308299603</x:v>
      </x:c>
      <x:c r="AF158" s="169" t="n">
        <x:v>0</x:v>
      </x:c>
      <x:c r="AG158" s="169" t="n">
        <x:v>0</x:v>
      </x:c>
      <x:c r="AH158" s="171" t="n">
        <x:f>M158/$M$3</x:f>
        <x:v>0.8549540347293156</x:v>
      </x:c>
      <x:c r="AI158" s="171" t="n">
        <x:f>N158/$M$3</x:f>
        <x:v>0.8595505617977528</x:v>
      </x:c>
      <x:c r="AJ158" s="170" t="n">
        <x:f>IF(AK158&lt;&gt;"",1,0)+IF(AY158&lt;&gt;"",1,0)+IF(BM158&lt;&gt;"",1,0)+IF(CA158&lt;&gt;"",1,0)+IF(CO158&lt;&gt;"",1,0)+IF(DC158&lt;&gt;"",1,0)+IF(DQ158&lt;&gt;"",1,0)+IF(EE158&lt;&gt;"",1,0)+IF(ES158&lt;&gt;"",1,0)+IF(FG158&lt;&gt;"",1,0)</x:f>
        <x:v>2</x:v>
      </x:c>
      <x:c r="AK158" s="147"/>
      <x:c r="AL158" s="147"/>
      <x:c r="AM158" s="147"/>
      <x:c r="AN158" s="167"/>
      <x:c r="AO158" s="167"/>
      <x:c r="AP158" s="166"/>
      <x:c r="AQ158" s="171" t="str">
        <x:f>IF(AK158="","",IFERROR(F158*AP158/AN158,0))</x:f>
      </x:c>
      <x:c r="AR158" s="171" t="str">
        <x:f>IF(AK158="","",F158*ABS(AP158))</x:f>
      </x:c>
      <x:c r="AS158" s="165"/>
      <x:c r="AT158" s="172" t="str">
        <x:f>IF(AK158="","",IF(AS158="","",IFERROR(AN158/AS158-1,0)))</x:f>
      </x:c>
      <x:c r="AU158" s="166"/>
      <x:c r="AV158" s="172" t="str">
        <x:f>IF(AK158="","",IF(AU158="","",AU158-AT158*365/AW158))</x:f>
      </x:c>
      <x:c r="AW158" s="164"/>
      <x:c r="AX158" s="173" t="str">
        <x:f>IF(AK158="","",IFERROR(AP158*(AO158/AN158-1),0))</x:f>
      </x:c>
      <x:c r="AY158" s="147" t="str">
        <x:v>Matched-maturity Treasury collateral</x:v>
      </x:c>
      <x:c r="AZ158" s="147" t="str">
        <x:v>Treasury</x:v>
      </x:c>
      <x:c r="BA158" s="147" t="str">
        <x:v>Long</x:v>
      </x:c>
      <x:c r="BB158" s="167" t="n">
        <x:v>104.08396724611686</x:v>
      </x:c>
      <x:c r="BC158" s="167" t="n">
        <x:v>104.10372894181592</x:v>
      </x:c>
      <x:c r="BD158" s="166" t="n">
        <x:v>1</x:v>
      </x:c>
      <x:c r="BE158" s="171" t="n">
        <x:f>IF(AY158="","",IFERROR(F158*BD158/BB158,0))</x:f>
        <x:v>0.015071955727520757</x:v>
      </x:c>
      <x:c r="BF158" s="171" t="n">
        <x:f>IF(AY158="","",F158*ABS(BD158))</x:f>
        <x:v>1.5687489462781938</x:v>
      </x:c>
      <x:c r="BG158" s="165"/>
      <x:c r="BH158" s="172" t="str">
        <x:f>IF(AY158="","",IF(BG158="","",IFERROR(BB158/BG158-1,0)))</x:f>
      </x:c>
      <x:c r="BI158" s="166"/>
      <x:c r="BJ158" s="172" t="str">
        <x:f>IF(AY158="","",IF(BI158="","",BI158-BH158*365/BK158))</x:f>
      </x:c>
      <x:c r="BK158" s="164" t="n">
        <x:v>36</x:v>
      </x:c>
      <x:c r="BL158" s="172" t="n">
        <x:f>IF(AY158="","",IFERROR(BD158*(BC158/BB158-1),0))</x:f>
        <x:v>0.00018986301369872116</x:v>
      </x:c>
      <x:c r="BM158" s="147" t="str">
        <x:v>SI69U</x:v>
      </x:c>
      <x:c r="BN158" s="147" t="str">
        <x:v>Silver future (regular)</x:v>
      </x:c>
      <x:c r="BO158" s="147" t="str">
        <x:v>Long</x:v>
      </x:c>
      <x:c r="BP158" s="167" t="n">
        <x:v>1.653</x:v>
      </x:c>
      <x:c r="BQ158" s="167" t="n">
        <x:v>1.651</x:v>
      </x:c>
      <x:c r="BR158" s="166" t="n">
        <x:v>1</x:v>
      </x:c>
      <x:c r="BS158" s="171" t="n">
        <x:f>IF(BM158="","",IFERROR(F158*BR158/BP158,0))</x:f>
        <x:v>0.9490314254556527</x:v>
      </x:c>
      <x:c r="BT158" s="171" t="n">
        <x:f>IF(BM158="","",F158*ABS(BR158))</x:f>
        <x:v>1.5687489462781938</x:v>
      </x:c>
      <x:c r="BU158" s="165" t="n">
        <x:v>1.674</x:v>
      </x:c>
      <x:c r="BV158" s="172" t="n">
        <x:f>IF(BM158="","",IF(BU158="","",IFERROR(BP158/BU158-1,0)))</x:f>
        <x:v>-0.012544802867383464</x:v>
      </x:c>
      <x:c r="BW158" s="166" t="n">
        <x:v>0.0693</x:v>
      </x:c>
      <x:c r="BX158" s="172" t="n">
        <x:f>IF(BM158="","",IF(BW158="","",BW158-BV158*365/BY158))</x:f>
        <x:v>0.1964903624054157</x:v>
      </x:c>
      <x:c r="BY158" s="164" t="n">
        <x:v>36</x:v>
      </x:c>
      <x:c r="BZ158" s="172" t="n">
        <x:f>IF(BM158="","",IFERROR(BR158*(BQ158/BP158-1),0))</x:f>
        <x:v>-0.001209921355111887</x:v>
      </x:c>
      <x:c r="CA158" s="147"/>
      <x:c r="CB158" s="147"/>
      <x:c r="CC158" s="147"/>
      <x:c r="CD158" s="167"/>
      <x:c r="CE158" s="167"/>
      <x:c r="CF158" s="166"/>
      <x:c r="CG158" s="171" t="str">
        <x:f>IF(CA158="","",IFERROR(F158*CF158/CD158,0))</x:f>
      </x:c>
      <x:c r="CH158" s="171" t="str">
        <x:f>IF(CA158="","",F158*ABS(CF158))</x:f>
      </x:c>
      <x:c r="CI158" s="165"/>
      <x:c r="CJ158" s="172" t="str">
        <x:f>IF(CA158="","",IF(CI158="","",IFERROR(CD158/CI158-1,0)))</x:f>
      </x:c>
      <x:c r="CK158" s="166"/>
      <x:c r="CL158" s="172" t="str">
        <x:f>IF(CA158="","",IF(CK158="","",CK158-CJ158*365/CM158))</x:f>
      </x:c>
      <x:c r="CM158" s="164"/>
      <x:c r="CN158" s="172" t="str">
        <x:f>IF(CA158="","",IFERROR(CF158*(CE158/CD158-1),0))</x:f>
      </x:c>
      <x:c r="CO158" s="147"/>
      <x:c r="CP158" s="147"/>
      <x:c r="CQ158" s="147"/>
      <x:c r="CR158" s="167"/>
      <x:c r="CS158" s="167"/>
      <x:c r="CT158" s="166"/>
      <x:c r="CU158" s="171" t="str">
        <x:f>IF(CO158="","",IFERROR(F158*CT158/CR158,0))</x:f>
      </x:c>
      <x:c r="CV158" s="171" t="str">
        <x:f>IF(CO158="","",F158*ABS(CT158))</x:f>
      </x:c>
      <x:c r="CW158" s="165"/>
      <x:c r="CX158" s="172" t="str">
        <x:f>IF(CO158="","",IF(CW158="","",IFERROR(CR158/CW158-1,0)))</x:f>
      </x:c>
      <x:c r="CY158" s="166"/>
      <x:c r="CZ158" s="172" t="str">
        <x:f>IF(CO158="","",IF(CY158="","",CY158-CX158*365/DA158))</x:f>
      </x:c>
      <x:c r="DA158" s="164"/>
      <x:c r="DB158" s="172" t="str">
        <x:f>IF(CO158="","",IFERROR(CT158*(CS158/CR158-1),0))</x:f>
      </x:c>
      <x:c r="DC158" s="147"/>
      <x:c r="DD158" s="147"/>
      <x:c r="DE158" s="147"/>
      <x:c r="DF158" s="167"/>
      <x:c r="DG158" s="167"/>
      <x:c r="DH158" s="166"/>
      <x:c r="DI158" s="171" t="str">
        <x:f>IF(DC158="","",IFERROR(F158*DH158/DF158,0))</x:f>
      </x:c>
      <x:c r="DJ158" s="171" t="str">
        <x:f>IF(DC158="","",F158*ABS(DH158))</x:f>
      </x:c>
      <x:c r="DK158" s="165"/>
      <x:c r="DL158" s="172" t="str">
        <x:f>IF(DC158="","",IF(DK158="","",IFERROR(DF158/DK158-1,0)))</x:f>
      </x:c>
      <x:c r="DM158" s="166"/>
      <x:c r="DN158" s="172" t="str">
        <x:f>IF(DC158="","",IF(DM158="","",DM158-DL158*365/DO158))</x:f>
      </x:c>
      <x:c r="DO158" s="164"/>
      <x:c r="DP158" s="172" t="str">
        <x:f>IF(DC158="","",IFERROR(DH158*(DG158/DF158-1),0))</x:f>
      </x:c>
      <x:c r="DQ158" s="147"/>
      <x:c r="DR158" s="147"/>
      <x:c r="DS158" s="147"/>
      <x:c r="DT158" s="167"/>
      <x:c r="DU158" s="167"/>
      <x:c r="DV158" s="166"/>
      <x:c r="DW158" s="171" t="str">
        <x:f>IF(DQ158="","",IFERROR(F158*DV158/DT158,0))</x:f>
      </x:c>
      <x:c r="DX158" s="171" t="str">
        <x:f>IF(DQ158="","",F158*ABS(DV158))</x:f>
      </x:c>
      <x:c r="DY158" s="165"/>
      <x:c r="DZ158" s="172" t="str">
        <x:f>IF(DQ158="","",IF(DY158="","",IFERROR(DT158/DY158-1,0)))</x:f>
      </x:c>
      <x:c r="EA158" s="166"/>
      <x:c r="EB158" s="172" t="str">
        <x:f>IF(DQ158="","",IF(EA158="","",EA158-DZ158*365/EC158))</x:f>
      </x:c>
      <x:c r="EC158" s="164"/>
      <x:c r="ED158" s="172" t="str">
        <x:f>IF(DQ158="","",IFERROR(DV158*(DU158/DT158-1),0))</x:f>
      </x:c>
      <x:c r="EE158" s="147"/>
      <x:c r="EF158" s="147"/>
      <x:c r="EG158" s="147"/>
      <x:c r="EH158" s="167"/>
      <x:c r="EI158" s="167"/>
      <x:c r="EJ158" s="166"/>
      <x:c r="EK158" s="171" t="str">
        <x:f>IF(EE158="","",IFERROR(F158*EJ158/EH158,0))</x:f>
      </x:c>
      <x:c r="EL158" s="171" t="str">
        <x:f>IF(EE158="","",F158*ABS(EJ158))</x:f>
      </x:c>
      <x:c r="EM158" s="165"/>
      <x:c r="EN158" s="172" t="str">
        <x:f>IF(EE158="","",IF(EM158="","",IFERROR(EH158/EM158-1,0)))</x:f>
      </x:c>
      <x:c r="EO158" s="166"/>
      <x:c r="EP158" s="172" t="str">
        <x:f>IF(EE158="","",IF(EO158="","",EO158-EN158*365/EQ158))</x:f>
      </x:c>
      <x:c r="EQ158" s="164"/>
      <x:c r="ER158" s="172" t="str">
        <x:f>IF(EE158="","",IFERROR(EJ158*(EI158/EH158-1),0))</x:f>
      </x:c>
      <x:c r="ES158" s="147"/>
      <x:c r="ET158" s="147"/>
      <x:c r="EU158" s="147"/>
      <x:c r="EV158" s="167"/>
      <x:c r="EW158" s="167"/>
      <x:c r="EX158" s="166"/>
      <x:c r="EY158" s="171" t="str">
        <x:f>IF(ES158="","",IFERROR(F158*EX158/EV158,0))</x:f>
      </x:c>
      <x:c r="EZ158" s="171" t="str">
        <x:f>IF(ES158="","",F158*ABS(EX158))</x:f>
      </x:c>
      <x:c r="FA158" s="165"/>
      <x:c r="FB158" s="172" t="str">
        <x:f>IF(ES158="","",IF(FA158="","",IFERROR(EV158/FA158-1,0)))</x:f>
      </x:c>
      <x:c r="FC158" s="166"/>
      <x:c r="FD158" s="172" t="str">
        <x:f>IF(ES158="","",IF(FC158="","",FC158-FB158*365/FE158))</x:f>
      </x:c>
      <x:c r="FE158" s="164"/>
      <x:c r="FF158" s="172" t="str">
        <x:f>IF(ES158="","",IFERROR(EX158*(EW158/EV158-1),0))</x:f>
      </x:c>
      <x:c r="FG158" s="147"/>
      <x:c r="FH158" s="147"/>
      <x:c r="FI158" s="147"/>
      <x:c r="FJ158" s="167"/>
      <x:c r="FK158" s="167"/>
      <x:c r="FL158" s="166"/>
      <x:c r="FM158" s="171" t="str">
        <x:f>IF(FG158="","",IFERROR(F158*FL158/FJ158,0))</x:f>
      </x:c>
      <x:c r="FN158" s="171" t="str">
        <x:f>IF(FG158="","",F158*ABS(FL158))</x:f>
      </x:c>
      <x:c r="FO158" s="165"/>
      <x:c r="FP158" s="172" t="str">
        <x:f>IF(FG158="","",IF(FO158="","",IFERROR(FJ158/FO158-1,0)))</x:f>
      </x:c>
      <x:c r="FQ158" s="166"/>
      <x:c r="FR158" s="172" t="str">
        <x:f>IF(FG158="","",IF(FQ158="","",FQ158-FP158*365/FS158))</x:f>
      </x:c>
      <x:c r="FS158" s="164"/>
      <x:c r="FT158" s="172" t="str">
        <x:f>IF(FG158="","",IFERROR(FL158*(FK158/FJ158-1),0))</x:f>
      </x:c>
    </x:row>
    <x:row r="159" ht="18" customHeight="1">
      <x:c r="A159" s="163" t="n">
        <x:v>25437</x:v>
      </x:c>
      <x:c r="B159" s="163" t="n">
        <x:v>25440</x:v>
      </x:c>
      <x:c r="C159" s="170" t="n">
        <x:f>B159-A159</x:f>
        <x:v>3</x:v>
      </x:c>
      <x:c r="D159" s="163" t="n">
        <x:v>25437</x:v>
      </x:c>
      <x:c r="E159" s="147" t="str">
        <x:v>positive</x:v>
      </x:c>
      <x:c r="F159" s="165" t="n">
        <x:v>1.5671487308299594</x:v>
      </x:c>
      <x:c r="G159" s="168" t="n">
        <x:v>-0.001245025762717401</x:v>
      </x:c>
      <x:c r="H159" s="172" t="n">
        <x:f>SUM(AX159,BL159,BZ159,CN159,DB159,DP159,ED159,ER159,FF159,FT159)</x:f>
        <x:v>-0.0012450257627172334</x:v>
      </x:c>
      <x:c r="I159" s="174" t="n">
        <x:f>G159-H159</x:f>
        <x:v>-1.6761765586625899e-16</x:v>
      </x:c>
      <x:c r="J159" s="171" t="n">
        <x:f>F159*(1+H159)</x:f>
        <x:v>1.5651975902860664</x:v>
      </x:c>
      <x:c r="K159" s="169" t="n">
        <x:v>1.5651975902860662</x:v>
      </x:c>
      <x:c r="L159" s="175" t="n">
        <x:f>K159-J159</x:f>
        <x:v>-2.220446049250313e-16</x:v>
      </x:c>
      <x:c r="M159" s="167" t="n">
        <x:v>1.683</x:v>
      </x:c>
      <x:c r="N159" s="167" t="n">
        <x:v>1.674</x:v>
      </x:c>
      <x:c r="O159" s="172" t="n">
        <x:f>IFERROR(N159/M159-1,0)</x:f>
        <x:v>-0.005347593582887722</x:v>
      </x:c>
      <x:c r="P159" s="171" t="n">
        <x:f>IFERROR(AD159/AH159,0)</x:f>
        <x:v>1.8232187848871433</x:v>
      </x:c>
      <x:c r="Q159" s="171" t="n">
        <x:f>IFERROR(AE159/AI159,0)</x:f>
        <x:v>1.8307388780048504</x:v>
      </x:c>
      <x:c r="R159" s="172" t="n">
        <x:f>IFERROR((Q159-P159)/(P159+S159),0)</x:f>
        <x:v>0.004124624636407837</x:v>
      </x:c>
      <x:c r="S159" s="172" t="n">
        <x:f>IFERROR(AF159/AH159,0)</x:f>
        <x:v>0</x:v>
      </x:c>
      <x:c r="T159" s="172" t="n">
        <x:f>IFERROR(AG159/AI159,0)</x:f>
        <x:v>0</x:v>
      </x:c>
      <x:c r="U159" s="172" t="n">
        <x:f>IFERROR((T159-S159)/(P159+S159),0)</x:f>
        <x:v>0</x:v>
      </x:c>
      <x:c r="V159" s="172" t="n">
        <x:f>R159+U159</x:f>
        <x:v>0.004124624636407837</x:v>
      </x:c>
      <x:c r="W159" s="172" t="n">
        <x:f>(1+O159)*(1+V159)-1</x:f>
        <x:v>-0.0012450257627172334</x:v>
      </x:c>
      <x:c r="X159" s="174" t="n">
        <x:f>G159-W159</x:f>
        <x:v>-1.6761765586625899e-16</x:v>
      </x:c>
      <x:c r="Y159" s="172" t="str">
        <x:f>AX159</x:f>
      </x:c>
      <x:c r="Z159" s="172" t="n">
        <x:f>BL159</x:f>
        <x:v>0.0005720547945207155</x:v>
      </x:c>
      <x:c r="AA159" s="172" t="n">
        <x:f>SUM(BZ159,CN159,DB159,DP159,ED159,ER159,FF159,FT159)</x:f>
        <x:v>-0.001817080557237949</x:v>
      </x:c>
      <x:c r="AB159" s="172" t="n">
        <x:f>SUM(Y159:AA159)</x:f>
        <x:v>-0.0012450257627172334</x:v>
      </x:c>
      <x:c r="AC159" s="174" t="n">
        <x:f>G159-AB159</x:f>
        <x:v>-1.6761765586625899e-16</x:v>
      </x:c>
      <x:c r="AD159" s="169" t="n">
        <x:v>1.5671487308299603</x:v>
      </x:c>
      <x:c r="AE159" s="169" t="n">
        <x:v>1.565197590286067</x:v>
      </x:c>
      <x:c r="AF159" s="169" t="n">
        <x:v>0</x:v>
      </x:c>
      <x:c r="AG159" s="169" t="n">
        <x:v>0</x:v>
      </x:c>
      <x:c r="AH159" s="171" t="n">
        <x:f>M159/$M$3</x:f>
        <x:v>0.8595505617977528</x:v>
      </x:c>
      <x:c r="AI159" s="171" t="n">
        <x:f>N159/$M$3</x:f>
        <x:v>0.8549540347293156</x:v>
      </x:c>
      <x:c r="AJ159" s="170" t="n">
        <x:f>IF(AK159&lt;&gt;"",1,0)+IF(AY159&lt;&gt;"",1,0)+IF(BM159&lt;&gt;"",1,0)+IF(CA159&lt;&gt;"",1,0)+IF(CO159&lt;&gt;"",1,0)+IF(DC159&lt;&gt;"",1,0)+IF(DQ159&lt;&gt;"",1,0)+IF(EE159&lt;&gt;"",1,0)+IF(ES159&lt;&gt;"",1,0)+IF(FG159&lt;&gt;"",1,0)</x:f>
        <x:v>2</x:v>
      </x:c>
      <x:c r="AK159" s="147"/>
      <x:c r="AL159" s="147"/>
      <x:c r="AM159" s="147"/>
      <x:c r="AN159" s="167"/>
      <x:c r="AO159" s="167"/>
      <x:c r="AP159" s="166"/>
      <x:c r="AQ159" s="171" t="str">
        <x:f>IF(AK159="","",IFERROR(F159*AP159/AN159,0))</x:f>
      </x:c>
      <x:c r="AR159" s="171" t="str">
        <x:f>IF(AK159="","",F159*ABS(AP159))</x:f>
      </x:c>
      <x:c r="AS159" s="165"/>
      <x:c r="AT159" s="172" t="str">
        <x:f>IF(AK159="","",IF(AS159="","",IFERROR(AN159/AS159-1,0)))</x:f>
      </x:c>
      <x:c r="AU159" s="166"/>
      <x:c r="AV159" s="172" t="str">
        <x:f>IF(AK159="","",IF(AU159="","",AU159-AT159*365/AW159))</x:f>
      </x:c>
      <x:c r="AW159" s="164"/>
      <x:c r="AX159" s="173" t="str">
        <x:f>IF(AK159="","",IFERROR(AP159*(AO159/AN159-1),0))</x:f>
      </x:c>
      <x:c r="AY159" s="147" t="str">
        <x:v>Matched-maturity Treasury collateral</x:v>
      </x:c>
      <x:c r="AZ159" s="147" t="str">
        <x:v>Treasury</x:v>
      </x:c>
      <x:c r="BA159" s="147" t="str">
        <x:v>Long</x:v>
      </x:c>
      <x:c r="BB159" s="167" t="n">
        <x:v>104.10372894181592</x:v>
      </x:c>
      <x:c r="BC159" s="167" t="n">
        <x:v>104.16328197908456</x:v>
      </x:c>
      <x:c r="BD159" s="166" t="n">
        <x:v>1</x:v>
      </x:c>
      <x:c r="BE159" s="171" t="n">
        <x:f>IF(AY159="","",IFERROR(F159*BD159/BB159,0))</x:f>
        <x:v>0.015053723308084828</x:v>
      </x:c>
      <x:c r="BF159" s="171" t="n">
        <x:f>IF(AY159="","",F159*ABS(BD159))</x:f>
        <x:v>1.5671487308299594</x:v>
      </x:c>
      <x:c r="BG159" s="165"/>
      <x:c r="BH159" s="172" t="str">
        <x:f>IF(AY159="","",IF(BG159="","",IFERROR(BB159/BG159-1,0)))</x:f>
      </x:c>
      <x:c r="BI159" s="166"/>
      <x:c r="BJ159" s="172" t="str">
        <x:f>IF(AY159="","",IF(BI159="","",BI159-BH159*365/BK159))</x:f>
      </x:c>
      <x:c r="BK159" s="164" t="n">
        <x:v>35</x:v>
      </x:c>
      <x:c r="BL159" s="172" t="n">
        <x:f>IF(AY159="","",IFERROR(BD159*(BC159/BB159-1),0))</x:f>
        <x:v>0.0005720547945207155</x:v>
      </x:c>
      <x:c r="BM159" s="147" t="str">
        <x:v>SI69U</x:v>
      </x:c>
      <x:c r="BN159" s="147" t="str">
        <x:v>Silver future (regular)</x:v>
      </x:c>
      <x:c r="BO159" s="147" t="str">
        <x:v>Long</x:v>
      </x:c>
      <x:c r="BP159" s="167" t="n">
        <x:v>1.651</x:v>
      </x:c>
      <x:c r="BQ159" s="167" t="n">
        <x:v>1.6480000000000001</x:v>
      </x:c>
      <x:c r="BR159" s="166" t="n">
        <x:v>1</x:v>
      </x:c>
      <x:c r="BS159" s="171" t="n">
        <x:f>IF(BM159="","",IFERROR(F159*BR159/BP159,0))</x:f>
        <x:v>0.9492118296971287</x:v>
      </x:c>
      <x:c r="BT159" s="171" t="n">
        <x:f>IF(BM159="","",F159*ABS(BR159))</x:f>
        <x:v>1.5671487308299594</x:v>
      </x:c>
      <x:c r="BU159" s="165" t="n">
        <x:v>1.683</x:v>
      </x:c>
      <x:c r="BV159" s="172" t="n">
        <x:f>IF(BM159="","",IF(BU159="","",IFERROR(BP159/BU159-1,0)))</x:f>
        <x:v>-0.019013666072489666</x:v>
      </x:c>
      <x:c r="BW159" s="166" t="n">
        <x:v>0.0696</x:v>
      </x:c>
      <x:c r="BX159" s="172" t="n">
        <x:f>IF(BM159="","",IF(BW159="","",BW159-BV159*365/BY159))</x:f>
        <x:v>0.26788537475596363</x:v>
      </x:c>
      <x:c r="BY159" s="164" t="n">
        <x:v>35</x:v>
      </x:c>
      <x:c r="BZ159" s="172" t="n">
        <x:f>IF(BM159="","",IFERROR(BR159*(BQ159/BP159-1),0))</x:f>
        <x:v>-0.001817080557237949</x:v>
      </x:c>
      <x:c r="CA159" s="147"/>
      <x:c r="CB159" s="147"/>
      <x:c r="CC159" s="147"/>
      <x:c r="CD159" s="167"/>
      <x:c r="CE159" s="167"/>
      <x:c r="CF159" s="166"/>
      <x:c r="CG159" s="171" t="str">
        <x:f>IF(CA159="","",IFERROR(F159*CF159/CD159,0))</x:f>
      </x:c>
      <x:c r="CH159" s="171" t="str">
        <x:f>IF(CA159="","",F159*ABS(CF159))</x:f>
      </x:c>
      <x:c r="CI159" s="165"/>
      <x:c r="CJ159" s="172" t="str">
        <x:f>IF(CA159="","",IF(CI159="","",IFERROR(CD159/CI159-1,0)))</x:f>
      </x:c>
      <x:c r="CK159" s="166"/>
      <x:c r="CL159" s="172" t="str">
        <x:f>IF(CA159="","",IF(CK159="","",CK159-CJ159*365/CM159))</x:f>
      </x:c>
      <x:c r="CM159" s="164"/>
      <x:c r="CN159" s="172" t="str">
        <x:f>IF(CA159="","",IFERROR(CF159*(CE159/CD159-1),0))</x:f>
      </x:c>
      <x:c r="CO159" s="147"/>
      <x:c r="CP159" s="147"/>
      <x:c r="CQ159" s="147"/>
      <x:c r="CR159" s="167"/>
      <x:c r="CS159" s="167"/>
      <x:c r="CT159" s="166"/>
      <x:c r="CU159" s="171" t="str">
        <x:f>IF(CO159="","",IFERROR(F159*CT159/CR159,0))</x:f>
      </x:c>
      <x:c r="CV159" s="171" t="str">
        <x:f>IF(CO159="","",F159*ABS(CT159))</x:f>
      </x:c>
      <x:c r="CW159" s="165"/>
      <x:c r="CX159" s="172" t="str">
        <x:f>IF(CO159="","",IF(CW159="","",IFERROR(CR159/CW159-1,0)))</x:f>
      </x:c>
      <x:c r="CY159" s="166"/>
      <x:c r="CZ159" s="172" t="str">
        <x:f>IF(CO159="","",IF(CY159="","",CY159-CX159*365/DA159))</x:f>
      </x:c>
      <x:c r="DA159" s="164"/>
      <x:c r="DB159" s="172" t="str">
        <x:f>IF(CO159="","",IFERROR(CT159*(CS159/CR159-1),0))</x:f>
      </x:c>
      <x:c r="DC159" s="147"/>
      <x:c r="DD159" s="147"/>
      <x:c r="DE159" s="147"/>
      <x:c r="DF159" s="167"/>
      <x:c r="DG159" s="167"/>
      <x:c r="DH159" s="166"/>
      <x:c r="DI159" s="171" t="str">
        <x:f>IF(DC159="","",IFERROR(F159*DH159/DF159,0))</x:f>
      </x:c>
      <x:c r="DJ159" s="171" t="str">
        <x:f>IF(DC159="","",F159*ABS(DH159))</x:f>
      </x:c>
      <x:c r="DK159" s="165"/>
      <x:c r="DL159" s="172" t="str">
        <x:f>IF(DC159="","",IF(DK159="","",IFERROR(DF159/DK159-1,0)))</x:f>
      </x:c>
      <x:c r="DM159" s="166"/>
      <x:c r="DN159" s="172" t="str">
        <x:f>IF(DC159="","",IF(DM159="","",DM159-DL159*365/DO159))</x:f>
      </x:c>
      <x:c r="DO159" s="164"/>
      <x:c r="DP159" s="172" t="str">
        <x:f>IF(DC159="","",IFERROR(DH159*(DG159/DF159-1),0))</x:f>
      </x:c>
      <x:c r="DQ159" s="147"/>
      <x:c r="DR159" s="147"/>
      <x:c r="DS159" s="147"/>
      <x:c r="DT159" s="167"/>
      <x:c r="DU159" s="167"/>
      <x:c r="DV159" s="166"/>
      <x:c r="DW159" s="171" t="str">
        <x:f>IF(DQ159="","",IFERROR(F159*DV159/DT159,0))</x:f>
      </x:c>
      <x:c r="DX159" s="171" t="str">
        <x:f>IF(DQ159="","",F159*ABS(DV159))</x:f>
      </x:c>
      <x:c r="DY159" s="165"/>
      <x:c r="DZ159" s="172" t="str">
        <x:f>IF(DQ159="","",IF(DY159="","",IFERROR(DT159/DY159-1,0)))</x:f>
      </x:c>
      <x:c r="EA159" s="166"/>
      <x:c r="EB159" s="172" t="str">
        <x:f>IF(DQ159="","",IF(EA159="","",EA159-DZ159*365/EC159))</x:f>
      </x:c>
      <x:c r="EC159" s="164"/>
      <x:c r="ED159" s="172" t="str">
        <x:f>IF(DQ159="","",IFERROR(DV159*(DU159/DT159-1),0))</x:f>
      </x:c>
      <x:c r="EE159" s="147"/>
      <x:c r="EF159" s="147"/>
      <x:c r="EG159" s="147"/>
      <x:c r="EH159" s="167"/>
      <x:c r="EI159" s="167"/>
      <x:c r="EJ159" s="166"/>
      <x:c r="EK159" s="171" t="str">
        <x:f>IF(EE159="","",IFERROR(F159*EJ159/EH159,0))</x:f>
      </x:c>
      <x:c r="EL159" s="171" t="str">
        <x:f>IF(EE159="","",F159*ABS(EJ159))</x:f>
      </x:c>
      <x:c r="EM159" s="165"/>
      <x:c r="EN159" s="172" t="str">
        <x:f>IF(EE159="","",IF(EM159="","",IFERROR(EH159/EM159-1,0)))</x:f>
      </x:c>
      <x:c r="EO159" s="166"/>
      <x:c r="EP159" s="172" t="str">
        <x:f>IF(EE159="","",IF(EO159="","",EO159-EN159*365/EQ159))</x:f>
      </x:c>
      <x:c r="EQ159" s="164"/>
      <x:c r="ER159" s="172" t="str">
        <x:f>IF(EE159="","",IFERROR(EJ159*(EI159/EH159-1),0))</x:f>
      </x:c>
      <x:c r="ES159" s="147"/>
      <x:c r="ET159" s="147"/>
      <x:c r="EU159" s="147"/>
      <x:c r="EV159" s="167"/>
      <x:c r="EW159" s="167"/>
      <x:c r="EX159" s="166"/>
      <x:c r="EY159" s="171" t="str">
        <x:f>IF(ES159="","",IFERROR(F159*EX159/EV159,0))</x:f>
      </x:c>
      <x:c r="EZ159" s="171" t="str">
        <x:f>IF(ES159="","",F159*ABS(EX159))</x:f>
      </x:c>
      <x:c r="FA159" s="165"/>
      <x:c r="FB159" s="172" t="str">
        <x:f>IF(ES159="","",IF(FA159="","",IFERROR(EV159/FA159-1,0)))</x:f>
      </x:c>
      <x:c r="FC159" s="166"/>
      <x:c r="FD159" s="172" t="str">
        <x:f>IF(ES159="","",IF(FC159="","",FC159-FB159*365/FE159))</x:f>
      </x:c>
      <x:c r="FE159" s="164"/>
      <x:c r="FF159" s="172" t="str">
        <x:f>IF(ES159="","",IFERROR(EX159*(EW159/EV159-1),0))</x:f>
      </x:c>
      <x:c r="FG159" s="147"/>
      <x:c r="FH159" s="147"/>
      <x:c r="FI159" s="147"/>
      <x:c r="FJ159" s="167"/>
      <x:c r="FK159" s="167"/>
      <x:c r="FL159" s="166"/>
      <x:c r="FM159" s="171" t="str">
        <x:f>IF(FG159="","",IFERROR(F159*FL159/FJ159,0))</x:f>
      </x:c>
      <x:c r="FN159" s="171" t="str">
        <x:f>IF(FG159="","",F159*ABS(FL159))</x:f>
      </x:c>
      <x:c r="FO159" s="165"/>
      <x:c r="FP159" s="172" t="str">
        <x:f>IF(FG159="","",IF(FO159="","",IFERROR(FJ159/FO159-1,0)))</x:f>
      </x:c>
      <x:c r="FQ159" s="166"/>
      <x:c r="FR159" s="172" t="str">
        <x:f>IF(FG159="","",IF(FQ159="","",FQ159-FP159*365/FS159))</x:f>
      </x:c>
      <x:c r="FS159" s="164"/>
      <x:c r="FT159" s="172" t="str">
        <x:f>IF(FG159="","",IFERROR(FL159*(FK159/FJ159-1),0))</x:f>
      </x:c>
    </x:row>
    <x:row r="160" ht="18" customHeight="1">
      <x:c r="A160" s="163" t="n">
        <x:v>25440</x:v>
      </x:c>
      <x:c r="B160" s="163" t="n">
        <x:v>25441</x:v>
      </x:c>
      <x:c r="C160" s="170" t="n">
        <x:f>B160-A160</x:f>
        <x:v>1</x:v>
      </x:c>
      <x:c r="D160" s="163" t="n">
        <x:v>25440</x:v>
      </x:c>
      <x:c r="E160" s="147" t="str">
        <x:v>positive</x:v>
      </x:c>
      <x:c r="F160" s="165" t="n">
        <x:v>1.5651975902860662</x:v>
      </x:c>
      <x:c r="G160" s="168" t="n">
        <x:v>0.00019178082191780824</x:v>
      </x:c>
      <x:c r="H160" s="172" t="n">
        <x:f>SUM(AX160,BL160,BZ160,CN160,DB160,DP160,ED160,ER160,FF160,FT160)</x:f>
        <x:v>0.00019178082191784185</x:v>
      </x:c>
      <x:c r="I160" s="174" t="n">
        <x:f>G160-H160</x:f>
        <x:v>-3.361026734705064e-17</x:v>
      </x:c>
      <x:c r="J160" s="171" t="n">
        <x:f>F160*(1+H160)</x:f>
        <x:v>1.565497765166395</x:v>
      </x:c>
      <x:c r="K160" s="169" t="n">
        <x:v>1.565497765166395</x:v>
      </x:c>
      <x:c r="L160" s="175" t="n">
        <x:f>K160-J160</x:f>
        <x:v>0</x:v>
      </x:c>
      <x:c r="M160" s="167" t="n">
        <x:v>1.674</x:v>
      </x:c>
      <x:c r="N160" s="167" t="n">
        <x:v>1.663</x:v>
      </x:c>
      <x:c r="O160" s="172" t="n">
        <x:f>IFERROR(N160/M160-1,0)</x:f>
        <x:v>-0.006571087216248439</x:v>
      </x:c>
      <x:c r="P160" s="171" t="n">
        <x:f>IFERROR(AD160/AH160,0)</x:f>
        <x:v>1.8307388780048504</x:v>
      </x:c>
      <x:c r="Q160" s="171" t="n">
        <x:f>IFERROR(AE160/AI160,0)</x:f>
        <x:v>1.843201818518222</x:v>
      </x:c>
      <x:c r="R160" s="172" t="n">
        <x:f>IFERROR((Q160-P160)/(P160+S160),0)</x:f>
        <x:v>0.006807601380571425</x:v>
      </x:c>
      <x:c r="S160" s="172" t="n">
        <x:f>IFERROR(AF160/AH160,0)</x:f>
        <x:v>0</x:v>
      </x:c>
      <x:c r="T160" s="172" t="n">
        <x:f>IFERROR(AG160/AI160,0)</x:f>
        <x:v>0</x:v>
      </x:c>
      <x:c r="U160" s="172" t="n">
        <x:f>IFERROR((T160-S160)/(P160+S160),0)</x:f>
        <x:v>0</x:v>
      </x:c>
      <x:c r="V160" s="172" t="n">
        <x:f>R160+U160</x:f>
        <x:v>0.006807601380571425</x:v>
      </x:c>
      <x:c r="W160" s="172" t="n">
        <x:f>(1+O160)*(1+V160)-1</x:f>
        <x:v>0.0001917808219176198</x:v>
      </x:c>
      <x:c r="X160" s="174" t="n">
        <x:f>G160-W160</x:f>
        <x:v>1.8843433757798067e-16</x:v>
      </x:c>
      <x:c r="Y160" s="172" t="str">
        <x:f>AX160</x:f>
      </x:c>
      <x:c r="Z160" s="172" t="n">
        <x:f>BL160</x:f>
        <x:v>0.00019178082191784185</x:v>
      </x:c>
      <x:c r="AA160" s="172" t="n">
        <x:f>SUM(BZ160,CN160,DB160,DP160,ED160,ER160,FF160,FT160)</x:f>
        <x:v>0</x:v>
      </x:c>
      <x:c r="AB160" s="172" t="n">
        <x:f>SUM(Y160:AA160)</x:f>
        <x:v>0.00019178082191784185</x:v>
      </x:c>
      <x:c r="AC160" s="174" t="n">
        <x:f>G160-AB160</x:f>
        <x:v>-3.361026734705064e-17</x:v>
      </x:c>
      <x:c r="AD160" s="169" t="n">
        <x:v>1.565197590286067</x:v>
      </x:c>
      <x:c r="AE160" s="169" t="n">
        <x:v>1.565497765166396</x:v>
      </x:c>
      <x:c r="AF160" s="169" t="n">
        <x:v>0</x:v>
      </x:c>
      <x:c r="AG160" s="169" t="n">
        <x:v>0</x:v>
      </x:c>
      <x:c r="AH160" s="171" t="n">
        <x:f>M160/$M$3</x:f>
        <x:v>0.8549540347293156</x:v>
      </x:c>
      <x:c r="AI160" s="171" t="n">
        <x:f>N160/$M$3</x:f>
        <x:v>0.8493360572012257</x:v>
      </x:c>
      <x:c r="AJ160" s="170" t="n">
        <x:f>IF(AK160&lt;&gt;"",1,0)+IF(AY160&lt;&gt;"",1,0)+IF(BM160&lt;&gt;"",1,0)+IF(CA160&lt;&gt;"",1,0)+IF(CO160&lt;&gt;"",1,0)+IF(DC160&lt;&gt;"",1,0)+IF(DQ160&lt;&gt;"",1,0)+IF(EE160&lt;&gt;"",1,0)+IF(ES160&lt;&gt;"",1,0)+IF(FG160&lt;&gt;"",1,0)</x:f>
        <x:v>2</x:v>
      </x:c>
      <x:c r="AK160" s="147"/>
      <x:c r="AL160" s="147"/>
      <x:c r="AM160" s="147"/>
      <x:c r="AN160" s="167"/>
      <x:c r="AO160" s="167"/>
      <x:c r="AP160" s="166"/>
      <x:c r="AQ160" s="171" t="str">
        <x:f>IF(AK160="","",IFERROR(F160*AP160/AN160,0))</x:f>
      </x:c>
      <x:c r="AR160" s="171" t="str">
        <x:f>IF(AK160="","",F160*ABS(AP160))</x:f>
      </x:c>
      <x:c r="AS160" s="165"/>
      <x:c r="AT160" s="172" t="str">
        <x:f>IF(AK160="","",IF(AS160="","",IFERROR(AN160/AS160-1,0)))</x:f>
      </x:c>
      <x:c r="AU160" s="166"/>
      <x:c r="AV160" s="172" t="str">
        <x:f>IF(AK160="","",IF(AU160="","",AU160-AT160*365/AW160))</x:f>
      </x:c>
      <x:c r="AW160" s="164"/>
      <x:c r="AX160" s="173" t="str">
        <x:f>IF(AK160="","",IFERROR(AP160*(AO160/AN160-1),0))</x:f>
      </x:c>
      <x:c r="AY160" s="147" t="str">
        <x:v>Matched-maturity Treasury collateral</x:v>
      </x:c>
      <x:c r="AZ160" s="147" t="str">
        <x:v>Treasury</x:v>
      </x:c>
      <x:c r="BA160" s="147" t="str">
        <x:v>Long</x:v>
      </x:c>
      <x:c r="BB160" s="167" t="n">
        <x:v>104.16328197908456</x:v>
      </x:c>
      <x:c r="BC160" s="167" t="n">
        <x:v>104.18325849891616</x:v>
      </x:c>
      <x:c r="BD160" s="166" t="n">
        <x:v>1</x:v>
      </x:c>
      <x:c r="BE160" s="171" t="n">
        <x:f>IF(AY160="","",IFERROR(F160*BD160/BB160,0))</x:f>
        <x:v>0.015026385119089755</x:v>
      </x:c>
      <x:c r="BF160" s="171" t="n">
        <x:f>IF(AY160="","",F160*ABS(BD160))</x:f>
        <x:v>1.5651975902860662</x:v>
      </x:c>
      <x:c r="BG160" s="165"/>
      <x:c r="BH160" s="172" t="str">
        <x:f>IF(AY160="","",IF(BG160="","",IFERROR(BB160/BG160-1,0)))</x:f>
      </x:c>
      <x:c r="BI160" s="166"/>
      <x:c r="BJ160" s="172" t="str">
        <x:f>IF(AY160="","",IF(BI160="","",BI160-BH160*365/BK160))</x:f>
      </x:c>
      <x:c r="BK160" s="164" t="n">
        <x:v>32</x:v>
      </x:c>
      <x:c r="BL160" s="172" t="n">
        <x:f>IF(AY160="","",IFERROR(BD160*(BC160/BB160-1),0))</x:f>
        <x:v>0.00019178082191784185</x:v>
      </x:c>
      <x:c r="BM160" s="147" t="str">
        <x:v>SI69U</x:v>
      </x:c>
      <x:c r="BN160" s="147" t="str">
        <x:v>Silver future (regular)</x:v>
      </x:c>
      <x:c r="BO160" s="147" t="str">
        <x:v>Long</x:v>
      </x:c>
      <x:c r="BP160" s="167" t="n">
        <x:v>1.6480000000000001</x:v>
      </x:c>
      <x:c r="BQ160" s="167" t="n">
        <x:v>1.6480000000000001</x:v>
      </x:c>
      <x:c r="BR160" s="166" t="n">
        <x:v>1</x:v>
      </x:c>
      <x:c r="BS160" s="171" t="n">
        <x:f>IF(BM160="","",IFERROR(F160*BR160/BP160,0))</x:f>
        <x:v>0.9497558193483411</x:v>
      </x:c>
      <x:c r="BT160" s="171" t="n">
        <x:f>IF(BM160="","",F160*ABS(BR160))</x:f>
        <x:v>1.5651975902860662</x:v>
      </x:c>
      <x:c r="BU160" s="165" t="n">
        <x:v>1.674</x:v>
      </x:c>
      <x:c r="BV160" s="172" t="n">
        <x:f>IF(BM160="","",IF(BU160="","",IFERROR(BP160/BU160-1,0)))</x:f>
        <x:v>-0.015531660692950866</x:v>
      </x:c>
      <x:c r="BW160" s="166" t="n">
        <x:v>0.07</x:v>
      </x:c>
      <x:c r="BX160" s="172" t="n">
        <x:f>IF(BM160="","",IF(BW160="","",BW160-BV160*365/BY160))</x:f>
        <x:v>0.24715800477897082</x:v>
      </x:c>
      <x:c r="BY160" s="164" t="n">
        <x:v>32</x:v>
      </x:c>
      <x:c r="BZ160" s="172" t="n">
        <x:f>IF(BM160="","",IFERROR(BR160*(BQ160/BP160-1),0))</x:f>
        <x:v>0</x:v>
      </x:c>
      <x:c r="CA160" s="147"/>
      <x:c r="CB160" s="147"/>
      <x:c r="CC160" s="147"/>
      <x:c r="CD160" s="167"/>
      <x:c r="CE160" s="167"/>
      <x:c r="CF160" s="166"/>
      <x:c r="CG160" s="171" t="str">
        <x:f>IF(CA160="","",IFERROR(F160*CF160/CD160,0))</x:f>
      </x:c>
      <x:c r="CH160" s="171" t="str">
        <x:f>IF(CA160="","",F160*ABS(CF160))</x:f>
      </x:c>
      <x:c r="CI160" s="165"/>
      <x:c r="CJ160" s="172" t="str">
        <x:f>IF(CA160="","",IF(CI160="","",IFERROR(CD160/CI160-1,0)))</x:f>
      </x:c>
      <x:c r="CK160" s="166"/>
      <x:c r="CL160" s="172" t="str">
        <x:f>IF(CA160="","",IF(CK160="","",CK160-CJ160*365/CM160))</x:f>
      </x:c>
      <x:c r="CM160" s="164"/>
      <x:c r="CN160" s="172" t="str">
        <x:f>IF(CA160="","",IFERROR(CF160*(CE160/CD160-1),0))</x:f>
      </x:c>
      <x:c r="CO160" s="147"/>
      <x:c r="CP160" s="147"/>
      <x:c r="CQ160" s="147"/>
      <x:c r="CR160" s="167"/>
      <x:c r="CS160" s="167"/>
      <x:c r="CT160" s="166"/>
      <x:c r="CU160" s="171" t="str">
        <x:f>IF(CO160="","",IFERROR(F160*CT160/CR160,0))</x:f>
      </x:c>
      <x:c r="CV160" s="171" t="str">
        <x:f>IF(CO160="","",F160*ABS(CT160))</x:f>
      </x:c>
      <x:c r="CW160" s="165"/>
      <x:c r="CX160" s="172" t="str">
        <x:f>IF(CO160="","",IF(CW160="","",IFERROR(CR160/CW160-1,0)))</x:f>
      </x:c>
      <x:c r="CY160" s="166"/>
      <x:c r="CZ160" s="172" t="str">
        <x:f>IF(CO160="","",IF(CY160="","",CY160-CX160*365/DA160))</x:f>
      </x:c>
      <x:c r="DA160" s="164"/>
      <x:c r="DB160" s="172" t="str">
        <x:f>IF(CO160="","",IFERROR(CT160*(CS160/CR160-1),0))</x:f>
      </x:c>
      <x:c r="DC160" s="147"/>
      <x:c r="DD160" s="147"/>
      <x:c r="DE160" s="147"/>
      <x:c r="DF160" s="167"/>
      <x:c r="DG160" s="167"/>
      <x:c r="DH160" s="166"/>
      <x:c r="DI160" s="171" t="str">
        <x:f>IF(DC160="","",IFERROR(F160*DH160/DF160,0))</x:f>
      </x:c>
      <x:c r="DJ160" s="171" t="str">
        <x:f>IF(DC160="","",F160*ABS(DH160))</x:f>
      </x:c>
      <x:c r="DK160" s="165"/>
      <x:c r="DL160" s="172" t="str">
        <x:f>IF(DC160="","",IF(DK160="","",IFERROR(DF160/DK160-1,0)))</x:f>
      </x:c>
      <x:c r="DM160" s="166"/>
      <x:c r="DN160" s="172" t="str">
        <x:f>IF(DC160="","",IF(DM160="","",DM160-DL160*365/DO160))</x:f>
      </x:c>
      <x:c r="DO160" s="164"/>
      <x:c r="DP160" s="172" t="str">
        <x:f>IF(DC160="","",IFERROR(DH160*(DG160/DF160-1),0))</x:f>
      </x:c>
      <x:c r="DQ160" s="147"/>
      <x:c r="DR160" s="147"/>
      <x:c r="DS160" s="147"/>
      <x:c r="DT160" s="167"/>
      <x:c r="DU160" s="167"/>
      <x:c r="DV160" s="166"/>
      <x:c r="DW160" s="171" t="str">
        <x:f>IF(DQ160="","",IFERROR(F160*DV160/DT160,0))</x:f>
      </x:c>
      <x:c r="DX160" s="171" t="str">
        <x:f>IF(DQ160="","",F160*ABS(DV160))</x:f>
      </x:c>
      <x:c r="DY160" s="165"/>
      <x:c r="DZ160" s="172" t="str">
        <x:f>IF(DQ160="","",IF(DY160="","",IFERROR(DT160/DY160-1,0)))</x:f>
      </x:c>
      <x:c r="EA160" s="166"/>
      <x:c r="EB160" s="172" t="str">
        <x:f>IF(DQ160="","",IF(EA160="","",EA160-DZ160*365/EC160))</x:f>
      </x:c>
      <x:c r="EC160" s="164"/>
      <x:c r="ED160" s="172" t="str">
        <x:f>IF(DQ160="","",IFERROR(DV160*(DU160/DT160-1),0))</x:f>
      </x:c>
      <x:c r="EE160" s="147"/>
      <x:c r="EF160" s="147"/>
      <x:c r="EG160" s="147"/>
      <x:c r="EH160" s="167"/>
      <x:c r="EI160" s="167"/>
      <x:c r="EJ160" s="166"/>
      <x:c r="EK160" s="171" t="str">
        <x:f>IF(EE160="","",IFERROR(F160*EJ160/EH160,0))</x:f>
      </x:c>
      <x:c r="EL160" s="171" t="str">
        <x:f>IF(EE160="","",F160*ABS(EJ160))</x:f>
      </x:c>
      <x:c r="EM160" s="165"/>
      <x:c r="EN160" s="172" t="str">
        <x:f>IF(EE160="","",IF(EM160="","",IFERROR(EH160/EM160-1,0)))</x:f>
      </x:c>
      <x:c r="EO160" s="166"/>
      <x:c r="EP160" s="172" t="str">
        <x:f>IF(EE160="","",IF(EO160="","",EO160-EN160*365/EQ160))</x:f>
      </x:c>
      <x:c r="EQ160" s="164"/>
      <x:c r="ER160" s="172" t="str">
        <x:f>IF(EE160="","",IFERROR(EJ160*(EI160/EH160-1),0))</x:f>
      </x:c>
      <x:c r="ES160" s="147"/>
      <x:c r="ET160" s="147"/>
      <x:c r="EU160" s="147"/>
      <x:c r="EV160" s="167"/>
      <x:c r="EW160" s="167"/>
      <x:c r="EX160" s="166"/>
      <x:c r="EY160" s="171" t="str">
        <x:f>IF(ES160="","",IFERROR(F160*EX160/EV160,0))</x:f>
      </x:c>
      <x:c r="EZ160" s="171" t="str">
        <x:f>IF(ES160="","",F160*ABS(EX160))</x:f>
      </x:c>
      <x:c r="FA160" s="165"/>
      <x:c r="FB160" s="172" t="str">
        <x:f>IF(ES160="","",IF(FA160="","",IFERROR(EV160/FA160-1,0)))</x:f>
      </x:c>
      <x:c r="FC160" s="166"/>
      <x:c r="FD160" s="172" t="str">
        <x:f>IF(ES160="","",IF(FC160="","",FC160-FB160*365/FE160))</x:f>
      </x:c>
      <x:c r="FE160" s="164"/>
      <x:c r="FF160" s="172" t="str">
        <x:f>IF(ES160="","",IFERROR(EX160*(EW160/EV160-1),0))</x:f>
      </x:c>
      <x:c r="FG160" s="147"/>
      <x:c r="FH160" s="147"/>
      <x:c r="FI160" s="147"/>
      <x:c r="FJ160" s="167"/>
      <x:c r="FK160" s="167"/>
      <x:c r="FL160" s="166"/>
      <x:c r="FM160" s="171" t="str">
        <x:f>IF(FG160="","",IFERROR(F160*FL160/FJ160,0))</x:f>
      </x:c>
      <x:c r="FN160" s="171" t="str">
        <x:f>IF(FG160="","",F160*ABS(FL160))</x:f>
      </x:c>
      <x:c r="FO160" s="165"/>
      <x:c r="FP160" s="172" t="str">
        <x:f>IF(FG160="","",IF(FO160="","",IFERROR(FJ160/FO160-1,0)))</x:f>
      </x:c>
      <x:c r="FQ160" s="166"/>
      <x:c r="FR160" s="172" t="str">
        <x:f>IF(FG160="","",IF(FQ160="","",FQ160-FP160*365/FS160))</x:f>
      </x:c>
      <x:c r="FS160" s="164"/>
      <x:c r="FT160" s="172" t="str">
        <x:f>IF(FG160="","",IFERROR(FL160*(FK160/FJ160-1),0))</x:f>
      </x:c>
    </x:row>
    <x:row r="161" ht="18" customHeight="1">
      <x:c r="A161" s="163" t="n">
        <x:v>25441</x:v>
      </x:c>
      <x:c r="B161" s="163" t="n">
        <x:v>25442</x:v>
      </x:c>
      <x:c r="C161" s="170" t="n">
        <x:f>B161-A161</x:f>
        <x:v>1</x:v>
      </x:c>
      <x:c r="D161" s="163" t="n">
        <x:v>25441</x:v>
      </x:c>
      <x:c r="E161" s="147" t="str">
        <x:v>positive</x:v>
      </x:c>
      <x:c r="F161" s="165" t="n">
        <x:v>1.565497765166395</x:v>
      </x:c>
      <x:c r="G161" s="168" t="n">
        <x:v>-0.008905777364011195</x:v>
      </x:c>
      <x:c r="H161" s="172" t="n">
        <x:f>SUM(AX161,BL161,BZ161,CN161,DB161,DP161,ED161,ER161,FF161,FT161)</x:f>
        <x:v>-0.008905777364011103</x:v>
      </x:c>
      <x:c r="I161" s="174" t="n">
        <x:f>G161-H161</x:f>
        <x:v>-9.194034422677078e-17</x:v>
      </x:c>
      <x:c r="J161" s="171" t="n">
        <x:f>F161*(1+H161)</x:f>
        <x:v>1.5515557906059663</x:v>
      </x:c>
      <x:c r="K161" s="169" t="n">
        <x:v>1.551555790605966</x:v>
      </x:c>
      <x:c r="L161" s="175" t="n">
        <x:f>K161-J161</x:f>
        <x:v>-2.220446049250313e-16</x:v>
      </x:c>
      <x:c r="M161" s="167" t="n">
        <x:v>1.663</x:v>
      </x:c>
      <x:c r="N161" s="167" t="n">
        <x:v>1.673</x:v>
      </x:c>
      <x:c r="O161" s="172" t="n">
        <x:f>IFERROR(N161/M161-1,0)</x:f>
        <x:v>0.006013229104028905</x:v>
      </x:c>
      <x:c r="P161" s="171" t="n">
        <x:f>IFERROR(AD161/AH161,0)</x:f>
        <x:v>1.843201818518222</x:v>
      </x:c>
      <x:c r="Q161" s="171" t="n">
        <x:f>IFERROR(AE161/AI161,0)</x:f>
        <x:v>1.8158674465071627</x:v>
      </x:c>
      <x:c r="R161" s="172" t="n">
        <x:f>IFERROR((Q161-P161)/(P161+S161),0)</x:f>
        <x:v>-0.014829831294889769</x:v>
      </x:c>
      <x:c r="S161" s="172" t="n">
        <x:f>IFERROR(AF161/AH161,0)</x:f>
        <x:v>0</x:v>
      </x:c>
      <x:c r="T161" s="172" t="n">
        <x:f>IFERROR(AG161/AI161,0)</x:f>
        <x:v>0</x:v>
      </x:c>
      <x:c r="U161" s="172" t="n">
        <x:f>IFERROR((T161-S161)/(P161+S161),0)</x:f>
        <x:v>0</x:v>
      </x:c>
      <x:c r="V161" s="172" t="n">
        <x:f>R161+U161</x:f>
        <x:v>-0.014829831294889769</x:v>
      </x:c>
      <x:c r="W161" s="172" t="n">
        <x:f>(1+O161)*(1+V161)-1</x:f>
        <x:v>-0.008905777364011214</x:v>
      </x:c>
      <x:c r="X161" s="174" t="n">
        <x:f>G161-W161</x:f>
        <x:v>1.9081958235744878e-17</x:v>
      </x:c>
      <x:c r="Y161" s="172" t="str">
        <x:f>AX161</x:f>
      </x:c>
      <x:c r="Z161" s="172" t="n">
        <x:f>BL161</x:f>
        <x:v>0.0001961643835617366</x:v>
      </x:c>
      <x:c r="AA161" s="172" t="n">
        <x:f>SUM(BZ161,CN161,DB161,DP161,ED161,ER161,FF161,FT161)</x:f>
        <x:v>-0.00910194174757284</x:v>
      </x:c>
      <x:c r="AB161" s="172" t="n">
        <x:f>SUM(Y161:AA161)</x:f>
        <x:v>-0.008905777364011103</x:v>
      </x:c>
      <x:c r="AC161" s="174" t="n">
        <x:f>G161-AB161</x:f>
        <x:v>-9.194034422677078e-17</x:v>
      </x:c>
      <x:c r="AD161" s="169" t="n">
        <x:v>1.565497765166396</x:v>
      </x:c>
      <x:c r="AE161" s="169" t="n">
        <x:v>1.551555790605967</x:v>
      </x:c>
      <x:c r="AF161" s="169" t="n">
        <x:v>0</x:v>
      </x:c>
      <x:c r="AG161" s="169" t="n">
        <x:v>0</x:v>
      </x:c>
      <x:c r="AH161" s="171" t="n">
        <x:f>M161/$M$3</x:f>
        <x:v>0.8493360572012257</x:v>
      </x:c>
      <x:c r="AI161" s="171" t="n">
        <x:f>N161/$M$3</x:f>
        <x:v>0.8544433094994893</x:v>
      </x:c>
      <x:c r="AJ161" s="170" t="n">
        <x:f>IF(AK161&lt;&gt;"",1,0)+IF(AY161&lt;&gt;"",1,0)+IF(BM161&lt;&gt;"",1,0)+IF(CA161&lt;&gt;"",1,0)+IF(CO161&lt;&gt;"",1,0)+IF(DC161&lt;&gt;"",1,0)+IF(DQ161&lt;&gt;"",1,0)+IF(EE161&lt;&gt;"",1,0)+IF(ES161&lt;&gt;"",1,0)+IF(FG161&lt;&gt;"",1,0)</x:f>
        <x:v>2</x:v>
      </x:c>
      <x:c r="AK161" s="147"/>
      <x:c r="AL161" s="147"/>
      <x:c r="AM161" s="147"/>
      <x:c r="AN161" s="167"/>
      <x:c r="AO161" s="167"/>
      <x:c r="AP161" s="166"/>
      <x:c r="AQ161" s="171" t="str">
        <x:f>IF(AK161="","",IFERROR(F161*AP161/AN161,0))</x:f>
      </x:c>
      <x:c r="AR161" s="171" t="str">
        <x:f>IF(AK161="","",F161*ABS(AP161))</x:f>
      </x:c>
      <x:c r="AS161" s="165"/>
      <x:c r="AT161" s="172" t="str">
        <x:f>IF(AK161="","",IF(AS161="","",IFERROR(AN161/AS161-1,0)))</x:f>
      </x:c>
      <x:c r="AU161" s="166"/>
      <x:c r="AV161" s="172" t="str">
        <x:f>IF(AK161="","",IF(AU161="","",AU161-AT161*365/AW161))</x:f>
      </x:c>
      <x:c r="AW161" s="164"/>
      <x:c r="AX161" s="173" t="str">
        <x:f>IF(AK161="","",IFERROR(AP161*(AO161/AN161-1),0))</x:f>
      </x:c>
      <x:c r="AY161" s="147" t="str">
        <x:v>Matched-maturity Treasury collateral</x:v>
      </x:c>
      <x:c r="AZ161" s="147" t="str">
        <x:v>Treasury</x:v>
      </x:c>
      <x:c r="BA161" s="147" t="str">
        <x:v>Long</x:v>
      </x:c>
      <x:c r="BB161" s="167" t="n">
        <x:v>104.18325849891616</x:v>
      </x:c>
      <x:c r="BC161" s="167" t="n">
        <x:v>104.20369554359705</x:v>
      </x:c>
      <x:c r="BD161" s="166" t="n">
        <x:v>1</x:v>
      </x:c>
      <x:c r="BE161" s="171" t="n">
        <x:f>IF(AY161="","",IFERROR(F161*BD161/BB161,0))</x:f>
        <x:v>0.015026385119089755</x:v>
      </x:c>
      <x:c r="BF161" s="171" t="n">
        <x:f>IF(AY161="","",F161*ABS(BD161))</x:f>
        <x:v>1.565497765166395</x:v>
      </x:c>
      <x:c r="BG161" s="165"/>
      <x:c r="BH161" s="172" t="str">
        <x:f>IF(AY161="","",IF(BG161="","",IFERROR(BB161/BG161-1,0)))</x:f>
      </x:c>
      <x:c r="BI161" s="166"/>
      <x:c r="BJ161" s="172" t="str">
        <x:f>IF(AY161="","",IF(BI161="","",BI161-BH161*365/BK161))</x:f>
      </x:c>
      <x:c r="BK161" s="164" t="n">
        <x:v>31</x:v>
      </x:c>
      <x:c r="BL161" s="172" t="n">
        <x:f>IF(AY161="","",IFERROR(BD161*(BC161/BB161-1),0))</x:f>
        <x:v>0.0001961643835617366</x:v>
      </x:c>
      <x:c r="BM161" s="147" t="str">
        <x:v>SI69U</x:v>
      </x:c>
      <x:c r="BN161" s="147" t="str">
        <x:v>Silver future (regular)</x:v>
      </x:c>
      <x:c r="BO161" s="147" t="str">
        <x:v>Long</x:v>
      </x:c>
      <x:c r="BP161" s="167" t="n">
        <x:v>1.6480000000000001</x:v>
      </x:c>
      <x:c r="BQ161" s="167" t="n">
        <x:v>1.633</x:v>
      </x:c>
      <x:c r="BR161" s="166" t="n">
        <x:v>1</x:v>
      </x:c>
      <x:c r="BS161" s="171" t="n">
        <x:f>IF(BM161="","",IFERROR(F161*BR161/BP161,0))</x:f>
        <x:v>0.9499379642999969</x:v>
      </x:c>
      <x:c r="BT161" s="171" t="n">
        <x:f>IF(BM161="","",F161*ABS(BR161))</x:f>
        <x:v>1.565497765166395</x:v>
      </x:c>
      <x:c r="BU161" s="165" t="n">
        <x:v>1.663</x:v>
      </x:c>
      <x:c r="BV161" s="172" t="n">
        <x:f>IF(BM161="","",IF(BU161="","",IFERROR(BP161/BU161-1,0)))</x:f>
        <x:v>-0.009019843656043247</x:v>
      </x:c>
      <x:c r="BW161" s="166" t="n">
        <x:v>0.0716</x:v>
      </x:c>
      <x:c r="BX161" s="172" t="n">
        <x:f>IF(BM161="","",IF(BW161="","",BW161-BV161*365/BY161))</x:f>
        <x:v>0.1778013849824447</x:v>
      </x:c>
      <x:c r="BY161" s="164" t="n">
        <x:v>31</x:v>
      </x:c>
      <x:c r="BZ161" s="172" t="n">
        <x:f>IF(BM161="","",IFERROR(BR161*(BQ161/BP161-1),0))</x:f>
        <x:v>-0.00910194174757284</x:v>
      </x:c>
      <x:c r="CA161" s="147"/>
      <x:c r="CB161" s="147"/>
      <x:c r="CC161" s="147"/>
      <x:c r="CD161" s="167"/>
      <x:c r="CE161" s="167"/>
      <x:c r="CF161" s="166"/>
      <x:c r="CG161" s="171" t="str">
        <x:f>IF(CA161="","",IFERROR(F161*CF161/CD161,0))</x:f>
      </x:c>
      <x:c r="CH161" s="171" t="str">
        <x:f>IF(CA161="","",F161*ABS(CF161))</x:f>
      </x:c>
      <x:c r="CI161" s="165"/>
      <x:c r="CJ161" s="172" t="str">
        <x:f>IF(CA161="","",IF(CI161="","",IFERROR(CD161/CI161-1,0)))</x:f>
      </x:c>
      <x:c r="CK161" s="166"/>
      <x:c r="CL161" s="172" t="str">
        <x:f>IF(CA161="","",IF(CK161="","",CK161-CJ161*365/CM161))</x:f>
      </x:c>
      <x:c r="CM161" s="164"/>
      <x:c r="CN161" s="172" t="str">
        <x:f>IF(CA161="","",IFERROR(CF161*(CE161/CD161-1),0))</x:f>
      </x:c>
      <x:c r="CO161" s="147"/>
      <x:c r="CP161" s="147"/>
      <x:c r="CQ161" s="147"/>
      <x:c r="CR161" s="167"/>
      <x:c r="CS161" s="167"/>
      <x:c r="CT161" s="166"/>
      <x:c r="CU161" s="171" t="str">
        <x:f>IF(CO161="","",IFERROR(F161*CT161/CR161,0))</x:f>
      </x:c>
      <x:c r="CV161" s="171" t="str">
        <x:f>IF(CO161="","",F161*ABS(CT161))</x:f>
      </x:c>
      <x:c r="CW161" s="165"/>
      <x:c r="CX161" s="172" t="str">
        <x:f>IF(CO161="","",IF(CW161="","",IFERROR(CR161/CW161-1,0)))</x:f>
      </x:c>
      <x:c r="CY161" s="166"/>
      <x:c r="CZ161" s="172" t="str">
        <x:f>IF(CO161="","",IF(CY161="","",CY161-CX161*365/DA161))</x:f>
      </x:c>
      <x:c r="DA161" s="164"/>
      <x:c r="DB161" s="172" t="str">
        <x:f>IF(CO161="","",IFERROR(CT161*(CS161/CR161-1),0))</x:f>
      </x:c>
      <x:c r="DC161" s="147"/>
      <x:c r="DD161" s="147"/>
      <x:c r="DE161" s="147"/>
      <x:c r="DF161" s="167"/>
      <x:c r="DG161" s="167"/>
      <x:c r="DH161" s="166"/>
      <x:c r="DI161" s="171" t="str">
        <x:f>IF(DC161="","",IFERROR(F161*DH161/DF161,0))</x:f>
      </x:c>
      <x:c r="DJ161" s="171" t="str">
        <x:f>IF(DC161="","",F161*ABS(DH161))</x:f>
      </x:c>
      <x:c r="DK161" s="165"/>
      <x:c r="DL161" s="172" t="str">
        <x:f>IF(DC161="","",IF(DK161="","",IFERROR(DF161/DK161-1,0)))</x:f>
      </x:c>
      <x:c r="DM161" s="166"/>
      <x:c r="DN161" s="172" t="str">
        <x:f>IF(DC161="","",IF(DM161="","",DM161-DL161*365/DO161))</x:f>
      </x:c>
      <x:c r="DO161" s="164"/>
      <x:c r="DP161" s="172" t="str">
        <x:f>IF(DC161="","",IFERROR(DH161*(DG161/DF161-1),0))</x:f>
      </x:c>
      <x:c r="DQ161" s="147"/>
      <x:c r="DR161" s="147"/>
      <x:c r="DS161" s="147"/>
      <x:c r="DT161" s="167"/>
      <x:c r="DU161" s="167"/>
      <x:c r="DV161" s="166"/>
      <x:c r="DW161" s="171" t="str">
        <x:f>IF(DQ161="","",IFERROR(F161*DV161/DT161,0))</x:f>
      </x:c>
      <x:c r="DX161" s="171" t="str">
        <x:f>IF(DQ161="","",F161*ABS(DV161))</x:f>
      </x:c>
      <x:c r="DY161" s="165"/>
      <x:c r="DZ161" s="172" t="str">
        <x:f>IF(DQ161="","",IF(DY161="","",IFERROR(DT161/DY161-1,0)))</x:f>
      </x:c>
      <x:c r="EA161" s="166"/>
      <x:c r="EB161" s="172" t="str">
        <x:f>IF(DQ161="","",IF(EA161="","",EA161-DZ161*365/EC161))</x:f>
      </x:c>
      <x:c r="EC161" s="164"/>
      <x:c r="ED161" s="172" t="str">
        <x:f>IF(DQ161="","",IFERROR(DV161*(DU161/DT161-1),0))</x:f>
      </x:c>
      <x:c r="EE161" s="147"/>
      <x:c r="EF161" s="147"/>
      <x:c r="EG161" s="147"/>
      <x:c r="EH161" s="167"/>
      <x:c r="EI161" s="167"/>
      <x:c r="EJ161" s="166"/>
      <x:c r="EK161" s="171" t="str">
        <x:f>IF(EE161="","",IFERROR(F161*EJ161/EH161,0))</x:f>
      </x:c>
      <x:c r="EL161" s="171" t="str">
        <x:f>IF(EE161="","",F161*ABS(EJ161))</x:f>
      </x:c>
      <x:c r="EM161" s="165"/>
      <x:c r="EN161" s="172" t="str">
        <x:f>IF(EE161="","",IF(EM161="","",IFERROR(EH161/EM161-1,0)))</x:f>
      </x:c>
      <x:c r="EO161" s="166"/>
      <x:c r="EP161" s="172" t="str">
        <x:f>IF(EE161="","",IF(EO161="","",EO161-EN161*365/EQ161))</x:f>
      </x:c>
      <x:c r="EQ161" s="164"/>
      <x:c r="ER161" s="172" t="str">
        <x:f>IF(EE161="","",IFERROR(EJ161*(EI161/EH161-1),0))</x:f>
      </x:c>
      <x:c r="ES161" s="147"/>
      <x:c r="ET161" s="147"/>
      <x:c r="EU161" s="147"/>
      <x:c r="EV161" s="167"/>
      <x:c r="EW161" s="167"/>
      <x:c r="EX161" s="166"/>
      <x:c r="EY161" s="171" t="str">
        <x:f>IF(ES161="","",IFERROR(F161*EX161/EV161,0))</x:f>
      </x:c>
      <x:c r="EZ161" s="171" t="str">
        <x:f>IF(ES161="","",F161*ABS(EX161))</x:f>
      </x:c>
      <x:c r="FA161" s="165"/>
      <x:c r="FB161" s="172" t="str">
        <x:f>IF(ES161="","",IF(FA161="","",IFERROR(EV161/FA161-1,0)))</x:f>
      </x:c>
      <x:c r="FC161" s="166"/>
      <x:c r="FD161" s="172" t="str">
        <x:f>IF(ES161="","",IF(FC161="","",FC161-FB161*365/FE161))</x:f>
      </x:c>
      <x:c r="FE161" s="164"/>
      <x:c r="FF161" s="172" t="str">
        <x:f>IF(ES161="","",IFERROR(EX161*(EW161/EV161-1),0))</x:f>
      </x:c>
      <x:c r="FG161" s="147"/>
      <x:c r="FH161" s="147"/>
      <x:c r="FI161" s="147"/>
      <x:c r="FJ161" s="167"/>
      <x:c r="FK161" s="167"/>
      <x:c r="FL161" s="166"/>
      <x:c r="FM161" s="171" t="str">
        <x:f>IF(FG161="","",IFERROR(F161*FL161/FJ161,0))</x:f>
      </x:c>
      <x:c r="FN161" s="171" t="str">
        <x:f>IF(FG161="","",F161*ABS(FL161))</x:f>
      </x:c>
      <x:c r="FO161" s="165"/>
      <x:c r="FP161" s="172" t="str">
        <x:f>IF(FG161="","",IF(FO161="","",IFERROR(FJ161/FO161-1,0)))</x:f>
      </x:c>
      <x:c r="FQ161" s="166"/>
      <x:c r="FR161" s="172" t="str">
        <x:f>IF(FG161="","",IF(FQ161="","",FQ161-FP161*365/FS161))</x:f>
      </x:c>
      <x:c r="FS161" s="164"/>
      <x:c r="FT161" s="172" t="str">
        <x:f>IF(FG161="","",IFERROR(FL161*(FK161/FJ161-1),0))</x:f>
      </x:c>
    </x:row>
    <x:row r="162" ht="18" customHeight="1">
      <x:c r="A162" s="163" t="n">
        <x:v>25442</x:v>
      </x:c>
      <x:c r="B162" s="163" t="n">
        <x:v>25443</x:v>
      </x:c>
      <x:c r="C162" s="170" t="n">
        <x:f>B162-A162</x:f>
        <x:v>1</x:v>
      </x:c>
      <x:c r="D162" s="163" t="n">
        <x:v>25442</x:v>
      </x:c>
      <x:c r="E162" s="147" t="str">
        <x:v>positive</x:v>
      </x:c>
      <x:c r="F162" s="165" t="n">
        <x:v>1.551555790605966</x:v>
      </x:c>
      <x:c r="G162" s="168" t="n">
        <x:v>0.008156698739189</x:v>
      </x:c>
      <x:c r="H162" s="172" t="n">
        <x:f>SUM(AX162,BL162,BZ162,CN162,DB162,DP162,ED162,ER162,FF162,FT162)</x:f>
        <x:v>0.008156698739189006</x:v>
      </x:c>
      <x:c r="I162" s="174" t="n">
        <x:f>G162-H162</x:f>
        <x:v>-5.204170427930421e-18</x:v>
      </x:c>
      <x:c r="J162" s="171" t="n">
        <x:f>F162*(1+H162)</x:f>
        <x:v>1.5642113637669832</x:v>
      </x:c>
      <x:c r="K162" s="169" t="n">
        <x:v>1.5642113637669832</x:v>
      </x:c>
      <x:c r="L162" s="175" t="n">
        <x:f>K162-J162</x:f>
        <x:v>0</x:v>
      </x:c>
      <x:c r="M162" s="167" t="n">
        <x:v>1.673</x:v>
      </x:c>
      <x:c r="N162" s="167" t="n">
        <x:v>1.664</x:v>
      </x:c>
      <x:c r="O162" s="172" t="n">
        <x:f>IFERROR(N162/M162-1,0)</x:f>
        <x:v>-0.005379557680812996</x:v>
      </x:c>
      <x:c r="P162" s="171" t="n">
        <x:f>IFERROR(AD162/AH162,0)</x:f>
        <x:v>1.8158674465071627</x:v>
      </x:c>
      <x:c r="Q162" s="171" t="n">
        <x:f>IFERROR(AE162/AI162,0)</x:f>
        <x:v>1.840580438855622</x:v>
      </x:c>
      <x:c r="R162" s="172" t="n">
        <x:f>IFERROR((Q162-P162)/(P162+S162),0)</x:f>
        <x:v>0.013609469345350572</x:v>
      </x:c>
      <x:c r="S162" s="172" t="n">
        <x:f>IFERROR(AF162/AH162,0)</x:f>
        <x:v>0</x:v>
      </x:c>
      <x:c r="T162" s="172" t="n">
        <x:f>IFERROR(AG162/AI162,0)</x:f>
        <x:v>0</x:v>
      </x:c>
      <x:c r="U162" s="172" t="n">
        <x:f>IFERROR((T162-S162)/(P162+S162),0)</x:f>
        <x:v>0</x:v>
      </x:c>
      <x:c r="V162" s="172" t="n">
        <x:f>R162+U162</x:f>
        <x:v>0.013609469345350572</x:v>
      </x:c>
      <x:c r="W162" s="172" t="n">
        <x:f>(1+O162)*(1+V162)-1</x:f>
        <x:v>0.008156698739189006</x:v>
      </x:c>
      <x:c r="X162" s="174" t="n">
        <x:f>G162-W162</x:f>
        <x:v>-5.204170427930421e-18</x:v>
      </x:c>
      <x:c r="Y162" s="172" t="str">
        <x:f>AX162</x:f>
      </x:c>
      <x:c r="Z162" s="172" t="n">
        <x:f>BL162</x:f>
        <x:v>0.0001958904109589099</x:v>
      </x:c>
      <x:c r="AA162" s="172" t="n">
        <x:f>SUM(BZ162,CN162,DB162,DP162,ED162,ER162,FF162,FT162)</x:f>
        <x:v>0.007960808328230096</x:v>
      </x:c>
      <x:c r="AB162" s="172" t="n">
        <x:f>SUM(Y162:AA162)</x:f>
        <x:v>0.008156698739189006</x:v>
      </x:c>
      <x:c r="AC162" s="174" t="n">
        <x:f>G162-AB162</x:f>
        <x:v>-5.204170427930421e-18</x:v>
      </x:c>
      <x:c r="AD162" s="169" t="n">
        <x:v>1.551555790605967</x:v>
      </x:c>
      <x:c r="AE162" s="169" t="n">
        <x:v>1.564211363766984</x:v>
      </x:c>
      <x:c r="AF162" s="169" t="n">
        <x:v>0</x:v>
      </x:c>
      <x:c r="AG162" s="169" t="n">
        <x:v>0</x:v>
      </x:c>
      <x:c r="AH162" s="171" t="n">
        <x:f>M162/$M$3</x:f>
        <x:v>0.8544433094994893</x:v>
      </x:c>
      <x:c r="AI162" s="171" t="n">
        <x:f>N162/$M$3</x:f>
        <x:v>0.849846782431052</x:v>
      </x:c>
      <x:c r="AJ162" s="170" t="n">
        <x:f>IF(AK162&lt;&gt;"",1,0)+IF(AY162&lt;&gt;"",1,0)+IF(BM162&lt;&gt;"",1,0)+IF(CA162&lt;&gt;"",1,0)+IF(CO162&lt;&gt;"",1,0)+IF(DC162&lt;&gt;"",1,0)+IF(DQ162&lt;&gt;"",1,0)+IF(EE162&lt;&gt;"",1,0)+IF(ES162&lt;&gt;"",1,0)+IF(FG162&lt;&gt;"",1,0)</x:f>
        <x:v>2</x:v>
      </x:c>
      <x:c r="AK162" s="147"/>
      <x:c r="AL162" s="147"/>
      <x:c r="AM162" s="147"/>
      <x:c r="AN162" s="167"/>
      <x:c r="AO162" s="167"/>
      <x:c r="AP162" s="166"/>
      <x:c r="AQ162" s="171" t="str">
        <x:f>IF(AK162="","",IFERROR(F162*AP162/AN162,0))</x:f>
      </x:c>
      <x:c r="AR162" s="171" t="str">
        <x:f>IF(AK162="","",F162*ABS(AP162))</x:f>
      </x:c>
      <x:c r="AS162" s="165"/>
      <x:c r="AT162" s="172" t="str">
        <x:f>IF(AK162="","",IF(AS162="","",IFERROR(AN162/AS162-1,0)))</x:f>
      </x:c>
      <x:c r="AU162" s="166"/>
      <x:c r="AV162" s="172" t="str">
        <x:f>IF(AK162="","",IF(AU162="","",AU162-AT162*365/AW162))</x:f>
      </x:c>
      <x:c r="AW162" s="164"/>
      <x:c r="AX162" s="173" t="str">
        <x:f>IF(AK162="","",IFERROR(AP162*(AO162/AN162-1),0))</x:f>
      </x:c>
      <x:c r="AY162" s="147" t="str">
        <x:v>Matched-maturity Treasury collateral</x:v>
      </x:c>
      <x:c r="AZ162" s="147" t="str">
        <x:v>Treasury</x:v>
      </x:c>
      <x:c r="BA162" s="147" t="str">
        <x:v>Long</x:v>
      </x:c>
      <x:c r="BB162" s="167" t="n">
        <x:v>104.20369554359705</x:v>
      </x:c>
      <x:c r="BC162" s="167" t="n">
        <x:v>104.22410804834053</x:v>
      </x:c>
      <x:c r="BD162" s="166" t="n">
        <x:v>1</x:v>
      </x:c>
      <x:c r="BE162" s="171" t="n">
        <x:f>IF(AY162="","",IFERROR(F162*BD162/BB162,0))</x:f>
        <x:v>0.01488964266105919</x:v>
      </x:c>
      <x:c r="BF162" s="171" t="n">
        <x:f>IF(AY162="","",F162*ABS(BD162))</x:f>
        <x:v>1.551555790605966</x:v>
      </x:c>
      <x:c r="BG162" s="165"/>
      <x:c r="BH162" s="172" t="str">
        <x:f>IF(AY162="","",IF(BG162="","",IFERROR(BB162/BG162-1,0)))</x:f>
      </x:c>
      <x:c r="BI162" s="166"/>
      <x:c r="BJ162" s="172" t="str">
        <x:f>IF(AY162="","",IF(BI162="","",BI162-BH162*365/BK162))</x:f>
      </x:c>
      <x:c r="BK162" s="164" t="n">
        <x:v>30</x:v>
      </x:c>
      <x:c r="BL162" s="172" t="n">
        <x:f>IF(AY162="","",IFERROR(BD162*(BC162/BB162-1),0))</x:f>
        <x:v>0.0001958904109589099</x:v>
      </x:c>
      <x:c r="BM162" s="147" t="str">
        <x:v>SI69U</x:v>
      </x:c>
      <x:c r="BN162" s="147" t="str">
        <x:v>Silver future (regular)</x:v>
      </x:c>
      <x:c r="BO162" s="147" t="str">
        <x:v>Long</x:v>
      </x:c>
      <x:c r="BP162" s="167" t="n">
        <x:v>1.633</x:v>
      </x:c>
      <x:c r="BQ162" s="167" t="n">
        <x:v>1.646</x:v>
      </x:c>
      <x:c r="BR162" s="166" t="n">
        <x:v>1</x:v>
      </x:c>
      <x:c r="BS162" s="171" t="n">
        <x:f>IF(BM162="","",IFERROR(F162*BR162/BP162,0))</x:f>
        <x:v>0.9501260199669113</x:v>
      </x:c>
      <x:c r="BT162" s="171" t="n">
        <x:f>IF(BM162="","",F162*ABS(BR162))</x:f>
        <x:v>1.551555790605966</x:v>
      </x:c>
      <x:c r="BU162" s="165" t="n">
        <x:v>1.673</x:v>
      </x:c>
      <x:c r="BV162" s="172" t="n">
        <x:f>IF(BM162="","",IF(BU162="","",IFERROR(BP162/BU162-1,0)))</x:f>
        <x:v>-0.02390914524805743</x:v>
      </x:c>
      <x:c r="BW162" s="166" t="n">
        <x:v>0.0715</x:v>
      </x:c>
      <x:c r="BX162" s="172" t="n">
        <x:f>IF(BM162="","",IF(BW162="","",BW162-BV162*365/BY162))</x:f>
        <x:v>0.3623946005180321</x:v>
      </x:c>
      <x:c r="BY162" s="164" t="n">
        <x:v>30</x:v>
      </x:c>
      <x:c r="BZ162" s="172" t="n">
        <x:f>IF(BM162="","",IFERROR(BR162*(BQ162/BP162-1),0))</x:f>
        <x:v>0.007960808328230096</x:v>
      </x:c>
      <x:c r="CA162" s="147"/>
      <x:c r="CB162" s="147"/>
      <x:c r="CC162" s="147"/>
      <x:c r="CD162" s="167"/>
      <x:c r="CE162" s="167"/>
      <x:c r="CF162" s="166"/>
      <x:c r="CG162" s="171" t="str">
        <x:f>IF(CA162="","",IFERROR(F162*CF162/CD162,0))</x:f>
      </x:c>
      <x:c r="CH162" s="171" t="str">
        <x:f>IF(CA162="","",F162*ABS(CF162))</x:f>
      </x:c>
      <x:c r="CI162" s="165"/>
      <x:c r="CJ162" s="172" t="str">
        <x:f>IF(CA162="","",IF(CI162="","",IFERROR(CD162/CI162-1,0)))</x:f>
      </x:c>
      <x:c r="CK162" s="166"/>
      <x:c r="CL162" s="172" t="str">
        <x:f>IF(CA162="","",IF(CK162="","",CK162-CJ162*365/CM162))</x:f>
      </x:c>
      <x:c r="CM162" s="164"/>
      <x:c r="CN162" s="172" t="str">
        <x:f>IF(CA162="","",IFERROR(CF162*(CE162/CD162-1),0))</x:f>
      </x:c>
      <x:c r="CO162" s="147"/>
      <x:c r="CP162" s="147"/>
      <x:c r="CQ162" s="147"/>
      <x:c r="CR162" s="167"/>
      <x:c r="CS162" s="167"/>
      <x:c r="CT162" s="166"/>
      <x:c r="CU162" s="171" t="str">
        <x:f>IF(CO162="","",IFERROR(F162*CT162/CR162,0))</x:f>
      </x:c>
      <x:c r="CV162" s="171" t="str">
        <x:f>IF(CO162="","",F162*ABS(CT162))</x:f>
      </x:c>
      <x:c r="CW162" s="165"/>
      <x:c r="CX162" s="172" t="str">
        <x:f>IF(CO162="","",IF(CW162="","",IFERROR(CR162/CW162-1,0)))</x:f>
      </x:c>
      <x:c r="CY162" s="166"/>
      <x:c r="CZ162" s="172" t="str">
        <x:f>IF(CO162="","",IF(CY162="","",CY162-CX162*365/DA162))</x:f>
      </x:c>
      <x:c r="DA162" s="164"/>
      <x:c r="DB162" s="172" t="str">
        <x:f>IF(CO162="","",IFERROR(CT162*(CS162/CR162-1),0))</x:f>
      </x:c>
      <x:c r="DC162" s="147"/>
      <x:c r="DD162" s="147"/>
      <x:c r="DE162" s="147"/>
      <x:c r="DF162" s="167"/>
      <x:c r="DG162" s="167"/>
      <x:c r="DH162" s="166"/>
      <x:c r="DI162" s="171" t="str">
        <x:f>IF(DC162="","",IFERROR(F162*DH162/DF162,0))</x:f>
      </x:c>
      <x:c r="DJ162" s="171" t="str">
        <x:f>IF(DC162="","",F162*ABS(DH162))</x:f>
      </x:c>
      <x:c r="DK162" s="165"/>
      <x:c r="DL162" s="172" t="str">
        <x:f>IF(DC162="","",IF(DK162="","",IFERROR(DF162/DK162-1,0)))</x:f>
      </x:c>
      <x:c r="DM162" s="166"/>
      <x:c r="DN162" s="172" t="str">
        <x:f>IF(DC162="","",IF(DM162="","",DM162-DL162*365/DO162))</x:f>
      </x:c>
      <x:c r="DO162" s="164"/>
      <x:c r="DP162" s="172" t="str">
        <x:f>IF(DC162="","",IFERROR(DH162*(DG162/DF162-1),0))</x:f>
      </x:c>
      <x:c r="DQ162" s="147"/>
      <x:c r="DR162" s="147"/>
      <x:c r="DS162" s="147"/>
      <x:c r="DT162" s="167"/>
      <x:c r="DU162" s="167"/>
      <x:c r="DV162" s="166"/>
      <x:c r="DW162" s="171" t="str">
        <x:f>IF(DQ162="","",IFERROR(F162*DV162/DT162,0))</x:f>
      </x:c>
      <x:c r="DX162" s="171" t="str">
        <x:f>IF(DQ162="","",F162*ABS(DV162))</x:f>
      </x:c>
      <x:c r="DY162" s="165"/>
      <x:c r="DZ162" s="172" t="str">
        <x:f>IF(DQ162="","",IF(DY162="","",IFERROR(DT162/DY162-1,0)))</x:f>
      </x:c>
      <x:c r="EA162" s="166"/>
      <x:c r="EB162" s="172" t="str">
        <x:f>IF(DQ162="","",IF(EA162="","",EA162-DZ162*365/EC162))</x:f>
      </x:c>
      <x:c r="EC162" s="164"/>
      <x:c r="ED162" s="172" t="str">
        <x:f>IF(DQ162="","",IFERROR(DV162*(DU162/DT162-1),0))</x:f>
      </x:c>
      <x:c r="EE162" s="147"/>
      <x:c r="EF162" s="147"/>
      <x:c r="EG162" s="147"/>
      <x:c r="EH162" s="167"/>
      <x:c r="EI162" s="167"/>
      <x:c r="EJ162" s="166"/>
      <x:c r="EK162" s="171" t="str">
        <x:f>IF(EE162="","",IFERROR(F162*EJ162/EH162,0))</x:f>
      </x:c>
      <x:c r="EL162" s="171" t="str">
        <x:f>IF(EE162="","",F162*ABS(EJ162))</x:f>
      </x:c>
      <x:c r="EM162" s="165"/>
      <x:c r="EN162" s="172" t="str">
        <x:f>IF(EE162="","",IF(EM162="","",IFERROR(EH162/EM162-1,0)))</x:f>
      </x:c>
      <x:c r="EO162" s="166"/>
      <x:c r="EP162" s="172" t="str">
        <x:f>IF(EE162="","",IF(EO162="","",EO162-EN162*365/EQ162))</x:f>
      </x:c>
      <x:c r="EQ162" s="164"/>
      <x:c r="ER162" s="172" t="str">
        <x:f>IF(EE162="","",IFERROR(EJ162*(EI162/EH162-1),0))</x:f>
      </x:c>
      <x:c r="ES162" s="147"/>
      <x:c r="ET162" s="147"/>
      <x:c r="EU162" s="147"/>
      <x:c r="EV162" s="167"/>
      <x:c r="EW162" s="167"/>
      <x:c r="EX162" s="166"/>
      <x:c r="EY162" s="171" t="str">
        <x:f>IF(ES162="","",IFERROR(F162*EX162/EV162,0))</x:f>
      </x:c>
      <x:c r="EZ162" s="171" t="str">
        <x:f>IF(ES162="","",F162*ABS(EX162))</x:f>
      </x:c>
      <x:c r="FA162" s="165"/>
      <x:c r="FB162" s="172" t="str">
        <x:f>IF(ES162="","",IF(FA162="","",IFERROR(EV162/FA162-1,0)))</x:f>
      </x:c>
      <x:c r="FC162" s="166"/>
      <x:c r="FD162" s="172" t="str">
        <x:f>IF(ES162="","",IF(FC162="","",FC162-FB162*365/FE162))</x:f>
      </x:c>
      <x:c r="FE162" s="164"/>
      <x:c r="FF162" s="172" t="str">
        <x:f>IF(ES162="","",IFERROR(EX162*(EW162/EV162-1),0))</x:f>
      </x:c>
      <x:c r="FG162" s="147"/>
      <x:c r="FH162" s="147"/>
      <x:c r="FI162" s="147"/>
      <x:c r="FJ162" s="167"/>
      <x:c r="FK162" s="167"/>
      <x:c r="FL162" s="166"/>
      <x:c r="FM162" s="171" t="str">
        <x:f>IF(FG162="","",IFERROR(F162*FL162/FJ162,0))</x:f>
      </x:c>
      <x:c r="FN162" s="171" t="str">
        <x:f>IF(FG162="","",F162*ABS(FL162))</x:f>
      </x:c>
      <x:c r="FO162" s="165"/>
      <x:c r="FP162" s="172" t="str">
        <x:f>IF(FG162="","",IF(FO162="","",IFERROR(FJ162/FO162-1,0)))</x:f>
      </x:c>
      <x:c r="FQ162" s="166"/>
      <x:c r="FR162" s="172" t="str">
        <x:f>IF(FG162="","",IF(FQ162="","",FQ162-FP162*365/FS162))</x:f>
      </x:c>
      <x:c r="FS162" s="164"/>
      <x:c r="FT162" s="172" t="str">
        <x:f>IF(FG162="","",IFERROR(FL162*(FK162/FJ162-1),0))</x:f>
      </x:c>
    </x:row>
    <x:row r="163" ht="18" customHeight="1">
      <x:c r="A163" s="163" t="n">
        <x:v>25443</x:v>
      </x:c>
      <x:c r="B163" s="163" t="n">
        <x:v>25444</x:v>
      </x:c>
      <x:c r="C163" s="170" t="n">
        <x:f>B163-A163</x:f>
        <x:v>1</x:v>
      </x:c>
      <x:c r="D163" s="163" t="n">
        <x:v>25443</x:v>
      </x:c>
      <x:c r="E163" s="147" t="str">
        <x:v>positive</x:v>
      </x:c>
      <x:c r="F163" s="165" t="n">
        <x:v>1.5642113637669832</x:v>
      </x:c>
      <x:c r="G163" s="168" t="n">
        <x:v>0.008699714376071492</x:v>
      </x:c>
      <x:c r="H163" s="172" t="n">
        <x:f>SUM(AX163,BL163,BZ163,CN163,DB163,DP163,ED163,ER163,FF163,FT163)</x:f>
        <x:v>0.008699714376071421</x:v>
      </x:c>
      <x:c r="I163" s="174" t="n">
        <x:f>G163-H163</x:f>
        <x:v>7.112366251504909e-17</x:v>
      </x:c>
      <x:c r="J163" s="171" t="n">
        <x:f>F163*(1+H163)</x:f>
        <x:v>1.5778195558555612</x:v>
      </x:c>
      <x:c r="K163" s="169" t="n">
        <x:v>1.5778195558555612</x:v>
      </x:c>
      <x:c r="L163" s="175" t="n">
        <x:f>K163-J163</x:f>
        <x:v>0</x:v>
      </x:c>
      <x:c r="M163" s="167" t="n">
        <x:v>1.664</x:v>
      </x:c>
      <x:c r="N163" s="167" t="n">
        <x:v>1.674</x:v>
      </x:c>
      <x:c r="O163" s="172" t="n">
        <x:f>IFERROR(N163/M163-1,0)</x:f>
        <x:v>0.006009615384615419</x:v>
      </x:c>
      <x:c r="P163" s="171" t="n">
        <x:f>IFERROR(AD163/AH163,0)</x:f>
        <x:v>1.840580438855622</x:v>
      </x:c>
      <x:c r="Q163" s="171" t="n">
        <x:f>IFERROR(AE163/AI163,0)</x:f>
        <x:v>1.8455022045192297</x:v>
      </x:c>
      <x:c r="R163" s="172" t="n">
        <x:f>IFERROR((Q163-P163)/(P163+S163),0)</x:f>
        <x:v>0.002674029105007713</x:v>
      </x:c>
      <x:c r="S163" s="172" t="n">
        <x:f>IFERROR(AF163/AH163,0)</x:f>
        <x:v>0</x:v>
      </x:c>
      <x:c r="T163" s="172" t="n">
        <x:f>IFERROR(AG163/AI163,0)</x:f>
        <x:v>0</x:v>
      </x:c>
      <x:c r="U163" s="172" t="n">
        <x:f>IFERROR((T163-S163)/(P163+S163),0)</x:f>
        <x:v>0</x:v>
      </x:c>
      <x:c r="V163" s="172" t="n">
        <x:f>R163+U163</x:f>
        <x:v>0.002674029105007713</x:v>
      </x:c>
      <x:c r="W163" s="172" t="n">
        <x:f>(1+O163)*(1+V163)-1</x:f>
        <x:v>0.008699714376071643</x:v>
      </x:c>
      <x:c r="X163" s="174" t="n">
        <x:f>G163-W163</x:f>
        <x:v>-1.5092094240998222e-16</x:v>
      </x:c>
      <x:c r="Y163" s="172" t="str">
        <x:f>AX163</x:f>
      </x:c>
      <x:c r="Z163" s="172" t="n">
        <x:f>BL163</x:f>
        <x:v>0.00019424657534239387</x:v>
      </x:c>
      <x:c r="AA163" s="172" t="n">
        <x:f>SUM(BZ163,CN163,DB163,DP163,ED163,ER163,FF163,FT163)</x:f>
        <x:v>0.008505467800729027</x:v>
      </x:c>
      <x:c r="AB163" s="172" t="n">
        <x:f>SUM(Y163:AA163)</x:f>
        <x:v>0.008699714376071421</x:v>
      </x:c>
      <x:c r="AC163" s="174" t="n">
        <x:f>G163-AB163</x:f>
        <x:v>7.112366251504909e-17</x:v>
      </x:c>
      <x:c r="AD163" s="169" t="n">
        <x:v>1.564211363766984</x:v>
      </x:c>
      <x:c r="AE163" s="169" t="n">
        <x:v>1.577819555855562</x:v>
      </x:c>
      <x:c r="AF163" s="169" t="n">
        <x:v>0</x:v>
      </x:c>
      <x:c r="AG163" s="169" t="n">
        <x:v>0</x:v>
      </x:c>
      <x:c r="AH163" s="171" t="n">
        <x:f>M163/$M$3</x:f>
        <x:v>0.849846782431052</x:v>
      </x:c>
      <x:c r="AI163" s="171" t="n">
        <x:f>N163/$M$3</x:f>
        <x:v>0.8549540347293156</x:v>
      </x:c>
      <x:c r="AJ163" s="170" t="n">
        <x:f>IF(AK163&lt;&gt;"",1,0)+IF(AY163&lt;&gt;"",1,0)+IF(BM163&lt;&gt;"",1,0)+IF(CA163&lt;&gt;"",1,0)+IF(CO163&lt;&gt;"",1,0)+IF(DC163&lt;&gt;"",1,0)+IF(DQ163&lt;&gt;"",1,0)+IF(EE163&lt;&gt;"",1,0)+IF(ES163&lt;&gt;"",1,0)+IF(FG163&lt;&gt;"",1,0)</x:f>
        <x:v>2</x:v>
      </x:c>
      <x:c r="AK163" s="147"/>
      <x:c r="AL163" s="147"/>
      <x:c r="AM163" s="147"/>
      <x:c r="AN163" s="167"/>
      <x:c r="AO163" s="167"/>
      <x:c r="AP163" s="166"/>
      <x:c r="AQ163" s="171" t="str">
        <x:f>IF(AK163="","",IFERROR(F163*AP163/AN163,0))</x:f>
      </x:c>
      <x:c r="AR163" s="171" t="str">
        <x:f>IF(AK163="","",F163*ABS(AP163))</x:f>
      </x:c>
      <x:c r="AS163" s="165"/>
      <x:c r="AT163" s="172" t="str">
        <x:f>IF(AK163="","",IF(AS163="","",IFERROR(AN163/AS163-1,0)))</x:f>
      </x:c>
      <x:c r="AU163" s="166"/>
      <x:c r="AV163" s="172" t="str">
        <x:f>IF(AK163="","",IF(AU163="","",AU163-AT163*365/AW163))</x:f>
      </x:c>
      <x:c r="AW163" s="164"/>
      <x:c r="AX163" s="173" t="str">
        <x:f>IF(AK163="","",IFERROR(AP163*(AO163/AN163-1),0))</x:f>
      </x:c>
      <x:c r="AY163" s="147" t="str">
        <x:v>Matched-maturity Treasury collateral</x:v>
      </x:c>
      <x:c r="AZ163" s="147" t="str">
        <x:v>Treasury</x:v>
      </x:c>
      <x:c r="BA163" s="147" t="str">
        <x:v>Long</x:v>
      </x:c>
      <x:c r="BB163" s="167" t="n">
        <x:v>104.22410804834053</x:v>
      </x:c>
      <x:c r="BC163" s="167" t="n">
        <x:v>104.24435322439703</x:v>
      </x:c>
      <x:c r="BD163" s="166" t="n">
        <x:v>1</x:v>
      </x:c>
      <x:c r="BE163" s="171" t="n">
        <x:f>IF(AY163="","",IFERROR(F163*BD163/BB163,0))</x:f>
        <x:v>0.015008153037313413</x:v>
      </x:c>
      <x:c r="BF163" s="171" t="n">
        <x:f>IF(AY163="","",F163*ABS(BD163))</x:f>
        <x:v>1.5642113637669832</x:v>
      </x:c>
      <x:c r="BG163" s="165"/>
      <x:c r="BH163" s="172" t="str">
        <x:f>IF(AY163="","",IF(BG163="","",IFERROR(BB163/BG163-1,0)))</x:f>
      </x:c>
      <x:c r="BI163" s="166"/>
      <x:c r="BJ163" s="172" t="str">
        <x:f>IF(AY163="","",IF(BI163="","",BI163-BH163*365/BK163))</x:f>
      </x:c>
      <x:c r="BK163" s="164" t="n">
        <x:v>29</x:v>
      </x:c>
      <x:c r="BL163" s="172" t="n">
        <x:f>IF(AY163="","",IFERROR(BD163*(BC163/BB163-1),0))</x:f>
        <x:v>0.00019424657534239387</x:v>
      </x:c>
      <x:c r="BM163" s="147" t="str">
        <x:v>SI69U</x:v>
      </x:c>
      <x:c r="BN163" s="147" t="str">
        <x:v>Silver future (regular)</x:v>
      </x:c>
      <x:c r="BO163" s="147" t="str">
        <x:v>Long</x:v>
      </x:c>
      <x:c r="BP163" s="167" t="n">
        <x:v>1.646</x:v>
      </x:c>
      <x:c r="BQ163" s="167" t="n">
        <x:v>1.66</x:v>
      </x:c>
      <x:c r="BR163" s="166" t="n">
        <x:v>1</x:v>
      </x:c>
      <x:c r="BS163" s="171" t="n">
        <x:f>IF(BM163="","",IFERROR(F163*BR163/BP163,0))</x:f>
        <x:v>0.950310670575324</x:v>
      </x:c>
      <x:c r="BT163" s="171" t="n">
        <x:f>IF(BM163="","",F163*ABS(BR163))</x:f>
        <x:v>1.5642113637669832</x:v>
      </x:c>
      <x:c r="BU163" s="165" t="n">
        <x:v>1.664</x:v>
      </x:c>
      <x:c r="BV163" s="172" t="n">
        <x:f>IF(BM163="","",IF(BU163="","",IFERROR(BP163/BU163-1,0)))</x:f>
        <x:v>-0.01081730769230771</x:v>
      </x:c>
      <x:c r="BW163" s="166" t="n">
        <x:v>0.0709</x:v>
      </x:c>
      <x:c r="BX163" s="172" t="n">
        <x:f>IF(BM163="","",IF(BW163="","",BW163-BV163*365/BY163))</x:f>
        <x:v>0.20704887267904531</x:v>
      </x:c>
      <x:c r="BY163" s="164" t="n">
        <x:v>29</x:v>
      </x:c>
      <x:c r="BZ163" s="172" t="n">
        <x:f>IF(BM163="","",IFERROR(BR163*(BQ163/BP163-1),0))</x:f>
        <x:v>0.008505467800729027</x:v>
      </x:c>
      <x:c r="CA163" s="147"/>
      <x:c r="CB163" s="147"/>
      <x:c r="CC163" s="147"/>
      <x:c r="CD163" s="167"/>
      <x:c r="CE163" s="167"/>
      <x:c r="CF163" s="166"/>
      <x:c r="CG163" s="171" t="str">
        <x:f>IF(CA163="","",IFERROR(F163*CF163/CD163,0))</x:f>
      </x:c>
      <x:c r="CH163" s="171" t="str">
        <x:f>IF(CA163="","",F163*ABS(CF163))</x:f>
      </x:c>
      <x:c r="CI163" s="165"/>
      <x:c r="CJ163" s="172" t="str">
        <x:f>IF(CA163="","",IF(CI163="","",IFERROR(CD163/CI163-1,0)))</x:f>
      </x:c>
      <x:c r="CK163" s="166"/>
      <x:c r="CL163" s="172" t="str">
        <x:f>IF(CA163="","",IF(CK163="","",CK163-CJ163*365/CM163))</x:f>
      </x:c>
      <x:c r="CM163" s="164"/>
      <x:c r="CN163" s="172" t="str">
        <x:f>IF(CA163="","",IFERROR(CF163*(CE163/CD163-1),0))</x:f>
      </x:c>
      <x:c r="CO163" s="147"/>
      <x:c r="CP163" s="147"/>
      <x:c r="CQ163" s="147"/>
      <x:c r="CR163" s="167"/>
      <x:c r="CS163" s="167"/>
      <x:c r="CT163" s="166"/>
      <x:c r="CU163" s="171" t="str">
        <x:f>IF(CO163="","",IFERROR(F163*CT163/CR163,0))</x:f>
      </x:c>
      <x:c r="CV163" s="171" t="str">
        <x:f>IF(CO163="","",F163*ABS(CT163))</x:f>
      </x:c>
      <x:c r="CW163" s="165"/>
      <x:c r="CX163" s="172" t="str">
        <x:f>IF(CO163="","",IF(CW163="","",IFERROR(CR163/CW163-1,0)))</x:f>
      </x:c>
      <x:c r="CY163" s="166"/>
      <x:c r="CZ163" s="172" t="str">
        <x:f>IF(CO163="","",IF(CY163="","",CY163-CX163*365/DA163))</x:f>
      </x:c>
      <x:c r="DA163" s="164"/>
      <x:c r="DB163" s="172" t="str">
        <x:f>IF(CO163="","",IFERROR(CT163*(CS163/CR163-1),0))</x:f>
      </x:c>
      <x:c r="DC163" s="147"/>
      <x:c r="DD163" s="147"/>
      <x:c r="DE163" s="147"/>
      <x:c r="DF163" s="167"/>
      <x:c r="DG163" s="167"/>
      <x:c r="DH163" s="166"/>
      <x:c r="DI163" s="171" t="str">
        <x:f>IF(DC163="","",IFERROR(F163*DH163/DF163,0))</x:f>
      </x:c>
      <x:c r="DJ163" s="171" t="str">
        <x:f>IF(DC163="","",F163*ABS(DH163))</x:f>
      </x:c>
      <x:c r="DK163" s="165"/>
      <x:c r="DL163" s="172" t="str">
        <x:f>IF(DC163="","",IF(DK163="","",IFERROR(DF163/DK163-1,0)))</x:f>
      </x:c>
      <x:c r="DM163" s="166"/>
      <x:c r="DN163" s="172" t="str">
        <x:f>IF(DC163="","",IF(DM163="","",DM163-DL163*365/DO163))</x:f>
      </x:c>
      <x:c r="DO163" s="164"/>
      <x:c r="DP163" s="172" t="str">
        <x:f>IF(DC163="","",IFERROR(DH163*(DG163/DF163-1),0))</x:f>
      </x:c>
      <x:c r="DQ163" s="147"/>
      <x:c r="DR163" s="147"/>
      <x:c r="DS163" s="147"/>
      <x:c r="DT163" s="167"/>
      <x:c r="DU163" s="167"/>
      <x:c r="DV163" s="166"/>
      <x:c r="DW163" s="171" t="str">
        <x:f>IF(DQ163="","",IFERROR(F163*DV163/DT163,0))</x:f>
      </x:c>
      <x:c r="DX163" s="171" t="str">
        <x:f>IF(DQ163="","",F163*ABS(DV163))</x:f>
      </x:c>
      <x:c r="DY163" s="165"/>
      <x:c r="DZ163" s="172" t="str">
        <x:f>IF(DQ163="","",IF(DY163="","",IFERROR(DT163/DY163-1,0)))</x:f>
      </x:c>
      <x:c r="EA163" s="166"/>
      <x:c r="EB163" s="172" t="str">
        <x:f>IF(DQ163="","",IF(EA163="","",EA163-DZ163*365/EC163))</x:f>
      </x:c>
      <x:c r="EC163" s="164"/>
      <x:c r="ED163" s="172" t="str">
        <x:f>IF(DQ163="","",IFERROR(DV163*(DU163/DT163-1),0))</x:f>
      </x:c>
      <x:c r="EE163" s="147"/>
      <x:c r="EF163" s="147"/>
      <x:c r="EG163" s="147"/>
      <x:c r="EH163" s="167"/>
      <x:c r="EI163" s="167"/>
      <x:c r="EJ163" s="166"/>
      <x:c r="EK163" s="171" t="str">
        <x:f>IF(EE163="","",IFERROR(F163*EJ163/EH163,0))</x:f>
      </x:c>
      <x:c r="EL163" s="171" t="str">
        <x:f>IF(EE163="","",F163*ABS(EJ163))</x:f>
      </x:c>
      <x:c r="EM163" s="165"/>
      <x:c r="EN163" s="172" t="str">
        <x:f>IF(EE163="","",IF(EM163="","",IFERROR(EH163/EM163-1,0)))</x:f>
      </x:c>
      <x:c r="EO163" s="166"/>
      <x:c r="EP163" s="172" t="str">
        <x:f>IF(EE163="","",IF(EO163="","",EO163-EN163*365/EQ163))</x:f>
      </x:c>
      <x:c r="EQ163" s="164"/>
      <x:c r="ER163" s="172" t="str">
        <x:f>IF(EE163="","",IFERROR(EJ163*(EI163/EH163-1),0))</x:f>
      </x:c>
      <x:c r="ES163" s="147"/>
      <x:c r="ET163" s="147"/>
      <x:c r="EU163" s="147"/>
      <x:c r="EV163" s="167"/>
      <x:c r="EW163" s="167"/>
      <x:c r="EX163" s="166"/>
      <x:c r="EY163" s="171" t="str">
        <x:f>IF(ES163="","",IFERROR(F163*EX163/EV163,0))</x:f>
      </x:c>
      <x:c r="EZ163" s="171" t="str">
        <x:f>IF(ES163="","",F163*ABS(EX163))</x:f>
      </x:c>
      <x:c r="FA163" s="165"/>
      <x:c r="FB163" s="172" t="str">
        <x:f>IF(ES163="","",IF(FA163="","",IFERROR(EV163/FA163-1,0)))</x:f>
      </x:c>
      <x:c r="FC163" s="166"/>
      <x:c r="FD163" s="172" t="str">
        <x:f>IF(ES163="","",IF(FC163="","",FC163-FB163*365/FE163))</x:f>
      </x:c>
      <x:c r="FE163" s="164"/>
      <x:c r="FF163" s="172" t="str">
        <x:f>IF(ES163="","",IFERROR(EX163*(EW163/EV163-1),0))</x:f>
      </x:c>
      <x:c r="FG163" s="147"/>
      <x:c r="FH163" s="147"/>
      <x:c r="FI163" s="147"/>
      <x:c r="FJ163" s="167"/>
      <x:c r="FK163" s="167"/>
      <x:c r="FL163" s="166"/>
      <x:c r="FM163" s="171" t="str">
        <x:f>IF(FG163="","",IFERROR(F163*FL163/FJ163,0))</x:f>
      </x:c>
      <x:c r="FN163" s="171" t="str">
        <x:f>IF(FG163="","",F163*ABS(FL163))</x:f>
      </x:c>
      <x:c r="FO163" s="165"/>
      <x:c r="FP163" s="172" t="str">
        <x:f>IF(FG163="","",IF(FO163="","",IFERROR(FJ163/FO163-1,0)))</x:f>
      </x:c>
      <x:c r="FQ163" s="166"/>
      <x:c r="FR163" s="172" t="str">
        <x:f>IF(FG163="","",IF(FQ163="","",FQ163-FP163*365/FS163))</x:f>
      </x:c>
      <x:c r="FS163" s="164"/>
      <x:c r="FT163" s="172" t="str">
        <x:f>IF(FG163="","",IFERROR(FL163*(FK163/FJ163-1),0))</x:f>
      </x:c>
    </x:row>
    <x:row r="164" ht="18" customHeight="1">
      <x:c r="A164" s="163" t="n">
        <x:v>25444</x:v>
      </x:c>
      <x:c r="B164" s="163" t="n">
        <x:v>25448</x:v>
      </x:c>
      <x:c r="C164" s="170" t="n">
        <x:f>B164-A164</x:f>
        <x:v>4</x:v>
      </x:c>
      <x:c r="D164" s="163" t="n">
        <x:v>25444</x:v>
      </x:c>
      <x:c r="E164" s="147" t="str">
        <x:v>positive</x:v>
      </x:c>
      <x:c r="F164" s="165" t="n">
        <x:v>1.5778195558555612</x:v>
      </x:c>
      <x:c r="G164" s="168" t="n">
        <x:v>0.011002607691038164</x:v>
      </x:c>
      <x:c r="H164" s="172" t="n">
        <x:f>SUM(AX164,BL164,BZ164,CN164,DB164,DP164,ED164,ER164,FF164,FT164)</x:f>
        <x:v>0.011002607691037891</x:v>
      </x:c>
      <x:c r="I164" s="174" t="n">
        <x:f>G164-H164</x:f>
        <x:v>2.723515857283587e-16</x:v>
      </x:c>
      <x:c r="J164" s="171" t="n">
        <x:f>F164*(1+H164)</x:f>
        <x:v>1.5951796854358875</x:v>
      </x:c>
      <x:c r="K164" s="169" t="n">
        <x:v>1.595179685435888</x:v>
      </x:c>
      <x:c r="L164" s="175" t="n">
        <x:f>K164-J164</x:f>
        <x:v>4.440892098500626e-16</x:v>
      </x:c>
      <x:c r="M164" s="167" t="n">
        <x:v>1.674</x:v>
      </x:c>
      <x:c r="N164" s="167" t="n">
        <x:v>1.688</x:v>
      </x:c>
      <x:c r="O164" s="172" t="n">
        <x:f>IFERROR(N164/M164-1,0)</x:f>
        <x:v>0.008363201911589124</x:v>
      </x:c>
      <x:c r="P164" s="171" t="n">
        <x:f>IFERROR(AD164/AH164,0)</x:f>
        <x:v>1.8455022045192297</x:v>
      </x:c>
      <x:c r="Q164" s="171" t="n">
        <x:f>IFERROR(AE164/AI164,0)</x:f>
        <x:v>1.850332834172672</x:v>
      </x:c>
      <x:c r="R164" s="172" t="n">
        <x:f>IFERROR((Q164-P164)/(P164+S164),0)</x:f>
        <x:v>0.002617514973221388</x:v>
      </x:c>
      <x:c r="S164" s="172" t="n">
        <x:f>IFERROR(AF164/AH164,0)</x:f>
        <x:v>0</x:v>
      </x:c>
      <x:c r="T164" s="172" t="n">
        <x:f>IFERROR(AG164/AI164,0)</x:f>
        <x:v>0</x:v>
      </x:c>
      <x:c r="U164" s="172" t="n">
        <x:f>IFERROR((T164-S164)/(P164+S164),0)</x:f>
        <x:v>0</x:v>
      </x:c>
      <x:c r="V164" s="172" t="n">
        <x:f>R164+U164</x:f>
        <x:v>0.002617514973221388</x:v>
      </x:c>
      <x:c r="W164" s="172" t="n">
        <x:f>(1+O164)*(1+V164)-1</x:f>
        <x:v>0.011002607691038335</x:v>
      </x:c>
      <x:c r="X164" s="174" t="n">
        <x:f>G164-W164</x:f>
        <x:v>-1.717376241217039e-16</x:v>
      </x:c>
      <x:c r="Y164" s="172" t="str">
        <x:f>AX164</x:f>
      </x:c>
      <x:c r="Z164" s="172" t="n">
        <x:f>BL164</x:f>
        <x:v>0.0007616438356161659</x:v>
      </x:c>
      <x:c r="AA164" s="172" t="n">
        <x:f>SUM(BZ164,CN164,DB164,DP164,ED164,ER164,FF164,FT164)</x:f>
        <x:v>0.010240963855421725</x:v>
      </x:c>
      <x:c r="AB164" s="172" t="n">
        <x:f>SUM(Y164:AA164)</x:f>
        <x:v>0.011002607691037891</x:v>
      </x:c>
      <x:c r="AC164" s="174" t="n">
        <x:f>G164-AB164</x:f>
        <x:v>2.723515857283587e-16</x:v>
      </x:c>
      <x:c r="AD164" s="169" t="n">
        <x:v>1.577819555855562</x:v>
      </x:c>
      <x:c r="AE164" s="169" t="n">
        <x:v>1.5951796854358888</x:v>
      </x:c>
      <x:c r="AF164" s="169" t="n">
        <x:v>0</x:v>
      </x:c>
      <x:c r="AG164" s="169" t="n">
        <x:v>0</x:v>
      </x:c>
      <x:c r="AH164" s="171" t="n">
        <x:f>M164/$M$3</x:f>
        <x:v>0.8549540347293156</x:v>
      </x:c>
      <x:c r="AI164" s="171" t="n">
        <x:f>N164/$M$3</x:f>
        <x:v>0.8621041879468846</x:v>
      </x:c>
      <x:c r="AJ164" s="170" t="n">
        <x:f>IF(AK164&lt;&gt;"",1,0)+IF(AY164&lt;&gt;"",1,0)+IF(BM164&lt;&gt;"",1,0)+IF(CA164&lt;&gt;"",1,0)+IF(CO164&lt;&gt;"",1,0)+IF(DC164&lt;&gt;"",1,0)+IF(DQ164&lt;&gt;"",1,0)+IF(EE164&lt;&gt;"",1,0)+IF(ES164&lt;&gt;"",1,0)+IF(FG164&lt;&gt;"",1,0)</x:f>
        <x:v>2</x:v>
      </x:c>
      <x:c r="AK164" s="147"/>
      <x:c r="AL164" s="147"/>
      <x:c r="AM164" s="147"/>
      <x:c r="AN164" s="167"/>
      <x:c r="AO164" s="167"/>
      <x:c r="AP164" s="166"/>
      <x:c r="AQ164" s="171" t="str">
        <x:f>IF(AK164="","",IFERROR(F164*AP164/AN164,0))</x:f>
      </x:c>
      <x:c r="AR164" s="171" t="str">
        <x:f>IF(AK164="","",F164*ABS(AP164))</x:f>
      </x:c>
      <x:c r="AS164" s="165"/>
      <x:c r="AT164" s="172" t="str">
        <x:f>IF(AK164="","",IF(AS164="","",IFERROR(AN164/AS164-1,0)))</x:f>
      </x:c>
      <x:c r="AU164" s="166"/>
      <x:c r="AV164" s="172" t="str">
        <x:f>IF(AK164="","",IF(AU164="","",AU164-AT164*365/AW164))</x:f>
      </x:c>
      <x:c r="AW164" s="164"/>
      <x:c r="AX164" s="173" t="str">
        <x:f>IF(AK164="","",IFERROR(AP164*(AO164/AN164-1),0))</x:f>
      </x:c>
      <x:c r="AY164" s="147" t="str">
        <x:v>Matched-maturity Treasury collateral</x:v>
      </x:c>
      <x:c r="AZ164" s="147" t="str">
        <x:v>Treasury</x:v>
      </x:c>
      <x:c r="BA164" s="147" t="str">
        <x:v>Long</x:v>
      </x:c>
      <x:c r="BB164" s="167" t="n">
        <x:v>104.24435322439703</x:v>
      </x:c>
      <x:c r="BC164" s="167" t="n">
        <x:v>104.32375029342819</x:v>
      </x:c>
      <x:c r="BD164" s="166" t="n">
        <x:v>1</x:v>
      </x:c>
      <x:c r="BE164" s="171" t="n">
        <x:f>IF(AY164="","",IFERROR(F164*BD164/BB164,0))</x:f>
        <x:v>0.015135779608696283</x:v>
      </x:c>
      <x:c r="BF164" s="171" t="n">
        <x:f>IF(AY164="","",F164*ABS(BD164))</x:f>
        <x:v>1.5778195558555612</x:v>
      </x:c>
      <x:c r="BG164" s="165"/>
      <x:c r="BH164" s="172" t="str">
        <x:f>IF(AY164="","",IF(BG164="","",IFERROR(BB164/BG164-1,0)))</x:f>
      </x:c>
      <x:c r="BI164" s="166"/>
      <x:c r="BJ164" s="172" t="str">
        <x:f>IF(AY164="","",IF(BI164="","",BI164-BH164*365/BK164))</x:f>
      </x:c>
      <x:c r="BK164" s="164" t="n">
        <x:v>28</x:v>
      </x:c>
      <x:c r="BL164" s="172" t="n">
        <x:f>IF(AY164="","",IFERROR(BD164*(BC164/BB164-1),0))</x:f>
        <x:v>0.0007616438356161659</x:v>
      </x:c>
      <x:c r="BM164" s="147" t="str">
        <x:v>SI69U</x:v>
      </x:c>
      <x:c r="BN164" s="147" t="str">
        <x:v>Silver future (regular)</x:v>
      </x:c>
      <x:c r="BO164" s="147" t="str">
        <x:v>Long</x:v>
      </x:c>
      <x:c r="BP164" s="167" t="n">
        <x:v>1.66</x:v>
      </x:c>
      <x:c r="BQ164" s="167" t="n">
        <x:v>1.6769999999999998</x:v>
      </x:c>
      <x:c r="BR164" s="166" t="n">
        <x:v>1</x:v>
      </x:c>
      <x:c r="BS164" s="171" t="n">
        <x:f>IF(BM164="","",IFERROR(F164*BR164/BP164,0))</x:f>
        <x:v>0.9504937083467236</x:v>
      </x:c>
      <x:c r="BT164" s="171" t="n">
        <x:f>IF(BM164="","",F164*ABS(BR164))</x:f>
        <x:v>1.5778195558555612</x:v>
      </x:c>
      <x:c r="BU164" s="165" t="n">
        <x:v>1.674</x:v>
      </x:c>
      <x:c r="BV164" s="172" t="n">
        <x:f>IF(BM164="","",IF(BU164="","",IFERROR(BP164/BU164-1,0)))</x:f>
        <x:v>-0.008363201911589013</x:v>
      </x:c>
      <x:c r="BW164" s="166" t="n">
        <x:v>0.0695</x:v>
      </x:c>
      <x:c r="BX164" s="172" t="n">
        <x:f>IF(BM164="","",IF(BW164="","",BW164-BV164*365/BY164))</x:f>
        <x:v>0.17852031063321394</x:v>
      </x:c>
      <x:c r="BY164" s="164" t="n">
        <x:v>28</x:v>
      </x:c>
      <x:c r="BZ164" s="172" t="n">
        <x:f>IF(BM164="","",IFERROR(BR164*(BQ164/BP164-1),0))</x:f>
        <x:v>0.010240963855421725</x:v>
      </x:c>
      <x:c r="CA164" s="147"/>
      <x:c r="CB164" s="147"/>
      <x:c r="CC164" s="147"/>
      <x:c r="CD164" s="167"/>
      <x:c r="CE164" s="167"/>
      <x:c r="CF164" s="166"/>
      <x:c r="CG164" s="171" t="str">
        <x:f>IF(CA164="","",IFERROR(F164*CF164/CD164,0))</x:f>
      </x:c>
      <x:c r="CH164" s="171" t="str">
        <x:f>IF(CA164="","",F164*ABS(CF164))</x:f>
      </x:c>
      <x:c r="CI164" s="165"/>
      <x:c r="CJ164" s="172" t="str">
        <x:f>IF(CA164="","",IF(CI164="","",IFERROR(CD164/CI164-1,0)))</x:f>
      </x:c>
      <x:c r="CK164" s="166"/>
      <x:c r="CL164" s="172" t="str">
        <x:f>IF(CA164="","",IF(CK164="","",CK164-CJ164*365/CM164))</x:f>
      </x:c>
      <x:c r="CM164" s="164"/>
      <x:c r="CN164" s="172" t="str">
        <x:f>IF(CA164="","",IFERROR(CF164*(CE164/CD164-1),0))</x:f>
      </x:c>
      <x:c r="CO164" s="147"/>
      <x:c r="CP164" s="147"/>
      <x:c r="CQ164" s="147"/>
      <x:c r="CR164" s="167"/>
      <x:c r="CS164" s="167"/>
      <x:c r="CT164" s="166"/>
      <x:c r="CU164" s="171" t="str">
        <x:f>IF(CO164="","",IFERROR(F164*CT164/CR164,0))</x:f>
      </x:c>
      <x:c r="CV164" s="171" t="str">
        <x:f>IF(CO164="","",F164*ABS(CT164))</x:f>
      </x:c>
      <x:c r="CW164" s="165"/>
      <x:c r="CX164" s="172" t="str">
        <x:f>IF(CO164="","",IF(CW164="","",IFERROR(CR164/CW164-1,0)))</x:f>
      </x:c>
      <x:c r="CY164" s="166"/>
      <x:c r="CZ164" s="172" t="str">
        <x:f>IF(CO164="","",IF(CY164="","",CY164-CX164*365/DA164))</x:f>
      </x:c>
      <x:c r="DA164" s="164"/>
      <x:c r="DB164" s="172" t="str">
        <x:f>IF(CO164="","",IFERROR(CT164*(CS164/CR164-1),0))</x:f>
      </x:c>
      <x:c r="DC164" s="147"/>
      <x:c r="DD164" s="147"/>
      <x:c r="DE164" s="147"/>
      <x:c r="DF164" s="167"/>
      <x:c r="DG164" s="167"/>
      <x:c r="DH164" s="166"/>
      <x:c r="DI164" s="171" t="str">
        <x:f>IF(DC164="","",IFERROR(F164*DH164/DF164,0))</x:f>
      </x:c>
      <x:c r="DJ164" s="171" t="str">
        <x:f>IF(DC164="","",F164*ABS(DH164))</x:f>
      </x:c>
      <x:c r="DK164" s="165"/>
      <x:c r="DL164" s="172" t="str">
        <x:f>IF(DC164="","",IF(DK164="","",IFERROR(DF164/DK164-1,0)))</x:f>
      </x:c>
      <x:c r="DM164" s="166"/>
      <x:c r="DN164" s="172" t="str">
        <x:f>IF(DC164="","",IF(DM164="","",DM164-DL164*365/DO164))</x:f>
      </x:c>
      <x:c r="DO164" s="164"/>
      <x:c r="DP164" s="172" t="str">
        <x:f>IF(DC164="","",IFERROR(DH164*(DG164/DF164-1),0))</x:f>
      </x:c>
      <x:c r="DQ164" s="147"/>
      <x:c r="DR164" s="147"/>
      <x:c r="DS164" s="147"/>
      <x:c r="DT164" s="167"/>
      <x:c r="DU164" s="167"/>
      <x:c r="DV164" s="166"/>
      <x:c r="DW164" s="171" t="str">
        <x:f>IF(DQ164="","",IFERROR(F164*DV164/DT164,0))</x:f>
      </x:c>
      <x:c r="DX164" s="171" t="str">
        <x:f>IF(DQ164="","",F164*ABS(DV164))</x:f>
      </x:c>
      <x:c r="DY164" s="165"/>
      <x:c r="DZ164" s="172" t="str">
        <x:f>IF(DQ164="","",IF(DY164="","",IFERROR(DT164/DY164-1,0)))</x:f>
      </x:c>
      <x:c r="EA164" s="166"/>
      <x:c r="EB164" s="172" t="str">
        <x:f>IF(DQ164="","",IF(EA164="","",EA164-DZ164*365/EC164))</x:f>
      </x:c>
      <x:c r="EC164" s="164"/>
      <x:c r="ED164" s="172" t="str">
        <x:f>IF(DQ164="","",IFERROR(DV164*(DU164/DT164-1),0))</x:f>
      </x:c>
      <x:c r="EE164" s="147"/>
      <x:c r="EF164" s="147"/>
      <x:c r="EG164" s="147"/>
      <x:c r="EH164" s="167"/>
      <x:c r="EI164" s="167"/>
      <x:c r="EJ164" s="166"/>
      <x:c r="EK164" s="171" t="str">
        <x:f>IF(EE164="","",IFERROR(F164*EJ164/EH164,0))</x:f>
      </x:c>
      <x:c r="EL164" s="171" t="str">
        <x:f>IF(EE164="","",F164*ABS(EJ164))</x:f>
      </x:c>
      <x:c r="EM164" s="165"/>
      <x:c r="EN164" s="172" t="str">
        <x:f>IF(EE164="","",IF(EM164="","",IFERROR(EH164/EM164-1,0)))</x:f>
      </x:c>
      <x:c r="EO164" s="166"/>
      <x:c r="EP164" s="172" t="str">
        <x:f>IF(EE164="","",IF(EO164="","",EO164-EN164*365/EQ164))</x:f>
      </x:c>
      <x:c r="EQ164" s="164"/>
      <x:c r="ER164" s="172" t="str">
        <x:f>IF(EE164="","",IFERROR(EJ164*(EI164/EH164-1),0))</x:f>
      </x:c>
      <x:c r="ES164" s="147"/>
      <x:c r="ET164" s="147"/>
      <x:c r="EU164" s="147"/>
      <x:c r="EV164" s="167"/>
      <x:c r="EW164" s="167"/>
      <x:c r="EX164" s="166"/>
      <x:c r="EY164" s="171" t="str">
        <x:f>IF(ES164="","",IFERROR(F164*EX164/EV164,0))</x:f>
      </x:c>
      <x:c r="EZ164" s="171" t="str">
        <x:f>IF(ES164="","",F164*ABS(EX164))</x:f>
      </x:c>
      <x:c r="FA164" s="165"/>
      <x:c r="FB164" s="172" t="str">
        <x:f>IF(ES164="","",IF(FA164="","",IFERROR(EV164/FA164-1,0)))</x:f>
      </x:c>
      <x:c r="FC164" s="166"/>
      <x:c r="FD164" s="172" t="str">
        <x:f>IF(ES164="","",IF(FC164="","",FC164-FB164*365/FE164))</x:f>
      </x:c>
      <x:c r="FE164" s="164"/>
      <x:c r="FF164" s="172" t="str">
        <x:f>IF(ES164="","",IFERROR(EX164*(EW164/EV164-1),0))</x:f>
      </x:c>
      <x:c r="FG164" s="147"/>
      <x:c r="FH164" s="147"/>
      <x:c r="FI164" s="147"/>
      <x:c r="FJ164" s="167"/>
      <x:c r="FK164" s="167"/>
      <x:c r="FL164" s="166"/>
      <x:c r="FM164" s="171" t="str">
        <x:f>IF(FG164="","",IFERROR(F164*FL164/FJ164,0))</x:f>
      </x:c>
      <x:c r="FN164" s="171" t="str">
        <x:f>IF(FG164="","",F164*ABS(FL164))</x:f>
      </x:c>
      <x:c r="FO164" s="165"/>
      <x:c r="FP164" s="172" t="str">
        <x:f>IF(FG164="","",IF(FO164="","",IFERROR(FJ164/FO164-1,0)))</x:f>
      </x:c>
      <x:c r="FQ164" s="166"/>
      <x:c r="FR164" s="172" t="str">
        <x:f>IF(FG164="","",IF(FQ164="","",FQ164-FP164*365/FS164))</x:f>
      </x:c>
      <x:c r="FS164" s="164"/>
      <x:c r="FT164" s="172" t="str">
        <x:f>IF(FG164="","",IFERROR(FL164*(FK164/FJ164-1),0))</x:f>
      </x:c>
    </x:row>
    <x:row r="165" ht="18" customHeight="1">
      <x:c r="A165" s="163" t="n">
        <x:v>25448</x:v>
      </x:c>
      <x:c r="B165" s="163" t="n">
        <x:v>25449</x:v>
      </x:c>
      <x:c r="C165" s="170" t="n">
        <x:f>B165-A165</x:f>
        <x:v>1</x:v>
      </x:c>
      <x:c r="D165" s="163" t="n">
        <x:v>25448</x:v>
      </x:c>
      <x:c r="E165" s="147" t="str">
        <x:v>positive</x:v>
      </x:c>
      <x:c r="F165" s="165" t="n">
        <x:v>1.595179685435888</x:v>
      </x:c>
      <x:c r="G165" s="168" t="n">
        <x:v>0.001981511505379102</x:v>
      </x:c>
      <x:c r="H165" s="172" t="n">
        <x:f>SUM(AX165,BL165,BZ165,CN165,DB165,DP165,ED165,ER165,FF165,FT165)</x:f>
        <x:v>0.0019815115053793964</x:v>
      </x:c>
      <x:c r="I165" s="174" t="n">
        <x:f>G165-H165</x:f>
        <x:v>-2.94469310047063e-16</x:v>
      </x:c>
      <x:c r="J165" s="171" t="n">
        <x:f>F165*(1+H165)</x:f>
        <x:v>1.5983405523357266</x:v>
      </x:c>
      <x:c r="K165" s="169" t="n">
        <x:v>1.5983405523357264</x:v>
      </x:c>
      <x:c r="L165" s="175" t="n">
        <x:f>K165-J165</x:f>
        <x:v>-2.220446049250313e-16</x:v>
      </x:c>
      <x:c r="M165" s="167" t="n">
        <x:v>1.688</x:v>
      </x:c>
      <x:c r="N165" s="167" t="n">
        <x:v>1.705</x:v>
      </x:c>
      <x:c r="O165" s="172" t="n">
        <x:f>IFERROR(N165/M165-1,0)</x:f>
        <x:v>0.010071090047393483</x:v>
      </x:c>
      <x:c r="P165" s="171" t="n">
        <x:f>IFERROR(AD165/AH165,0)</x:f>
        <x:v>1.850332834172672</x:v>
      </x:c>
      <x:c r="Q165" s="171" t="n">
        <x:f>IFERROR(AE165/AI165,0)</x:f>
        <x:v>1.8355136665532865</x:v>
      </x:c>
      <x:c r="R165" s="172" t="n">
        <x:f>IFERROR((Q165-P165)/(P165+S165),0)</x:f>
        <x:v>-0.008008919987636387</x:v>
      </x:c>
      <x:c r="S165" s="172" t="n">
        <x:f>IFERROR(AF165/AH165,0)</x:f>
        <x:v>0</x:v>
      </x:c>
      <x:c r="T165" s="172" t="n">
        <x:f>IFERROR(AG165/AI165,0)</x:f>
        <x:v>0</x:v>
      </x:c>
      <x:c r="U165" s="172" t="n">
        <x:f>IFERROR((T165-S165)/(P165+S165),0)</x:f>
        <x:v>0</x:v>
      </x:c>
      <x:c r="V165" s="172" t="n">
        <x:f>R165+U165</x:f>
        <x:v>-0.008008919987636387</x:v>
      </x:c>
      <x:c r="W165" s="172" t="n">
        <x:f>(1+O165)*(1+V165)-1</x:f>
        <x:v>0.0019815115053791743</x:v>
      </x:c>
      <x:c r="X165" s="174" t="n">
        <x:f>G165-W165</x:f>
        <x:v>-7.24247051220317e-17</x:v>
      </x:c>
      <x:c r="Y165" s="172" t="str">
        <x:f>AX165</x:f>
      </x:c>
      <x:c r="Z165" s="172" t="n">
        <x:f>BL165</x:f>
        <x:v>0.00019260273972632191</x:v>
      </x:c>
      <x:c r="AA165" s="172" t="n">
        <x:f>SUM(BZ165,CN165,DB165,DP165,ED165,ER165,FF165,FT165)</x:f>
        <x:v>0.0017889087656530744</x:v>
      </x:c>
      <x:c r="AB165" s="172" t="n">
        <x:f>SUM(Y165:AA165)</x:f>
        <x:v>0.0019815115053793964</x:v>
      </x:c>
      <x:c r="AC165" s="174" t="n">
        <x:f>G165-AB165</x:f>
        <x:v>-2.94469310047063e-16</x:v>
      </x:c>
      <x:c r="AD165" s="169" t="n">
        <x:v>1.5951796854358888</x:v>
      </x:c>
      <x:c r="AE165" s="169" t="n">
        <x:v>1.598340552335727</x:v>
      </x:c>
      <x:c r="AF165" s="169" t="n">
        <x:v>0</x:v>
      </x:c>
      <x:c r="AG165" s="169" t="n">
        <x:v>0</x:v>
      </x:c>
      <x:c r="AH165" s="171" t="n">
        <x:f>M165/$M$3</x:f>
        <x:v>0.8621041879468846</x:v>
      </x:c>
      <x:c r="AI165" s="171" t="n">
        <x:f>N165/$M$3</x:f>
        <x:v>0.8707865168539326</x:v>
      </x:c>
      <x:c r="AJ165" s="170" t="n">
        <x:f>IF(AK165&lt;&gt;"",1,0)+IF(AY165&lt;&gt;"",1,0)+IF(BM165&lt;&gt;"",1,0)+IF(CA165&lt;&gt;"",1,0)+IF(CO165&lt;&gt;"",1,0)+IF(DC165&lt;&gt;"",1,0)+IF(DQ165&lt;&gt;"",1,0)+IF(EE165&lt;&gt;"",1,0)+IF(ES165&lt;&gt;"",1,0)+IF(FG165&lt;&gt;"",1,0)</x:f>
        <x:v>2</x:v>
      </x:c>
      <x:c r="AK165" s="147"/>
      <x:c r="AL165" s="147"/>
      <x:c r="AM165" s="147"/>
      <x:c r="AN165" s="167"/>
      <x:c r="AO165" s="167"/>
      <x:c r="AP165" s="166"/>
      <x:c r="AQ165" s="171" t="str">
        <x:f>IF(AK165="","",IFERROR(F165*AP165/AN165,0))</x:f>
      </x:c>
      <x:c r="AR165" s="171" t="str">
        <x:f>IF(AK165="","",F165*ABS(AP165))</x:f>
      </x:c>
      <x:c r="AS165" s="165"/>
      <x:c r="AT165" s="172" t="str">
        <x:f>IF(AK165="","",IF(AS165="","",IFERROR(AN165/AS165-1,0)))</x:f>
      </x:c>
      <x:c r="AU165" s="166"/>
      <x:c r="AV165" s="172" t="str">
        <x:f>IF(AK165="","",IF(AU165="","",AU165-AT165*365/AW165))</x:f>
      </x:c>
      <x:c r="AW165" s="164"/>
      <x:c r="AX165" s="173" t="str">
        <x:f>IF(AK165="","",IFERROR(AP165*(AO165/AN165-1),0))</x:f>
      </x:c>
      <x:c r="AY165" s="147" t="str">
        <x:v>Matched-maturity Treasury collateral</x:v>
      </x:c>
      <x:c r="AZ165" s="147" t="str">
        <x:v>Treasury</x:v>
      </x:c>
      <x:c r="BA165" s="147" t="str">
        <x:v>Long</x:v>
      </x:c>
      <x:c r="BB165" s="167" t="n">
        <x:v>104.32375029342819</x:v>
      </x:c>
      <x:c r="BC165" s="167" t="n">
        <x:v>104.34384333355322</x:v>
      </x:c>
      <x:c r="BD165" s="166" t="n">
        <x:v>1</x:v>
      </x:c>
      <x:c r="BE165" s="171" t="n">
        <x:f>IF(AY165="","",IFERROR(F165*BD165/BB165,0))</x:f>
        <x:v>0.015290666611861396</x:v>
      </x:c>
      <x:c r="BF165" s="171" t="n">
        <x:f>IF(AY165="","",F165*ABS(BD165))</x:f>
        <x:v>1.595179685435888</x:v>
      </x:c>
      <x:c r="BG165" s="165"/>
      <x:c r="BH165" s="172" t="str">
        <x:f>IF(AY165="","",IF(BG165="","",IFERROR(BB165/BG165-1,0)))</x:f>
      </x:c>
      <x:c r="BI165" s="166"/>
      <x:c r="BJ165" s="172" t="str">
        <x:f>IF(AY165="","",IF(BI165="","",BI165-BH165*365/BK165))</x:f>
      </x:c>
      <x:c r="BK165" s="164" t="n">
        <x:v>24</x:v>
      </x:c>
      <x:c r="BL165" s="172" t="n">
        <x:f>IF(AY165="","",IFERROR(BD165*(BC165/BB165-1),0))</x:f>
        <x:v>0.00019260273972632191</x:v>
      </x:c>
      <x:c r="BM165" s="147" t="str">
        <x:v>SI69U</x:v>
      </x:c>
      <x:c r="BN165" s="147" t="str">
        <x:v>Silver future (regular)</x:v>
      </x:c>
      <x:c r="BO165" s="147" t="str">
        <x:v>Long</x:v>
      </x:c>
      <x:c r="BP165" s="167" t="n">
        <x:v>1.6769999999999998</x:v>
      </x:c>
      <x:c r="BQ165" s="167" t="n">
        <x:v>1.68</x:v>
      </x:c>
      <x:c r="BR165" s="166" t="n">
        <x:v>1</x:v>
      </x:c>
      <x:c r="BS165" s="171" t="n">
        <x:f>IF(BM165="","",IFERROR(F165*BR165/BP165,0))</x:f>
        <x:v>0.9512103073559262</x:v>
      </x:c>
      <x:c r="BT165" s="171" t="n">
        <x:f>IF(BM165="","",F165*ABS(BR165))</x:f>
        <x:v>1.595179685435888</x:v>
      </x:c>
      <x:c r="BU165" s="165" t="n">
        <x:v>1.688</x:v>
      </x:c>
      <x:c r="BV165" s="172" t="n">
        <x:f>IF(BM165="","",IF(BU165="","",IFERROR(BP165/BU165-1,0)))</x:f>
        <x:v>-0.006516587677725227</x:v>
      </x:c>
      <x:c r="BW165" s="166" t="n">
        <x:v>0.0703</x:v>
      </x:c>
      <x:c r="BX165" s="172" t="n">
        <x:f>IF(BM165="","",IF(BW165="","",BW165-BV165*365/BY165))</x:f>
        <x:v>0.16940643759873783</x:v>
      </x:c>
      <x:c r="BY165" s="164" t="n">
        <x:v>24</x:v>
      </x:c>
      <x:c r="BZ165" s="172" t="n">
        <x:f>IF(BM165="","",IFERROR(BR165*(BQ165/BP165-1),0))</x:f>
        <x:v>0.0017889087656530744</x:v>
      </x:c>
      <x:c r="CA165" s="147"/>
      <x:c r="CB165" s="147"/>
      <x:c r="CC165" s="147"/>
      <x:c r="CD165" s="167"/>
      <x:c r="CE165" s="167"/>
      <x:c r="CF165" s="166"/>
      <x:c r="CG165" s="171" t="str">
        <x:f>IF(CA165="","",IFERROR(F165*CF165/CD165,0))</x:f>
      </x:c>
      <x:c r="CH165" s="171" t="str">
        <x:f>IF(CA165="","",F165*ABS(CF165))</x:f>
      </x:c>
      <x:c r="CI165" s="165"/>
      <x:c r="CJ165" s="172" t="str">
        <x:f>IF(CA165="","",IF(CI165="","",IFERROR(CD165/CI165-1,0)))</x:f>
      </x:c>
      <x:c r="CK165" s="166"/>
      <x:c r="CL165" s="172" t="str">
        <x:f>IF(CA165="","",IF(CK165="","",CK165-CJ165*365/CM165))</x:f>
      </x:c>
      <x:c r="CM165" s="164"/>
      <x:c r="CN165" s="172" t="str">
        <x:f>IF(CA165="","",IFERROR(CF165*(CE165/CD165-1),0))</x:f>
      </x:c>
      <x:c r="CO165" s="147"/>
      <x:c r="CP165" s="147"/>
      <x:c r="CQ165" s="147"/>
      <x:c r="CR165" s="167"/>
      <x:c r="CS165" s="167"/>
      <x:c r="CT165" s="166"/>
      <x:c r="CU165" s="171" t="str">
        <x:f>IF(CO165="","",IFERROR(F165*CT165/CR165,0))</x:f>
      </x:c>
      <x:c r="CV165" s="171" t="str">
        <x:f>IF(CO165="","",F165*ABS(CT165))</x:f>
      </x:c>
      <x:c r="CW165" s="165"/>
      <x:c r="CX165" s="172" t="str">
        <x:f>IF(CO165="","",IF(CW165="","",IFERROR(CR165/CW165-1,0)))</x:f>
      </x:c>
      <x:c r="CY165" s="166"/>
      <x:c r="CZ165" s="172" t="str">
        <x:f>IF(CO165="","",IF(CY165="","",CY165-CX165*365/DA165))</x:f>
      </x:c>
      <x:c r="DA165" s="164"/>
      <x:c r="DB165" s="172" t="str">
        <x:f>IF(CO165="","",IFERROR(CT165*(CS165/CR165-1),0))</x:f>
      </x:c>
      <x:c r="DC165" s="147"/>
      <x:c r="DD165" s="147"/>
      <x:c r="DE165" s="147"/>
      <x:c r="DF165" s="167"/>
      <x:c r="DG165" s="167"/>
      <x:c r="DH165" s="166"/>
      <x:c r="DI165" s="171" t="str">
        <x:f>IF(DC165="","",IFERROR(F165*DH165/DF165,0))</x:f>
      </x:c>
      <x:c r="DJ165" s="171" t="str">
        <x:f>IF(DC165="","",F165*ABS(DH165))</x:f>
      </x:c>
      <x:c r="DK165" s="165"/>
      <x:c r="DL165" s="172" t="str">
        <x:f>IF(DC165="","",IF(DK165="","",IFERROR(DF165/DK165-1,0)))</x:f>
      </x:c>
      <x:c r="DM165" s="166"/>
      <x:c r="DN165" s="172" t="str">
        <x:f>IF(DC165="","",IF(DM165="","",DM165-DL165*365/DO165))</x:f>
      </x:c>
      <x:c r="DO165" s="164"/>
      <x:c r="DP165" s="172" t="str">
        <x:f>IF(DC165="","",IFERROR(DH165*(DG165/DF165-1),0))</x:f>
      </x:c>
      <x:c r="DQ165" s="147"/>
      <x:c r="DR165" s="147"/>
      <x:c r="DS165" s="147"/>
      <x:c r="DT165" s="167"/>
      <x:c r="DU165" s="167"/>
      <x:c r="DV165" s="166"/>
      <x:c r="DW165" s="171" t="str">
        <x:f>IF(DQ165="","",IFERROR(F165*DV165/DT165,0))</x:f>
      </x:c>
      <x:c r="DX165" s="171" t="str">
        <x:f>IF(DQ165="","",F165*ABS(DV165))</x:f>
      </x:c>
      <x:c r="DY165" s="165"/>
      <x:c r="DZ165" s="172" t="str">
        <x:f>IF(DQ165="","",IF(DY165="","",IFERROR(DT165/DY165-1,0)))</x:f>
      </x:c>
      <x:c r="EA165" s="166"/>
      <x:c r="EB165" s="172" t="str">
        <x:f>IF(DQ165="","",IF(EA165="","",EA165-DZ165*365/EC165))</x:f>
      </x:c>
      <x:c r="EC165" s="164"/>
      <x:c r="ED165" s="172" t="str">
        <x:f>IF(DQ165="","",IFERROR(DV165*(DU165/DT165-1),0))</x:f>
      </x:c>
      <x:c r="EE165" s="147"/>
      <x:c r="EF165" s="147"/>
      <x:c r="EG165" s="147"/>
      <x:c r="EH165" s="167"/>
      <x:c r="EI165" s="167"/>
      <x:c r="EJ165" s="166"/>
      <x:c r="EK165" s="171" t="str">
        <x:f>IF(EE165="","",IFERROR(F165*EJ165/EH165,0))</x:f>
      </x:c>
      <x:c r="EL165" s="171" t="str">
        <x:f>IF(EE165="","",F165*ABS(EJ165))</x:f>
      </x:c>
      <x:c r="EM165" s="165"/>
      <x:c r="EN165" s="172" t="str">
        <x:f>IF(EE165="","",IF(EM165="","",IFERROR(EH165/EM165-1,0)))</x:f>
      </x:c>
      <x:c r="EO165" s="166"/>
      <x:c r="EP165" s="172" t="str">
        <x:f>IF(EE165="","",IF(EO165="","",EO165-EN165*365/EQ165))</x:f>
      </x:c>
      <x:c r="EQ165" s="164"/>
      <x:c r="ER165" s="172" t="str">
        <x:f>IF(EE165="","",IFERROR(EJ165*(EI165/EH165-1),0))</x:f>
      </x:c>
      <x:c r="ES165" s="147"/>
      <x:c r="ET165" s="147"/>
      <x:c r="EU165" s="147"/>
      <x:c r="EV165" s="167"/>
      <x:c r="EW165" s="167"/>
      <x:c r="EX165" s="166"/>
      <x:c r="EY165" s="171" t="str">
        <x:f>IF(ES165="","",IFERROR(F165*EX165/EV165,0))</x:f>
      </x:c>
      <x:c r="EZ165" s="171" t="str">
        <x:f>IF(ES165="","",F165*ABS(EX165))</x:f>
      </x:c>
      <x:c r="FA165" s="165"/>
      <x:c r="FB165" s="172" t="str">
        <x:f>IF(ES165="","",IF(FA165="","",IFERROR(EV165/FA165-1,0)))</x:f>
      </x:c>
      <x:c r="FC165" s="166"/>
      <x:c r="FD165" s="172" t="str">
        <x:f>IF(ES165="","",IF(FC165="","",FC165-FB165*365/FE165))</x:f>
      </x:c>
      <x:c r="FE165" s="164"/>
      <x:c r="FF165" s="172" t="str">
        <x:f>IF(ES165="","",IFERROR(EX165*(EW165/EV165-1),0))</x:f>
      </x:c>
      <x:c r="FG165" s="147"/>
      <x:c r="FH165" s="147"/>
      <x:c r="FI165" s="147"/>
      <x:c r="FJ165" s="167"/>
      <x:c r="FK165" s="167"/>
      <x:c r="FL165" s="166"/>
      <x:c r="FM165" s="171" t="str">
        <x:f>IF(FG165="","",IFERROR(F165*FL165/FJ165,0))</x:f>
      </x:c>
      <x:c r="FN165" s="171" t="str">
        <x:f>IF(FG165="","",F165*ABS(FL165))</x:f>
      </x:c>
      <x:c r="FO165" s="165"/>
      <x:c r="FP165" s="172" t="str">
        <x:f>IF(FG165="","",IF(FO165="","",IFERROR(FJ165/FO165-1,0)))</x:f>
      </x:c>
      <x:c r="FQ165" s="166"/>
      <x:c r="FR165" s="172" t="str">
        <x:f>IF(FG165="","",IF(FQ165="","",FQ165-FP165*365/FS165))</x:f>
      </x:c>
      <x:c r="FS165" s="164"/>
      <x:c r="FT165" s="172" t="str">
        <x:f>IF(FG165="","",IFERROR(FL165*(FK165/FJ165-1),0))</x:f>
      </x:c>
    </x:row>
    <x:row r="166" ht="18" customHeight="1">
      <x:c r="A166" s="163" t="n">
        <x:v>25449</x:v>
      </x:c>
      <x:c r="B166" s="163" t="n">
        <x:v>25450</x:v>
      </x:c>
      <x:c r="C166" s="170" t="n">
        <x:f>B166-A166</x:f>
        <x:v>1</x:v>
      </x:c>
      <x:c r="D166" s="163" t="n">
        <x:v>25449</x:v>
      </x:c>
      <x:c r="E166" s="147" t="str">
        <x:v>positive</x:v>
      </x:c>
      <x:c r="F166" s="165" t="n">
        <x:v>1.5983405523357264</x:v>
      </x:c>
      <x:c r="G166" s="168" t="n">
        <x:v>-0.008736790606653588</x:v>
      </x:c>
      <x:c r="H166" s="172" t="n">
        <x:f>SUM(AX166,BL166,BZ166,CN166,DB166,DP166,ED166,ER166,FF166,FT166)</x:f>
        <x:v>-0.008736790606653555</x:v>
      </x:c>
      <x:c r="I166" s="174" t="n">
        <x:f>G166-H166</x:f>
        <x:v>-3.2959746043559335e-17</x:v>
      </x:c>
      <x:c r="J166" s="171" t="n">
        <x:f>F166*(1+H166)</x:f>
        <x:v>1.5843761856118461</x:v>
      </x:c>
      <x:c r="K166" s="169" t="n">
        <x:v>1.5843761856118461</x:v>
      </x:c>
      <x:c r="L166" s="175" t="n">
        <x:f>K166-J166</x:f>
        <x:v>0</x:v>
      </x:c>
      <x:c r="M166" s="167" t="n">
        <x:v>1.705</x:v>
      </x:c>
      <x:c r="N166" s="167" t="n">
        <x:v>1.705</x:v>
      </x:c>
      <x:c r="O166" s="172" t="n">
        <x:f>IFERROR(N166/M166-1,0)</x:f>
        <x:v>0</x:v>
      </x:c>
      <x:c r="P166" s="171" t="n">
        <x:f>IFERROR(AD166/AH166,0)</x:f>
        <x:v>1.8355136665532865</x:v>
      </x:c>
      <x:c r="Q166" s="171" t="n">
        <x:f>IFERROR(AE166/AI166,0)</x:f>
        <x:v>1.8194771679929596</x:v>
      </x:c>
      <x:c r="R166" s="172" t="n">
        <x:f>IFERROR((Q166-P166)/(P166+S166),0)</x:f>
        <x:v>-0.008736790606653545</x:v>
      </x:c>
      <x:c r="S166" s="172" t="n">
        <x:f>IFERROR(AF166/AH166,0)</x:f>
        <x:v>0</x:v>
      </x:c>
      <x:c r="T166" s="172" t="n">
        <x:f>IFERROR(AG166/AI166,0)</x:f>
        <x:v>0</x:v>
      </x:c>
      <x:c r="U166" s="172" t="n">
        <x:f>IFERROR((T166-S166)/(P166+S166),0)</x:f>
        <x:v>0</x:v>
      </x:c>
      <x:c r="V166" s="172" t="n">
        <x:f>R166+U166</x:f>
        <x:v>-0.008736790606653545</x:v>
      </x:c>
      <x:c r="W166" s="172" t="n">
        <x:f>(1+O166)*(1+V166)-1</x:f>
        <x:v>-0.008736790606653555</x:v>
      </x:c>
      <x:c r="X166" s="174" t="n">
        <x:f>G166-W166</x:f>
        <x:v>-3.2959746043559335e-17</x:v>
      </x:c>
      <x:c r="Y166" s="172" t="str">
        <x:f>AX166</x:f>
      </x:c>
      <x:c r="Z166" s="172" t="n">
        <x:f>BL166</x:f>
        <x:v>0.00019178082191784185</x:v>
      </x:c>
      <x:c r="AA166" s="172" t="n">
        <x:f>SUM(BZ166,CN166,DB166,DP166,ED166,ER166,FF166,FT166)</x:f>
        <x:v>-0.008928571428571397</x:v>
      </x:c>
      <x:c r="AB166" s="172" t="n">
        <x:f>SUM(Y166:AA166)</x:f>
        <x:v>-0.008736790606653555</x:v>
      </x:c>
      <x:c r="AC166" s="174" t="n">
        <x:f>G166-AB166</x:f>
        <x:v>-3.2959746043559335e-17</x:v>
      </x:c>
      <x:c r="AD166" s="169" t="n">
        <x:v>1.598340552335727</x:v>
      </x:c>
      <x:c r="AE166" s="169" t="n">
        <x:v>1.5843761856118468</x:v>
      </x:c>
      <x:c r="AF166" s="169" t="n">
        <x:v>0</x:v>
      </x:c>
      <x:c r="AG166" s="169" t="n">
        <x:v>0</x:v>
      </x:c>
      <x:c r="AH166" s="171" t="n">
        <x:f>M166/$M$3</x:f>
        <x:v>0.8707865168539326</x:v>
      </x:c>
      <x:c r="AI166" s="171" t="n">
        <x:f>N166/$M$3</x:f>
        <x:v>0.8707865168539326</x:v>
      </x:c>
      <x:c r="AJ166" s="170" t="n">
        <x:f>IF(AK166&lt;&gt;"",1,0)+IF(AY166&lt;&gt;"",1,0)+IF(BM166&lt;&gt;"",1,0)+IF(CA166&lt;&gt;"",1,0)+IF(CO166&lt;&gt;"",1,0)+IF(DC166&lt;&gt;"",1,0)+IF(DQ166&lt;&gt;"",1,0)+IF(EE166&lt;&gt;"",1,0)+IF(ES166&lt;&gt;"",1,0)+IF(FG166&lt;&gt;"",1,0)</x:f>
        <x:v>2</x:v>
      </x:c>
      <x:c r="AK166" s="147"/>
      <x:c r="AL166" s="147"/>
      <x:c r="AM166" s="147"/>
      <x:c r="AN166" s="167"/>
      <x:c r="AO166" s="167"/>
      <x:c r="AP166" s="166"/>
      <x:c r="AQ166" s="171" t="str">
        <x:f>IF(AK166="","",IFERROR(F166*AP166/AN166,0))</x:f>
      </x:c>
      <x:c r="AR166" s="171" t="str">
        <x:f>IF(AK166="","",F166*ABS(AP166))</x:f>
      </x:c>
      <x:c r="AS166" s="165"/>
      <x:c r="AT166" s="172" t="str">
        <x:f>IF(AK166="","",IF(AS166="","",IFERROR(AN166/AS166-1,0)))</x:f>
      </x:c>
      <x:c r="AU166" s="166"/>
      <x:c r="AV166" s="172" t="str">
        <x:f>IF(AK166="","",IF(AU166="","",AU166-AT166*365/AW166))</x:f>
      </x:c>
      <x:c r="AW166" s="164"/>
      <x:c r="AX166" s="173" t="str">
        <x:f>IF(AK166="","",IFERROR(AP166*(AO166/AN166-1),0))</x:f>
      </x:c>
      <x:c r="AY166" s="147" t="str">
        <x:v>Matched-maturity Treasury collateral</x:v>
      </x:c>
      <x:c r="AZ166" s="147" t="str">
        <x:v>Treasury</x:v>
      </x:c>
      <x:c r="BA166" s="147" t="str">
        <x:v>Long</x:v>
      </x:c>
      <x:c r="BB166" s="167" t="n">
        <x:v>104.34384333355322</x:v>
      </x:c>
      <x:c r="BC166" s="167" t="n">
        <x:v>104.3638544815898</x:v>
      </x:c>
      <x:c r="BD166" s="166" t="n">
        <x:v>1</x:v>
      </x:c>
      <x:c r="BE166" s="171" t="n">
        <x:f>IF(AY166="","",IFERROR(F166*BD166/BB166,0))</x:f>
        <x:v>0.015318014952030789</x:v>
      </x:c>
      <x:c r="BF166" s="171" t="n">
        <x:f>IF(AY166="","",F166*ABS(BD166))</x:f>
        <x:v>1.5983405523357264</x:v>
      </x:c>
      <x:c r="BG166" s="165"/>
      <x:c r="BH166" s="172" t="str">
        <x:f>IF(AY166="","",IF(BG166="","",IFERROR(BB166/BG166-1,0)))</x:f>
      </x:c>
      <x:c r="BI166" s="166"/>
      <x:c r="BJ166" s="172" t="str">
        <x:f>IF(AY166="","",IF(BI166="","",BI166-BH166*365/BK166))</x:f>
      </x:c>
      <x:c r="BK166" s="164" t="n">
        <x:v>23</x:v>
      </x:c>
      <x:c r="BL166" s="172" t="n">
        <x:f>IF(AY166="","",IFERROR(BD166*(BC166/BB166-1),0))</x:f>
        <x:v>0.00019178082191784185</x:v>
      </x:c>
      <x:c r="BM166" s="147" t="str">
        <x:v>SI69U</x:v>
      </x:c>
      <x:c r="BN166" s="147" t="str">
        <x:v>Silver future (regular)</x:v>
      </x:c>
      <x:c r="BO166" s="147" t="str">
        <x:v>Long</x:v>
      </x:c>
      <x:c r="BP166" s="167" t="n">
        <x:v>1.68</x:v>
      </x:c>
      <x:c r="BQ166" s="167" t="n">
        <x:v>1.665</x:v>
      </x:c>
      <x:c r="BR166" s="166" t="n">
        <x:v>1</x:v>
      </x:c>
      <x:c r="BS166" s="171" t="n">
        <x:f>IF(BM166="","",IFERROR(F166*BR166/BP166,0))</x:f>
        <x:v>0.9513931859141229</x:v>
      </x:c>
      <x:c r="BT166" s="171" t="n">
        <x:f>IF(BM166="","",F166*ABS(BR166))</x:f>
        <x:v>1.5983405523357264</x:v>
      </x:c>
      <x:c r="BU166" s="165" t="n">
        <x:v>1.705</x:v>
      </x:c>
      <x:c r="BV166" s="172" t="n">
        <x:f>IF(BM166="","",IF(BU166="","",IFERROR(BP166/BU166-1,0)))</x:f>
        <x:v>-0.014662756598240567</x:v>
      </x:c>
      <x:c r="BW166" s="166" t="n">
        <x:v>0.07</x:v>
      </x:c>
      <x:c r="BX166" s="172" t="n">
        <x:f>IF(BM166="","",IF(BW166="","",BW166-BV166*365/BY166))</x:f>
        <x:v>0.3026915721025134</x:v>
      </x:c>
      <x:c r="BY166" s="164" t="n">
        <x:v>23</x:v>
      </x:c>
      <x:c r="BZ166" s="172" t="n">
        <x:f>IF(BM166="","",IFERROR(BR166*(BQ166/BP166-1),0))</x:f>
        <x:v>-0.008928571428571397</x:v>
      </x:c>
      <x:c r="CA166" s="147"/>
      <x:c r="CB166" s="147"/>
      <x:c r="CC166" s="147"/>
      <x:c r="CD166" s="167"/>
      <x:c r="CE166" s="167"/>
      <x:c r="CF166" s="166"/>
      <x:c r="CG166" s="171" t="str">
        <x:f>IF(CA166="","",IFERROR(F166*CF166/CD166,0))</x:f>
      </x:c>
      <x:c r="CH166" s="171" t="str">
        <x:f>IF(CA166="","",F166*ABS(CF166))</x:f>
      </x:c>
      <x:c r="CI166" s="165"/>
      <x:c r="CJ166" s="172" t="str">
        <x:f>IF(CA166="","",IF(CI166="","",IFERROR(CD166/CI166-1,0)))</x:f>
      </x:c>
      <x:c r="CK166" s="166"/>
      <x:c r="CL166" s="172" t="str">
        <x:f>IF(CA166="","",IF(CK166="","",CK166-CJ166*365/CM166))</x:f>
      </x:c>
      <x:c r="CM166" s="164"/>
      <x:c r="CN166" s="172" t="str">
        <x:f>IF(CA166="","",IFERROR(CF166*(CE166/CD166-1),0))</x:f>
      </x:c>
      <x:c r="CO166" s="147"/>
      <x:c r="CP166" s="147"/>
      <x:c r="CQ166" s="147"/>
      <x:c r="CR166" s="167"/>
      <x:c r="CS166" s="167"/>
      <x:c r="CT166" s="166"/>
      <x:c r="CU166" s="171" t="str">
        <x:f>IF(CO166="","",IFERROR(F166*CT166/CR166,0))</x:f>
      </x:c>
      <x:c r="CV166" s="171" t="str">
        <x:f>IF(CO166="","",F166*ABS(CT166))</x:f>
      </x:c>
      <x:c r="CW166" s="165"/>
      <x:c r="CX166" s="172" t="str">
        <x:f>IF(CO166="","",IF(CW166="","",IFERROR(CR166/CW166-1,0)))</x:f>
      </x:c>
      <x:c r="CY166" s="166"/>
      <x:c r="CZ166" s="172" t="str">
        <x:f>IF(CO166="","",IF(CY166="","",CY166-CX166*365/DA166))</x:f>
      </x:c>
      <x:c r="DA166" s="164"/>
      <x:c r="DB166" s="172" t="str">
        <x:f>IF(CO166="","",IFERROR(CT166*(CS166/CR166-1),0))</x:f>
      </x:c>
      <x:c r="DC166" s="147"/>
      <x:c r="DD166" s="147"/>
      <x:c r="DE166" s="147"/>
      <x:c r="DF166" s="167"/>
      <x:c r="DG166" s="167"/>
      <x:c r="DH166" s="166"/>
      <x:c r="DI166" s="171" t="str">
        <x:f>IF(DC166="","",IFERROR(F166*DH166/DF166,0))</x:f>
      </x:c>
      <x:c r="DJ166" s="171" t="str">
        <x:f>IF(DC166="","",F166*ABS(DH166))</x:f>
      </x:c>
      <x:c r="DK166" s="165"/>
      <x:c r="DL166" s="172" t="str">
        <x:f>IF(DC166="","",IF(DK166="","",IFERROR(DF166/DK166-1,0)))</x:f>
      </x:c>
      <x:c r="DM166" s="166"/>
      <x:c r="DN166" s="172" t="str">
        <x:f>IF(DC166="","",IF(DM166="","",DM166-DL166*365/DO166))</x:f>
      </x:c>
      <x:c r="DO166" s="164"/>
      <x:c r="DP166" s="172" t="str">
        <x:f>IF(DC166="","",IFERROR(DH166*(DG166/DF166-1),0))</x:f>
      </x:c>
      <x:c r="DQ166" s="147"/>
      <x:c r="DR166" s="147"/>
      <x:c r="DS166" s="147"/>
      <x:c r="DT166" s="167"/>
      <x:c r="DU166" s="167"/>
      <x:c r="DV166" s="166"/>
      <x:c r="DW166" s="171" t="str">
        <x:f>IF(DQ166="","",IFERROR(F166*DV166/DT166,0))</x:f>
      </x:c>
      <x:c r="DX166" s="171" t="str">
        <x:f>IF(DQ166="","",F166*ABS(DV166))</x:f>
      </x:c>
      <x:c r="DY166" s="165"/>
      <x:c r="DZ166" s="172" t="str">
        <x:f>IF(DQ166="","",IF(DY166="","",IFERROR(DT166/DY166-1,0)))</x:f>
      </x:c>
      <x:c r="EA166" s="166"/>
      <x:c r="EB166" s="172" t="str">
        <x:f>IF(DQ166="","",IF(EA166="","",EA166-DZ166*365/EC166))</x:f>
      </x:c>
      <x:c r="EC166" s="164"/>
      <x:c r="ED166" s="172" t="str">
        <x:f>IF(DQ166="","",IFERROR(DV166*(DU166/DT166-1),0))</x:f>
      </x:c>
      <x:c r="EE166" s="147"/>
      <x:c r="EF166" s="147"/>
      <x:c r="EG166" s="147"/>
      <x:c r="EH166" s="167"/>
      <x:c r="EI166" s="167"/>
      <x:c r="EJ166" s="166"/>
      <x:c r="EK166" s="171" t="str">
        <x:f>IF(EE166="","",IFERROR(F166*EJ166/EH166,0))</x:f>
      </x:c>
      <x:c r="EL166" s="171" t="str">
        <x:f>IF(EE166="","",F166*ABS(EJ166))</x:f>
      </x:c>
      <x:c r="EM166" s="165"/>
      <x:c r="EN166" s="172" t="str">
        <x:f>IF(EE166="","",IF(EM166="","",IFERROR(EH166/EM166-1,0)))</x:f>
      </x:c>
      <x:c r="EO166" s="166"/>
      <x:c r="EP166" s="172" t="str">
        <x:f>IF(EE166="","",IF(EO166="","",EO166-EN166*365/EQ166))</x:f>
      </x:c>
      <x:c r="EQ166" s="164"/>
      <x:c r="ER166" s="172" t="str">
        <x:f>IF(EE166="","",IFERROR(EJ166*(EI166/EH166-1),0))</x:f>
      </x:c>
      <x:c r="ES166" s="147"/>
      <x:c r="ET166" s="147"/>
      <x:c r="EU166" s="147"/>
      <x:c r="EV166" s="167"/>
      <x:c r="EW166" s="167"/>
      <x:c r="EX166" s="166"/>
      <x:c r="EY166" s="171" t="str">
        <x:f>IF(ES166="","",IFERROR(F166*EX166/EV166,0))</x:f>
      </x:c>
      <x:c r="EZ166" s="171" t="str">
        <x:f>IF(ES166="","",F166*ABS(EX166))</x:f>
      </x:c>
      <x:c r="FA166" s="165"/>
      <x:c r="FB166" s="172" t="str">
        <x:f>IF(ES166="","",IF(FA166="","",IFERROR(EV166/FA166-1,0)))</x:f>
      </x:c>
      <x:c r="FC166" s="166"/>
      <x:c r="FD166" s="172" t="str">
        <x:f>IF(ES166="","",IF(FC166="","",FC166-FB166*365/FE166))</x:f>
      </x:c>
      <x:c r="FE166" s="164"/>
      <x:c r="FF166" s="172" t="str">
        <x:f>IF(ES166="","",IFERROR(EX166*(EW166/EV166-1),0))</x:f>
      </x:c>
      <x:c r="FG166" s="147"/>
      <x:c r="FH166" s="147"/>
      <x:c r="FI166" s="147"/>
      <x:c r="FJ166" s="167"/>
      <x:c r="FK166" s="167"/>
      <x:c r="FL166" s="166"/>
      <x:c r="FM166" s="171" t="str">
        <x:f>IF(FG166="","",IFERROR(F166*FL166/FJ166,0))</x:f>
      </x:c>
      <x:c r="FN166" s="171" t="str">
        <x:f>IF(FG166="","",F166*ABS(FL166))</x:f>
      </x:c>
      <x:c r="FO166" s="165"/>
      <x:c r="FP166" s="172" t="str">
        <x:f>IF(FG166="","",IF(FO166="","",IFERROR(FJ166/FO166-1,0)))</x:f>
      </x:c>
      <x:c r="FQ166" s="166"/>
      <x:c r="FR166" s="172" t="str">
        <x:f>IF(FG166="","",IF(FQ166="","",FQ166-FP166*365/FS166))</x:f>
      </x:c>
      <x:c r="FS166" s="164"/>
      <x:c r="FT166" s="172" t="str">
        <x:f>IF(FG166="","",IFERROR(FL166*(FK166/FJ166-1),0))</x:f>
      </x:c>
    </x:row>
    <x:row r="167" ht="18" customHeight="1">
      <x:c r="A167" s="163" t="n">
        <x:v>25450</x:v>
      </x:c>
      <x:c r="B167" s="163" t="n">
        <x:v>25451</x:v>
      </x:c>
      <x:c r="C167" s="170" t="n">
        <x:f>B167-A167</x:f>
        <x:v>1</x:v>
      </x:c>
      <x:c r="D167" s="163" t="n">
        <x:v>25450</x:v>
      </x:c>
      <x:c r="E167" s="147" t="str">
        <x:v>positive</x:v>
      </x:c>
      <x:c r="F167" s="165" t="n">
        <x:v>1.5843761856118461</x:v>
      </x:c>
      <x:c r="G167" s="168" t="n">
        <x:v>0.02241509893455091</x:v>
      </x:c>
      <x:c r="H167" s="172" t="n">
        <x:f>SUM(AX167,BL167,BZ167,CN167,DB167,DP167,ED167,ER167,FF167,FT167)</x:f>
        <x:v>0.022415098934550848</x:v>
      </x:c>
      <x:c r="I167" s="174" t="n">
        <x:f>G167-H167</x:f>
        <x:v>6.245004513516506e-17</x:v>
      </x:c>
      <x:c r="J167" s="171" t="n">
        <x:f>F167*(1+H167)</x:f>
        <x:v>1.619890134561882</x:v>
      </x:c>
      <x:c r="K167" s="169" t="n">
        <x:v>1.619890134561882</x:v>
      </x:c>
      <x:c r="L167" s="175" t="n">
        <x:f>K167-J167</x:f>
        <x:v>0</x:v>
      </x:c>
      <x:c r="M167" s="167" t="n">
        <x:v>1.705</x:v>
      </x:c>
      <x:c r="N167" s="167" t="n">
        <x:v>1.702</x:v>
      </x:c>
      <x:c r="O167" s="172" t="n">
        <x:f>IFERROR(N167/M167-1,0)</x:f>
        <x:v>-0.0017595307917889214</x:v>
      </x:c>
      <x:c r="P167" s="171" t="n">
        <x:f>IFERROR(AD167/AH167,0)</x:f>
        <x:v>1.8194771679929596</x:v>
      </x:c>
      <x:c r="Q167" s="171" t="n">
        <x:f>IFERROR(AE167/AI167,0)</x:f>
        <x:v>1.8635398845312376</x:v>
      </x:c>
      <x:c r="R167" s="172" t="n">
        <x:f>IFERROR((Q167-P167)/(P167+S167),0)</x:f>
        <x:v>0.024217240707056012</x:v>
      </x:c>
      <x:c r="S167" s="172" t="n">
        <x:f>IFERROR(AF167/AH167,0)</x:f>
        <x:v>0</x:v>
      </x:c>
      <x:c r="T167" s="172" t="n">
        <x:f>IFERROR(AG167/AI167,0)</x:f>
        <x:v>0</x:v>
      </x:c>
      <x:c r="U167" s="172" t="n">
        <x:f>IFERROR((T167-S167)/(P167+S167),0)</x:f>
        <x:v>0</x:v>
      </x:c>
      <x:c r="V167" s="172" t="n">
        <x:f>R167+U167</x:f>
        <x:v>0.024217240707056012</x:v>
      </x:c>
      <x:c r="W167" s="172" t="n">
        <x:f>(1+O167)*(1+V167)-1</x:f>
        <x:v>0.022415098934550848</x:v>
      </x:c>
      <x:c r="X167" s="174" t="n">
        <x:f>G167-W167</x:f>
        <x:v>6.245004513516506e-17</x:v>
      </x:c>
      <x:c r="Y167" s="172" t="str">
        <x:f>AX167</x:f>
      </x:c>
      <x:c r="Z167" s="172" t="n">
        <x:f>BL167</x:f>
        <x:v>0.00019287671232870451</x:v>
      </x:c>
      <x:c r="AA167" s="172" t="n">
        <x:f>SUM(BZ167,CN167,DB167,DP167,ED167,ER167,FF167,FT167)</x:f>
        <x:v>0.022222222222222143</x:v>
      </x:c>
      <x:c r="AB167" s="172" t="n">
        <x:f>SUM(Y167:AA167)</x:f>
        <x:v>0.022415098934550848</x:v>
      </x:c>
      <x:c r="AC167" s="174" t="n">
        <x:f>G167-AB167</x:f>
        <x:v>6.245004513516506e-17</x:v>
      </x:c>
      <x:c r="AD167" s="169" t="n">
        <x:v>1.5843761856118468</x:v>
      </x:c>
      <x:c r="AE167" s="169" t="n">
        <x:v>1.6198901345618828</x:v>
      </x:c>
      <x:c r="AF167" s="169" t="n">
        <x:v>0</x:v>
      </x:c>
      <x:c r="AG167" s="169" t="n">
        <x:v>0</x:v>
      </x:c>
      <x:c r="AH167" s="171" t="n">
        <x:f>M167/$M$3</x:f>
        <x:v>0.8707865168539326</x:v>
      </x:c>
      <x:c r="AI167" s="171" t="n">
        <x:f>N167/$M$3</x:f>
        <x:v>0.8692543411644535</x:v>
      </x:c>
      <x:c r="AJ167" s="170" t="n">
        <x:f>IF(AK167&lt;&gt;"",1,0)+IF(AY167&lt;&gt;"",1,0)+IF(BM167&lt;&gt;"",1,0)+IF(CA167&lt;&gt;"",1,0)+IF(CO167&lt;&gt;"",1,0)+IF(DC167&lt;&gt;"",1,0)+IF(DQ167&lt;&gt;"",1,0)+IF(EE167&lt;&gt;"",1,0)+IF(ES167&lt;&gt;"",1,0)+IF(FG167&lt;&gt;"",1,0)</x:f>
        <x:v>2</x:v>
      </x:c>
      <x:c r="AK167" s="147"/>
      <x:c r="AL167" s="147"/>
      <x:c r="AM167" s="147"/>
      <x:c r="AN167" s="167"/>
      <x:c r="AO167" s="167"/>
      <x:c r="AP167" s="166"/>
      <x:c r="AQ167" s="171" t="str">
        <x:f>IF(AK167="","",IFERROR(F167*AP167/AN167,0))</x:f>
      </x:c>
      <x:c r="AR167" s="171" t="str">
        <x:f>IF(AK167="","",F167*ABS(AP167))</x:f>
      </x:c>
      <x:c r="AS167" s="165"/>
      <x:c r="AT167" s="172" t="str">
        <x:f>IF(AK167="","",IF(AS167="","",IFERROR(AN167/AS167-1,0)))</x:f>
      </x:c>
      <x:c r="AU167" s="166"/>
      <x:c r="AV167" s="172" t="str">
        <x:f>IF(AK167="","",IF(AU167="","",AU167-AT167*365/AW167))</x:f>
      </x:c>
      <x:c r="AW167" s="164"/>
      <x:c r="AX167" s="173" t="str">
        <x:f>IF(AK167="","",IFERROR(AP167*(AO167/AN167-1),0))</x:f>
      </x:c>
      <x:c r="AY167" s="147" t="str">
        <x:v>Matched-maturity Treasury collateral</x:v>
      </x:c>
      <x:c r="AZ167" s="147" t="str">
        <x:v>Treasury</x:v>
      </x:c>
      <x:c r="BA167" s="147" t="str">
        <x:v>Long</x:v>
      </x:c>
      <x:c r="BB167" s="167" t="n">
        <x:v>104.3638544815898</x:v>
      </x:c>
      <x:c r="BC167" s="167" t="n">
        <x:v>104.38398383872816</x:v>
      </x:c>
      <x:c r="BD167" s="166" t="n">
        <x:v>1</x:v>
      </x:c>
      <x:c r="BE167" s="171" t="n">
        <x:f>IF(AY167="","",IFERROR(F167*BD167/BB167,0))</x:f>
        <x:v>0.015181273185835968</x:v>
      </x:c>
      <x:c r="BF167" s="171" t="n">
        <x:f>IF(AY167="","",F167*ABS(BD167))</x:f>
        <x:v>1.5843761856118461</x:v>
      </x:c>
      <x:c r="BG167" s="165"/>
      <x:c r="BH167" s="172" t="str">
        <x:f>IF(AY167="","",IF(BG167="","",IFERROR(BB167/BG167-1,0)))</x:f>
      </x:c>
      <x:c r="BI167" s="166"/>
      <x:c r="BJ167" s="172" t="str">
        <x:f>IF(AY167="","",IF(BI167="","",BI167-BH167*365/BK167))</x:f>
      </x:c>
      <x:c r="BK167" s="164" t="n">
        <x:v>22</x:v>
      </x:c>
      <x:c r="BL167" s="172" t="n">
        <x:f>IF(AY167="","",IFERROR(BD167*(BC167/BB167-1),0))</x:f>
        <x:v>0.00019287671232870451</x:v>
      </x:c>
      <x:c r="BM167" s="147" t="str">
        <x:v>SI69U</x:v>
      </x:c>
      <x:c r="BN167" s="147" t="str">
        <x:v>Silver future (regular)</x:v>
      </x:c>
      <x:c r="BO167" s="147" t="str">
        <x:v>Long</x:v>
      </x:c>
      <x:c r="BP167" s="167" t="n">
        <x:v>1.665</x:v>
      </x:c>
      <x:c r="BQ167" s="167" t="n">
        <x:v>1.702</x:v>
      </x:c>
      <x:c r="BR167" s="166" t="n">
        <x:v>1</x:v>
      </x:c>
      <x:c r="BS167" s="171" t="n">
        <x:f>IF(BM167="","",IFERROR(F167*BR167/BP167,0))</x:f>
        <x:v>0.9515772886557634</x:v>
      </x:c>
      <x:c r="BT167" s="171" t="n">
        <x:f>IF(BM167="","",F167*ABS(BR167))</x:f>
        <x:v>1.5843761856118461</x:v>
      </x:c>
      <x:c r="BU167" s="165" t="n">
        <x:v>1.705</x:v>
      </x:c>
      <x:c r="BV167" s="172" t="n">
        <x:f>IF(BM167="","",IF(BU167="","",IFERROR(BP167/BU167-1,0)))</x:f>
        <x:v>-0.02346041055718473</x:v>
      </x:c>
      <x:c r="BW167" s="166" t="n">
        <x:v>0.0704</x:v>
      </x:c>
      <x:c r="BX167" s="172" t="n">
        <x:f>IF(BM167="","",IF(BW167="","",BW167-BV167*365/BY167))</x:f>
        <x:v>0.4596295387896558</x:v>
      </x:c>
      <x:c r="BY167" s="164" t="n">
        <x:v>22</x:v>
      </x:c>
      <x:c r="BZ167" s="172" t="n">
        <x:f>IF(BM167="","",IFERROR(BR167*(BQ167/BP167-1),0))</x:f>
        <x:v>0.022222222222222143</x:v>
      </x:c>
      <x:c r="CA167" s="147"/>
      <x:c r="CB167" s="147"/>
      <x:c r="CC167" s="147"/>
      <x:c r="CD167" s="167"/>
      <x:c r="CE167" s="167"/>
      <x:c r="CF167" s="166"/>
      <x:c r="CG167" s="171" t="str">
        <x:f>IF(CA167="","",IFERROR(F167*CF167/CD167,0))</x:f>
      </x:c>
      <x:c r="CH167" s="171" t="str">
        <x:f>IF(CA167="","",F167*ABS(CF167))</x:f>
      </x:c>
      <x:c r="CI167" s="165"/>
      <x:c r="CJ167" s="172" t="str">
        <x:f>IF(CA167="","",IF(CI167="","",IFERROR(CD167/CI167-1,0)))</x:f>
      </x:c>
      <x:c r="CK167" s="166"/>
      <x:c r="CL167" s="172" t="str">
        <x:f>IF(CA167="","",IF(CK167="","",CK167-CJ167*365/CM167))</x:f>
      </x:c>
      <x:c r="CM167" s="164"/>
      <x:c r="CN167" s="172" t="str">
        <x:f>IF(CA167="","",IFERROR(CF167*(CE167/CD167-1),0))</x:f>
      </x:c>
      <x:c r="CO167" s="147"/>
      <x:c r="CP167" s="147"/>
      <x:c r="CQ167" s="147"/>
      <x:c r="CR167" s="167"/>
      <x:c r="CS167" s="167"/>
      <x:c r="CT167" s="166"/>
      <x:c r="CU167" s="171" t="str">
        <x:f>IF(CO167="","",IFERROR(F167*CT167/CR167,0))</x:f>
      </x:c>
      <x:c r="CV167" s="171" t="str">
        <x:f>IF(CO167="","",F167*ABS(CT167))</x:f>
      </x:c>
      <x:c r="CW167" s="165"/>
      <x:c r="CX167" s="172" t="str">
        <x:f>IF(CO167="","",IF(CW167="","",IFERROR(CR167/CW167-1,0)))</x:f>
      </x:c>
      <x:c r="CY167" s="166"/>
      <x:c r="CZ167" s="172" t="str">
        <x:f>IF(CO167="","",IF(CY167="","",CY167-CX167*365/DA167))</x:f>
      </x:c>
      <x:c r="DA167" s="164"/>
      <x:c r="DB167" s="172" t="str">
        <x:f>IF(CO167="","",IFERROR(CT167*(CS167/CR167-1),0))</x:f>
      </x:c>
      <x:c r="DC167" s="147"/>
      <x:c r="DD167" s="147"/>
      <x:c r="DE167" s="147"/>
      <x:c r="DF167" s="167"/>
      <x:c r="DG167" s="167"/>
      <x:c r="DH167" s="166"/>
      <x:c r="DI167" s="171" t="str">
        <x:f>IF(DC167="","",IFERROR(F167*DH167/DF167,0))</x:f>
      </x:c>
      <x:c r="DJ167" s="171" t="str">
        <x:f>IF(DC167="","",F167*ABS(DH167))</x:f>
      </x:c>
      <x:c r="DK167" s="165"/>
      <x:c r="DL167" s="172" t="str">
        <x:f>IF(DC167="","",IF(DK167="","",IFERROR(DF167/DK167-1,0)))</x:f>
      </x:c>
      <x:c r="DM167" s="166"/>
      <x:c r="DN167" s="172" t="str">
        <x:f>IF(DC167="","",IF(DM167="","",DM167-DL167*365/DO167))</x:f>
      </x:c>
      <x:c r="DO167" s="164"/>
      <x:c r="DP167" s="172" t="str">
        <x:f>IF(DC167="","",IFERROR(DH167*(DG167/DF167-1),0))</x:f>
      </x:c>
      <x:c r="DQ167" s="147"/>
      <x:c r="DR167" s="147"/>
      <x:c r="DS167" s="147"/>
      <x:c r="DT167" s="167"/>
      <x:c r="DU167" s="167"/>
      <x:c r="DV167" s="166"/>
      <x:c r="DW167" s="171" t="str">
        <x:f>IF(DQ167="","",IFERROR(F167*DV167/DT167,0))</x:f>
      </x:c>
      <x:c r="DX167" s="171" t="str">
        <x:f>IF(DQ167="","",F167*ABS(DV167))</x:f>
      </x:c>
      <x:c r="DY167" s="165"/>
      <x:c r="DZ167" s="172" t="str">
        <x:f>IF(DQ167="","",IF(DY167="","",IFERROR(DT167/DY167-1,0)))</x:f>
      </x:c>
      <x:c r="EA167" s="166"/>
      <x:c r="EB167" s="172" t="str">
        <x:f>IF(DQ167="","",IF(EA167="","",EA167-DZ167*365/EC167))</x:f>
      </x:c>
      <x:c r="EC167" s="164"/>
      <x:c r="ED167" s="172" t="str">
        <x:f>IF(DQ167="","",IFERROR(DV167*(DU167/DT167-1),0))</x:f>
      </x:c>
      <x:c r="EE167" s="147"/>
      <x:c r="EF167" s="147"/>
      <x:c r="EG167" s="147"/>
      <x:c r="EH167" s="167"/>
      <x:c r="EI167" s="167"/>
      <x:c r="EJ167" s="166"/>
      <x:c r="EK167" s="171" t="str">
        <x:f>IF(EE167="","",IFERROR(F167*EJ167/EH167,0))</x:f>
      </x:c>
      <x:c r="EL167" s="171" t="str">
        <x:f>IF(EE167="","",F167*ABS(EJ167))</x:f>
      </x:c>
      <x:c r="EM167" s="165"/>
      <x:c r="EN167" s="172" t="str">
        <x:f>IF(EE167="","",IF(EM167="","",IFERROR(EH167/EM167-1,0)))</x:f>
      </x:c>
      <x:c r="EO167" s="166"/>
      <x:c r="EP167" s="172" t="str">
        <x:f>IF(EE167="","",IF(EO167="","",EO167-EN167*365/EQ167))</x:f>
      </x:c>
      <x:c r="EQ167" s="164"/>
      <x:c r="ER167" s="172" t="str">
        <x:f>IF(EE167="","",IFERROR(EJ167*(EI167/EH167-1),0))</x:f>
      </x:c>
      <x:c r="ES167" s="147"/>
      <x:c r="ET167" s="147"/>
      <x:c r="EU167" s="147"/>
      <x:c r="EV167" s="167"/>
      <x:c r="EW167" s="167"/>
      <x:c r="EX167" s="166"/>
      <x:c r="EY167" s="171" t="str">
        <x:f>IF(ES167="","",IFERROR(F167*EX167/EV167,0))</x:f>
      </x:c>
      <x:c r="EZ167" s="171" t="str">
        <x:f>IF(ES167="","",F167*ABS(EX167))</x:f>
      </x:c>
      <x:c r="FA167" s="165"/>
      <x:c r="FB167" s="172" t="str">
        <x:f>IF(ES167="","",IF(FA167="","",IFERROR(EV167/FA167-1,0)))</x:f>
      </x:c>
      <x:c r="FC167" s="166"/>
      <x:c r="FD167" s="172" t="str">
        <x:f>IF(ES167="","",IF(FC167="","",FC167-FB167*365/FE167))</x:f>
      </x:c>
      <x:c r="FE167" s="164"/>
      <x:c r="FF167" s="172" t="str">
        <x:f>IF(ES167="","",IFERROR(EX167*(EW167/EV167-1),0))</x:f>
      </x:c>
      <x:c r="FG167" s="147"/>
      <x:c r="FH167" s="147"/>
      <x:c r="FI167" s="147"/>
      <x:c r="FJ167" s="167"/>
      <x:c r="FK167" s="167"/>
      <x:c r="FL167" s="166"/>
      <x:c r="FM167" s="171" t="str">
        <x:f>IF(FG167="","",IFERROR(F167*FL167/FJ167,0))</x:f>
      </x:c>
      <x:c r="FN167" s="171" t="str">
        <x:f>IF(FG167="","",F167*ABS(FL167))</x:f>
      </x:c>
      <x:c r="FO167" s="165"/>
      <x:c r="FP167" s="172" t="str">
        <x:f>IF(FG167="","",IF(FO167="","",IFERROR(FJ167/FO167-1,0)))</x:f>
      </x:c>
      <x:c r="FQ167" s="166"/>
      <x:c r="FR167" s="172" t="str">
        <x:f>IF(FG167="","",IF(FQ167="","",FQ167-FP167*365/FS167))</x:f>
      </x:c>
      <x:c r="FS167" s="164"/>
      <x:c r="FT167" s="172" t="str">
        <x:f>IF(FG167="","",IFERROR(FL167*(FK167/FJ167-1),0))</x:f>
      </x:c>
    </x:row>
    <x:row r="168" ht="18" customHeight="1">
      <x:c r="A168" s="163" t="n">
        <x:v>25451</x:v>
      </x:c>
      <x:c r="B168" s="163" t="n">
        <x:v>25454</x:v>
      </x:c>
      <x:c r="C168" s="170" t="n">
        <x:f>B168-A168</x:f>
        <x:v>3</x:v>
      </x:c>
      <x:c r="D168" s="163" t="n">
        <x:v>25451</x:v>
      </x:c>
      <x:c r="E168" s="147" t="str">
        <x:v>positive</x:v>
      </x:c>
      <x:c r="F168" s="165" t="n">
        <x:v>1.619890134561882</x:v>
      </x:c>
      <x:c r="G168" s="168" t="n">
        <x:v>0.011943398324399414</x:v>
      </x:c>
      <x:c r="H168" s="172" t="n">
        <x:f>SUM(AX168,BL168,BZ168,CN168,DB168,DP168,ED168,ER168,FF168,FT168)</x:f>
        <x:v>0.011943398324399362</x:v>
      </x:c>
      <x:c r="I168" s="174" t="n">
        <x:f>G168-H168</x:f>
        <x:v>5.204170427930421e-17</x:v>
      </x:c>
      <x:c r="J168" s="171" t="n">
        <x:f>F168*(1+H168)</x:f>
        <x:v>1.6392371276807192</x:v>
      </x:c>
      <x:c r="K168" s="169" t="n">
        <x:v>1.6392371276807196</x:v>
      </x:c>
      <x:c r="L168" s="175" t="n">
        <x:f>K168-J168</x:f>
        <x:v>4.440892098500626e-16</x:v>
      </x:c>
      <x:c r="M168" s="167" t="n">
        <x:v>1.702</x:v>
      </x:c>
      <x:c r="N168" s="167" t="n">
        <x:v>1.728</x:v>
      </x:c>
      <x:c r="O168" s="172" t="n">
        <x:f>IFERROR(N168/M168-1,0)</x:f>
        <x:v>0.01527614571092828</x:v>
      </x:c>
      <x:c r="P168" s="171" t="n">
        <x:f>IFERROR(AD168/AH168,0)</x:f>
        <x:v>1.8635398845312376</x:v>
      </x:c>
      <x:c r="Q168" s="171" t="n">
        <x:f>IFERROR(AE168/AI168,0)</x:f>
        <x:v>1.8574226249993346</x:v>
      </x:c>
      <x:c r="R168" s="172" t="n">
        <x:f>IFERROR((Q168-P168)/(P168+S168),0)</x:f>
        <x:v>-0.0032826018818705176</x:v>
      </x:c>
      <x:c r="S168" s="172" t="n">
        <x:f>IFERROR(AF168/AH168,0)</x:f>
        <x:v>0</x:v>
      </x:c>
      <x:c r="T168" s="172" t="n">
        <x:f>IFERROR(AG168/AI168,0)</x:f>
        <x:v>0</x:v>
      </x:c>
      <x:c r="U168" s="172" t="n">
        <x:f>IFERROR((T168-S168)/(P168+S168),0)</x:f>
        <x:v>0</x:v>
      </x:c>
      <x:c r="V168" s="172" t="n">
        <x:f>R168+U168</x:f>
        <x:v>-0.0032826018818705176</x:v>
      </x:c>
      <x:c r="W168" s="172" t="n">
        <x:f>(1+O168)*(1+V168)-1</x:f>
        <x:v>0.01194339832439928</x:v>
      </x:c>
      <x:c r="X168" s="174" t="n">
        <x:f>G168-W168</x:f>
        <x:v>1.3530843112619095e-16</x:v>
      </x:c>
      <x:c r="Y168" s="172" t="n">
        <x:f>AX168</x:f>
        <x:v>0.008075296417322603</x:v>
      </x:c>
      <x:c r="Z168" s="172" t="n">
        <x:f>BL168</x:f>
        <x:v>0.0002731156164383043</x:v>
      </x:c>
      <x:c r="AA168" s="172" t="n">
        <x:f>SUM(BZ168,CN168,DB168,DP168,ED168,ER168,FF168,FT168)</x:f>
        <x:v>0.0035949862906384552</x:v>
      </x:c>
      <x:c r="AB168" s="172" t="n">
        <x:f>SUM(Y168:AA168)</x:f>
        <x:v>0.011943398324399362</x:v>
      </x:c>
      <x:c r="AC168" s="174" t="n">
        <x:f>G168-AB168</x:f>
        <x:v>5.204170427930421e-17</x:v>
      </x:c>
      <x:c r="AD168" s="169" t="n">
        <x:v>1.6198901345618828</x:v>
      </x:c>
      <x:c r="AE168" s="169" t="n">
        <x:v>1.6392371276807203</x:v>
      </x:c>
      <x:c r="AF168" s="169" t="n">
        <x:v>0</x:v>
      </x:c>
      <x:c r="AG168" s="169" t="n">
        <x:v>0</x:v>
      </x:c>
      <x:c r="AH168" s="171" t="n">
        <x:f>M168/$M$3</x:f>
        <x:v>0.8692543411644535</x:v>
      </x:c>
      <x:c r="AI168" s="171" t="n">
        <x:f>N168/$M$3</x:f>
        <x:v>0.8825331971399387</x:v>
      </x:c>
      <x:c r="AJ168" s="170" t="n">
        <x:f>IF(AK168&lt;&gt;"",1,0)+IF(AY168&lt;&gt;"",1,0)+IF(BM168&lt;&gt;"",1,0)+IF(CA168&lt;&gt;"",1,0)+IF(CO168&lt;&gt;"",1,0)+IF(DC168&lt;&gt;"",1,0)+IF(DQ168&lt;&gt;"",1,0)+IF(EE168&lt;&gt;"",1,0)+IF(ES168&lt;&gt;"",1,0)+IF(FG168&lt;&gt;"",1,0)</x:f>
        <x:v>3</x:v>
      </x:c>
      <x:c r="AK168" s="147" t="str">
        <x:v>Silver replicating holding (LBMA/SLV proxy)</x:v>
      </x:c>
      <x:c r="AL168" s="147" t="str">
        <x:v>Physical-backed proxy</x:v>
      </x:c>
      <x:c r="AM168" s="147" t="str">
        <x:v>Long</x:v>
      </x:c>
      <x:c r="AN168" s="167" t="n">
        <x:v>1.702</x:v>
      </x:c>
      <x:c r="AO168" s="167" t="n">
        <x:v>1.728</x:v>
      </x:c>
      <x:c r="AP168" s="166" t="n">
        <x:v>0.5293333333333333</x:v>
      </x:c>
      <x:c r="AQ168" s="171" t="n">
        <x:f>IF(AK168="","",IFERROR(F168*AP168/AN168,0))</x:f>
        <x:v>0.5037966184262179</x:v>
      </x:c>
      <x:c r="AR168" s="171" t="n">
        <x:f>IF(AK168="","",F168*ABS(AP168))</x:f>
        <x:v>0.8574618445614228</x:v>
      </x:c>
      <x:c r="AS168" s="165"/>
      <x:c r="AT168" s="172" t="str">
        <x:f>IF(AK168="","",IF(AS168="","",IFERROR(AN168/AS168-1,0)))</x:f>
      </x:c>
      <x:c r="AU168" s="166"/>
      <x:c r="AV168" s="172" t="str">
        <x:f>IF(AK168="","",IF(AU168="","",AU168-AT168*365/AW168))</x:f>
      </x:c>
      <x:c r="AW168" s="164"/>
      <x:c r="AX168" s="173" t="n">
        <x:f>IF(AK168="","",IFERROR(AP168*(AO168/AN168-1-'Parameters'!$C$6*C168/365),0))</x:f>
        <x:v>0.008075296417322603</x:v>
      </x:c>
      <x:c r="AY168" s="147" t="str">
        <x:v>Matched-maturity Treasury collateral</x:v>
      </x:c>
      <x:c r="AZ168" s="147" t="str">
        <x:v>Treasury</x:v>
      </x:c>
      <x:c r="BA168" s="147" t="str">
        <x:v>Long</x:v>
      </x:c>
      <x:c r="BB168" s="167" t="n">
        <x:v>104.38398383872816</x:v>
      </x:c>
      <x:c r="BC168" s="167" t="n">
        <x:v>104.44455514770634</x:v>
      </x:c>
      <x:c r="BD168" s="166" t="n">
        <x:v>0.4706666666666667</x:v>
      </x:c>
      <x:c r="BE168" s="171" t="n">
        <x:f>IF(AY168="","",IFERROR(F168*BD168/BB168,0))</x:f>
        <x:v>0.007304073498271541</x:v>
      </x:c>
      <x:c r="BF168" s="171" t="n">
        <x:f>IF(AY168="","",F168*ABS(BD168))</x:f>
        <x:v>0.7624282900004591</x:v>
      </x:c>
      <x:c r="BG168" s="165"/>
      <x:c r="BH168" s="172" t="str">
        <x:f>IF(AY168="","",IF(BG168="","",IFERROR(BB168/BG168-1,0)))</x:f>
      </x:c>
      <x:c r="BI168" s="166"/>
      <x:c r="BJ168" s="172" t="str">
        <x:f>IF(AY168="","",IF(BI168="","",BI168-BH168*365/BK168))</x:f>
      </x:c>
      <x:c r="BK168" s="164" t="n">
        <x:v>21</x:v>
      </x:c>
      <x:c r="BL168" s="172" t="n">
        <x:f>IF(AY168="","",IFERROR(BD168*(BC168/BB168-1),0))</x:f>
        <x:v>0.0002731156164383043</x:v>
      </x:c>
      <x:c r="BM168" s="147" t="str">
        <x:v>SI69U</x:v>
      </x:c>
      <x:c r="BN168" s="147" t="str">
        <x:v>Silver future (regular)</x:v>
      </x:c>
      <x:c r="BO168" s="147" t="str">
        <x:v>Long</x:v>
      </x:c>
      <x:c r="BP168" s="167" t="n">
        <x:v>1.702</x:v>
      </x:c>
      <x:c r="BQ168" s="167" t="n">
        <x:v>1.715</x:v>
      </x:c>
      <x:c r="BR168" s="166" t="n">
        <x:v>0.4706666666666667</x:v>
      </x:c>
      <x:c r="BS168" s="171" t="n">
        <x:f>IF(BM168="","",IFERROR(F168*BR168/BP168,0))</x:f>
        <x:v>0.4479602173915741</x:v>
      </x:c>
      <x:c r="BT168" s="171" t="n">
        <x:f>IF(BM168="","",F168*ABS(BR168))</x:f>
        <x:v>0.7624282900004591</x:v>
      </x:c>
      <x:c r="BU168" s="165" t="n">
        <x:v>1.702</x:v>
      </x:c>
      <x:c r="BV168" s="172" t="n">
        <x:f>IF(BM168="","",IF(BU168="","",IFERROR(BP168/BU168-1,0)))</x:f>
        <x:v>0</x:v>
      </x:c>
      <x:c r="BW168" s="166" t="n">
        <x:v>0.0706</x:v>
      </x:c>
      <x:c r="BX168" s="172" t="n">
        <x:f>IF(BM168="","",IF(BW168="","",BW168-BV168*365/BY168))</x:f>
        <x:v>0.0706</x:v>
      </x:c>
      <x:c r="BY168" s="164" t="n">
        <x:v>21</x:v>
      </x:c>
      <x:c r="BZ168" s="172" t="n">
        <x:f>IF(BM168="","",IFERROR(BR168*(BQ168/BP168-1),0))</x:f>
        <x:v>0.0035949862906384552</x:v>
      </x:c>
      <x:c r="CA168" s="147"/>
      <x:c r="CB168" s="147"/>
      <x:c r="CC168" s="147"/>
      <x:c r="CD168" s="167"/>
      <x:c r="CE168" s="167"/>
      <x:c r="CF168" s="166"/>
      <x:c r="CG168" s="171" t="str">
        <x:f>IF(CA168="","",IFERROR(F168*CF168/CD168,0))</x:f>
      </x:c>
      <x:c r="CH168" s="171" t="str">
        <x:f>IF(CA168="","",F168*ABS(CF168))</x:f>
      </x:c>
      <x:c r="CI168" s="165"/>
      <x:c r="CJ168" s="172" t="str">
        <x:f>IF(CA168="","",IF(CI168="","",IFERROR(CD168/CI168-1,0)))</x:f>
      </x:c>
      <x:c r="CK168" s="166"/>
      <x:c r="CL168" s="172" t="str">
        <x:f>IF(CA168="","",IF(CK168="","",CK168-CJ168*365/CM168))</x:f>
      </x:c>
      <x:c r="CM168" s="164"/>
      <x:c r="CN168" s="172" t="str">
        <x:f>IF(CA168="","",IFERROR(CF168*(CE168/CD168-1),0))</x:f>
      </x:c>
      <x:c r="CO168" s="147"/>
      <x:c r="CP168" s="147"/>
      <x:c r="CQ168" s="147"/>
      <x:c r="CR168" s="167"/>
      <x:c r="CS168" s="167"/>
      <x:c r="CT168" s="166"/>
      <x:c r="CU168" s="171" t="str">
        <x:f>IF(CO168="","",IFERROR(F168*CT168/CR168,0))</x:f>
      </x:c>
      <x:c r="CV168" s="171" t="str">
        <x:f>IF(CO168="","",F168*ABS(CT168))</x:f>
      </x:c>
      <x:c r="CW168" s="165"/>
      <x:c r="CX168" s="172" t="str">
        <x:f>IF(CO168="","",IF(CW168="","",IFERROR(CR168/CW168-1,0)))</x:f>
      </x:c>
      <x:c r="CY168" s="166"/>
      <x:c r="CZ168" s="172" t="str">
        <x:f>IF(CO168="","",IF(CY168="","",CY168-CX168*365/DA168))</x:f>
      </x:c>
      <x:c r="DA168" s="164"/>
      <x:c r="DB168" s="172" t="str">
        <x:f>IF(CO168="","",IFERROR(CT168*(CS168/CR168-1),0))</x:f>
      </x:c>
      <x:c r="DC168" s="147"/>
      <x:c r="DD168" s="147"/>
      <x:c r="DE168" s="147"/>
      <x:c r="DF168" s="167"/>
      <x:c r="DG168" s="167"/>
      <x:c r="DH168" s="166"/>
      <x:c r="DI168" s="171" t="str">
        <x:f>IF(DC168="","",IFERROR(F168*DH168/DF168,0))</x:f>
      </x:c>
      <x:c r="DJ168" s="171" t="str">
        <x:f>IF(DC168="","",F168*ABS(DH168))</x:f>
      </x:c>
      <x:c r="DK168" s="165"/>
      <x:c r="DL168" s="172" t="str">
        <x:f>IF(DC168="","",IF(DK168="","",IFERROR(DF168/DK168-1,0)))</x:f>
      </x:c>
      <x:c r="DM168" s="166"/>
      <x:c r="DN168" s="172" t="str">
        <x:f>IF(DC168="","",IF(DM168="","",DM168-DL168*365/DO168))</x:f>
      </x:c>
      <x:c r="DO168" s="164"/>
      <x:c r="DP168" s="172" t="str">
        <x:f>IF(DC168="","",IFERROR(DH168*(DG168/DF168-1),0))</x:f>
      </x:c>
      <x:c r="DQ168" s="147"/>
      <x:c r="DR168" s="147"/>
      <x:c r="DS168" s="147"/>
      <x:c r="DT168" s="167"/>
      <x:c r="DU168" s="167"/>
      <x:c r="DV168" s="166"/>
      <x:c r="DW168" s="171" t="str">
        <x:f>IF(DQ168="","",IFERROR(F168*DV168/DT168,0))</x:f>
      </x:c>
      <x:c r="DX168" s="171" t="str">
        <x:f>IF(DQ168="","",F168*ABS(DV168))</x:f>
      </x:c>
      <x:c r="DY168" s="165"/>
      <x:c r="DZ168" s="172" t="str">
        <x:f>IF(DQ168="","",IF(DY168="","",IFERROR(DT168/DY168-1,0)))</x:f>
      </x:c>
      <x:c r="EA168" s="166"/>
      <x:c r="EB168" s="172" t="str">
        <x:f>IF(DQ168="","",IF(EA168="","",EA168-DZ168*365/EC168))</x:f>
      </x:c>
      <x:c r="EC168" s="164"/>
      <x:c r="ED168" s="172" t="str">
        <x:f>IF(DQ168="","",IFERROR(DV168*(DU168/DT168-1),0))</x:f>
      </x:c>
      <x:c r="EE168" s="147"/>
      <x:c r="EF168" s="147"/>
      <x:c r="EG168" s="147"/>
      <x:c r="EH168" s="167"/>
      <x:c r="EI168" s="167"/>
      <x:c r="EJ168" s="166"/>
      <x:c r="EK168" s="171" t="str">
        <x:f>IF(EE168="","",IFERROR(F168*EJ168/EH168,0))</x:f>
      </x:c>
      <x:c r="EL168" s="171" t="str">
        <x:f>IF(EE168="","",F168*ABS(EJ168))</x:f>
      </x:c>
      <x:c r="EM168" s="165"/>
      <x:c r="EN168" s="172" t="str">
        <x:f>IF(EE168="","",IF(EM168="","",IFERROR(EH168/EM168-1,0)))</x:f>
      </x:c>
      <x:c r="EO168" s="166"/>
      <x:c r="EP168" s="172" t="str">
        <x:f>IF(EE168="","",IF(EO168="","",EO168-EN168*365/EQ168))</x:f>
      </x:c>
      <x:c r="EQ168" s="164"/>
      <x:c r="ER168" s="172" t="str">
        <x:f>IF(EE168="","",IFERROR(EJ168*(EI168/EH168-1),0))</x:f>
      </x:c>
      <x:c r="ES168" s="147"/>
      <x:c r="ET168" s="147"/>
      <x:c r="EU168" s="147"/>
      <x:c r="EV168" s="167"/>
      <x:c r="EW168" s="167"/>
      <x:c r="EX168" s="166"/>
      <x:c r="EY168" s="171" t="str">
        <x:f>IF(ES168="","",IFERROR(F168*EX168/EV168,0))</x:f>
      </x:c>
      <x:c r="EZ168" s="171" t="str">
        <x:f>IF(ES168="","",F168*ABS(EX168))</x:f>
      </x:c>
      <x:c r="FA168" s="165"/>
      <x:c r="FB168" s="172" t="str">
        <x:f>IF(ES168="","",IF(FA168="","",IFERROR(EV168/FA168-1,0)))</x:f>
      </x:c>
      <x:c r="FC168" s="166"/>
      <x:c r="FD168" s="172" t="str">
        <x:f>IF(ES168="","",IF(FC168="","",FC168-FB168*365/FE168))</x:f>
      </x:c>
      <x:c r="FE168" s="164"/>
      <x:c r="FF168" s="172" t="str">
        <x:f>IF(ES168="","",IFERROR(EX168*(EW168/EV168-1),0))</x:f>
      </x:c>
      <x:c r="FG168" s="147"/>
      <x:c r="FH168" s="147"/>
      <x:c r="FI168" s="147"/>
      <x:c r="FJ168" s="167"/>
      <x:c r="FK168" s="167"/>
      <x:c r="FL168" s="166"/>
      <x:c r="FM168" s="171" t="str">
        <x:f>IF(FG168="","",IFERROR(F168*FL168/FJ168,0))</x:f>
      </x:c>
      <x:c r="FN168" s="171" t="str">
        <x:f>IF(FG168="","",F168*ABS(FL168))</x:f>
      </x:c>
      <x:c r="FO168" s="165"/>
      <x:c r="FP168" s="172" t="str">
        <x:f>IF(FG168="","",IF(FO168="","",IFERROR(FJ168/FO168-1,0)))</x:f>
      </x:c>
      <x:c r="FQ168" s="166"/>
      <x:c r="FR168" s="172" t="str">
        <x:f>IF(FG168="","",IF(FQ168="","",FQ168-FP168*365/FS168))</x:f>
      </x:c>
      <x:c r="FS168" s="164"/>
      <x:c r="FT168" s="172" t="str">
        <x:f>IF(FG168="","",IFERROR(FL168*(FK168/FJ168-1),0))</x:f>
      </x:c>
    </x:row>
    <x:row r="169" ht="18" customHeight="1">
      <x:c r="A169" s="163" t="n">
        <x:v>25454</x:v>
      </x:c>
      <x:c r="B169" s="163" t="n">
        <x:v>25455</x:v>
      </x:c>
      <x:c r="C169" s="170" t="n">
        <x:f>B169-A169</x:f>
        <x:v>1</x:v>
      </x:c>
      <x:c r="D169" s="163" t="n">
        <x:v>25454</x:v>
      </x:c>
      <x:c r="E169" s="147" t="str">
        <x:v>positive</x:v>
      </x:c>
      <x:c r="F169" s="165" t="n">
        <x:v>1.6392371276807196</x:v>
      </x:c>
      <x:c r="G169" s="168" t="n">
        <x:v>0.014771506050561172</x:v>
      </x:c>
      <x:c r="H169" s="172" t="n">
        <x:f>SUM(AX169,BL169,BZ169,CN169,DB169,DP169,ED169,ER169,FF169,FT169)</x:f>
        <x:v>0.014771506050560879</x:v>
      </x:c>
      <x:c r="I169" s="174" t="n">
        <x:f>G169-H169</x:f>
        <x:v>2.931682674400804e-16</x:v>
      </x:c>
      <x:c r="J169" s="171" t="n">
        <x:f>F169*(1+H169)</x:f>
        <x:v>1.6634511288305593</x:v>
      </x:c>
      <x:c r="K169" s="169" t="n">
        <x:v>1.6634511288305598</x:v>
      </x:c>
      <x:c r="L169" s="175" t="n">
        <x:f>K169-J169</x:f>
        <x:v>4.440892098500626e-16</x:v>
      </x:c>
      <x:c r="M169" s="167" t="n">
        <x:v>1.728</x:v>
      </x:c>
      <x:c r="N169" s="167" t="n">
        <x:v>1.758</x:v>
      </x:c>
      <x:c r="O169" s="172" t="n">
        <x:f>IFERROR(N169/M169-1,0)</x:f>
        <x:v>0.01736111111111116</x:v>
      </x:c>
      <x:c r="P169" s="171" t="n">
        <x:f>IFERROR(AD169/AH169,0)</x:f>
        <x:v>1.8574226249993346</x:v>
      </x:c>
      <x:c r="Q169" s="171" t="n">
        <x:f>IFERROR(AE169/AI169,0)</x:f>
        <x:v>1.852694715728235</x:v>
      </x:c>
      <x:c r="R169" s="172" t="n">
        <x:f>IFERROR((Q169-P169)/(P169+S169),0)</x:f>
        <x:v>-0.0025454138479127047</x:v>
      </x:c>
      <x:c r="S169" s="172" t="n">
        <x:f>IFERROR(AF169/AH169,0)</x:f>
        <x:v>0</x:v>
      </x:c>
      <x:c r="T169" s="172" t="n">
        <x:f>IFERROR(AG169/AI169,0)</x:f>
        <x:v>0</x:v>
      </x:c>
      <x:c r="U169" s="172" t="n">
        <x:f>IFERROR((T169-S169)/(P169+S169),0)</x:f>
        <x:v>0</x:v>
      </x:c>
      <x:c r="V169" s="172" t="n">
        <x:f>R169+U169</x:f>
        <x:v>-0.0025454138479127047</x:v>
      </x:c>
      <x:c r="W169" s="172" t="n">
        <x:f>(1+O169)*(1+V169)-1</x:f>
        <x:v>0.0147715060505611</x:v>
      </x:c>
      <x:c r="X169" s="174" t="n">
        <x:f>G169-W169</x:f>
        <x:v>7.112366251504909e-17</x:v>
      </x:c>
      <x:c r="Y169" s="172" t="str">
        <x:f>AX169</x:f>
      </x:c>
      <x:c r="Z169" s="172" t="n">
        <x:f>BL169</x:f>
        <x:v>0.00019424657534217182</x:v>
      </x:c>
      <x:c r="AA169" s="172" t="n">
        <x:f>SUM(BZ169,CN169,DB169,DP169,ED169,ER169,FF169,FT169)</x:f>
        <x:v>0.014577259475218707</x:v>
      </x:c>
      <x:c r="AB169" s="172" t="n">
        <x:f>SUM(Y169:AA169)</x:f>
        <x:v>0.014771506050560879</x:v>
      </x:c>
      <x:c r="AC169" s="174" t="n">
        <x:f>G169-AB169</x:f>
        <x:v>2.931682674400804e-16</x:v>
      </x:c>
      <x:c r="AD169" s="169" t="n">
        <x:v>1.6392371276807203</x:v>
      </x:c>
      <x:c r="AE169" s="169" t="n">
        <x:v>1.6634511288305605</x:v>
      </x:c>
      <x:c r="AF169" s="169" t="n">
        <x:v>0</x:v>
      </x:c>
      <x:c r="AG169" s="169" t="n">
        <x:v>0</x:v>
      </x:c>
      <x:c r="AH169" s="171" t="n">
        <x:f>M169/$M$3</x:f>
        <x:v>0.8825331971399387</x:v>
      </x:c>
      <x:c r="AI169" s="171" t="n">
        <x:f>N169/$M$3</x:f>
        <x:v>0.8978549540347294</x:v>
      </x:c>
      <x:c r="AJ169" s="170" t="n">
        <x:f>IF(AK169&lt;&gt;"",1,0)+IF(AY169&lt;&gt;"",1,0)+IF(BM169&lt;&gt;"",1,0)+IF(CA169&lt;&gt;"",1,0)+IF(CO169&lt;&gt;"",1,0)+IF(DC169&lt;&gt;"",1,0)+IF(DQ169&lt;&gt;"",1,0)+IF(EE169&lt;&gt;"",1,0)+IF(ES169&lt;&gt;"",1,0)+IF(FG169&lt;&gt;"",1,0)</x:f>
        <x:v>2</x:v>
      </x:c>
      <x:c r="AK169" s="147"/>
      <x:c r="AL169" s="147"/>
      <x:c r="AM169" s="147"/>
      <x:c r="AN169" s="167"/>
      <x:c r="AO169" s="167"/>
      <x:c r="AP169" s="166"/>
      <x:c r="AQ169" s="171" t="str">
        <x:f>IF(AK169="","",IFERROR(F169*AP169/AN169,0))</x:f>
      </x:c>
      <x:c r="AR169" s="171" t="str">
        <x:f>IF(AK169="","",F169*ABS(AP169))</x:f>
      </x:c>
      <x:c r="AS169" s="165"/>
      <x:c r="AT169" s="172" t="str">
        <x:f>IF(AK169="","",IF(AS169="","",IFERROR(AN169/AS169-1,0)))</x:f>
      </x:c>
      <x:c r="AU169" s="166"/>
      <x:c r="AV169" s="172" t="str">
        <x:f>IF(AK169="","",IF(AU169="","",AU169-AT169*365/AW169))</x:f>
      </x:c>
      <x:c r="AW169" s="164"/>
      <x:c r="AX169" s="173" t="str">
        <x:f>IF(AK169="","",IFERROR(AP169*(AO169/AN169-1),0))</x:f>
      </x:c>
      <x:c r="AY169" s="147" t="str">
        <x:v>Matched-maturity Treasury collateral</x:v>
      </x:c>
      <x:c r="AZ169" s="147" t="str">
        <x:v>Treasury</x:v>
      </x:c>
      <x:c r="BA169" s="147" t="str">
        <x:v>Long</x:v>
      </x:c>
      <x:c r="BB169" s="167" t="n">
        <x:v>104.44455514770634</x:v>
      </x:c>
      <x:c r="BC169" s="167" t="n">
        <x:v>104.46484314485693</x:v>
      </x:c>
      <x:c r="BD169" s="166" t="n">
        <x:v>1</x:v>
      </x:c>
      <x:c r="BE169" s="171" t="n">
        <x:f>IF(AY169="","",IFERROR(F169*BD169/BB169,0))</x:f>
        <x:v>0.01569480692758466</x:v>
      </x:c>
      <x:c r="BF169" s="171" t="n">
        <x:f>IF(AY169="","",F169*ABS(BD169))</x:f>
        <x:v>1.6392371276807196</x:v>
      </x:c>
      <x:c r="BG169" s="165"/>
      <x:c r="BH169" s="172" t="str">
        <x:f>IF(AY169="","",IF(BG169="","",IFERROR(BB169/BG169-1,0)))</x:f>
      </x:c>
      <x:c r="BI169" s="166"/>
      <x:c r="BJ169" s="172" t="str">
        <x:f>IF(AY169="","",IF(BI169="","",BI169-BH169*365/BK169))</x:f>
      </x:c>
      <x:c r="BK169" s="164" t="n">
        <x:v>18</x:v>
      </x:c>
      <x:c r="BL169" s="172" t="n">
        <x:f>IF(AY169="","",IFERROR(BD169*(BC169/BB169-1),0))</x:f>
        <x:v>0.00019424657534217182</x:v>
      </x:c>
      <x:c r="BM169" s="147" t="str">
        <x:v>SI69U</x:v>
      </x:c>
      <x:c r="BN169" s="147" t="str">
        <x:v>Silver future (regular)</x:v>
      </x:c>
      <x:c r="BO169" s="147" t="str">
        <x:v>Long</x:v>
      </x:c>
      <x:c r="BP169" s="167" t="n">
        <x:v>1.715</x:v>
      </x:c>
      <x:c r="BQ169" s="167" t="n">
        <x:v>1.74</x:v>
      </x:c>
      <x:c r="BR169" s="166" t="n">
        <x:v>1</x:v>
      </x:c>
      <x:c r="BS169" s="171" t="n">
        <x:f>IF(BM169="","",IFERROR(F169*BR169/BP169,0))</x:f>
        <x:v>0.9558233980645595</x:v>
      </x:c>
      <x:c r="BT169" s="171" t="n">
        <x:f>IF(BM169="","",F169*ABS(BR169))</x:f>
        <x:v>1.6392371276807196</x:v>
      </x:c>
      <x:c r="BU169" s="165" t="n">
        <x:v>1.728</x:v>
      </x:c>
      <x:c r="BV169" s="172" t="n">
        <x:f>IF(BM169="","",IF(BU169="","",IFERROR(BP169/BU169-1,0)))</x:f>
        <x:v>-0.00752314814814814</x:v>
      </x:c>
      <x:c r="BW169" s="166" t="n">
        <x:v>0.0709</x:v>
      </x:c>
      <x:c r="BX169" s="172" t="n">
        <x:f>IF(BM169="","",IF(BW169="","",BW169-BV169*365/BY169))</x:f>
        <x:v>0.2234527263374484</x:v>
      </x:c>
      <x:c r="BY169" s="164" t="n">
        <x:v>18</x:v>
      </x:c>
      <x:c r="BZ169" s="172" t="n">
        <x:f>IF(BM169="","",IFERROR(BR169*(BQ169/BP169-1),0))</x:f>
        <x:v>0.014577259475218707</x:v>
      </x:c>
      <x:c r="CA169" s="147"/>
      <x:c r="CB169" s="147"/>
      <x:c r="CC169" s="147"/>
      <x:c r="CD169" s="167"/>
      <x:c r="CE169" s="167"/>
      <x:c r="CF169" s="166"/>
      <x:c r="CG169" s="171" t="str">
        <x:f>IF(CA169="","",IFERROR(F169*CF169/CD169,0))</x:f>
      </x:c>
      <x:c r="CH169" s="171" t="str">
        <x:f>IF(CA169="","",F169*ABS(CF169))</x:f>
      </x:c>
      <x:c r="CI169" s="165"/>
      <x:c r="CJ169" s="172" t="str">
        <x:f>IF(CA169="","",IF(CI169="","",IFERROR(CD169/CI169-1,0)))</x:f>
      </x:c>
      <x:c r="CK169" s="166"/>
      <x:c r="CL169" s="172" t="str">
        <x:f>IF(CA169="","",IF(CK169="","",CK169-CJ169*365/CM169))</x:f>
      </x:c>
      <x:c r="CM169" s="164"/>
      <x:c r="CN169" s="172" t="str">
        <x:f>IF(CA169="","",IFERROR(CF169*(CE169/CD169-1),0))</x:f>
      </x:c>
      <x:c r="CO169" s="147"/>
      <x:c r="CP169" s="147"/>
      <x:c r="CQ169" s="147"/>
      <x:c r="CR169" s="167"/>
      <x:c r="CS169" s="167"/>
      <x:c r="CT169" s="166"/>
      <x:c r="CU169" s="171" t="str">
        <x:f>IF(CO169="","",IFERROR(F169*CT169/CR169,0))</x:f>
      </x:c>
      <x:c r="CV169" s="171" t="str">
        <x:f>IF(CO169="","",F169*ABS(CT169))</x:f>
      </x:c>
      <x:c r="CW169" s="165"/>
      <x:c r="CX169" s="172" t="str">
        <x:f>IF(CO169="","",IF(CW169="","",IFERROR(CR169/CW169-1,0)))</x:f>
      </x:c>
      <x:c r="CY169" s="166"/>
      <x:c r="CZ169" s="172" t="str">
        <x:f>IF(CO169="","",IF(CY169="","",CY169-CX169*365/DA169))</x:f>
      </x:c>
      <x:c r="DA169" s="164"/>
      <x:c r="DB169" s="172" t="str">
        <x:f>IF(CO169="","",IFERROR(CT169*(CS169/CR169-1),0))</x:f>
      </x:c>
      <x:c r="DC169" s="147"/>
      <x:c r="DD169" s="147"/>
      <x:c r="DE169" s="147"/>
      <x:c r="DF169" s="167"/>
      <x:c r="DG169" s="167"/>
      <x:c r="DH169" s="166"/>
      <x:c r="DI169" s="171" t="str">
        <x:f>IF(DC169="","",IFERROR(F169*DH169/DF169,0))</x:f>
      </x:c>
      <x:c r="DJ169" s="171" t="str">
        <x:f>IF(DC169="","",F169*ABS(DH169))</x:f>
      </x:c>
      <x:c r="DK169" s="165"/>
      <x:c r="DL169" s="172" t="str">
        <x:f>IF(DC169="","",IF(DK169="","",IFERROR(DF169/DK169-1,0)))</x:f>
      </x:c>
      <x:c r="DM169" s="166"/>
      <x:c r="DN169" s="172" t="str">
        <x:f>IF(DC169="","",IF(DM169="","",DM169-DL169*365/DO169))</x:f>
      </x:c>
      <x:c r="DO169" s="164"/>
      <x:c r="DP169" s="172" t="str">
        <x:f>IF(DC169="","",IFERROR(DH169*(DG169/DF169-1),0))</x:f>
      </x:c>
      <x:c r="DQ169" s="147"/>
      <x:c r="DR169" s="147"/>
      <x:c r="DS169" s="147"/>
      <x:c r="DT169" s="167"/>
      <x:c r="DU169" s="167"/>
      <x:c r="DV169" s="166"/>
      <x:c r="DW169" s="171" t="str">
        <x:f>IF(DQ169="","",IFERROR(F169*DV169/DT169,0))</x:f>
      </x:c>
      <x:c r="DX169" s="171" t="str">
        <x:f>IF(DQ169="","",F169*ABS(DV169))</x:f>
      </x:c>
      <x:c r="DY169" s="165"/>
      <x:c r="DZ169" s="172" t="str">
        <x:f>IF(DQ169="","",IF(DY169="","",IFERROR(DT169/DY169-1,0)))</x:f>
      </x:c>
      <x:c r="EA169" s="166"/>
      <x:c r="EB169" s="172" t="str">
        <x:f>IF(DQ169="","",IF(EA169="","",EA169-DZ169*365/EC169))</x:f>
      </x:c>
      <x:c r="EC169" s="164"/>
      <x:c r="ED169" s="172" t="str">
        <x:f>IF(DQ169="","",IFERROR(DV169*(DU169/DT169-1),0))</x:f>
      </x:c>
      <x:c r="EE169" s="147"/>
      <x:c r="EF169" s="147"/>
      <x:c r="EG169" s="147"/>
      <x:c r="EH169" s="167"/>
      <x:c r="EI169" s="167"/>
      <x:c r="EJ169" s="166"/>
      <x:c r="EK169" s="171" t="str">
        <x:f>IF(EE169="","",IFERROR(F169*EJ169/EH169,0))</x:f>
      </x:c>
      <x:c r="EL169" s="171" t="str">
        <x:f>IF(EE169="","",F169*ABS(EJ169))</x:f>
      </x:c>
      <x:c r="EM169" s="165"/>
      <x:c r="EN169" s="172" t="str">
        <x:f>IF(EE169="","",IF(EM169="","",IFERROR(EH169/EM169-1,0)))</x:f>
      </x:c>
      <x:c r="EO169" s="166"/>
      <x:c r="EP169" s="172" t="str">
        <x:f>IF(EE169="","",IF(EO169="","",EO169-EN169*365/EQ169))</x:f>
      </x:c>
      <x:c r="EQ169" s="164"/>
      <x:c r="ER169" s="172" t="str">
        <x:f>IF(EE169="","",IFERROR(EJ169*(EI169/EH169-1),0))</x:f>
      </x:c>
      <x:c r="ES169" s="147"/>
      <x:c r="ET169" s="147"/>
      <x:c r="EU169" s="147"/>
      <x:c r="EV169" s="167"/>
      <x:c r="EW169" s="167"/>
      <x:c r="EX169" s="166"/>
      <x:c r="EY169" s="171" t="str">
        <x:f>IF(ES169="","",IFERROR(F169*EX169/EV169,0))</x:f>
      </x:c>
      <x:c r="EZ169" s="171" t="str">
        <x:f>IF(ES169="","",F169*ABS(EX169))</x:f>
      </x:c>
      <x:c r="FA169" s="165"/>
      <x:c r="FB169" s="172" t="str">
        <x:f>IF(ES169="","",IF(FA169="","",IFERROR(EV169/FA169-1,0)))</x:f>
      </x:c>
      <x:c r="FC169" s="166"/>
      <x:c r="FD169" s="172" t="str">
        <x:f>IF(ES169="","",IF(FC169="","",FC169-FB169*365/FE169))</x:f>
      </x:c>
      <x:c r="FE169" s="164"/>
      <x:c r="FF169" s="172" t="str">
        <x:f>IF(ES169="","",IFERROR(EX169*(EW169/EV169-1),0))</x:f>
      </x:c>
      <x:c r="FG169" s="147"/>
      <x:c r="FH169" s="147"/>
      <x:c r="FI169" s="147"/>
      <x:c r="FJ169" s="167"/>
      <x:c r="FK169" s="167"/>
      <x:c r="FL169" s="166"/>
      <x:c r="FM169" s="171" t="str">
        <x:f>IF(FG169="","",IFERROR(F169*FL169/FJ169,0))</x:f>
      </x:c>
      <x:c r="FN169" s="171" t="str">
        <x:f>IF(FG169="","",F169*ABS(FL169))</x:f>
      </x:c>
      <x:c r="FO169" s="165"/>
      <x:c r="FP169" s="172" t="str">
        <x:f>IF(FG169="","",IF(FO169="","",IFERROR(FJ169/FO169-1,0)))</x:f>
      </x:c>
      <x:c r="FQ169" s="166"/>
      <x:c r="FR169" s="172" t="str">
        <x:f>IF(FG169="","",IF(FQ169="","",FQ169-FP169*365/FS169))</x:f>
      </x:c>
      <x:c r="FS169" s="164"/>
      <x:c r="FT169" s="172" t="str">
        <x:f>IF(FG169="","",IFERROR(FL169*(FK169/FJ169-1),0))</x:f>
      </x:c>
    </x:row>
    <x:row r="170" ht="18" customHeight="1">
      <x:c r="A170" s="163" t="n">
        <x:v>25455</x:v>
      </x:c>
      <x:c r="B170" s="163" t="n">
        <x:v>25456</x:v>
      </x:c>
      <x:c r="C170" s="170" t="n">
        <x:f>B170-A170</x:f>
        <x:v>1</x:v>
      </x:c>
      <x:c r="D170" s="163" t="n">
        <x:v>25455</x:v>
      </x:c>
      <x:c r="E170" s="147" t="str">
        <x:v>positive</x:v>
      </x:c>
      <x:c r="F170" s="165" t="n">
        <x:v>1.6634511288305598</x:v>
      </x:c>
      <x:c r="G170" s="168" t="n">
        <x:v>-0.002677398834829074</x:v>
      </x:c>
      <x:c r="H170" s="172" t="n">
        <x:f>SUM(AX170,BL170,BZ170,CN170,DB170,DP170,ED170,ER170,FF170,FT170)</x:f>
        <x:v>-0.0026773988348289812</x:v>
      </x:c>
      <x:c r="I170" s="174" t="n">
        <x:f>G170-H170</x:f>
        <x:v>-9.280770596475918e-17</x:v>
      </x:c>
      <x:c r="J170" s="171" t="n">
        <x:f>F170*(1+H170)</x:f>
        <x:v>1.658997406716434</x:v>
      </x:c>
      <x:c r="K170" s="169" t="n">
        <x:v>1.6589974067164337</x:v>
      </x:c>
      <x:c r="L170" s="175" t="n">
        <x:f>K170-J170</x:f>
        <x:v>-2.220446049250313e-16</x:v>
      </x:c>
      <x:c r="M170" s="167" t="n">
        <x:v>1.758</x:v>
      </x:c>
      <x:c r="N170" s="167" t="n">
        <x:v>1.754</x:v>
      </x:c>
      <x:c r="O170" s="172" t="n">
        <x:f>IFERROR(N170/M170-1,0)</x:f>
        <x:v>-0.0022753128555176305</x:v>
      </x:c>
      <x:c r="P170" s="171" t="n">
        <x:f>IFERROR(AD170/AH170,0)</x:f>
        <x:v>1.852694715728235</x:v>
      </x:c>
      <x:c r="Q170" s="171" t="n">
        <x:f>IFERROR(AE170/AI170,0)</x:f>
        <x:v>1.8519480743162933</x:v>
      </x:c>
      <x:c r="R170" s="172" t="n">
        <x:f>IFERROR((Q170-P170)/(P170+S170),0)</x:f>
        <x:v>-0.0004030029370749376</x:v>
      </x:c>
      <x:c r="S170" s="172" t="n">
        <x:f>IFERROR(AF170/AH170,0)</x:f>
        <x:v>0</x:v>
      </x:c>
      <x:c r="T170" s="172" t="n">
        <x:f>IFERROR(AG170/AI170,0)</x:f>
        <x:v>0</x:v>
      </x:c>
      <x:c r="U170" s="172" t="n">
        <x:f>IFERROR((T170-S170)/(P170+S170),0)</x:f>
        <x:v>0</x:v>
      </x:c>
      <x:c r="V170" s="172" t="n">
        <x:f>R170+U170</x:f>
        <x:v>-0.0004030029370749376</x:v>
      </x:c>
      <x:c r="W170" s="172" t="n">
        <x:f>(1+O170)*(1+V170)-1</x:f>
        <x:v>-0.0026773988348290922</x:v>
      </x:c>
      <x:c r="X170" s="174" t="n">
        <x:f>G170-W170</x:f>
        <x:v>1.8214596497756474e-17</x:v>
      </x:c>
      <x:c r="Y170" s="172" t="str">
        <x:f>AX170</x:f>
      </x:c>
      <x:c r="Z170" s="172" t="n">
        <x:f>BL170</x:f>
        <x:v>0.0001961643835617366</x:v>
      </x:c>
      <x:c r="AA170" s="172" t="n">
        <x:f>SUM(BZ170,CN170,DB170,DP170,ED170,ER170,FF170,FT170)</x:f>
        <x:v>-0.002873563218390718</x:v>
      </x:c>
      <x:c r="AB170" s="172" t="n">
        <x:f>SUM(Y170:AA170)</x:f>
        <x:v>-0.0026773988348289812</x:v>
      </x:c>
      <x:c r="AC170" s="174" t="n">
        <x:f>G170-AB170</x:f>
        <x:v>-9.280770596475918e-17</x:v>
      </x:c>
      <x:c r="AD170" s="169" t="n">
        <x:v>1.6634511288305605</x:v>
      </x:c>
      <x:c r="AE170" s="169" t="n">
        <x:v>1.6589974067164344</x:v>
      </x:c>
      <x:c r="AF170" s="169" t="n">
        <x:v>0</x:v>
      </x:c>
      <x:c r="AG170" s="169" t="n">
        <x:v>0</x:v>
      </x:c>
      <x:c r="AH170" s="171" t="n">
        <x:f>M170/$M$3</x:f>
        <x:v>0.8978549540347294</x:v>
      </x:c>
      <x:c r="AI170" s="171" t="n">
        <x:f>N170/$M$3</x:f>
        <x:v>0.8958120531154239</x:v>
      </x:c>
      <x:c r="AJ170" s="170" t="n">
        <x:f>IF(AK170&lt;&gt;"",1,0)+IF(AY170&lt;&gt;"",1,0)+IF(BM170&lt;&gt;"",1,0)+IF(CA170&lt;&gt;"",1,0)+IF(CO170&lt;&gt;"",1,0)+IF(DC170&lt;&gt;"",1,0)+IF(DQ170&lt;&gt;"",1,0)+IF(EE170&lt;&gt;"",1,0)+IF(ES170&lt;&gt;"",1,0)+IF(FG170&lt;&gt;"",1,0)</x:f>
        <x:v>2</x:v>
      </x:c>
      <x:c r="AK170" s="147"/>
      <x:c r="AL170" s="147"/>
      <x:c r="AM170" s="147"/>
      <x:c r="AN170" s="167"/>
      <x:c r="AO170" s="167"/>
      <x:c r="AP170" s="166"/>
      <x:c r="AQ170" s="171" t="str">
        <x:f>IF(AK170="","",IFERROR(F170*AP170/AN170,0))</x:f>
      </x:c>
      <x:c r="AR170" s="171" t="str">
        <x:f>IF(AK170="","",F170*ABS(AP170))</x:f>
      </x:c>
      <x:c r="AS170" s="165"/>
      <x:c r="AT170" s="172" t="str">
        <x:f>IF(AK170="","",IF(AS170="","",IFERROR(AN170/AS170-1,0)))</x:f>
      </x:c>
      <x:c r="AU170" s="166"/>
      <x:c r="AV170" s="172" t="str">
        <x:f>IF(AK170="","",IF(AU170="","",AU170-AT170*365/AW170))</x:f>
      </x:c>
      <x:c r="AW170" s="164"/>
      <x:c r="AX170" s="173" t="str">
        <x:f>IF(AK170="","",IFERROR(AP170*(AO170/AN170-1),0))</x:f>
      </x:c>
      <x:c r="AY170" s="147" t="str">
        <x:v>Matched-maturity Treasury collateral</x:v>
      </x:c>
      <x:c r="AZ170" s="147" t="str">
        <x:v>Treasury</x:v>
      </x:c>
      <x:c r="BA170" s="147" t="str">
        <x:v>Long</x:v>
      </x:c>
      <x:c r="BB170" s="167" t="n">
        <x:v>104.46484314485693</x:v>
      </x:c>
      <x:c r="BC170" s="167" t="n">
        <x:v>104.48533542641631</x:v>
      </x:c>
      <x:c r="BD170" s="166" t="n">
        <x:v>1</x:v>
      </x:c>
      <x:c r="BE170" s="171" t="n">
        <x:f>IF(AY170="","",IFERROR(F170*BD170/BB170,0))</x:f>
        <x:v>0.015923549768068125</x:v>
      </x:c>
      <x:c r="BF170" s="171" t="n">
        <x:f>IF(AY170="","",F170*ABS(BD170))</x:f>
        <x:v>1.6634511288305598</x:v>
      </x:c>
      <x:c r="BG170" s="165"/>
      <x:c r="BH170" s="172" t="str">
        <x:f>IF(AY170="","",IF(BG170="","",IFERROR(BB170/BG170-1,0)))</x:f>
      </x:c>
      <x:c r="BI170" s="166"/>
      <x:c r="BJ170" s="172" t="str">
        <x:f>IF(AY170="","",IF(BI170="","",BI170-BH170*365/BK170))</x:f>
      </x:c>
      <x:c r="BK170" s="164" t="n">
        <x:v>17</x:v>
      </x:c>
      <x:c r="BL170" s="172" t="n">
        <x:f>IF(AY170="","",IFERROR(BD170*(BC170/BB170-1),0))</x:f>
        <x:v>0.0001961643835617366</x:v>
      </x:c>
      <x:c r="BM170" s="147" t="str">
        <x:v>SI69U</x:v>
      </x:c>
      <x:c r="BN170" s="147" t="str">
        <x:v>Silver future (regular)</x:v>
      </x:c>
      <x:c r="BO170" s="147" t="str">
        <x:v>Long</x:v>
      </x:c>
      <x:c r="BP170" s="167" t="n">
        <x:v>1.74</x:v>
      </x:c>
      <x:c r="BQ170" s="167" t="n">
        <x:v>1.735</x:v>
      </x:c>
      <x:c r="BR170" s="166" t="n">
        <x:v>1</x:v>
      </x:c>
      <x:c r="BS170" s="171" t="n">
        <x:f>IF(BM170="","",IFERROR(F170*BR170/BP170,0))</x:f>
        <x:v>0.9560063958796321</x:v>
      </x:c>
      <x:c r="BT170" s="171" t="n">
        <x:f>IF(BM170="","",F170*ABS(BR170))</x:f>
        <x:v>1.6634511288305598</x:v>
      </x:c>
      <x:c r="BU170" s="165" t="n">
        <x:v>1.758</x:v>
      </x:c>
      <x:c r="BV170" s="172" t="n">
        <x:f>IF(BM170="","",IF(BU170="","",IFERROR(BP170/BU170-1,0)))</x:f>
        <x:v>-0.010238907849829393</x:v>
      </x:c>
      <x:c r="BW170" s="166" t="n">
        <x:v>0.0716</x:v>
      </x:c>
      <x:c r="BX170" s="172" t="n">
        <x:f>IF(BM170="","",IF(BW170="","",BW170-BV170*365/BY170))</x:f>
        <x:v>0.29143537442280754</x:v>
      </x:c>
      <x:c r="BY170" s="164" t="n">
        <x:v>17</x:v>
      </x:c>
      <x:c r="BZ170" s="172" t="n">
        <x:f>IF(BM170="","",IFERROR(BR170*(BQ170/BP170-1),0))</x:f>
        <x:v>-0.002873563218390718</x:v>
      </x:c>
      <x:c r="CA170" s="147"/>
      <x:c r="CB170" s="147"/>
      <x:c r="CC170" s="147"/>
      <x:c r="CD170" s="167"/>
      <x:c r="CE170" s="167"/>
      <x:c r="CF170" s="166"/>
      <x:c r="CG170" s="171" t="str">
        <x:f>IF(CA170="","",IFERROR(F170*CF170/CD170,0))</x:f>
      </x:c>
      <x:c r="CH170" s="171" t="str">
        <x:f>IF(CA170="","",F170*ABS(CF170))</x:f>
      </x:c>
      <x:c r="CI170" s="165"/>
      <x:c r="CJ170" s="172" t="str">
        <x:f>IF(CA170="","",IF(CI170="","",IFERROR(CD170/CI170-1,0)))</x:f>
      </x:c>
      <x:c r="CK170" s="166"/>
      <x:c r="CL170" s="172" t="str">
        <x:f>IF(CA170="","",IF(CK170="","",CK170-CJ170*365/CM170))</x:f>
      </x:c>
      <x:c r="CM170" s="164"/>
      <x:c r="CN170" s="172" t="str">
        <x:f>IF(CA170="","",IFERROR(CF170*(CE170/CD170-1),0))</x:f>
      </x:c>
      <x:c r="CO170" s="147"/>
      <x:c r="CP170" s="147"/>
      <x:c r="CQ170" s="147"/>
      <x:c r="CR170" s="167"/>
      <x:c r="CS170" s="167"/>
      <x:c r="CT170" s="166"/>
      <x:c r="CU170" s="171" t="str">
        <x:f>IF(CO170="","",IFERROR(F170*CT170/CR170,0))</x:f>
      </x:c>
      <x:c r="CV170" s="171" t="str">
        <x:f>IF(CO170="","",F170*ABS(CT170))</x:f>
      </x:c>
      <x:c r="CW170" s="165"/>
      <x:c r="CX170" s="172" t="str">
        <x:f>IF(CO170="","",IF(CW170="","",IFERROR(CR170/CW170-1,0)))</x:f>
      </x:c>
      <x:c r="CY170" s="166"/>
      <x:c r="CZ170" s="172" t="str">
        <x:f>IF(CO170="","",IF(CY170="","",CY170-CX170*365/DA170))</x:f>
      </x:c>
      <x:c r="DA170" s="164"/>
      <x:c r="DB170" s="172" t="str">
        <x:f>IF(CO170="","",IFERROR(CT170*(CS170/CR170-1),0))</x:f>
      </x:c>
      <x:c r="DC170" s="147"/>
      <x:c r="DD170" s="147"/>
      <x:c r="DE170" s="147"/>
      <x:c r="DF170" s="167"/>
      <x:c r="DG170" s="167"/>
      <x:c r="DH170" s="166"/>
      <x:c r="DI170" s="171" t="str">
        <x:f>IF(DC170="","",IFERROR(F170*DH170/DF170,0))</x:f>
      </x:c>
      <x:c r="DJ170" s="171" t="str">
        <x:f>IF(DC170="","",F170*ABS(DH170))</x:f>
      </x:c>
      <x:c r="DK170" s="165"/>
      <x:c r="DL170" s="172" t="str">
        <x:f>IF(DC170="","",IF(DK170="","",IFERROR(DF170/DK170-1,0)))</x:f>
      </x:c>
      <x:c r="DM170" s="166"/>
      <x:c r="DN170" s="172" t="str">
        <x:f>IF(DC170="","",IF(DM170="","",DM170-DL170*365/DO170))</x:f>
      </x:c>
      <x:c r="DO170" s="164"/>
      <x:c r="DP170" s="172" t="str">
        <x:f>IF(DC170="","",IFERROR(DH170*(DG170/DF170-1),0))</x:f>
      </x:c>
      <x:c r="DQ170" s="147"/>
      <x:c r="DR170" s="147"/>
      <x:c r="DS170" s="147"/>
      <x:c r="DT170" s="167"/>
      <x:c r="DU170" s="167"/>
      <x:c r="DV170" s="166"/>
      <x:c r="DW170" s="171" t="str">
        <x:f>IF(DQ170="","",IFERROR(F170*DV170/DT170,0))</x:f>
      </x:c>
      <x:c r="DX170" s="171" t="str">
        <x:f>IF(DQ170="","",F170*ABS(DV170))</x:f>
      </x:c>
      <x:c r="DY170" s="165"/>
      <x:c r="DZ170" s="172" t="str">
        <x:f>IF(DQ170="","",IF(DY170="","",IFERROR(DT170/DY170-1,0)))</x:f>
      </x:c>
      <x:c r="EA170" s="166"/>
      <x:c r="EB170" s="172" t="str">
        <x:f>IF(DQ170="","",IF(EA170="","",EA170-DZ170*365/EC170))</x:f>
      </x:c>
      <x:c r="EC170" s="164"/>
      <x:c r="ED170" s="172" t="str">
        <x:f>IF(DQ170="","",IFERROR(DV170*(DU170/DT170-1),0))</x:f>
      </x:c>
      <x:c r="EE170" s="147"/>
      <x:c r="EF170" s="147"/>
      <x:c r="EG170" s="147"/>
      <x:c r="EH170" s="167"/>
      <x:c r="EI170" s="167"/>
      <x:c r="EJ170" s="166"/>
      <x:c r="EK170" s="171" t="str">
        <x:f>IF(EE170="","",IFERROR(F170*EJ170/EH170,0))</x:f>
      </x:c>
      <x:c r="EL170" s="171" t="str">
        <x:f>IF(EE170="","",F170*ABS(EJ170))</x:f>
      </x:c>
      <x:c r="EM170" s="165"/>
      <x:c r="EN170" s="172" t="str">
        <x:f>IF(EE170="","",IF(EM170="","",IFERROR(EH170/EM170-1,0)))</x:f>
      </x:c>
      <x:c r="EO170" s="166"/>
      <x:c r="EP170" s="172" t="str">
        <x:f>IF(EE170="","",IF(EO170="","",EO170-EN170*365/EQ170))</x:f>
      </x:c>
      <x:c r="EQ170" s="164"/>
      <x:c r="ER170" s="172" t="str">
        <x:f>IF(EE170="","",IFERROR(EJ170*(EI170/EH170-1),0))</x:f>
      </x:c>
      <x:c r="ES170" s="147"/>
      <x:c r="ET170" s="147"/>
      <x:c r="EU170" s="147"/>
      <x:c r="EV170" s="167"/>
      <x:c r="EW170" s="167"/>
      <x:c r="EX170" s="166"/>
      <x:c r="EY170" s="171" t="str">
        <x:f>IF(ES170="","",IFERROR(F170*EX170/EV170,0))</x:f>
      </x:c>
      <x:c r="EZ170" s="171" t="str">
        <x:f>IF(ES170="","",F170*ABS(EX170))</x:f>
      </x:c>
      <x:c r="FA170" s="165"/>
      <x:c r="FB170" s="172" t="str">
        <x:f>IF(ES170="","",IF(FA170="","",IFERROR(EV170/FA170-1,0)))</x:f>
      </x:c>
      <x:c r="FC170" s="166"/>
      <x:c r="FD170" s="172" t="str">
        <x:f>IF(ES170="","",IF(FC170="","",FC170-FB170*365/FE170))</x:f>
      </x:c>
      <x:c r="FE170" s="164"/>
      <x:c r="FF170" s="172" t="str">
        <x:f>IF(ES170="","",IFERROR(EX170*(EW170/EV170-1),0))</x:f>
      </x:c>
      <x:c r="FG170" s="147"/>
      <x:c r="FH170" s="147"/>
      <x:c r="FI170" s="147"/>
      <x:c r="FJ170" s="167"/>
      <x:c r="FK170" s="167"/>
      <x:c r="FL170" s="166"/>
      <x:c r="FM170" s="171" t="str">
        <x:f>IF(FG170="","",IFERROR(F170*FL170/FJ170,0))</x:f>
      </x:c>
      <x:c r="FN170" s="171" t="str">
        <x:f>IF(FG170="","",F170*ABS(FL170))</x:f>
      </x:c>
      <x:c r="FO170" s="165"/>
      <x:c r="FP170" s="172" t="str">
        <x:f>IF(FG170="","",IF(FO170="","",IFERROR(FJ170/FO170-1,0)))</x:f>
      </x:c>
      <x:c r="FQ170" s="166"/>
      <x:c r="FR170" s="172" t="str">
        <x:f>IF(FG170="","",IF(FQ170="","",FQ170-FP170*365/FS170))</x:f>
      </x:c>
      <x:c r="FS170" s="164"/>
      <x:c r="FT170" s="172" t="str">
        <x:f>IF(FG170="","",IFERROR(FL170*(FK170/FJ170-1),0))</x:f>
      </x:c>
    </x:row>
    <x:row r="171" ht="18" customHeight="1">
      <x:c r="A171" s="163" t="n">
        <x:v>25456</x:v>
      </x:c>
      <x:c r="B171" s="163" t="n">
        <x:v>25457</x:v>
      </x:c>
      <x:c r="C171" s="170" t="n">
        <x:f>B171-A171</x:f>
        <x:v>1</x:v>
      </x:c>
      <x:c r="D171" s="163" t="n">
        <x:v>25456</x:v>
      </x:c>
      <x:c r="E171" s="147" t="str">
        <x:v>positive</x:v>
      </x:c>
      <x:c r="F171" s="165" t="n">
        <x:v>1.6589974067164337</x:v>
      </x:c>
      <x:c r="G171" s="168" t="n">
        <x:v>0.010569708262603094</x:v>
      </x:c>
      <x:c r="H171" s="172" t="n">
        <x:f>SUM(AX171,BL171,BZ171,CN171,DB171,DP171,ED171,ER171,FF171,FT171)</x:f>
        <x:v>0.010569708262603061</x:v>
      </x:c>
      <x:c r="I171" s="174" t="n">
        <x:f>G171-H171</x:f>
        <x:v>3.2959746043559335e-17</x:v>
      </x:c>
      <x:c r="J171" s="171" t="n">
        <x:f>F171*(1+H171)</x:f>
        <x:v>1.6765325253138414</x:v>
      </x:c>
      <x:c r="K171" s="169" t="n">
        <x:v>1.6765325253138414</x:v>
      </x:c>
      <x:c r="L171" s="175" t="n">
        <x:f>K171-J171</x:f>
        <x:v>0</x:v>
      </x:c>
      <x:c r="M171" s="167" t="n">
        <x:v>1.754</x:v>
      </x:c>
      <x:c r="N171" s="167" t="n">
        <x:v>1.769</x:v>
      </x:c>
      <x:c r="O171" s="172" t="n">
        <x:f>IFERROR(N171/M171-1,0)</x:f>
        <x:v>0.008551881413910944</x:v>
      </x:c>
      <x:c r="P171" s="171" t="n">
        <x:f>IFERROR(AD171/AH171,0)</x:f>
        <x:v>1.8519480743162933</x:v>
      </x:c>
      <x:c r="Q171" s="171" t="n">
        <x:f>IFERROR(AE171/AI171,0)</x:f>
        <x:v>1.8556532982275313</x:v>
      </x:c>
      <x:c r="R171" s="172" t="n">
        <x:f>IFERROR((Q171-P171)/(P171+S171),0)</x:f>
        <x:v>0.002000716954553906</x:v>
      </x:c>
      <x:c r="S171" s="172" t="n">
        <x:f>IFERROR(AF171/AH171,0)</x:f>
        <x:v>0</x:v>
      </x:c>
      <x:c r="T171" s="172" t="n">
        <x:f>IFERROR(AG171/AI171,0)</x:f>
        <x:v>0</x:v>
      </x:c>
      <x:c r="U171" s="172" t="n">
        <x:f>IFERROR((T171-S171)/(P171+S171),0)</x:f>
        <x:v>0</x:v>
      </x:c>
      <x:c r="V171" s="172" t="n">
        <x:f>R171+U171</x:f>
        <x:v>0.002000716954553906</x:v>
      </x:c>
      <x:c r="W171" s="172" t="n">
        <x:f>(1+O171)*(1+V171)-1</x:f>
        <x:v>0.010569708262603061</x:v>
      </x:c>
      <x:c r="X171" s="174" t="n">
        <x:f>G171-W171</x:f>
        <x:v>3.2959746043559335e-17</x:v>
      </x:c>
      <x:c r="Y171" s="172" t="str">
        <x:f>AX171</x:f>
      </x:c>
      <x:c r="Z171" s="172" t="n">
        <x:f>BL171</x:f>
        <x:v>0.0001950684931506519</x:v>
      </x:c>
      <x:c r="AA171" s="172" t="n">
        <x:f>SUM(BZ171,CN171,DB171,DP171,ED171,ER171,FF171,FT171)</x:f>
        <x:v>0.01037463976945241</x:v>
      </x:c>
      <x:c r="AB171" s="172" t="n">
        <x:f>SUM(Y171:AA171)</x:f>
        <x:v>0.010569708262603061</x:v>
      </x:c>
      <x:c r="AC171" s="174" t="n">
        <x:f>G171-AB171</x:f>
        <x:v>3.2959746043559335e-17</x:v>
      </x:c>
      <x:c r="AD171" s="169" t="n">
        <x:v>1.6589974067164344</x:v>
      </x:c>
      <x:c r="AE171" s="169" t="n">
        <x:v>1.6765325253138421</x:v>
      </x:c>
      <x:c r="AF171" s="169" t="n">
        <x:v>0</x:v>
      </x:c>
      <x:c r="AG171" s="169" t="n">
        <x:v>0</x:v>
      </x:c>
      <x:c r="AH171" s="171" t="n">
        <x:f>M171/$M$3</x:f>
        <x:v>0.8958120531154239</x:v>
      </x:c>
      <x:c r="AI171" s="171" t="n">
        <x:f>N171/$M$3</x:f>
        <x:v>0.9034729315628192</x:v>
      </x:c>
      <x:c r="AJ171" s="170" t="n">
        <x:f>IF(AK171&lt;&gt;"",1,0)+IF(AY171&lt;&gt;"",1,0)+IF(BM171&lt;&gt;"",1,0)+IF(CA171&lt;&gt;"",1,0)+IF(CO171&lt;&gt;"",1,0)+IF(DC171&lt;&gt;"",1,0)+IF(DQ171&lt;&gt;"",1,0)+IF(EE171&lt;&gt;"",1,0)+IF(ES171&lt;&gt;"",1,0)+IF(FG171&lt;&gt;"",1,0)</x:f>
        <x:v>2</x:v>
      </x:c>
      <x:c r="AK171" s="147"/>
      <x:c r="AL171" s="147"/>
      <x:c r="AM171" s="147"/>
      <x:c r="AN171" s="167"/>
      <x:c r="AO171" s="167"/>
      <x:c r="AP171" s="166"/>
      <x:c r="AQ171" s="171" t="str">
        <x:f>IF(AK171="","",IFERROR(F171*AP171/AN171,0))</x:f>
      </x:c>
      <x:c r="AR171" s="171" t="str">
        <x:f>IF(AK171="","",F171*ABS(AP171))</x:f>
      </x:c>
      <x:c r="AS171" s="165"/>
      <x:c r="AT171" s="172" t="str">
        <x:f>IF(AK171="","",IF(AS171="","",IFERROR(AN171/AS171-1,0)))</x:f>
      </x:c>
      <x:c r="AU171" s="166"/>
      <x:c r="AV171" s="172" t="str">
        <x:f>IF(AK171="","",IF(AU171="","",AU171-AT171*365/AW171))</x:f>
      </x:c>
      <x:c r="AW171" s="164"/>
      <x:c r="AX171" s="173" t="str">
        <x:f>IF(AK171="","",IFERROR(AP171*(AO171/AN171-1),0))</x:f>
      </x:c>
      <x:c r="AY171" s="147" t="str">
        <x:v>Matched-maturity Treasury collateral</x:v>
      </x:c>
      <x:c r="AZ171" s="147" t="str">
        <x:v>Treasury</x:v>
      </x:c>
      <x:c r="BA171" s="147" t="str">
        <x:v>Long</x:v>
      </x:c>
      <x:c r="BB171" s="167" t="n">
        <x:v>104.48533542641631</x:v>
      </x:c>
      <x:c r="BC171" s="167" t="n">
        <x:v>104.50571722335428</x:v>
      </x:c>
      <x:c r="BD171" s="166" t="n">
        <x:v>1</x:v>
      </x:c>
      <x:c r="BE171" s="171" t="n">
        <x:f>IF(AY171="","",IFERROR(F171*BD171/BB171,0))</x:f>
        <x:v>0.0158778014153458</x:v>
      </x:c>
      <x:c r="BF171" s="171" t="n">
        <x:f>IF(AY171="","",F171*ABS(BD171))</x:f>
        <x:v>1.6589974067164337</x:v>
      </x:c>
      <x:c r="BG171" s="165"/>
      <x:c r="BH171" s="172" t="str">
        <x:f>IF(AY171="","",IF(BG171="","",IFERROR(BB171/BG171-1,0)))</x:f>
      </x:c>
      <x:c r="BI171" s="166"/>
      <x:c r="BJ171" s="172" t="str">
        <x:f>IF(AY171="","",IF(BI171="","",BI171-BH171*365/BK171))</x:f>
      </x:c>
      <x:c r="BK171" s="164" t="n">
        <x:v>16</x:v>
      </x:c>
      <x:c r="BL171" s="172" t="n">
        <x:f>IF(AY171="","",IFERROR(BD171*(BC171/BB171-1),0))</x:f>
        <x:v>0.0001950684931506519</x:v>
      </x:c>
      <x:c r="BM171" s="147" t="str">
        <x:v>SI69U</x:v>
      </x:c>
      <x:c r="BN171" s="147" t="str">
        <x:v>Silver future (regular)</x:v>
      </x:c>
      <x:c r="BO171" s="147" t="str">
        <x:v>Long</x:v>
      </x:c>
      <x:c r="BP171" s="167" t="n">
        <x:v>1.735</x:v>
      </x:c>
      <x:c r="BQ171" s="167" t="n">
        <x:v>1.7530000000000001</x:v>
      </x:c>
      <x:c r="BR171" s="166" t="n">
        <x:v>1</x:v>
      </x:c>
      <x:c r="BS171" s="171" t="n">
        <x:f>IF(BM171="","",IFERROR(F171*BR171/BP171,0))</x:f>
        <x:v>0.9561944707299329</x:v>
      </x:c>
      <x:c r="BT171" s="171" t="n">
        <x:f>IF(BM171="","",F171*ABS(BR171))</x:f>
        <x:v>1.6589974067164337</x:v>
      </x:c>
      <x:c r="BU171" s="165" t="n">
        <x:v>1.754</x:v>
      </x:c>
      <x:c r="BV171" s="172" t="n">
        <x:f>IF(BM171="","",IF(BU171="","",IFERROR(BP171/BU171-1,0)))</x:f>
        <x:v>-0.010832383124287248</x:v>
      </x:c>
      <x:c r="BW171" s="166" t="n">
        <x:v>0.0712</x:v>
      </x:c>
      <x:c r="BX171" s="172" t="n">
        <x:f>IF(BM171="","",IF(BW171="","",BW171-BV171*365/BY171))</x:f>
        <x:v>0.3183137400228028</x:v>
      </x:c>
      <x:c r="BY171" s="164" t="n">
        <x:v>16</x:v>
      </x:c>
      <x:c r="BZ171" s="172" t="n">
        <x:f>IF(BM171="","",IFERROR(BR171*(BQ171/BP171-1),0))</x:f>
        <x:v>0.01037463976945241</x:v>
      </x:c>
      <x:c r="CA171" s="147"/>
      <x:c r="CB171" s="147"/>
      <x:c r="CC171" s="147"/>
      <x:c r="CD171" s="167"/>
      <x:c r="CE171" s="167"/>
      <x:c r="CF171" s="166"/>
      <x:c r="CG171" s="171" t="str">
        <x:f>IF(CA171="","",IFERROR(F171*CF171/CD171,0))</x:f>
      </x:c>
      <x:c r="CH171" s="171" t="str">
        <x:f>IF(CA171="","",F171*ABS(CF171))</x:f>
      </x:c>
      <x:c r="CI171" s="165"/>
      <x:c r="CJ171" s="172" t="str">
        <x:f>IF(CA171="","",IF(CI171="","",IFERROR(CD171/CI171-1,0)))</x:f>
      </x:c>
      <x:c r="CK171" s="166"/>
      <x:c r="CL171" s="172" t="str">
        <x:f>IF(CA171="","",IF(CK171="","",CK171-CJ171*365/CM171))</x:f>
      </x:c>
      <x:c r="CM171" s="164"/>
      <x:c r="CN171" s="172" t="str">
        <x:f>IF(CA171="","",IFERROR(CF171*(CE171/CD171-1),0))</x:f>
      </x:c>
      <x:c r="CO171" s="147"/>
      <x:c r="CP171" s="147"/>
      <x:c r="CQ171" s="147"/>
      <x:c r="CR171" s="167"/>
      <x:c r="CS171" s="167"/>
      <x:c r="CT171" s="166"/>
      <x:c r="CU171" s="171" t="str">
        <x:f>IF(CO171="","",IFERROR(F171*CT171/CR171,0))</x:f>
      </x:c>
      <x:c r="CV171" s="171" t="str">
        <x:f>IF(CO171="","",F171*ABS(CT171))</x:f>
      </x:c>
      <x:c r="CW171" s="165"/>
      <x:c r="CX171" s="172" t="str">
        <x:f>IF(CO171="","",IF(CW171="","",IFERROR(CR171/CW171-1,0)))</x:f>
      </x:c>
      <x:c r="CY171" s="166"/>
      <x:c r="CZ171" s="172" t="str">
        <x:f>IF(CO171="","",IF(CY171="","",CY171-CX171*365/DA171))</x:f>
      </x:c>
      <x:c r="DA171" s="164"/>
      <x:c r="DB171" s="172" t="str">
        <x:f>IF(CO171="","",IFERROR(CT171*(CS171/CR171-1),0))</x:f>
      </x:c>
      <x:c r="DC171" s="147"/>
      <x:c r="DD171" s="147"/>
      <x:c r="DE171" s="147"/>
      <x:c r="DF171" s="167"/>
      <x:c r="DG171" s="167"/>
      <x:c r="DH171" s="166"/>
      <x:c r="DI171" s="171" t="str">
        <x:f>IF(DC171="","",IFERROR(F171*DH171/DF171,0))</x:f>
      </x:c>
      <x:c r="DJ171" s="171" t="str">
        <x:f>IF(DC171="","",F171*ABS(DH171))</x:f>
      </x:c>
      <x:c r="DK171" s="165"/>
      <x:c r="DL171" s="172" t="str">
        <x:f>IF(DC171="","",IF(DK171="","",IFERROR(DF171/DK171-1,0)))</x:f>
      </x:c>
      <x:c r="DM171" s="166"/>
      <x:c r="DN171" s="172" t="str">
        <x:f>IF(DC171="","",IF(DM171="","",DM171-DL171*365/DO171))</x:f>
      </x:c>
      <x:c r="DO171" s="164"/>
      <x:c r="DP171" s="172" t="str">
        <x:f>IF(DC171="","",IFERROR(DH171*(DG171/DF171-1),0))</x:f>
      </x:c>
      <x:c r="DQ171" s="147"/>
      <x:c r="DR171" s="147"/>
      <x:c r="DS171" s="147"/>
      <x:c r="DT171" s="167"/>
      <x:c r="DU171" s="167"/>
      <x:c r="DV171" s="166"/>
      <x:c r="DW171" s="171" t="str">
        <x:f>IF(DQ171="","",IFERROR(F171*DV171/DT171,0))</x:f>
      </x:c>
      <x:c r="DX171" s="171" t="str">
        <x:f>IF(DQ171="","",F171*ABS(DV171))</x:f>
      </x:c>
      <x:c r="DY171" s="165"/>
      <x:c r="DZ171" s="172" t="str">
        <x:f>IF(DQ171="","",IF(DY171="","",IFERROR(DT171/DY171-1,0)))</x:f>
      </x:c>
      <x:c r="EA171" s="166"/>
      <x:c r="EB171" s="172" t="str">
        <x:f>IF(DQ171="","",IF(EA171="","",EA171-DZ171*365/EC171))</x:f>
      </x:c>
      <x:c r="EC171" s="164"/>
      <x:c r="ED171" s="172" t="str">
        <x:f>IF(DQ171="","",IFERROR(DV171*(DU171/DT171-1),0))</x:f>
      </x:c>
      <x:c r="EE171" s="147"/>
      <x:c r="EF171" s="147"/>
      <x:c r="EG171" s="147"/>
      <x:c r="EH171" s="167"/>
      <x:c r="EI171" s="167"/>
      <x:c r="EJ171" s="166"/>
      <x:c r="EK171" s="171" t="str">
        <x:f>IF(EE171="","",IFERROR(F171*EJ171/EH171,0))</x:f>
      </x:c>
      <x:c r="EL171" s="171" t="str">
        <x:f>IF(EE171="","",F171*ABS(EJ171))</x:f>
      </x:c>
      <x:c r="EM171" s="165"/>
      <x:c r="EN171" s="172" t="str">
        <x:f>IF(EE171="","",IF(EM171="","",IFERROR(EH171/EM171-1,0)))</x:f>
      </x:c>
      <x:c r="EO171" s="166"/>
      <x:c r="EP171" s="172" t="str">
        <x:f>IF(EE171="","",IF(EO171="","",EO171-EN171*365/EQ171))</x:f>
      </x:c>
      <x:c r="EQ171" s="164"/>
      <x:c r="ER171" s="172" t="str">
        <x:f>IF(EE171="","",IFERROR(EJ171*(EI171/EH171-1),0))</x:f>
      </x:c>
      <x:c r="ES171" s="147"/>
      <x:c r="ET171" s="147"/>
      <x:c r="EU171" s="147"/>
      <x:c r="EV171" s="167"/>
      <x:c r="EW171" s="167"/>
      <x:c r="EX171" s="166"/>
      <x:c r="EY171" s="171" t="str">
        <x:f>IF(ES171="","",IFERROR(F171*EX171/EV171,0))</x:f>
      </x:c>
      <x:c r="EZ171" s="171" t="str">
        <x:f>IF(ES171="","",F171*ABS(EX171))</x:f>
      </x:c>
      <x:c r="FA171" s="165"/>
      <x:c r="FB171" s="172" t="str">
        <x:f>IF(ES171="","",IF(FA171="","",IFERROR(EV171/FA171-1,0)))</x:f>
      </x:c>
      <x:c r="FC171" s="166"/>
      <x:c r="FD171" s="172" t="str">
        <x:f>IF(ES171="","",IF(FC171="","",FC171-FB171*365/FE171))</x:f>
      </x:c>
      <x:c r="FE171" s="164"/>
      <x:c r="FF171" s="172" t="str">
        <x:f>IF(ES171="","",IFERROR(EX171*(EW171/EV171-1),0))</x:f>
      </x:c>
      <x:c r="FG171" s="147"/>
      <x:c r="FH171" s="147"/>
      <x:c r="FI171" s="147"/>
      <x:c r="FJ171" s="167"/>
      <x:c r="FK171" s="167"/>
      <x:c r="FL171" s="166"/>
      <x:c r="FM171" s="171" t="str">
        <x:f>IF(FG171="","",IFERROR(F171*FL171/FJ171,0))</x:f>
      </x:c>
      <x:c r="FN171" s="171" t="str">
        <x:f>IF(FG171="","",F171*ABS(FL171))</x:f>
      </x:c>
      <x:c r="FO171" s="165"/>
      <x:c r="FP171" s="172" t="str">
        <x:f>IF(FG171="","",IF(FO171="","",IFERROR(FJ171/FO171-1,0)))</x:f>
      </x:c>
      <x:c r="FQ171" s="166"/>
      <x:c r="FR171" s="172" t="str">
        <x:f>IF(FG171="","",IF(FQ171="","",FQ171-FP171*365/FS171))</x:f>
      </x:c>
      <x:c r="FS171" s="164"/>
      <x:c r="FT171" s="172" t="str">
        <x:f>IF(FG171="","",IFERROR(FL171*(FK171/FJ171-1),0))</x:f>
      </x:c>
    </x:row>
    <x:row r="172" ht="18" customHeight="1">
      <x:c r="A172" s="163" t="n">
        <x:v>25457</x:v>
      </x:c>
      <x:c r="B172" s="163" t="n">
        <x:v>25458</x:v>
      </x:c>
      <x:c r="C172" s="170" t="n">
        <x:f>B172-A172</x:f>
        <x:v>1</x:v>
      </x:c>
      <x:c r="D172" s="163" t="n">
        <x:v>25457</x:v>
      </x:c>
      <x:c r="E172" s="147" t="str">
        <x:v>positive</x:v>
      </x:c>
      <x:c r="F172" s="165" t="n">
        <x:v>1.6765325253138414</x:v>
      </x:c>
      <x:c r="G172" s="168" t="n">
        <x:v>0.0053283024795066245</x:v>
      </x:c>
      <x:c r="H172" s="172" t="n">
        <x:f>SUM(AX172,BL172,BZ172,CN172,DB172,DP172,ED172,ER172,FF172,FT172)</x:f>
        <x:v>0.0053283024795065526</x:v>
      </x:c>
      <x:c r="I172" s="174" t="n">
        <x:f>G172-H172</x:f>
        <x:v>7.19910242530375e-17</x:v>
      </x:c>
      <x:c r="J172" s="171" t="n">
        <x:f>F172*(1+H172)</x:f>
        <x:v>1.6854655977254445</x:v>
      </x:c>
      <x:c r="K172" s="169" t="n">
        <x:v>1.6854655977254445</x:v>
      </x:c>
      <x:c r="L172" s="175" t="n">
        <x:f>K172-J172</x:f>
        <x:v>0</x:v>
      </x:c>
      <x:c r="M172" s="167" t="n">
        <x:v>1.769</x:v>
      </x:c>
      <x:c r="N172" s="167" t="n">
        <x:v>1.804</x:v>
      </x:c>
      <x:c r="O172" s="172" t="n">
        <x:f>IFERROR(N172/M172-1,0)</x:f>
        <x:v>0.019785189372526935</x:v>
      </x:c>
      <x:c r="P172" s="171" t="n">
        <x:f>IFERROR(AD172/AH172,0)</x:f>
        <x:v>1.8556532982275313</x:v>
      </x:c>
      <x:c r="Q172" s="171" t="n">
        <x:f>IFERROR(AE172/AI172,0)</x:f>
        <x:v>1.8293468072873735</x:v>
      </x:c>
      <x:c r="R172" s="172" t="n">
        <x:f>IFERROR((Q172-P172)/(P172+S172),0)</x:f>
        <x:v>-0.014176404054186756</x:v>
      </x:c>
      <x:c r="S172" s="172" t="n">
        <x:f>IFERROR(AF172/AH172,0)</x:f>
        <x:v>0</x:v>
      </x:c>
      <x:c r="T172" s="172" t="n">
        <x:f>IFERROR(AG172/AI172,0)</x:f>
        <x:v>0</x:v>
      </x:c>
      <x:c r="U172" s="172" t="n">
        <x:f>IFERROR((T172-S172)/(P172+S172),0)</x:f>
        <x:v>0</x:v>
      </x:c>
      <x:c r="V172" s="172" t="n">
        <x:f>R172+U172</x:f>
        <x:v>-0.014176404054186756</x:v>
      </x:c>
      <x:c r="W172" s="172" t="n">
        <x:f>(1+O172)*(1+V172)-1</x:f>
        <x:v>0.0053283024795065526</x:v>
      </x:c>
      <x:c r="X172" s="174" t="n">
        <x:f>G172-W172</x:f>
        <x:v>7.19910242530375e-17</x:v>
      </x:c>
      <x:c r="Y172" s="172" t="str">
        <x:f>AX172</x:f>
      </x:c>
      <x:c r="Z172" s="172" t="n">
        <x:f>BL172</x:f>
        <x:v>0.00019424657534239387</x:v>
      </x:c>
      <x:c r="AA172" s="172" t="n">
        <x:f>SUM(BZ172,CN172,DB172,DP172,ED172,ER172,FF172,FT172)</x:f>
        <x:v>0.005134055904164159</x:v>
      </x:c>
      <x:c r="AB172" s="172" t="n">
        <x:f>SUM(Y172:AA172)</x:f>
        <x:v>0.0053283024795065526</x:v>
      </x:c>
      <x:c r="AC172" s="174" t="n">
        <x:f>G172-AB172</x:f>
        <x:v>7.19910242530375e-17</x:v>
      </x:c>
      <x:c r="AD172" s="169" t="n">
        <x:v>1.6765325253138421</x:v>
      </x:c>
      <x:c r="AE172" s="169" t="n">
        <x:v>1.6854655977254454</x:v>
      </x:c>
      <x:c r="AF172" s="169" t="n">
        <x:v>0</x:v>
      </x:c>
      <x:c r="AG172" s="169" t="n">
        <x:v>0</x:v>
      </x:c>
      <x:c r="AH172" s="171" t="n">
        <x:f>M172/$M$3</x:f>
        <x:v>0.9034729315628192</x:v>
      </x:c>
      <x:c r="AI172" s="171" t="n">
        <x:f>N172/$M$3</x:f>
        <x:v>0.9213483146067416</x:v>
      </x:c>
      <x:c r="AJ172" s="170" t="n">
        <x:f>IF(AK172&lt;&gt;"",1,0)+IF(AY172&lt;&gt;"",1,0)+IF(BM172&lt;&gt;"",1,0)+IF(CA172&lt;&gt;"",1,0)+IF(CO172&lt;&gt;"",1,0)+IF(DC172&lt;&gt;"",1,0)+IF(DQ172&lt;&gt;"",1,0)+IF(EE172&lt;&gt;"",1,0)+IF(ES172&lt;&gt;"",1,0)+IF(FG172&lt;&gt;"",1,0)</x:f>
        <x:v>2</x:v>
      </x:c>
      <x:c r="AK172" s="147"/>
      <x:c r="AL172" s="147"/>
      <x:c r="AM172" s="147"/>
      <x:c r="AN172" s="167"/>
      <x:c r="AO172" s="167"/>
      <x:c r="AP172" s="166"/>
      <x:c r="AQ172" s="171" t="str">
        <x:f>IF(AK172="","",IFERROR(F172*AP172/AN172,0))</x:f>
      </x:c>
      <x:c r="AR172" s="171" t="str">
        <x:f>IF(AK172="","",F172*ABS(AP172))</x:f>
      </x:c>
      <x:c r="AS172" s="165"/>
      <x:c r="AT172" s="172" t="str">
        <x:f>IF(AK172="","",IF(AS172="","",IFERROR(AN172/AS172-1,0)))</x:f>
      </x:c>
      <x:c r="AU172" s="166"/>
      <x:c r="AV172" s="172" t="str">
        <x:f>IF(AK172="","",IF(AU172="","",AU172-AT172*365/AW172))</x:f>
      </x:c>
      <x:c r="AW172" s="164"/>
      <x:c r="AX172" s="173" t="str">
        <x:f>IF(AK172="","",IFERROR(AP172*(AO172/AN172-1),0))</x:f>
      </x:c>
      <x:c r="AY172" s="147" t="str">
        <x:v>Matched-maturity Treasury collateral</x:v>
      </x:c>
      <x:c r="AZ172" s="147" t="str">
        <x:v>Treasury</x:v>
      </x:c>
      <x:c r="BA172" s="147" t="str">
        <x:v>Long</x:v>
      </x:c>
      <x:c r="BB172" s="167" t="n">
        <x:v>104.50571722335428</x:v>
      </x:c>
      <x:c r="BC172" s="167" t="n">
        <x:v>104.52601710102863</x:v>
      </x:c>
      <x:c r="BD172" s="166" t="n">
        <x:v>1</x:v>
      </x:c>
      <x:c r="BE172" s="171" t="n">
        <x:f>IF(AY172="","",IFERROR(F172*BD172/BB172,0))</x:f>
        <x:v>0.01604249575868353</x:v>
      </x:c>
      <x:c r="BF172" s="171" t="n">
        <x:f>IF(AY172="","",F172*ABS(BD172))</x:f>
        <x:v>1.6765325253138414</x:v>
      </x:c>
      <x:c r="BG172" s="165"/>
      <x:c r="BH172" s="172" t="str">
        <x:f>IF(AY172="","",IF(BG172="","",IFERROR(BB172/BG172-1,0)))</x:f>
      </x:c>
      <x:c r="BI172" s="166"/>
      <x:c r="BJ172" s="172" t="str">
        <x:f>IF(AY172="","",IF(BI172="","",BI172-BH172*365/BK172))</x:f>
      </x:c>
      <x:c r="BK172" s="164" t="n">
        <x:v>15</x:v>
      </x:c>
      <x:c r="BL172" s="172" t="n">
        <x:f>IF(AY172="","",IFERROR(BD172*(BC172/BB172-1),0))</x:f>
        <x:v>0.00019424657534239387</x:v>
      </x:c>
      <x:c r="BM172" s="147" t="str">
        <x:v>SI69U</x:v>
      </x:c>
      <x:c r="BN172" s="147" t="str">
        <x:v>Silver future (regular)</x:v>
      </x:c>
      <x:c r="BO172" s="147" t="str">
        <x:v>Long</x:v>
      </x:c>
      <x:c r="BP172" s="167" t="n">
        <x:v>1.7530000000000001</x:v>
      </x:c>
      <x:c r="BQ172" s="167" t="n">
        <x:v>1.7619999999999998</x:v>
      </x:c>
      <x:c r="BR172" s="166" t="n">
        <x:v>1</x:v>
      </x:c>
      <x:c r="BS172" s="171" t="n">
        <x:f>IF(BM172="","",IFERROR(F172*BR172/BP172,0))</x:f>
        <x:v>0.9563790789012215</x:v>
      </x:c>
      <x:c r="BT172" s="171" t="n">
        <x:f>IF(BM172="","",F172*ABS(BR172))</x:f>
        <x:v>1.6765325253138414</x:v>
      </x:c>
      <x:c r="BU172" s="165" t="n">
        <x:v>1.769</x:v>
      </x:c>
      <x:c r="BV172" s="172" t="n">
        <x:f>IF(BM172="","",IF(BU172="","",IFERROR(BP172/BU172-1,0)))</x:f>
        <x:v>-0.009044657998869332</x:v>
      </x:c>
      <x:c r="BW172" s="166" t="n">
        <x:v>0.0709</x:v>
      </x:c>
      <x:c r="BX172" s="172" t="n">
        <x:f>IF(BM172="","",IF(BW172="","",BW172-BV172*365/BY172))</x:f>
        <x:v>0.2909866779724871</x:v>
      </x:c>
      <x:c r="BY172" s="164" t="n">
        <x:v>15</x:v>
      </x:c>
      <x:c r="BZ172" s="172" t="n">
        <x:f>IF(BM172="","",IFERROR(BR172*(BQ172/BP172-1),0))</x:f>
        <x:v>0.005134055904164159</x:v>
      </x:c>
      <x:c r="CA172" s="147"/>
      <x:c r="CB172" s="147"/>
      <x:c r="CC172" s="147"/>
      <x:c r="CD172" s="167"/>
      <x:c r="CE172" s="167"/>
      <x:c r="CF172" s="166"/>
      <x:c r="CG172" s="171" t="str">
        <x:f>IF(CA172="","",IFERROR(F172*CF172/CD172,0))</x:f>
      </x:c>
      <x:c r="CH172" s="171" t="str">
        <x:f>IF(CA172="","",F172*ABS(CF172))</x:f>
      </x:c>
      <x:c r="CI172" s="165"/>
      <x:c r="CJ172" s="172" t="str">
        <x:f>IF(CA172="","",IF(CI172="","",IFERROR(CD172/CI172-1,0)))</x:f>
      </x:c>
      <x:c r="CK172" s="166"/>
      <x:c r="CL172" s="172" t="str">
        <x:f>IF(CA172="","",IF(CK172="","",CK172-CJ172*365/CM172))</x:f>
      </x:c>
      <x:c r="CM172" s="164"/>
      <x:c r="CN172" s="172" t="str">
        <x:f>IF(CA172="","",IFERROR(CF172*(CE172/CD172-1),0))</x:f>
      </x:c>
      <x:c r="CO172" s="147"/>
      <x:c r="CP172" s="147"/>
      <x:c r="CQ172" s="147"/>
      <x:c r="CR172" s="167"/>
      <x:c r="CS172" s="167"/>
      <x:c r="CT172" s="166"/>
      <x:c r="CU172" s="171" t="str">
        <x:f>IF(CO172="","",IFERROR(F172*CT172/CR172,0))</x:f>
      </x:c>
      <x:c r="CV172" s="171" t="str">
        <x:f>IF(CO172="","",F172*ABS(CT172))</x:f>
      </x:c>
      <x:c r="CW172" s="165"/>
      <x:c r="CX172" s="172" t="str">
        <x:f>IF(CO172="","",IF(CW172="","",IFERROR(CR172/CW172-1,0)))</x:f>
      </x:c>
      <x:c r="CY172" s="166"/>
      <x:c r="CZ172" s="172" t="str">
        <x:f>IF(CO172="","",IF(CY172="","",CY172-CX172*365/DA172))</x:f>
      </x:c>
      <x:c r="DA172" s="164"/>
      <x:c r="DB172" s="172" t="str">
        <x:f>IF(CO172="","",IFERROR(CT172*(CS172/CR172-1),0))</x:f>
      </x:c>
      <x:c r="DC172" s="147"/>
      <x:c r="DD172" s="147"/>
      <x:c r="DE172" s="147"/>
      <x:c r="DF172" s="167"/>
      <x:c r="DG172" s="167"/>
      <x:c r="DH172" s="166"/>
      <x:c r="DI172" s="171" t="str">
        <x:f>IF(DC172="","",IFERROR(F172*DH172/DF172,0))</x:f>
      </x:c>
      <x:c r="DJ172" s="171" t="str">
        <x:f>IF(DC172="","",F172*ABS(DH172))</x:f>
      </x:c>
      <x:c r="DK172" s="165"/>
      <x:c r="DL172" s="172" t="str">
        <x:f>IF(DC172="","",IF(DK172="","",IFERROR(DF172/DK172-1,0)))</x:f>
      </x:c>
      <x:c r="DM172" s="166"/>
      <x:c r="DN172" s="172" t="str">
        <x:f>IF(DC172="","",IF(DM172="","",DM172-DL172*365/DO172))</x:f>
      </x:c>
      <x:c r="DO172" s="164"/>
      <x:c r="DP172" s="172" t="str">
        <x:f>IF(DC172="","",IFERROR(DH172*(DG172/DF172-1),0))</x:f>
      </x:c>
      <x:c r="DQ172" s="147"/>
      <x:c r="DR172" s="147"/>
      <x:c r="DS172" s="147"/>
      <x:c r="DT172" s="167"/>
      <x:c r="DU172" s="167"/>
      <x:c r="DV172" s="166"/>
      <x:c r="DW172" s="171" t="str">
        <x:f>IF(DQ172="","",IFERROR(F172*DV172/DT172,0))</x:f>
      </x:c>
      <x:c r="DX172" s="171" t="str">
        <x:f>IF(DQ172="","",F172*ABS(DV172))</x:f>
      </x:c>
      <x:c r="DY172" s="165"/>
      <x:c r="DZ172" s="172" t="str">
        <x:f>IF(DQ172="","",IF(DY172="","",IFERROR(DT172/DY172-1,0)))</x:f>
      </x:c>
      <x:c r="EA172" s="166"/>
      <x:c r="EB172" s="172" t="str">
        <x:f>IF(DQ172="","",IF(EA172="","",EA172-DZ172*365/EC172))</x:f>
      </x:c>
      <x:c r="EC172" s="164"/>
      <x:c r="ED172" s="172" t="str">
        <x:f>IF(DQ172="","",IFERROR(DV172*(DU172/DT172-1),0))</x:f>
      </x:c>
      <x:c r="EE172" s="147"/>
      <x:c r="EF172" s="147"/>
      <x:c r="EG172" s="147"/>
      <x:c r="EH172" s="167"/>
      <x:c r="EI172" s="167"/>
      <x:c r="EJ172" s="166"/>
      <x:c r="EK172" s="171" t="str">
        <x:f>IF(EE172="","",IFERROR(F172*EJ172/EH172,0))</x:f>
      </x:c>
      <x:c r="EL172" s="171" t="str">
        <x:f>IF(EE172="","",F172*ABS(EJ172))</x:f>
      </x:c>
      <x:c r="EM172" s="165"/>
      <x:c r="EN172" s="172" t="str">
        <x:f>IF(EE172="","",IF(EM172="","",IFERROR(EH172/EM172-1,0)))</x:f>
      </x:c>
      <x:c r="EO172" s="166"/>
      <x:c r="EP172" s="172" t="str">
        <x:f>IF(EE172="","",IF(EO172="","",EO172-EN172*365/EQ172))</x:f>
      </x:c>
      <x:c r="EQ172" s="164"/>
      <x:c r="ER172" s="172" t="str">
        <x:f>IF(EE172="","",IFERROR(EJ172*(EI172/EH172-1),0))</x:f>
      </x:c>
      <x:c r="ES172" s="147"/>
      <x:c r="ET172" s="147"/>
      <x:c r="EU172" s="147"/>
      <x:c r="EV172" s="167"/>
      <x:c r="EW172" s="167"/>
      <x:c r="EX172" s="166"/>
      <x:c r="EY172" s="171" t="str">
        <x:f>IF(ES172="","",IFERROR(F172*EX172/EV172,0))</x:f>
      </x:c>
      <x:c r="EZ172" s="171" t="str">
        <x:f>IF(ES172="","",F172*ABS(EX172))</x:f>
      </x:c>
      <x:c r="FA172" s="165"/>
      <x:c r="FB172" s="172" t="str">
        <x:f>IF(ES172="","",IF(FA172="","",IFERROR(EV172/FA172-1,0)))</x:f>
      </x:c>
      <x:c r="FC172" s="166"/>
      <x:c r="FD172" s="172" t="str">
        <x:f>IF(ES172="","",IF(FC172="","",FC172-FB172*365/FE172))</x:f>
      </x:c>
      <x:c r="FE172" s="164"/>
      <x:c r="FF172" s="172" t="str">
        <x:f>IF(ES172="","",IFERROR(EX172*(EW172/EV172-1),0))</x:f>
      </x:c>
      <x:c r="FG172" s="147"/>
      <x:c r="FH172" s="147"/>
      <x:c r="FI172" s="147"/>
      <x:c r="FJ172" s="167"/>
      <x:c r="FK172" s="167"/>
      <x:c r="FL172" s="166"/>
      <x:c r="FM172" s="171" t="str">
        <x:f>IF(FG172="","",IFERROR(F172*FL172/FJ172,0))</x:f>
      </x:c>
      <x:c r="FN172" s="171" t="str">
        <x:f>IF(FG172="","",F172*ABS(FL172))</x:f>
      </x:c>
      <x:c r="FO172" s="165"/>
      <x:c r="FP172" s="172" t="str">
        <x:f>IF(FG172="","",IF(FO172="","",IFERROR(FJ172/FO172-1,0)))</x:f>
      </x:c>
      <x:c r="FQ172" s="166"/>
      <x:c r="FR172" s="172" t="str">
        <x:f>IF(FG172="","",IF(FQ172="","",FQ172-FP172*365/FS172))</x:f>
      </x:c>
      <x:c r="FS172" s="164"/>
      <x:c r="FT172" s="172" t="str">
        <x:f>IF(FG172="","",IFERROR(FL172*(FK172/FJ172-1),0))</x:f>
      </x:c>
    </x:row>
    <x:row r="173" ht="18" customHeight="1">
      <x:c r="A173" s="163" t="n">
        <x:v>25458</x:v>
      </x:c>
      <x:c r="B173" s="163" t="n">
        <x:v>25461</x:v>
      </x:c>
      <x:c r="C173" s="170" t="n">
        <x:f>B173-A173</x:f>
        <x:v>3</x:v>
      </x:c>
      <x:c r="D173" s="163" t="n">
        <x:v>25458</x:v>
      </x:c>
      <x:c r="E173" s="147" t="str">
        <x:v>positive</x:v>
      </x:c>
      <x:c r="F173" s="165" t="n">
        <x:v>1.6854655977254445</x:v>
      </x:c>
      <x:c r="G173" s="168" t="n">
        <x:v>-0.009064565484427512</x:v>
      </x:c>
      <x:c r="H173" s="172" t="n">
        <x:f>SUM(AX173,BL173,BZ173,CN173,DB173,DP173,ED173,ER173,FF173,FT173)</x:f>
        <x:v>-0.009064565484427467</x:v>
      </x:c>
      <x:c r="I173" s="174" t="n">
        <x:f>G173-H173</x:f>
        <x:v>-4.5102810375396984e-17</x:v>
      </x:c>
      <x:c r="J173" s="171" t="n">
        <x:f>F173*(1+H173)</x:f>
        <x:v>1.6701875844431124</x:v>
      </x:c>
      <x:c r="K173" s="169" t="n">
        <x:v>1.6701875844431124</x:v>
      </x:c>
      <x:c r="L173" s="175" t="n">
        <x:f>K173-J173</x:f>
        <x:v>0</x:v>
      </x:c>
      <x:c r="M173" s="167" t="n">
        <x:v>1.804</x:v>
      </x:c>
      <x:c r="N173" s="167" t="n">
        <x:v>1.781</x:v>
      </x:c>
      <x:c r="O173" s="172" t="n">
        <x:f>IFERROR(N173/M173-1,0)</x:f>
        <x:v>-0.012749445676275006</x:v>
      </x:c>
      <x:c r="P173" s="171" t="n">
        <x:f>IFERROR(AD173/AH173,0)</x:f>
        <x:v>1.8293468072873735</x:v>
      </x:c>
      <x:c r="Q173" s="171" t="n">
        <x:f>IFERROR(AE173/AI173,0)</x:f>
        <x:v>1.8361747840199978</x:v>
      </x:c>
      <x:c r="R173" s="172" t="n">
        <x:f>IFERROR((Q173-P173)/(P173+S173),0)</x:f>
        <x:v>0.003732467078098243</x:v>
      </x:c>
      <x:c r="S173" s="172" t="n">
        <x:f>IFERROR(AF173/AH173,0)</x:f>
        <x:v>0</x:v>
      </x:c>
      <x:c r="T173" s="172" t="n">
        <x:f>IFERROR(AG173/AI173,0)</x:f>
        <x:v>0</x:v>
      </x:c>
      <x:c r="U173" s="172" t="n">
        <x:f>IFERROR((T173-S173)/(P173+S173),0)</x:f>
        <x:v>0</x:v>
      </x:c>
      <x:c r="V173" s="172" t="n">
        <x:f>R173+U173</x:f>
        <x:v>0.003732467078098243</x:v>
      </x:c>
      <x:c r="W173" s="172" t="n">
        <x:f>(1+O173)*(1+V173)-1</x:f>
        <x:v>-0.009064565484427467</x:v>
      </x:c>
      <x:c r="X173" s="174" t="n">
        <x:f>G173-W173</x:f>
        <x:v>-4.5102810375396984e-17</x:v>
      </x:c>
      <x:c r="Y173" s="172" t="str">
        <x:f>AX173</x:f>
      </x:c>
      <x:c r="Z173" s="172" t="n">
        <x:f>BL173</x:f>
        <x:v>0.0005835616438356617</x:v>
      </x:c>
      <x:c r="AA173" s="172" t="n">
        <x:f>SUM(BZ173,CN173,DB173,DP173,ED173,ER173,FF173,FT173)</x:f>
        <x:v>-0.009648127128263129</x:v>
      </x:c>
      <x:c r="AB173" s="172" t="n">
        <x:f>SUM(Y173:AA173)</x:f>
        <x:v>-0.009064565484427467</x:v>
      </x:c>
      <x:c r="AC173" s="174" t="n">
        <x:f>G173-AB173</x:f>
        <x:v>-4.5102810375396984e-17</x:v>
      </x:c>
      <x:c r="AD173" s="169" t="n">
        <x:v>1.6854655977254454</x:v>
      </x:c>
      <x:c r="AE173" s="169" t="n">
        <x:v>1.6701875844431133</x:v>
      </x:c>
      <x:c r="AF173" s="169" t="n">
        <x:v>0</x:v>
      </x:c>
      <x:c r="AG173" s="169" t="n">
        <x:v>0</x:v>
      </x:c>
      <x:c r="AH173" s="171" t="n">
        <x:f>M173/$M$3</x:f>
        <x:v>0.9213483146067416</x:v>
      </x:c>
      <x:c r="AI173" s="171" t="n">
        <x:f>N173/$M$3</x:f>
        <x:v>0.9096016343207354</x:v>
      </x:c>
      <x:c r="AJ173" s="170" t="n">
        <x:f>IF(AK173&lt;&gt;"",1,0)+IF(AY173&lt;&gt;"",1,0)+IF(BM173&lt;&gt;"",1,0)+IF(CA173&lt;&gt;"",1,0)+IF(CO173&lt;&gt;"",1,0)+IF(DC173&lt;&gt;"",1,0)+IF(DQ173&lt;&gt;"",1,0)+IF(EE173&lt;&gt;"",1,0)+IF(ES173&lt;&gt;"",1,0)+IF(FG173&lt;&gt;"",1,0)</x:f>
        <x:v>2</x:v>
      </x:c>
      <x:c r="AK173" s="147"/>
      <x:c r="AL173" s="147"/>
      <x:c r="AM173" s="147"/>
      <x:c r="AN173" s="167"/>
      <x:c r="AO173" s="167"/>
      <x:c r="AP173" s="166"/>
      <x:c r="AQ173" s="171" t="str">
        <x:f>IF(AK173="","",IFERROR(F173*AP173/AN173,0))</x:f>
      </x:c>
      <x:c r="AR173" s="171" t="str">
        <x:f>IF(AK173="","",F173*ABS(AP173))</x:f>
      </x:c>
      <x:c r="AS173" s="165"/>
      <x:c r="AT173" s="172" t="str">
        <x:f>IF(AK173="","",IF(AS173="","",IFERROR(AN173/AS173-1,0)))</x:f>
      </x:c>
      <x:c r="AU173" s="166"/>
      <x:c r="AV173" s="172" t="str">
        <x:f>IF(AK173="","",IF(AU173="","",AU173-AT173*365/AW173))</x:f>
      </x:c>
      <x:c r="AW173" s="164"/>
      <x:c r="AX173" s="173" t="str">
        <x:f>IF(AK173="","",IFERROR(AP173*(AO173/AN173-1),0))</x:f>
      </x:c>
      <x:c r="AY173" s="147" t="str">
        <x:v>Matched-maturity Treasury collateral</x:v>
      </x:c>
      <x:c r="AZ173" s="147" t="str">
        <x:v>Treasury</x:v>
      </x:c>
      <x:c r="BA173" s="147" t="str">
        <x:v>Long</x:v>
      </x:c>
      <x:c r="BB173" s="167" t="n">
        <x:v>104.52601710102863</x:v>
      </x:c>
      <x:c r="BC173" s="167" t="n">
        <x:v>104.5870144753917</x:v>
      </x:c>
      <x:c r="BD173" s="166" t="n">
        <x:v>1</x:v>
      </x:c>
      <x:c r="BE173" s="171" t="n">
        <x:f>IF(AY173="","",IFERROR(F173*BD173/BB173,0))</x:f>
        <x:v>0.016124842833113728</x:v>
      </x:c>
      <x:c r="BF173" s="171" t="n">
        <x:f>IF(AY173="","",F173*ABS(BD173))</x:f>
        <x:v>1.6854655977254445</x:v>
      </x:c>
      <x:c r="BG173" s="165"/>
      <x:c r="BH173" s="172" t="str">
        <x:f>IF(AY173="","",IF(BG173="","",IFERROR(BB173/BG173-1,0)))</x:f>
      </x:c>
      <x:c r="BI173" s="166"/>
      <x:c r="BJ173" s="172" t="str">
        <x:f>IF(AY173="","",IF(BI173="","",BI173-BH173*365/BK173))</x:f>
      </x:c>
      <x:c r="BK173" s="164" t="n">
        <x:v>14</x:v>
      </x:c>
      <x:c r="BL173" s="172" t="n">
        <x:f>IF(AY173="","",IFERROR(BD173*(BC173/BB173-1),0))</x:f>
        <x:v>0.0005835616438356617</x:v>
      </x:c>
      <x:c r="BM173" s="147" t="str">
        <x:v>SI69U</x:v>
      </x:c>
      <x:c r="BN173" s="147" t="str">
        <x:v>Silver future (regular)</x:v>
      </x:c>
      <x:c r="BO173" s="147" t="str">
        <x:v>Long</x:v>
      </x:c>
      <x:c r="BP173" s="167" t="n">
        <x:v>1.7619999999999998</x:v>
      </x:c>
      <x:c r="BQ173" s="167" t="n">
        <x:v>1.745</x:v>
      </x:c>
      <x:c r="BR173" s="166" t="n">
        <x:v>1</x:v>
      </x:c>
      <x:c r="BS173" s="171" t="n">
        <x:f>IF(BM173="","",IFERROR(F173*BR173/BP173,0))</x:f>
        <x:v>0.9565639033629084</x:v>
      </x:c>
      <x:c r="BT173" s="171" t="n">
        <x:f>IF(BM173="","",F173*ABS(BR173))</x:f>
        <x:v>1.6854655977254445</x:v>
      </x:c>
      <x:c r="BU173" s="165" t="n">
        <x:v>1.804</x:v>
      </x:c>
      <x:c r="BV173" s="172" t="n">
        <x:f>IF(BM173="","",IF(BU173="","",IFERROR(BP173/BU173-1,0)))</x:f>
        <x:v>-0.0232815964523283</x:v>
      </x:c>
      <x:c r="BW173" s="166" t="n">
        <x:v>0.071</x:v>
      </x:c>
      <x:c r="BX173" s="172" t="n">
        <x:f>IF(BM173="","",IF(BW173="","",BW173-BV173*365/BY173))</x:f>
        <x:v>0.6779844789357021</x:v>
      </x:c>
      <x:c r="BY173" s="164" t="n">
        <x:v>14</x:v>
      </x:c>
      <x:c r="BZ173" s="172" t="n">
        <x:f>IF(BM173="","",IFERROR(BR173*(BQ173/BP173-1),0))</x:f>
        <x:v>-0.009648127128263129</x:v>
      </x:c>
      <x:c r="CA173" s="147"/>
      <x:c r="CB173" s="147"/>
      <x:c r="CC173" s="147"/>
      <x:c r="CD173" s="167"/>
      <x:c r="CE173" s="167"/>
      <x:c r="CF173" s="166"/>
      <x:c r="CG173" s="171" t="str">
        <x:f>IF(CA173="","",IFERROR(F173*CF173/CD173,0))</x:f>
      </x:c>
      <x:c r="CH173" s="171" t="str">
        <x:f>IF(CA173="","",F173*ABS(CF173))</x:f>
      </x:c>
      <x:c r="CI173" s="165"/>
      <x:c r="CJ173" s="172" t="str">
        <x:f>IF(CA173="","",IF(CI173="","",IFERROR(CD173/CI173-1,0)))</x:f>
      </x:c>
      <x:c r="CK173" s="166"/>
      <x:c r="CL173" s="172" t="str">
        <x:f>IF(CA173="","",IF(CK173="","",CK173-CJ173*365/CM173))</x:f>
      </x:c>
      <x:c r="CM173" s="164"/>
      <x:c r="CN173" s="172" t="str">
        <x:f>IF(CA173="","",IFERROR(CF173*(CE173/CD173-1),0))</x:f>
      </x:c>
      <x:c r="CO173" s="147"/>
      <x:c r="CP173" s="147"/>
      <x:c r="CQ173" s="147"/>
      <x:c r="CR173" s="167"/>
      <x:c r="CS173" s="167"/>
      <x:c r="CT173" s="166"/>
      <x:c r="CU173" s="171" t="str">
        <x:f>IF(CO173="","",IFERROR(F173*CT173/CR173,0))</x:f>
      </x:c>
      <x:c r="CV173" s="171" t="str">
        <x:f>IF(CO173="","",F173*ABS(CT173))</x:f>
      </x:c>
      <x:c r="CW173" s="165"/>
      <x:c r="CX173" s="172" t="str">
        <x:f>IF(CO173="","",IF(CW173="","",IFERROR(CR173/CW173-1,0)))</x:f>
      </x:c>
      <x:c r="CY173" s="166"/>
      <x:c r="CZ173" s="172" t="str">
        <x:f>IF(CO173="","",IF(CY173="","",CY173-CX173*365/DA173))</x:f>
      </x:c>
      <x:c r="DA173" s="164"/>
      <x:c r="DB173" s="172" t="str">
        <x:f>IF(CO173="","",IFERROR(CT173*(CS173/CR173-1),0))</x:f>
      </x:c>
      <x:c r="DC173" s="147"/>
      <x:c r="DD173" s="147"/>
      <x:c r="DE173" s="147"/>
      <x:c r="DF173" s="167"/>
      <x:c r="DG173" s="167"/>
      <x:c r="DH173" s="166"/>
      <x:c r="DI173" s="171" t="str">
        <x:f>IF(DC173="","",IFERROR(F173*DH173/DF173,0))</x:f>
      </x:c>
      <x:c r="DJ173" s="171" t="str">
        <x:f>IF(DC173="","",F173*ABS(DH173))</x:f>
      </x:c>
      <x:c r="DK173" s="165"/>
      <x:c r="DL173" s="172" t="str">
        <x:f>IF(DC173="","",IF(DK173="","",IFERROR(DF173/DK173-1,0)))</x:f>
      </x:c>
      <x:c r="DM173" s="166"/>
      <x:c r="DN173" s="172" t="str">
        <x:f>IF(DC173="","",IF(DM173="","",DM173-DL173*365/DO173))</x:f>
      </x:c>
      <x:c r="DO173" s="164"/>
      <x:c r="DP173" s="172" t="str">
        <x:f>IF(DC173="","",IFERROR(DH173*(DG173/DF173-1),0))</x:f>
      </x:c>
      <x:c r="DQ173" s="147"/>
      <x:c r="DR173" s="147"/>
      <x:c r="DS173" s="147"/>
      <x:c r="DT173" s="167"/>
      <x:c r="DU173" s="167"/>
      <x:c r="DV173" s="166"/>
      <x:c r="DW173" s="171" t="str">
        <x:f>IF(DQ173="","",IFERROR(F173*DV173/DT173,0))</x:f>
      </x:c>
      <x:c r="DX173" s="171" t="str">
        <x:f>IF(DQ173="","",F173*ABS(DV173))</x:f>
      </x:c>
      <x:c r="DY173" s="165"/>
      <x:c r="DZ173" s="172" t="str">
        <x:f>IF(DQ173="","",IF(DY173="","",IFERROR(DT173/DY173-1,0)))</x:f>
      </x:c>
      <x:c r="EA173" s="166"/>
      <x:c r="EB173" s="172" t="str">
        <x:f>IF(DQ173="","",IF(EA173="","",EA173-DZ173*365/EC173))</x:f>
      </x:c>
      <x:c r="EC173" s="164"/>
      <x:c r="ED173" s="172" t="str">
        <x:f>IF(DQ173="","",IFERROR(DV173*(DU173/DT173-1),0))</x:f>
      </x:c>
      <x:c r="EE173" s="147"/>
      <x:c r="EF173" s="147"/>
      <x:c r="EG173" s="147"/>
      <x:c r="EH173" s="167"/>
      <x:c r="EI173" s="167"/>
      <x:c r="EJ173" s="166"/>
      <x:c r="EK173" s="171" t="str">
        <x:f>IF(EE173="","",IFERROR(F173*EJ173/EH173,0))</x:f>
      </x:c>
      <x:c r="EL173" s="171" t="str">
        <x:f>IF(EE173="","",F173*ABS(EJ173))</x:f>
      </x:c>
      <x:c r="EM173" s="165"/>
      <x:c r="EN173" s="172" t="str">
        <x:f>IF(EE173="","",IF(EM173="","",IFERROR(EH173/EM173-1,0)))</x:f>
      </x:c>
      <x:c r="EO173" s="166"/>
      <x:c r="EP173" s="172" t="str">
        <x:f>IF(EE173="","",IF(EO173="","",EO173-EN173*365/EQ173))</x:f>
      </x:c>
      <x:c r="EQ173" s="164"/>
      <x:c r="ER173" s="172" t="str">
        <x:f>IF(EE173="","",IFERROR(EJ173*(EI173/EH173-1),0))</x:f>
      </x:c>
      <x:c r="ES173" s="147"/>
      <x:c r="ET173" s="147"/>
      <x:c r="EU173" s="147"/>
      <x:c r="EV173" s="167"/>
      <x:c r="EW173" s="167"/>
      <x:c r="EX173" s="166"/>
      <x:c r="EY173" s="171" t="str">
        <x:f>IF(ES173="","",IFERROR(F173*EX173/EV173,0))</x:f>
      </x:c>
      <x:c r="EZ173" s="171" t="str">
        <x:f>IF(ES173="","",F173*ABS(EX173))</x:f>
      </x:c>
      <x:c r="FA173" s="165"/>
      <x:c r="FB173" s="172" t="str">
        <x:f>IF(ES173="","",IF(FA173="","",IFERROR(EV173/FA173-1,0)))</x:f>
      </x:c>
      <x:c r="FC173" s="166"/>
      <x:c r="FD173" s="172" t="str">
        <x:f>IF(ES173="","",IF(FC173="","",FC173-FB173*365/FE173))</x:f>
      </x:c>
      <x:c r="FE173" s="164"/>
      <x:c r="FF173" s="172" t="str">
        <x:f>IF(ES173="","",IFERROR(EX173*(EW173/EV173-1),0))</x:f>
      </x:c>
      <x:c r="FG173" s="147"/>
      <x:c r="FH173" s="147"/>
      <x:c r="FI173" s="147"/>
      <x:c r="FJ173" s="167"/>
      <x:c r="FK173" s="167"/>
      <x:c r="FL173" s="166"/>
      <x:c r="FM173" s="171" t="str">
        <x:f>IF(FG173="","",IFERROR(F173*FL173/FJ173,0))</x:f>
      </x:c>
      <x:c r="FN173" s="171" t="str">
        <x:f>IF(FG173="","",F173*ABS(FL173))</x:f>
      </x:c>
      <x:c r="FO173" s="165"/>
      <x:c r="FP173" s="172" t="str">
        <x:f>IF(FG173="","",IF(FO173="","",IFERROR(FJ173/FO173-1,0)))</x:f>
      </x:c>
      <x:c r="FQ173" s="166"/>
      <x:c r="FR173" s="172" t="str">
        <x:f>IF(FG173="","",IF(FQ173="","",FQ173-FP173*365/FS173))</x:f>
      </x:c>
      <x:c r="FS173" s="164"/>
      <x:c r="FT173" s="172" t="str">
        <x:f>IF(FG173="","",IFERROR(FL173*(FK173/FJ173-1),0))</x:f>
      </x:c>
    </x:row>
    <x:row r="174" ht="18" customHeight="1">
      <x:c r="A174" s="163" t="n">
        <x:v>25461</x:v>
      </x:c>
      <x:c r="B174" s="163" t="n">
        <x:v>25462</x:v>
      </x:c>
      <x:c r="C174" s="170" t="n">
        <x:f>B174-A174</x:f>
        <x:v>1</x:v>
      </x:c>
      <x:c r="D174" s="163" t="n">
        <x:v>25461</x:v>
      </x:c>
      <x:c r="E174" s="147" t="str">
        <x:v>positive</x:v>
      </x:c>
      <x:c r="F174" s="165" t="n">
        <x:v>1.6701875844431124</x:v>
      </x:c>
      <x:c r="G174" s="168" t="n">
        <x:v>0.02082489304078171</x:v>
      </x:c>
      <x:c r="H174" s="172" t="n">
        <x:f>SUM(AX174,BL174,BZ174,CN174,DB174,DP174,ED174,ER174,FF174,FT174)</x:f>
        <x:v>0.020824893040781722</x:v>
      </x:c>
      <x:c r="I174" s="174" t="n">
        <x:f>G174-H174</x:f>
        <x:v>-1.3877787807814457e-17</x:v>
      </x:c>
      <x:c r="J174" s="171" t="n">
        <x:f>F174*(1+H174)</x:f>
        <x:v>1.7049690622471818</x:v>
      </x:c>
      <x:c r="K174" s="169" t="n">
        <x:v>1.7049690622471818</x:v>
      </x:c>
      <x:c r="L174" s="175" t="n">
        <x:f>K174-J174</x:f>
        <x:v>0</x:v>
      </x:c>
      <x:c r="M174" s="167" t="n">
        <x:v>1.781</x:v>
      </x:c>
      <x:c r="N174" s="167" t="n">
        <x:v>1.768</x:v>
      </x:c>
      <x:c r="O174" s="172" t="n">
        <x:f>IFERROR(N174/M174-1,0)</x:f>
        <x:v>-0.007299270072992692</x:v>
      </x:c>
      <x:c r="P174" s="171" t="n">
        <x:f>IFERROR(AD174/AH174,0)</x:f>
        <x:v>1.8361747840199978</x:v>
      </x:c>
      <x:c r="Q174" s="171" t="n">
        <x:f>IFERROR(AE174/AI174,0)</x:f>
        <x:v>1.8881953754977283</x:v>
      </x:c>
      <x:c r="R174" s="172" t="n">
        <x:f>IFERROR((Q174-P174)/(P174+S174),0)</x:f>
        <x:v>0.028330958430787367</x:v>
      </x:c>
      <x:c r="S174" s="172" t="n">
        <x:f>IFERROR(AF174/AH174,0)</x:f>
        <x:v>0</x:v>
      </x:c>
      <x:c r="T174" s="172" t="n">
        <x:f>IFERROR(AG174/AI174,0)</x:f>
        <x:v>0</x:v>
      </x:c>
      <x:c r="U174" s="172" t="n">
        <x:f>IFERROR((T174-S174)/(P174+S174),0)</x:f>
        <x:v>0</x:v>
      </x:c>
      <x:c r="V174" s="172" t="n">
        <x:f>R174+U174</x:f>
        <x:v>0.028330958430787367</x:v>
      </x:c>
      <x:c r="W174" s="172" t="n">
        <x:f>(1+O174)*(1+V174)-1</x:f>
        <x:v>0.020824893040781722</x:v>
      </x:c>
      <x:c r="X174" s="174" t="n">
        <x:f>G174-W174</x:f>
        <x:v>-1.3877787807814457e-17</x:v>
      </x:c>
      <x:c r="Y174" s="172" t="n">
        <x:f>AX174</x:f>
        <x:v>0</x:v>
      </x:c>
      <x:c r="Z174" s="172" t="n">
        <x:f>BL174</x:f>
        <x:v>0.00019452054794522056</x:v>
      </x:c>
      <x:c r="AA174" s="172" t="n">
        <x:f>SUM(BZ174,CN174,DB174,DP174,ED174,ER174,FF174,FT174)</x:f>
        <x:v>0.020630372492836502</x:v>
      </x:c>
      <x:c r="AB174" s="172" t="n">
        <x:f>SUM(Y174:AA174)</x:f>
        <x:v>0.020824893040781722</x:v>
      </x:c>
      <x:c r="AC174" s="174" t="n">
        <x:f>G174-AB174</x:f>
        <x:v>-1.3877787807814457e-17</x:v>
      </x:c>
      <x:c r="AD174" s="169" t="n">
        <x:v>1.6701875844431133</x:v>
      </x:c>
      <x:c r="AE174" s="169" t="n">
        <x:v>1.7049690622471827</x:v>
      </x:c>
      <x:c r="AF174" s="169" t="n">
        <x:v>0</x:v>
      </x:c>
      <x:c r="AG174" s="169" t="n">
        <x:v>0</x:v>
      </x:c>
      <x:c r="AH174" s="171" t="n">
        <x:f>M174/$M$3</x:f>
        <x:v>0.9096016343207354</x:v>
      </x:c>
      <x:c r="AI174" s="171" t="n">
        <x:f>N174/$M$3</x:f>
        <x:v>0.9029622063329928</x:v>
      </x:c>
      <x:c r="AJ174" s="170" t="n">
        <x:f>IF(AK174&lt;&gt;"",1,0)+IF(AY174&lt;&gt;"",1,0)+IF(BM174&lt;&gt;"",1,0)+IF(CA174&lt;&gt;"",1,0)+IF(CO174&lt;&gt;"",1,0)+IF(DC174&lt;&gt;"",1,0)+IF(DQ174&lt;&gt;"",1,0)+IF(EE174&lt;&gt;"",1,0)+IF(ES174&lt;&gt;"",1,0)+IF(FG174&lt;&gt;"",1,0)</x:f>
        <x:v>2</x:v>
      </x:c>
      <x:c r="AK174" s="147"/>
      <x:c r="AL174" s="147"/>
      <x:c r="AM174" s="147"/>
      <x:c r="AN174" s="167"/>
      <x:c r="AO174" s="167"/>
      <x:c r="AP174" s="166"/>
      <x:c r="AQ174" s="171" t="str">
        <x:f>IF(AK174="","",IFERROR(F174*AP174/AN174,0))</x:f>
      </x:c>
      <x:c r="AR174" s="171" t="str">
        <x:f>IF(AK174="","",F174*ABS(AP174))</x:f>
      </x:c>
      <x:c r="AS174" s="165"/>
      <x:c r="AT174" s="172" t="str">
        <x:f>IF(AK174="","",IF(AS174="","",IFERROR(AN174/AS174-1,0)))</x:f>
      </x:c>
      <x:c r="AU174" s="166"/>
      <x:c r="AV174" s="172" t="str">
        <x:f>IF(AK174="","",IF(AU174="","",AU174-AT174*365/AW174))</x:f>
      </x:c>
      <x:c r="AW174" s="164"/>
      <x:c r="AX174" s="173" t="str">
        <x:f>IF(AK174="","",IFERROR(AP174*(AO174/AN174-1),0))</x:f>
      </x:c>
      <x:c r="AY174" s="147" t="str">
        <x:v>Matched-maturity Treasury collateral</x:v>
      </x:c>
      <x:c r="AZ174" s="147" t="str">
        <x:v>Treasury</x:v>
      </x:c>
      <x:c r="BA174" s="147" t="str">
        <x:v>Long</x:v>
      </x:c>
      <x:c r="BB174" s="167" t="n">
        <x:v>104.5870144753917</x:v>
      </x:c>
      <x:c r="BC174" s="167" t="n">
        <x:v>104.6073587987554</x:v>
      </x:c>
      <x:c r="BD174" s="166" t="n">
        <x:v>1</x:v>
      </x:c>
      <x:c r="BE174" s="171" t="n">
        <x:f>IF(AY174="","",IFERROR(F174*BD174/BB174,0))</x:f>
        <x:v>0.015969359033918034</x:v>
      </x:c>
      <x:c r="BF174" s="171" t="n">
        <x:f>IF(AY174="","",F174*ABS(BD174))</x:f>
        <x:v>1.6701875844431124</x:v>
      </x:c>
      <x:c r="BG174" s="165"/>
      <x:c r="BH174" s="172" t="str">
        <x:f>IF(AY174="","",IF(BG174="","",IFERROR(BB174/BG174-1,0)))</x:f>
      </x:c>
      <x:c r="BI174" s="166"/>
      <x:c r="BJ174" s="172" t="str">
        <x:f>IF(AY174="","",IF(BI174="","",BI174-BH174*365/BK174))</x:f>
      </x:c>
      <x:c r="BK174" s="164" t="n">
        <x:v>11</x:v>
      </x:c>
      <x:c r="BL174" s="172" t="n">
        <x:f>IF(AY174="","",IFERROR(BD174*(BC174/BB174-1),0))</x:f>
        <x:v>0.00019452054794522056</x:v>
      </x:c>
      <x:c r="BM174" s="147" t="str">
        <x:v>SI69U</x:v>
      </x:c>
      <x:c r="BN174" s="147" t="str">
        <x:v>Silver future (regular)</x:v>
      </x:c>
      <x:c r="BO174" s="147" t="str">
        <x:v>Long</x:v>
      </x:c>
      <x:c r="BP174" s="167" t="n">
        <x:v>1.745</x:v>
      </x:c>
      <x:c r="BQ174" s="167" t="n">
        <x:v>1.781</x:v>
      </x:c>
      <x:c r="BR174" s="166" t="n">
        <x:v>1</x:v>
      </x:c>
      <x:c r="BS174" s="171" t="n">
        <x:f>IF(BM174="","",IFERROR(F174*BR174/BP174,0))</x:f>
        <x:v>0.9571275555547921</x:v>
      </x:c>
      <x:c r="BT174" s="171" t="n">
        <x:f>IF(BM174="","",F174*ABS(BR174))</x:f>
        <x:v>1.6701875844431124</x:v>
      </x:c>
      <x:c r="BU174" s="165" t="n">
        <x:v>1.781</x:v>
      </x:c>
      <x:c r="BV174" s="172" t="n">
        <x:f>IF(BM174="","",IF(BU174="","",IFERROR(BP174/BU174-1,0)))</x:f>
        <x:v>-0.02021336327905665</x:v>
      </x:c>
      <x:c r="BW174" s="166" t="n">
        <x:v>0.071</x:v>
      </x:c>
      <x:c r="BX174" s="172" t="n">
        <x:f>IF(BM174="","",IF(BW174="","",BW174-BV174*365/BY174))</x:f>
        <x:v>0.7417161451686979</x:v>
      </x:c>
      <x:c r="BY174" s="164" t="n">
        <x:v>11</x:v>
      </x:c>
      <x:c r="BZ174" s="172" t="n">
        <x:f>IF(BM174="","",IFERROR(BR174*(BQ174/BP174-1),0))</x:f>
        <x:v>0.020630372492836502</x:v>
      </x:c>
      <x:c r="CA174" s="147"/>
      <x:c r="CB174" s="147"/>
      <x:c r="CC174" s="147"/>
      <x:c r="CD174" s="167"/>
      <x:c r="CE174" s="167"/>
      <x:c r="CF174" s="166"/>
      <x:c r="CG174" s="171" t="str">
        <x:f>IF(CA174="","",IFERROR(F174*CF174/CD174,0))</x:f>
      </x:c>
      <x:c r="CH174" s="171" t="str">
        <x:f>IF(CA174="","",F174*ABS(CF174))</x:f>
      </x:c>
      <x:c r="CI174" s="165"/>
      <x:c r="CJ174" s="172" t="str">
        <x:f>IF(CA174="","",IF(CI174="","",IFERROR(CD174/CI174-1,0)))</x:f>
      </x:c>
      <x:c r="CK174" s="166"/>
      <x:c r="CL174" s="172" t="str">
        <x:f>IF(CA174="","",IF(CK174="","",CK174-CJ174*365/CM174))</x:f>
      </x:c>
      <x:c r="CM174" s="164"/>
      <x:c r="CN174" s="172" t="str">
        <x:f>IF(CA174="","",IFERROR(CF174*(CE174/CD174-1),0))</x:f>
      </x:c>
      <x:c r="CO174" s="147"/>
      <x:c r="CP174" s="147"/>
      <x:c r="CQ174" s="147"/>
      <x:c r="CR174" s="167"/>
      <x:c r="CS174" s="167"/>
      <x:c r="CT174" s="166"/>
      <x:c r="CU174" s="171" t="str">
        <x:f>IF(CO174="","",IFERROR(F174*CT174/CR174,0))</x:f>
      </x:c>
      <x:c r="CV174" s="171" t="str">
        <x:f>IF(CO174="","",F174*ABS(CT174))</x:f>
      </x:c>
      <x:c r="CW174" s="165"/>
      <x:c r="CX174" s="172" t="str">
        <x:f>IF(CO174="","",IF(CW174="","",IFERROR(CR174/CW174-1,0)))</x:f>
      </x:c>
      <x:c r="CY174" s="166"/>
      <x:c r="CZ174" s="172" t="str">
        <x:f>IF(CO174="","",IF(CY174="","",CY174-CX174*365/DA174))</x:f>
      </x:c>
      <x:c r="DA174" s="164"/>
      <x:c r="DB174" s="172" t="str">
        <x:f>IF(CO174="","",IFERROR(CT174*(CS174/CR174-1),0))</x:f>
      </x:c>
      <x:c r="DC174" s="147"/>
      <x:c r="DD174" s="147"/>
      <x:c r="DE174" s="147"/>
      <x:c r="DF174" s="167"/>
      <x:c r="DG174" s="167"/>
      <x:c r="DH174" s="166"/>
      <x:c r="DI174" s="171" t="str">
        <x:f>IF(DC174="","",IFERROR(F174*DH174/DF174,0))</x:f>
      </x:c>
      <x:c r="DJ174" s="171" t="str">
        <x:f>IF(DC174="","",F174*ABS(DH174))</x:f>
      </x:c>
      <x:c r="DK174" s="165"/>
      <x:c r="DL174" s="172" t="str">
        <x:f>IF(DC174="","",IF(DK174="","",IFERROR(DF174/DK174-1,0)))</x:f>
      </x:c>
      <x:c r="DM174" s="166"/>
      <x:c r="DN174" s="172" t="str">
        <x:f>IF(DC174="","",IF(DM174="","",DM174-DL174*365/DO174))</x:f>
      </x:c>
      <x:c r="DO174" s="164"/>
      <x:c r="DP174" s="172" t="str">
        <x:f>IF(DC174="","",IFERROR(DH174*(DG174/DF174-1),0))</x:f>
      </x:c>
      <x:c r="DQ174" s="147"/>
      <x:c r="DR174" s="147"/>
      <x:c r="DS174" s="147"/>
      <x:c r="DT174" s="167"/>
      <x:c r="DU174" s="167"/>
      <x:c r="DV174" s="166"/>
      <x:c r="DW174" s="171" t="str">
        <x:f>IF(DQ174="","",IFERROR(F174*DV174/DT174,0))</x:f>
      </x:c>
      <x:c r="DX174" s="171" t="str">
        <x:f>IF(DQ174="","",F174*ABS(DV174))</x:f>
      </x:c>
      <x:c r="DY174" s="165"/>
      <x:c r="DZ174" s="172" t="str">
        <x:f>IF(DQ174="","",IF(DY174="","",IFERROR(DT174/DY174-1,0)))</x:f>
      </x:c>
      <x:c r="EA174" s="166"/>
      <x:c r="EB174" s="172" t="str">
        <x:f>IF(DQ174="","",IF(EA174="","",EA174-DZ174*365/EC174))</x:f>
      </x:c>
      <x:c r="EC174" s="164"/>
      <x:c r="ED174" s="172" t="str">
        <x:f>IF(DQ174="","",IFERROR(DV174*(DU174/DT174-1),0))</x:f>
      </x:c>
      <x:c r="EE174" s="147"/>
      <x:c r="EF174" s="147"/>
      <x:c r="EG174" s="147"/>
      <x:c r="EH174" s="167"/>
      <x:c r="EI174" s="167"/>
      <x:c r="EJ174" s="166"/>
      <x:c r="EK174" s="171" t="str">
        <x:f>IF(EE174="","",IFERROR(F174*EJ174/EH174,0))</x:f>
      </x:c>
      <x:c r="EL174" s="171" t="str">
        <x:f>IF(EE174="","",F174*ABS(EJ174))</x:f>
      </x:c>
      <x:c r="EM174" s="165"/>
      <x:c r="EN174" s="172" t="str">
        <x:f>IF(EE174="","",IF(EM174="","",IFERROR(EH174/EM174-1,0)))</x:f>
      </x:c>
      <x:c r="EO174" s="166"/>
      <x:c r="EP174" s="172" t="str">
        <x:f>IF(EE174="","",IF(EO174="","",EO174-EN174*365/EQ174))</x:f>
      </x:c>
      <x:c r="EQ174" s="164"/>
      <x:c r="ER174" s="172" t="str">
        <x:f>IF(EE174="","",IFERROR(EJ174*(EI174/EH174-1),0))</x:f>
      </x:c>
      <x:c r="ES174" s="147"/>
      <x:c r="ET174" s="147"/>
      <x:c r="EU174" s="147"/>
      <x:c r="EV174" s="167"/>
      <x:c r="EW174" s="167"/>
      <x:c r="EX174" s="166"/>
      <x:c r="EY174" s="171" t="str">
        <x:f>IF(ES174="","",IFERROR(F174*EX174/EV174,0))</x:f>
      </x:c>
      <x:c r="EZ174" s="171" t="str">
        <x:f>IF(ES174="","",F174*ABS(EX174))</x:f>
      </x:c>
      <x:c r="FA174" s="165"/>
      <x:c r="FB174" s="172" t="str">
        <x:f>IF(ES174="","",IF(FA174="","",IFERROR(EV174/FA174-1,0)))</x:f>
      </x:c>
      <x:c r="FC174" s="166"/>
      <x:c r="FD174" s="172" t="str">
        <x:f>IF(ES174="","",IF(FC174="","",FC174-FB174*365/FE174))</x:f>
      </x:c>
      <x:c r="FE174" s="164"/>
      <x:c r="FF174" s="172" t="str">
        <x:f>IF(ES174="","",IFERROR(EX174*(EW174/EV174-1),0))</x:f>
      </x:c>
      <x:c r="FG174" s="147"/>
      <x:c r="FH174" s="147"/>
      <x:c r="FI174" s="147"/>
      <x:c r="FJ174" s="167"/>
      <x:c r="FK174" s="167"/>
      <x:c r="FL174" s="166"/>
      <x:c r="FM174" s="171" t="str">
        <x:f>IF(FG174="","",IFERROR(F174*FL174/FJ174,0))</x:f>
      </x:c>
      <x:c r="FN174" s="171" t="str">
        <x:f>IF(FG174="","",F174*ABS(FL174))</x:f>
      </x:c>
      <x:c r="FO174" s="165"/>
      <x:c r="FP174" s="172" t="str">
        <x:f>IF(FG174="","",IF(FO174="","",IFERROR(FJ174/FO174-1,0)))</x:f>
      </x:c>
      <x:c r="FQ174" s="166"/>
      <x:c r="FR174" s="172" t="str">
        <x:f>IF(FG174="","",IF(FQ174="","",FQ174-FP174*365/FS174))</x:f>
      </x:c>
      <x:c r="FS174" s="164"/>
      <x:c r="FT174" s="172" t="str">
        <x:f>IF(FG174="","",IFERROR(FL174*(FK174/FJ174-1),0))</x:f>
      </x:c>
    </x:row>
    <x:row r="175" ht="18" customHeight="1">
      <x:c r="A175" s="163" t="n">
        <x:v>25462</x:v>
      </x:c>
      <x:c r="B175" s="163" t="n">
        <x:v>25463</x:v>
      </x:c>
      <x:c r="C175" s="170" t="n">
        <x:f>B175-A175</x:f>
        <x:v>1</x:v>
      </x:c>
      <x:c r="D175" s="163" t="n">
        <x:v>25462</x:v>
      </x:c>
      <x:c r="E175" s="147" t="str">
        <x:v>neutral</x:v>
      </x:c>
      <x:c r="F175" s="165" t="n">
        <x:v>1.7049690622471818</x:v>
      </x:c>
      <x:c r="G175" s="168" t="n">
        <x:v>0.02374880679352871</x:v>
      </x:c>
      <x:c r="H175" s="172" t="n">
        <x:f>SUM(AX175,BL175,BZ175,CN175,DB175,DP175,ED175,ER175,FF175,FT175)</x:f>
        <x:v>0.02374880679352871</x:v>
      </x:c>
      <x:c r="I175" s="174" t="n">
        <x:f>G175-H175</x:f>
        <x:v>0</x:v>
      </x:c>
      <x:c r="J175" s="171" t="n">
        <x:f>F175*(1+H175)</x:f>
        <x:v>1.7454600430954341</x:v>
      </x:c>
      <x:c r="K175" s="169" t="n">
        <x:v>1.7454600430954341</x:v>
      </x:c>
      <x:c r="L175" s="175" t="n">
        <x:f>K175-J175</x:f>
        <x:v>0</x:v>
      </x:c>
      <x:c r="M175" s="167" t="n">
        <x:v>1.768</x:v>
      </x:c>
      <x:c r="N175" s="167" t="n">
        <x:v>1.81</x:v>
      </x:c>
      <x:c r="O175" s="172" t="n">
        <x:f>IFERROR(N175/M175-1,0)</x:f>
        <x:v>0.0237556561085972</x:v>
      </x:c>
      <x:c r="P175" s="171" t="n">
        <x:f>IFERROR(AD175/AH175,0)</x:f>
        <x:v>1.8881953754977283</x:v>
      </x:c>
      <x:c r="Q175" s="171" t="n">
        <x:f>IFERROR(AE175/AI175,0)</x:f>
        <x:v>1.888182742751857</x:v>
      </x:c>
      <x:c r="R175" s="172" t="n">
        <x:f>IFERROR((Q175-P175)/(P175+S175),0)</x:f>
        <x:v>-0.000006690380685868956</x:v>
      </x:c>
      <x:c r="S175" s="172" t="n">
        <x:f>IFERROR(AF175/AH175,0)</x:f>
        <x:v>0</x:v>
      </x:c>
      <x:c r="T175" s="172" t="n">
        <x:f>IFERROR(AG175/AI175,0)</x:f>
        <x:v>0</x:v>
      </x:c>
      <x:c r="U175" s="172" t="n">
        <x:f>IFERROR((T175-S175)/(P175+S175),0)</x:f>
        <x:v>0</x:v>
      </x:c>
      <x:c r="V175" s="172" t="n">
        <x:f>R175+U175</x:f>
        <x:v>-0.000006690380685868956</x:v>
      </x:c>
      <x:c r="W175" s="172" t="n">
        <x:f>(1+O175)*(1+V175)-1</x:f>
        <x:v>0.023748806793528532</x:v>
      </x:c>
      <x:c r="X175" s="174" t="n">
        <x:f>G175-W175</x:f>
        <x:v>1.7694179454963432e-16</x:v>
      </x:c>
      <x:c r="Y175" s="172" t="n">
        <x:f>AX175</x:f>
        <x:v>0.02374880679352871</x:v>
      </x:c>
      <x:c r="Z175" s="172" t="str">
        <x:f>BL175</x:f>
      </x:c>
      <x:c r="AA175" s="172" t="n">
        <x:f>SUM(BZ175,CN175,DB175,DP175,ED175,ER175,FF175,FT175)</x:f>
        <x:v>0</x:v>
      </x:c>
      <x:c r="AB175" s="172" t="n">
        <x:f>SUM(Y175:AA175)</x:f>
        <x:v>0.02374880679352871</x:v>
      </x:c>
      <x:c r="AC175" s="174" t="n">
        <x:f>G175-AB175</x:f>
        <x:v>0</x:v>
      </x:c>
      <x:c r="AD175" s="169" t="n">
        <x:v>1.7049690622471827</x:v>
      </x:c>
      <x:c r="AE175" s="169" t="n">
        <x:v>1.7454600430954348</x:v>
      </x:c>
      <x:c r="AF175" s="169" t="n">
        <x:v>0</x:v>
      </x:c>
      <x:c r="AG175" s="169" t="n">
        <x:v>0</x:v>
      </x:c>
      <x:c r="AH175" s="171" t="n">
        <x:f>M175/$M$3</x:f>
        <x:v>0.9029622063329928</x:v>
      </x:c>
      <x:c r="AI175" s="171" t="n">
        <x:f>N175/$M$3</x:f>
        <x:v>0.9244126659856997</x:v>
      </x:c>
      <x:c r="AJ175" s="170" t="n">
        <x:f>IF(AK175&lt;&gt;"",1,0)+IF(AY175&lt;&gt;"",1,0)+IF(BM175&lt;&gt;"",1,0)+IF(CA175&lt;&gt;"",1,0)+IF(CO175&lt;&gt;"",1,0)+IF(DC175&lt;&gt;"",1,0)+IF(DQ175&lt;&gt;"",1,0)+IF(EE175&lt;&gt;"",1,0)+IF(ES175&lt;&gt;"",1,0)+IF(FG175&lt;&gt;"",1,0)</x:f>
        <x:v>1</x:v>
      </x:c>
      <x:c r="AK175" s="147" t="str">
        <x:v>Silver replicating holding (LBMA/SLV proxy)</x:v>
      </x:c>
      <x:c r="AL175" s="147" t="str">
        <x:v>Physical-backed proxy</x:v>
      </x:c>
      <x:c r="AM175" s="147" t="str">
        <x:v>Long</x:v>
      </x:c>
      <x:c r="AN175" s="167" t="n">
        <x:v>1.768</x:v>
      </x:c>
      <x:c r="AO175" s="167" t="n">
        <x:v>1.81</x:v>
      </x:c>
      <x:c r="AP175" s="166" t="n">
        <x:v>1</x:v>
      </x:c>
      <x:c r="AQ175" s="171" t="n">
        <x:f>IF(AK175="","",IFERROR(F175*AP175/AN175,0))</x:f>
        <x:v>0.9643490171081345</x:v>
      </x:c>
      <x:c r="AR175" s="171" t="n">
        <x:f>IF(AK175="","",F175*ABS(AP175))</x:f>
        <x:v>1.7049690622471818</x:v>
      </x:c>
      <x:c r="AS175" s="165"/>
      <x:c r="AT175" s="172" t="str">
        <x:f>IF(AK175="","",IF(AS175="","",IFERROR(AN175/AS175-1,0)))</x:f>
      </x:c>
      <x:c r="AU175" s="166"/>
      <x:c r="AV175" s="172" t="str">
        <x:f>IF(AK175="","",IF(AU175="","",AU175-AT175*365/AW175))</x:f>
      </x:c>
      <x:c r="AW175" s="164"/>
      <x:c r="AX175" s="173" t="n">
        <x:f>IF(AK175="","",IFERROR(AP175*(AO175/AN175-1-'Parameters'!$C$6*C175/365),0))</x:f>
        <x:v>0.02374880679352871</x:v>
      </x:c>
      <x:c r="AY175" s="147"/>
      <x:c r="AZ175" s="147"/>
      <x:c r="BA175" s="147"/>
      <x:c r="BB175" s="167"/>
      <x:c r="BC175" s="167"/>
      <x:c r="BD175" s="166"/>
      <x:c r="BE175" s="171" t="str">
        <x:f>IF(AY175="","",IFERROR(F175*BD175/BB175,0))</x:f>
      </x:c>
      <x:c r="BF175" s="171" t="str">
        <x:f>IF(AY175="","",F175*ABS(BD175))</x:f>
      </x:c>
      <x:c r="BG175" s="165"/>
      <x:c r="BH175" s="172" t="str">
        <x:f>IF(AY175="","",IF(BG175="","",IFERROR(BB175/BG175-1,0)))</x:f>
      </x:c>
      <x:c r="BI175" s="166"/>
      <x:c r="BJ175" s="172" t="str">
        <x:f>IF(AY175="","",IF(BI175="","",BI175-BH175*365/BK175))</x:f>
      </x:c>
      <x:c r="BK175" s="164"/>
      <x:c r="BL175" s="172" t="str">
        <x:f>IF(AY175="","",IFERROR(BD175*(BC175/BB175-1),0))</x:f>
      </x:c>
      <x:c r="BM175" s="147"/>
      <x:c r="BN175" s="147"/>
      <x:c r="BO175" s="147"/>
      <x:c r="BP175" s="167"/>
      <x:c r="BQ175" s="167"/>
      <x:c r="BR175" s="166"/>
      <x:c r="BS175" s="171" t="str">
        <x:f>IF(BM175="","",IFERROR(F175*BR175/BP175,0))</x:f>
      </x:c>
      <x:c r="BT175" s="171" t="str">
        <x:f>IF(BM175="","",F175*ABS(BR175))</x:f>
      </x:c>
      <x:c r="BU175" s="165"/>
      <x:c r="BV175" s="172" t="str">
        <x:f>IF(BM175="","",IF(BU175="","",IFERROR(BP175/BU175-1,0)))</x:f>
      </x:c>
      <x:c r="BW175" s="166"/>
      <x:c r="BX175" s="172" t="str">
        <x:f>IF(BM175="","",IF(BW175="","",BW175-BV175*365/BY175))</x:f>
      </x:c>
      <x:c r="BY175" s="164"/>
      <x:c r="BZ175" s="172" t="str">
        <x:f>IF(BM175="","",IFERROR(BR175*(BQ175/BP175-1),0))</x:f>
      </x:c>
      <x:c r="CA175" s="147"/>
      <x:c r="CB175" s="147"/>
      <x:c r="CC175" s="147"/>
      <x:c r="CD175" s="167"/>
      <x:c r="CE175" s="167"/>
      <x:c r="CF175" s="166"/>
      <x:c r="CG175" s="171" t="str">
        <x:f>IF(CA175="","",IFERROR(F175*CF175/CD175,0))</x:f>
      </x:c>
      <x:c r="CH175" s="171" t="str">
        <x:f>IF(CA175="","",F175*ABS(CF175))</x:f>
      </x:c>
      <x:c r="CI175" s="165"/>
      <x:c r="CJ175" s="172" t="str">
        <x:f>IF(CA175="","",IF(CI175="","",IFERROR(CD175/CI175-1,0)))</x:f>
      </x:c>
      <x:c r="CK175" s="166"/>
      <x:c r="CL175" s="172" t="str">
        <x:f>IF(CA175="","",IF(CK175="","",CK175-CJ175*365/CM175))</x:f>
      </x:c>
      <x:c r="CM175" s="164"/>
      <x:c r="CN175" s="172" t="str">
        <x:f>IF(CA175="","",IFERROR(CF175*(CE175/CD175-1),0))</x:f>
      </x:c>
      <x:c r="CO175" s="147"/>
      <x:c r="CP175" s="147"/>
      <x:c r="CQ175" s="147"/>
      <x:c r="CR175" s="167"/>
      <x:c r="CS175" s="167"/>
      <x:c r="CT175" s="166"/>
      <x:c r="CU175" s="171" t="str">
        <x:f>IF(CO175="","",IFERROR(F175*CT175/CR175,0))</x:f>
      </x:c>
      <x:c r="CV175" s="171" t="str">
        <x:f>IF(CO175="","",F175*ABS(CT175))</x:f>
      </x:c>
      <x:c r="CW175" s="165"/>
      <x:c r="CX175" s="172" t="str">
        <x:f>IF(CO175="","",IF(CW175="","",IFERROR(CR175/CW175-1,0)))</x:f>
      </x:c>
      <x:c r="CY175" s="166"/>
      <x:c r="CZ175" s="172" t="str">
        <x:f>IF(CO175="","",IF(CY175="","",CY175-CX175*365/DA175))</x:f>
      </x:c>
      <x:c r="DA175" s="164"/>
      <x:c r="DB175" s="172" t="str">
        <x:f>IF(CO175="","",IFERROR(CT175*(CS175/CR175-1),0))</x:f>
      </x:c>
      <x:c r="DC175" s="147"/>
      <x:c r="DD175" s="147"/>
      <x:c r="DE175" s="147"/>
      <x:c r="DF175" s="167"/>
      <x:c r="DG175" s="167"/>
      <x:c r="DH175" s="166"/>
      <x:c r="DI175" s="171" t="str">
        <x:f>IF(DC175="","",IFERROR(F175*DH175/DF175,0))</x:f>
      </x:c>
      <x:c r="DJ175" s="171" t="str">
        <x:f>IF(DC175="","",F175*ABS(DH175))</x:f>
      </x:c>
      <x:c r="DK175" s="165"/>
      <x:c r="DL175" s="172" t="str">
        <x:f>IF(DC175="","",IF(DK175="","",IFERROR(DF175/DK175-1,0)))</x:f>
      </x:c>
      <x:c r="DM175" s="166"/>
      <x:c r="DN175" s="172" t="str">
        <x:f>IF(DC175="","",IF(DM175="","",DM175-DL175*365/DO175))</x:f>
      </x:c>
      <x:c r="DO175" s="164"/>
      <x:c r="DP175" s="172" t="str">
        <x:f>IF(DC175="","",IFERROR(DH175*(DG175/DF175-1),0))</x:f>
      </x:c>
      <x:c r="DQ175" s="147"/>
      <x:c r="DR175" s="147"/>
      <x:c r="DS175" s="147"/>
      <x:c r="DT175" s="167"/>
      <x:c r="DU175" s="167"/>
      <x:c r="DV175" s="166"/>
      <x:c r="DW175" s="171" t="str">
        <x:f>IF(DQ175="","",IFERROR(F175*DV175/DT175,0))</x:f>
      </x:c>
      <x:c r="DX175" s="171" t="str">
        <x:f>IF(DQ175="","",F175*ABS(DV175))</x:f>
      </x:c>
      <x:c r="DY175" s="165"/>
      <x:c r="DZ175" s="172" t="str">
        <x:f>IF(DQ175="","",IF(DY175="","",IFERROR(DT175/DY175-1,0)))</x:f>
      </x:c>
      <x:c r="EA175" s="166"/>
      <x:c r="EB175" s="172" t="str">
        <x:f>IF(DQ175="","",IF(EA175="","",EA175-DZ175*365/EC175))</x:f>
      </x:c>
      <x:c r="EC175" s="164"/>
      <x:c r="ED175" s="172" t="str">
        <x:f>IF(DQ175="","",IFERROR(DV175*(DU175/DT175-1),0))</x:f>
      </x:c>
      <x:c r="EE175" s="147"/>
      <x:c r="EF175" s="147"/>
      <x:c r="EG175" s="147"/>
      <x:c r="EH175" s="167"/>
      <x:c r="EI175" s="167"/>
      <x:c r="EJ175" s="166"/>
      <x:c r="EK175" s="171" t="str">
        <x:f>IF(EE175="","",IFERROR(F175*EJ175/EH175,0))</x:f>
      </x:c>
      <x:c r="EL175" s="171" t="str">
        <x:f>IF(EE175="","",F175*ABS(EJ175))</x:f>
      </x:c>
      <x:c r="EM175" s="165"/>
      <x:c r="EN175" s="172" t="str">
        <x:f>IF(EE175="","",IF(EM175="","",IFERROR(EH175/EM175-1,0)))</x:f>
      </x:c>
      <x:c r="EO175" s="166"/>
      <x:c r="EP175" s="172" t="str">
        <x:f>IF(EE175="","",IF(EO175="","",EO175-EN175*365/EQ175))</x:f>
      </x:c>
      <x:c r="EQ175" s="164"/>
      <x:c r="ER175" s="172" t="str">
        <x:f>IF(EE175="","",IFERROR(EJ175*(EI175/EH175-1),0))</x:f>
      </x:c>
      <x:c r="ES175" s="147"/>
      <x:c r="ET175" s="147"/>
      <x:c r="EU175" s="147"/>
      <x:c r="EV175" s="167"/>
      <x:c r="EW175" s="167"/>
      <x:c r="EX175" s="166"/>
      <x:c r="EY175" s="171" t="str">
        <x:f>IF(ES175="","",IFERROR(F175*EX175/EV175,0))</x:f>
      </x:c>
      <x:c r="EZ175" s="171" t="str">
        <x:f>IF(ES175="","",F175*ABS(EX175))</x:f>
      </x:c>
      <x:c r="FA175" s="165"/>
      <x:c r="FB175" s="172" t="str">
        <x:f>IF(ES175="","",IF(FA175="","",IFERROR(EV175/FA175-1,0)))</x:f>
      </x:c>
      <x:c r="FC175" s="166"/>
      <x:c r="FD175" s="172" t="str">
        <x:f>IF(ES175="","",IF(FC175="","",FC175-FB175*365/FE175))</x:f>
      </x:c>
      <x:c r="FE175" s="164"/>
      <x:c r="FF175" s="172" t="str">
        <x:f>IF(ES175="","",IFERROR(EX175*(EW175/EV175-1),0))</x:f>
      </x:c>
      <x:c r="FG175" s="147"/>
      <x:c r="FH175" s="147"/>
      <x:c r="FI175" s="147"/>
      <x:c r="FJ175" s="167"/>
      <x:c r="FK175" s="167"/>
      <x:c r="FL175" s="166"/>
      <x:c r="FM175" s="171" t="str">
        <x:f>IF(FG175="","",IFERROR(F175*FL175/FJ175,0))</x:f>
      </x:c>
      <x:c r="FN175" s="171" t="str">
        <x:f>IF(FG175="","",F175*ABS(FL175))</x:f>
      </x:c>
      <x:c r="FO175" s="165"/>
      <x:c r="FP175" s="172" t="str">
        <x:f>IF(FG175="","",IF(FO175="","",IFERROR(FJ175/FO175-1,0)))</x:f>
      </x:c>
      <x:c r="FQ175" s="166"/>
      <x:c r="FR175" s="172" t="str">
        <x:f>IF(FG175="","",IF(FQ175="","",FQ175-FP175*365/FS175))</x:f>
      </x:c>
      <x:c r="FS175" s="164"/>
      <x:c r="FT175" s="172" t="str">
        <x:f>IF(FG175="","",IFERROR(FL175*(FK175/FJ175-1),0))</x:f>
      </x:c>
    </x:row>
    <x:row r="176" ht="18" customHeight="1">
      <x:c r="A176" s="163" t="n">
        <x:v>25463</x:v>
      </x:c>
      <x:c r="B176" s="163" t="n">
        <x:v>25464</x:v>
      </x:c>
      <x:c r="C176" s="170" t="n">
        <x:f>B176-A176</x:f>
        <x:v>1</x:v>
      </x:c>
      <x:c r="D176" s="163" t="n">
        <x:v>25463</x:v>
      </x:c>
      <x:c r="E176" s="147" t="str">
        <x:v>positive</x:v>
      </x:c>
      <x:c r="F176" s="165" t="n">
        <x:v>1.7454600430954341</x:v>
      </x:c>
      <x:c r="G176" s="168" t="n">
        <x:v>0.0022551373646030114</x:v>
      </x:c>
      <x:c r="H176" s="172" t="n">
        <x:f>SUM(AX176,BL176,BZ176,CN176,DB176,DP176,ED176,ER176,FF176,FT176)</x:f>
        <x:v>0.0022551373646031683</x:v>
      </x:c>
      <x:c r="I176" s="174" t="n">
        <x:f>G176-H176</x:f>
        <x:v>-1.5699247457590104e-16</x:v>
      </x:c>
      <x:c r="J176" s="171" t="n">
        <x:f>F176*(1+H176)</x:f>
        <x:v>1.7493962952570405</x:v>
      </x:c>
      <x:c r="K176" s="169" t="n">
        <x:v>1.74939629525704</x:v>
      </x:c>
      <x:c r="L176" s="175" t="n">
        <x:f>K176-J176</x:f>
        <x:v>-4.440892098500626e-16</x:v>
      </x:c>
      <x:c r="M176" s="167" t="n">
        <x:v>1.81</x:v>
      </x:c>
      <x:c r="N176" s="167" t="n">
        <x:v>1.79</x:v>
      </x:c>
      <x:c r="O176" s="172" t="n">
        <x:f>IFERROR(N176/M176-1,0)</x:f>
        <x:v>-0.011049723756906049</x:v>
      </x:c>
      <x:c r="P176" s="171" t="n">
        <x:f>IFERROR(AD176/AH176,0)</x:f>
        <x:v>1.888182742751857</x:v>
      </x:c>
      <x:c r="Q176" s="171" t="n">
        <x:f>IFERROR(AE176/AI176,0)</x:f>
        <x:v>1.9135854447560259</x:v>
      </x:c>
      <x:c r="R176" s="172" t="n">
        <x:f>IFERROR((Q176-P176)/(P176+S176),0)</x:f>
        <x:v>0.013453518787671358</x:v>
      </x:c>
      <x:c r="S176" s="172" t="n">
        <x:f>IFERROR(AF176/AH176,0)</x:f>
        <x:v>0</x:v>
      </x:c>
      <x:c r="T176" s="172" t="n">
        <x:f>IFERROR(AG176/AI176,0)</x:f>
        <x:v>0</x:v>
      </x:c>
      <x:c r="U176" s="172" t="n">
        <x:f>IFERROR((T176-S176)/(P176+S176),0)</x:f>
        <x:v>0</x:v>
      </x:c>
      <x:c r="V176" s="172" t="n">
        <x:f>R176+U176</x:f>
        <x:v>0.013453518787671358</x:v>
      </x:c>
      <x:c r="W176" s="172" t="n">
        <x:f>(1+O176)*(1+V176)-1</x:f>
        <x:v>0.0022551373646033657</x:v>
      </x:c>
      <x:c r="X176" s="174" t="n">
        <x:f>G176-W176</x:f>
        <x:v>-3.5431726996826285e-16</x:v>
      </x:c>
      <x:c r="Y176" s="172" t="n">
        <x:f>AX176</x:f>
        <x:v>-0.004772354143053681</x:v>
      </x:c>
      <x:c r="Z176" s="172" t="n">
        <x:f>BL176</x:f>
        <x:v>0.0001110266999476587</x:v>
      </x:c>
      <x:c r="AA176" s="172" t="n">
        <x:f>SUM(BZ176,CN176,DB176,DP176,ED176,ER176,FF176,FT176)</x:f>
        <x:v>0.006916464807709191</x:v>
      </x:c>
      <x:c r="AB176" s="172" t="n">
        <x:f>SUM(Y176:AA176)</x:f>
        <x:v>0.0022551373646031688</x:v>
      </x:c>
      <x:c r="AC176" s="174" t="n">
        <x:f>G176-AB176</x:f>
        <x:v>-1.5742615544489524e-16</x:v>
      </x:c>
      <x:c r="AD176" s="169" t="n">
        <x:v>1.7454600430954348</x:v>
      </x:c>
      <x:c r="AE176" s="169" t="n">
        <x:v>1.749396295257041</x:v>
      </x:c>
      <x:c r="AF176" s="169" t="n">
        <x:v>0</x:v>
      </x:c>
      <x:c r="AG176" s="169" t="n">
        <x:v>0</x:v>
      </x:c>
      <x:c r="AH176" s="171" t="n">
        <x:f>M176/$M$3</x:f>
        <x:v>0.9244126659856997</x:v>
      </x:c>
      <x:c r="AI176" s="171" t="n">
        <x:f>N176/$M$3</x:f>
        <x:v>0.9141981613891726</x:v>
      </x:c>
      <x:c r="AJ176" s="170" t="n">
        <x:f>IF(AK176&lt;&gt;"",1,0)+IF(AY176&lt;&gt;"",1,0)+IF(BM176&lt;&gt;"",1,0)+IF(CA176&lt;&gt;"",1,0)+IF(CO176&lt;&gt;"",1,0)+IF(DC176&lt;&gt;"",1,0)+IF(DQ176&lt;&gt;"",1,0)+IF(EE176&lt;&gt;"",1,0)+IF(ES176&lt;&gt;"",1,0)+IF(FG176&lt;&gt;"",1,0)</x:f>
        <x:v>8</x:v>
      </x:c>
      <x:c r="AK176" s="147" t="str">
        <x:v>Silver replicating holding (LBMA/SLV proxy)</x:v>
      </x:c>
      <x:c r="AL176" s="147" t="str">
        <x:v>Physical-backed proxy</x:v>
      </x:c>
      <x:c r="AM176" s="147" t="str">
        <x:v>Long</x:v>
      </x:c>
      <x:c r="AN176" s="167" t="n">
        <x:v>1.81</x:v>
      </x:c>
      <x:c r="AO176" s="167" t="n">
        <x:v>1.79</x:v>
      </x:c>
      <x:c r="AP176" s="166" t="n">
        <x:v>0.43163049816496246</x:v>
      </x:c>
      <x:c r="AQ176" s="171" t="n">
        <x:f>IF(AK176="","",IFERROR(F176*AP176/AN176,0))</x:f>
        <x:v>0.4162396618388503</x:v>
      </x:c>
      <x:c r="AR176" s="171" t="n">
        <x:f>IF(AK176="","",F176*ABS(AP176))</x:f>
        <x:v>0.7533937879283191</x:v>
      </x:c>
      <x:c r="AS176" s="165"/>
      <x:c r="AT176" s="172" t="str">
        <x:f>IF(AK176="","",IF(AS176="","",IFERROR(AN176/AS176-1,0)))</x:f>
      </x:c>
      <x:c r="AU176" s="166"/>
      <x:c r="AV176" s="172" t="str">
        <x:f>IF(AK176="","",IF(AU176="","",AU176-AT176*365/AW176))</x:f>
      </x:c>
      <x:c r="AW176" s="164"/>
      <x:c r="AX176" s="173" t="n">
        <x:f>IF(AK176="","",IFERROR(AP176*(AO176/AN176-1-'Parameters'!$C$6*C176/365),0))</x:f>
        <x:v>-0.004772354143053681</x:v>
      </x:c>
      <x:c r="AY176" s="147" t="str">
        <x:v>Matched-maturity Treasury collateral</x:v>
      </x:c>
      <x:c r="AZ176" s="147" t="str">
        <x:v>Treasury</x:v>
      </x:c>
      <x:c r="BA176" s="147" t="str">
        <x:v>Long</x:v>
      </x:c>
      <x:c r="BB176" s="167" t="n">
        <x:v>104.6277930581591</x:v>
      </x:c>
      <x:c r="BC176" s="167" t="n">
        <x:v>104.64823130924144</x:v>
      </x:c>
      <x:c r="BD176" s="166" t="n">
        <x:v>0.5683695018350375</x:v>
      </x:c>
      <x:c r="BE176" s="171" t="n">
        <x:f>IF(AY176="","",IFERROR(F176*BD176/BB176,0))</x:f>
        <x:v>0.00948186161793223</x:v>
      </x:c>
      <x:c r="BF176" s="171" t="n">
        <x:f>IF(AY176="","",F176*ABS(BD176))</x:f>
        <x:v>0.992066255167115</x:v>
      </x:c>
      <x:c r="BG176" s="165"/>
      <x:c r="BH176" s="172" t="str">
        <x:f>IF(AY176="","",IF(BG176="","",IFERROR(BB176/BG176-1,0)))</x:f>
      </x:c>
      <x:c r="BI176" s="166"/>
      <x:c r="BJ176" s="172" t="str">
        <x:f>IF(AY176="","",IF(BI176="","",BI176-BH176*365/BK176))</x:f>
      </x:c>
      <x:c r="BK176" s="164" t="n">
        <x:v>104.50308943654417</x:v>
      </x:c>
      <x:c r="BL176" s="172" t="n">
        <x:f>IF(AY176="","",IFERROR(BD176*(BC176/BB176-1),0))</x:f>
        <x:v>0.0001110266999476587</x:v>
      </x:c>
      <x:c r="BM176" s="147" t="str">
        <x:v>SI69Z</x:v>
      </x:c>
      <x:c r="BN176" s="147" t="str">
        <x:v>Silver future (regular)</x:v>
      </x:c>
      <x:c r="BO176" s="147" t="str">
        <x:v>Long</x:v>
      </x:c>
      <x:c r="BP176" s="167" t="n">
        <x:v>1.8030000000000002</x:v>
      </x:c>
      <x:c r="BQ176" s="167" t="n">
        <x:v>1.825</x:v>
      </x:c>
      <x:c r="BR176" s="166" t="n">
        <x:v>0.5405078115703215</x:v>
      </x:c>
      <x:c r="BS176" s="171" t="n">
        <x:f>IF(BM176="","",IFERROR(F176*BR176/BP176,0))</x:f>
        <x:v>0.5232583405862186</x:v>
      </x:c>
      <x:c r="BT176" s="171" t="n">
        <x:f>IF(BM176="","",F176*ABS(BR176))</x:f>
        <x:v>0.9434347880769521</x:v>
      </x:c>
      <x:c r="BU176" s="165" t="n">
        <x:v>1.81</x:v>
      </x:c>
      <x:c r="BV176" s="172" t="n">
        <x:f>IF(BM176="","",IF(BU176="","",IFERROR(BP176/BU176-1,0)))</x:f>
        <x:v>-0.003867403314917084</x:v>
      </x:c>
      <x:c r="BW176" s="166" t="n">
        <x:v>0.07155054945054945</x:v>
      </x:c>
      <x:c r="BX176" s="172" t="n">
        <x:f>IF(BM176="","",IF(BW176="","",BW176-BV176*365/BY176))</x:f>
        <x:v>0.08525542527525562</x:v>
      </x:c>
      <x:c r="BY176" s="164" t="n">
        <x:v>103</x:v>
      </x:c>
      <x:c r="BZ176" s="172" t="n">
        <x:f>IF(BM176="","",IFERROR(BR176*(BQ176/BP176-1),0))</x:f>
        <x:v>0.006595214561590162</x:v>
      </x:c>
      <x:c r="CA176" s="147" t="str">
        <x:v>SI70F</x:v>
      </x:c>
      <x:c r="CB176" s="147" t="str">
        <x:v>Silver future (regular)</x:v>
      </x:c>
      <x:c r="CC176" s="147" t="str">
        <x:v>Long</x:v>
      </x:c>
      <x:c r="CD176" s="167" t="n">
        <x:v>1.821</x:v>
      </x:c>
      <x:c r="CE176" s="167" t="n">
        <x:v>1.8419999999999999</x:v>
      </x:c>
      <x:c r="CF176" s="166" t="n">
        <x:v>0.027572398758863626</x:v>
      </x:c>
      <x:c r="CG176" s="171" t="n">
        <x:f>IF(CA176="","",IFERROR(F176*CF176/CD176,0))</x:f>
        <x:v>0.02642862181542592</x:v>
      </x:c>
      <x:c r="CH176" s="171" t="n">
        <x:f>IF(CA176="","",F176*ABS(CF176))</x:f>
        <x:v>0.0481265203258906</x:v>
      </x:c>
      <x:c r="CI176" s="165" t="n">
        <x:v>1.81</x:v>
      </x:c>
      <x:c r="CJ176" s="172" t="n">
        <x:f>IF(CA176="","",IF(CI176="","",IFERROR(CD176/CI176-1,0)))</x:f>
        <x:v>0.006077348066298338</x:v>
      </x:c>
      <x:c r="CK176" s="166" t="n">
        <x:v>0.07217692307692307</x:v>
      </x:c>
      <x:c r="CL176" s="172" t="n">
        <x:f>IF(CA176="","",IF(CK176="","",CK176-CJ176*365/CM176))</x:f>
        <x:v>0.055498486654375</x:v>
      </x:c>
      <x:c r="CM176" s="164" t="n">
        <x:v>133</x:v>
      </x:c>
      <x:c r="CN176" s="172" t="n">
        <x:f>IF(CA176="","",IFERROR(CF176*(CE176/CD176-1),0))</x:f>
        <x:v>0.00031796835471506723</x:v>
      </x:c>
      <x:c r="CO176" s="147" t="str">
        <x:v>SI70H</x:v>
      </x:c>
      <x:c r="CP176" s="147" t="str">
        <x:v>Silver future (regular)</x:v>
      </x:c>
      <x:c r="CQ176" s="147" t="str">
        <x:v>Long</x:v>
      </x:c>
      <x:c r="CR176" s="167" t="n">
        <x:v>1.854</x:v>
      </x:c>
      <x:c r="CS176" s="167" t="n">
        <x:v>1.875</x:v>
      </x:c>
      <x:c r="CT176" s="166" t="n">
        <x:v>0.000267556314398608</x:v>
      </x:c>
      <x:c r="CU176" s="171" t="n">
        <x:f>IF(CO176="","",IFERROR(F176*CT176/CR176,0))</x:f>
        <x:v>0.00025189258687197943</x:v>
      </x:c>
      <x:c r="CV176" s="171" t="n">
        <x:f>IF(CO176="","",F176*ABS(CT176))</x:f>
        <x:v>0.00046700885606064987</x:v>
      </x:c>
      <x:c r="CW176" s="165" t="n">
        <x:v>1.81</x:v>
      </x:c>
      <x:c r="CX176" s="172" t="n">
        <x:f>IF(CO176="","",IF(CW176="","",IFERROR(CR176/CW176-1,0)))</x:f>
        <x:v>0.024309392265193353</x:v>
      </x:c>
      <x:c r="CY176" s="166" t="n">
        <x:v>0.0734311475409836</x:v>
      </x:c>
      <x:c r="CZ176" s="172" t="n">
        <x:f>IF(CO176="","",IF(CY176="","",CY176-CX176*365/DA176))</x:f>
        <x:v>0.026976026196504153</x:v>
      </x:c>
      <x:c r="DA176" s="164" t="n">
        <x:v>191</x:v>
      </x:c>
      <x:c r="DB176" s="172" t="n">
        <x:f>IF(CO176="","",IFERROR(CT176*(CS176/CR176-1),0))</x:f>
        <x:v>0.0000030305731404372865</x:v>
      </x:c>
      <x:c r="DC176" s="147" t="str">
        <x:v>SI70K</x:v>
      </x:c>
      <x:c r="DD176" s="147" t="str">
        <x:v>Silver future (regular)</x:v>
      </x:c>
      <x:c r="DE176" s="147" t="str">
        <x:v>Long</x:v>
      </x:c>
      <x:c r="DF176" s="167" t="n">
        <x:v>1.886</x:v>
      </x:c>
      <x:c r="DG176" s="167" t="n">
        <x:v>1.9080000000000001</x:v>
      </x:c>
      <x:c r="DH176" s="166" t="n">
        <x:v>0.000017255524630900517</x:v>
      </x:c>
      <x:c r="DI176" s="171" t="n">
        <x:f>IF(DC176="","",IFERROR(F176*DH176/DF176,0))</x:f>
        <x:v>0.000015969686514255538</x:v>
      </x:c>
      <x:c r="DJ176" s="171" t="n">
        <x:f>IF(DC176="","",F176*ABS(DH176))</x:f>
        <x:v>0.00003011882876588594</x:v>
      </x:c>
      <x:c r="DK176" s="165" t="n">
        <x:v>1.81</x:v>
      </x:c>
      <x:c r="DL176" s="172" t="n">
        <x:f>IF(DC176="","",IF(DK176="","",IFERROR(DF176/DK176-1,0)))</x:f>
        <x:v>0.04198895027624294</x:v>
      </x:c>
      <x:c r="DM176" s="166" t="n">
        <x:v>0.07499781420765028</x:v>
      </x:c>
      <x:c r="DN176" s="172" t="n">
        <x:f>IF(DC176="","",IF(DM176="","",DM176-DL176*365/DO176))</x:f>
        <x:v>0.01418048543452062</x:v>
      </x:c>
      <x:c r="DO176" s="164" t="n">
        <x:v>252</x:v>
      </x:c>
      <x:c r="DP176" s="172" t="n">
        <x:f>IF(DC176="","",IFERROR(DH176*(DG176/DF176-1),0))</x:f>
        <x:v>2.012839564580159e-7</x:v>
      </x:c>
      <x:c r="DQ176" s="147" t="str">
        <x:v>SI70N</x:v>
      </x:c>
      <x:c r="DR176" s="147" t="str">
        <x:v>Silver future (regular)</x:v>
      </x:c>
      <x:c r="DS176" s="147" t="str">
        <x:v>Long</x:v>
      </x:c>
      <x:c r="DT176" s="167" t="n">
        <x:v>1.919</x:v>
      </x:c>
      <x:c r="DU176" s="167" t="n">
        <x:v>1.94</x:v>
      </x:c>
      <x:c r="DV176" s="166" t="n">
        <x:v>0.0000032909243203649203</x:v>
      </x:c>
      <x:c r="DW176" s="171" t="n">
        <x:f>IF(DQ176="","",IFERROR(F176*DV176/DT176,0))</x:f>
        <x:v>0.000002993317824933802</x:v>
      </x:c>
      <x:c r="DX176" s="171" t="n">
        <x:f>IF(DQ176="","",F176*ABS(DV176))</x:f>
        <x:v>0.000005744176906047966</x:v>
      </x:c>
      <x:c r="DY176" s="165" t="n">
        <x:v>1.81</x:v>
      </x:c>
      <x:c r="DZ176" s="172" t="n">
        <x:f>IF(DQ176="","",IF(DY176="","",IFERROR(DT176/DY176-1,0)))</x:f>
        <x:v>0.06022099447513818</x:v>
      </x:c>
      <x:c r="EA176" s="166" t="n">
        <x:v>0.07661584699453552</x:v>
      </x:c>
      <x:c r="EB176" s="172" t="n">
        <x:f>IF(DQ176="","",IF(EA176="","",EA176-DZ176*365/EC176))</x:f>
        <x:v>0.006835964507470649</x:v>
      </x:c>
      <x:c r="EC176" s="164" t="n">
        <x:v>315</x:v>
      </x:c>
      <x:c r="ED176" s="172" t="n">
        <x:f>IF(DQ176="","",IFERROR(DV176*(DU176/DT176-1),0))</x:f>
        <x:v>3.60132416506843e-8</x:v>
      </x:c>
      <x:c r="EE176" s="147" t="str">
        <x:v>SI70U</x:v>
      </x:c>
      <x:c r="EF176" s="147" t="str">
        <x:v>Silver future (regular)</x:v>
      </x:c>
      <x:c r="EG176" s="147" t="str">
        <x:v>Long</x:v>
      </x:c>
      <x:c r="EH176" s="167" t="n">
        <x:v>1.95</x:v>
      </x:c>
      <x:c r="EI176" s="167" t="n">
        <x:v>1.973</x:v>
      </x:c>
      <x:c r="EJ176" s="166" t="n">
        <x:v>0.0000011887425026031842</x:v>
      </x:c>
      <x:c r="EK176" s="171" t="n">
        <x:f>IF(EE176="","",IFERROR(F176*EJ176/EH176,0))</x:f>
        <x:v>0.000001064052584524681</x:v>
      </x:c>
      <x:c r="EL176" s="171" t="n">
        <x:f>IF(EE176="","",F176*ABS(EJ176))</x:f>
        <x:v>0.0000020749025398231282</x:v>
      </x:c>
      <x:c r="EM176" s="165" t="n">
        <x:v>1.81</x:v>
      </x:c>
      <x:c r="EN176" s="172" t="n">
        <x:f>IF(EE176="","",IF(EM176="","",IFERROR(EH176/EM176-1,0)))</x:f>
        <x:v>0.07734806629834257</x:v>
      </x:c>
      <x:c r="EO176" s="166" t="n">
        <x:v>0.07774027397260275</x:v>
      </x:c>
      <x:c r="EP176" s="172" t="n">
        <x:f>IF(EE176="","",IF(EO176="","",EO176-EN176*365/EQ176))</x:f>
        <x:v>0.0026550500393712623</x:v>
      </x:c>
      <x:c r="EQ176" s="164" t="n">
        <x:v>376</x:v>
      </x:c>
      <x:c r="ER176" s="172" t="n">
        <x:f>IF(EE176="","",IFERROR(EJ176*(EI176/EH176-1),0))</x:f>
        <x:v>1.402106541531977e-8</x:v>
      </x:c>
      <x:c r="ES176" s="147"/>
      <x:c r="ET176" s="147"/>
      <x:c r="EU176" s="147"/>
      <x:c r="EV176" s="167"/>
      <x:c r="EW176" s="167"/>
      <x:c r="EX176" s="166"/>
      <x:c r="EY176" s="171" t="str">
        <x:f>IF(ES176="","",IFERROR(F176*EX176/EV176,0))</x:f>
      </x:c>
      <x:c r="EZ176" s="171" t="str">
        <x:f>IF(ES176="","",F176*ABS(EX176))</x:f>
      </x:c>
      <x:c r="FA176" s="165"/>
      <x:c r="FB176" s="172" t="str">
        <x:f>IF(ES176="","",IF(FA176="","",IFERROR(EV176/FA176-1,0)))</x:f>
      </x:c>
      <x:c r="FC176" s="166"/>
      <x:c r="FD176" s="172" t="str">
        <x:f>IF(ES176="","",IF(FC176="","",FC176-FB176*365/FE176))</x:f>
      </x:c>
      <x:c r="FE176" s="164"/>
      <x:c r="FF176" s="172" t="str">
        <x:f>IF(ES176="","",IFERROR(EX176*(EW176/EV176-1),0))</x:f>
      </x:c>
      <x:c r="FG176" s="147"/>
      <x:c r="FH176" s="147"/>
      <x:c r="FI176" s="147"/>
      <x:c r="FJ176" s="167"/>
      <x:c r="FK176" s="167"/>
      <x:c r="FL176" s="166"/>
      <x:c r="FM176" s="171" t="str">
        <x:f>IF(FG176="","",IFERROR(F176*FL176/FJ176,0))</x:f>
      </x:c>
      <x:c r="FN176" s="171" t="str">
        <x:f>IF(FG176="","",F176*ABS(FL176))</x:f>
      </x:c>
      <x:c r="FO176" s="165"/>
      <x:c r="FP176" s="172" t="str">
        <x:f>IF(FG176="","",IF(FO176="","",IFERROR(FJ176/FO176-1,0)))</x:f>
      </x:c>
      <x:c r="FQ176" s="166"/>
      <x:c r="FR176" s="172" t="str">
        <x:f>IF(FG176="","",IF(FQ176="","",FQ176-FP176*365/FS176))</x:f>
      </x:c>
      <x:c r="FS176" s="164"/>
      <x:c r="FT176" s="172" t="str">
        <x:f>IF(FG176="","",IFERROR(FL176*(FK176/FJ176-1),0))</x:f>
      </x:c>
    </x:row>
    <x:row r="177" ht="18" customHeight="1">
      <x:c r="A177" s="163" t="n">
        <x:v>25464</x:v>
      </x:c>
      <x:c r="B177" s="163" t="n">
        <x:v>25465</x:v>
      </x:c>
      <x:c r="C177" s="170" t="n">
        <x:f>B177-A177</x:f>
        <x:v>1</x:v>
      </x:c>
      <x:c r="D177" s="163" t="n">
        <x:v>25464</x:v>
      </x:c>
      <x:c r="E177" s="147" t="str">
        <x:v>positive</x:v>
      </x:c>
      <x:c r="F177" s="165" t="n">
        <x:v>1.74939629525704</x:v>
      </x:c>
      <x:c r="G177" s="168" t="n">
        <x:v>0.005028480674646351</x:v>
      </x:c>
      <x:c r="H177" s="172" t="n">
        <x:f>SUM(AX177,BL177,BZ177,CN177,DB177,DP177,ED177,ER177,FF177,FT177)</x:f>
        <x:v>0.00502848067464635</x:v>
      </x:c>
      <x:c r="I177" s="174" t="n">
        <x:f>G177-H177</x:f>
        <x:v>8.673617379884035e-19</x:v>
      </x:c>
      <x:c r="J177" s="171" t="n">
        <x:f>F177*(1+H177)</x:f>
        <x:v>1.758193100720038</x:v>
      </x:c>
      <x:c r="K177" s="169" t="n">
        <x:v>1.758193100720038</x:v>
      </x:c>
      <x:c r="L177" s="175" t="n">
        <x:f>K177-J177</x:f>
        <x:v>0</x:v>
      </x:c>
      <x:c r="M177" s="167" t="n">
        <x:v>1.79</x:v>
      </x:c>
      <x:c r="N177" s="167" t="n">
        <x:v>1.799</x:v>
      </x:c>
      <x:c r="O177" s="172" t="n">
        <x:f>IFERROR(N177/M177-1,0)</x:f>
        <x:v>0.005027932960893766</x:v>
      </x:c>
      <x:c r="P177" s="171" t="n">
        <x:f>IFERROR(AD177/AH177,0)</x:f>
        <x:v>1.9135854447560259</x:v>
      </x:c>
      <x:c r="Q177" s="171" t="n">
        <x:f>IFERROR(AE177/AI177,0)</x:f>
        <x:v>1.9135864876096922</x:v>
      </x:c>
      <x:c r="R177" s="172" t="n">
        <x:f>IFERROR((Q177-P177)/(P177+S177),0)</x:f>
        <x:v>5.449736614420792e-7</x:v>
      </x:c>
      <x:c r="S177" s="172" t="n">
        <x:f>IFERROR(AF177/AH177,0)</x:f>
        <x:v>0</x:v>
      </x:c>
      <x:c r="T177" s="172" t="n">
        <x:f>IFERROR(AG177/AI177,0)</x:f>
        <x:v>0</x:v>
      </x:c>
      <x:c r="U177" s="172" t="n">
        <x:f>IFERROR((T177-S177)/(P177+S177),0)</x:f>
        <x:v>0</x:v>
      </x:c>
      <x:c r="V177" s="172" t="n">
        <x:f>R177+U177</x:f>
        <x:v>5.449736614420792e-7</x:v>
      </x:c>
      <x:c r="W177" s="172" t="n">
        <x:f>(1+O177)*(1+V177)-1</x:f>
        <x:v>0.005028480674646341</x:v>
      </x:c>
      <x:c r="X177" s="174" t="n">
        <x:f>G177-W177</x:f>
        <x:v>1.0408340855860843e-17</x:v>
      </x:c>
      <x:c r="Y177" s="172" t="n">
        <x:f>AX177</x:f>
        <x:v>0.004964291656541262</x:v>
      </x:c>
      <x:c r="Z177" s="172" t="n">
        <x:f>BL177</x:f>
        <x:v>0.0000022125595697120036</x:v>
      </x:c>
      <x:c r="AA177" s="172" t="n">
        <x:f>SUM(BZ177,CN177,DB177,DP177,ED177,ER177,FF177,FT177)</x:f>
        <x:v>0.0000619764585353757</x:v>
      </x:c>
      <x:c r="AB177" s="172" t="n">
        <x:f>SUM(Y177:AA177)</x:f>
        <x:v>0.00502848067464635</x:v>
      </x:c>
      <x:c r="AC177" s="174" t="n">
        <x:f>G177-AB177</x:f>
        <x:v>8.673617379884035e-19</x:v>
      </x:c>
      <x:c r="AD177" s="169" t="n">
        <x:v>1.749396295257041</x:v>
      </x:c>
      <x:c r="AE177" s="169" t="n">
        <x:v>1.7581931007200389</x:v>
      </x:c>
      <x:c r="AF177" s="169" t="n">
        <x:v>0</x:v>
      </x:c>
      <x:c r="AG177" s="169" t="n">
        <x:v>0</x:v>
      </x:c>
      <x:c r="AH177" s="171" t="n">
        <x:f>M177/$M$3</x:f>
        <x:v>0.9141981613891726</x:v>
      </x:c>
      <x:c r="AI177" s="171" t="n">
        <x:f>N177/$M$3</x:f>
        <x:v>0.9187946884576098</x:v>
      </x:c>
      <x:c r="AJ177" s="170" t="n">
        <x:f>IF(AK177&lt;&gt;"",1,0)+IF(AY177&lt;&gt;"",1,0)+IF(BM177&lt;&gt;"",1,0)+IF(CA177&lt;&gt;"",1,0)+IF(CO177&lt;&gt;"",1,0)+IF(DC177&lt;&gt;"",1,0)+IF(DQ177&lt;&gt;"",1,0)+IF(EE177&lt;&gt;"",1,0)+IF(ES177&lt;&gt;"",1,0)+IF(FG177&lt;&gt;"",1,0)</x:f>
        <x:v>3</x:v>
      </x:c>
      <x:c r="AK177" s="147" t="str">
        <x:v>Silver replicating holding (LBMA/SLV proxy)</x:v>
      </x:c>
      <x:c r="AL177" s="147" t="str">
        <x:v>Physical-backed proxy</x:v>
      </x:c>
      <x:c r="AM177" s="147" t="str">
        <x:v>Long</x:v>
      </x:c>
      <x:c r="AN177" s="167" t="n">
        <x:v>1.79</x:v>
      </x:c>
      <x:c r="AO177" s="167" t="n">
        <x:v>1.799</x:v>
      </x:c>
      <x:c r="AP177" s="166" t="n">
        <x:v>0.9886892963172939</x:v>
      </x:c>
      <x:c r="AQ177" s="171" t="n">
        <x:f>IF(AK177="","",IFERROR(F177*AP177/AN177,0))</x:f>
        <x:v>0.9662622302445607</x:v>
      </x:c>
      <x:c r="AR177" s="171" t="n">
        <x:f>IF(AK177="","",F177*ABS(AP177))</x:f>
        <x:v>1.7296093921377638</x:v>
      </x:c>
      <x:c r="AS177" s="165"/>
      <x:c r="AT177" s="172" t="str">
        <x:f>IF(AK177="","",IF(AS177="","",IFERROR(AN177/AS177-1,0)))</x:f>
      </x:c>
      <x:c r="AU177" s="166"/>
      <x:c r="AV177" s="172" t="str">
        <x:f>IF(AK177="","",IF(AU177="","",AU177-AT177*365/AW177))</x:f>
      </x:c>
      <x:c r="AW177" s="164"/>
      <x:c r="AX177" s="173" t="n">
        <x:f>IF(AK177="","",IFERROR(AP177*(AO177/AN177-1-'Parameters'!$C$6*C177/365),0))</x:f>
        <x:v>0.004964291656541262</x:v>
      </x:c>
      <x:c r="AY177" s="147" t="str">
        <x:v>Matched-maturity Treasury collateral</x:v>
      </x:c>
      <x:c r="AZ177" s="147" t="str">
        <x:v>Treasury</x:v>
      </x:c>
      <x:c r="BA177" s="147" t="str">
        <x:v>Long</x:v>
      </x:c>
      <x:c r="BB177" s="167" t="n">
        <x:v>104.64823130924144</x:v>
      </x:c>
      <x:c r="BC177" s="167" t="n">
        <x:v>104.66870222353042</x:v>
      </x:c>
      <x:c r="BD177" s="166" t="n">
        <x:v>0.011310703682706112</x:v>
      </x:c>
      <x:c r="BE177" s="171" t="n">
        <x:f>IF(AY177="","",IFERROR(F177*BD177/BB177,0))</x:f>
        <x:v>0.00018908014852926481</x:v>
      </x:c>
      <x:c r="BF177" s="171" t="n">
        <x:f>IF(AY177="","",F177*ABS(BD177))</x:f>
        <x:v>0.019786903119276233</x:v>
      </x:c>
      <x:c r="BG177" s="165"/>
      <x:c r="BH177" s="172" t="str">
        <x:f>IF(AY177="","",IF(BG177="","",IFERROR(BB177/BG177-1,0)))</x:f>
      </x:c>
      <x:c r="BI177" s="166"/>
      <x:c r="BJ177" s="172" t="str">
        <x:f>IF(AY177="","",IF(BI177="","",BI177-BH177*365/BK177))</x:f>
      </x:c>
      <x:c r="BK177" s="164" t="n">
        <x:v>102</x:v>
      </x:c>
      <x:c r="BL177" s="172" t="n">
        <x:f>IF(AY177="","",IFERROR(BD177*(BC177/BB177-1),0))</x:f>
        <x:v>0.0000022125595697120036</x:v>
      </x:c>
      <x:c r="BM177" s="147" t="str">
        <x:v>SI69Z</x:v>
      </x:c>
      <x:c r="BN177" s="147" t="str">
        <x:v>Silver future (regular)</x:v>
      </x:c>
      <x:c r="BO177" s="147" t="str">
        <x:v>Long</x:v>
      </x:c>
      <x:c r="BP177" s="167" t="n">
        <x:v>1.825</x:v>
      </x:c>
      <x:c r="BQ177" s="167" t="n">
        <x:v>1.835</x:v>
      </x:c>
      <x:c r="BR177" s="166" t="n">
        <x:v>0.011310703682706112</x:v>
      </x:c>
      <x:c r="BS177" s="171" t="n">
        <x:f>IF(BM177="","",IFERROR(F177*BR177/BP177,0))</x:f>
        <x:v>0.010842138695493827</x:v>
      </x:c>
      <x:c r="BT177" s="171" t="n">
        <x:f>IF(BM177="","",F177*ABS(BR177))</x:f>
        <x:v>0.019786903119276233</x:v>
      </x:c>
      <x:c r="BU177" s="165" t="n">
        <x:v>1.79</x:v>
      </x:c>
      <x:c r="BV177" s="172" t="n">
        <x:f>IF(BM177="","",IF(BU177="","",IFERROR(BP177/BU177-1,0)))</x:f>
        <x:v>0.019553072625698276</x:v>
      </x:c>
      <x:c r="BW177" s="166" t="n">
        <x:v>0.07166593406593406</x:v>
      </x:c>
      <x:c r="BX177" s="172" t="n">
        <x:f>IF(BM177="","",IF(BW177="","",BW177-BV177*365/BY177))</x:f>
        <x:v>0.0016966055524059165</x:v>
      </x:c>
      <x:c r="BY177" s="164" t="n">
        <x:v>102</x:v>
      </x:c>
      <x:c r="BZ177" s="172" t="n">
        <x:f>IF(BM177="","",IFERROR(BR177*(BQ177/BP177-1),0))</x:f>
        <x:v>0.0000619764585353757</x:v>
      </x:c>
      <x:c r="CA177" s="147"/>
      <x:c r="CB177" s="147"/>
      <x:c r="CC177" s="147"/>
      <x:c r="CD177" s="167"/>
      <x:c r="CE177" s="167"/>
      <x:c r="CF177" s="166"/>
      <x:c r="CG177" s="171" t="str">
        <x:f>IF(CA177="","",IFERROR(F177*CF177/CD177,0))</x:f>
      </x:c>
      <x:c r="CH177" s="171" t="str">
        <x:f>IF(CA177="","",F177*ABS(CF177))</x:f>
      </x:c>
      <x:c r="CI177" s="165"/>
      <x:c r="CJ177" s="172" t="str">
        <x:f>IF(CA177="","",IF(CI177="","",IFERROR(CD177/CI177-1,0)))</x:f>
      </x:c>
      <x:c r="CK177" s="166"/>
      <x:c r="CL177" s="172" t="str">
        <x:f>IF(CA177="","",IF(CK177="","",CK177-CJ177*365/CM177))</x:f>
      </x:c>
      <x:c r="CM177" s="164"/>
      <x:c r="CN177" s="172" t="str">
        <x:f>IF(CA177="","",IFERROR(CF177*(CE177/CD177-1),0))</x:f>
      </x:c>
      <x:c r="CO177" s="147"/>
      <x:c r="CP177" s="147"/>
      <x:c r="CQ177" s="147"/>
      <x:c r="CR177" s="167"/>
      <x:c r="CS177" s="167"/>
      <x:c r="CT177" s="166"/>
      <x:c r="CU177" s="171" t="str">
        <x:f>IF(CO177="","",IFERROR(F177*CT177/CR177,0))</x:f>
      </x:c>
      <x:c r="CV177" s="171" t="str">
        <x:f>IF(CO177="","",F177*ABS(CT177))</x:f>
      </x:c>
      <x:c r="CW177" s="165"/>
      <x:c r="CX177" s="172" t="str">
        <x:f>IF(CO177="","",IF(CW177="","",IFERROR(CR177/CW177-1,0)))</x:f>
      </x:c>
      <x:c r="CY177" s="166"/>
      <x:c r="CZ177" s="172" t="str">
        <x:f>IF(CO177="","",IF(CY177="","",CY177-CX177*365/DA177))</x:f>
      </x:c>
      <x:c r="DA177" s="164"/>
      <x:c r="DB177" s="172" t="str">
        <x:f>IF(CO177="","",IFERROR(CT177*(CS177/CR177-1),0))</x:f>
      </x:c>
      <x:c r="DC177" s="147"/>
      <x:c r="DD177" s="147"/>
      <x:c r="DE177" s="147"/>
      <x:c r="DF177" s="167"/>
      <x:c r="DG177" s="167"/>
      <x:c r="DH177" s="166"/>
      <x:c r="DI177" s="171" t="str">
        <x:f>IF(DC177="","",IFERROR(F177*DH177/DF177,0))</x:f>
      </x:c>
      <x:c r="DJ177" s="171" t="str">
        <x:f>IF(DC177="","",F177*ABS(DH177))</x:f>
      </x:c>
      <x:c r="DK177" s="165"/>
      <x:c r="DL177" s="172" t="str">
        <x:f>IF(DC177="","",IF(DK177="","",IFERROR(DF177/DK177-1,0)))</x:f>
      </x:c>
      <x:c r="DM177" s="166"/>
      <x:c r="DN177" s="172" t="str">
        <x:f>IF(DC177="","",IF(DM177="","",DM177-DL177*365/DO177))</x:f>
      </x:c>
      <x:c r="DO177" s="164"/>
      <x:c r="DP177" s="172" t="str">
        <x:f>IF(DC177="","",IFERROR(DH177*(DG177/DF177-1),0))</x:f>
      </x:c>
      <x:c r="DQ177" s="147"/>
      <x:c r="DR177" s="147"/>
      <x:c r="DS177" s="147"/>
      <x:c r="DT177" s="167"/>
      <x:c r="DU177" s="167"/>
      <x:c r="DV177" s="166"/>
      <x:c r="DW177" s="171" t="str">
        <x:f>IF(DQ177="","",IFERROR(F177*DV177/DT177,0))</x:f>
      </x:c>
      <x:c r="DX177" s="171" t="str">
        <x:f>IF(DQ177="","",F177*ABS(DV177))</x:f>
      </x:c>
      <x:c r="DY177" s="165"/>
      <x:c r="DZ177" s="172" t="str">
        <x:f>IF(DQ177="","",IF(DY177="","",IFERROR(DT177/DY177-1,0)))</x:f>
      </x:c>
      <x:c r="EA177" s="166"/>
      <x:c r="EB177" s="172" t="str">
        <x:f>IF(DQ177="","",IF(EA177="","",EA177-DZ177*365/EC177))</x:f>
      </x:c>
      <x:c r="EC177" s="164"/>
      <x:c r="ED177" s="172" t="str">
        <x:f>IF(DQ177="","",IFERROR(DV177*(DU177/DT177-1),0))</x:f>
      </x:c>
      <x:c r="EE177" s="147"/>
      <x:c r="EF177" s="147"/>
      <x:c r="EG177" s="147"/>
      <x:c r="EH177" s="167"/>
      <x:c r="EI177" s="167"/>
      <x:c r="EJ177" s="166"/>
      <x:c r="EK177" s="171" t="str">
        <x:f>IF(EE177="","",IFERROR(F177*EJ177/EH177,0))</x:f>
      </x:c>
      <x:c r="EL177" s="171" t="str">
        <x:f>IF(EE177="","",F177*ABS(EJ177))</x:f>
      </x:c>
      <x:c r="EM177" s="165"/>
      <x:c r="EN177" s="172" t="str">
        <x:f>IF(EE177="","",IF(EM177="","",IFERROR(EH177/EM177-1,0)))</x:f>
      </x:c>
      <x:c r="EO177" s="166"/>
      <x:c r="EP177" s="172" t="str">
        <x:f>IF(EE177="","",IF(EO177="","",EO177-EN177*365/EQ177))</x:f>
      </x:c>
      <x:c r="EQ177" s="164"/>
      <x:c r="ER177" s="172" t="str">
        <x:f>IF(EE177="","",IFERROR(EJ177*(EI177/EH177-1),0))</x:f>
      </x:c>
      <x:c r="ES177" s="147"/>
      <x:c r="ET177" s="147"/>
      <x:c r="EU177" s="147"/>
      <x:c r="EV177" s="167"/>
      <x:c r="EW177" s="167"/>
      <x:c r="EX177" s="166"/>
      <x:c r="EY177" s="171" t="str">
        <x:f>IF(ES177="","",IFERROR(F177*EX177/EV177,0))</x:f>
      </x:c>
      <x:c r="EZ177" s="171" t="str">
        <x:f>IF(ES177="","",F177*ABS(EX177))</x:f>
      </x:c>
      <x:c r="FA177" s="165"/>
      <x:c r="FB177" s="172" t="str">
        <x:f>IF(ES177="","",IF(FA177="","",IFERROR(EV177/FA177-1,0)))</x:f>
      </x:c>
      <x:c r="FC177" s="166"/>
      <x:c r="FD177" s="172" t="str">
        <x:f>IF(ES177="","",IF(FC177="","",FC177-FB177*365/FE177))</x:f>
      </x:c>
      <x:c r="FE177" s="164"/>
      <x:c r="FF177" s="172" t="str">
        <x:f>IF(ES177="","",IFERROR(EX177*(EW177/EV177-1),0))</x:f>
      </x:c>
      <x:c r="FG177" s="147"/>
      <x:c r="FH177" s="147"/>
      <x:c r="FI177" s="147"/>
      <x:c r="FJ177" s="167"/>
      <x:c r="FK177" s="167"/>
      <x:c r="FL177" s="166"/>
      <x:c r="FM177" s="171" t="str">
        <x:f>IF(FG177="","",IFERROR(F177*FL177/FJ177,0))</x:f>
      </x:c>
      <x:c r="FN177" s="171" t="str">
        <x:f>IF(FG177="","",F177*ABS(FL177))</x:f>
      </x:c>
      <x:c r="FO177" s="165"/>
      <x:c r="FP177" s="172" t="str">
        <x:f>IF(FG177="","",IF(FO177="","",IFERROR(FJ177/FO177-1,0)))</x:f>
      </x:c>
      <x:c r="FQ177" s="166"/>
      <x:c r="FR177" s="172" t="str">
        <x:f>IF(FG177="","",IF(FQ177="","",FQ177-FP177*365/FS177))</x:f>
      </x:c>
      <x:c r="FS177" s="164"/>
      <x:c r="FT177" s="172" t="str">
        <x:f>IF(FG177="","",IFERROR(FL177*(FK177/FJ177-1),0))</x:f>
      </x:c>
    </x:row>
    <x:row r="178" ht="18" customHeight="1">
      <x:c r="A178" s="163" t="n">
        <x:v>25465</x:v>
      </x:c>
      <x:c r="B178" s="163" t="n">
        <x:v>25468</x:v>
      </x:c>
      <x:c r="C178" s="170" t="n">
        <x:f>B178-A178</x:f>
        <x:v>3</x:v>
      </x:c>
      <x:c r="D178" s="163" t="n">
        <x:v>25465</x:v>
      </x:c>
      <x:c r="E178" s="147" t="str">
        <x:v>neutral</x:v>
      </x:c>
      <x:c r="F178" s="165" t="n">
        <x:v>1.758193100720038</x:v>
      </x:c>
      <x:c r="G178" s="168" t="n">
        <x:v>0.010540875067579366</x:v>
      </x:c>
      <x:c r="H178" s="172" t="n">
        <x:f>SUM(AX178,BL178,BZ178,CN178,DB178,DP178,ED178,ER178,FF178,FT178)</x:f>
        <x:v>0.010540875067579364</x:v>
      </x:c>
      <x:c r="I178" s="174" t="n">
        <x:f>G178-H178</x:f>
        <x:v>1.734723475976807e-18</x:v>
      </x:c>
      <x:c r="J178" s="171" t="n">
        <x:f>F178*(1+H178)</x:f>
        <x:v>1.7767259945394078</x:v>
      </x:c>
      <x:c r="K178" s="169" t="n">
        <x:v>1.7767259945394078</x:v>
      </x:c>
      <x:c r="L178" s="175" t="n">
        <x:f>K178-J178</x:f>
        <x:v>0</x:v>
      </x:c>
      <x:c r="M178" s="167" t="n">
        <x:v>1.799</x:v>
      </x:c>
      <x:c r="N178" s="167" t="n">
        <x:v>1.818</x:v>
      </x:c>
      <x:c r="O178" s="172" t="n">
        <x:f>IFERROR(N178/M178-1,0)</x:f>
        <x:v>0.010561423012784843</x:v>
      </x:c>
      <x:c r="P178" s="171" t="n">
        <x:f>IFERROR(AD178/AH178,0)</x:f>
        <x:v>1.9135864876096922</x:v>
      </x:c>
      <x:c r="Q178" s="171" t="n">
        <x:f>IFERROR(AE178/AI178,0)</x:f>
        <x:v>1.9135475782773168</x:v>
      </x:c>
      <x:c r="R178" s="172" t="n">
        <x:f>IFERROR((Q178-P178)/(P178+S178),0)</x:f>
        <x:v>-0.000020333197703534926</x:v>
      </x:c>
      <x:c r="S178" s="172" t="n">
        <x:f>IFERROR(AF178/AH178,0)</x:f>
        <x:v>0</x:v>
      </x:c>
      <x:c r="T178" s="172" t="n">
        <x:f>IFERROR(AG178/AI178,0)</x:f>
        <x:v>0</x:v>
      </x:c>
      <x:c r="U178" s="172" t="n">
        <x:f>IFERROR((T178-S178)/(P178+S178),0)</x:f>
        <x:v>0</x:v>
      </x:c>
      <x:c r="V178" s="172" t="n">
        <x:f>R178+U178</x:f>
        <x:v>-0.000020333197703534926</x:v>
      </x:c>
      <x:c r="W178" s="172" t="n">
        <x:f>(1+O178)*(1+V178)-1</x:f>
        <x:v>0.010540875067579059</x:v>
      </x:c>
      <x:c r="X178" s="174" t="n">
        <x:f>G178-W178</x:f>
        <x:v>3.0704605524789486e-16</x:v>
      </x:c>
      <x:c r="Y178" s="172" t="n">
        <x:f>AX178</x:f>
        <x:v>0.010540875067579364</x:v>
      </x:c>
      <x:c r="Z178" s="172" t="n">
        <x:f>BL178</x:f>
        <x:v>0</x:v>
      </x:c>
      <x:c r="AA178" s="172" t="n">
        <x:f>SUM(BZ178,CN178,DB178,DP178,ED178,ER178,FF178,FT178)</x:f>
        <x:v>0</x:v>
      </x:c>
      <x:c r="AB178" s="172" t="n">
        <x:f>SUM(Y178:AA178)</x:f>
        <x:v>0.010540875067579364</x:v>
      </x:c>
      <x:c r="AC178" s="174" t="n">
        <x:f>G178-AB178</x:f>
        <x:v>1.734723475976807e-18</x:v>
      </x:c>
      <x:c r="AD178" s="169" t="n">
        <x:v>1.7581931007200389</x:v>
      </x:c>
      <x:c r="AE178" s="169" t="n">
        <x:v>1.7767259945394087</x:v>
      </x:c>
      <x:c r="AF178" s="169" t="n">
        <x:v>0</x:v>
      </x:c>
      <x:c r="AG178" s="169" t="n">
        <x:v>0</x:v>
      </x:c>
      <x:c r="AH178" s="171" t="n">
        <x:f>M178/$M$3</x:f>
        <x:v>0.9187946884576098</x:v>
      </x:c>
      <x:c r="AI178" s="171" t="n">
        <x:f>N178/$M$3</x:f>
        <x:v>0.9284984678243106</x:v>
      </x:c>
      <x:c r="AJ178" s="170" t="n">
        <x:f>IF(AK178&lt;&gt;"",1,0)+IF(AY178&lt;&gt;"",1,0)+IF(BM178&lt;&gt;"",1,0)+IF(CA178&lt;&gt;"",1,0)+IF(CO178&lt;&gt;"",1,0)+IF(DC178&lt;&gt;"",1,0)+IF(DQ178&lt;&gt;"",1,0)+IF(EE178&lt;&gt;"",1,0)+IF(ES178&lt;&gt;"",1,0)+IF(FG178&lt;&gt;"",1,0)</x:f>
        <x:v>1</x:v>
      </x:c>
      <x:c r="AK178" s="147" t="str">
        <x:v>Silver replicating holding (LBMA/SLV proxy)</x:v>
      </x:c>
      <x:c r="AL178" s="147" t="str">
        <x:v>Physical-backed proxy</x:v>
      </x:c>
      <x:c r="AM178" s="147" t="str">
        <x:v>Long</x:v>
      </x:c>
      <x:c r="AN178" s="167" t="n">
        <x:v>1.799</x:v>
      </x:c>
      <x:c r="AO178" s="167" t="n">
        <x:v>1.818</x:v>
      </x:c>
      <x:c r="AP178" s="166" t="n">
        <x:v>1</x:v>
      </x:c>
      <x:c r="AQ178" s="171" t="n">
        <x:f>IF(AK178="","",IFERROR(F178*AP178/AN178,0))</x:f>
        <x:v>0.977316898677064</x:v>
      </x:c>
      <x:c r="AR178" s="171" t="n">
        <x:f>IF(AK178="","",F178*ABS(AP178))</x:f>
        <x:v>1.758193100720038</x:v>
      </x:c>
      <x:c r="AS178" s="165"/>
      <x:c r="AT178" s="172" t="str">
        <x:f>IF(AK178="","",IF(AS178="","",IFERROR(AN178/AS178-1,0)))</x:f>
      </x:c>
      <x:c r="AU178" s="166"/>
      <x:c r="AV178" s="172" t="str">
        <x:f>IF(AK178="","",IF(AU178="","",AU178-AT178*365/AW178))</x:f>
      </x:c>
      <x:c r="AW178" s="164"/>
      <x:c r="AX178" s="173" t="n">
        <x:f>IF(AK178="","",IFERROR(AP178*(AO178/AN178-1-'Parameters'!$C$6*C178/365),0))</x:f>
        <x:v>0.010540875067579364</x:v>
      </x:c>
      <x:c r="AY178" s="147"/>
      <x:c r="AZ178" s="147"/>
      <x:c r="BA178" s="147"/>
      <x:c r="BB178" s="167"/>
      <x:c r="BC178" s="167"/>
      <x:c r="BD178" s="166"/>
      <x:c r="BE178" s="171" t="str">
        <x:f>IF(AY178="","",IFERROR(F178*BD178/BB178,0))</x:f>
      </x:c>
      <x:c r="BF178" s="171" t="str">
        <x:f>IF(AY178="","",F178*ABS(BD178))</x:f>
      </x:c>
      <x:c r="BG178" s="165"/>
      <x:c r="BH178" s="172" t="str">
        <x:f>IF(AY178="","",IF(BG178="","",IFERROR(BB178/BG178-1,0)))</x:f>
      </x:c>
      <x:c r="BI178" s="166"/>
      <x:c r="BJ178" s="172" t="str">
        <x:f>IF(AY178="","",IF(BI178="","",BI178-BH178*365/BK178))</x:f>
      </x:c>
      <x:c r="BK178" s="164"/>
      <x:c r="BL178" s="172" t="str">
        <x:f>IF(AY178="","",IFERROR(BD178*(BC178/BB178-1),0))</x:f>
      </x:c>
      <x:c r="BM178" s="147"/>
      <x:c r="BN178" s="147"/>
      <x:c r="BO178" s="147"/>
      <x:c r="BP178" s="167"/>
      <x:c r="BQ178" s="167"/>
      <x:c r="BR178" s="166"/>
      <x:c r="BS178" s="171" t="str">
        <x:f>IF(BM178="","",IFERROR(F178*BR178/BP178,0))</x:f>
      </x:c>
      <x:c r="BT178" s="171" t="str">
        <x:f>IF(BM178="","",F178*ABS(BR178))</x:f>
      </x:c>
      <x:c r="BU178" s="165"/>
      <x:c r="BV178" s="172" t="str">
        <x:f>IF(BM178="","",IF(BU178="","",IFERROR(BP178/BU178-1,0)))</x:f>
      </x:c>
      <x:c r="BW178" s="166"/>
      <x:c r="BX178" s="172" t="str">
        <x:f>IF(BM178="","",IF(BW178="","",BW178-BV178*365/BY178))</x:f>
      </x:c>
      <x:c r="BY178" s="164"/>
      <x:c r="BZ178" s="172" t="str">
        <x:f>IF(BM178="","",IFERROR(BR178*(BQ178/BP178-1),0))</x:f>
      </x:c>
      <x:c r="CA178" s="147"/>
      <x:c r="CB178" s="147"/>
      <x:c r="CC178" s="147"/>
      <x:c r="CD178" s="167"/>
      <x:c r="CE178" s="167"/>
      <x:c r="CF178" s="166"/>
      <x:c r="CG178" s="171" t="str">
        <x:f>IF(CA178="","",IFERROR(F178*CF178/CD178,0))</x:f>
      </x:c>
      <x:c r="CH178" s="171" t="str">
        <x:f>IF(CA178="","",F178*ABS(CF178))</x:f>
      </x:c>
      <x:c r="CI178" s="165"/>
      <x:c r="CJ178" s="172" t="str">
        <x:f>IF(CA178="","",IF(CI178="","",IFERROR(CD178/CI178-1,0)))</x:f>
      </x:c>
      <x:c r="CK178" s="166"/>
      <x:c r="CL178" s="172" t="str">
        <x:f>IF(CA178="","",IF(CK178="","",CK178-CJ178*365/CM178))</x:f>
      </x:c>
      <x:c r="CM178" s="164"/>
      <x:c r="CN178" s="172" t="str">
        <x:f>IF(CA178="","",IFERROR(CF178*(CE178/CD178-1),0))</x:f>
      </x:c>
      <x:c r="CO178" s="147"/>
      <x:c r="CP178" s="147"/>
      <x:c r="CQ178" s="147"/>
      <x:c r="CR178" s="167"/>
      <x:c r="CS178" s="167"/>
      <x:c r="CT178" s="166"/>
      <x:c r="CU178" s="171" t="str">
        <x:f>IF(CO178="","",IFERROR(F178*CT178/CR178,0))</x:f>
      </x:c>
      <x:c r="CV178" s="171" t="str">
        <x:f>IF(CO178="","",F178*ABS(CT178))</x:f>
      </x:c>
      <x:c r="CW178" s="165"/>
      <x:c r="CX178" s="172" t="str">
        <x:f>IF(CO178="","",IF(CW178="","",IFERROR(CR178/CW178-1,0)))</x:f>
      </x:c>
      <x:c r="CY178" s="166"/>
      <x:c r="CZ178" s="172" t="str">
        <x:f>IF(CO178="","",IF(CY178="","",CY178-CX178*365/DA178))</x:f>
      </x:c>
      <x:c r="DA178" s="164"/>
      <x:c r="DB178" s="172" t="str">
        <x:f>IF(CO178="","",IFERROR(CT178*(CS178/CR178-1),0))</x:f>
      </x:c>
      <x:c r="DC178" s="147"/>
      <x:c r="DD178" s="147"/>
      <x:c r="DE178" s="147"/>
      <x:c r="DF178" s="167"/>
      <x:c r="DG178" s="167"/>
      <x:c r="DH178" s="166"/>
      <x:c r="DI178" s="171" t="str">
        <x:f>IF(DC178="","",IFERROR(F178*DH178/DF178,0))</x:f>
      </x:c>
      <x:c r="DJ178" s="171" t="str">
        <x:f>IF(DC178="","",F178*ABS(DH178))</x:f>
      </x:c>
      <x:c r="DK178" s="165"/>
      <x:c r="DL178" s="172" t="str">
        <x:f>IF(DC178="","",IF(DK178="","",IFERROR(DF178/DK178-1,0)))</x:f>
      </x:c>
      <x:c r="DM178" s="166"/>
      <x:c r="DN178" s="172" t="str">
        <x:f>IF(DC178="","",IF(DM178="","",DM178-DL178*365/DO178))</x:f>
      </x:c>
      <x:c r="DO178" s="164"/>
      <x:c r="DP178" s="172" t="str">
        <x:f>IF(DC178="","",IFERROR(DH178*(DG178/DF178-1),0))</x:f>
      </x:c>
      <x:c r="DQ178" s="147"/>
      <x:c r="DR178" s="147"/>
      <x:c r="DS178" s="147"/>
      <x:c r="DT178" s="167"/>
      <x:c r="DU178" s="167"/>
      <x:c r="DV178" s="166"/>
      <x:c r="DW178" s="171" t="str">
        <x:f>IF(DQ178="","",IFERROR(F178*DV178/DT178,0))</x:f>
      </x:c>
      <x:c r="DX178" s="171" t="str">
        <x:f>IF(DQ178="","",F178*ABS(DV178))</x:f>
      </x:c>
      <x:c r="DY178" s="165"/>
      <x:c r="DZ178" s="172" t="str">
        <x:f>IF(DQ178="","",IF(DY178="","",IFERROR(DT178/DY178-1,0)))</x:f>
      </x:c>
      <x:c r="EA178" s="166"/>
      <x:c r="EB178" s="172" t="str">
        <x:f>IF(DQ178="","",IF(EA178="","",EA178-DZ178*365/EC178))</x:f>
      </x:c>
      <x:c r="EC178" s="164"/>
      <x:c r="ED178" s="172" t="str">
        <x:f>IF(DQ178="","",IFERROR(DV178*(DU178/DT178-1),0))</x:f>
      </x:c>
      <x:c r="EE178" s="147"/>
      <x:c r="EF178" s="147"/>
      <x:c r="EG178" s="147"/>
      <x:c r="EH178" s="167"/>
      <x:c r="EI178" s="167"/>
      <x:c r="EJ178" s="166"/>
      <x:c r="EK178" s="171" t="str">
        <x:f>IF(EE178="","",IFERROR(F178*EJ178/EH178,0))</x:f>
      </x:c>
      <x:c r="EL178" s="171" t="str">
        <x:f>IF(EE178="","",F178*ABS(EJ178))</x:f>
      </x:c>
      <x:c r="EM178" s="165"/>
      <x:c r="EN178" s="172" t="str">
        <x:f>IF(EE178="","",IF(EM178="","",IFERROR(EH178/EM178-1,0)))</x:f>
      </x:c>
      <x:c r="EO178" s="166"/>
      <x:c r="EP178" s="172" t="str">
        <x:f>IF(EE178="","",IF(EO178="","",EO178-EN178*365/EQ178))</x:f>
      </x:c>
      <x:c r="EQ178" s="164"/>
      <x:c r="ER178" s="172" t="str">
        <x:f>IF(EE178="","",IFERROR(EJ178*(EI178/EH178-1),0))</x:f>
      </x:c>
      <x:c r="ES178" s="147"/>
      <x:c r="ET178" s="147"/>
      <x:c r="EU178" s="147"/>
      <x:c r="EV178" s="167"/>
      <x:c r="EW178" s="167"/>
      <x:c r="EX178" s="166"/>
      <x:c r="EY178" s="171" t="str">
        <x:f>IF(ES178="","",IFERROR(F178*EX178/EV178,0))</x:f>
      </x:c>
      <x:c r="EZ178" s="171" t="str">
        <x:f>IF(ES178="","",F178*ABS(EX178))</x:f>
      </x:c>
      <x:c r="FA178" s="165"/>
      <x:c r="FB178" s="172" t="str">
        <x:f>IF(ES178="","",IF(FA178="","",IFERROR(EV178/FA178-1,0)))</x:f>
      </x:c>
      <x:c r="FC178" s="166"/>
      <x:c r="FD178" s="172" t="str">
        <x:f>IF(ES178="","",IF(FC178="","",FC178-FB178*365/FE178))</x:f>
      </x:c>
      <x:c r="FE178" s="164"/>
      <x:c r="FF178" s="172" t="str">
        <x:f>IF(ES178="","",IFERROR(EX178*(EW178/EV178-1),0))</x:f>
      </x:c>
      <x:c r="FG178" s="147"/>
      <x:c r="FH178" s="147"/>
      <x:c r="FI178" s="147"/>
      <x:c r="FJ178" s="167"/>
      <x:c r="FK178" s="167"/>
      <x:c r="FL178" s="166"/>
      <x:c r="FM178" s="171" t="str">
        <x:f>IF(FG178="","",IFERROR(F178*FL178/FJ178,0))</x:f>
      </x:c>
      <x:c r="FN178" s="171" t="str">
        <x:f>IF(FG178="","",F178*ABS(FL178))</x:f>
      </x:c>
      <x:c r="FO178" s="165"/>
      <x:c r="FP178" s="172" t="str">
        <x:f>IF(FG178="","",IF(FO178="","",IFERROR(FJ178/FO178-1,0)))</x:f>
      </x:c>
      <x:c r="FQ178" s="166"/>
      <x:c r="FR178" s="172" t="str">
        <x:f>IF(FG178="","",IF(FQ178="","",FQ178-FP178*365/FS178))</x:f>
      </x:c>
      <x:c r="FS178" s="164"/>
      <x:c r="FT178" s="172" t="str">
        <x:f>IF(FG178="","",IFERROR(FL178*(FK178/FJ178-1),0))</x:f>
      </x:c>
    </x:row>
    <x:row r="179" ht="18" customHeight="1">
      <x:c r="A179" s="163" t="n">
        <x:v>25468</x:v>
      </x:c>
      <x:c r="B179" s="163" t="n">
        <x:v>25469</x:v>
      </x:c>
      <x:c r="C179" s="170" t="n">
        <x:f>B179-A179</x:f>
        <x:v>1</x:v>
      </x:c>
      <x:c r="D179" s="163" t="n">
        <x:v>25468</x:v>
      </x:c>
      <x:c r="E179" s="147" t="str">
        <x:v>neutral</x:v>
      </x:c>
      <x:c r="F179" s="165" t="n">
        <x:v>1.7767259945394078</x:v>
      </x:c>
      <x:c r="G179" s="168" t="n">
        <x:v>0.027495900959959085</x:v>
      </x:c>
      <x:c r="H179" s="172" t="n">
        <x:f>SUM(AX179,BL179,BZ179,CN179,DB179,DP179,ED179,ER179,FF179,FT179)</x:f>
        <x:v>0.027495900959959085</x:v>
      </x:c>
      <x:c r="I179" s="174" t="n">
        <x:f>G179-H179</x:f>
        <x:v>0</x:v>
      </x:c>
      <x:c r="J179" s="171" t="n">
        <x:f>F179*(1+H179)</x:f>
        <x:v>1.8255786765182482</x:v>
      </x:c>
      <x:c r="K179" s="169" t="n">
        <x:v>1.8255786765182482</x:v>
      </x:c>
      <x:c r="L179" s="175" t="n">
        <x:f>K179-J179</x:f>
        <x:v>0</x:v>
      </x:c>
      <x:c r="M179" s="167" t="n">
        <x:v>1.818</x:v>
      </x:c>
      <x:c r="N179" s="167" t="n">
        <x:v>1.868</x:v>
      </x:c>
      <x:c r="O179" s="172" t="n">
        <x:f>IFERROR(N179/M179-1,0)</x:f>
        <x:v>0.027502750275027577</x:v>
      </x:c>
      <x:c r="P179" s="171" t="n">
        <x:f>IFERROR(AD179/AH179,0)</x:f>
        <x:v>1.9135475782773168</x:v>
      </x:c>
      <x:c r="Q179" s="171" t="n">
        <x:f>IFERROR(AE179/AI179,0)</x:f>
        <x:v>1.9135348226031754</x:v>
      </x:c>
      <x:c r="R179" s="172" t="n">
        <x:f>IFERROR((Q179-P179)/(P179+S179),0)</x:f>
        <x:v>-0.0000066659822239006796</x:v>
      </x:c>
      <x:c r="S179" s="172" t="n">
        <x:f>IFERROR(AF179/AH179,0)</x:f>
        <x:v>0</x:v>
      </x:c>
      <x:c r="T179" s="172" t="n">
        <x:f>IFERROR(AG179/AI179,0)</x:f>
        <x:v>0</x:v>
      </x:c>
      <x:c r="U179" s="172" t="n">
        <x:f>IFERROR((T179-S179)/(P179+S179),0)</x:f>
        <x:v>0</x:v>
      </x:c>
      <x:c r="V179" s="172" t="n">
        <x:f>R179+U179</x:f>
        <x:v>-0.0000066659822239006796</x:v>
      </x:c>
      <x:c r="W179" s="172" t="n">
        <x:f>(1+O179)*(1+V179)-1</x:f>
        <x:v>0.027495900959959352</x:v>
      </x:c>
      <x:c r="X179" s="174" t="n">
        <x:f>G179-W179</x:f>
        <x:v>-2.671474153004283e-16</x:v>
      </x:c>
      <x:c r="Y179" s="172" t="n">
        <x:f>AX179</x:f>
        <x:v>0.027495900959959085</x:v>
      </x:c>
      <x:c r="Z179" s="172" t="n">
        <x:f>BL179</x:f>
        <x:v>0</x:v>
      </x:c>
      <x:c r="AA179" s="172" t="n">
        <x:f>SUM(BZ179,CN179,DB179,DP179,ED179,ER179,FF179,FT179)</x:f>
        <x:v>0</x:v>
      </x:c>
      <x:c r="AB179" s="172" t="n">
        <x:f>SUM(Y179:AA179)</x:f>
        <x:v>0.027495900959959085</x:v>
      </x:c>
      <x:c r="AC179" s="174" t="n">
        <x:f>G179-AB179</x:f>
        <x:v>0</x:v>
      </x:c>
      <x:c r="AD179" s="169" t="n">
        <x:v>1.7767259945394087</x:v>
      </x:c>
      <x:c r="AE179" s="169" t="n">
        <x:v>1.8255786765182491</x:v>
      </x:c>
      <x:c r="AF179" s="169" t="n">
        <x:v>0</x:v>
      </x:c>
      <x:c r="AG179" s="169" t="n">
        <x:v>0</x:v>
      </x:c>
      <x:c r="AH179" s="171" t="n">
        <x:f>M179/$M$3</x:f>
        <x:v>0.9284984678243106</x:v>
      </x:c>
      <x:c r="AI179" s="171" t="n">
        <x:f>N179/$M$3</x:f>
        <x:v>0.9540347293156283</x:v>
      </x:c>
      <x:c r="AJ179" s="170" t="n">
        <x:f>IF(AK179&lt;&gt;"",1,0)+IF(AY179&lt;&gt;"",1,0)+IF(BM179&lt;&gt;"",1,0)+IF(CA179&lt;&gt;"",1,0)+IF(CO179&lt;&gt;"",1,0)+IF(DC179&lt;&gt;"",1,0)+IF(DQ179&lt;&gt;"",1,0)+IF(EE179&lt;&gt;"",1,0)+IF(ES179&lt;&gt;"",1,0)+IF(FG179&lt;&gt;"",1,0)</x:f>
        <x:v>1</x:v>
      </x:c>
      <x:c r="AK179" s="147" t="str">
        <x:v>Silver replicating holding (LBMA/SLV proxy)</x:v>
      </x:c>
      <x:c r="AL179" s="147" t="str">
        <x:v>Physical-backed proxy</x:v>
      </x:c>
      <x:c r="AM179" s="147" t="str">
        <x:v>Long</x:v>
      </x:c>
      <x:c r="AN179" s="167" t="n">
        <x:v>1.818</x:v>
      </x:c>
      <x:c r="AO179" s="167" t="n">
        <x:v>1.868</x:v>
      </x:c>
      <x:c r="AP179" s="166" t="n">
        <x:v>1</x:v>
      </x:c>
      <x:c r="AQ179" s="171" t="n">
        <x:f>IF(AK179="","",IFERROR(F179*AP179/AN179,0))</x:f>
        <x:v>0.9772970266993442</x:v>
      </x:c>
      <x:c r="AR179" s="171" t="n">
        <x:f>IF(AK179="","",F179*ABS(AP179))</x:f>
        <x:v>1.7767259945394078</x:v>
      </x:c>
      <x:c r="AS179" s="165"/>
      <x:c r="AT179" s="172" t="str">
        <x:f>IF(AK179="","",IF(AS179="","",IFERROR(AN179/AS179-1,0)))</x:f>
      </x:c>
      <x:c r="AU179" s="166"/>
      <x:c r="AV179" s="172" t="str">
        <x:f>IF(AK179="","",IF(AU179="","",AU179-AT179*365/AW179))</x:f>
      </x:c>
      <x:c r="AW179" s="164"/>
      <x:c r="AX179" s="173" t="n">
        <x:f>IF(AK179="","",IFERROR(AP179*(AO179/AN179-1-'Parameters'!$C$6*C179/365),0))</x:f>
        <x:v>0.027495900959959085</x:v>
      </x:c>
      <x:c r="AY179" s="147"/>
      <x:c r="AZ179" s="147"/>
      <x:c r="BA179" s="147"/>
      <x:c r="BB179" s="167"/>
      <x:c r="BC179" s="167"/>
      <x:c r="BD179" s="166"/>
      <x:c r="BE179" s="171" t="str">
        <x:f>IF(AY179="","",IFERROR(F179*BD179/BB179,0))</x:f>
      </x:c>
      <x:c r="BF179" s="171" t="str">
        <x:f>IF(AY179="","",F179*ABS(BD179))</x:f>
      </x:c>
      <x:c r="BG179" s="165"/>
      <x:c r="BH179" s="172" t="str">
        <x:f>IF(AY179="","",IF(BG179="","",IFERROR(BB179/BG179-1,0)))</x:f>
      </x:c>
      <x:c r="BI179" s="166"/>
      <x:c r="BJ179" s="172" t="str">
        <x:f>IF(AY179="","",IF(BI179="","",BI179-BH179*365/BK179))</x:f>
      </x:c>
      <x:c r="BK179" s="164"/>
      <x:c r="BL179" s="172" t="str">
        <x:f>IF(AY179="","",IFERROR(BD179*(BC179/BB179-1),0))</x:f>
      </x:c>
      <x:c r="BM179" s="147"/>
      <x:c r="BN179" s="147"/>
      <x:c r="BO179" s="147"/>
      <x:c r="BP179" s="167"/>
      <x:c r="BQ179" s="167"/>
      <x:c r="BR179" s="166"/>
      <x:c r="BS179" s="171" t="str">
        <x:f>IF(BM179="","",IFERROR(F179*BR179/BP179,0))</x:f>
      </x:c>
      <x:c r="BT179" s="171" t="str">
        <x:f>IF(BM179="","",F179*ABS(BR179))</x:f>
      </x:c>
      <x:c r="BU179" s="165"/>
      <x:c r="BV179" s="172" t="str">
        <x:f>IF(BM179="","",IF(BU179="","",IFERROR(BP179/BU179-1,0)))</x:f>
      </x:c>
      <x:c r="BW179" s="166"/>
      <x:c r="BX179" s="172" t="str">
        <x:f>IF(BM179="","",IF(BW179="","",BW179-BV179*365/BY179))</x:f>
      </x:c>
      <x:c r="BY179" s="164"/>
      <x:c r="BZ179" s="172" t="str">
        <x:f>IF(BM179="","",IFERROR(BR179*(BQ179/BP179-1),0))</x:f>
      </x:c>
      <x:c r="CA179" s="147"/>
      <x:c r="CB179" s="147"/>
      <x:c r="CC179" s="147"/>
      <x:c r="CD179" s="167"/>
      <x:c r="CE179" s="167"/>
      <x:c r="CF179" s="166"/>
      <x:c r="CG179" s="171" t="str">
        <x:f>IF(CA179="","",IFERROR(F179*CF179/CD179,0))</x:f>
      </x:c>
      <x:c r="CH179" s="171" t="str">
        <x:f>IF(CA179="","",F179*ABS(CF179))</x:f>
      </x:c>
      <x:c r="CI179" s="165"/>
      <x:c r="CJ179" s="172" t="str">
        <x:f>IF(CA179="","",IF(CI179="","",IFERROR(CD179/CI179-1,0)))</x:f>
      </x:c>
      <x:c r="CK179" s="166"/>
      <x:c r="CL179" s="172" t="str">
        <x:f>IF(CA179="","",IF(CK179="","",CK179-CJ179*365/CM179))</x:f>
      </x:c>
      <x:c r="CM179" s="164"/>
      <x:c r="CN179" s="172" t="str">
        <x:f>IF(CA179="","",IFERROR(CF179*(CE179/CD179-1),0))</x:f>
      </x:c>
      <x:c r="CO179" s="147"/>
      <x:c r="CP179" s="147"/>
      <x:c r="CQ179" s="147"/>
      <x:c r="CR179" s="167"/>
      <x:c r="CS179" s="167"/>
      <x:c r="CT179" s="166"/>
      <x:c r="CU179" s="171" t="str">
        <x:f>IF(CO179="","",IFERROR(F179*CT179/CR179,0))</x:f>
      </x:c>
      <x:c r="CV179" s="171" t="str">
        <x:f>IF(CO179="","",F179*ABS(CT179))</x:f>
      </x:c>
      <x:c r="CW179" s="165"/>
      <x:c r="CX179" s="172" t="str">
        <x:f>IF(CO179="","",IF(CW179="","",IFERROR(CR179/CW179-1,0)))</x:f>
      </x:c>
      <x:c r="CY179" s="166"/>
      <x:c r="CZ179" s="172" t="str">
        <x:f>IF(CO179="","",IF(CY179="","",CY179-CX179*365/DA179))</x:f>
      </x:c>
      <x:c r="DA179" s="164"/>
      <x:c r="DB179" s="172" t="str">
        <x:f>IF(CO179="","",IFERROR(CT179*(CS179/CR179-1),0))</x:f>
      </x:c>
      <x:c r="DC179" s="147"/>
      <x:c r="DD179" s="147"/>
      <x:c r="DE179" s="147"/>
      <x:c r="DF179" s="167"/>
      <x:c r="DG179" s="167"/>
      <x:c r="DH179" s="166"/>
      <x:c r="DI179" s="171" t="str">
        <x:f>IF(DC179="","",IFERROR(F179*DH179/DF179,0))</x:f>
      </x:c>
      <x:c r="DJ179" s="171" t="str">
        <x:f>IF(DC179="","",F179*ABS(DH179))</x:f>
      </x:c>
      <x:c r="DK179" s="165"/>
      <x:c r="DL179" s="172" t="str">
        <x:f>IF(DC179="","",IF(DK179="","",IFERROR(DF179/DK179-1,0)))</x:f>
      </x:c>
      <x:c r="DM179" s="166"/>
      <x:c r="DN179" s="172" t="str">
        <x:f>IF(DC179="","",IF(DM179="","",DM179-DL179*365/DO179))</x:f>
      </x:c>
      <x:c r="DO179" s="164"/>
      <x:c r="DP179" s="172" t="str">
        <x:f>IF(DC179="","",IFERROR(DH179*(DG179/DF179-1),0))</x:f>
      </x:c>
      <x:c r="DQ179" s="147"/>
      <x:c r="DR179" s="147"/>
      <x:c r="DS179" s="147"/>
      <x:c r="DT179" s="167"/>
      <x:c r="DU179" s="167"/>
      <x:c r="DV179" s="166"/>
      <x:c r="DW179" s="171" t="str">
        <x:f>IF(DQ179="","",IFERROR(F179*DV179/DT179,0))</x:f>
      </x:c>
      <x:c r="DX179" s="171" t="str">
        <x:f>IF(DQ179="","",F179*ABS(DV179))</x:f>
      </x:c>
      <x:c r="DY179" s="165"/>
      <x:c r="DZ179" s="172" t="str">
        <x:f>IF(DQ179="","",IF(DY179="","",IFERROR(DT179/DY179-1,0)))</x:f>
      </x:c>
      <x:c r="EA179" s="166"/>
      <x:c r="EB179" s="172" t="str">
        <x:f>IF(DQ179="","",IF(EA179="","",EA179-DZ179*365/EC179))</x:f>
      </x:c>
      <x:c r="EC179" s="164"/>
      <x:c r="ED179" s="172" t="str">
        <x:f>IF(DQ179="","",IFERROR(DV179*(DU179/DT179-1),0))</x:f>
      </x:c>
      <x:c r="EE179" s="147"/>
      <x:c r="EF179" s="147"/>
      <x:c r="EG179" s="147"/>
      <x:c r="EH179" s="167"/>
      <x:c r="EI179" s="167"/>
      <x:c r="EJ179" s="166"/>
      <x:c r="EK179" s="171" t="str">
        <x:f>IF(EE179="","",IFERROR(F179*EJ179/EH179,0))</x:f>
      </x:c>
      <x:c r="EL179" s="171" t="str">
        <x:f>IF(EE179="","",F179*ABS(EJ179))</x:f>
      </x:c>
      <x:c r="EM179" s="165"/>
      <x:c r="EN179" s="172" t="str">
        <x:f>IF(EE179="","",IF(EM179="","",IFERROR(EH179/EM179-1,0)))</x:f>
      </x:c>
      <x:c r="EO179" s="166"/>
      <x:c r="EP179" s="172" t="str">
        <x:f>IF(EE179="","",IF(EO179="","",EO179-EN179*365/EQ179))</x:f>
      </x:c>
      <x:c r="EQ179" s="164"/>
      <x:c r="ER179" s="172" t="str">
        <x:f>IF(EE179="","",IFERROR(EJ179*(EI179/EH179-1),0))</x:f>
      </x:c>
      <x:c r="ES179" s="147"/>
      <x:c r="ET179" s="147"/>
      <x:c r="EU179" s="147"/>
      <x:c r="EV179" s="167"/>
      <x:c r="EW179" s="167"/>
      <x:c r="EX179" s="166"/>
      <x:c r="EY179" s="171" t="str">
        <x:f>IF(ES179="","",IFERROR(F179*EX179/EV179,0))</x:f>
      </x:c>
      <x:c r="EZ179" s="171" t="str">
        <x:f>IF(ES179="","",F179*ABS(EX179))</x:f>
      </x:c>
      <x:c r="FA179" s="165"/>
      <x:c r="FB179" s="172" t="str">
        <x:f>IF(ES179="","",IF(FA179="","",IFERROR(EV179/FA179-1,0)))</x:f>
      </x:c>
      <x:c r="FC179" s="166"/>
      <x:c r="FD179" s="172" t="str">
        <x:f>IF(ES179="","",IF(FC179="","",FC179-FB179*365/FE179))</x:f>
      </x:c>
      <x:c r="FE179" s="164"/>
      <x:c r="FF179" s="172" t="str">
        <x:f>IF(ES179="","",IFERROR(EX179*(EW179/EV179-1),0))</x:f>
      </x:c>
      <x:c r="FG179" s="147"/>
      <x:c r="FH179" s="147"/>
      <x:c r="FI179" s="147"/>
      <x:c r="FJ179" s="167"/>
      <x:c r="FK179" s="167"/>
      <x:c r="FL179" s="166"/>
      <x:c r="FM179" s="171" t="str">
        <x:f>IF(FG179="","",IFERROR(F179*FL179/FJ179,0))</x:f>
      </x:c>
      <x:c r="FN179" s="171" t="str">
        <x:f>IF(FG179="","",F179*ABS(FL179))</x:f>
      </x:c>
      <x:c r="FO179" s="165"/>
      <x:c r="FP179" s="172" t="str">
        <x:f>IF(FG179="","",IF(FO179="","",IFERROR(FJ179/FO179-1,0)))</x:f>
      </x:c>
      <x:c r="FQ179" s="166"/>
      <x:c r="FR179" s="172" t="str">
        <x:f>IF(FG179="","",IF(FQ179="","",FQ179-FP179*365/FS179))</x:f>
      </x:c>
      <x:c r="FS179" s="164"/>
      <x:c r="FT179" s="172" t="str">
        <x:f>IF(FG179="","",IFERROR(FL179*(FK179/FJ179-1),0))</x:f>
      </x:c>
    </x:row>
    <x:row r="180" ht="18" customHeight="1">
      <x:c r="A180" s="163" t="n">
        <x:v>25469</x:v>
      </x:c>
      <x:c r="B180" s="163" t="n">
        <x:v>25470</x:v>
      </x:c>
      <x:c r="C180" s="170" t="n">
        <x:f>B180-A180</x:f>
        <x:v>1</x:v>
      </x:c>
      <x:c r="D180" s="163" t="n">
        <x:v>25469</x:v>
      </x:c>
      <x:c r="E180" s="147" t="str">
        <x:v>neutral</x:v>
      </x:c>
      <x:c r="F180" s="165" t="n">
        <x:v>1.8255786765182482</x:v>
      </x:c>
      <x:c r="G180" s="168" t="n">
        <x:v>0.012305784517907934</x:v>
      </x:c>
      <x:c r="H180" s="172" t="n">
        <x:f>SUM(AX180,BL180,BZ180,CN180,DB180,DP180,ED180,ER180,FF180,FT180)</x:f>
        <x:v>0.012305784517907934</x:v>
      </x:c>
      <x:c r="I180" s="174" t="n">
        <x:f>G180-H180</x:f>
        <x:v>0</x:v>
      </x:c>
      <x:c r="J180" s="171" t="n">
        <x:f>F180*(1+H180)</x:f>
        <x:v>1.8480438543319695</x:v>
      </x:c>
      <x:c r="K180" s="169" t="n">
        <x:v>1.8480438543319695</x:v>
      </x:c>
      <x:c r="L180" s="175" t="n">
        <x:f>K180-J180</x:f>
        <x:v>0</x:v>
      </x:c>
      <x:c r="M180" s="167" t="n">
        <x:v>1.868</x:v>
      </x:c>
      <x:c r="N180" s="167" t="n">
        <x:v>1.891</x:v>
      </x:c>
      <x:c r="O180" s="172" t="n">
        <x:f>IFERROR(N180/M180-1,0)</x:f>
        <x:v>0.012312633832976427</x:v>
      </x:c>
      <x:c r="P180" s="171" t="n">
        <x:f>IFERROR(AD180/AH180,0)</x:f>
        <x:v>1.9135348226031754</x:v>
      </x:c>
      <x:c r="Q180" s="171" t="n">
        <x:f>IFERROR(AE180/AI180,0)</x:f>
        <x:v>1.9135218756118442</x:v>
      </x:c>
      <x:c r="R180" s="172" t="n">
        <x:f>IFERROR((Q180-P180)/(P180+S180),0)</x:f>
        <x:v>-0.000006766007693363993</x:v>
      </x:c>
      <x:c r="S180" s="172" t="n">
        <x:f>IFERROR(AF180/AH180,0)</x:f>
        <x:v>0</x:v>
      </x:c>
      <x:c r="T180" s="172" t="n">
        <x:f>IFERROR(AG180/AI180,0)</x:f>
        <x:v>0</x:v>
      </x:c>
      <x:c r="U180" s="172" t="n">
        <x:f>IFERROR((T180-S180)/(P180+S180),0)</x:f>
        <x:v>0</x:v>
      </x:c>
      <x:c r="V180" s="172" t="n">
        <x:f>R180+U180</x:f>
        <x:v>-0.000006766007693363993</x:v>
      </x:c>
      <x:c r="W180" s="172" t="n">
        <x:f>(1+O180)*(1+V180)-1</x:f>
        <x:v>0.012305784517907759</x:v>
      </x:c>
      <x:c r="X180" s="174" t="n">
        <x:f>G180-W180</x:f>
        <x:v>1.7520707107365752e-16</x:v>
      </x:c>
      <x:c r="Y180" s="172" t="n">
        <x:f>AX180</x:f>
        <x:v>0.012305784517907934</x:v>
      </x:c>
      <x:c r="Z180" s="172" t="n">
        <x:f>BL180</x:f>
        <x:v>0</x:v>
      </x:c>
      <x:c r="AA180" s="172" t="n">
        <x:f>SUM(BZ180,CN180,DB180,DP180,ED180,ER180,FF180,FT180)</x:f>
        <x:v>0</x:v>
      </x:c>
      <x:c r="AB180" s="172" t="n">
        <x:f>SUM(Y180:AA180)</x:f>
        <x:v>0.012305784517907934</x:v>
      </x:c>
      <x:c r="AC180" s="174" t="n">
        <x:f>G180-AB180</x:f>
        <x:v>0</x:v>
      </x:c>
      <x:c r="AD180" s="169" t="n">
        <x:v>1.8255786765182491</x:v>
      </x:c>
      <x:c r="AE180" s="169" t="n">
        <x:v>1.8480438543319702</x:v>
      </x:c>
      <x:c r="AF180" s="169" t="n">
        <x:v>0</x:v>
      </x:c>
      <x:c r="AG180" s="169" t="n">
        <x:v>0</x:v>
      </x:c>
      <x:c r="AH180" s="171" t="n">
        <x:f>M180/$M$3</x:f>
        <x:v>0.9540347293156283</x:v>
      </x:c>
      <x:c r="AI180" s="171" t="n">
        <x:f>N180/$M$3</x:f>
        <x:v>0.9657814096016344</x:v>
      </x:c>
      <x:c r="AJ180" s="170" t="n">
        <x:f>IF(AK180&lt;&gt;"",1,0)+IF(AY180&lt;&gt;"",1,0)+IF(BM180&lt;&gt;"",1,0)+IF(CA180&lt;&gt;"",1,0)+IF(CO180&lt;&gt;"",1,0)+IF(DC180&lt;&gt;"",1,0)+IF(DQ180&lt;&gt;"",1,0)+IF(EE180&lt;&gt;"",1,0)+IF(ES180&lt;&gt;"",1,0)+IF(FG180&lt;&gt;"",1,0)</x:f>
        <x:v>1</x:v>
      </x:c>
      <x:c r="AK180" s="147" t="str">
        <x:v>Silver replicating holding (LBMA/SLV proxy)</x:v>
      </x:c>
      <x:c r="AL180" s="147" t="str">
        <x:v>Physical-backed proxy</x:v>
      </x:c>
      <x:c r="AM180" s="147" t="str">
        <x:v>Long</x:v>
      </x:c>
      <x:c r="AN180" s="167" t="n">
        <x:v>1.868</x:v>
      </x:c>
      <x:c r="AO180" s="167" t="n">
        <x:v>1.891</x:v>
      </x:c>
      <x:c r="AP180" s="166" t="n">
        <x:v>1</x:v>
      </x:c>
      <x:c r="AQ180" s="171" t="n">
        <x:f>IF(AK180="","",IFERROR(F180*AP180/AN180,0))</x:f>
        <x:v>0.9772905120547367</x:v>
      </x:c>
      <x:c r="AR180" s="171" t="n">
        <x:f>IF(AK180="","",F180*ABS(AP180))</x:f>
        <x:v>1.8255786765182482</x:v>
      </x:c>
      <x:c r="AS180" s="165"/>
      <x:c r="AT180" s="172" t="str">
        <x:f>IF(AK180="","",IF(AS180="","",IFERROR(AN180/AS180-1,0)))</x:f>
      </x:c>
      <x:c r="AU180" s="166"/>
      <x:c r="AV180" s="172" t="str">
        <x:f>IF(AK180="","",IF(AU180="","",AU180-AT180*365/AW180))</x:f>
      </x:c>
      <x:c r="AW180" s="164"/>
      <x:c r="AX180" s="173" t="n">
        <x:f>IF(AK180="","",IFERROR(AP180*(AO180/AN180-1-'Parameters'!$C$6*C180/365),0))</x:f>
        <x:v>0.012305784517907934</x:v>
      </x:c>
      <x:c r="AY180" s="147"/>
      <x:c r="AZ180" s="147"/>
      <x:c r="BA180" s="147"/>
      <x:c r="BB180" s="167"/>
      <x:c r="BC180" s="167"/>
      <x:c r="BD180" s="166"/>
      <x:c r="BE180" s="171" t="str">
        <x:f>IF(AY180="","",IFERROR(F180*BD180/BB180,0))</x:f>
      </x:c>
      <x:c r="BF180" s="171" t="str">
        <x:f>IF(AY180="","",F180*ABS(BD180))</x:f>
      </x:c>
      <x:c r="BG180" s="165"/>
      <x:c r="BH180" s="172" t="str">
        <x:f>IF(AY180="","",IF(BG180="","",IFERROR(BB180/BG180-1,0)))</x:f>
      </x:c>
      <x:c r="BI180" s="166"/>
      <x:c r="BJ180" s="172" t="str">
        <x:f>IF(AY180="","",IF(BI180="","",BI180-BH180*365/BK180))</x:f>
      </x:c>
      <x:c r="BK180" s="164"/>
      <x:c r="BL180" s="172" t="str">
        <x:f>IF(AY180="","",IFERROR(BD180*(BC180/BB180-1),0))</x:f>
      </x:c>
      <x:c r="BM180" s="147"/>
      <x:c r="BN180" s="147"/>
      <x:c r="BO180" s="147"/>
      <x:c r="BP180" s="167"/>
      <x:c r="BQ180" s="167"/>
      <x:c r="BR180" s="166"/>
      <x:c r="BS180" s="171" t="str">
        <x:f>IF(BM180="","",IFERROR(F180*BR180/BP180,0))</x:f>
      </x:c>
      <x:c r="BT180" s="171" t="str">
        <x:f>IF(BM180="","",F180*ABS(BR180))</x:f>
      </x:c>
      <x:c r="BU180" s="165"/>
      <x:c r="BV180" s="172" t="str">
        <x:f>IF(BM180="","",IF(BU180="","",IFERROR(BP180/BU180-1,0)))</x:f>
      </x:c>
      <x:c r="BW180" s="166"/>
      <x:c r="BX180" s="172" t="str">
        <x:f>IF(BM180="","",IF(BW180="","",BW180-BV180*365/BY180))</x:f>
      </x:c>
      <x:c r="BY180" s="164"/>
      <x:c r="BZ180" s="172" t="str">
        <x:f>IF(BM180="","",IFERROR(BR180*(BQ180/BP180-1),0))</x:f>
      </x:c>
      <x:c r="CA180" s="147"/>
      <x:c r="CB180" s="147"/>
      <x:c r="CC180" s="147"/>
      <x:c r="CD180" s="167"/>
      <x:c r="CE180" s="167"/>
      <x:c r="CF180" s="166"/>
      <x:c r="CG180" s="171" t="str">
        <x:f>IF(CA180="","",IFERROR(F180*CF180/CD180,0))</x:f>
      </x:c>
      <x:c r="CH180" s="171" t="str">
        <x:f>IF(CA180="","",F180*ABS(CF180))</x:f>
      </x:c>
      <x:c r="CI180" s="165"/>
      <x:c r="CJ180" s="172" t="str">
        <x:f>IF(CA180="","",IF(CI180="","",IFERROR(CD180/CI180-1,0)))</x:f>
      </x:c>
      <x:c r="CK180" s="166"/>
      <x:c r="CL180" s="172" t="str">
        <x:f>IF(CA180="","",IF(CK180="","",CK180-CJ180*365/CM180))</x:f>
      </x:c>
      <x:c r="CM180" s="164"/>
      <x:c r="CN180" s="172" t="str">
        <x:f>IF(CA180="","",IFERROR(CF180*(CE180/CD180-1),0))</x:f>
      </x:c>
      <x:c r="CO180" s="147"/>
      <x:c r="CP180" s="147"/>
      <x:c r="CQ180" s="147"/>
      <x:c r="CR180" s="167"/>
      <x:c r="CS180" s="167"/>
      <x:c r="CT180" s="166"/>
      <x:c r="CU180" s="171" t="str">
        <x:f>IF(CO180="","",IFERROR(F180*CT180/CR180,0))</x:f>
      </x:c>
      <x:c r="CV180" s="171" t="str">
        <x:f>IF(CO180="","",F180*ABS(CT180))</x:f>
      </x:c>
      <x:c r="CW180" s="165"/>
      <x:c r="CX180" s="172" t="str">
        <x:f>IF(CO180="","",IF(CW180="","",IFERROR(CR180/CW180-1,0)))</x:f>
      </x:c>
      <x:c r="CY180" s="166"/>
      <x:c r="CZ180" s="172" t="str">
        <x:f>IF(CO180="","",IF(CY180="","",CY180-CX180*365/DA180))</x:f>
      </x:c>
      <x:c r="DA180" s="164"/>
      <x:c r="DB180" s="172" t="str">
        <x:f>IF(CO180="","",IFERROR(CT180*(CS180/CR180-1),0))</x:f>
      </x:c>
      <x:c r="DC180" s="147"/>
      <x:c r="DD180" s="147"/>
      <x:c r="DE180" s="147"/>
      <x:c r="DF180" s="167"/>
      <x:c r="DG180" s="167"/>
      <x:c r="DH180" s="166"/>
      <x:c r="DI180" s="171" t="str">
        <x:f>IF(DC180="","",IFERROR(F180*DH180/DF180,0))</x:f>
      </x:c>
      <x:c r="DJ180" s="171" t="str">
        <x:f>IF(DC180="","",F180*ABS(DH180))</x:f>
      </x:c>
      <x:c r="DK180" s="165"/>
      <x:c r="DL180" s="172" t="str">
        <x:f>IF(DC180="","",IF(DK180="","",IFERROR(DF180/DK180-1,0)))</x:f>
      </x:c>
      <x:c r="DM180" s="166"/>
      <x:c r="DN180" s="172" t="str">
        <x:f>IF(DC180="","",IF(DM180="","",DM180-DL180*365/DO180))</x:f>
      </x:c>
      <x:c r="DO180" s="164"/>
      <x:c r="DP180" s="172" t="str">
        <x:f>IF(DC180="","",IFERROR(DH180*(DG180/DF180-1),0))</x:f>
      </x:c>
      <x:c r="DQ180" s="147"/>
      <x:c r="DR180" s="147"/>
      <x:c r="DS180" s="147"/>
      <x:c r="DT180" s="167"/>
      <x:c r="DU180" s="167"/>
      <x:c r="DV180" s="166"/>
      <x:c r="DW180" s="171" t="str">
        <x:f>IF(DQ180="","",IFERROR(F180*DV180/DT180,0))</x:f>
      </x:c>
      <x:c r="DX180" s="171" t="str">
        <x:f>IF(DQ180="","",F180*ABS(DV180))</x:f>
      </x:c>
      <x:c r="DY180" s="165"/>
      <x:c r="DZ180" s="172" t="str">
        <x:f>IF(DQ180="","",IF(DY180="","",IFERROR(DT180/DY180-1,0)))</x:f>
      </x:c>
      <x:c r="EA180" s="166"/>
      <x:c r="EB180" s="172" t="str">
        <x:f>IF(DQ180="","",IF(EA180="","",EA180-DZ180*365/EC180))</x:f>
      </x:c>
      <x:c r="EC180" s="164"/>
      <x:c r="ED180" s="172" t="str">
        <x:f>IF(DQ180="","",IFERROR(DV180*(DU180/DT180-1),0))</x:f>
      </x:c>
      <x:c r="EE180" s="147"/>
      <x:c r="EF180" s="147"/>
      <x:c r="EG180" s="147"/>
      <x:c r="EH180" s="167"/>
      <x:c r="EI180" s="167"/>
      <x:c r="EJ180" s="166"/>
      <x:c r="EK180" s="171" t="str">
        <x:f>IF(EE180="","",IFERROR(F180*EJ180/EH180,0))</x:f>
      </x:c>
      <x:c r="EL180" s="171" t="str">
        <x:f>IF(EE180="","",F180*ABS(EJ180))</x:f>
      </x:c>
      <x:c r="EM180" s="165"/>
      <x:c r="EN180" s="172" t="str">
        <x:f>IF(EE180="","",IF(EM180="","",IFERROR(EH180/EM180-1,0)))</x:f>
      </x:c>
      <x:c r="EO180" s="166"/>
      <x:c r="EP180" s="172" t="str">
        <x:f>IF(EE180="","",IF(EO180="","",EO180-EN180*365/EQ180))</x:f>
      </x:c>
      <x:c r="EQ180" s="164"/>
      <x:c r="ER180" s="172" t="str">
        <x:f>IF(EE180="","",IFERROR(EJ180*(EI180/EH180-1),0))</x:f>
      </x:c>
      <x:c r="ES180" s="147"/>
      <x:c r="ET180" s="147"/>
      <x:c r="EU180" s="147"/>
      <x:c r="EV180" s="167"/>
      <x:c r="EW180" s="167"/>
      <x:c r="EX180" s="166"/>
      <x:c r="EY180" s="171" t="str">
        <x:f>IF(ES180="","",IFERROR(F180*EX180/EV180,0))</x:f>
      </x:c>
      <x:c r="EZ180" s="171" t="str">
        <x:f>IF(ES180="","",F180*ABS(EX180))</x:f>
      </x:c>
      <x:c r="FA180" s="165"/>
      <x:c r="FB180" s="172" t="str">
        <x:f>IF(ES180="","",IF(FA180="","",IFERROR(EV180/FA180-1,0)))</x:f>
      </x:c>
      <x:c r="FC180" s="166"/>
      <x:c r="FD180" s="172" t="str">
        <x:f>IF(ES180="","",IF(FC180="","",FC180-FB180*365/FE180))</x:f>
      </x:c>
      <x:c r="FE180" s="164"/>
      <x:c r="FF180" s="172" t="str">
        <x:f>IF(ES180="","",IFERROR(EX180*(EW180/EV180-1),0))</x:f>
      </x:c>
      <x:c r="FG180" s="147"/>
      <x:c r="FH180" s="147"/>
      <x:c r="FI180" s="147"/>
      <x:c r="FJ180" s="167"/>
      <x:c r="FK180" s="167"/>
      <x:c r="FL180" s="166"/>
      <x:c r="FM180" s="171" t="str">
        <x:f>IF(FG180="","",IFERROR(F180*FL180/FJ180,0))</x:f>
      </x:c>
      <x:c r="FN180" s="171" t="str">
        <x:f>IF(FG180="","",F180*ABS(FL180))</x:f>
      </x:c>
      <x:c r="FO180" s="165"/>
      <x:c r="FP180" s="172" t="str">
        <x:f>IF(FG180="","",IF(FO180="","",IFERROR(FJ180/FO180-1,0)))</x:f>
      </x:c>
      <x:c r="FQ180" s="166"/>
      <x:c r="FR180" s="172" t="str">
        <x:f>IF(FG180="","",IF(FQ180="","",FQ180-FP180*365/FS180))</x:f>
      </x:c>
      <x:c r="FS180" s="164"/>
      <x:c r="FT180" s="172" t="str">
        <x:f>IF(FG180="","",IFERROR(FL180*(FK180/FJ180-1),0))</x:f>
      </x:c>
    </x:row>
    <x:row r="181" ht="18" customHeight="1">
      <x:c r="A181" s="163" t="n">
        <x:v>25470</x:v>
      </x:c>
      <x:c r="B181" s="163" t="n">
        <x:v>25471</x:v>
      </x:c>
      <x:c r="C181" s="170" t="n">
        <x:f>B181-A181</x:f>
        <x:v>1</x:v>
      </x:c>
      <x:c r="D181" s="163" t="n">
        <x:v>25470</x:v>
      </x:c>
      <x:c r="E181" s="147" t="str">
        <x:v>neutral</x:v>
      </x:c>
      <x:c r="F181" s="165" t="n">
        <x:v>1.8480438543319695</x:v>
      </x:c>
      <x:c r="G181" s="168" t="n">
        <x:v>-0.024332602884608413</x:v>
      </x:c>
      <x:c r="H181" s="172" t="n">
        <x:f>SUM(AX181,BL181,BZ181,CN181,DB181,DP181,ED181,ER181,FF181,FT181)</x:f>
        <x:v>-0.024332602884608413</x:v>
      </x:c>
      <x:c r="I181" s="174" t="n">
        <x:f>G181-H181</x:f>
        <x:v>0</x:v>
      </x:c>
      <x:c r="J181" s="171" t="n">
        <x:f>F181*(1+H181)</x:f>
        <x:v>1.8030761371111685</x:v>
      </x:c>
      <x:c r="K181" s="169" t="n">
        <x:v>1.8030761371111685</x:v>
      </x:c>
      <x:c r="L181" s="175" t="n">
        <x:f>K181-J181</x:f>
        <x:v>0</x:v>
      </x:c>
      <x:c r="M181" s="167" t="n">
        <x:v>1.891</x:v>
      </x:c>
      <x:c r="N181" s="167" t="n">
        <x:v>1.845</x:v>
      </x:c>
      <x:c r="O181" s="172" t="n">
        <x:f>IFERROR(N181/M181-1,0)</x:f>
        <x:v>-0.02432575356953992</x:v>
      </x:c>
      <x:c r="P181" s="171" t="n">
        <x:f>IFERROR(AD181/AH181,0)</x:f>
        <x:v>1.9135218756118442</x:v>
      </x:c>
      <x:c r="Q181" s="171" t="n">
        <x:f>IFERROR(AE181/AI181,0)</x:f>
        <x:v>1.913508442527734</x:v>
      </x:c>
      <x:c r="R181" s="172" t="n">
        <x:f>IFERROR((Q181-P181)/(P181+S181),0)</x:f>
        <x:v>-0.000007020083899419867</x:v>
      </x:c>
      <x:c r="S181" s="172" t="n">
        <x:f>IFERROR(AF181/AH181,0)</x:f>
        <x:v>0</x:v>
      </x:c>
      <x:c r="T181" s="172" t="n">
        <x:f>IFERROR(AG181/AI181,0)</x:f>
        <x:v>0</x:v>
      </x:c>
      <x:c r="U181" s="172" t="n">
        <x:f>IFERROR((T181-S181)/(P181+S181),0)</x:f>
        <x:v>0</x:v>
      </x:c>
      <x:c r="V181" s="172" t="n">
        <x:f>R181+U181</x:f>
        <x:v>-0.000007020083899419867</x:v>
      </x:c>
      <x:c r="W181" s="172" t="n">
        <x:f>(1+O181)*(1+V181)-1</x:f>
        <x:v>-0.024332602884608368</x:v>
      </x:c>
      <x:c r="X181" s="174" t="n">
        <x:f>G181-W181</x:f>
        <x:v>-4.5102810375396984e-17</x:v>
      </x:c>
      <x:c r="Y181" s="172" t="n">
        <x:f>AX181</x:f>
        <x:v>-0.024332602884608413</x:v>
      </x:c>
      <x:c r="Z181" s="172" t="n">
        <x:f>BL181</x:f>
        <x:v>0</x:v>
      </x:c>
      <x:c r="AA181" s="172" t="n">
        <x:f>SUM(BZ181,CN181,DB181,DP181,ED181,ER181,FF181,FT181)</x:f>
        <x:v>0</x:v>
      </x:c>
      <x:c r="AB181" s="172" t="n">
        <x:f>SUM(Y181:AA181)</x:f>
        <x:v>-0.024332602884608413</x:v>
      </x:c>
      <x:c r="AC181" s="174" t="n">
        <x:f>G181-AB181</x:f>
        <x:v>0</x:v>
      </x:c>
      <x:c r="AD181" s="169" t="n">
        <x:v>1.8480438543319702</x:v>
      </x:c>
      <x:c r="AE181" s="169" t="n">
        <x:v>1.8030761371111692</x:v>
      </x:c>
      <x:c r="AF181" s="169" t="n">
        <x:v>0</x:v>
      </x:c>
      <x:c r="AG181" s="169" t="n">
        <x:v>0</x:v>
      </x:c>
      <x:c r="AH181" s="171" t="n">
        <x:f>M181/$M$3</x:f>
        <x:v>0.9657814096016344</x:v>
      </x:c>
      <x:c r="AI181" s="171" t="n">
        <x:f>N181/$M$3</x:f>
        <x:v>0.942288049029622</x:v>
      </x:c>
      <x:c r="AJ181" s="170" t="n">
        <x:f>IF(AK181&lt;&gt;"",1,0)+IF(AY181&lt;&gt;"",1,0)+IF(BM181&lt;&gt;"",1,0)+IF(CA181&lt;&gt;"",1,0)+IF(CO181&lt;&gt;"",1,0)+IF(DC181&lt;&gt;"",1,0)+IF(DQ181&lt;&gt;"",1,0)+IF(EE181&lt;&gt;"",1,0)+IF(ES181&lt;&gt;"",1,0)+IF(FG181&lt;&gt;"",1,0)</x:f>
        <x:v>1</x:v>
      </x:c>
      <x:c r="AK181" s="147" t="str">
        <x:v>Silver replicating holding (LBMA/SLV proxy)</x:v>
      </x:c>
      <x:c r="AL181" s="147" t="str">
        <x:v>Physical-backed proxy</x:v>
      </x:c>
      <x:c r="AM181" s="147" t="str">
        <x:v>Long</x:v>
      </x:c>
      <x:c r="AN181" s="167" t="n">
        <x:v>1.891</x:v>
      </x:c>
      <x:c r="AO181" s="167" t="n">
        <x:v>1.845</x:v>
      </x:c>
      <x:c r="AP181" s="166" t="n">
        <x:v>1</x:v>
      </x:c>
      <x:c r="AQ181" s="171" t="n">
        <x:f>IF(AK181="","",IFERROR(F181*AP181/AN181,0))</x:f>
        <x:v>0.9772838996996137</x:v>
      </x:c>
      <x:c r="AR181" s="171" t="n">
        <x:f>IF(AK181="","",F181*ABS(AP181))</x:f>
        <x:v>1.8480438543319695</x:v>
      </x:c>
      <x:c r="AS181" s="165"/>
      <x:c r="AT181" s="172" t="str">
        <x:f>IF(AK181="","",IF(AS181="","",IFERROR(AN181/AS181-1,0)))</x:f>
      </x:c>
      <x:c r="AU181" s="166"/>
      <x:c r="AV181" s="172" t="str">
        <x:f>IF(AK181="","",IF(AU181="","",AU181-AT181*365/AW181))</x:f>
      </x:c>
      <x:c r="AW181" s="164"/>
      <x:c r="AX181" s="173" t="n">
        <x:f>IF(AK181="","",IFERROR(AP181*(AO181/AN181-1-'Parameters'!$C$6*C181/365),0))</x:f>
        <x:v>-0.024332602884608413</x:v>
      </x:c>
      <x:c r="AY181" s="147"/>
      <x:c r="AZ181" s="147"/>
      <x:c r="BA181" s="147"/>
      <x:c r="BB181" s="167"/>
      <x:c r="BC181" s="167"/>
      <x:c r="BD181" s="166"/>
      <x:c r="BE181" s="171" t="str">
        <x:f>IF(AY181="","",IFERROR(F181*BD181/BB181,0))</x:f>
      </x:c>
      <x:c r="BF181" s="171" t="str">
        <x:f>IF(AY181="","",F181*ABS(BD181))</x:f>
      </x:c>
      <x:c r="BG181" s="165"/>
      <x:c r="BH181" s="172" t="str">
        <x:f>IF(AY181="","",IF(BG181="","",IFERROR(BB181/BG181-1,0)))</x:f>
      </x:c>
      <x:c r="BI181" s="166"/>
      <x:c r="BJ181" s="172" t="str">
        <x:f>IF(AY181="","",IF(BI181="","",BI181-BH181*365/BK181))</x:f>
      </x:c>
      <x:c r="BK181" s="164"/>
      <x:c r="BL181" s="172" t="str">
        <x:f>IF(AY181="","",IFERROR(BD181*(BC181/BB181-1),0))</x:f>
      </x:c>
      <x:c r="BM181" s="147"/>
      <x:c r="BN181" s="147"/>
      <x:c r="BO181" s="147"/>
      <x:c r="BP181" s="167"/>
      <x:c r="BQ181" s="167"/>
      <x:c r="BR181" s="166"/>
      <x:c r="BS181" s="171" t="str">
        <x:f>IF(BM181="","",IFERROR(F181*BR181/BP181,0))</x:f>
      </x:c>
      <x:c r="BT181" s="171" t="str">
        <x:f>IF(BM181="","",F181*ABS(BR181))</x:f>
      </x:c>
      <x:c r="BU181" s="165"/>
      <x:c r="BV181" s="172" t="str">
        <x:f>IF(BM181="","",IF(BU181="","",IFERROR(BP181/BU181-1,0)))</x:f>
      </x:c>
      <x:c r="BW181" s="166"/>
      <x:c r="BX181" s="172" t="str">
        <x:f>IF(BM181="","",IF(BW181="","",BW181-BV181*365/BY181))</x:f>
      </x:c>
      <x:c r="BY181" s="164"/>
      <x:c r="BZ181" s="172" t="str">
        <x:f>IF(BM181="","",IFERROR(BR181*(BQ181/BP181-1),0))</x:f>
      </x:c>
      <x:c r="CA181" s="147"/>
      <x:c r="CB181" s="147"/>
      <x:c r="CC181" s="147"/>
      <x:c r="CD181" s="167"/>
      <x:c r="CE181" s="167"/>
      <x:c r="CF181" s="166"/>
      <x:c r="CG181" s="171" t="str">
        <x:f>IF(CA181="","",IFERROR(F181*CF181/CD181,0))</x:f>
      </x:c>
      <x:c r="CH181" s="171" t="str">
        <x:f>IF(CA181="","",F181*ABS(CF181))</x:f>
      </x:c>
      <x:c r="CI181" s="165"/>
      <x:c r="CJ181" s="172" t="str">
        <x:f>IF(CA181="","",IF(CI181="","",IFERROR(CD181/CI181-1,0)))</x:f>
      </x:c>
      <x:c r="CK181" s="166"/>
      <x:c r="CL181" s="172" t="str">
        <x:f>IF(CA181="","",IF(CK181="","",CK181-CJ181*365/CM181))</x:f>
      </x:c>
      <x:c r="CM181" s="164"/>
      <x:c r="CN181" s="172" t="str">
        <x:f>IF(CA181="","",IFERROR(CF181*(CE181/CD181-1),0))</x:f>
      </x:c>
      <x:c r="CO181" s="147"/>
      <x:c r="CP181" s="147"/>
      <x:c r="CQ181" s="147"/>
      <x:c r="CR181" s="167"/>
      <x:c r="CS181" s="167"/>
      <x:c r="CT181" s="166"/>
      <x:c r="CU181" s="171" t="str">
        <x:f>IF(CO181="","",IFERROR(F181*CT181/CR181,0))</x:f>
      </x:c>
      <x:c r="CV181" s="171" t="str">
        <x:f>IF(CO181="","",F181*ABS(CT181))</x:f>
      </x:c>
      <x:c r="CW181" s="165"/>
      <x:c r="CX181" s="172" t="str">
        <x:f>IF(CO181="","",IF(CW181="","",IFERROR(CR181/CW181-1,0)))</x:f>
      </x:c>
      <x:c r="CY181" s="166"/>
      <x:c r="CZ181" s="172" t="str">
        <x:f>IF(CO181="","",IF(CY181="","",CY181-CX181*365/DA181))</x:f>
      </x:c>
      <x:c r="DA181" s="164"/>
      <x:c r="DB181" s="172" t="str">
        <x:f>IF(CO181="","",IFERROR(CT181*(CS181/CR181-1),0))</x:f>
      </x:c>
      <x:c r="DC181" s="147"/>
      <x:c r="DD181" s="147"/>
      <x:c r="DE181" s="147"/>
      <x:c r="DF181" s="167"/>
      <x:c r="DG181" s="167"/>
      <x:c r="DH181" s="166"/>
      <x:c r="DI181" s="171" t="str">
        <x:f>IF(DC181="","",IFERROR(F181*DH181/DF181,0))</x:f>
      </x:c>
      <x:c r="DJ181" s="171" t="str">
        <x:f>IF(DC181="","",F181*ABS(DH181))</x:f>
      </x:c>
      <x:c r="DK181" s="165"/>
      <x:c r="DL181" s="172" t="str">
        <x:f>IF(DC181="","",IF(DK181="","",IFERROR(DF181/DK181-1,0)))</x:f>
      </x:c>
      <x:c r="DM181" s="166"/>
      <x:c r="DN181" s="172" t="str">
        <x:f>IF(DC181="","",IF(DM181="","",DM181-DL181*365/DO181))</x:f>
      </x:c>
      <x:c r="DO181" s="164"/>
      <x:c r="DP181" s="172" t="str">
        <x:f>IF(DC181="","",IFERROR(DH181*(DG181/DF181-1),0))</x:f>
      </x:c>
      <x:c r="DQ181" s="147"/>
      <x:c r="DR181" s="147"/>
      <x:c r="DS181" s="147"/>
      <x:c r="DT181" s="167"/>
      <x:c r="DU181" s="167"/>
      <x:c r="DV181" s="166"/>
      <x:c r="DW181" s="171" t="str">
        <x:f>IF(DQ181="","",IFERROR(F181*DV181/DT181,0))</x:f>
      </x:c>
      <x:c r="DX181" s="171" t="str">
        <x:f>IF(DQ181="","",F181*ABS(DV181))</x:f>
      </x:c>
      <x:c r="DY181" s="165"/>
      <x:c r="DZ181" s="172" t="str">
        <x:f>IF(DQ181="","",IF(DY181="","",IFERROR(DT181/DY181-1,0)))</x:f>
      </x:c>
      <x:c r="EA181" s="166"/>
      <x:c r="EB181" s="172" t="str">
        <x:f>IF(DQ181="","",IF(EA181="","",EA181-DZ181*365/EC181))</x:f>
      </x:c>
      <x:c r="EC181" s="164"/>
      <x:c r="ED181" s="172" t="str">
        <x:f>IF(DQ181="","",IFERROR(DV181*(DU181/DT181-1),0))</x:f>
      </x:c>
      <x:c r="EE181" s="147"/>
      <x:c r="EF181" s="147"/>
      <x:c r="EG181" s="147"/>
      <x:c r="EH181" s="167"/>
      <x:c r="EI181" s="167"/>
      <x:c r="EJ181" s="166"/>
      <x:c r="EK181" s="171" t="str">
        <x:f>IF(EE181="","",IFERROR(F181*EJ181/EH181,0))</x:f>
      </x:c>
      <x:c r="EL181" s="171" t="str">
        <x:f>IF(EE181="","",F181*ABS(EJ181))</x:f>
      </x:c>
      <x:c r="EM181" s="165"/>
      <x:c r="EN181" s="172" t="str">
        <x:f>IF(EE181="","",IF(EM181="","",IFERROR(EH181/EM181-1,0)))</x:f>
      </x:c>
      <x:c r="EO181" s="166"/>
      <x:c r="EP181" s="172" t="str">
        <x:f>IF(EE181="","",IF(EO181="","",EO181-EN181*365/EQ181))</x:f>
      </x:c>
      <x:c r="EQ181" s="164"/>
      <x:c r="ER181" s="172" t="str">
        <x:f>IF(EE181="","",IFERROR(EJ181*(EI181/EH181-1),0))</x:f>
      </x:c>
      <x:c r="ES181" s="147"/>
      <x:c r="ET181" s="147"/>
      <x:c r="EU181" s="147"/>
      <x:c r="EV181" s="167"/>
      <x:c r="EW181" s="167"/>
      <x:c r="EX181" s="166"/>
      <x:c r="EY181" s="171" t="str">
        <x:f>IF(ES181="","",IFERROR(F181*EX181/EV181,0))</x:f>
      </x:c>
      <x:c r="EZ181" s="171" t="str">
        <x:f>IF(ES181="","",F181*ABS(EX181))</x:f>
      </x:c>
      <x:c r="FA181" s="165"/>
      <x:c r="FB181" s="172" t="str">
        <x:f>IF(ES181="","",IF(FA181="","",IFERROR(EV181/FA181-1,0)))</x:f>
      </x:c>
      <x:c r="FC181" s="166"/>
      <x:c r="FD181" s="172" t="str">
        <x:f>IF(ES181="","",IF(FC181="","",FC181-FB181*365/FE181))</x:f>
      </x:c>
      <x:c r="FE181" s="164"/>
      <x:c r="FF181" s="172" t="str">
        <x:f>IF(ES181="","",IFERROR(EX181*(EW181/EV181-1),0))</x:f>
      </x:c>
      <x:c r="FG181" s="147"/>
      <x:c r="FH181" s="147"/>
      <x:c r="FI181" s="147"/>
      <x:c r="FJ181" s="167"/>
      <x:c r="FK181" s="167"/>
      <x:c r="FL181" s="166"/>
      <x:c r="FM181" s="171" t="str">
        <x:f>IF(FG181="","",IFERROR(F181*FL181/FJ181,0))</x:f>
      </x:c>
      <x:c r="FN181" s="171" t="str">
        <x:f>IF(FG181="","",F181*ABS(FL181))</x:f>
      </x:c>
      <x:c r="FO181" s="165"/>
      <x:c r="FP181" s="172" t="str">
        <x:f>IF(FG181="","",IF(FO181="","",IFERROR(FJ181/FO181-1,0)))</x:f>
      </x:c>
      <x:c r="FQ181" s="166"/>
      <x:c r="FR181" s="172" t="str">
        <x:f>IF(FG181="","",IF(FQ181="","",FQ181-FP181*365/FS181))</x:f>
      </x:c>
      <x:c r="FS181" s="164"/>
      <x:c r="FT181" s="172" t="str">
        <x:f>IF(FG181="","",IFERROR(FL181*(FK181/FJ181-1),0))</x:f>
      </x:c>
    </x:row>
    <x:row r="182" ht="18" customHeight="1">
      <x:c r="A182" s="163" t="n">
        <x:v>25471</x:v>
      </x:c>
      <x:c r="B182" s="163" t="n">
        <x:v>25472</x:v>
      </x:c>
      <x:c r="C182" s="170" t="n">
        <x:f>B182-A182</x:f>
        <x:v>1</x:v>
      </x:c>
      <x:c r="D182" s="163" t="n">
        <x:v>25471</x:v>
      </x:c>
      <x:c r="E182" s="147" t="str">
        <x:v>neutral</x:v>
      </x:c>
      <x:c r="F182" s="165" t="n">
        <x:v>1.8030761371111685</x:v>
      </x:c>
      <x:c r="G182" s="168" t="n">
        <x:v>-0.0075949251958273185</x:v>
      </x:c>
      <x:c r="H182" s="172" t="n">
        <x:f>SUM(AX182,BL182,BZ182,CN182,DB182,DP182,ED182,ER182,FF182,FT182)</x:f>
        <x:v>-0.007594925195827319</x:v>
      </x:c>
      <x:c r="I182" s="174" t="n">
        <x:f>G182-H182</x:f>
        <x:v>8.673617379884035e-19</x:v>
      </x:c>
      <x:c r="J182" s="171" t="n">
        <x:f>F182*(1+H182)</x:f>
        <x:v>1.789381908727428</x:v>
      </x:c>
      <x:c r="K182" s="169" t="n">
        <x:v>1.789381908727428</x:v>
      </x:c>
      <x:c r="L182" s="175" t="n">
        <x:f>K182-J182</x:f>
        <x:v>0</x:v>
      </x:c>
      <x:c r="M182" s="167" t="n">
        <x:v>1.845</x:v>
      </x:c>
      <x:c r="N182" s="167" t="n">
        <x:v>1.831</x:v>
      </x:c>
      <x:c r="O182" s="172" t="n">
        <x:f>IFERROR(N182/M182-1,0)</x:f>
        <x:v>-0.007588075880758827</x:v>
      </x:c>
      <x:c r="P182" s="171" t="n">
        <x:f>IFERROR(AD182/AH182,0)</x:f>
        <x:v>1.913508442527734</x:v>
      </x:c>
      <x:c r="Q182" s="171" t="n">
        <x:f>IFERROR(AE182/AI182,0)</x:f>
        <x:v>1.9134952360941044</x:v>
      </x:c>
      <x:c r="R182" s="172" t="n">
        <x:f>IFERROR((Q182-P182)/(P182+S182),0)</x:f>
        <x:v>-0.000006901685582384421</x:v>
      </x:c>
      <x:c r="S182" s="172" t="n">
        <x:f>IFERROR(AF182/AH182,0)</x:f>
        <x:v>0</x:v>
      </x:c>
      <x:c r="T182" s="172" t="n">
        <x:f>IFERROR(AG182/AI182,0)</x:f>
        <x:v>0</x:v>
      </x:c>
      <x:c r="U182" s="172" t="n">
        <x:f>IFERROR((T182-S182)/(P182+S182),0)</x:f>
        <x:v>0</x:v>
      </x:c>
      <x:c r="V182" s="172" t="n">
        <x:f>R182+U182</x:f>
        <x:v>-0.000006901685582384421</x:v>
      </x:c>
      <x:c r="W182" s="172" t="n">
        <x:f>(1+O182)*(1+V182)-1</x:f>
        <x:v>-0.0075949251958272734</x:v>
      </x:c>
      <x:c r="X182" s="174" t="n">
        <x:f>G182-W182</x:f>
        <x:v>-4.5102810375396984e-17</x:v>
      </x:c>
      <x:c r="Y182" s="172" t="n">
        <x:f>AX182</x:f>
        <x:v>-0.007594925195827319</x:v>
      </x:c>
      <x:c r="Z182" s="172" t="n">
        <x:f>BL182</x:f>
        <x:v>0</x:v>
      </x:c>
      <x:c r="AA182" s="172" t="n">
        <x:f>SUM(BZ182,CN182,DB182,DP182,ED182,ER182,FF182,FT182)</x:f>
        <x:v>0</x:v>
      </x:c>
      <x:c r="AB182" s="172" t="n">
        <x:f>SUM(Y182:AA182)</x:f>
        <x:v>-0.007594925195827319</x:v>
      </x:c>
      <x:c r="AC182" s="174" t="n">
        <x:f>G182-AB182</x:f>
        <x:v>8.673617379884035e-19</x:v>
      </x:c>
      <x:c r="AD182" s="169" t="n">
        <x:v>1.8030761371111692</x:v>
      </x:c>
      <x:c r="AE182" s="169" t="n">
        <x:v>1.7893819087274285</x:v>
      </x:c>
      <x:c r="AF182" s="169" t="n">
        <x:v>0</x:v>
      </x:c>
      <x:c r="AG182" s="169" t="n">
        <x:v>0</x:v>
      </x:c>
      <x:c r="AH182" s="171" t="n">
        <x:f>M182/$M$3</x:f>
        <x:v>0.942288049029622</x:v>
      </x:c>
      <x:c r="AI182" s="171" t="n">
        <x:f>N182/$M$3</x:f>
        <x:v>0.9351378958120531</x:v>
      </x:c>
      <x:c r="AJ182" s="170" t="n">
        <x:f>IF(AK182&lt;&gt;"",1,0)+IF(AY182&lt;&gt;"",1,0)+IF(BM182&lt;&gt;"",1,0)+IF(CA182&lt;&gt;"",1,0)+IF(CO182&lt;&gt;"",1,0)+IF(DC182&lt;&gt;"",1,0)+IF(DQ182&lt;&gt;"",1,0)+IF(EE182&lt;&gt;"",1,0)+IF(ES182&lt;&gt;"",1,0)+IF(FG182&lt;&gt;"",1,0)</x:f>
        <x:v>1</x:v>
      </x:c>
      <x:c r="AK182" s="147" t="str">
        <x:v>Silver replicating holding (LBMA/SLV proxy)</x:v>
      </x:c>
      <x:c r="AL182" s="147" t="str">
        <x:v>Physical-backed proxy</x:v>
      </x:c>
      <x:c r="AM182" s="147" t="str">
        <x:v>Long</x:v>
      </x:c>
      <x:c r="AN182" s="167" t="n">
        <x:v>1.845</x:v>
      </x:c>
      <x:c r="AO182" s="167" t="n">
        <x:v>1.831</x:v>
      </x:c>
      <x:c r="AP182" s="166" t="n">
        <x:v>1</x:v>
      </x:c>
      <x:c r="AQ182" s="171" t="n">
        <x:f>IF(AK182="","",IFERROR(F182*AP182/AN182,0))</x:f>
        <x:v>0.9772770390846443</x:v>
      </x:c>
      <x:c r="AR182" s="171" t="n">
        <x:f>IF(AK182="","",F182*ABS(AP182))</x:f>
        <x:v>1.8030761371111685</x:v>
      </x:c>
      <x:c r="AS182" s="165"/>
      <x:c r="AT182" s="172" t="str">
        <x:f>IF(AK182="","",IF(AS182="","",IFERROR(AN182/AS182-1,0)))</x:f>
      </x:c>
      <x:c r="AU182" s="166"/>
      <x:c r="AV182" s="172" t="str">
        <x:f>IF(AK182="","",IF(AU182="","",AU182-AT182*365/AW182))</x:f>
      </x:c>
      <x:c r="AW182" s="164"/>
      <x:c r="AX182" s="173" t="n">
        <x:f>IF(AK182="","",IFERROR(AP182*(AO182/AN182-1-'Parameters'!$C$6*C182/365),0))</x:f>
        <x:v>-0.007594925195827319</x:v>
      </x:c>
      <x:c r="AY182" s="147"/>
      <x:c r="AZ182" s="147"/>
      <x:c r="BA182" s="147"/>
      <x:c r="BB182" s="167"/>
      <x:c r="BC182" s="167"/>
      <x:c r="BD182" s="166"/>
      <x:c r="BE182" s="171" t="str">
        <x:f>IF(AY182="","",IFERROR(F182*BD182/BB182,0))</x:f>
      </x:c>
      <x:c r="BF182" s="171" t="str">
        <x:f>IF(AY182="","",F182*ABS(BD182))</x:f>
      </x:c>
      <x:c r="BG182" s="165"/>
      <x:c r="BH182" s="172" t="str">
        <x:f>IF(AY182="","",IF(BG182="","",IFERROR(BB182/BG182-1,0)))</x:f>
      </x:c>
      <x:c r="BI182" s="166"/>
      <x:c r="BJ182" s="172" t="str">
        <x:f>IF(AY182="","",IF(BI182="","",BI182-BH182*365/BK182))</x:f>
      </x:c>
      <x:c r="BK182" s="164"/>
      <x:c r="BL182" s="172" t="str">
        <x:f>IF(AY182="","",IFERROR(BD182*(BC182/BB182-1),0))</x:f>
      </x:c>
      <x:c r="BM182" s="147"/>
      <x:c r="BN182" s="147"/>
      <x:c r="BO182" s="147"/>
      <x:c r="BP182" s="167"/>
      <x:c r="BQ182" s="167"/>
      <x:c r="BR182" s="166"/>
      <x:c r="BS182" s="171" t="str">
        <x:f>IF(BM182="","",IFERROR(F182*BR182/BP182,0))</x:f>
      </x:c>
      <x:c r="BT182" s="171" t="str">
        <x:f>IF(BM182="","",F182*ABS(BR182))</x:f>
      </x:c>
      <x:c r="BU182" s="165"/>
      <x:c r="BV182" s="172" t="str">
        <x:f>IF(BM182="","",IF(BU182="","",IFERROR(BP182/BU182-1,0)))</x:f>
      </x:c>
      <x:c r="BW182" s="166"/>
      <x:c r="BX182" s="172" t="str">
        <x:f>IF(BM182="","",IF(BW182="","",BW182-BV182*365/BY182))</x:f>
      </x:c>
      <x:c r="BY182" s="164"/>
      <x:c r="BZ182" s="172" t="str">
        <x:f>IF(BM182="","",IFERROR(BR182*(BQ182/BP182-1),0))</x:f>
      </x:c>
      <x:c r="CA182" s="147"/>
      <x:c r="CB182" s="147"/>
      <x:c r="CC182" s="147"/>
      <x:c r="CD182" s="167"/>
      <x:c r="CE182" s="167"/>
      <x:c r="CF182" s="166"/>
      <x:c r="CG182" s="171" t="str">
        <x:f>IF(CA182="","",IFERROR(F182*CF182/CD182,0))</x:f>
      </x:c>
      <x:c r="CH182" s="171" t="str">
        <x:f>IF(CA182="","",F182*ABS(CF182))</x:f>
      </x:c>
      <x:c r="CI182" s="165"/>
      <x:c r="CJ182" s="172" t="str">
        <x:f>IF(CA182="","",IF(CI182="","",IFERROR(CD182/CI182-1,0)))</x:f>
      </x:c>
      <x:c r="CK182" s="166"/>
      <x:c r="CL182" s="172" t="str">
        <x:f>IF(CA182="","",IF(CK182="","",CK182-CJ182*365/CM182))</x:f>
      </x:c>
      <x:c r="CM182" s="164"/>
      <x:c r="CN182" s="172" t="str">
        <x:f>IF(CA182="","",IFERROR(CF182*(CE182/CD182-1),0))</x:f>
      </x:c>
      <x:c r="CO182" s="147"/>
      <x:c r="CP182" s="147"/>
      <x:c r="CQ182" s="147"/>
      <x:c r="CR182" s="167"/>
      <x:c r="CS182" s="167"/>
      <x:c r="CT182" s="166"/>
      <x:c r="CU182" s="171" t="str">
        <x:f>IF(CO182="","",IFERROR(F182*CT182/CR182,0))</x:f>
      </x:c>
      <x:c r="CV182" s="171" t="str">
        <x:f>IF(CO182="","",F182*ABS(CT182))</x:f>
      </x:c>
      <x:c r="CW182" s="165"/>
      <x:c r="CX182" s="172" t="str">
        <x:f>IF(CO182="","",IF(CW182="","",IFERROR(CR182/CW182-1,0)))</x:f>
      </x:c>
      <x:c r="CY182" s="166"/>
      <x:c r="CZ182" s="172" t="str">
        <x:f>IF(CO182="","",IF(CY182="","",CY182-CX182*365/DA182))</x:f>
      </x:c>
      <x:c r="DA182" s="164"/>
      <x:c r="DB182" s="172" t="str">
        <x:f>IF(CO182="","",IFERROR(CT182*(CS182/CR182-1),0))</x:f>
      </x:c>
      <x:c r="DC182" s="147"/>
      <x:c r="DD182" s="147"/>
      <x:c r="DE182" s="147"/>
      <x:c r="DF182" s="167"/>
      <x:c r="DG182" s="167"/>
      <x:c r="DH182" s="166"/>
      <x:c r="DI182" s="171" t="str">
        <x:f>IF(DC182="","",IFERROR(F182*DH182/DF182,0))</x:f>
      </x:c>
      <x:c r="DJ182" s="171" t="str">
        <x:f>IF(DC182="","",F182*ABS(DH182))</x:f>
      </x:c>
      <x:c r="DK182" s="165"/>
      <x:c r="DL182" s="172" t="str">
        <x:f>IF(DC182="","",IF(DK182="","",IFERROR(DF182/DK182-1,0)))</x:f>
      </x:c>
      <x:c r="DM182" s="166"/>
      <x:c r="DN182" s="172" t="str">
        <x:f>IF(DC182="","",IF(DM182="","",DM182-DL182*365/DO182))</x:f>
      </x:c>
      <x:c r="DO182" s="164"/>
      <x:c r="DP182" s="172" t="str">
        <x:f>IF(DC182="","",IFERROR(DH182*(DG182/DF182-1),0))</x:f>
      </x:c>
      <x:c r="DQ182" s="147"/>
      <x:c r="DR182" s="147"/>
      <x:c r="DS182" s="147"/>
      <x:c r="DT182" s="167"/>
      <x:c r="DU182" s="167"/>
      <x:c r="DV182" s="166"/>
      <x:c r="DW182" s="171" t="str">
        <x:f>IF(DQ182="","",IFERROR(F182*DV182/DT182,0))</x:f>
      </x:c>
      <x:c r="DX182" s="171" t="str">
        <x:f>IF(DQ182="","",F182*ABS(DV182))</x:f>
      </x:c>
      <x:c r="DY182" s="165"/>
      <x:c r="DZ182" s="172" t="str">
        <x:f>IF(DQ182="","",IF(DY182="","",IFERROR(DT182/DY182-1,0)))</x:f>
      </x:c>
      <x:c r="EA182" s="166"/>
      <x:c r="EB182" s="172" t="str">
        <x:f>IF(DQ182="","",IF(EA182="","",EA182-DZ182*365/EC182))</x:f>
      </x:c>
      <x:c r="EC182" s="164"/>
      <x:c r="ED182" s="172" t="str">
        <x:f>IF(DQ182="","",IFERROR(DV182*(DU182/DT182-1),0))</x:f>
      </x:c>
      <x:c r="EE182" s="147"/>
      <x:c r="EF182" s="147"/>
      <x:c r="EG182" s="147"/>
      <x:c r="EH182" s="167"/>
      <x:c r="EI182" s="167"/>
      <x:c r="EJ182" s="166"/>
      <x:c r="EK182" s="171" t="str">
        <x:f>IF(EE182="","",IFERROR(F182*EJ182/EH182,0))</x:f>
      </x:c>
      <x:c r="EL182" s="171" t="str">
        <x:f>IF(EE182="","",F182*ABS(EJ182))</x:f>
      </x:c>
      <x:c r="EM182" s="165"/>
      <x:c r="EN182" s="172" t="str">
        <x:f>IF(EE182="","",IF(EM182="","",IFERROR(EH182/EM182-1,0)))</x:f>
      </x:c>
      <x:c r="EO182" s="166"/>
      <x:c r="EP182" s="172" t="str">
        <x:f>IF(EE182="","",IF(EO182="","",EO182-EN182*365/EQ182))</x:f>
      </x:c>
      <x:c r="EQ182" s="164"/>
      <x:c r="ER182" s="172" t="str">
        <x:f>IF(EE182="","",IFERROR(EJ182*(EI182/EH182-1),0))</x:f>
      </x:c>
      <x:c r="ES182" s="147"/>
      <x:c r="ET182" s="147"/>
      <x:c r="EU182" s="147"/>
      <x:c r="EV182" s="167"/>
      <x:c r="EW182" s="167"/>
      <x:c r="EX182" s="166"/>
      <x:c r="EY182" s="171" t="str">
        <x:f>IF(ES182="","",IFERROR(F182*EX182/EV182,0))</x:f>
      </x:c>
      <x:c r="EZ182" s="171" t="str">
        <x:f>IF(ES182="","",F182*ABS(EX182))</x:f>
      </x:c>
      <x:c r="FA182" s="165"/>
      <x:c r="FB182" s="172" t="str">
        <x:f>IF(ES182="","",IF(FA182="","",IFERROR(EV182/FA182-1,0)))</x:f>
      </x:c>
      <x:c r="FC182" s="166"/>
      <x:c r="FD182" s="172" t="str">
        <x:f>IF(ES182="","",IF(FC182="","",FC182-FB182*365/FE182))</x:f>
      </x:c>
      <x:c r="FE182" s="164"/>
      <x:c r="FF182" s="172" t="str">
        <x:f>IF(ES182="","",IFERROR(EX182*(EW182/EV182-1),0))</x:f>
      </x:c>
      <x:c r="FG182" s="147"/>
      <x:c r="FH182" s="147"/>
      <x:c r="FI182" s="147"/>
      <x:c r="FJ182" s="167"/>
      <x:c r="FK182" s="167"/>
      <x:c r="FL182" s="166"/>
      <x:c r="FM182" s="171" t="str">
        <x:f>IF(FG182="","",IFERROR(F182*FL182/FJ182,0))</x:f>
      </x:c>
      <x:c r="FN182" s="171" t="str">
        <x:f>IF(FG182="","",F182*ABS(FL182))</x:f>
      </x:c>
      <x:c r="FO182" s="165"/>
      <x:c r="FP182" s="172" t="str">
        <x:f>IF(FG182="","",IF(FO182="","",IFERROR(FJ182/FO182-1,0)))</x:f>
      </x:c>
      <x:c r="FQ182" s="166"/>
      <x:c r="FR182" s="172" t="str">
        <x:f>IF(FG182="","",IF(FQ182="","",FQ182-FP182*365/FS182))</x:f>
      </x:c>
      <x:c r="FS182" s="164"/>
      <x:c r="FT182" s="172" t="str">
        <x:f>IF(FG182="","",IFERROR(FL182*(FK182/FJ182-1),0))</x:f>
      </x:c>
    </x:row>
    <x:row r="183" ht="18" customHeight="1">
      <x:c r="A183" s="163" t="n">
        <x:v>25472</x:v>
      </x:c>
      <x:c r="B183" s="163" t="n">
        <x:v>25475</x:v>
      </x:c>
      <x:c r="C183" s="170" t="n">
        <x:f>B183-A183</x:f>
        <x:v>3</x:v>
      </x:c>
      <x:c r="D183" s="163" t="n">
        <x:v>25472</x:v>
      </x:c>
      <x:c r="E183" s="147" t="str">
        <x:v>neutral</x:v>
      </x:c>
      <x:c r="F183" s="165" t="n">
        <x:v>1.789381908727428</x:v>
      </x:c>
      <x:c r="G183" s="168" t="n">
        <x:v>0.004348649214816452</x:v>
      </x:c>
      <x:c r="H183" s="172" t="n">
        <x:f>SUM(AX183,BL183,BZ183,CN183,DB183,DP183,ED183,ER183,FF183,FT183)</x:f>
        <x:v>0.004348649214816452</x:v>
      </x:c>
      <x:c r="I183" s="174" t="n">
        <x:f>G183-H183</x:f>
        <x:v>0</x:v>
      </x:c>
      <x:c r="J183" s="171" t="n">
        <x:f>F183*(1+H183)</x:f>
        <x:v>1.7971633029598222</x:v>
      </x:c>
      <x:c r="K183" s="169" t="n">
        <x:v>1.7971633029598222</x:v>
      </x:c>
      <x:c r="L183" s="175" t="n">
        <x:f>K183-J183</x:f>
        <x:v>0</x:v>
      </x:c>
      <x:c r="M183" s="167" t="n">
        <x:v>1.831</x:v>
      </x:c>
      <x:c r="N183" s="167" t="n">
        <x:v>1.839</x:v>
      </x:c>
      <x:c r="O183" s="172" t="n">
        <x:f>IFERROR(N183/M183-1,0)</x:f>
        <x:v>0.0043691971600219315</x:v>
      </x:c>
      <x:c r="P183" s="171" t="n">
        <x:f>IFERROR(AD183/AH183,0)</x:f>
        <x:v>1.9134952360941044</x:v>
      </x:c>
      <x:c r="Q183" s="171" t="n">
        <x:f>IFERROR(AE183/AI183,0)</x:f>
        <x:v>1.9134560887413448</x:v>
      </x:c>
      <x:c r="R183" s="172" t="n">
        <x:f>IFERROR((Q183-P183)/(P183+S183),0)</x:f>
        <x:v>-0.00002045855773311511</x:v>
      </x:c>
      <x:c r="S183" s="172" t="n">
        <x:f>IFERROR(AF183/AH183,0)</x:f>
        <x:v>0</x:v>
      </x:c>
      <x:c r="T183" s="172" t="n">
        <x:f>IFERROR(AG183/AI183,0)</x:f>
        <x:v>0</x:v>
      </x:c>
      <x:c r="U183" s="172" t="n">
        <x:f>IFERROR((T183-S183)/(P183+S183),0)</x:f>
        <x:v>0</x:v>
      </x:c>
      <x:c r="V183" s="172" t="n">
        <x:f>R183+U183</x:f>
        <x:v>-0.00002045855773311511</x:v>
      </x:c>
      <x:c r="W183" s="172" t="n">
        <x:f>(1+O183)*(1+V183)-1</x:f>
        <x:v>0.004348649214816369</x:v>
      </x:c>
      <x:c r="X183" s="174" t="n">
        <x:f>G183-W183</x:f>
        <x:v>8.326672684688674e-17</x:v>
      </x:c>
      <x:c r="Y183" s="172" t="n">
        <x:f>AX183</x:f>
        <x:v>0.004348649214816452</x:v>
      </x:c>
      <x:c r="Z183" s="172" t="n">
        <x:f>BL183</x:f>
        <x:v>0</x:v>
      </x:c>
      <x:c r="AA183" s="172" t="n">
        <x:f>SUM(BZ183,CN183,DB183,DP183,ED183,ER183,FF183,FT183)</x:f>
        <x:v>0</x:v>
      </x:c>
      <x:c r="AB183" s="172" t="n">
        <x:f>SUM(Y183:AA183)</x:f>
        <x:v>0.004348649214816452</x:v>
      </x:c>
      <x:c r="AC183" s="174" t="n">
        <x:f>G183-AB183</x:f>
        <x:v>0</x:v>
      </x:c>
      <x:c r="AD183" s="169" t="n">
        <x:v>1.7893819087274285</x:v>
      </x:c>
      <x:c r="AE183" s="169" t="n">
        <x:v>1.7971633029598229</x:v>
      </x:c>
      <x:c r="AF183" s="169" t="n">
        <x:v>0</x:v>
      </x:c>
      <x:c r="AG183" s="169" t="n">
        <x:v>0</x:v>
      </x:c>
      <x:c r="AH183" s="171" t="n">
        <x:f>M183/$M$3</x:f>
        <x:v>0.9351378958120531</x:v>
      </x:c>
      <x:c r="AI183" s="171" t="n">
        <x:f>N183/$M$3</x:f>
        <x:v>0.9392236976506639</x:v>
      </x:c>
      <x:c r="AJ183" s="170" t="n">
        <x:f>IF(AK183&lt;&gt;"",1,0)+IF(AY183&lt;&gt;"",1,0)+IF(BM183&lt;&gt;"",1,0)+IF(CA183&lt;&gt;"",1,0)+IF(CO183&lt;&gt;"",1,0)+IF(DC183&lt;&gt;"",1,0)+IF(DQ183&lt;&gt;"",1,0)+IF(EE183&lt;&gt;"",1,0)+IF(ES183&lt;&gt;"",1,0)+IF(FG183&lt;&gt;"",1,0)</x:f>
        <x:v>1</x:v>
      </x:c>
      <x:c r="AK183" s="147" t="str">
        <x:v>Silver replicating holding (LBMA/SLV proxy)</x:v>
      </x:c>
      <x:c r="AL183" s="147" t="str">
        <x:v>Physical-backed proxy</x:v>
      </x:c>
      <x:c r="AM183" s="147" t="str">
        <x:v>Long</x:v>
      </x:c>
      <x:c r="AN183" s="167" t="n">
        <x:v>1.831</x:v>
      </x:c>
      <x:c r="AO183" s="167" t="n">
        <x:v>1.839</x:v>
      </x:c>
      <x:c r="AP183" s="166" t="n">
        <x:v>1</x:v>
      </x:c>
      <x:c r="AQ183" s="171" t="n">
        <x:f>IF(AK183="","",IFERROR(F183*AP183/AN183,0))</x:f>
        <x:v>0.9772702942257936</x:v>
      </x:c>
      <x:c r="AR183" s="171" t="n">
        <x:f>IF(AK183="","",F183*ABS(AP183))</x:f>
        <x:v>1.789381908727428</x:v>
      </x:c>
      <x:c r="AS183" s="165"/>
      <x:c r="AT183" s="172" t="str">
        <x:f>IF(AK183="","",IF(AS183="","",IFERROR(AN183/AS183-1,0)))</x:f>
      </x:c>
      <x:c r="AU183" s="166"/>
      <x:c r="AV183" s="172" t="str">
        <x:f>IF(AK183="","",IF(AU183="","",AU183-AT183*365/AW183))</x:f>
      </x:c>
      <x:c r="AW183" s="164"/>
      <x:c r="AX183" s="173" t="n">
        <x:f>IF(AK183="","",IFERROR(AP183*(AO183/AN183-1-'Parameters'!$C$6*C183/365),0))</x:f>
        <x:v>0.004348649214816452</x:v>
      </x:c>
      <x:c r="AY183" s="147"/>
      <x:c r="AZ183" s="147"/>
      <x:c r="BA183" s="147"/>
      <x:c r="BB183" s="167"/>
      <x:c r="BC183" s="167"/>
      <x:c r="BD183" s="166"/>
      <x:c r="BE183" s="171" t="str">
        <x:f>IF(AY183="","",IFERROR(F183*BD183/BB183,0))</x:f>
      </x:c>
      <x:c r="BF183" s="171" t="str">
        <x:f>IF(AY183="","",F183*ABS(BD183))</x:f>
      </x:c>
      <x:c r="BG183" s="165"/>
      <x:c r="BH183" s="172" t="str">
        <x:f>IF(AY183="","",IF(BG183="","",IFERROR(BB183/BG183-1,0)))</x:f>
      </x:c>
      <x:c r="BI183" s="166"/>
      <x:c r="BJ183" s="172" t="str">
        <x:f>IF(AY183="","",IF(BI183="","",BI183-BH183*365/BK183))</x:f>
      </x:c>
      <x:c r="BK183" s="164"/>
      <x:c r="BL183" s="172" t="str">
        <x:f>IF(AY183="","",IFERROR(BD183*(BC183/BB183-1),0))</x:f>
      </x:c>
      <x:c r="BM183" s="147"/>
      <x:c r="BN183" s="147"/>
      <x:c r="BO183" s="147"/>
      <x:c r="BP183" s="167"/>
      <x:c r="BQ183" s="167"/>
      <x:c r="BR183" s="166"/>
      <x:c r="BS183" s="171" t="str">
        <x:f>IF(BM183="","",IFERROR(F183*BR183/BP183,0))</x:f>
      </x:c>
      <x:c r="BT183" s="171" t="str">
        <x:f>IF(BM183="","",F183*ABS(BR183))</x:f>
      </x:c>
      <x:c r="BU183" s="165"/>
      <x:c r="BV183" s="172" t="str">
        <x:f>IF(BM183="","",IF(BU183="","",IFERROR(BP183/BU183-1,0)))</x:f>
      </x:c>
      <x:c r="BW183" s="166"/>
      <x:c r="BX183" s="172" t="str">
        <x:f>IF(BM183="","",IF(BW183="","",BW183-BV183*365/BY183))</x:f>
      </x:c>
      <x:c r="BY183" s="164"/>
      <x:c r="BZ183" s="172" t="str">
        <x:f>IF(BM183="","",IFERROR(BR183*(BQ183/BP183-1),0))</x:f>
      </x:c>
      <x:c r="CA183" s="147"/>
      <x:c r="CB183" s="147"/>
      <x:c r="CC183" s="147"/>
      <x:c r="CD183" s="167"/>
      <x:c r="CE183" s="167"/>
      <x:c r="CF183" s="166"/>
      <x:c r="CG183" s="171" t="str">
        <x:f>IF(CA183="","",IFERROR(F183*CF183/CD183,0))</x:f>
      </x:c>
      <x:c r="CH183" s="171" t="str">
        <x:f>IF(CA183="","",F183*ABS(CF183))</x:f>
      </x:c>
      <x:c r="CI183" s="165"/>
      <x:c r="CJ183" s="172" t="str">
        <x:f>IF(CA183="","",IF(CI183="","",IFERROR(CD183/CI183-1,0)))</x:f>
      </x:c>
      <x:c r="CK183" s="166"/>
      <x:c r="CL183" s="172" t="str">
        <x:f>IF(CA183="","",IF(CK183="","",CK183-CJ183*365/CM183))</x:f>
      </x:c>
      <x:c r="CM183" s="164"/>
      <x:c r="CN183" s="172" t="str">
        <x:f>IF(CA183="","",IFERROR(CF183*(CE183/CD183-1),0))</x:f>
      </x:c>
      <x:c r="CO183" s="147"/>
      <x:c r="CP183" s="147"/>
      <x:c r="CQ183" s="147"/>
      <x:c r="CR183" s="167"/>
      <x:c r="CS183" s="167"/>
      <x:c r="CT183" s="166"/>
      <x:c r="CU183" s="171" t="str">
        <x:f>IF(CO183="","",IFERROR(F183*CT183/CR183,0))</x:f>
      </x:c>
      <x:c r="CV183" s="171" t="str">
        <x:f>IF(CO183="","",F183*ABS(CT183))</x:f>
      </x:c>
      <x:c r="CW183" s="165"/>
      <x:c r="CX183" s="172" t="str">
        <x:f>IF(CO183="","",IF(CW183="","",IFERROR(CR183/CW183-1,0)))</x:f>
      </x:c>
      <x:c r="CY183" s="166"/>
      <x:c r="CZ183" s="172" t="str">
        <x:f>IF(CO183="","",IF(CY183="","",CY183-CX183*365/DA183))</x:f>
      </x:c>
      <x:c r="DA183" s="164"/>
      <x:c r="DB183" s="172" t="str">
        <x:f>IF(CO183="","",IFERROR(CT183*(CS183/CR183-1),0))</x:f>
      </x:c>
      <x:c r="DC183" s="147"/>
      <x:c r="DD183" s="147"/>
      <x:c r="DE183" s="147"/>
      <x:c r="DF183" s="167"/>
      <x:c r="DG183" s="167"/>
      <x:c r="DH183" s="166"/>
      <x:c r="DI183" s="171" t="str">
        <x:f>IF(DC183="","",IFERROR(F183*DH183/DF183,0))</x:f>
      </x:c>
      <x:c r="DJ183" s="171" t="str">
        <x:f>IF(DC183="","",F183*ABS(DH183))</x:f>
      </x:c>
      <x:c r="DK183" s="165"/>
      <x:c r="DL183" s="172" t="str">
        <x:f>IF(DC183="","",IF(DK183="","",IFERROR(DF183/DK183-1,0)))</x:f>
      </x:c>
      <x:c r="DM183" s="166"/>
      <x:c r="DN183" s="172" t="str">
        <x:f>IF(DC183="","",IF(DM183="","",DM183-DL183*365/DO183))</x:f>
      </x:c>
      <x:c r="DO183" s="164"/>
      <x:c r="DP183" s="172" t="str">
        <x:f>IF(DC183="","",IFERROR(DH183*(DG183/DF183-1),0))</x:f>
      </x:c>
      <x:c r="DQ183" s="147"/>
      <x:c r="DR183" s="147"/>
      <x:c r="DS183" s="147"/>
      <x:c r="DT183" s="167"/>
      <x:c r="DU183" s="167"/>
      <x:c r="DV183" s="166"/>
      <x:c r="DW183" s="171" t="str">
        <x:f>IF(DQ183="","",IFERROR(F183*DV183/DT183,0))</x:f>
      </x:c>
      <x:c r="DX183" s="171" t="str">
        <x:f>IF(DQ183="","",F183*ABS(DV183))</x:f>
      </x:c>
      <x:c r="DY183" s="165"/>
      <x:c r="DZ183" s="172" t="str">
        <x:f>IF(DQ183="","",IF(DY183="","",IFERROR(DT183/DY183-1,0)))</x:f>
      </x:c>
      <x:c r="EA183" s="166"/>
      <x:c r="EB183" s="172" t="str">
        <x:f>IF(DQ183="","",IF(EA183="","",EA183-DZ183*365/EC183))</x:f>
      </x:c>
      <x:c r="EC183" s="164"/>
      <x:c r="ED183" s="172" t="str">
        <x:f>IF(DQ183="","",IFERROR(DV183*(DU183/DT183-1),0))</x:f>
      </x:c>
      <x:c r="EE183" s="147"/>
      <x:c r="EF183" s="147"/>
      <x:c r="EG183" s="147"/>
      <x:c r="EH183" s="167"/>
      <x:c r="EI183" s="167"/>
      <x:c r="EJ183" s="166"/>
      <x:c r="EK183" s="171" t="str">
        <x:f>IF(EE183="","",IFERROR(F183*EJ183/EH183,0))</x:f>
      </x:c>
      <x:c r="EL183" s="171" t="str">
        <x:f>IF(EE183="","",F183*ABS(EJ183))</x:f>
      </x:c>
      <x:c r="EM183" s="165"/>
      <x:c r="EN183" s="172" t="str">
        <x:f>IF(EE183="","",IF(EM183="","",IFERROR(EH183/EM183-1,0)))</x:f>
      </x:c>
      <x:c r="EO183" s="166"/>
      <x:c r="EP183" s="172" t="str">
        <x:f>IF(EE183="","",IF(EO183="","",EO183-EN183*365/EQ183))</x:f>
      </x:c>
      <x:c r="EQ183" s="164"/>
      <x:c r="ER183" s="172" t="str">
        <x:f>IF(EE183="","",IFERROR(EJ183*(EI183/EH183-1),0))</x:f>
      </x:c>
      <x:c r="ES183" s="147"/>
      <x:c r="ET183" s="147"/>
      <x:c r="EU183" s="147"/>
      <x:c r="EV183" s="167"/>
      <x:c r="EW183" s="167"/>
      <x:c r="EX183" s="166"/>
      <x:c r="EY183" s="171" t="str">
        <x:f>IF(ES183="","",IFERROR(F183*EX183/EV183,0))</x:f>
      </x:c>
      <x:c r="EZ183" s="171" t="str">
        <x:f>IF(ES183="","",F183*ABS(EX183))</x:f>
      </x:c>
      <x:c r="FA183" s="165"/>
      <x:c r="FB183" s="172" t="str">
        <x:f>IF(ES183="","",IF(FA183="","",IFERROR(EV183/FA183-1,0)))</x:f>
      </x:c>
      <x:c r="FC183" s="166"/>
      <x:c r="FD183" s="172" t="str">
        <x:f>IF(ES183="","",IF(FC183="","",FC183-FB183*365/FE183))</x:f>
      </x:c>
      <x:c r="FE183" s="164"/>
      <x:c r="FF183" s="172" t="str">
        <x:f>IF(ES183="","",IFERROR(EX183*(EW183/EV183-1),0))</x:f>
      </x:c>
      <x:c r="FG183" s="147"/>
      <x:c r="FH183" s="147"/>
      <x:c r="FI183" s="147"/>
      <x:c r="FJ183" s="167"/>
      <x:c r="FK183" s="167"/>
      <x:c r="FL183" s="166"/>
      <x:c r="FM183" s="171" t="str">
        <x:f>IF(FG183="","",IFERROR(F183*FL183/FJ183,0))</x:f>
      </x:c>
      <x:c r="FN183" s="171" t="str">
        <x:f>IF(FG183="","",F183*ABS(FL183))</x:f>
      </x:c>
      <x:c r="FO183" s="165"/>
      <x:c r="FP183" s="172" t="str">
        <x:f>IF(FG183="","",IF(FO183="","",IFERROR(FJ183/FO183-1,0)))</x:f>
      </x:c>
      <x:c r="FQ183" s="166"/>
      <x:c r="FR183" s="172" t="str">
        <x:f>IF(FG183="","",IF(FQ183="","",FQ183-FP183*365/FS183))</x:f>
      </x:c>
      <x:c r="FS183" s="164"/>
      <x:c r="FT183" s="172" t="str">
        <x:f>IF(FG183="","",IFERROR(FL183*(FK183/FJ183-1),0))</x:f>
      </x:c>
    </x:row>
    <x:row r="184" ht="18" customHeight="1">
      <x:c r="A184" s="163" t="n">
        <x:v>25475</x:v>
      </x:c>
      <x:c r="B184" s="163" t="n">
        <x:v>25476</x:v>
      </x:c>
      <x:c r="C184" s="170" t="n">
        <x:f>B184-A184</x:f>
        <x:v>1</x:v>
      </x:c>
      <x:c r="D184" s="163" t="n">
        <x:v>25475</x:v>
      </x:c>
      <x:c r="E184" s="147" t="str">
        <x:v>neutral</x:v>
      </x:c>
      <x:c r="F184" s="165" t="n">
        <x:v>1.7971633029598222</x:v>
      </x:c>
      <x:c r="G184" s="168" t="n">
        <x:v>0.02011278091875419</x:v>
      </x:c>
      <x:c r="H184" s="172" t="n">
        <x:f>SUM(AX184,BL184,BZ184,CN184,DB184,DP184,ED184,ER184,FF184,FT184)</x:f>
        <x:v>0.02011278091875419</x:v>
      </x:c>
      <x:c r="I184" s="174" t="n">
        <x:f>G184-H184</x:f>
        <x:v>0</x:v>
      </x:c>
      <x:c r="J184" s="171" t="n">
        <x:f>F184*(1+H184)</x:f>
        <x:v>1.8333092547474779</x:v>
      </x:c>
      <x:c r="K184" s="169" t="n">
        <x:v>1.8333092547474779</x:v>
      </x:c>
      <x:c r="L184" s="175" t="n">
        <x:f>K184-J184</x:f>
        <x:v>0</x:v>
      </x:c>
      <x:c r="M184" s="167" t="n">
        <x:v>1.839</x:v>
      </x:c>
      <x:c r="N184" s="167" t="n">
        <x:v>1.876</x:v>
      </x:c>
      <x:c r="O184" s="172" t="n">
        <x:f>IFERROR(N184/M184-1,0)</x:f>
        <x:v>0.020119630233822683</x:v>
      </x:c>
      <x:c r="P184" s="171" t="n">
        <x:f>IFERROR(AD184/AH184,0)</x:f>
        <x:v>1.9134560887413448</x:v>
      </x:c>
      <x:c r="Q184" s="171" t="n">
        <x:f>IFERROR(AE184/AI184,0)</x:f>
        <x:v>1.9134432413622404</x:v>
      </x:c>
      <x:c r="R184" s="172" t="n">
        <x:f>IFERROR((Q184-P184)/(P184+S184),0)</x:f>
        <x:v>-0.000006714227297890293</x:v>
      </x:c>
      <x:c r="S184" s="172" t="n">
        <x:f>IFERROR(AF184/AH184,0)</x:f>
        <x:v>0</x:v>
      </x:c>
      <x:c r="T184" s="172" t="n">
        <x:f>IFERROR(AG184/AI184,0)</x:f>
        <x:v>0</x:v>
      </x:c>
      <x:c r="U184" s="172" t="n">
        <x:f>IFERROR((T184-S184)/(P184+S184),0)</x:f>
        <x:v>0</x:v>
      </x:c>
      <x:c r="V184" s="172" t="n">
        <x:f>R184+U184</x:f>
        <x:v>-0.000006714227297890293</x:v>
      </x:c>
      <x:c r="W184" s="172" t="n">
        <x:f>(1+O184)*(1+V184)-1</x:f>
        <x:v>0.020112780918754236</x:v>
      </x:c>
      <x:c r="X184" s="174" t="n">
        <x:f>G184-W184</x:f>
        <x:v>-4.5102810375396984e-17</x:v>
      </x:c>
      <x:c r="Y184" s="172" t="n">
        <x:f>AX184</x:f>
        <x:v>0.02011278091875419</x:v>
      </x:c>
      <x:c r="Z184" s="172" t="str">
        <x:f>BL184</x:f>
      </x:c>
      <x:c r="AA184" s="172" t="n">
        <x:f>SUM(BZ184,CN184,DB184,DP184,ED184,ER184,FF184,FT184)</x:f>
        <x:v>0</x:v>
      </x:c>
      <x:c r="AB184" s="172" t="n">
        <x:f>SUM(Y184:AA184)</x:f>
        <x:v>0.02011278091875419</x:v>
      </x:c>
      <x:c r="AC184" s="174" t="n">
        <x:f>G184-AB184</x:f>
        <x:v>0</x:v>
      </x:c>
      <x:c r="AD184" s="169" t="n">
        <x:v>1.7971633029598229</x:v>
      </x:c>
      <x:c r="AE184" s="169" t="n">
        <x:v>1.8333092547474785</x:v>
      </x:c>
      <x:c r="AF184" s="169" t="n">
        <x:v>0</x:v>
      </x:c>
      <x:c r="AG184" s="169" t="n">
        <x:v>0</x:v>
      </x:c>
      <x:c r="AH184" s="171" t="n">
        <x:f>M184/$M$3</x:f>
        <x:v>0.9392236976506639</x:v>
      </x:c>
      <x:c r="AI184" s="171" t="n">
        <x:f>N184/$M$3</x:f>
        <x:v>0.958120531154239</x:v>
      </x:c>
      <x:c r="AJ184" s="170" t="n">
        <x:f>IF(AK184&lt;&gt;"",1,0)+IF(AY184&lt;&gt;"",1,0)+IF(BM184&lt;&gt;"",1,0)+IF(CA184&lt;&gt;"",1,0)+IF(CO184&lt;&gt;"",1,0)+IF(DC184&lt;&gt;"",1,0)+IF(DQ184&lt;&gt;"",1,0)+IF(EE184&lt;&gt;"",1,0)+IF(ES184&lt;&gt;"",1,0)+IF(FG184&lt;&gt;"",1,0)</x:f>
        <x:v>1</x:v>
      </x:c>
      <x:c r="AK184" s="147" t="str">
        <x:v>Silver replicating holding (LBMA/SLV proxy)</x:v>
      </x:c>
      <x:c r="AL184" s="147" t="str">
        <x:v>Physical-backed proxy</x:v>
      </x:c>
      <x:c r="AM184" s="147" t="str">
        <x:v>Long</x:v>
      </x:c>
      <x:c r="AN184" s="167" t="n">
        <x:v>1.839</x:v>
      </x:c>
      <x:c r="AO184" s="167" t="n">
        <x:v>1.876</x:v>
      </x:c>
      <x:c r="AP184" s="166" t="n">
        <x:v>1</x:v>
      </x:c>
      <x:c r="AQ184" s="171" t="n">
        <x:f>IF(AK184="","",IFERROR(F184*AP184/AN184,0))</x:f>
        <x:v>0.9772503006850582</x:v>
      </x:c>
      <x:c r="AR184" s="171" t="n">
        <x:f>IF(AK184="","",F184*ABS(AP184))</x:f>
        <x:v>1.7971633029598222</x:v>
      </x:c>
      <x:c r="AS184" s="165"/>
      <x:c r="AT184" s="172" t="str">
        <x:f>IF(AK184="","",IF(AS184="","",IFERROR(AN184/AS184-1,0)))</x:f>
      </x:c>
      <x:c r="AU184" s="166"/>
      <x:c r="AV184" s="172" t="str">
        <x:f>IF(AK184="","",IF(AU184="","",AU184-AT184*365/AW184))</x:f>
      </x:c>
      <x:c r="AW184" s="164"/>
      <x:c r="AX184" s="173" t="n">
        <x:f>IF(AK184="","",IFERROR(AP184*(AO184/AN184-1-'Parameters'!$C$6*C184/365),0))</x:f>
        <x:v>0.02011278091875419</x:v>
      </x:c>
      <x:c r="AY184" s="147"/>
      <x:c r="AZ184" s="147"/>
      <x:c r="BA184" s="147"/>
      <x:c r="BB184" s="167"/>
      <x:c r="BC184" s="167"/>
      <x:c r="BD184" s="166"/>
      <x:c r="BE184" s="171" t="str">
        <x:f>IF(AY184="","",IFERROR(F184*BD184/BB184,0))</x:f>
      </x:c>
      <x:c r="BF184" s="171" t="str">
        <x:f>IF(AY184="","",F184*ABS(BD184))</x:f>
      </x:c>
      <x:c r="BG184" s="165"/>
      <x:c r="BH184" s="172" t="str">
        <x:f>IF(AY184="","",IF(BG184="","",IFERROR(BB184/BG184-1,0)))</x:f>
      </x:c>
      <x:c r="BI184" s="166"/>
      <x:c r="BJ184" s="172" t="str">
        <x:f>IF(AY184="","",IF(BI184="","",BI184-BH184*365/BK184))</x:f>
      </x:c>
      <x:c r="BK184" s="164"/>
      <x:c r="BL184" s="172" t="str">
        <x:f>IF(AY184="","",IFERROR(BD184*(BC184/BB184-1),0))</x:f>
      </x:c>
      <x:c r="BM184" s="147"/>
      <x:c r="BN184" s="147"/>
      <x:c r="BO184" s="147"/>
      <x:c r="BP184" s="167"/>
      <x:c r="BQ184" s="167"/>
      <x:c r="BR184" s="166"/>
      <x:c r="BS184" s="171" t="str">
        <x:f>IF(BM184="","",IFERROR(F184*BR184/BP184,0))</x:f>
      </x:c>
      <x:c r="BT184" s="171" t="str">
        <x:f>IF(BM184="","",F184*ABS(BR184))</x:f>
      </x:c>
      <x:c r="BU184" s="165"/>
      <x:c r="BV184" s="172" t="str">
        <x:f>IF(BM184="","",IF(BU184="","",IFERROR(BP184/BU184-1,0)))</x:f>
      </x:c>
      <x:c r="BW184" s="166"/>
      <x:c r="BX184" s="172" t="str">
        <x:f>IF(BM184="","",IF(BW184="","",BW184-BV184*365/BY184))</x:f>
      </x:c>
      <x:c r="BY184" s="164"/>
      <x:c r="BZ184" s="172" t="str">
        <x:f>IF(BM184="","",IFERROR(BR184*(BQ184/BP184-1),0))</x:f>
      </x:c>
      <x:c r="CA184" s="147"/>
      <x:c r="CB184" s="147"/>
      <x:c r="CC184" s="147"/>
      <x:c r="CD184" s="167"/>
      <x:c r="CE184" s="167"/>
      <x:c r="CF184" s="166"/>
      <x:c r="CG184" s="171" t="str">
        <x:f>IF(CA184="","",IFERROR(F184*CF184/CD184,0))</x:f>
      </x:c>
      <x:c r="CH184" s="171" t="str">
        <x:f>IF(CA184="","",F184*ABS(CF184))</x:f>
      </x:c>
      <x:c r="CI184" s="165"/>
      <x:c r="CJ184" s="172" t="str">
        <x:f>IF(CA184="","",IF(CI184="","",IFERROR(CD184/CI184-1,0)))</x:f>
      </x:c>
      <x:c r="CK184" s="166"/>
      <x:c r="CL184" s="172" t="str">
        <x:f>IF(CA184="","",IF(CK184="","",CK184-CJ184*365/CM184))</x:f>
      </x:c>
      <x:c r="CM184" s="164"/>
      <x:c r="CN184" s="172" t="str">
        <x:f>IF(CA184="","",IFERROR(CF184*(CE184/CD184-1),0))</x:f>
      </x:c>
      <x:c r="CO184" s="147"/>
      <x:c r="CP184" s="147"/>
      <x:c r="CQ184" s="147"/>
      <x:c r="CR184" s="167"/>
      <x:c r="CS184" s="167"/>
      <x:c r="CT184" s="166"/>
      <x:c r="CU184" s="171" t="str">
        <x:f>IF(CO184="","",IFERROR(F184*CT184/CR184,0))</x:f>
      </x:c>
      <x:c r="CV184" s="171" t="str">
        <x:f>IF(CO184="","",F184*ABS(CT184))</x:f>
      </x:c>
      <x:c r="CW184" s="165"/>
      <x:c r="CX184" s="172" t="str">
        <x:f>IF(CO184="","",IF(CW184="","",IFERROR(CR184/CW184-1,0)))</x:f>
      </x:c>
      <x:c r="CY184" s="166"/>
      <x:c r="CZ184" s="172" t="str">
        <x:f>IF(CO184="","",IF(CY184="","",CY184-CX184*365/DA184))</x:f>
      </x:c>
      <x:c r="DA184" s="164"/>
      <x:c r="DB184" s="172" t="str">
        <x:f>IF(CO184="","",IFERROR(CT184*(CS184/CR184-1),0))</x:f>
      </x:c>
      <x:c r="DC184" s="147"/>
      <x:c r="DD184" s="147"/>
      <x:c r="DE184" s="147"/>
      <x:c r="DF184" s="167"/>
      <x:c r="DG184" s="167"/>
      <x:c r="DH184" s="166"/>
      <x:c r="DI184" s="171" t="str">
        <x:f>IF(DC184="","",IFERROR(F184*DH184/DF184,0))</x:f>
      </x:c>
      <x:c r="DJ184" s="171" t="str">
        <x:f>IF(DC184="","",F184*ABS(DH184))</x:f>
      </x:c>
      <x:c r="DK184" s="165"/>
      <x:c r="DL184" s="172" t="str">
        <x:f>IF(DC184="","",IF(DK184="","",IFERROR(DF184/DK184-1,0)))</x:f>
      </x:c>
      <x:c r="DM184" s="166"/>
      <x:c r="DN184" s="172" t="str">
        <x:f>IF(DC184="","",IF(DM184="","",DM184-DL184*365/DO184))</x:f>
      </x:c>
      <x:c r="DO184" s="164"/>
      <x:c r="DP184" s="172" t="str">
        <x:f>IF(DC184="","",IFERROR(DH184*(DG184/DF184-1),0))</x:f>
      </x:c>
      <x:c r="DQ184" s="147"/>
      <x:c r="DR184" s="147"/>
      <x:c r="DS184" s="147"/>
      <x:c r="DT184" s="167"/>
      <x:c r="DU184" s="167"/>
      <x:c r="DV184" s="166"/>
      <x:c r="DW184" s="171" t="str">
        <x:f>IF(DQ184="","",IFERROR(F184*DV184/DT184,0))</x:f>
      </x:c>
      <x:c r="DX184" s="171" t="str">
        <x:f>IF(DQ184="","",F184*ABS(DV184))</x:f>
      </x:c>
      <x:c r="DY184" s="165"/>
      <x:c r="DZ184" s="172" t="str">
        <x:f>IF(DQ184="","",IF(DY184="","",IFERROR(DT184/DY184-1,0)))</x:f>
      </x:c>
      <x:c r="EA184" s="166"/>
      <x:c r="EB184" s="172" t="str">
        <x:f>IF(DQ184="","",IF(EA184="","",EA184-DZ184*365/EC184))</x:f>
      </x:c>
      <x:c r="EC184" s="164"/>
      <x:c r="ED184" s="172" t="str">
        <x:f>IF(DQ184="","",IFERROR(DV184*(DU184/DT184-1),0))</x:f>
      </x:c>
      <x:c r="EE184" s="147"/>
      <x:c r="EF184" s="147"/>
      <x:c r="EG184" s="147"/>
      <x:c r="EH184" s="167"/>
      <x:c r="EI184" s="167"/>
      <x:c r="EJ184" s="166"/>
      <x:c r="EK184" s="171" t="str">
        <x:f>IF(EE184="","",IFERROR(F184*EJ184/EH184,0))</x:f>
      </x:c>
      <x:c r="EL184" s="171" t="str">
        <x:f>IF(EE184="","",F184*ABS(EJ184))</x:f>
      </x:c>
      <x:c r="EM184" s="165"/>
      <x:c r="EN184" s="172" t="str">
        <x:f>IF(EE184="","",IF(EM184="","",IFERROR(EH184/EM184-1,0)))</x:f>
      </x:c>
      <x:c r="EO184" s="166"/>
      <x:c r="EP184" s="172" t="str">
        <x:f>IF(EE184="","",IF(EO184="","",EO184-EN184*365/EQ184))</x:f>
      </x:c>
      <x:c r="EQ184" s="164"/>
      <x:c r="ER184" s="172" t="str">
        <x:f>IF(EE184="","",IFERROR(EJ184*(EI184/EH184-1),0))</x:f>
      </x:c>
      <x:c r="ES184" s="147"/>
      <x:c r="ET184" s="147"/>
      <x:c r="EU184" s="147"/>
      <x:c r="EV184" s="167"/>
      <x:c r="EW184" s="167"/>
      <x:c r="EX184" s="166"/>
      <x:c r="EY184" s="171" t="str">
        <x:f>IF(ES184="","",IFERROR(F184*EX184/EV184,0))</x:f>
      </x:c>
      <x:c r="EZ184" s="171" t="str">
        <x:f>IF(ES184="","",F184*ABS(EX184))</x:f>
      </x:c>
      <x:c r="FA184" s="165"/>
      <x:c r="FB184" s="172" t="str">
        <x:f>IF(ES184="","",IF(FA184="","",IFERROR(EV184/FA184-1,0)))</x:f>
      </x:c>
      <x:c r="FC184" s="166"/>
      <x:c r="FD184" s="172" t="str">
        <x:f>IF(ES184="","",IF(FC184="","",FC184-FB184*365/FE184))</x:f>
      </x:c>
      <x:c r="FE184" s="164"/>
      <x:c r="FF184" s="172" t="str">
        <x:f>IF(ES184="","",IFERROR(EX184*(EW184/EV184-1),0))</x:f>
      </x:c>
      <x:c r="FG184" s="147"/>
      <x:c r="FH184" s="147"/>
      <x:c r="FI184" s="147"/>
      <x:c r="FJ184" s="167"/>
      <x:c r="FK184" s="167"/>
      <x:c r="FL184" s="166"/>
      <x:c r="FM184" s="171" t="str">
        <x:f>IF(FG184="","",IFERROR(F184*FL184/FJ184,0))</x:f>
      </x:c>
      <x:c r="FN184" s="171" t="str">
        <x:f>IF(FG184="","",F184*ABS(FL184))</x:f>
      </x:c>
      <x:c r="FO184" s="165"/>
      <x:c r="FP184" s="172" t="str">
        <x:f>IF(FG184="","",IF(FO184="","",IFERROR(FJ184/FO184-1,0)))</x:f>
      </x:c>
      <x:c r="FQ184" s="166"/>
      <x:c r="FR184" s="172" t="str">
        <x:f>IF(FG184="","",IF(FQ184="","",FQ184-FP184*365/FS184))</x:f>
      </x:c>
      <x:c r="FS184" s="164"/>
      <x:c r="FT184" s="172" t="str">
        <x:f>IF(FG184="","",IFERROR(FL184*(FK184/FJ184-1),0))</x:f>
      </x:c>
    </x:row>
    <x:row r="185" ht="18" customHeight="1">
      <x:c r="A185" s="163" t="n">
        <x:v>25476</x:v>
      </x:c>
      <x:c r="B185" s="163" t="n">
        <x:v>25477</x:v>
      </x:c>
      <x:c r="C185" s="170" t="n">
        <x:f>B185-A185</x:f>
        <x:v>1</x:v>
      </x:c>
      <x:c r="D185" s="163" t="n">
        <x:v>25476</x:v>
      </x:c>
      <x:c r="E185" s="147" t="str">
        <x:v>positive</x:v>
      </x:c>
      <x:c r="F185" s="165" t="n">
        <x:v>1.8333092547474779</x:v>
      </x:c>
      <x:c r="G185" s="168" t="n">
        <x:v>-0.004786510714631686</x:v>
      </x:c>
      <x:c r="H185" s="172" t="n">
        <x:f>SUM(AX185,BL185,BZ185,CN185,DB185,DP185,ED185,ER185,FF185,FT185)</x:f>
        <x:v>-0.004786510714631701</x:v>
      </x:c>
      <x:c r="I185" s="174" t="n">
        <x:f>G185-H185</x:f>
        <x:v>1.474514954580286e-17</x:v>
      </x:c>
      <x:c r="J185" s="171" t="n">
        <x:f>F185*(1+H185)</x:f>
        <x:v>1.8245341003563957</x:v>
      </x:c>
      <x:c r="K185" s="169" t="n">
        <x:v>1.8245341003563957</x:v>
      </x:c>
      <x:c r="L185" s="175" t="n">
        <x:f>K185-J185</x:f>
        <x:v>0</x:v>
      </x:c>
      <x:c r="M185" s="167" t="n">
        <x:v>1.876</x:v>
      </x:c>
      <x:c r="N185" s="167" t="n">
        <x:v>1.863</x:v>
      </x:c>
      <x:c r="O185" s="172" t="n">
        <x:f>IFERROR(N185/M185-1,0)</x:f>
        <x:v>-0.006929637526652432</x:v>
      </x:c>
      <x:c r="P185" s="171" t="n">
        <x:f>IFERROR(AD185/AH185,0)</x:f>
        <x:v>1.9134432413622404</x:v>
      </x:c>
      <x:c r="Q185" s="171" t="n">
        <x:f>IFERROR(AE185/AI185,0)</x:f>
        <x:v>1.917572607889331</x:v>
      </x:c>
      <x:c r="R185" s="172" t="n">
        <x:f>IFERROR((Q185-P185)/(P185+S185),0)</x:f>
        <x:v>0.0021580815348098224</x:v>
      </x:c>
      <x:c r="S185" s="172" t="n">
        <x:f>IFERROR(AF185/AH185,0)</x:f>
        <x:v>0</x:v>
      </x:c>
      <x:c r="T185" s="172" t="n">
        <x:f>IFERROR(AG185/AI185,0)</x:f>
        <x:v>0</x:v>
      </x:c>
      <x:c r="U185" s="172" t="n">
        <x:f>IFERROR((T185-S185)/(P185+S185),0)</x:f>
        <x:v>0</x:v>
      </x:c>
      <x:c r="V185" s="172" t="n">
        <x:f>R185+U185</x:f>
        <x:v>0.0021580815348098224</x:v>
      </x:c>
      <x:c r="W185" s="172" t="n">
        <x:f>(1+O185)*(1+V185)-1</x:f>
        <x:v>-0.004786510714631764</x:v>
      </x:c>
      <x:c r="X185" s="174" t="n">
        <x:f>G185-W185</x:f>
        <x:v>7.806255641895632e-17</x:v>
      </x:c>
      <x:c r="Y185" s="172" t="n">
        <x:f>AX185</x:f>
        <x:v>-0.005734070429463202</x:v>
      </x:c>
      <x:c r="Z185" s="172" t="n">
        <x:f>BL185</x:f>
        <x:v>0.000033909444558017796</x:v>
      </x:c>
      <x:c r="AA185" s="172" t="n">
        <x:f>SUM(BZ185,CN185,DB185,DP185,ED185,ER185,FF185,FT185)</x:f>
        <x:v>0.0009136502702734833</x:v>
      </x:c>
      <x:c r="AB185" s="172" t="n">
        <x:f>SUM(Y185:AA185)</x:f>
        <x:v>-0.004786510714631701</x:v>
      </x:c>
      <x:c r="AC185" s="174" t="n">
        <x:f>G185-AB185</x:f>
        <x:v>1.474514954580286e-17</x:v>
      </x:c>
      <x:c r="AD185" s="169" t="n">
        <x:v>1.8333092547474785</x:v>
      </x:c>
      <x:c r="AE185" s="169" t="n">
        <x:v>1.8245341003563962</x:v>
      </x:c>
      <x:c r="AF185" s="169" t="n">
        <x:v>0</x:v>
      </x:c>
      <x:c r="AG185" s="169" t="n">
        <x:v>0</x:v>
      </x:c>
      <x:c r="AH185" s="171" t="n">
        <x:f>M185/$M$3</x:f>
        <x:v>0.958120531154239</x:v>
      </x:c>
      <x:c r="AI185" s="171" t="n">
        <x:f>N185/$M$3</x:f>
        <x:v>0.9514811031664965</x:v>
      </x:c>
      <x:c r="AJ185" s="170" t="n">
        <x:f>IF(AK185&lt;&gt;"",1,0)+IF(AY185&lt;&gt;"",1,0)+IF(BM185&lt;&gt;"",1,0)+IF(CA185&lt;&gt;"",1,0)+IF(CO185&lt;&gt;"",1,0)+IF(DC185&lt;&gt;"",1,0)+IF(DQ185&lt;&gt;"",1,0)+IF(EE185&lt;&gt;"",1,0)+IF(ES185&lt;&gt;"",1,0)+IF(FG185&lt;&gt;"",1,0)</x:f>
        <x:v>4</x:v>
      </x:c>
      <x:c r="AK185" s="147" t="str">
        <x:v>Silver replicating holding (LBMA/SLV proxy)</x:v>
      </x:c>
      <x:c r="AL185" s="147" t="str">
        <x:v>Physical-backed proxy</x:v>
      </x:c>
      <x:c r="AM185" s="147" t="str">
        <x:v>Long</x:v>
      </x:c>
      <x:c r="AN185" s="167" t="n">
        <x:v>1.876</x:v>
      </x:c>
      <x:c r="AO185" s="167" t="n">
        <x:v>1.863</x:v>
      </x:c>
      <x:c r="AP185" s="166" t="n">
        <x:v>0.8266533996683245</x:v>
      </x:c>
      <x:c r="AQ185" s="171" t="n">
        <x:f>IF(AK185="","",IFERROR(F185*AP185/AN185,0))</x:f>
        <x:v>0.8078418593179131</x:v>
      </x:c>
      <x:c r="AR185" s="171" t="n">
        <x:f>IF(AK185="","",F185*ABS(AP185))</x:f>
        <x:v>1.515511328080405</x:v>
      </x:c>
      <x:c r="AS185" s="165"/>
      <x:c r="AT185" s="172" t="str">
        <x:f>IF(AK185="","",IF(AS185="","",IFERROR(AN185/AS185-1,0)))</x:f>
      </x:c>
      <x:c r="AU185" s="166"/>
      <x:c r="AV185" s="172" t="str">
        <x:f>IF(AK185="","",IF(AU185="","",AU185-AT185*365/AW185))</x:f>
      </x:c>
      <x:c r="AW185" s="164"/>
      <x:c r="AX185" s="173" t="n">
        <x:f>IF(AK185="","",IFERROR(AP185*(AO185/AN185-1-'Parameters'!$C$6*C185/365),0))</x:f>
        <x:v>-0.005734070429463202</x:v>
      </x:c>
      <x:c r="AY185" s="147" t="str">
        <x:v>Matched-maturity Treasury collateral</x:v>
      </x:c>
      <x:c r="AZ185" s="147" t="str">
        <x:v>Treasury</x:v>
      </x:c>
      <x:c r="BA185" s="147" t="str">
        <x:v>Long</x:v>
      </x:c>
      <x:c r="BB185" s="167" t="n">
        <x:v>104.8925713302952</x:v>
      </x:c>
      <x:c r="BC185" s="167" t="n">
        <x:v>104.91309004150884</x:v>
      </x:c>
      <x:c r="BD185" s="166" t="n">
        <x:v>0.1733466003316755</x:v>
      </x:c>
      <x:c r="BE185" s="171" t="n">
        <x:f>IF(AY185="","",IFERROR(F185*BD185/BB185,0))</x:f>
        <x:v>0.0030297467459955967</x:v>
      </x:c>
      <x:c r="BF185" s="171" t="n">
        <x:f>IF(AY185="","",F185*ABS(BD185))</x:f>
        <x:v>0.3177979266670729</x:v>
      </x:c>
      <x:c r="BG185" s="165"/>
      <x:c r="BH185" s="172" t="str">
        <x:f>IF(AY185="","",IF(BG185="","",IFERROR(BB185/BG185-1,0)))</x:f>
      </x:c>
      <x:c r="BI185" s="166"/>
      <x:c r="BJ185" s="172" t="str">
        <x:f>IF(AY185="","",IF(BI185="","",BI185-BH185*365/BK185))</x:f>
      </x:c>
      <x:c r="BK185" s="164" t="n">
        <x:v>90.45026984468795</x:v>
      </x:c>
      <x:c r="BL185" s="172" t="n">
        <x:f>IF(AY185="","",IFERROR(BD185*(BC185/BB185-1),0))</x:f>
        <x:v>0.000033909444558017796</x:v>
      </x:c>
      <x:c r="BM185" s="147" t="str">
        <x:v>SI69Z</x:v>
      </x:c>
      <x:c r="BN185" s="147" t="str">
        <x:v>Silver future (regular)</x:v>
      </x:c>
      <x:c r="BO185" s="147" t="str">
        <x:v>Long</x:v>
      </x:c>
      <x:c r="BP185" s="167" t="n">
        <x:v>1.8969999999999998</x:v>
      </x:c>
      <x:c r="BQ185" s="167" t="n">
        <x:v>1.9069999999999998</x:v>
      </x:c>
      <x:c r="BR185" s="166" t="n">
        <x:v>0.1707448421047246</x:v>
      </x:c>
      <x:c r="BS185" s="171" t="n">
        <x:f>IF(BM185="","",IFERROR(F185*BR185/BP185,0))</x:f>
        <x:v>0.16501217671638824</x:v>
      </x:c>
      <x:c r="BT185" s="171" t="n">
        <x:f>IF(BM185="","",F185*ABS(BR185))</x:f>
        <x:v>0.31302809923098845</x:v>
      </x:c>
      <x:c r="BU185" s="165" t="n">
        <x:v>1.876</x:v>
      </x:c>
      <x:c r="BV185" s="172" t="n">
        <x:f>IF(BM185="","",IF(BU185="","",IFERROR(BP185/BU185-1,0)))</x:f>
        <x:v>0.011194029850746245</x:v>
      </x:c>
      <x:c r="BW185" s="166" t="n">
        <x:v>0.07139999999999999</x:v>
      </x:c>
      <x:c r="BX185" s="172" t="n">
        <x:f>IF(BM185="","",IF(BW185="","",BW185-BV185*365/BY185))</x:f>
        <x:v>0.026001990049751324</x:v>
      </x:c>
      <x:c r="BY185" s="164" t="n">
        <x:v>90</x:v>
      </x:c>
      <x:c r="BZ185" s="172" t="n">
        <x:f>IF(BM185="","",IFERROR(BR185*(BQ185/BP185-1),0))</x:f>
        <x:v>0.0009000782398772866</x:v>
      </x:c>
      <x:c r="CA185" s="147" t="str">
        <x:v>SI70F</x:v>
      </x:c>
      <x:c r="CB185" s="147" t="str">
        <x:v>Silver future (regular)</x:v>
      </x:c>
      <x:c r="CC185" s="147" t="str">
        <x:v>Long</x:v>
      </x:c>
      <x:c r="CD185" s="167" t="n">
        <x:v>1.9169999999999998</x:v>
      </x:c>
      <x:c r="CE185" s="167" t="n">
        <x:v>1.9269999999999998</x:v>
      </x:c>
      <x:c r="CF185" s="166" t="n">
        <x:v>0.0026017582269509225</x:v>
      </x:c>
      <x:c r="CG185" s="171" t="n">
        <x:f>IF(CA185="","",IFERROR(F185*CF185/CD185,0))</x:f>
        <x:v>0.0024881728931061635</x:v>
      </x:c>
      <x:c r="CH185" s="171" t="n">
        <x:f>IF(CA185="","",F185*ABS(CF185))</x:f>
        <x:v>0.004769827436084515</x:v>
      </x:c>
      <x:c r="CI185" s="165" t="n">
        <x:v>1.876</x:v>
      </x:c>
      <x:c r="CJ185" s="172" t="n">
        <x:f>IF(CA185="","",IF(CI185="","",IFERROR(CD185/CI185-1,0)))</x:f>
        <x:v>0.021855010660980723</x:v>
      </x:c>
      <x:c r="CK185" s="166" t="n">
        <x:v>0.0720054945054945</x:v>
      </x:c>
      <x:c r="CL185" s="172" t="n">
        <x:f>IF(CA185="","",IF(CK185="","",CK185-CJ185*365/CM185))</x:f>
        <x:v>0.005529837078344799</x:v>
      </x:c>
      <x:c r="CM185" s="164" t="n">
        <x:v>120</x:v>
      </x:c>
      <x:c r="CN185" s="172" t="n">
        <x:f>IF(CA185="","",IFERROR(CF185*(CE185/CD185-1),0))</x:f>
        <x:v>0.000013572030396196781</x:v>
      </x:c>
      <x:c r="CO185" s="147"/>
      <x:c r="CP185" s="147"/>
      <x:c r="CQ185" s="147"/>
      <x:c r="CR185" s="167"/>
      <x:c r="CS185" s="167"/>
      <x:c r="CT185" s="166"/>
      <x:c r="CU185" s="171" t="str">
        <x:f>IF(CO185="","",IFERROR(F185*CT185/CR185,0))</x:f>
      </x:c>
      <x:c r="CV185" s="171" t="str">
        <x:f>IF(CO185="","",F185*ABS(CT185))</x:f>
      </x:c>
      <x:c r="CW185" s="165"/>
      <x:c r="CX185" s="172" t="str">
        <x:f>IF(CO185="","",IF(CW185="","",IFERROR(CR185/CW185-1,0)))</x:f>
      </x:c>
      <x:c r="CY185" s="166"/>
      <x:c r="CZ185" s="172" t="str">
        <x:f>IF(CO185="","",IF(CY185="","",CY185-CX185*365/DA185))</x:f>
      </x:c>
      <x:c r="DA185" s="164"/>
      <x:c r="DB185" s="172" t="str">
        <x:f>IF(CO185="","",IFERROR(CT185*(CS185/CR185-1),0))</x:f>
      </x:c>
      <x:c r="DC185" s="147"/>
      <x:c r="DD185" s="147"/>
      <x:c r="DE185" s="147"/>
      <x:c r="DF185" s="167"/>
      <x:c r="DG185" s="167"/>
      <x:c r="DH185" s="166"/>
      <x:c r="DI185" s="171" t="str">
        <x:f>IF(DC185="","",IFERROR(F185*DH185/DF185,0))</x:f>
      </x:c>
      <x:c r="DJ185" s="171" t="str">
        <x:f>IF(DC185="","",F185*ABS(DH185))</x:f>
      </x:c>
      <x:c r="DK185" s="165"/>
      <x:c r="DL185" s="172" t="str">
        <x:f>IF(DC185="","",IF(DK185="","",IFERROR(DF185/DK185-1,0)))</x:f>
      </x:c>
      <x:c r="DM185" s="166"/>
      <x:c r="DN185" s="172" t="str">
        <x:f>IF(DC185="","",IF(DM185="","",DM185-DL185*365/DO185))</x:f>
      </x:c>
      <x:c r="DO185" s="164"/>
      <x:c r="DP185" s="172" t="str">
        <x:f>IF(DC185="","",IFERROR(DH185*(DG185/DF185-1),0))</x:f>
      </x:c>
      <x:c r="DQ185" s="147"/>
      <x:c r="DR185" s="147"/>
      <x:c r="DS185" s="147"/>
      <x:c r="DT185" s="167"/>
      <x:c r="DU185" s="167"/>
      <x:c r="DV185" s="166"/>
      <x:c r="DW185" s="171" t="str">
        <x:f>IF(DQ185="","",IFERROR(F185*DV185/DT185,0))</x:f>
      </x:c>
      <x:c r="DX185" s="171" t="str">
        <x:f>IF(DQ185="","",F185*ABS(DV185))</x:f>
      </x:c>
      <x:c r="DY185" s="165"/>
      <x:c r="DZ185" s="172" t="str">
        <x:f>IF(DQ185="","",IF(DY185="","",IFERROR(DT185/DY185-1,0)))</x:f>
      </x:c>
      <x:c r="EA185" s="166"/>
      <x:c r="EB185" s="172" t="str">
        <x:f>IF(DQ185="","",IF(EA185="","",EA185-DZ185*365/EC185))</x:f>
      </x:c>
      <x:c r="EC185" s="164"/>
      <x:c r="ED185" s="172" t="str">
        <x:f>IF(DQ185="","",IFERROR(DV185*(DU185/DT185-1),0))</x:f>
      </x:c>
      <x:c r="EE185" s="147"/>
      <x:c r="EF185" s="147"/>
      <x:c r="EG185" s="147"/>
      <x:c r="EH185" s="167"/>
      <x:c r="EI185" s="167"/>
      <x:c r="EJ185" s="166"/>
      <x:c r="EK185" s="171" t="str">
        <x:f>IF(EE185="","",IFERROR(F185*EJ185/EH185,0))</x:f>
      </x:c>
      <x:c r="EL185" s="171" t="str">
        <x:f>IF(EE185="","",F185*ABS(EJ185))</x:f>
      </x:c>
      <x:c r="EM185" s="165"/>
      <x:c r="EN185" s="172" t="str">
        <x:f>IF(EE185="","",IF(EM185="","",IFERROR(EH185/EM185-1,0)))</x:f>
      </x:c>
      <x:c r="EO185" s="166"/>
      <x:c r="EP185" s="172" t="str">
        <x:f>IF(EE185="","",IF(EO185="","",EO185-EN185*365/EQ185))</x:f>
      </x:c>
      <x:c r="EQ185" s="164"/>
      <x:c r="ER185" s="172" t="str">
        <x:f>IF(EE185="","",IFERROR(EJ185*(EI185/EH185-1),0))</x:f>
      </x:c>
      <x:c r="ES185" s="147"/>
      <x:c r="ET185" s="147"/>
      <x:c r="EU185" s="147"/>
      <x:c r="EV185" s="167"/>
      <x:c r="EW185" s="167"/>
      <x:c r="EX185" s="166"/>
      <x:c r="EY185" s="171" t="str">
        <x:f>IF(ES185="","",IFERROR(F185*EX185/EV185,0))</x:f>
      </x:c>
      <x:c r="EZ185" s="171" t="str">
        <x:f>IF(ES185="","",F185*ABS(EX185))</x:f>
      </x:c>
      <x:c r="FA185" s="165"/>
      <x:c r="FB185" s="172" t="str">
        <x:f>IF(ES185="","",IF(FA185="","",IFERROR(EV185/FA185-1,0)))</x:f>
      </x:c>
      <x:c r="FC185" s="166"/>
      <x:c r="FD185" s="172" t="str">
        <x:f>IF(ES185="","",IF(FC185="","",FC185-FB185*365/FE185))</x:f>
      </x:c>
      <x:c r="FE185" s="164"/>
      <x:c r="FF185" s="172" t="str">
        <x:f>IF(ES185="","",IFERROR(EX185*(EW185/EV185-1),0))</x:f>
      </x:c>
      <x:c r="FG185" s="147"/>
      <x:c r="FH185" s="147"/>
      <x:c r="FI185" s="147"/>
      <x:c r="FJ185" s="167"/>
      <x:c r="FK185" s="167"/>
      <x:c r="FL185" s="166"/>
      <x:c r="FM185" s="171" t="str">
        <x:f>IF(FG185="","",IFERROR(F185*FL185/FJ185,0))</x:f>
      </x:c>
      <x:c r="FN185" s="171" t="str">
        <x:f>IF(FG185="","",F185*ABS(FL185))</x:f>
      </x:c>
      <x:c r="FO185" s="165"/>
      <x:c r="FP185" s="172" t="str">
        <x:f>IF(FG185="","",IF(FO185="","",IFERROR(FJ185/FO185-1,0)))</x:f>
      </x:c>
      <x:c r="FQ185" s="166"/>
      <x:c r="FR185" s="172" t="str">
        <x:f>IF(FG185="","",IF(FQ185="","",FQ185-FP185*365/FS185))</x:f>
      </x:c>
      <x:c r="FS185" s="164"/>
      <x:c r="FT185" s="172" t="str">
        <x:f>IF(FG185="","",IFERROR(FL185*(FK185/FJ185-1),0))</x:f>
      </x:c>
    </x:row>
    <x:row r="186" ht="18" customHeight="1">
      <x:c r="A186" s="163" t="n">
        <x:v>25477</x:v>
      </x:c>
      <x:c r="B186" s="163" t="n">
        <x:v>25478</x:v>
      </x:c>
      <x:c r="C186" s="170" t="n">
        <x:f>B186-A186</x:f>
        <x:v>1</x:v>
      </x:c>
      <x:c r="D186" s="163" t="n">
        <x:v>25477</x:v>
      </x:c>
      <x:c r="E186" s="147" t="str">
        <x:v>neutral</x:v>
      </x:c>
      <x:c r="F186" s="165" t="n">
        <x:v>1.8245341003563957</x:v>
      </x:c>
      <x:c r="G186" s="168" t="n">
        <x:v>0.016632978918962493</x:v>
      </x:c>
      <x:c r="H186" s="172" t="n">
        <x:f>SUM(AX186,BL186,BZ186,CN186,DB186,DP186,ED186,ER186,FF186,FT186)</x:f>
        <x:v>0.016632978918962493</x:v>
      </x:c>
      <x:c r="I186" s="174" t="n">
        <x:f>G186-H186</x:f>
        <x:v>0</x:v>
      </x:c>
      <x:c r="J186" s="171" t="n">
        <x:f>F186*(1+H186)</x:f>
        <x:v>1.854881537584552</x:v>
      </x:c>
      <x:c r="K186" s="169" t="n">
        <x:v>1.854881537584552</x:v>
      </x:c>
      <x:c r="L186" s="175" t="n">
        <x:f>K186-J186</x:f>
        <x:v>0</x:v>
      </x:c>
      <x:c r="M186" s="167" t="n">
        <x:v>1.863</x:v>
      </x:c>
      <x:c r="N186" s="167" t="n">
        <x:v>1.894</x:v>
      </x:c>
      <x:c r="O186" s="172" t="n">
        <x:f>IFERROR(N186/M186-1,0)</x:f>
        <x:v>0.016639828234030984</x:v>
      </x:c>
      <x:c r="P186" s="171" t="n">
        <x:f>IFERROR(AD186/AH186,0)</x:f>
        <x:v>1.917572607889331</x:v>
      </x:c>
      <x:c r="Q186" s="171" t="n">
        <x:f>IFERROR(AE186/AI186,0)</x:f>
        <x:v>1.9175596888017705</x:v>
      </x:c>
      <x:c r="R186" s="172" t="n">
        <x:f>IFERROR((Q186-P186)/(P186+S186),0)</x:f>
        <x:v>-0.000006737209066948196</x:v>
      </x:c>
      <x:c r="S186" s="172" t="n">
        <x:f>IFERROR(AF186/AH186,0)</x:f>
        <x:v>0</x:v>
      </x:c>
      <x:c r="T186" s="172" t="n">
        <x:f>IFERROR(AG186/AI186,0)</x:f>
        <x:v>0</x:v>
      </x:c>
      <x:c r="U186" s="172" t="n">
        <x:f>IFERROR((T186-S186)/(P186+S186),0)</x:f>
        <x:v>0</x:v>
      </x:c>
      <x:c r="V186" s="172" t="n">
        <x:f>R186+U186</x:f>
        <x:v>-0.000006737209066948196</x:v>
      </x:c>
      <x:c r="W186" s="172" t="n">
        <x:f>(1+O186)*(1+V186)-1</x:f>
        <x:v>0.016632978918962316</x:v>
      </x:c>
      <x:c r="X186" s="174" t="n">
        <x:f>G186-W186</x:f>
        <x:v>1.7694179454963432e-16</x:v>
      </x:c>
      <x:c r="Y186" s="172" t="n">
        <x:f>AX186</x:f>
        <x:v>0.016632978918962493</x:v>
      </x:c>
      <x:c r="Z186" s="172" t="str">
        <x:f>BL186</x:f>
      </x:c>
      <x:c r="AA186" s="172" t="n">
        <x:f>SUM(BZ186,CN186,DB186,DP186,ED186,ER186,FF186,FT186)</x:f>
        <x:v>0</x:v>
      </x:c>
      <x:c r="AB186" s="172" t="n">
        <x:f>SUM(Y186:AA186)</x:f>
        <x:v>0.016632978918962493</x:v>
      </x:c>
      <x:c r="AC186" s="174" t="n">
        <x:f>G186-AB186</x:f>
        <x:v>0</x:v>
      </x:c>
      <x:c r="AD186" s="169" t="n">
        <x:v>1.8245341003563962</x:v>
      </x:c>
      <x:c r="AE186" s="169" t="n">
        <x:v>1.8548815375845522</x:v>
      </x:c>
      <x:c r="AF186" s="169" t="n">
        <x:v>0</x:v>
      </x:c>
      <x:c r="AG186" s="169" t="n">
        <x:v>0</x:v>
      </x:c>
      <x:c r="AH186" s="171" t="n">
        <x:f>M186/$M$3</x:f>
        <x:v>0.9514811031664965</x:v>
      </x:c>
      <x:c r="AI186" s="171" t="n">
        <x:f>N186/$M$3</x:f>
        <x:v>0.9673135852911133</x:v>
      </x:c>
      <x:c r="AJ186" s="170" t="n">
        <x:f>IF(AK186&lt;&gt;"",1,0)+IF(AY186&lt;&gt;"",1,0)+IF(BM186&lt;&gt;"",1,0)+IF(CA186&lt;&gt;"",1,0)+IF(CO186&lt;&gt;"",1,0)+IF(DC186&lt;&gt;"",1,0)+IF(DQ186&lt;&gt;"",1,0)+IF(EE186&lt;&gt;"",1,0)+IF(ES186&lt;&gt;"",1,0)+IF(FG186&lt;&gt;"",1,0)</x:f>
        <x:v>1</x:v>
      </x:c>
      <x:c r="AK186" s="147" t="str">
        <x:v>Silver replicating holding (LBMA/SLV proxy)</x:v>
      </x:c>
      <x:c r="AL186" s="147" t="str">
        <x:v>Physical-backed proxy</x:v>
      </x:c>
      <x:c r="AM186" s="147" t="str">
        <x:v>Long</x:v>
      </x:c>
      <x:c r="AN186" s="167" t="n">
        <x:v>1.863</x:v>
      </x:c>
      <x:c r="AO186" s="167" t="n">
        <x:v>1.894</x:v>
      </x:c>
      <x:c r="AP186" s="166" t="n">
        <x:v>1</x:v>
      </x:c>
      <x:c r="AQ186" s="171" t="n">
        <x:f>IF(AK186="","",IFERROR(F186*AP186/AN186,0))</x:f>
        <x:v>0.9793527108729982</x:v>
      </x:c>
      <x:c r="AR186" s="171" t="n">
        <x:f>IF(AK186="","",F186*ABS(AP186))</x:f>
        <x:v>1.8245341003563957</x:v>
      </x:c>
      <x:c r="AS186" s="165"/>
      <x:c r="AT186" s="172" t="str">
        <x:f>IF(AK186="","",IF(AS186="","",IFERROR(AN186/AS186-1,0)))</x:f>
      </x:c>
      <x:c r="AU186" s="166"/>
      <x:c r="AV186" s="172" t="str">
        <x:f>IF(AK186="","",IF(AU186="","",AU186-AT186*365/AW186))</x:f>
      </x:c>
      <x:c r="AW186" s="164"/>
      <x:c r="AX186" s="173" t="n">
        <x:f>IF(AK186="","",IFERROR(AP186*(AO186/AN186-1-'Parameters'!$C$6*C186/365),0))</x:f>
        <x:v>0.016632978918962493</x:v>
      </x:c>
      <x:c r="AY186" s="147"/>
      <x:c r="AZ186" s="147"/>
      <x:c r="BA186" s="147"/>
      <x:c r="BB186" s="167"/>
      <x:c r="BC186" s="167"/>
      <x:c r="BD186" s="166"/>
      <x:c r="BE186" s="171" t="str">
        <x:f>IF(AY186="","",IFERROR(F186*BD186/BB186,0))</x:f>
      </x:c>
      <x:c r="BF186" s="171" t="str">
        <x:f>IF(AY186="","",F186*ABS(BD186))</x:f>
      </x:c>
      <x:c r="BG186" s="165"/>
      <x:c r="BH186" s="172" t="str">
        <x:f>IF(AY186="","",IF(BG186="","",IFERROR(BB186/BG186-1,0)))</x:f>
      </x:c>
      <x:c r="BI186" s="166"/>
      <x:c r="BJ186" s="172" t="str">
        <x:f>IF(AY186="","",IF(BI186="","",BI186-BH186*365/BK186))</x:f>
      </x:c>
      <x:c r="BK186" s="164"/>
      <x:c r="BL186" s="172" t="str">
        <x:f>IF(AY186="","",IFERROR(BD186*(BC186/BB186-1),0))</x:f>
      </x:c>
      <x:c r="BM186" s="147"/>
      <x:c r="BN186" s="147"/>
      <x:c r="BO186" s="147"/>
      <x:c r="BP186" s="167"/>
      <x:c r="BQ186" s="167"/>
      <x:c r="BR186" s="166"/>
      <x:c r="BS186" s="171" t="str">
        <x:f>IF(BM186="","",IFERROR(F186*BR186/BP186,0))</x:f>
      </x:c>
      <x:c r="BT186" s="171" t="str">
        <x:f>IF(BM186="","",F186*ABS(BR186))</x:f>
      </x:c>
      <x:c r="BU186" s="165"/>
      <x:c r="BV186" s="172" t="str">
        <x:f>IF(BM186="","",IF(BU186="","",IFERROR(BP186/BU186-1,0)))</x:f>
      </x:c>
      <x:c r="BW186" s="166"/>
      <x:c r="BX186" s="172" t="str">
        <x:f>IF(BM186="","",IF(BW186="","",BW186-BV186*365/BY186))</x:f>
      </x:c>
      <x:c r="BY186" s="164"/>
      <x:c r="BZ186" s="172" t="str">
        <x:f>IF(BM186="","",IFERROR(BR186*(BQ186/BP186-1),0))</x:f>
      </x:c>
      <x:c r="CA186" s="147"/>
      <x:c r="CB186" s="147"/>
      <x:c r="CC186" s="147"/>
      <x:c r="CD186" s="167"/>
      <x:c r="CE186" s="167"/>
      <x:c r="CF186" s="166"/>
      <x:c r="CG186" s="171" t="str">
        <x:f>IF(CA186="","",IFERROR(F186*CF186/CD186,0))</x:f>
      </x:c>
      <x:c r="CH186" s="171" t="str">
        <x:f>IF(CA186="","",F186*ABS(CF186))</x:f>
      </x:c>
      <x:c r="CI186" s="165"/>
      <x:c r="CJ186" s="172" t="str">
        <x:f>IF(CA186="","",IF(CI186="","",IFERROR(CD186/CI186-1,0)))</x:f>
      </x:c>
      <x:c r="CK186" s="166"/>
      <x:c r="CL186" s="172" t="str">
        <x:f>IF(CA186="","",IF(CK186="","",CK186-CJ186*365/CM186))</x:f>
      </x:c>
      <x:c r="CM186" s="164"/>
      <x:c r="CN186" s="172" t="str">
        <x:f>IF(CA186="","",IFERROR(CF186*(CE186/CD186-1),0))</x:f>
      </x:c>
      <x:c r="CO186" s="147"/>
      <x:c r="CP186" s="147"/>
      <x:c r="CQ186" s="147"/>
      <x:c r="CR186" s="167"/>
      <x:c r="CS186" s="167"/>
      <x:c r="CT186" s="166"/>
      <x:c r="CU186" s="171" t="str">
        <x:f>IF(CO186="","",IFERROR(F186*CT186/CR186,0))</x:f>
      </x:c>
      <x:c r="CV186" s="171" t="str">
        <x:f>IF(CO186="","",F186*ABS(CT186))</x:f>
      </x:c>
      <x:c r="CW186" s="165"/>
      <x:c r="CX186" s="172" t="str">
        <x:f>IF(CO186="","",IF(CW186="","",IFERROR(CR186/CW186-1,0)))</x:f>
      </x:c>
      <x:c r="CY186" s="166"/>
      <x:c r="CZ186" s="172" t="str">
        <x:f>IF(CO186="","",IF(CY186="","",CY186-CX186*365/DA186))</x:f>
      </x:c>
      <x:c r="DA186" s="164"/>
      <x:c r="DB186" s="172" t="str">
        <x:f>IF(CO186="","",IFERROR(CT186*(CS186/CR186-1),0))</x:f>
      </x:c>
      <x:c r="DC186" s="147"/>
      <x:c r="DD186" s="147"/>
      <x:c r="DE186" s="147"/>
      <x:c r="DF186" s="167"/>
      <x:c r="DG186" s="167"/>
      <x:c r="DH186" s="166"/>
      <x:c r="DI186" s="171" t="str">
        <x:f>IF(DC186="","",IFERROR(F186*DH186/DF186,0))</x:f>
      </x:c>
      <x:c r="DJ186" s="171" t="str">
        <x:f>IF(DC186="","",F186*ABS(DH186))</x:f>
      </x:c>
      <x:c r="DK186" s="165"/>
      <x:c r="DL186" s="172" t="str">
        <x:f>IF(DC186="","",IF(DK186="","",IFERROR(DF186/DK186-1,0)))</x:f>
      </x:c>
      <x:c r="DM186" s="166"/>
      <x:c r="DN186" s="172" t="str">
        <x:f>IF(DC186="","",IF(DM186="","",DM186-DL186*365/DO186))</x:f>
      </x:c>
      <x:c r="DO186" s="164"/>
      <x:c r="DP186" s="172" t="str">
        <x:f>IF(DC186="","",IFERROR(DH186*(DG186/DF186-1),0))</x:f>
      </x:c>
      <x:c r="DQ186" s="147"/>
      <x:c r="DR186" s="147"/>
      <x:c r="DS186" s="147"/>
      <x:c r="DT186" s="167"/>
      <x:c r="DU186" s="167"/>
      <x:c r="DV186" s="166"/>
      <x:c r="DW186" s="171" t="str">
        <x:f>IF(DQ186="","",IFERROR(F186*DV186/DT186,0))</x:f>
      </x:c>
      <x:c r="DX186" s="171" t="str">
        <x:f>IF(DQ186="","",F186*ABS(DV186))</x:f>
      </x:c>
      <x:c r="DY186" s="165"/>
      <x:c r="DZ186" s="172" t="str">
        <x:f>IF(DQ186="","",IF(DY186="","",IFERROR(DT186/DY186-1,0)))</x:f>
      </x:c>
      <x:c r="EA186" s="166"/>
      <x:c r="EB186" s="172" t="str">
        <x:f>IF(DQ186="","",IF(EA186="","",EA186-DZ186*365/EC186))</x:f>
      </x:c>
      <x:c r="EC186" s="164"/>
      <x:c r="ED186" s="172" t="str">
        <x:f>IF(DQ186="","",IFERROR(DV186*(DU186/DT186-1),0))</x:f>
      </x:c>
      <x:c r="EE186" s="147"/>
      <x:c r="EF186" s="147"/>
      <x:c r="EG186" s="147"/>
      <x:c r="EH186" s="167"/>
      <x:c r="EI186" s="167"/>
      <x:c r="EJ186" s="166"/>
      <x:c r="EK186" s="171" t="str">
        <x:f>IF(EE186="","",IFERROR(F186*EJ186/EH186,0))</x:f>
      </x:c>
      <x:c r="EL186" s="171" t="str">
        <x:f>IF(EE186="","",F186*ABS(EJ186))</x:f>
      </x:c>
      <x:c r="EM186" s="165"/>
      <x:c r="EN186" s="172" t="str">
        <x:f>IF(EE186="","",IF(EM186="","",IFERROR(EH186/EM186-1,0)))</x:f>
      </x:c>
      <x:c r="EO186" s="166"/>
      <x:c r="EP186" s="172" t="str">
        <x:f>IF(EE186="","",IF(EO186="","",EO186-EN186*365/EQ186))</x:f>
      </x:c>
      <x:c r="EQ186" s="164"/>
      <x:c r="ER186" s="172" t="str">
        <x:f>IF(EE186="","",IFERROR(EJ186*(EI186/EH186-1),0))</x:f>
      </x:c>
      <x:c r="ES186" s="147"/>
      <x:c r="ET186" s="147"/>
      <x:c r="EU186" s="147"/>
      <x:c r="EV186" s="167"/>
      <x:c r="EW186" s="167"/>
      <x:c r="EX186" s="166"/>
      <x:c r="EY186" s="171" t="str">
        <x:f>IF(ES186="","",IFERROR(F186*EX186/EV186,0))</x:f>
      </x:c>
      <x:c r="EZ186" s="171" t="str">
        <x:f>IF(ES186="","",F186*ABS(EX186))</x:f>
      </x:c>
      <x:c r="FA186" s="165"/>
      <x:c r="FB186" s="172" t="str">
        <x:f>IF(ES186="","",IF(FA186="","",IFERROR(EV186/FA186-1,0)))</x:f>
      </x:c>
      <x:c r="FC186" s="166"/>
      <x:c r="FD186" s="172" t="str">
        <x:f>IF(ES186="","",IF(FC186="","",FC186-FB186*365/FE186))</x:f>
      </x:c>
      <x:c r="FE186" s="164"/>
      <x:c r="FF186" s="172" t="str">
        <x:f>IF(ES186="","",IFERROR(EX186*(EW186/EV186-1),0))</x:f>
      </x:c>
      <x:c r="FG186" s="147"/>
      <x:c r="FH186" s="147"/>
      <x:c r="FI186" s="147"/>
      <x:c r="FJ186" s="167"/>
      <x:c r="FK186" s="167"/>
      <x:c r="FL186" s="166"/>
      <x:c r="FM186" s="171" t="str">
        <x:f>IF(FG186="","",IFERROR(F186*FL186/FJ186,0))</x:f>
      </x:c>
      <x:c r="FN186" s="171" t="str">
        <x:f>IF(FG186="","",F186*ABS(FL186))</x:f>
      </x:c>
      <x:c r="FO186" s="165"/>
      <x:c r="FP186" s="172" t="str">
        <x:f>IF(FG186="","",IF(FO186="","",IFERROR(FJ186/FO186-1,0)))</x:f>
      </x:c>
      <x:c r="FQ186" s="166"/>
      <x:c r="FR186" s="172" t="str">
        <x:f>IF(FG186="","",IF(FQ186="","",FQ186-FP186*365/FS186))</x:f>
      </x:c>
      <x:c r="FS186" s="164"/>
      <x:c r="FT186" s="172" t="str">
        <x:f>IF(FG186="","",IFERROR(FL186*(FK186/FJ186-1),0))</x:f>
      </x:c>
    </x:row>
    <x:row r="187" ht="18" customHeight="1">
      <x:c r="A187" s="163" t="n">
        <x:v>25478</x:v>
      </x:c>
      <x:c r="B187" s="163" t="n">
        <x:v>25479</x:v>
      </x:c>
      <x:c r="C187" s="170" t="n">
        <x:f>B187-A187</x:f>
        <x:v>1</x:v>
      </x:c>
      <x:c r="D187" s="163" t="n">
        <x:v>25478</x:v>
      </x:c>
      <x:c r="E187" s="147" t="str">
        <x:v>positive</x:v>
      </x:c>
      <x:c r="F187" s="165" t="n">
        <x:v>1.854881537584552</x:v>
      </x:c>
      <x:c r="G187" s="168" t="n">
        <x:v>-0.01348641877453021</x:v>
      </x:c>
      <x:c r="H187" s="172" t="n">
        <x:f>SUM(AX187,BL187,BZ187,CN187,DB187,DP187,ED187,ER187,FF187,FT187)</x:f>
        <x:v>-0.013486418774530199</x:v>
      </x:c>
      <x:c r="I187" s="174" t="n">
        <x:f>G187-H187</x:f>
        <x:v>-1.214306433183765e-17</x:v>
      </x:c>
      <x:c r="J187" s="171" t="n">
        <x:f>F187*(1+H187)</x:f>
        <x:v>1.8298658283915423</x:v>
      </x:c>
      <x:c r="K187" s="169" t="n">
        <x:v>1.8298658283915423</x:v>
      </x:c>
      <x:c r="L187" s="175" t="n">
        <x:f>K187-J187</x:f>
        <x:v>0</x:v>
      </x:c>
      <x:c r="M187" s="167" t="n">
        <x:v>1.894</x:v>
      </x:c>
      <x:c r="N187" s="167" t="n">
        <x:v>1.87</x:v>
      </x:c>
      <x:c r="O187" s="172" t="n">
        <x:f>IFERROR(N187/M187-1,0)</x:f>
        <x:v>-0.012671594508975592</x:v>
      </x:c>
      <x:c r="P187" s="171" t="n">
        <x:f>IFERROR(AD187/AH187,0)</x:f>
        <x:v>1.9175596888017705</x:v>
      </x:c>
      <x:c r="Q187" s="171" t="n">
        <x:f>IFERROR(AE187/AI187,0)</x:f>
        <x:v>1.915977161492321</x:v>
      </x:c>
      <x:c r="R187" s="172" t="n">
        <x:f>IFERROR((Q187-P187)/(P187+S187),0)</x:f>
        <x:v>-0.0008252819031873318</x:v>
      </x:c>
      <x:c r="S187" s="172" t="n">
        <x:f>IFERROR(AF187/AH187,0)</x:f>
        <x:v>0</x:v>
      </x:c>
      <x:c r="T187" s="172" t="n">
        <x:f>IFERROR(AG187/AI187,0)</x:f>
        <x:v>0</x:v>
      </x:c>
      <x:c r="U187" s="172" t="n">
        <x:f>IFERROR((T187-S187)/(P187+S187),0)</x:f>
        <x:v>0</x:v>
      </x:c>
      <x:c r="V187" s="172" t="n">
        <x:f>R187+U187</x:f>
        <x:v>-0.0008252819031873318</x:v>
      </x:c>
      <x:c r="W187" s="172" t="n">
        <x:f>(1+O187)*(1+V187)-1</x:f>
        <x:v>-0.013486418774530162</x:v>
      </x:c>
      <x:c r="X187" s="174" t="n">
        <x:f>G187-W187</x:f>
        <x:v>-4.85722573273506e-17</x:v>
      </x:c>
      <x:c r="Y187" s="172" t="n">
        <x:f>AX187</x:f>
        <x:v>-0.01002600675882465</x:v>
      </x:c>
      <x:c r="Z187" s="172" t="n">
        <x:f>BL187</x:f>
        <x:v>0.000040580699672965894</x:v>
      </x:c>
      <x:c r="AA187" s="172" t="n">
        <x:f>SUM(BZ187,CN187,DB187,DP187,ED187,ER187,FF187,FT187)</x:f>
        <x:v>-0.003500992715378515</x:v>
      </x:c>
      <x:c r="AB187" s="172" t="n">
        <x:f>SUM(Y187:AA187)</x:f>
        <x:v>-0.013486418774530199</x:v>
      </x:c>
      <x:c r="AC187" s="174" t="n">
        <x:f>G187-AB187</x:f>
        <x:v>-1.214306433183765e-17</x:v>
      </x:c>
      <x:c r="AD187" s="169" t="n">
        <x:v>1.8548815375845522</x:v>
      </x:c>
      <x:c r="AE187" s="169" t="n">
        <x:v>1.8298658283915425</x:v>
      </x:c>
      <x:c r="AF187" s="169" t="n">
        <x:v>0</x:v>
      </x:c>
      <x:c r="AG187" s="169" t="n">
        <x:v>0</x:v>
      </x:c>
      <x:c r="AH187" s="171" t="n">
        <x:f>M187/$M$3</x:f>
        <x:v>0.9673135852911133</x:v>
      </x:c>
      <x:c r="AI187" s="171" t="n">
        <x:f>N187/$M$3</x:f>
        <x:v>0.955056179775281</x:v>
      </x:c>
      <x:c r="AJ187" s="170" t="n">
        <x:f>IF(AK187&lt;&gt;"",1,0)+IF(AY187&lt;&gt;"",1,0)+IF(BM187&lt;&gt;"",1,0)+IF(CA187&lt;&gt;"",1,0)+IF(CO187&lt;&gt;"",1,0)+IF(DC187&lt;&gt;"",1,0)+IF(DQ187&lt;&gt;"",1,0)+IF(EE187&lt;&gt;"",1,0)+IF(ES187&lt;&gt;"",1,0)+IF(FG187&lt;&gt;"",1,0)</x:f>
        <x:v>4</x:v>
      </x:c>
      <x:c r="AK187" s="147" t="str">
        <x:v>Silver replicating holding (LBMA/SLV proxy)</x:v>
      </x:c>
      <x:c r="AL187" s="147" t="str">
        <x:v>Physical-backed proxy</x:v>
      </x:c>
      <x:c r="AM187" s="147" t="str">
        <x:v>Long</x:v>
      </x:c>
      <x:c r="AN187" s="167" t="n">
        <x:v>1.894</x:v>
      </x:c>
      <x:c r="AO187" s="167" t="n">
        <x:v>1.87</x:v>
      </x:c>
      <x:c r="AP187" s="166" t="n">
        <x:v>0.7907915906691</x:v>
      </x:c>
      <x:c r="AQ187" s="171" t="n">
        <x:f>IF(AK187="","",IFERROR(F187*AP187/AN187,0))</x:f>
        <x:v>0.7744586703322248</x:v>
      </x:c>
      <x:c r="AR187" s="171" t="n">
        <x:f>IF(AK187="","",F187*ABS(AP187))</x:f>
        <x:v>1.4668247216092338</x:v>
      </x:c>
      <x:c r="AS187" s="165"/>
      <x:c r="AT187" s="172" t="str">
        <x:f>IF(AK187="","",IF(AS187="","",IFERROR(AN187/AS187-1,0)))</x:f>
      </x:c>
      <x:c r="AU187" s="166"/>
      <x:c r="AV187" s="172" t="str">
        <x:f>IF(AK187="","",IF(AU187="","",AU187-AT187*365/AW187))</x:f>
      </x:c>
      <x:c r="AW187" s="164"/>
      <x:c r="AX187" s="173" t="n">
        <x:f>IF(AK187="","",IFERROR(AP187*(AO187/AN187-1-'Parameters'!$C$6*C187/365),0))</x:f>
        <x:v>-0.01002600675882465</x:v>
      </x:c>
      <x:c r="AY187" s="147" t="str">
        <x:v>Matched-maturity Treasury collateral</x:v>
      </x:c>
      <x:c r="AZ187" s="147" t="str">
        <x:v>Treasury</x:v>
      </x:c>
      <x:c r="BA187" s="147" t="str">
        <x:v>Long</x:v>
      </x:c>
      <x:c r="BB187" s="167" t="n">
        <x:v>104.9336989964567</x:v>
      </x:c>
      <x:c r="BC187" s="167" t="n">
        <x:v>104.95405325916616</x:v>
      </x:c>
      <x:c r="BD187" s="166" t="n">
        <x:v>0.2092084093309001</x:v>
      </x:c>
      <x:c r="BE187" s="171" t="n">
        <x:f>IF(AY187="","",IFERROR(F187*BD187/BB187,0))</x:f>
        <x:v>0.00369811433015834</x:v>
      </x:c>
      <x:c r="BF187" s="171" t="n">
        <x:f>IF(AY187="","",F187*ABS(BD187))</x:f>
        <x:v>0.3880568159753183</x:v>
      </x:c>
      <x:c r="BG187" s="165"/>
      <x:c r="BH187" s="172" t="str">
        <x:f>IF(AY187="","",IF(BG187="","",IFERROR(BB187/BG187-1,0)))</x:f>
      </x:c>
      <x:c r="BI187" s="166"/>
      <x:c r="BJ187" s="172" t="str">
        <x:f>IF(AY187="","",IF(BI187="","",BI187-BH187*365/BK187))</x:f>
      </x:c>
      <x:c r="BK187" s="164" t="n">
        <x:v>88.33376341538444</x:v>
      </x:c>
      <x:c r="BL187" s="172" t="n">
        <x:f>IF(AY187="","",IFERROR(BD187*(BC187/BB187-1),0))</x:f>
        <x:v>0.000040580699672965894</x:v>
      </x:c>
      <x:c r="BM187" s="147" t="str">
        <x:v>SI69Z</x:v>
      </x:c>
      <x:c r="BN187" s="147" t="str">
        <x:v>Silver future (regular)</x:v>
      </x:c>
      <x:c r="BO187" s="147" t="str">
        <x:v>Long</x:v>
      </x:c>
      <x:c r="BP187" s="167" t="n">
        <x:v>1.912</x:v>
      </x:c>
      <x:c r="BQ187" s="167" t="n">
        <x:v>1.88</x:v>
      </x:c>
      <x:c r="BR187" s="166" t="n">
        <x:v>0.20688087222338583</x:v>
      </x:c>
      <x:c r="BS187" s="171" t="n">
        <x:f>IF(BM187="","",IFERROR(F187*BR187/BP187,0))</x:f>
        <x:v>0.20070058073564181</x:v>
      </x:c>
      <x:c r="BT187" s="171" t="n">
        <x:f>IF(BM187="","",F187*ABS(BR187))</x:f>
        <x:v>0.38373951036654713</x:v>
      </x:c>
      <x:c r="BU187" s="165" t="n">
        <x:v>1.894</x:v>
      </x:c>
      <x:c r="BV187" s="172" t="n">
        <x:f>IF(BM187="","",IF(BU187="","",IFERROR(BP187/BU187-1,0)))</x:f>
        <x:v>0.009503695881731833</x:v>
      </x:c>
      <x:c r="BW187" s="166" t="n">
        <x:v>0.0708</x:v>
      </x:c>
      <x:c r="BX187" s="172" t="n">
        <x:f>IF(BM187="","",IF(BW187="","",BW187-BV187*365/BY187))</x:f>
        <x:v>0.03138126139963501</x:v>
      </x:c>
      <x:c r="BY187" s="164" t="n">
        <x:v>88</x:v>
      </x:c>
      <x:c r="BZ187" s="172" t="n">
        <x:f>IF(BM187="","",IFERROR(BR187*(BQ187/BP187-1),0))</x:f>
        <x:v>-0.003462441376123621</x:v>
      </x:c>
      <x:c r="CA187" s="147" t="str">
        <x:v>SI70F</x:v>
      </x:c>
      <x:c r="CB187" s="147" t="str">
        <x:v>Silver future (regular)</x:v>
      </x:c>
      <x:c r="CC187" s="147" t="str">
        <x:v>Long</x:v>
      </x:c>
      <x:c r="CD187" s="167" t="n">
        <x:v>1.932</x:v>
      </x:c>
      <x:c r="CE187" s="167" t="n">
        <x:v>1.9</x:v>
      </x:c>
      <x:c r="CF187" s="166" t="n">
        <x:v>0.0023275371075142308</x:v>
      </x:c>
      <x:c r="CG187" s="171" t="n">
        <x:f>IF(CA187="","",IFERROR(F187*CF187/CD187,0))</x:f>
        <x:v>0.0022346302322831767</x:v>
      </x:c>
      <x:c r="CH187" s="171" t="n">
        <x:f>IF(CA187="","",F187*ABS(CF187))</x:f>
        <x:v>0.004317305608771097</x:v>
      </x:c>
      <x:c r="CI187" s="165" t="n">
        <x:v>1.894</x:v>
      </x:c>
      <x:c r="CJ187" s="172" t="n">
        <x:f>IF(CA187="","",IF(CI187="","",IFERROR(CD187/CI187-1,0)))</x:f>
        <x:v>0.020063357972544882</x:v>
      </x:c>
      <x:c r="CK187" s="166" t="n">
        <x:v>0.07145274725274725</x:v>
      </x:c>
      <x:c r="CL187" s="172" t="n">
        <x:f>IF(CA187="","",IF(CK187="","",CK187-CJ187*365/CM187))</x:f>
        <x:v>0.009392360303773682</x:v>
      </x:c>
      <x:c r="CM187" s="164" t="n">
        <x:v>118</x:v>
      </x:c>
      <x:c r="CN187" s="172" t="n">
        <x:f>IF(CA187="","",IFERROR(CF187*(CE187/CD187-1),0))</x:f>
        <x:v>-0.00003855133925489408</x:v>
      </x:c>
      <x:c r="CO187" s="147"/>
      <x:c r="CP187" s="147"/>
      <x:c r="CQ187" s="147"/>
      <x:c r="CR187" s="167"/>
      <x:c r="CS187" s="167"/>
      <x:c r="CT187" s="166"/>
      <x:c r="CU187" s="171" t="str">
        <x:f>IF(CO187="","",IFERROR(F187*CT187/CR187,0))</x:f>
      </x:c>
      <x:c r="CV187" s="171" t="str">
        <x:f>IF(CO187="","",F187*ABS(CT187))</x:f>
      </x:c>
      <x:c r="CW187" s="165"/>
      <x:c r="CX187" s="172" t="str">
        <x:f>IF(CO187="","",IF(CW187="","",IFERROR(CR187/CW187-1,0)))</x:f>
      </x:c>
      <x:c r="CY187" s="166"/>
      <x:c r="CZ187" s="172" t="str">
        <x:f>IF(CO187="","",IF(CY187="","",CY187-CX187*365/DA187))</x:f>
      </x:c>
      <x:c r="DA187" s="164"/>
      <x:c r="DB187" s="172" t="str">
        <x:f>IF(CO187="","",IFERROR(CT187*(CS187/CR187-1),0))</x:f>
      </x:c>
      <x:c r="DC187" s="147"/>
      <x:c r="DD187" s="147"/>
      <x:c r="DE187" s="147"/>
      <x:c r="DF187" s="167"/>
      <x:c r="DG187" s="167"/>
      <x:c r="DH187" s="166"/>
      <x:c r="DI187" s="171" t="str">
        <x:f>IF(DC187="","",IFERROR(F187*DH187/DF187,0))</x:f>
      </x:c>
      <x:c r="DJ187" s="171" t="str">
        <x:f>IF(DC187="","",F187*ABS(DH187))</x:f>
      </x:c>
      <x:c r="DK187" s="165"/>
      <x:c r="DL187" s="172" t="str">
        <x:f>IF(DC187="","",IF(DK187="","",IFERROR(DF187/DK187-1,0)))</x:f>
      </x:c>
      <x:c r="DM187" s="166"/>
      <x:c r="DN187" s="172" t="str">
        <x:f>IF(DC187="","",IF(DM187="","",DM187-DL187*365/DO187))</x:f>
      </x:c>
      <x:c r="DO187" s="164"/>
      <x:c r="DP187" s="172" t="str">
        <x:f>IF(DC187="","",IFERROR(DH187*(DG187/DF187-1),0))</x:f>
      </x:c>
      <x:c r="DQ187" s="147"/>
      <x:c r="DR187" s="147"/>
      <x:c r="DS187" s="147"/>
      <x:c r="DT187" s="167"/>
      <x:c r="DU187" s="167"/>
      <x:c r="DV187" s="166"/>
      <x:c r="DW187" s="171" t="str">
        <x:f>IF(DQ187="","",IFERROR(F187*DV187/DT187,0))</x:f>
      </x:c>
      <x:c r="DX187" s="171" t="str">
        <x:f>IF(DQ187="","",F187*ABS(DV187))</x:f>
      </x:c>
      <x:c r="DY187" s="165"/>
      <x:c r="DZ187" s="172" t="str">
        <x:f>IF(DQ187="","",IF(DY187="","",IFERROR(DT187/DY187-1,0)))</x:f>
      </x:c>
      <x:c r="EA187" s="166"/>
      <x:c r="EB187" s="172" t="str">
        <x:f>IF(DQ187="","",IF(EA187="","",EA187-DZ187*365/EC187))</x:f>
      </x:c>
      <x:c r="EC187" s="164"/>
      <x:c r="ED187" s="172" t="str">
        <x:f>IF(DQ187="","",IFERROR(DV187*(DU187/DT187-1),0))</x:f>
      </x:c>
      <x:c r="EE187" s="147"/>
      <x:c r="EF187" s="147"/>
      <x:c r="EG187" s="147"/>
      <x:c r="EH187" s="167"/>
      <x:c r="EI187" s="167"/>
      <x:c r="EJ187" s="166"/>
      <x:c r="EK187" s="171" t="str">
        <x:f>IF(EE187="","",IFERROR(F187*EJ187/EH187,0))</x:f>
      </x:c>
      <x:c r="EL187" s="171" t="str">
        <x:f>IF(EE187="","",F187*ABS(EJ187))</x:f>
      </x:c>
      <x:c r="EM187" s="165"/>
      <x:c r="EN187" s="172" t="str">
        <x:f>IF(EE187="","",IF(EM187="","",IFERROR(EH187/EM187-1,0)))</x:f>
      </x:c>
      <x:c r="EO187" s="166"/>
      <x:c r="EP187" s="172" t="str">
        <x:f>IF(EE187="","",IF(EO187="","",EO187-EN187*365/EQ187))</x:f>
      </x:c>
      <x:c r="EQ187" s="164"/>
      <x:c r="ER187" s="172" t="str">
        <x:f>IF(EE187="","",IFERROR(EJ187*(EI187/EH187-1),0))</x:f>
      </x:c>
      <x:c r="ES187" s="147"/>
      <x:c r="ET187" s="147"/>
      <x:c r="EU187" s="147"/>
      <x:c r="EV187" s="167"/>
      <x:c r="EW187" s="167"/>
      <x:c r="EX187" s="166"/>
      <x:c r="EY187" s="171" t="str">
        <x:f>IF(ES187="","",IFERROR(F187*EX187/EV187,0))</x:f>
      </x:c>
      <x:c r="EZ187" s="171" t="str">
        <x:f>IF(ES187="","",F187*ABS(EX187))</x:f>
      </x:c>
      <x:c r="FA187" s="165"/>
      <x:c r="FB187" s="172" t="str">
        <x:f>IF(ES187="","",IF(FA187="","",IFERROR(EV187/FA187-1,0)))</x:f>
      </x:c>
      <x:c r="FC187" s="166"/>
      <x:c r="FD187" s="172" t="str">
        <x:f>IF(ES187="","",IF(FC187="","",FC187-FB187*365/FE187))</x:f>
      </x:c>
      <x:c r="FE187" s="164"/>
      <x:c r="FF187" s="172" t="str">
        <x:f>IF(ES187="","",IFERROR(EX187*(EW187/EV187-1),0))</x:f>
      </x:c>
      <x:c r="FG187" s="147"/>
      <x:c r="FH187" s="147"/>
      <x:c r="FI187" s="147"/>
      <x:c r="FJ187" s="167"/>
      <x:c r="FK187" s="167"/>
      <x:c r="FL187" s="166"/>
      <x:c r="FM187" s="171" t="str">
        <x:f>IF(FG187="","",IFERROR(F187*FL187/FJ187,0))</x:f>
      </x:c>
      <x:c r="FN187" s="171" t="str">
        <x:f>IF(FG187="","",F187*ABS(FL187))</x:f>
      </x:c>
      <x:c r="FO187" s="165"/>
      <x:c r="FP187" s="172" t="str">
        <x:f>IF(FG187="","",IF(FO187="","",IFERROR(FJ187/FO187-1,0)))</x:f>
      </x:c>
      <x:c r="FQ187" s="166"/>
      <x:c r="FR187" s="172" t="str">
        <x:f>IF(FG187="","",IF(FQ187="","",FQ187-FP187*365/FS187))</x:f>
      </x:c>
      <x:c r="FS187" s="164"/>
      <x:c r="FT187" s="172" t="str">
        <x:f>IF(FG187="","",IFERROR(FL187*(FK187/FJ187-1),0))</x:f>
      </x:c>
    </x:row>
    <x:row r="188" ht="18" customHeight="1">
      <x:c r="A188" s="163" t="n">
        <x:v>25479</x:v>
      </x:c>
      <x:c r="B188" s="163" t="n">
        <x:v>25482</x:v>
      </x:c>
      <x:c r="C188" s="170" t="n">
        <x:f>B188-A188</x:f>
        <x:v>3</x:v>
      </x:c>
      <x:c r="D188" s="163" t="n">
        <x:v>25479</x:v>
      </x:c>
      <x:c r="E188" s="147" t="str">
        <x:v>positive</x:v>
      </x:c>
      <x:c r="F188" s="165" t="n">
        <x:v>1.8298658283915423</x:v>
      </x:c>
      <x:c r="G188" s="168" t="n">
        <x:v>-0.023687188189487954</x:v>
      </x:c>
      <x:c r="H188" s="172" t="n">
        <x:f>SUM(AX188,BL188,BZ188,CN188,DB188,DP188,ED188,ER188,FF188,FT188)</x:f>
        <x:v>-0.02368718818948792</x:v>
      </x:c>
      <x:c r="I188" s="174" t="n">
        <x:f>G188-H188</x:f>
        <x:v>-3.469446951953614e-17</x:v>
      </x:c>
      <x:c r="J188" s="171" t="n">
        <x:f>F188*(1+H188)</x:f>
        <x:v>1.7865214521529187</x:v>
      </x:c>
      <x:c r="K188" s="169" t="n">
        <x:v>1.7865214521529185</x:v>
      </x:c>
      <x:c r="L188" s="175" t="n">
        <x:f>K188-J188</x:f>
        <x:v>-2.220446049250313e-16</x:v>
      </x:c>
      <x:c r="M188" s="167" t="n">
        <x:v>1.87</x:v>
      </x:c>
      <x:c r="N188" s="167" t="n">
        <x:v>1.825</x:v>
      </x:c>
      <x:c r="O188" s="172" t="n">
        <x:f>IFERROR(N188/M188-1,0)</x:f>
        <x:v>-0.02406417112299475</x:v>
      </x:c>
      <x:c r="P188" s="171" t="n">
        <x:f>IFERROR(AD188/AH188,0)</x:f>
        <x:v>1.915977161492321</x:v>
      </x:c>
      <x:c r="Q188" s="171" t="n">
        <x:f>IFERROR(AE188/AI188,0)</x:f>
        <x:v>1.9167172620906385</x:v>
      </x:c>
      <x:c r="R188" s="172" t="n">
        <x:f>IFERROR((Q188-P188)/(P188+S188),0)</x:f>
        <x:v>0.00038627840310016413</x:v>
      </x:c>
      <x:c r="S188" s="172" t="n">
        <x:f>IFERROR(AF188/AH188,0)</x:f>
        <x:v>0</x:v>
      </x:c>
      <x:c r="T188" s="172" t="n">
        <x:f>IFERROR(AG188/AI188,0)</x:f>
        <x:v>0</x:v>
      </x:c>
      <x:c r="U188" s="172" t="n">
        <x:f>IFERROR((T188-S188)/(P188+S188),0)</x:f>
        <x:v>0</x:v>
      </x:c>
      <x:c r="V188" s="172" t="n">
        <x:f>R188+U188</x:f>
        <x:v>0.00038627840310016413</x:v>
      </x:c>
      <x:c r="W188" s="172" t="n">
        <x:f>(1+O188)*(1+V188)-1</x:f>
        <x:v>-0.023687188189487896</x:v>
      </x:c>
      <x:c r="X188" s="174" t="n">
        <x:f>G188-W188</x:f>
        <x:v>-5.898059818321144e-17</x:v>
      </x:c>
      <x:c r="Y188" s="172" t="n">
        <x:f>AX188</x:f>
        <x:v>-0.01644750385048731</x:v>
      </x:c>
      <x:c r="Z188" s="172" t="n">
        <x:f>BL188</x:f>
        <x:v>0.0001824399206155095</x:v>
      </x:c>
      <x:c r="AA188" s="172" t="n">
        <x:f>SUM(BZ188,CN188,DB188,DP188,ED188,ER188,FF188,FT188)</x:f>
        <x:v>-0.007422124259616121</x:v>
      </x:c>
      <x:c r="AB188" s="172" t="n">
        <x:f>SUM(Y188:AA188)</x:f>
        <x:v>-0.023687188189487923</x:v>
      </x:c>
      <x:c r="AC188" s="174" t="n">
        <x:f>G188-AB188</x:f>
        <x:v>-3.122502256758253e-17</x:v>
      </x:c>
      <x:c r="AD188" s="169" t="n">
        <x:v>1.8298658283915425</x:v>
      </x:c>
      <x:c r="AE188" s="169" t="n">
        <x:v>1.786521452152919</x:v>
      </x:c>
      <x:c r="AF188" s="169" t="n">
        <x:v>0</x:v>
      </x:c>
      <x:c r="AG188" s="169" t="n">
        <x:v>0</x:v>
      </x:c>
      <x:c r="AH188" s="171" t="n">
        <x:f>M188/$M$3</x:f>
        <x:v>0.955056179775281</x:v>
      </x:c>
      <x:c r="AI188" s="171" t="n">
        <x:f>N188/$M$3</x:f>
        <x:v>0.932073544433095</x:v>
      </x:c>
      <x:c r="AJ188" s="170" t="n">
        <x:f>IF(AK188&lt;&gt;"",1,0)+IF(AY188&lt;&gt;"",1,0)+IF(BM188&lt;&gt;"",1,0)+IF(CA188&lt;&gt;"",1,0)+IF(CO188&lt;&gt;"",1,0)+IF(DC188&lt;&gt;"",1,0)+IF(DQ188&lt;&gt;"",1,0)+IF(EE188&lt;&gt;"",1,0)+IF(ES188&lt;&gt;"",1,0)+IF(FG188&lt;&gt;"",1,0)</x:f>
        <x:v>4</x:v>
      </x:c>
      <x:c r="AK188" s="147" t="str">
        <x:v>Silver replicating holding (LBMA/SLV proxy)</x:v>
      </x:c>
      <x:c r="AL188" s="147" t="str">
        <x:v>Physical-backed proxy</x:v>
      </x:c>
      <x:c r="AM188" s="147" t="str">
        <x:v>Long</x:v>
      </x:c>
      <x:c r="AN188" s="167" t="n">
        <x:v>1.87</x:v>
      </x:c>
      <x:c r="AO188" s="167" t="n">
        <x:v>1.825</x:v>
      </x:c>
      <x:c r="AP188" s="166" t="n">
        <x:v>0.6829020427397653</x:v>
      </x:c>
      <x:c r="AQ188" s="171" t="n">
        <x:f>IF(AK188="","",IFERROR(F188*AP188/AN188,0))</x:f>
        <x:v>0.6682455145177952</x:v>
      </x:c>
      <x:c r="AR188" s="171" t="n">
        <x:f>IF(AK188="","",F188*ABS(AP188))</x:f>
        <x:v>1.2496191121482771</x:v>
      </x:c>
      <x:c r="AS188" s="165"/>
      <x:c r="AT188" s="172" t="str">
        <x:f>IF(AK188="","",IF(AS188="","",IFERROR(AN188/AS188-1,0)))</x:f>
      </x:c>
      <x:c r="AU188" s="166"/>
      <x:c r="AV188" s="172" t="str">
        <x:f>IF(AK188="","",IF(AU188="","",AU188-AT188*365/AW188))</x:f>
      </x:c>
      <x:c r="AW188" s="164"/>
      <x:c r="AX188" s="173" t="n">
        <x:f>IF(AK188="","",IFERROR(AP188*(AO188/AN188-1-'Parameters'!$C$6*C188/365),0))</x:f>
        <x:v>-0.01644750385048731</x:v>
      </x:c>
      <x:c r="AY188" s="147" t="str">
        <x:v>Matched-maturity Treasury collateral</x:v>
      </x:c>
      <x:c r="AZ188" s="147" t="str">
        <x:v>Treasury</x:v>
      </x:c>
      <x:c r="BA188" s="147" t="str">
        <x:v>Long</x:v>
      </x:c>
      <x:c r="BB188" s="167" t="n">
        <x:v>104.95405325916616</x:v>
      </x:c>
      <x:c r="BC188" s="167" t="n">
        <x:v>105.0144377829591</x:v>
      </x:c>
      <x:c r="BD188" s="166" t="n">
        <x:v>0.3170979572602347</x:v>
      </x:c>
      <x:c r="BE188" s="171" t="n">
        <x:f>IF(AY188="","",IFERROR(F188*BD188/BB188,0))</x:f>
        <x:v>0.00552857844194397</x:v>
      </x:c>
      <x:c r="BF188" s="171" t="n">
        <x:f>IF(AY188="","",F188*ABS(BD188))</x:f>
        <x:v>0.5802467162432653</x:v>
      </x:c>
      <x:c r="BG188" s="165"/>
      <x:c r="BH188" s="172" t="str">
        <x:f>IF(AY188="","",IF(BG188="","",IFERROR(BB188/BG188-1,0)))</x:f>
      </x:c>
      <x:c r="BI188" s="166"/>
      <x:c r="BJ188" s="172" t="str">
        <x:f>IF(AY188="","",IF(BI188="","",BI188-BH188*365/BK188))</x:f>
      </x:c>
      <x:c r="BK188" s="164" t="n">
        <x:v>87.23071372779462</x:v>
      </x:c>
      <x:c r="BL188" s="172" t="n">
        <x:f>IF(AY188="","",IFERROR(BD188*(BC188/BB188-1),0))</x:f>
        <x:v>0.0001824399206155095</x:v>
      </x:c>
      <x:c r="BM188" s="147" t="str">
        <x:v>SI69Z</x:v>
      </x:c>
      <x:c r="BN188" s="147" t="str">
        <x:v>Silver future (regular)</x:v>
      </x:c>
      <x:c r="BO188" s="147" t="str">
        <x:v>Long</x:v>
      </x:c>
      <x:c r="BP188" s="167" t="n">
        <x:v>1.88</x:v>
      </x:c>
      <x:c r="BQ188" s="167" t="n">
        <x:v>1.8359999999999999</x:v>
      </x:c>
      <x:c r="BR188" s="166" t="n">
        <x:v>0.31465932886704917</x:v>
      </x:c>
      <x:c r="BS188" s="171" t="n">
        <x:f>IF(BM188="","",IFERROR(F188*BR188/BP188,0))</x:f>
        <x:v>0.3062682731268243</x:v>
      </x:c>
      <x:c r="BT188" s="171" t="n">
        <x:f>IF(BM188="","",F188*ABS(BR188))</x:f>
        <x:v>0.5757843534784297</x:v>
      </x:c>
      <x:c r="BU188" s="165" t="n">
        <x:v>1.87</x:v>
      </x:c>
      <x:c r="BV188" s="172" t="n">
        <x:f>IF(BM188="","",IF(BU188="","",IFERROR(BP188/BU188-1,0)))</x:f>
        <x:v>0.0053475935828875</x:v>
      </x:c>
      <x:c r="BW188" s="166" t="n">
        <x:v>0.07</x:v>
      </x:c>
      <x:c r="BX188" s="172" t="n">
        <x:f>IF(BM188="","",IF(BW188="","",BW188-BV188*365/BY188))</x:f>
        <x:v>0.04756469358903521</x:v>
      </x:c>
      <x:c r="BY188" s="164" t="n">
        <x:v>87</x:v>
      </x:c>
      <x:c r="BZ188" s="172" t="n">
        <x:f>IF(BM188="","",IFERROR(BR188*(BQ188/BP188-1),0))</x:f>
        <x:v>-0.0073643672713564635</x:v>
      </x:c>
      <x:c r="CA188" s="147" t="str">
        <x:v>SI70F</x:v>
      </x:c>
      <x:c r="CB188" s="147" t="str">
        <x:v>Silver future (regular)</x:v>
      </x:c>
      <x:c r="CC188" s="147" t="str">
        <x:v>Long</x:v>
      </x:c>
      <x:c r="CD188" s="167" t="n">
        <x:v>1.9</x:v>
      </x:c>
      <x:c r="CE188" s="167" t="n">
        <x:v>1.855</x:v>
      </x:c>
      <x:c r="CF188" s="166" t="n">
        <x:v>0.0024386283931855323</x:v>
      </x:c>
      <x:c r="CG188" s="171" t="n">
        <x:f>IF(CA188="","",IFERROR(F188*CF188/CD188,0))</x:f>
        <x:v>0.0023486119814924104</x:v>
      </x:c>
      <x:c r="CH188" s="171" t="n">
        <x:f>IF(CA188="","",F188*ABS(CF188))</x:f>
        <x:v>0.0044623627648355795</x:v>
      </x:c>
      <x:c r="CI188" s="165" t="n">
        <x:v>1.87</x:v>
      </x:c>
      <x:c r="CJ188" s="172" t="n">
        <x:f>IF(CA188="","",IF(CI188="","",IFERROR(CD188/CI188-1,0)))</x:f>
        <x:v>0.016042780748662944</x:v>
      </x:c>
      <x:c r="CK188" s="166" t="n">
        <x:v>0.07082857142857142</x:v>
      </x:c>
      <x:c r="CL188" s="172" t="n">
        <x:f>IF(CA188="","",IF(CK188="","",CK188-CJ188*365/CM188))</x:f>
        <x:v>0.020780580204110104</x:v>
      </x:c>
      <x:c r="CM188" s="164" t="n">
        <x:v>117</x:v>
      </x:c>
      <x:c r="CN188" s="172" t="n">
        <x:f>IF(CA188="","",IFERROR(CF188*(CE188/CD188-1),0))</x:f>
        <x:v>-0.000057756988259657255</x:v>
      </x:c>
      <x:c r="CO188" s="147"/>
      <x:c r="CP188" s="147"/>
      <x:c r="CQ188" s="147"/>
      <x:c r="CR188" s="167"/>
      <x:c r="CS188" s="167"/>
      <x:c r="CT188" s="166"/>
      <x:c r="CU188" s="171" t="str">
        <x:f>IF(CO188="","",IFERROR(F188*CT188/CR188,0))</x:f>
      </x:c>
      <x:c r="CV188" s="171" t="str">
        <x:f>IF(CO188="","",F188*ABS(CT188))</x:f>
      </x:c>
      <x:c r="CW188" s="165"/>
      <x:c r="CX188" s="172" t="str">
        <x:f>IF(CO188="","",IF(CW188="","",IFERROR(CR188/CW188-1,0)))</x:f>
      </x:c>
      <x:c r="CY188" s="166"/>
      <x:c r="CZ188" s="172" t="str">
        <x:f>IF(CO188="","",IF(CY188="","",CY188-CX188*365/DA188))</x:f>
      </x:c>
      <x:c r="DA188" s="164"/>
      <x:c r="DB188" s="172" t="str">
        <x:f>IF(CO188="","",IFERROR(CT188*(CS188/CR188-1),0))</x:f>
      </x:c>
      <x:c r="DC188" s="147"/>
      <x:c r="DD188" s="147"/>
      <x:c r="DE188" s="147"/>
      <x:c r="DF188" s="167"/>
      <x:c r="DG188" s="167"/>
      <x:c r="DH188" s="166"/>
      <x:c r="DI188" s="171" t="str">
        <x:f>IF(DC188="","",IFERROR(F188*DH188/DF188,0))</x:f>
      </x:c>
      <x:c r="DJ188" s="171" t="str">
        <x:f>IF(DC188="","",F188*ABS(DH188))</x:f>
      </x:c>
      <x:c r="DK188" s="165"/>
      <x:c r="DL188" s="172" t="str">
        <x:f>IF(DC188="","",IF(DK188="","",IFERROR(DF188/DK188-1,0)))</x:f>
      </x:c>
      <x:c r="DM188" s="166"/>
      <x:c r="DN188" s="172" t="str">
        <x:f>IF(DC188="","",IF(DM188="","",DM188-DL188*365/DO188))</x:f>
      </x:c>
      <x:c r="DO188" s="164"/>
      <x:c r="DP188" s="172" t="str">
        <x:f>IF(DC188="","",IFERROR(DH188*(DG188/DF188-1),0))</x:f>
      </x:c>
      <x:c r="DQ188" s="147"/>
      <x:c r="DR188" s="147"/>
      <x:c r="DS188" s="147"/>
      <x:c r="DT188" s="167"/>
      <x:c r="DU188" s="167"/>
      <x:c r="DV188" s="166"/>
      <x:c r="DW188" s="171" t="str">
        <x:f>IF(DQ188="","",IFERROR(F188*DV188/DT188,0))</x:f>
      </x:c>
      <x:c r="DX188" s="171" t="str">
        <x:f>IF(DQ188="","",F188*ABS(DV188))</x:f>
      </x:c>
      <x:c r="DY188" s="165"/>
      <x:c r="DZ188" s="172" t="str">
        <x:f>IF(DQ188="","",IF(DY188="","",IFERROR(DT188/DY188-1,0)))</x:f>
      </x:c>
      <x:c r="EA188" s="166"/>
      <x:c r="EB188" s="172" t="str">
        <x:f>IF(DQ188="","",IF(EA188="","",EA188-DZ188*365/EC188))</x:f>
      </x:c>
      <x:c r="EC188" s="164"/>
      <x:c r="ED188" s="172" t="str">
        <x:f>IF(DQ188="","",IFERROR(DV188*(DU188/DT188-1),0))</x:f>
      </x:c>
      <x:c r="EE188" s="147"/>
      <x:c r="EF188" s="147"/>
      <x:c r="EG188" s="147"/>
      <x:c r="EH188" s="167"/>
      <x:c r="EI188" s="167"/>
      <x:c r="EJ188" s="166"/>
      <x:c r="EK188" s="171" t="str">
        <x:f>IF(EE188="","",IFERROR(F188*EJ188/EH188,0))</x:f>
      </x:c>
      <x:c r="EL188" s="171" t="str">
        <x:f>IF(EE188="","",F188*ABS(EJ188))</x:f>
      </x:c>
      <x:c r="EM188" s="165"/>
      <x:c r="EN188" s="172" t="str">
        <x:f>IF(EE188="","",IF(EM188="","",IFERROR(EH188/EM188-1,0)))</x:f>
      </x:c>
      <x:c r="EO188" s="166"/>
      <x:c r="EP188" s="172" t="str">
        <x:f>IF(EE188="","",IF(EO188="","",EO188-EN188*365/EQ188))</x:f>
      </x:c>
      <x:c r="EQ188" s="164"/>
      <x:c r="ER188" s="172" t="str">
        <x:f>IF(EE188="","",IFERROR(EJ188*(EI188/EH188-1),0))</x:f>
      </x:c>
      <x:c r="ES188" s="147"/>
      <x:c r="ET188" s="147"/>
      <x:c r="EU188" s="147"/>
      <x:c r="EV188" s="167"/>
      <x:c r="EW188" s="167"/>
      <x:c r="EX188" s="166"/>
      <x:c r="EY188" s="171" t="str">
        <x:f>IF(ES188="","",IFERROR(F188*EX188/EV188,0))</x:f>
      </x:c>
      <x:c r="EZ188" s="171" t="str">
        <x:f>IF(ES188="","",F188*ABS(EX188))</x:f>
      </x:c>
      <x:c r="FA188" s="165"/>
      <x:c r="FB188" s="172" t="str">
        <x:f>IF(ES188="","",IF(FA188="","",IFERROR(EV188/FA188-1,0)))</x:f>
      </x:c>
      <x:c r="FC188" s="166"/>
      <x:c r="FD188" s="172" t="str">
        <x:f>IF(ES188="","",IF(FC188="","",FC188-FB188*365/FE188))</x:f>
      </x:c>
      <x:c r="FE188" s="164"/>
      <x:c r="FF188" s="172" t="str">
        <x:f>IF(ES188="","",IFERROR(EX188*(EW188/EV188-1),0))</x:f>
      </x:c>
      <x:c r="FG188" s="147"/>
      <x:c r="FH188" s="147"/>
      <x:c r="FI188" s="147"/>
      <x:c r="FJ188" s="167"/>
      <x:c r="FK188" s="167"/>
      <x:c r="FL188" s="166"/>
      <x:c r="FM188" s="171" t="str">
        <x:f>IF(FG188="","",IFERROR(F188*FL188/FJ188,0))</x:f>
      </x:c>
      <x:c r="FN188" s="171" t="str">
        <x:f>IF(FG188="","",F188*ABS(FL188))</x:f>
      </x:c>
      <x:c r="FO188" s="165"/>
      <x:c r="FP188" s="172" t="str">
        <x:f>IF(FG188="","",IF(FO188="","",IFERROR(FJ188/FO188-1,0)))</x:f>
      </x:c>
      <x:c r="FQ188" s="166"/>
      <x:c r="FR188" s="172" t="str">
        <x:f>IF(FG188="","",IF(FQ188="","",FQ188-FP188*365/FS188))</x:f>
      </x:c>
      <x:c r="FS188" s="164"/>
      <x:c r="FT188" s="172" t="str">
        <x:f>IF(FG188="","",IFERROR(FL188*(FK188/FJ188-1),0))</x:f>
      </x:c>
    </x:row>
    <x:row r="189" ht="18" customHeight="1">
      <x:c r="A189" s="163" t="n">
        <x:v>25482</x:v>
      </x:c>
      <x:c r="B189" s="163" t="n">
        <x:v>25483</x:v>
      </x:c>
      <x:c r="C189" s="170" t="n">
        <x:f>B189-A189</x:f>
        <x:v>1</x:v>
      </x:c>
      <x:c r="D189" s="163" t="n">
        <x:v>25482</x:v>
      </x:c>
      <x:c r="E189" s="147" t="str">
        <x:v>positive</x:v>
      </x:c>
      <x:c r="F189" s="165" t="n">
        <x:v>1.7865214521529185</x:v>
      </x:c>
      <x:c r="G189" s="168" t="n">
        <x:v>0.017147513940134116</x:v>
      </x:c>
      <x:c r="H189" s="172" t="n">
        <x:f>SUM(AX189,BL189,BZ189,CN189,DB189,DP189,ED189,ER189,FF189,FT189)</x:f>
        <x:v>0.017147513940134168</x:v>
      </x:c>
      <x:c r="I189" s="174" t="n">
        <x:f>G189-H189</x:f>
        <x:v>-5.204170427930421e-17</x:v>
      </x:c>
      <x:c r="J189" s="171" t="n">
        <x:f>F189*(1+H189)</x:f>
        <x:v>1.8171558536580594</x:v>
      </x:c>
      <x:c r="K189" s="169" t="n">
        <x:v>1.8171558536580592</x:v>
      </x:c>
      <x:c r="L189" s="175" t="n">
        <x:f>K189-J189</x:f>
        <x:v>-2.220446049250313e-16</x:v>
      </x:c>
      <x:c r="M189" s="167" t="n">
        <x:v>1.825</x:v>
      </x:c>
      <x:c r="N189" s="167" t="n">
        <x:v>1.864</x:v>
      </x:c>
      <x:c r="O189" s="172" t="n">
        <x:f>IFERROR(N189/M189-1,0)</x:f>
        <x:v>0.021369863013698698</x:v>
      </x:c>
      <x:c r="P189" s="171" t="n">
        <x:f>IFERROR(AD189/AH189,0)</x:f>
        <x:v>1.9167172620906385</x:v>
      </x:c>
      <x:c r="Q189" s="171" t="n">
        <x:f>IFERROR(AE189/AI189,0)</x:f>
        <x:v>1.9087935415571247</x:v>
      </x:c>
      <x:c r="R189" s="172" t="n">
        <x:f>IFERROR((Q189-P189)/(P189+S189),0)</x:f>
        <x:v>-0.004134005933077034</x:v>
      </x:c>
      <x:c r="S189" s="172" t="n">
        <x:f>IFERROR(AF189/AH189,0)</x:f>
        <x:v>0</x:v>
      </x:c>
      <x:c r="T189" s="172" t="n">
        <x:f>IFERROR(AG189/AI189,0)</x:f>
        <x:v>0</x:v>
      </x:c>
      <x:c r="U189" s="172" t="n">
        <x:f>IFERROR((T189-S189)/(P189+S189),0)</x:f>
        <x:v>0</x:v>
      </x:c>
      <x:c r="V189" s="172" t="n">
        <x:f>R189+U189</x:f>
        <x:v>-0.004134005933077034</x:v>
      </x:c>
      <x:c r="W189" s="172" t="n">
        <x:f>(1+O189)*(1+V189)-1</x:f>
        <x:v>0.01714751394013403</x:v>
      </x:c>
      <x:c r="X189" s="174" t="n">
        <x:f>G189-W189</x:f>
        <x:v>8.673617379884035e-17</x:v>
      </x:c>
      <x:c r="Y189" s="172" t="n">
        <x:f>AX189</x:f>
        <x:v>0.015209109371602598</x:v>
      </x:c>
      <x:c r="Z189" s="172" t="n">
        <x:f>BL189</x:f>
        <x:v>0.000054771524244451996</x:v>
      </x:c>
      <x:c r="AA189" s="172" t="n">
        <x:f>SUM(BZ189,CN189,DB189,DP189,ED189,ER189,FF189,FT189)</x:f>
        <x:v>0.0018836330442871178</x:v>
      </x:c>
      <x:c r="AB189" s="172" t="n">
        <x:f>SUM(Y189:AA189)</x:f>
        <x:v>0.017147513940134168</x:v>
      </x:c>
      <x:c r="AC189" s="174" t="n">
        <x:f>G189-AB189</x:f>
        <x:v>-5.204170427930421e-17</x:v>
      </x:c>
      <x:c r="AD189" s="169" t="n">
        <x:v>1.786521452152919</x:v>
      </x:c>
      <x:c r="AE189" s="169" t="n">
        <x:v>1.8171558536580596</x:v>
      </x:c>
      <x:c r="AF189" s="169" t="n">
        <x:v>0</x:v>
      </x:c>
      <x:c r="AG189" s="169" t="n">
        <x:v>0</x:v>
      </x:c>
      <x:c r="AH189" s="171" t="n">
        <x:f>M189/$M$3</x:f>
        <x:v>0.932073544433095</x:v>
      </x:c>
      <x:c r="AI189" s="171" t="n">
        <x:f>N189/$M$3</x:f>
        <x:v>0.9519918283963229</x:v>
      </x:c>
      <x:c r="AJ189" s="170" t="n">
        <x:f>IF(AK189&lt;&gt;"",1,0)+IF(AY189&lt;&gt;"",1,0)+IF(BM189&lt;&gt;"",1,0)+IF(CA189&lt;&gt;"",1,0)+IF(CO189&lt;&gt;"",1,0)+IF(DC189&lt;&gt;"",1,0)+IF(DQ189&lt;&gt;"",1,0)+IF(EE189&lt;&gt;"",1,0)+IF(ES189&lt;&gt;"",1,0)+IF(FG189&lt;&gt;"",1,0)</x:f>
        <x:v>4</x:v>
      </x:c>
      <x:c r="AK189" s="147" t="str">
        <x:v>Silver replicating holding (LBMA/SLV proxy)</x:v>
      </x:c>
      <x:c r="AL189" s="147" t="str">
        <x:v>Physical-backed proxy</x:v>
      </x:c>
      <x:c r="AM189" s="147" t="str">
        <x:v>Long</x:v>
      </x:c>
      <x:c r="AN189" s="167" t="n">
        <x:v>1.825</x:v>
      </x:c>
      <x:c r="AO189" s="167" t="n">
        <x:v>1.864</x:v>
      </x:c>
      <x:c r="AP189" s="166" t="n">
        <x:v>0.7119365079365092</x:v>
      </x:c>
      <x:c r="AQ189" s="171" t="n">
        <x:f>IF(AK189="","",IFERROR(F189*AP189/AN189,0))</x:f>
        <x:v>0.696925941917485</x:v>
      </x:c>
      <x:c r="AR189" s="171" t="n">
        <x:f>IF(AK189="","",F189*ABS(AP189))</x:f>
        <x:v>1.2718898439994102</x:v>
      </x:c>
      <x:c r="AS189" s="165"/>
      <x:c r="AT189" s="172" t="str">
        <x:f>IF(AK189="","",IF(AS189="","",IFERROR(AN189/AS189-1,0)))</x:f>
      </x:c>
      <x:c r="AU189" s="166"/>
      <x:c r="AV189" s="172" t="str">
        <x:f>IF(AK189="","",IF(AU189="","",AU189-AT189*365/AW189))</x:f>
      </x:c>
      <x:c r="AW189" s="164"/>
      <x:c r="AX189" s="173" t="n">
        <x:f>IF(AK189="","",IFERROR(AP189*(AO189/AN189-1-'Parameters'!$C$6*C189/365),0))</x:f>
        <x:v>0.015209109371602598</x:v>
      </x:c>
      <x:c r="AY189" s="147" t="str">
        <x:v>Matched-maturity Treasury collateral</x:v>
      </x:c>
      <x:c r="AZ189" s="147" t="str">
        <x:v>Treasury</x:v>
      </x:c>
      <x:c r="BA189" s="147" t="str">
        <x:v>Long</x:v>
      </x:c>
      <x:c r="BB189" s="167" t="n">
        <x:v>105.0144377829591</x:v>
      </x:c>
      <x:c r="BC189" s="167" t="n">
        <x:v>105.0344049116773</x:v>
      </x:c>
      <x:c r="BD189" s="166" t="n">
        <x:v>0.28806349206349086</x:v>
      </x:c>
      <x:c r="BE189" s="171" t="n">
        <x:f>IF(AY189="","",IFERROR(F189*BD189/BB189,0))</x:f>
        <x:v>0.004900579568088862</x:v>
      </x:c>
      <x:c r="BF189" s="171" t="n">
        <x:f>IF(AY189="","",F189*ABS(BD189))</x:f>
        <x:v>0.5146316081535084</x:v>
      </x:c>
      <x:c r="BG189" s="165"/>
      <x:c r="BH189" s="172" t="str">
        <x:f>IF(AY189="","",IF(BG189="","",IFERROR(BB189/BG189-1,0)))</x:f>
      </x:c>
      <x:c r="BI189" s="166"/>
      <x:c r="BJ189" s="172" t="str">
        <x:f>IF(AY189="","",IF(BI189="","",BI189-BH189*365/BK189))</x:f>
      </x:c>
      <x:c r="BK189" s="164" t="n">
        <x:v>84.19082755617659</x:v>
      </x:c>
      <x:c r="BL189" s="172" t="n">
        <x:f>IF(AY189="","",IFERROR(BD189*(BC189/BB189-1),0))</x:f>
        <x:v>0.000054771524244451996</x:v>
      </x:c>
      <x:c r="BM189" s="147" t="str">
        <x:v>SI69Z</x:v>
      </x:c>
      <x:c r="BN189" s="147" t="str">
        <x:v>Silver future (regular)</x:v>
      </x:c>
      <x:c r="BO189" s="147" t="str">
        <x:v>Long</x:v>
      </x:c>
      <x:c r="BP189" s="167" t="n">
        <x:v>1.8359999999999999</x:v>
      </x:c>
      <x:c r="BQ189" s="167" t="n">
        <x:v>1.848</x:v>
      </x:c>
      <x:c r="BR189" s="166" t="n">
        <x:v>0.286231143656352</x:v>
      </x:c>
      <x:c r="BS189" s="171" t="n">
        <x:f>IF(BM189="","",IFERROR(F189*BR189/BP189,0))</x:f>
        <x:v>0.2785174719043228</x:v>
      </x:c>
      <x:c r="BT189" s="171" t="n">
        <x:f>IF(BM189="","",F189*ABS(BR189))</x:f>
        <x:v>0.5113580784163366</x:v>
      </x:c>
      <x:c r="BU189" s="165" t="n">
        <x:v>1.825</x:v>
      </x:c>
      <x:c r="BV189" s="172" t="n">
        <x:f>IF(BM189="","",IF(BU189="","",IFERROR(BP189/BU189-1,0)))</x:f>
        <x:v>0.0060273972602740145</x:v>
      </x:c>
      <x:c r="BW189" s="166" t="n">
        <x:v>0.0694</x:v>
      </x:c>
      <x:c r="BX189" s="172" t="n">
        <x:f>IF(BM189="","",IF(BW189="","",BW189-BV189*365/BY189))</x:f>
        <x:v>0.04320952380952363</x:v>
      </x:c>
      <x:c r="BY189" s="164" t="n">
        <x:v>84</x:v>
      </x:c>
      <x:c r="BZ189" s="172" t="n">
        <x:f>IF(BM189="","",IFERROR(BR189*(BQ189/BP189-1),0))</x:f>
        <x:v>0.0018707917886036647</x:v>
      </x:c>
      <x:c r="CA189" s="147" t="str">
        <x:v>SI70F</x:v>
      </x:c>
      <x:c r="CB189" s="147" t="str">
        <x:v>Silver future (regular)</x:v>
      </x:c>
      <x:c r="CC189" s="147" t="str">
        <x:v>Long</x:v>
      </x:c>
      <x:c r="CD189" s="167" t="n">
        <x:v>1.855</x:v>
      </x:c>
      <x:c r="CE189" s="167" t="n">
        <x:v>1.868</x:v>
      </x:c>
      <x:c r="CF189" s="166" t="n">
        <x:v>0.0018323484071388874</x:v>
      </x:c>
      <x:c r="CG189" s="171" t="n">
        <x:f>IF(CA189="","",IFERROR(F189*CF189/CD189,0))</x:f>
        <x:v>0.0017647060577745833</x:v>
      </x:c>
      <x:c r="CH189" s="171" t="n">
        <x:f>IF(CA189="","",F189*ABS(CF189))</x:f>
        <x:v>0.003273529737171852</x:v>
      </x:c>
      <x:c r="CI189" s="165" t="n">
        <x:v>1.825</x:v>
      </x:c>
      <x:c r="CJ189" s="172" t="n">
        <x:f>IF(CA189="","",IF(CI189="","",IFERROR(CD189/CI189-1,0)))</x:f>
        <x:v>0.016438356164383494</x:v>
      </x:c>
      <x:c r="CK189" s="166" t="n">
        <x:v>0.07023406593406593</x:v>
      </x:c>
      <x:c r="CL189" s="172" t="n">
        <x:f>IF(CA189="","",IF(CK189="","",CK189-CJ189*365/CM189))</x:f>
        <x:v>0.01760248698669773</x:v>
      </x:c>
      <x:c r="CM189" s="164" t="n">
        <x:v>114</x:v>
      </x:c>
      <x:c r="CN189" s="172" t="n">
        <x:f>IF(CA189="","",IFERROR(CF189*(CE189/CD189-1),0))</x:f>
        <x:v>0.000012841255683453059</x:v>
      </x:c>
      <x:c r="CO189" s="147"/>
      <x:c r="CP189" s="147"/>
      <x:c r="CQ189" s="147"/>
      <x:c r="CR189" s="167"/>
      <x:c r="CS189" s="167"/>
      <x:c r="CT189" s="166"/>
      <x:c r="CU189" s="171" t="str">
        <x:f>IF(CO189="","",IFERROR(F189*CT189/CR189,0))</x:f>
      </x:c>
      <x:c r="CV189" s="171" t="str">
        <x:f>IF(CO189="","",F189*ABS(CT189))</x:f>
      </x:c>
      <x:c r="CW189" s="165"/>
      <x:c r="CX189" s="172" t="str">
        <x:f>IF(CO189="","",IF(CW189="","",IFERROR(CR189/CW189-1,0)))</x:f>
      </x:c>
      <x:c r="CY189" s="166"/>
      <x:c r="CZ189" s="172" t="str">
        <x:f>IF(CO189="","",IF(CY189="","",CY189-CX189*365/DA189))</x:f>
      </x:c>
      <x:c r="DA189" s="164"/>
      <x:c r="DB189" s="172" t="str">
        <x:f>IF(CO189="","",IFERROR(CT189*(CS189/CR189-1),0))</x:f>
      </x:c>
      <x:c r="DC189" s="147"/>
      <x:c r="DD189" s="147"/>
      <x:c r="DE189" s="147"/>
      <x:c r="DF189" s="167"/>
      <x:c r="DG189" s="167"/>
      <x:c r="DH189" s="166"/>
      <x:c r="DI189" s="171" t="str">
        <x:f>IF(DC189="","",IFERROR(F189*DH189/DF189,0))</x:f>
      </x:c>
      <x:c r="DJ189" s="171" t="str">
        <x:f>IF(DC189="","",F189*ABS(DH189))</x:f>
      </x:c>
      <x:c r="DK189" s="165"/>
      <x:c r="DL189" s="172" t="str">
        <x:f>IF(DC189="","",IF(DK189="","",IFERROR(DF189/DK189-1,0)))</x:f>
      </x:c>
      <x:c r="DM189" s="166"/>
      <x:c r="DN189" s="172" t="str">
        <x:f>IF(DC189="","",IF(DM189="","",DM189-DL189*365/DO189))</x:f>
      </x:c>
      <x:c r="DO189" s="164"/>
      <x:c r="DP189" s="172" t="str">
        <x:f>IF(DC189="","",IFERROR(DH189*(DG189/DF189-1),0))</x:f>
      </x:c>
      <x:c r="DQ189" s="147"/>
      <x:c r="DR189" s="147"/>
      <x:c r="DS189" s="147"/>
      <x:c r="DT189" s="167"/>
      <x:c r="DU189" s="167"/>
      <x:c r="DV189" s="166"/>
      <x:c r="DW189" s="171" t="str">
        <x:f>IF(DQ189="","",IFERROR(F189*DV189/DT189,0))</x:f>
      </x:c>
      <x:c r="DX189" s="171" t="str">
        <x:f>IF(DQ189="","",F189*ABS(DV189))</x:f>
      </x:c>
      <x:c r="DY189" s="165"/>
      <x:c r="DZ189" s="172" t="str">
        <x:f>IF(DQ189="","",IF(DY189="","",IFERROR(DT189/DY189-1,0)))</x:f>
      </x:c>
      <x:c r="EA189" s="166"/>
      <x:c r="EB189" s="172" t="str">
        <x:f>IF(DQ189="","",IF(EA189="","",EA189-DZ189*365/EC189))</x:f>
      </x:c>
      <x:c r="EC189" s="164"/>
      <x:c r="ED189" s="172" t="str">
        <x:f>IF(DQ189="","",IFERROR(DV189*(DU189/DT189-1),0))</x:f>
      </x:c>
      <x:c r="EE189" s="147"/>
      <x:c r="EF189" s="147"/>
      <x:c r="EG189" s="147"/>
      <x:c r="EH189" s="167"/>
      <x:c r="EI189" s="167"/>
      <x:c r="EJ189" s="166"/>
      <x:c r="EK189" s="171" t="str">
        <x:f>IF(EE189="","",IFERROR(F189*EJ189/EH189,0))</x:f>
      </x:c>
      <x:c r="EL189" s="171" t="str">
        <x:f>IF(EE189="","",F189*ABS(EJ189))</x:f>
      </x:c>
      <x:c r="EM189" s="165"/>
      <x:c r="EN189" s="172" t="str">
        <x:f>IF(EE189="","",IF(EM189="","",IFERROR(EH189/EM189-1,0)))</x:f>
      </x:c>
      <x:c r="EO189" s="166"/>
      <x:c r="EP189" s="172" t="str">
        <x:f>IF(EE189="","",IF(EO189="","",EO189-EN189*365/EQ189))</x:f>
      </x:c>
      <x:c r="EQ189" s="164"/>
      <x:c r="ER189" s="172" t="str">
        <x:f>IF(EE189="","",IFERROR(EJ189*(EI189/EH189-1),0))</x:f>
      </x:c>
      <x:c r="ES189" s="147"/>
      <x:c r="ET189" s="147"/>
      <x:c r="EU189" s="147"/>
      <x:c r="EV189" s="167"/>
      <x:c r="EW189" s="167"/>
      <x:c r="EX189" s="166"/>
      <x:c r="EY189" s="171" t="str">
        <x:f>IF(ES189="","",IFERROR(F189*EX189/EV189,0))</x:f>
      </x:c>
      <x:c r="EZ189" s="171" t="str">
        <x:f>IF(ES189="","",F189*ABS(EX189))</x:f>
      </x:c>
      <x:c r="FA189" s="165"/>
      <x:c r="FB189" s="172" t="str">
        <x:f>IF(ES189="","",IF(FA189="","",IFERROR(EV189/FA189-1,0)))</x:f>
      </x:c>
      <x:c r="FC189" s="166"/>
      <x:c r="FD189" s="172" t="str">
        <x:f>IF(ES189="","",IF(FC189="","",FC189-FB189*365/FE189))</x:f>
      </x:c>
      <x:c r="FE189" s="164"/>
      <x:c r="FF189" s="172" t="str">
        <x:f>IF(ES189="","",IFERROR(EX189*(EW189/EV189-1),0))</x:f>
      </x:c>
      <x:c r="FG189" s="147"/>
      <x:c r="FH189" s="147"/>
      <x:c r="FI189" s="147"/>
      <x:c r="FJ189" s="167"/>
      <x:c r="FK189" s="167"/>
      <x:c r="FL189" s="166"/>
      <x:c r="FM189" s="171" t="str">
        <x:f>IF(FG189="","",IFERROR(F189*FL189/FJ189,0))</x:f>
      </x:c>
      <x:c r="FN189" s="171" t="str">
        <x:f>IF(FG189="","",F189*ABS(FL189))</x:f>
      </x:c>
      <x:c r="FO189" s="165"/>
      <x:c r="FP189" s="172" t="str">
        <x:f>IF(FG189="","",IF(FO189="","",IFERROR(FJ189/FO189-1,0)))</x:f>
      </x:c>
      <x:c r="FQ189" s="166"/>
      <x:c r="FR189" s="172" t="str">
        <x:f>IF(FG189="","",IF(FQ189="","",FQ189-FP189*365/FS189))</x:f>
      </x:c>
      <x:c r="FS189" s="164"/>
      <x:c r="FT189" s="172" t="str">
        <x:f>IF(FG189="","",IFERROR(FL189*(FK189/FJ189-1),0))</x:f>
      </x:c>
    </x:row>
    <x:row r="190" ht="18" customHeight="1">
      <x:c r="A190" s="163" t="n">
        <x:v>25483</x:v>
      </x:c>
      <x:c r="B190" s="163" t="n">
        <x:v>25484</x:v>
      </x:c>
      <x:c r="C190" s="170" t="n">
        <x:f>B190-A190</x:f>
        <x:v>1</x:v>
      </x:c>
      <x:c r="D190" s="163" t="n">
        <x:v>25483</x:v>
      </x:c>
      <x:c r="E190" s="147" t="str">
        <x:v>positive</x:v>
      </x:c>
      <x:c r="F190" s="165" t="n">
        <x:v>1.8171558536580592</x:v>
      </x:c>
      <x:c r="G190" s="168" t="n">
        <x:v>-0.001415228791954096</x:v>
      </x:c>
      <x:c r="H190" s="172" t="n">
        <x:f>SUM(AX190,BL190,BZ190,CN190,DB190,DP190,ED190,ER190,FF190,FT190)</x:f>
        <x:v>-0.0014152287919539746</x:v>
      </x:c>
      <x:c r="I190" s="174" t="n">
        <x:f>G190-H190</x:f>
        <x:v>-1.214306433183765e-16</x:v>
      </x:c>
      <x:c r="J190" s="171" t="n">
        <x:f>F190*(1+H190)</x:f>
        <x:v>1.8145841623744945</x:v>
      </x:c>
      <x:c r="K190" s="169" t="n">
        <x:v>1.8145841623744945</x:v>
      </x:c>
      <x:c r="L190" s="175" t="n">
        <x:f>K190-J190</x:f>
        <x:v>0</x:v>
      </x:c>
      <x:c r="M190" s="167" t="n">
        <x:v>1.864</x:v>
      </x:c>
      <x:c r="N190" s="167" t="n">
        <x:v>1.823</x:v>
      </x:c>
      <x:c r="O190" s="172" t="n">
        <x:f>IFERROR(N190/M190-1,0)</x:f>
        <x:v>-0.021995708154506466</x:v>
      </x:c>
      <x:c r="P190" s="171" t="n">
        <x:f>IFERROR(AD190/AH190,0)</x:f>
        <x:v>1.9087935415571247</x:v>
      </x:c>
      <x:c r="Q190" s="171" t="n">
        <x:f>IFERROR(AE190/AI190,0)</x:f>
        <x:v>1.9489609379754587</x:v>
      </x:c>
      <x:c r="R190" s="172" t="n">
        <x:f>IFERROR((Q190-P190)/(P190+S190),0)</x:f>
        <x:v>0.02104334258463956</x:v>
      </x:c>
      <x:c r="S190" s="172" t="n">
        <x:f>IFERROR(AF190/AH190,0)</x:f>
        <x:v>0</x:v>
      </x:c>
      <x:c r="T190" s="172" t="n">
        <x:f>IFERROR(AG190/AI190,0)</x:f>
        <x:v>0</x:v>
      </x:c>
      <x:c r="U190" s="172" t="n">
        <x:f>IFERROR((T190-S190)/(P190+S190),0)</x:f>
        <x:v>0</x:v>
      </x:c>
      <x:c r="V190" s="172" t="n">
        <x:f>R190+U190</x:f>
        <x:v>0.02104334258463956</x:v>
      </x:c>
      <x:c r="W190" s="172" t="n">
        <x:f>(1+O190)*(1+V190)-1</x:f>
        <x:v>-0.001415228791953993</x:v>
      </x:c>
      <x:c r="X190" s="174" t="n">
        <x:f>G190-W190</x:f>
        <x:v>-1.0299920638612292e-16</x:v>
      </x:c>
      <x:c r="Y190" s="172" t="n">
        <x:f>AX190</x:f>
        <x:v>-0.0062124137771444165</x:v>
      </x:c>
      <x:c r="Z190" s="172" t="n">
        <x:f>BL190</x:f>
        <x:v>0.0001374349628652807</x:v>
      </x:c>
      <x:c r="AA190" s="172" t="n">
        <x:f>SUM(BZ190,CN190,DB190,DP190,ED190,ER190,FF190,FT190)</x:f>
        <x:v>0.004659750022325161</x:v>
      </x:c>
      <x:c r="AB190" s="172" t="n">
        <x:f>SUM(Y190:AA190)</x:f>
        <x:v>-0.0014152287919539748</x:v>
      </x:c>
      <x:c r="AC190" s="174" t="n">
        <x:f>G190-AB190</x:f>
        <x:v>-1.212138028838794e-16</x:v>
      </x:c>
      <x:c r="AD190" s="169" t="n">
        <x:v>1.8171558536580596</x:v>
      </x:c>
      <x:c r="AE190" s="169" t="n">
        <x:v>1.814584162374495</x:v>
      </x:c>
      <x:c r="AF190" s="169" t="n">
        <x:v>0</x:v>
      </x:c>
      <x:c r="AG190" s="169" t="n">
        <x:v>0</x:v>
      </x:c>
      <x:c r="AH190" s="171" t="n">
        <x:f>M190/$M$3</x:f>
        <x:v>0.9519918283963229</x:v>
      </x:c>
      <x:c r="AI190" s="171" t="n">
        <x:f>N190/$M$3</x:f>
        <x:v>0.9310520939734422</x:v>
      </x:c>
      <x:c r="AJ190" s="170" t="n">
        <x:f>IF(AK190&lt;&gt;"",1,0)+IF(AY190&lt;&gt;"",1,0)+IF(BM190&lt;&gt;"",1,0)+IF(CA190&lt;&gt;"",1,0)+IF(CO190&lt;&gt;"",1,0)+IF(DC190&lt;&gt;"",1,0)+IF(DQ190&lt;&gt;"",1,0)+IF(EE190&lt;&gt;"",1,0)+IF(ES190&lt;&gt;"",1,0)+IF(FG190&lt;&gt;"",1,0)</x:f>
        <x:v>4</x:v>
      </x:c>
      <x:c r="AK190" s="147" t="str">
        <x:v>Silver replicating holding (LBMA/SLV proxy)</x:v>
      </x:c>
      <x:c r="AL190" s="147" t="str">
        <x:v>Physical-backed proxy</x:v>
      </x:c>
      <x:c r="AM190" s="147" t="str">
        <x:v>Long</x:v>
      </x:c>
      <x:c r="AN190" s="167" t="n">
        <x:v>1.864</x:v>
      </x:c>
      <x:c r="AO190" s="167" t="n">
        <x:v>1.823</x:v>
      </x:c>
      <x:c r="AP190" s="166" t="n">
        <x:v>0.28234962166261424</x:v>
      </x:c>
      <x:c r="AQ190" s="171" t="n">
        <x:f>IF(AK190="","",IFERROR(F190*AP190/AN190,0))</x:f>
        <x:v>0.2752538990248701</x:v>
      </x:c>
      <x:c r="AR190" s="171" t="n">
        <x:f>IF(AK190="","",F190*ABS(AP190))</x:f>
        <x:v>0.5130732677823578</x:v>
      </x:c>
      <x:c r="AS190" s="165"/>
      <x:c r="AT190" s="172" t="str">
        <x:f>IF(AK190="","",IF(AS190="","",IFERROR(AN190/AS190-1,0)))</x:f>
      </x:c>
      <x:c r="AU190" s="166"/>
      <x:c r="AV190" s="172" t="str">
        <x:f>IF(AK190="","",IF(AU190="","",AU190-AT190*365/AW190))</x:f>
      </x:c>
      <x:c r="AW190" s="164"/>
      <x:c r="AX190" s="173" t="n">
        <x:f>IF(AK190="","",IFERROR(AP190*(AO190/AN190-1-'Parameters'!$C$6*C190/365),0))</x:f>
        <x:v>-0.0062124137771444165</x:v>
      </x:c>
      <x:c r="AY190" s="147" t="str">
        <x:v>Matched-maturity Treasury collateral</x:v>
      </x:c>
      <x:c r="AZ190" s="147" t="str">
        <x:v>Treasury</x:v>
      </x:c>
      <x:c r="BA190" s="147" t="str">
        <x:v>Long</x:v>
      </x:c>
      <x:c r="BB190" s="167" t="n">
        <x:v>105.0344049116773</x:v>
      </x:c>
      <x:c r="BC190" s="167" t="n">
        <x:v>105.05451971963163</x:v>
      </x:c>
      <x:c r="BD190" s="166" t="n">
        <x:v>0.7176503783373858</x:v>
      </x:c>
      <x:c r="BE190" s="171" t="n">
        <x:f>IF(AY190="","",IFERROR(F190*BD190/BB190,0))</x:f>
        <x:v>0.012415765929004839</x:v>
      </x:c>
      <x:c r="BF190" s="171" t="n">
        <x:f>IF(AY190="","",F190*ABS(BD190))</x:f>
        <x:v>1.3040825858757015</x:v>
      </x:c>
      <x:c r="BG190" s="165"/>
      <x:c r="BH190" s="172" t="str">
        <x:f>IF(AY190="","",IF(BG190="","",IFERROR(BB190/BG190-1,0)))</x:f>
      </x:c>
      <x:c r="BI190" s="166"/>
      <x:c r="BJ190" s="172" t="str">
        <x:f>IF(AY190="","",IF(BI190="","",BI190-BH190*365/BK190))</x:f>
      </x:c>
      <x:c r="BK190" s="164" t="n">
        <x:v>83.19082755617659</x:v>
      </x:c>
      <x:c r="BL190" s="172" t="n">
        <x:f>IF(AY190="","",IFERROR(BD190*(BC190/BB190-1),0))</x:f>
        <x:v>0.0001374349628652807</x:v>
      </x:c>
      <x:c r="BM190" s="147" t="str">
        <x:v>SI69Z</x:v>
      </x:c>
      <x:c r="BN190" s="147" t="str">
        <x:v>Silver future (regular)</x:v>
      </x:c>
      <x:c r="BO190" s="147" t="str">
        <x:v>Long</x:v>
      </x:c>
      <x:c r="BP190" s="167" t="n">
        <x:v>1.848</x:v>
      </x:c>
      <x:c r="BQ190" s="167" t="n">
        <x:v>1.86</x:v>
      </x:c>
      <x:c r="BR190" s="166" t="n">
        <x:v>0.7130854627411419</x:v>
      </x:c>
      <x:c r="BS190" s="171" t="n">
        <x:f>IF(BM190="","",IFERROR(F190*BR190/BP190,0))</x:f>
        <x:v>0.7011836703347034</x:v>
      </x:c>
      <x:c r="BT190" s="171" t="n">
        <x:f>IF(BM190="","",F190*ABS(BR190))</x:f>
        <x:v>1.295787422778532</x:v>
      </x:c>
      <x:c r="BU190" s="165" t="n">
        <x:v>1.864</x:v>
      </x:c>
      <x:c r="BV190" s="172" t="n">
        <x:f>IF(BM190="","",IF(BU190="","",IFERROR(BP190/BU190-1,0)))</x:f>
        <x:v>-0.008583690987124526</x:v>
      </x:c>
      <x:c r="BW190" s="166" t="n">
        <x:v>0.0699</x:v>
      </x:c>
      <x:c r="BX190" s="172" t="n">
        <x:f>IF(BM190="","",IF(BW190="","",BW190-BV190*365/BY190))</x:f>
        <x:v>0.10764755675060786</x:v>
      </x:c>
      <x:c r="BY190" s="164" t="n">
        <x:v>83</x:v>
      </x:c>
      <x:c r="BZ190" s="172" t="n">
        <x:f>IF(BM190="","",IFERROR(BR190*(BQ190/BP190-1),0))</x:f>
        <x:v>0.004630425082734729</x:v>
      </x:c>
      <x:c r="CA190" s="147" t="str">
        <x:v>SI70F</x:v>
      </x:c>
      <x:c r="CB190" s="147" t="str">
        <x:v>Silver future (regular)</x:v>
      </x:c>
      <x:c r="CC190" s="147" t="str">
        <x:v>Long</x:v>
      </x:c>
      <x:c r="CD190" s="167" t="n">
        <x:v>1.868</x:v>
      </x:c>
      <x:c r="CE190" s="167" t="n">
        <x:v>1.88</x:v>
      </x:c>
      <x:c r="CF190" s="166" t="n">
        <x:v>0.004564915596243963</x:v>
      </x:c>
      <x:c r="CG190" s="171" t="n">
        <x:f>IF(CA190="","",IFERROR(F190*CF190/CD190,0))</x:f>
        <x:v>0.00444066546957692</x:v>
      </x:c>
      <x:c r="CH190" s="171" t="n">
        <x:f>IF(CA190="","",F190*ABS(CF190))</x:f>
        <x:v>0.008295163097169687</x:v>
      </x:c>
      <x:c r="CI190" s="165" t="n">
        <x:v>1.864</x:v>
      </x:c>
      <x:c r="CJ190" s="172" t="n">
        <x:f>IF(CA190="","",IF(CI190="","",IFERROR(CD190/CI190-1,0)))</x:f>
        <x:v>0.0021459227467810482</x:v>
      </x:c>
      <x:c r="CK190" s="166" t="n">
        <x:v>0.07069780219780221</x:v>
      </x:c>
      <x:c r="CL190" s="172" t="n">
        <x:f>IF(CA190="","",IF(CK190="","",CK190-CJ190*365/CM190))</x:f>
        <x:v>0.06376628182103157</x:v>
      </x:c>
      <x:c r="CM190" s="164" t="n">
        <x:v>113</x:v>
      </x:c>
      <x:c r="CN190" s="172" t="n">
        <x:f>IF(CA190="","",IFERROR(CF190*(CE190/CD190-1),0))</x:f>
        <x:v>0.00002932493959043152</x:v>
      </x:c>
      <x:c r="CO190" s="147"/>
      <x:c r="CP190" s="147"/>
      <x:c r="CQ190" s="147"/>
      <x:c r="CR190" s="167"/>
      <x:c r="CS190" s="167"/>
      <x:c r="CT190" s="166"/>
      <x:c r="CU190" s="171" t="str">
        <x:f>IF(CO190="","",IFERROR(F190*CT190/CR190,0))</x:f>
      </x:c>
      <x:c r="CV190" s="171" t="str">
        <x:f>IF(CO190="","",F190*ABS(CT190))</x:f>
      </x:c>
      <x:c r="CW190" s="165"/>
      <x:c r="CX190" s="172" t="str">
        <x:f>IF(CO190="","",IF(CW190="","",IFERROR(CR190/CW190-1,0)))</x:f>
      </x:c>
      <x:c r="CY190" s="166"/>
      <x:c r="CZ190" s="172" t="str">
        <x:f>IF(CO190="","",IF(CY190="","",CY190-CX190*365/DA190))</x:f>
      </x:c>
      <x:c r="DA190" s="164"/>
      <x:c r="DB190" s="172" t="str">
        <x:f>IF(CO190="","",IFERROR(CT190*(CS190/CR190-1),0))</x:f>
      </x:c>
      <x:c r="DC190" s="147"/>
      <x:c r="DD190" s="147"/>
      <x:c r="DE190" s="147"/>
      <x:c r="DF190" s="167"/>
      <x:c r="DG190" s="167"/>
      <x:c r="DH190" s="166"/>
      <x:c r="DI190" s="171" t="str">
        <x:f>IF(DC190="","",IFERROR(F190*DH190/DF190,0))</x:f>
      </x:c>
      <x:c r="DJ190" s="171" t="str">
        <x:f>IF(DC190="","",F190*ABS(DH190))</x:f>
      </x:c>
      <x:c r="DK190" s="165"/>
      <x:c r="DL190" s="172" t="str">
        <x:f>IF(DC190="","",IF(DK190="","",IFERROR(DF190/DK190-1,0)))</x:f>
      </x:c>
      <x:c r="DM190" s="166"/>
      <x:c r="DN190" s="172" t="str">
        <x:f>IF(DC190="","",IF(DM190="","",DM190-DL190*365/DO190))</x:f>
      </x:c>
      <x:c r="DO190" s="164"/>
      <x:c r="DP190" s="172" t="str">
        <x:f>IF(DC190="","",IFERROR(DH190*(DG190/DF190-1),0))</x:f>
      </x:c>
      <x:c r="DQ190" s="147"/>
      <x:c r="DR190" s="147"/>
      <x:c r="DS190" s="147"/>
      <x:c r="DT190" s="167"/>
      <x:c r="DU190" s="167"/>
      <x:c r="DV190" s="166"/>
      <x:c r="DW190" s="171" t="str">
        <x:f>IF(DQ190="","",IFERROR(F190*DV190/DT190,0))</x:f>
      </x:c>
      <x:c r="DX190" s="171" t="str">
        <x:f>IF(DQ190="","",F190*ABS(DV190))</x:f>
      </x:c>
      <x:c r="DY190" s="165"/>
      <x:c r="DZ190" s="172" t="str">
        <x:f>IF(DQ190="","",IF(DY190="","",IFERROR(DT190/DY190-1,0)))</x:f>
      </x:c>
      <x:c r="EA190" s="166"/>
      <x:c r="EB190" s="172" t="str">
        <x:f>IF(DQ190="","",IF(EA190="","",EA190-DZ190*365/EC190))</x:f>
      </x:c>
      <x:c r="EC190" s="164"/>
      <x:c r="ED190" s="172" t="str">
        <x:f>IF(DQ190="","",IFERROR(DV190*(DU190/DT190-1),0))</x:f>
      </x:c>
      <x:c r="EE190" s="147"/>
      <x:c r="EF190" s="147"/>
      <x:c r="EG190" s="147"/>
      <x:c r="EH190" s="167"/>
      <x:c r="EI190" s="167"/>
      <x:c r="EJ190" s="166"/>
      <x:c r="EK190" s="171" t="str">
        <x:f>IF(EE190="","",IFERROR(F190*EJ190/EH190,0))</x:f>
      </x:c>
      <x:c r="EL190" s="171" t="str">
        <x:f>IF(EE190="","",F190*ABS(EJ190))</x:f>
      </x:c>
      <x:c r="EM190" s="165"/>
      <x:c r="EN190" s="172" t="str">
        <x:f>IF(EE190="","",IF(EM190="","",IFERROR(EH190/EM190-1,0)))</x:f>
      </x:c>
      <x:c r="EO190" s="166"/>
      <x:c r="EP190" s="172" t="str">
        <x:f>IF(EE190="","",IF(EO190="","",EO190-EN190*365/EQ190))</x:f>
      </x:c>
      <x:c r="EQ190" s="164"/>
      <x:c r="ER190" s="172" t="str">
        <x:f>IF(EE190="","",IFERROR(EJ190*(EI190/EH190-1),0))</x:f>
      </x:c>
      <x:c r="ES190" s="147"/>
      <x:c r="ET190" s="147"/>
      <x:c r="EU190" s="147"/>
      <x:c r="EV190" s="167"/>
      <x:c r="EW190" s="167"/>
      <x:c r="EX190" s="166"/>
      <x:c r="EY190" s="171" t="str">
        <x:f>IF(ES190="","",IFERROR(F190*EX190/EV190,0))</x:f>
      </x:c>
      <x:c r="EZ190" s="171" t="str">
        <x:f>IF(ES190="","",F190*ABS(EX190))</x:f>
      </x:c>
      <x:c r="FA190" s="165"/>
      <x:c r="FB190" s="172" t="str">
        <x:f>IF(ES190="","",IF(FA190="","",IFERROR(EV190/FA190-1,0)))</x:f>
      </x:c>
      <x:c r="FC190" s="166"/>
      <x:c r="FD190" s="172" t="str">
        <x:f>IF(ES190="","",IF(FC190="","",FC190-FB190*365/FE190))</x:f>
      </x:c>
      <x:c r="FE190" s="164"/>
      <x:c r="FF190" s="172" t="str">
        <x:f>IF(ES190="","",IFERROR(EX190*(EW190/EV190-1),0))</x:f>
      </x:c>
      <x:c r="FG190" s="147"/>
      <x:c r="FH190" s="147"/>
      <x:c r="FI190" s="147"/>
      <x:c r="FJ190" s="167"/>
      <x:c r="FK190" s="167"/>
      <x:c r="FL190" s="166"/>
      <x:c r="FM190" s="171" t="str">
        <x:f>IF(FG190="","",IFERROR(F190*FL190/FJ190,0))</x:f>
      </x:c>
      <x:c r="FN190" s="171" t="str">
        <x:f>IF(FG190="","",F190*ABS(FL190))</x:f>
      </x:c>
      <x:c r="FO190" s="165"/>
      <x:c r="FP190" s="172" t="str">
        <x:f>IF(FG190="","",IF(FO190="","",IFERROR(FJ190/FO190-1,0)))</x:f>
      </x:c>
      <x:c r="FQ190" s="166"/>
      <x:c r="FR190" s="172" t="str">
        <x:f>IF(FG190="","",IF(FQ190="","",FQ190-FP190*365/FS190))</x:f>
      </x:c>
      <x:c r="FS190" s="164"/>
      <x:c r="FT190" s="172" t="str">
        <x:f>IF(FG190="","",IFERROR(FL190*(FK190/FJ190-1),0))</x:f>
      </x:c>
    </x:row>
    <x:row r="191" ht="18" customHeight="1">
      <x:c r="A191" s="163" t="n">
        <x:v>25484</x:v>
      </x:c>
      <x:c r="B191" s="163" t="n">
        <x:v>25485</x:v>
      </x:c>
      <x:c r="C191" s="170" t="n">
        <x:f>B191-A191</x:f>
        <x:v>1</x:v>
      </x:c>
      <x:c r="D191" s="163" t="n">
        <x:v>25484</x:v>
      </x:c>
      <x:c r="E191" s="147" t="str">
        <x:v>neutral</x:v>
      </x:c>
      <x:c r="F191" s="165" t="n">
        <x:v>1.8145841623744945</x:v>
      </x:c>
      <x:c r="G191" s="168" t="n">
        <x:v>0.011512624080433473</x:v>
      </x:c>
      <x:c r="H191" s="172" t="n">
        <x:f>SUM(AX191,BL191,BZ191,CN191,DB191,DP191,ED191,ER191,FF191,FT191)</x:f>
        <x:v>0.011512624080433473</x:v>
      </x:c>
      <x:c r="I191" s="174" t="n">
        <x:f>G191-H191</x:f>
        <x:v>0</x:v>
      </x:c>
      <x:c r="J191" s="171" t="n">
        <x:f>F191*(1+H191)</x:f>
        <x:v>1.8354747876982205</x:v>
      </x:c>
      <x:c r="K191" s="169" t="n">
        <x:v>1.8354747876982205</x:v>
      </x:c>
      <x:c r="L191" s="175" t="n">
        <x:f>K191-J191</x:f>
        <x:v>0</x:v>
      </x:c>
      <x:c r="M191" s="167" t="n">
        <x:v>1.823</x:v>
      </x:c>
      <x:c r="N191" s="167" t="n">
        <x:v>1.844</x:v>
      </x:c>
      <x:c r="O191" s="172" t="n">
        <x:f>IFERROR(N191/M191-1,0)</x:f>
        <x:v>0.011519473395501967</x:v>
      </x:c>
      <x:c r="P191" s="171" t="n">
        <x:f>IFERROR(AD191/AH191,0)</x:f>
        <x:v>1.9489609379754587</x:v>
      </x:c>
      <x:c r="Q191" s="171" t="n">
        <x:f>IFERROR(AE191/AI191,0)</x:f>
        <x:v>1.9489477409507137</x:v>
      </x:c>
      <x:c r="R191" s="172" t="n">
        <x:f>IFERROR((Q191-P191)/(P191+S191),0)</x:f>
        <x:v>-0.000006771313107338608</x:v>
      </x:c>
      <x:c r="S191" s="172" t="n">
        <x:f>IFERROR(AF191/AH191,0)</x:f>
        <x:v>0</x:v>
      </x:c>
      <x:c r="T191" s="172" t="n">
        <x:f>IFERROR(AG191/AI191,0)</x:f>
        <x:v>0</x:v>
      </x:c>
      <x:c r="U191" s="172" t="n">
        <x:f>IFERROR((T191-S191)/(P191+S191),0)</x:f>
        <x:v>0</x:v>
      </x:c>
      <x:c r="V191" s="172" t="n">
        <x:f>R191+U191</x:f>
        <x:v>-0.000006771313107338608</x:v>
      </x:c>
      <x:c r="W191" s="172" t="n">
        <x:f>(1+O191)*(1+V191)-1</x:f>
        <x:v>0.01151262408043352</x:v>
      </x:c>
      <x:c r="X191" s="174" t="n">
        <x:f>G191-W191</x:f>
        <x:v>-4.683753385137379e-17</x:v>
      </x:c>
      <x:c r="Y191" s="172" t="n">
        <x:f>AX191</x:f>
        <x:v>0.011512624080433473</x:v>
      </x:c>
      <x:c r="Z191" s="172" t="str">
        <x:f>BL191</x:f>
      </x:c>
      <x:c r="AA191" s="172" t="n">
        <x:f>SUM(BZ191,CN191,DB191,DP191,ED191,ER191,FF191,FT191)</x:f>
        <x:v>0</x:v>
      </x:c>
      <x:c r="AB191" s="172" t="n">
        <x:f>SUM(Y191:AA191)</x:f>
        <x:v>0.011512624080433473</x:v>
      </x:c>
      <x:c r="AC191" s="174" t="n">
        <x:f>G191-AB191</x:f>
        <x:v>0</x:v>
      </x:c>
      <x:c r="AD191" s="169" t="n">
        <x:v>1.814584162374495</x:v>
      </x:c>
      <x:c r="AE191" s="169" t="n">
        <x:v>1.8354747876982207</x:v>
      </x:c>
      <x:c r="AF191" s="169" t="n">
        <x:v>0</x:v>
      </x:c>
      <x:c r="AG191" s="169" t="n">
        <x:v>0</x:v>
      </x:c>
      <x:c r="AH191" s="171" t="n">
        <x:f>M191/$M$3</x:f>
        <x:v>0.9310520939734422</x:v>
      </x:c>
      <x:c r="AI191" s="171" t="n">
        <x:f>N191/$M$3</x:f>
        <x:v>0.9417773237997957</x:v>
      </x:c>
      <x:c r="AJ191" s="170" t="n">
        <x:f>IF(AK191&lt;&gt;"",1,0)+IF(AY191&lt;&gt;"",1,0)+IF(BM191&lt;&gt;"",1,0)+IF(CA191&lt;&gt;"",1,0)+IF(CO191&lt;&gt;"",1,0)+IF(DC191&lt;&gt;"",1,0)+IF(DQ191&lt;&gt;"",1,0)+IF(EE191&lt;&gt;"",1,0)+IF(ES191&lt;&gt;"",1,0)+IF(FG191&lt;&gt;"",1,0)</x:f>
        <x:v>1</x:v>
      </x:c>
      <x:c r="AK191" s="147" t="str">
        <x:v>Silver replicating holding (LBMA/SLV proxy)</x:v>
      </x:c>
      <x:c r="AL191" s="147" t="str">
        <x:v>Physical-backed proxy</x:v>
      </x:c>
      <x:c r="AM191" s="147" t="str">
        <x:v>Long</x:v>
      </x:c>
      <x:c r="AN191" s="167" t="n">
        <x:v>1.823</x:v>
      </x:c>
      <x:c r="AO191" s="167" t="n">
        <x:v>1.844</x:v>
      </x:c>
      <x:c r="AP191" s="166" t="n">
        <x:v>1</x:v>
      </x:c>
      <x:c r="AQ191" s="171" t="n">
        <x:f>IF(AK191="","",IFERROR(F191*AP191/AN191,0))</x:f>
        <x:v>0.9953835229701012</x:v>
      </x:c>
      <x:c r="AR191" s="171" t="n">
        <x:f>IF(AK191="","",F191*ABS(AP191))</x:f>
        <x:v>1.8145841623744945</x:v>
      </x:c>
      <x:c r="AS191" s="165"/>
      <x:c r="AT191" s="172" t="str">
        <x:f>IF(AK191="","",IF(AS191="","",IFERROR(AN191/AS191-1,0)))</x:f>
      </x:c>
      <x:c r="AU191" s="166"/>
      <x:c r="AV191" s="172" t="str">
        <x:f>IF(AK191="","",IF(AU191="","",AU191-AT191*365/AW191))</x:f>
      </x:c>
      <x:c r="AW191" s="164"/>
      <x:c r="AX191" s="173" t="n">
        <x:f>IF(AK191="","",IFERROR(AP191*(AO191/AN191-1-'Parameters'!$C$6*C191/365),0))</x:f>
        <x:v>0.011512624080433473</x:v>
      </x:c>
      <x:c r="AY191" s="147"/>
      <x:c r="AZ191" s="147"/>
      <x:c r="BA191" s="147"/>
      <x:c r="BB191" s="167"/>
      <x:c r="BC191" s="167"/>
      <x:c r="BD191" s="166"/>
      <x:c r="BE191" s="171" t="str">
        <x:f>IF(AY191="","",IFERROR(F191*BD191/BB191,0))</x:f>
      </x:c>
      <x:c r="BF191" s="171" t="str">
        <x:f>IF(AY191="","",F191*ABS(BD191))</x:f>
      </x:c>
      <x:c r="BG191" s="165"/>
      <x:c r="BH191" s="172" t="str">
        <x:f>IF(AY191="","",IF(BG191="","",IFERROR(BB191/BG191-1,0)))</x:f>
      </x:c>
      <x:c r="BI191" s="166"/>
      <x:c r="BJ191" s="172" t="str">
        <x:f>IF(AY191="","",IF(BI191="","",BI191-BH191*365/BK191))</x:f>
      </x:c>
      <x:c r="BK191" s="164"/>
      <x:c r="BL191" s="172" t="str">
        <x:f>IF(AY191="","",IFERROR(BD191*(BC191/BB191-1),0))</x:f>
      </x:c>
      <x:c r="BM191" s="147"/>
      <x:c r="BN191" s="147"/>
      <x:c r="BO191" s="147"/>
      <x:c r="BP191" s="167"/>
      <x:c r="BQ191" s="167"/>
      <x:c r="BR191" s="166"/>
      <x:c r="BS191" s="171" t="str">
        <x:f>IF(BM191="","",IFERROR(F191*BR191/BP191,0))</x:f>
      </x:c>
      <x:c r="BT191" s="171" t="str">
        <x:f>IF(BM191="","",F191*ABS(BR191))</x:f>
      </x:c>
      <x:c r="BU191" s="165"/>
      <x:c r="BV191" s="172" t="str">
        <x:f>IF(BM191="","",IF(BU191="","",IFERROR(BP191/BU191-1,0)))</x:f>
      </x:c>
      <x:c r="BW191" s="166"/>
      <x:c r="BX191" s="172" t="str">
        <x:f>IF(BM191="","",IF(BW191="","",BW191-BV191*365/BY191))</x:f>
      </x:c>
      <x:c r="BY191" s="164"/>
      <x:c r="BZ191" s="172" t="str">
        <x:f>IF(BM191="","",IFERROR(BR191*(BQ191/BP191-1),0))</x:f>
      </x:c>
      <x:c r="CA191" s="147"/>
      <x:c r="CB191" s="147"/>
      <x:c r="CC191" s="147"/>
      <x:c r="CD191" s="167"/>
      <x:c r="CE191" s="167"/>
      <x:c r="CF191" s="166"/>
      <x:c r="CG191" s="171" t="str">
        <x:f>IF(CA191="","",IFERROR(F191*CF191/CD191,0))</x:f>
      </x:c>
      <x:c r="CH191" s="171" t="str">
        <x:f>IF(CA191="","",F191*ABS(CF191))</x:f>
      </x:c>
      <x:c r="CI191" s="165"/>
      <x:c r="CJ191" s="172" t="str">
        <x:f>IF(CA191="","",IF(CI191="","",IFERROR(CD191/CI191-1,0)))</x:f>
      </x:c>
      <x:c r="CK191" s="166"/>
      <x:c r="CL191" s="172" t="str">
        <x:f>IF(CA191="","",IF(CK191="","",CK191-CJ191*365/CM191))</x:f>
      </x:c>
      <x:c r="CM191" s="164"/>
      <x:c r="CN191" s="172" t="str">
        <x:f>IF(CA191="","",IFERROR(CF191*(CE191/CD191-1),0))</x:f>
      </x:c>
      <x:c r="CO191" s="147"/>
      <x:c r="CP191" s="147"/>
      <x:c r="CQ191" s="147"/>
      <x:c r="CR191" s="167"/>
      <x:c r="CS191" s="167"/>
      <x:c r="CT191" s="166"/>
      <x:c r="CU191" s="171" t="str">
        <x:f>IF(CO191="","",IFERROR(F191*CT191/CR191,0))</x:f>
      </x:c>
      <x:c r="CV191" s="171" t="str">
        <x:f>IF(CO191="","",F191*ABS(CT191))</x:f>
      </x:c>
      <x:c r="CW191" s="165"/>
      <x:c r="CX191" s="172" t="str">
        <x:f>IF(CO191="","",IF(CW191="","",IFERROR(CR191/CW191-1,0)))</x:f>
      </x:c>
      <x:c r="CY191" s="166"/>
      <x:c r="CZ191" s="172" t="str">
        <x:f>IF(CO191="","",IF(CY191="","",CY191-CX191*365/DA191))</x:f>
      </x:c>
      <x:c r="DA191" s="164"/>
      <x:c r="DB191" s="172" t="str">
        <x:f>IF(CO191="","",IFERROR(CT191*(CS191/CR191-1),0))</x:f>
      </x:c>
      <x:c r="DC191" s="147"/>
      <x:c r="DD191" s="147"/>
      <x:c r="DE191" s="147"/>
      <x:c r="DF191" s="167"/>
      <x:c r="DG191" s="167"/>
      <x:c r="DH191" s="166"/>
      <x:c r="DI191" s="171" t="str">
        <x:f>IF(DC191="","",IFERROR(F191*DH191/DF191,0))</x:f>
      </x:c>
      <x:c r="DJ191" s="171" t="str">
        <x:f>IF(DC191="","",F191*ABS(DH191))</x:f>
      </x:c>
      <x:c r="DK191" s="165"/>
      <x:c r="DL191" s="172" t="str">
        <x:f>IF(DC191="","",IF(DK191="","",IFERROR(DF191/DK191-1,0)))</x:f>
      </x:c>
      <x:c r="DM191" s="166"/>
      <x:c r="DN191" s="172" t="str">
        <x:f>IF(DC191="","",IF(DM191="","",DM191-DL191*365/DO191))</x:f>
      </x:c>
      <x:c r="DO191" s="164"/>
      <x:c r="DP191" s="172" t="str">
        <x:f>IF(DC191="","",IFERROR(DH191*(DG191/DF191-1),0))</x:f>
      </x:c>
      <x:c r="DQ191" s="147"/>
      <x:c r="DR191" s="147"/>
      <x:c r="DS191" s="147"/>
      <x:c r="DT191" s="167"/>
      <x:c r="DU191" s="167"/>
      <x:c r="DV191" s="166"/>
      <x:c r="DW191" s="171" t="str">
        <x:f>IF(DQ191="","",IFERROR(F191*DV191/DT191,0))</x:f>
      </x:c>
      <x:c r="DX191" s="171" t="str">
        <x:f>IF(DQ191="","",F191*ABS(DV191))</x:f>
      </x:c>
      <x:c r="DY191" s="165"/>
      <x:c r="DZ191" s="172" t="str">
        <x:f>IF(DQ191="","",IF(DY191="","",IFERROR(DT191/DY191-1,0)))</x:f>
      </x:c>
      <x:c r="EA191" s="166"/>
      <x:c r="EB191" s="172" t="str">
        <x:f>IF(DQ191="","",IF(EA191="","",EA191-DZ191*365/EC191))</x:f>
      </x:c>
      <x:c r="EC191" s="164"/>
      <x:c r="ED191" s="172" t="str">
        <x:f>IF(DQ191="","",IFERROR(DV191*(DU191/DT191-1),0))</x:f>
      </x:c>
      <x:c r="EE191" s="147"/>
      <x:c r="EF191" s="147"/>
      <x:c r="EG191" s="147"/>
      <x:c r="EH191" s="167"/>
      <x:c r="EI191" s="167"/>
      <x:c r="EJ191" s="166"/>
      <x:c r="EK191" s="171" t="str">
        <x:f>IF(EE191="","",IFERROR(F191*EJ191/EH191,0))</x:f>
      </x:c>
      <x:c r="EL191" s="171" t="str">
        <x:f>IF(EE191="","",F191*ABS(EJ191))</x:f>
      </x:c>
      <x:c r="EM191" s="165"/>
      <x:c r="EN191" s="172" t="str">
        <x:f>IF(EE191="","",IF(EM191="","",IFERROR(EH191/EM191-1,0)))</x:f>
      </x:c>
      <x:c r="EO191" s="166"/>
      <x:c r="EP191" s="172" t="str">
        <x:f>IF(EE191="","",IF(EO191="","",EO191-EN191*365/EQ191))</x:f>
      </x:c>
      <x:c r="EQ191" s="164"/>
      <x:c r="ER191" s="172" t="str">
        <x:f>IF(EE191="","",IFERROR(EJ191*(EI191/EH191-1),0))</x:f>
      </x:c>
      <x:c r="ES191" s="147"/>
      <x:c r="ET191" s="147"/>
      <x:c r="EU191" s="147"/>
      <x:c r="EV191" s="167"/>
      <x:c r="EW191" s="167"/>
      <x:c r="EX191" s="166"/>
      <x:c r="EY191" s="171" t="str">
        <x:f>IF(ES191="","",IFERROR(F191*EX191/EV191,0))</x:f>
      </x:c>
      <x:c r="EZ191" s="171" t="str">
        <x:f>IF(ES191="","",F191*ABS(EX191))</x:f>
      </x:c>
      <x:c r="FA191" s="165"/>
      <x:c r="FB191" s="172" t="str">
        <x:f>IF(ES191="","",IF(FA191="","",IFERROR(EV191/FA191-1,0)))</x:f>
      </x:c>
      <x:c r="FC191" s="166"/>
      <x:c r="FD191" s="172" t="str">
        <x:f>IF(ES191="","",IF(FC191="","",FC191-FB191*365/FE191))</x:f>
      </x:c>
      <x:c r="FE191" s="164"/>
      <x:c r="FF191" s="172" t="str">
        <x:f>IF(ES191="","",IFERROR(EX191*(EW191/EV191-1),0))</x:f>
      </x:c>
      <x:c r="FG191" s="147"/>
      <x:c r="FH191" s="147"/>
      <x:c r="FI191" s="147"/>
      <x:c r="FJ191" s="167"/>
      <x:c r="FK191" s="167"/>
      <x:c r="FL191" s="166"/>
      <x:c r="FM191" s="171" t="str">
        <x:f>IF(FG191="","",IFERROR(F191*FL191/FJ191,0))</x:f>
      </x:c>
      <x:c r="FN191" s="171" t="str">
        <x:f>IF(FG191="","",F191*ABS(FL191))</x:f>
      </x:c>
      <x:c r="FO191" s="165"/>
      <x:c r="FP191" s="172" t="str">
        <x:f>IF(FG191="","",IF(FO191="","",IFERROR(FJ191/FO191-1,0)))</x:f>
      </x:c>
      <x:c r="FQ191" s="166"/>
      <x:c r="FR191" s="172" t="str">
        <x:f>IF(FG191="","",IF(FQ191="","",FQ191-FP191*365/FS191))</x:f>
      </x:c>
      <x:c r="FS191" s="164"/>
      <x:c r="FT191" s="172" t="str">
        <x:f>IF(FG191="","",IFERROR(FL191*(FK191/FJ191-1),0))</x:f>
      </x:c>
    </x:row>
    <x:row r="192" ht="18" customHeight="1">
      <x:c r="A192" s="163" t="n">
        <x:v>25485</x:v>
      </x:c>
      <x:c r="B192" s="163" t="n">
        <x:v>25486</x:v>
      </x:c>
      <x:c r="C192" s="170" t="n">
        <x:f>B192-A192</x:f>
        <x:v>1</x:v>
      </x:c>
      <x:c r="D192" s="163" t="n">
        <x:v>25485</x:v>
      </x:c>
      <x:c r="E192" s="147" t="str">
        <x:v>positive</x:v>
      </x:c>
      <x:c r="F192" s="165" t="n">
        <x:v>1.8354747876982205</x:v>
      </x:c>
      <x:c r="G192" s="168" t="n">
        <x:v>-0.001992060608308249</x:v>
      </x:c>
      <x:c r="H192" s="172" t="n">
        <x:f>SUM(AX192,BL192,BZ192,CN192,DB192,DP192,ED192,ER192,FF192,FT192)</x:f>
        <x:v>-0.0019920606083082435</x:v>
      </x:c>
      <x:c r="I192" s="174" t="n">
        <x:f>G192-H192</x:f>
        <x:v>-5.637851296924623e-18</x:v>
      </x:c>
      <x:c r="J192" s="171" t="n">
        <x:f>F192*(1+H192)</x:f>
        <x:v>1.831818410676104</x:v>
      </x:c>
      <x:c r="K192" s="169" t="n">
        <x:v>1.831818410676104</x:v>
      </x:c>
      <x:c r="L192" s="175" t="n">
        <x:f>K192-J192</x:f>
        <x:v>0</x:v>
      </x:c>
      <x:c r="M192" s="167" t="n">
        <x:v>1.844</x:v>
      </x:c>
      <x:c r="N192" s="167" t="n">
        <x:v>1.84</x:v>
      </x:c>
      <x:c r="O192" s="172" t="n">
        <x:f>IFERROR(N192/M192-1,0)</x:f>
        <x:v>-0.002169197396963085</x:v>
      </x:c>
      <x:c r="P192" s="171" t="n">
        <x:f>IFERROR(AD192/AH192,0)</x:f>
        <x:v>1.9489477409507137</x:v>
      </x:c>
      <x:c r="Q192" s="171" t="n">
        <x:f>IFERROR(AE192/AI192,0)</x:f>
        <x:v>1.94929372179555</x:v>
      </x:c>
      <x:c r="R192" s="172" t="n">
        <x:f>IFERROR((Q192-P192)/(P192+S192),0)</x:f>
        <x:v>0.0001775218686302525</x:v>
      </x:c>
      <x:c r="S192" s="172" t="n">
        <x:f>IFERROR(AF192/AH192,0)</x:f>
        <x:v>0</x:v>
      </x:c>
      <x:c r="T192" s="172" t="n">
        <x:f>IFERROR(AG192/AI192,0)</x:f>
        <x:v>0</x:v>
      </x:c>
      <x:c r="U192" s="172" t="n">
        <x:f>IFERROR((T192-S192)/(P192+S192),0)</x:f>
        <x:v>0</x:v>
      </x:c>
      <x:c r="V192" s="172" t="n">
        <x:f>R192+U192</x:f>
        <x:v>0.0001775218686302525</x:v>
      </x:c>
      <x:c r="W192" s="172" t="n">
        <x:f>(1+O192)*(1+V192)-1</x:f>
        <x:v>-0.001992060608308255</x:v>
      </x:c>
      <x:c r="X192" s="174" t="n">
        <x:f>G192-W192</x:f>
        <x:v>5.637851296924623e-18</x:v>
      </x:c>
      <x:c r="Y192" s="172" t="n">
        <x:f>AX192</x:f>
        <x:v>-0.002007021128372683</x:v>
      </x:c>
      <x:c r="Z192" s="172" t="n">
        <x:f>BL192</x:f>
        <x:v>0.000014960520064439615</x:v>
      </x:c>
      <x:c r="AA192" s="172" t="n">
        <x:f>SUM(BZ192,CN192,DB192,DP192,ED192,ER192,FF192,FT192)</x:f>
        <x:v>0</x:v>
      </x:c>
      <x:c r="AB192" s="172" t="n">
        <x:f>SUM(Y192:AA192)</x:f>
        <x:v>-0.0019920606083082435</x:v>
      </x:c>
      <x:c r="AC192" s="174" t="n">
        <x:f>G192-AB192</x:f>
        <x:v>-5.637851296924623e-18</x:v>
      </x:c>
      <x:c r="AD192" s="169" t="n">
        <x:v>1.8354747876982207</x:v>
      </x:c>
      <x:c r="AE192" s="169" t="n">
        <x:v>1.8318184106761042</x:v>
      </x:c>
      <x:c r="AF192" s="169" t="n">
        <x:v>0</x:v>
      </x:c>
      <x:c r="AG192" s="169" t="n">
        <x:v>0</x:v>
      </x:c>
      <x:c r="AH192" s="171" t="n">
        <x:f>M192/$M$3</x:f>
        <x:v>0.9417773237997957</x:v>
      </x:c>
      <x:c r="AI192" s="171" t="n">
        <x:f>N192/$M$3</x:f>
        <x:v>0.9397344228804904</x:v>
      </x:c>
      <x:c r="AJ192" s="170" t="n">
        <x:f>IF(AK192&lt;&gt;"",1,0)+IF(AY192&lt;&gt;"",1,0)+IF(BM192&lt;&gt;"",1,0)+IF(CA192&lt;&gt;"",1,0)+IF(CO192&lt;&gt;"",1,0)+IF(DC192&lt;&gt;"",1,0)+IF(DQ192&lt;&gt;"",1,0)+IF(EE192&lt;&gt;"",1,0)+IF(ES192&lt;&gt;"",1,0)+IF(FG192&lt;&gt;"",1,0)</x:f>
        <x:v>3</x:v>
      </x:c>
      <x:c r="AK192" s="147" t="str">
        <x:v>Silver replicating holding (LBMA/SLV proxy)</x:v>
      </x:c>
      <x:c r="AL192" s="147" t="str">
        <x:v>Physical-backed proxy</x:v>
      </x:c>
      <x:c r="AM192" s="147" t="str">
        <x:v>Long</x:v>
      </x:c>
      <x:c r="AN192" s="167" t="n">
        <x:v>1.844</x:v>
      </x:c>
      <x:c r="AO192" s="167" t="n">
        <x:v>1.84</x:v>
      </x:c>
      <x:c r="AP192" s="166" t="n">
        <x:v>0.9223244690822417</x:v>
      </x:c>
      <x:c r="AQ192" s="171" t="n">
        <x:f>IF(AK192="","",IFERROR(F192*AP192/AN192,0))</x:f>
        <x:v>0.9180603628403479</x:v>
      </x:c>
      <x:c r="AR192" s="171" t="n">
        <x:f>IF(AK192="","",F192*ABS(AP192))</x:f>
        <x:v>1.6929033090776016</x:v>
      </x:c>
      <x:c r="AS192" s="165"/>
      <x:c r="AT192" s="172" t="str">
        <x:f>IF(AK192="","",IF(AS192="","",IFERROR(AN192/AS192-1,0)))</x:f>
      </x:c>
      <x:c r="AU192" s="166"/>
      <x:c r="AV192" s="172" t="str">
        <x:f>IF(AK192="","",IF(AU192="","",AU192-AT192*365/AW192))</x:f>
      </x:c>
      <x:c r="AW192" s="164"/>
      <x:c r="AX192" s="173" t="n">
        <x:f>IF(AK192="","",IFERROR(AP192*(AO192/AN192-1-'Parameters'!$C$6*C192/365),0))</x:f>
        <x:v>-0.002007021128372683</x:v>
      </x:c>
      <x:c r="AY192" s="147" t="str">
        <x:v>Matched-maturity Treasury collateral</x:v>
      </x:c>
      <x:c r="AZ192" s="147" t="str">
        <x:v>Treasury</x:v>
      </x:c>
      <x:c r="BA192" s="147" t="str">
        <x:v>Long</x:v>
      </x:c>
      <x:c r="BB192" s="167" t="n">
        <x:v>105.07466716176963</x:v>
      </x:c>
      <x:c r="BC192" s="167" t="n">
        <x:v>105.0949048305408</x:v>
      </x:c>
      <x:c r="BD192" s="166" t="n">
        <x:v>0.07767553091775825</x:v>
      </x:c>
      <x:c r="BE192" s="171" t="n">
        <x:f>IF(AY192="","",IFERROR(F192*BD192/BB192,0))</x:f>
        <x:v>0.0013568587221991421</x:v>
      </x:c>
      <x:c r="BF192" s="171" t="n">
        <x:f>IF(AY192="","",F192*ABS(BD192))</x:f>
        <x:v>0.1425714786206189</x:v>
      </x:c>
      <x:c r="BG192" s="165"/>
      <x:c r="BH192" s="172" t="str">
        <x:f>IF(AY192="","",IF(BG192="","",IFERROR(BB192/BG192-1,0)))</x:f>
      </x:c>
      <x:c r="BI192" s="166"/>
      <x:c r="BJ192" s="172" t="str">
        <x:f>IF(AY192="","",IF(BI192="","",BI192-BH192*365/BK192))</x:f>
      </x:c>
      <x:c r="BK192" s="164" t="n">
        <x:v>81</x:v>
      </x:c>
      <x:c r="BL192" s="172" t="n">
        <x:f>IF(AY192="","",IFERROR(BD192*(BC192/BB192-1),0))</x:f>
        <x:v>0.000014960520064439615</x:v>
      </x:c>
      <x:c r="BM192" s="147" t="str">
        <x:v>SI69Z</x:v>
      </x:c>
      <x:c r="BN192" s="147" t="str">
        <x:v>Silver future (regular)</x:v>
      </x:c>
      <x:c r="BO192" s="147" t="str">
        <x:v>Long</x:v>
      </x:c>
      <x:c r="BP192" s="167" t="n">
        <x:v>1.868</x:v>
      </x:c>
      <x:c r="BQ192" s="167" t="n">
        <x:v>1.868</x:v>
      </x:c>
      <x:c r="BR192" s="166" t="n">
        <x:v>0.07767553091775825</x:v>
      </x:c>
      <x:c r="BS192" s="171" t="n">
        <x:f>IF(BM192="","",IFERROR(F192*BR192/BP192,0))</x:f>
        <x:v>0.07632306136007434</x:v>
      </x:c>
      <x:c r="BT192" s="171" t="n">
        <x:f>IF(BM192="","",F192*ABS(BR192))</x:f>
        <x:v>0.1425714786206189</x:v>
      </x:c>
      <x:c r="BU192" s="165" t="n">
        <x:v>1.844</x:v>
      </x:c>
      <x:c r="BV192" s="172" t="n">
        <x:f>IF(BM192="","",IF(BU192="","",IFERROR(BP192/BU192-1,0)))</x:f>
        <x:v>0.013015184381778733</x:v>
      </x:c>
      <x:c r="BW192" s="166" t="n">
        <x:v>0.0703</x:v>
      </x:c>
      <x:c r="BX192" s="172" t="n">
        <x:f>IF(BM192="","",IF(BW192="","",BW192-BV192*365/BY192))</x:f>
        <x:v>0.011651329637663736</x:v>
      </x:c>
      <x:c r="BY192" s="164" t="n">
        <x:v>81</x:v>
      </x:c>
      <x:c r="BZ192" s="172" t="n">
        <x:f>IF(BM192="","",IFERROR(BR192*(BQ192/BP192-1),0))</x:f>
        <x:v>0</x:v>
      </x:c>
      <x:c r="CA192" s="147"/>
      <x:c r="CB192" s="147"/>
      <x:c r="CC192" s="147"/>
      <x:c r="CD192" s="167"/>
      <x:c r="CE192" s="167"/>
      <x:c r="CF192" s="166"/>
      <x:c r="CG192" s="171" t="str">
        <x:f>IF(CA192="","",IFERROR(F192*CF192/CD192,0))</x:f>
      </x:c>
      <x:c r="CH192" s="171" t="str">
        <x:f>IF(CA192="","",F192*ABS(CF192))</x:f>
      </x:c>
      <x:c r="CI192" s="165"/>
      <x:c r="CJ192" s="172" t="str">
        <x:f>IF(CA192="","",IF(CI192="","",IFERROR(CD192/CI192-1,0)))</x:f>
      </x:c>
      <x:c r="CK192" s="166"/>
      <x:c r="CL192" s="172" t="str">
        <x:f>IF(CA192="","",IF(CK192="","",CK192-CJ192*365/CM192))</x:f>
      </x:c>
      <x:c r="CM192" s="164"/>
      <x:c r="CN192" s="172" t="str">
        <x:f>IF(CA192="","",IFERROR(CF192*(CE192/CD192-1),0))</x:f>
      </x:c>
      <x:c r="CO192" s="147"/>
      <x:c r="CP192" s="147"/>
      <x:c r="CQ192" s="147"/>
      <x:c r="CR192" s="167"/>
      <x:c r="CS192" s="167"/>
      <x:c r="CT192" s="166"/>
      <x:c r="CU192" s="171" t="str">
        <x:f>IF(CO192="","",IFERROR(F192*CT192/CR192,0))</x:f>
      </x:c>
      <x:c r="CV192" s="171" t="str">
        <x:f>IF(CO192="","",F192*ABS(CT192))</x:f>
      </x:c>
      <x:c r="CW192" s="165"/>
      <x:c r="CX192" s="172" t="str">
        <x:f>IF(CO192="","",IF(CW192="","",IFERROR(CR192/CW192-1,0)))</x:f>
      </x:c>
      <x:c r="CY192" s="166"/>
      <x:c r="CZ192" s="172" t="str">
        <x:f>IF(CO192="","",IF(CY192="","",CY192-CX192*365/DA192))</x:f>
      </x:c>
      <x:c r="DA192" s="164"/>
      <x:c r="DB192" s="172" t="str">
        <x:f>IF(CO192="","",IFERROR(CT192*(CS192/CR192-1),0))</x:f>
      </x:c>
      <x:c r="DC192" s="147"/>
      <x:c r="DD192" s="147"/>
      <x:c r="DE192" s="147"/>
      <x:c r="DF192" s="167"/>
      <x:c r="DG192" s="167"/>
      <x:c r="DH192" s="166"/>
      <x:c r="DI192" s="171" t="str">
        <x:f>IF(DC192="","",IFERROR(F192*DH192/DF192,0))</x:f>
      </x:c>
      <x:c r="DJ192" s="171" t="str">
        <x:f>IF(DC192="","",F192*ABS(DH192))</x:f>
      </x:c>
      <x:c r="DK192" s="165"/>
      <x:c r="DL192" s="172" t="str">
        <x:f>IF(DC192="","",IF(DK192="","",IFERROR(DF192/DK192-1,0)))</x:f>
      </x:c>
      <x:c r="DM192" s="166"/>
      <x:c r="DN192" s="172" t="str">
        <x:f>IF(DC192="","",IF(DM192="","",DM192-DL192*365/DO192))</x:f>
      </x:c>
      <x:c r="DO192" s="164"/>
      <x:c r="DP192" s="172" t="str">
        <x:f>IF(DC192="","",IFERROR(DH192*(DG192/DF192-1),0))</x:f>
      </x:c>
      <x:c r="DQ192" s="147"/>
      <x:c r="DR192" s="147"/>
      <x:c r="DS192" s="147"/>
      <x:c r="DT192" s="167"/>
      <x:c r="DU192" s="167"/>
      <x:c r="DV192" s="166"/>
      <x:c r="DW192" s="171" t="str">
        <x:f>IF(DQ192="","",IFERROR(F192*DV192/DT192,0))</x:f>
      </x:c>
      <x:c r="DX192" s="171" t="str">
        <x:f>IF(DQ192="","",F192*ABS(DV192))</x:f>
      </x:c>
      <x:c r="DY192" s="165"/>
      <x:c r="DZ192" s="172" t="str">
        <x:f>IF(DQ192="","",IF(DY192="","",IFERROR(DT192/DY192-1,0)))</x:f>
      </x:c>
      <x:c r="EA192" s="166"/>
      <x:c r="EB192" s="172" t="str">
        <x:f>IF(DQ192="","",IF(EA192="","",EA192-DZ192*365/EC192))</x:f>
      </x:c>
      <x:c r="EC192" s="164"/>
      <x:c r="ED192" s="172" t="str">
        <x:f>IF(DQ192="","",IFERROR(DV192*(DU192/DT192-1),0))</x:f>
      </x:c>
      <x:c r="EE192" s="147"/>
      <x:c r="EF192" s="147"/>
      <x:c r="EG192" s="147"/>
      <x:c r="EH192" s="167"/>
      <x:c r="EI192" s="167"/>
      <x:c r="EJ192" s="166"/>
      <x:c r="EK192" s="171" t="str">
        <x:f>IF(EE192="","",IFERROR(F192*EJ192/EH192,0))</x:f>
      </x:c>
      <x:c r="EL192" s="171" t="str">
        <x:f>IF(EE192="","",F192*ABS(EJ192))</x:f>
      </x:c>
      <x:c r="EM192" s="165"/>
      <x:c r="EN192" s="172" t="str">
        <x:f>IF(EE192="","",IF(EM192="","",IFERROR(EH192/EM192-1,0)))</x:f>
      </x:c>
      <x:c r="EO192" s="166"/>
      <x:c r="EP192" s="172" t="str">
        <x:f>IF(EE192="","",IF(EO192="","",EO192-EN192*365/EQ192))</x:f>
      </x:c>
      <x:c r="EQ192" s="164"/>
      <x:c r="ER192" s="172" t="str">
        <x:f>IF(EE192="","",IFERROR(EJ192*(EI192/EH192-1),0))</x:f>
      </x:c>
      <x:c r="ES192" s="147"/>
      <x:c r="ET192" s="147"/>
      <x:c r="EU192" s="147"/>
      <x:c r="EV192" s="167"/>
      <x:c r="EW192" s="167"/>
      <x:c r="EX192" s="166"/>
      <x:c r="EY192" s="171" t="str">
        <x:f>IF(ES192="","",IFERROR(F192*EX192/EV192,0))</x:f>
      </x:c>
      <x:c r="EZ192" s="171" t="str">
        <x:f>IF(ES192="","",F192*ABS(EX192))</x:f>
      </x:c>
      <x:c r="FA192" s="165"/>
      <x:c r="FB192" s="172" t="str">
        <x:f>IF(ES192="","",IF(FA192="","",IFERROR(EV192/FA192-1,0)))</x:f>
      </x:c>
      <x:c r="FC192" s="166"/>
      <x:c r="FD192" s="172" t="str">
        <x:f>IF(ES192="","",IF(FC192="","",FC192-FB192*365/FE192))</x:f>
      </x:c>
      <x:c r="FE192" s="164"/>
      <x:c r="FF192" s="172" t="str">
        <x:f>IF(ES192="","",IFERROR(EX192*(EW192/EV192-1),0))</x:f>
      </x:c>
      <x:c r="FG192" s="147"/>
      <x:c r="FH192" s="147"/>
      <x:c r="FI192" s="147"/>
      <x:c r="FJ192" s="167"/>
      <x:c r="FK192" s="167"/>
      <x:c r="FL192" s="166"/>
      <x:c r="FM192" s="171" t="str">
        <x:f>IF(FG192="","",IFERROR(F192*FL192/FJ192,0))</x:f>
      </x:c>
      <x:c r="FN192" s="171" t="str">
        <x:f>IF(FG192="","",F192*ABS(FL192))</x:f>
      </x:c>
      <x:c r="FO192" s="165"/>
      <x:c r="FP192" s="172" t="str">
        <x:f>IF(FG192="","",IF(FO192="","",IFERROR(FJ192/FO192-1,0)))</x:f>
      </x:c>
      <x:c r="FQ192" s="166"/>
      <x:c r="FR192" s="172" t="str">
        <x:f>IF(FG192="","",IF(FQ192="","",FQ192-FP192*365/FS192))</x:f>
      </x:c>
      <x:c r="FS192" s="164"/>
      <x:c r="FT192" s="172" t="str">
        <x:f>IF(FG192="","",IFERROR(FL192*(FK192/FJ192-1),0))</x:f>
      </x:c>
    </x:row>
    <x:row r="193" ht="18" customHeight="1">
      <x:c r="A193" s="163" t="n">
        <x:v>25486</x:v>
      </x:c>
      <x:c r="B193" s="163" t="n">
        <x:v>25490</x:v>
      </x:c>
      <x:c r="C193" s="170" t="n">
        <x:f>B193-A193</x:f>
        <x:v>4</x:v>
      </x:c>
      <x:c r="D193" s="163" t="n">
        <x:v>25486</x:v>
      </x:c>
      <x:c r="E193" s="147" t="str">
        <x:v>positive</x:v>
      </x:c>
      <x:c r="F193" s="165" t="n">
        <x:v>1.831818410676104</x:v>
      </x:c>
      <x:c r="G193" s="168" t="n">
        <x:v>-0.008214350132162016</x:v>
      </x:c>
      <x:c r="H193" s="172" t="n">
        <x:f>SUM(AX193,BL193,BZ193,CN193,DB193,DP193,ED193,ER193,FF193,FT193)</x:f>
        <x:v>-0.008214350132162014</x:v>
      </x:c>
      <x:c r="I193" s="174" t="n">
        <x:f>G193-H193</x:f>
        <x:v>-1.734723475976807e-18</x:v>
      </x:c>
      <x:c r="J193" s="171" t="n">
        <x:f>F193*(1+H193)</x:f>
        <x:v>1.81677121287227</x:v>
      </x:c>
      <x:c r="K193" s="169" t="n">
        <x:v>1.81677121287227</x:v>
      </x:c>
      <x:c r="L193" s="175" t="n">
        <x:f>K193-J193</x:f>
        <x:v>0</x:v>
      </x:c>
      <x:c r="M193" s="167" t="n">
        <x:v>1.84</x:v>
      </x:c>
      <x:c r="N193" s="167" t="n">
        <x:v>1.825</x:v>
      </x:c>
      <x:c r="O193" s="172" t="n">
        <x:f>IFERROR(N193/M193-1,0)</x:f>
        <x:v>-0.00815217391304357</x:v>
      </x:c>
      <x:c r="P193" s="171" t="n">
        <x:f>IFERROR(AD193/AH193,0)</x:f>
        <x:v>1.94929372179555</x:v>
      </x:c>
      <x:c r="Q193" s="171" t="n">
        <x:f>IFERROR(AE193/AI193,0)</x:f>
        <x:v>1.949171525919948</x:v>
      </x:c>
      <x:c r="R193" s="172" t="n">
        <x:f>IFERROR((Q193-P193)/(P193+S193),0)</x:f>
        <x:v>-0.00006268725653584818</x:v>
      </x:c>
      <x:c r="S193" s="172" t="n">
        <x:f>IFERROR(AF193/AH193,0)</x:f>
        <x:v>0</x:v>
      </x:c>
      <x:c r="T193" s="172" t="n">
        <x:f>IFERROR(AG193/AI193,0)</x:f>
        <x:v>0</x:v>
      </x:c>
      <x:c r="U193" s="172" t="n">
        <x:f>IFERROR((T193-S193)/(P193+S193),0)</x:f>
        <x:v>0</x:v>
      </x:c>
      <x:c r="V193" s="172" t="n">
        <x:f>R193+U193</x:f>
        <x:v>-0.00006268725653584818</x:v>
      </x:c>
      <x:c r="W193" s="172" t="n">
        <x:f>(1+O193)*(1+V193)-1</x:f>
        <x:v>-0.008214350132161985</x:v>
      </x:c>
      <x:c r="X193" s="174" t="n">
        <x:f>G193-W193</x:f>
        <x:v>-3.122502256758253e-17</x:v>
      </x:c>
      <x:c r="Y193" s="172" t="n">
        <x:f>AX193</x:f>
        <x:v>-0.008159359334403772</x:v>
      </x:c>
      <x:c r="Z193" s="172" t="n">
        <x:f>BL193</x:f>
        <x:v>0.0000018901568393887989</x:v>
      </x:c>
      <x:c r="AA193" s="172" t="n">
        <x:f>SUM(BZ193,CN193,DB193,DP193,ED193,ER193,FF193,FT193)</x:f>
        <x:v>-0.000056880954597631727</x:v>
      </x:c>
      <x:c r="AB193" s="172" t="n">
        <x:f>SUM(Y193:AA193)</x:f>
        <x:v>-0.008214350132162014</x:v>
      </x:c>
      <x:c r="AC193" s="174" t="n">
        <x:f>G193-AB193</x:f>
        <x:v>-1.734723475976807e-18</x:v>
      </x:c>
      <x:c r="AD193" s="169" t="n">
        <x:v>1.8318184106761042</x:v>
      </x:c>
      <x:c r="AE193" s="169" t="n">
        <x:v>1.8167712128722702</x:v>
      </x:c>
      <x:c r="AF193" s="169" t="n">
        <x:v>0</x:v>
      </x:c>
      <x:c r="AG193" s="169" t="n">
        <x:v>0</x:v>
      </x:c>
      <x:c r="AH193" s="171" t="n">
        <x:f>M193/$M$3</x:f>
        <x:v>0.9397344228804904</x:v>
      </x:c>
      <x:c r="AI193" s="171" t="n">
        <x:f>N193/$M$3</x:f>
        <x:v>0.932073544433095</x:v>
      </x:c>
      <x:c r="AJ193" s="170" t="n">
        <x:f>IF(AK193&lt;&gt;"",1,0)+IF(AY193&lt;&gt;"",1,0)+IF(BM193&lt;&gt;"",1,0)+IF(CA193&lt;&gt;"",1,0)+IF(CO193&lt;&gt;"",1,0)+IF(DC193&lt;&gt;"",1,0)+IF(DQ193&lt;&gt;"",1,0)+IF(EE193&lt;&gt;"",1,0)+IF(ES193&lt;&gt;"",1,0)+IF(FG193&lt;&gt;"",1,0)</x:f>
        <x:v>3</x:v>
      </x:c>
      <x:c r="AK193" s="147" t="str">
        <x:v>Silver replicating holding (LBMA/SLV proxy)</x:v>
      </x:c>
      <x:c r="AL193" s="147" t="str">
        <x:v>Physical-backed proxy</x:v>
      </x:c>
      <x:c r="AM193" s="147" t="str">
        <x:v>Long</x:v>
      </x:c>
      <x:c r="AN193" s="167" t="n">
        <x:v>1.84</x:v>
      </x:c>
      <x:c r="AO193" s="167" t="n">
        <x:v>1.825</x:v>
      </x:c>
      <x:c r="AP193" s="166" t="n">
        <x:v>0.9975289855072471</x:v>
      </x:c>
      <x:c r="AQ193" s="171" t="n">
        <x:f>IF(AK193="","",IFERROR(F193*AP193/AN193,0))</x:f>
        <x:v>0.9930934569756694</x:v>
      </x:c>
      <x:c r="AR193" s="171" t="n">
        <x:f>IF(AK193="","",F193*ABS(AP193))</x:f>
        <x:v>1.8272919608352318</x:v>
      </x:c>
      <x:c r="AS193" s="165"/>
      <x:c r="AT193" s="172" t="str">
        <x:f>IF(AK193="","",IF(AS193="","",IFERROR(AN193/AS193-1,0)))</x:f>
      </x:c>
      <x:c r="AU193" s="166"/>
      <x:c r="AV193" s="172" t="str">
        <x:f>IF(AK193="","",IF(AU193="","",AU193-AT193*365/AW193))</x:f>
      </x:c>
      <x:c r="AW193" s="164"/>
      <x:c r="AX193" s="173" t="n">
        <x:f>IF(AK193="","",IFERROR(AP193*(AO193/AN193-1-'Parameters'!$C$6*C193/365),0))</x:f>
        <x:v>-0.008159359334403772</x:v>
      </x:c>
      <x:c r="AY193" s="147" t="str">
        <x:v>Matched-maturity Treasury collateral</x:v>
      </x:c>
      <x:c r="AZ193" s="147" t="str">
        <x:v>Treasury</x:v>
      </x:c>
      <x:c r="BA193" s="147" t="str">
        <x:v>Long</x:v>
      </x:c>
      <x:c r="BB193" s="167" t="n">
        <x:v>105.0949048305408</x:v>
      </x:c>
      <x:c r="BC193" s="167" t="n">
        <x:v>105.17529523445504</x:v>
      </x:c>
      <x:c r="BD193" s="166" t="n">
        <x:v>0.002471014492752925</x:v>
      </x:c>
      <x:c r="BE193" s="171" t="n">
        <x:f>IF(AY193="","",IFERROR(F193*BD193/BB193,0))</x:f>
        <x:v>0.00004307011694021618</x:v>
      </x:c>
      <x:c r="BF193" s="171" t="n">
        <x:f>IF(AY193="","",F193*ABS(BD193))</x:f>
        <x:v>0.0045264498408722825</x:v>
      </x:c>
      <x:c r="BG193" s="165"/>
      <x:c r="BH193" s="172" t="str">
        <x:f>IF(AY193="","",IF(BG193="","",IFERROR(BB193/BG193-1,0)))</x:f>
      </x:c>
      <x:c r="BI193" s="166"/>
      <x:c r="BJ193" s="172" t="str">
        <x:f>IF(AY193="","",IF(BI193="","",BI193-BH193*365/BK193))</x:f>
      </x:c>
      <x:c r="BK193" s="164" t="n">
        <x:v>80</x:v>
      </x:c>
      <x:c r="BL193" s="172" t="n">
        <x:f>IF(AY193="","",IFERROR(BD193*(BC193/BB193-1),0))</x:f>
        <x:v>0.0000018901568393887989</x:v>
      </x:c>
      <x:c r="BM193" s="147" t="str">
        <x:v>SI69Z</x:v>
      </x:c>
      <x:c r="BN193" s="147" t="str">
        <x:v>Silver future (regular)</x:v>
      </x:c>
      <x:c r="BO193" s="147" t="str">
        <x:v>Long</x:v>
      </x:c>
      <x:c r="BP193" s="167" t="n">
        <x:v>1.868</x:v>
      </x:c>
      <x:c r="BQ193" s="167" t="n">
        <x:v>1.825</x:v>
      </x:c>
      <x:c r="BR193" s="166" t="n">
        <x:v>0.002471014492752925</x:v>
      </x:c>
      <x:c r="BS193" s="171" t="n">
        <x:f>IF(BM193="","",IFERROR(F193*BR193/BP193,0))</x:f>
        <x:v>0.0024231530197389092</x:v>
      </x:c>
      <x:c r="BT193" s="171" t="n">
        <x:f>IF(BM193="","",F193*ABS(BR193))</x:f>
        <x:v>0.0045264498408722825</x:v>
      </x:c>
      <x:c r="BU193" s="165" t="n">
        <x:v>1.84</x:v>
      </x:c>
      <x:c r="BV193" s="172" t="n">
        <x:f>IF(BM193="","",IF(BU193="","",IFERROR(BP193/BU193-1,0)))</x:f>
        <x:v>0.01521739130434785</x:v>
      </x:c>
      <x:c r="BW193" s="166" t="n">
        <x:v>0.0698</x:v>
      </x:c>
      <x:c r="BX193" s="172" t="n">
        <x:f>IF(BM193="","",IF(BW193="","",BW193-BV193*365/BY193))</x:f>
        <x:v>0.0003706521739129387</x:v>
      </x:c>
      <x:c r="BY193" s="164" t="n">
        <x:v>80</x:v>
      </x:c>
      <x:c r="BZ193" s="172" t="n">
        <x:f>IF(BM193="","",IFERROR(BR193*(BQ193/BP193-1),0))</x:f>
        <x:v>-0.000056880954597631727</x:v>
      </x:c>
      <x:c r="CA193" s="147"/>
      <x:c r="CB193" s="147"/>
      <x:c r="CC193" s="147"/>
      <x:c r="CD193" s="167"/>
      <x:c r="CE193" s="167"/>
      <x:c r="CF193" s="166"/>
      <x:c r="CG193" s="171" t="str">
        <x:f>IF(CA193="","",IFERROR(F193*CF193/CD193,0))</x:f>
      </x:c>
      <x:c r="CH193" s="171" t="str">
        <x:f>IF(CA193="","",F193*ABS(CF193))</x:f>
      </x:c>
      <x:c r="CI193" s="165"/>
      <x:c r="CJ193" s="172" t="str">
        <x:f>IF(CA193="","",IF(CI193="","",IFERROR(CD193/CI193-1,0)))</x:f>
      </x:c>
      <x:c r="CK193" s="166"/>
      <x:c r="CL193" s="172" t="str">
        <x:f>IF(CA193="","",IF(CK193="","",CK193-CJ193*365/CM193))</x:f>
      </x:c>
      <x:c r="CM193" s="164"/>
      <x:c r="CN193" s="172" t="str">
        <x:f>IF(CA193="","",IFERROR(CF193*(CE193/CD193-1),0))</x:f>
      </x:c>
      <x:c r="CO193" s="147"/>
      <x:c r="CP193" s="147"/>
      <x:c r="CQ193" s="147"/>
      <x:c r="CR193" s="167"/>
      <x:c r="CS193" s="167"/>
      <x:c r="CT193" s="166"/>
      <x:c r="CU193" s="171" t="str">
        <x:f>IF(CO193="","",IFERROR(F193*CT193/CR193,0))</x:f>
      </x:c>
      <x:c r="CV193" s="171" t="str">
        <x:f>IF(CO193="","",F193*ABS(CT193))</x:f>
      </x:c>
      <x:c r="CW193" s="165"/>
      <x:c r="CX193" s="172" t="str">
        <x:f>IF(CO193="","",IF(CW193="","",IFERROR(CR193/CW193-1,0)))</x:f>
      </x:c>
      <x:c r="CY193" s="166"/>
      <x:c r="CZ193" s="172" t="str">
        <x:f>IF(CO193="","",IF(CY193="","",CY193-CX193*365/DA193))</x:f>
      </x:c>
      <x:c r="DA193" s="164"/>
      <x:c r="DB193" s="172" t="str">
        <x:f>IF(CO193="","",IFERROR(CT193*(CS193/CR193-1),0))</x:f>
      </x:c>
      <x:c r="DC193" s="147"/>
      <x:c r="DD193" s="147"/>
      <x:c r="DE193" s="147"/>
      <x:c r="DF193" s="167"/>
      <x:c r="DG193" s="167"/>
      <x:c r="DH193" s="166"/>
      <x:c r="DI193" s="171" t="str">
        <x:f>IF(DC193="","",IFERROR(F193*DH193/DF193,0))</x:f>
      </x:c>
      <x:c r="DJ193" s="171" t="str">
        <x:f>IF(DC193="","",F193*ABS(DH193))</x:f>
      </x:c>
      <x:c r="DK193" s="165"/>
      <x:c r="DL193" s="172" t="str">
        <x:f>IF(DC193="","",IF(DK193="","",IFERROR(DF193/DK193-1,0)))</x:f>
      </x:c>
      <x:c r="DM193" s="166"/>
      <x:c r="DN193" s="172" t="str">
        <x:f>IF(DC193="","",IF(DM193="","",DM193-DL193*365/DO193))</x:f>
      </x:c>
      <x:c r="DO193" s="164"/>
      <x:c r="DP193" s="172" t="str">
        <x:f>IF(DC193="","",IFERROR(DH193*(DG193/DF193-1),0))</x:f>
      </x:c>
      <x:c r="DQ193" s="147"/>
      <x:c r="DR193" s="147"/>
      <x:c r="DS193" s="147"/>
      <x:c r="DT193" s="167"/>
      <x:c r="DU193" s="167"/>
      <x:c r="DV193" s="166"/>
      <x:c r="DW193" s="171" t="str">
        <x:f>IF(DQ193="","",IFERROR(F193*DV193/DT193,0))</x:f>
      </x:c>
      <x:c r="DX193" s="171" t="str">
        <x:f>IF(DQ193="","",F193*ABS(DV193))</x:f>
      </x:c>
      <x:c r="DY193" s="165"/>
      <x:c r="DZ193" s="172" t="str">
        <x:f>IF(DQ193="","",IF(DY193="","",IFERROR(DT193/DY193-1,0)))</x:f>
      </x:c>
      <x:c r="EA193" s="166"/>
      <x:c r="EB193" s="172" t="str">
        <x:f>IF(DQ193="","",IF(EA193="","",EA193-DZ193*365/EC193))</x:f>
      </x:c>
      <x:c r="EC193" s="164"/>
      <x:c r="ED193" s="172" t="str">
        <x:f>IF(DQ193="","",IFERROR(DV193*(DU193/DT193-1),0))</x:f>
      </x:c>
      <x:c r="EE193" s="147"/>
      <x:c r="EF193" s="147"/>
      <x:c r="EG193" s="147"/>
      <x:c r="EH193" s="167"/>
      <x:c r="EI193" s="167"/>
      <x:c r="EJ193" s="166"/>
      <x:c r="EK193" s="171" t="str">
        <x:f>IF(EE193="","",IFERROR(F193*EJ193/EH193,0))</x:f>
      </x:c>
      <x:c r="EL193" s="171" t="str">
        <x:f>IF(EE193="","",F193*ABS(EJ193))</x:f>
      </x:c>
      <x:c r="EM193" s="165"/>
      <x:c r="EN193" s="172" t="str">
        <x:f>IF(EE193="","",IF(EM193="","",IFERROR(EH193/EM193-1,0)))</x:f>
      </x:c>
      <x:c r="EO193" s="166"/>
      <x:c r="EP193" s="172" t="str">
        <x:f>IF(EE193="","",IF(EO193="","",EO193-EN193*365/EQ193))</x:f>
      </x:c>
      <x:c r="EQ193" s="164"/>
      <x:c r="ER193" s="172" t="str">
        <x:f>IF(EE193="","",IFERROR(EJ193*(EI193/EH193-1),0))</x:f>
      </x:c>
      <x:c r="ES193" s="147"/>
      <x:c r="ET193" s="147"/>
      <x:c r="EU193" s="147"/>
      <x:c r="EV193" s="167"/>
      <x:c r="EW193" s="167"/>
      <x:c r="EX193" s="166"/>
      <x:c r="EY193" s="171" t="str">
        <x:f>IF(ES193="","",IFERROR(F193*EX193/EV193,0))</x:f>
      </x:c>
      <x:c r="EZ193" s="171" t="str">
        <x:f>IF(ES193="","",F193*ABS(EX193))</x:f>
      </x:c>
      <x:c r="FA193" s="165"/>
      <x:c r="FB193" s="172" t="str">
        <x:f>IF(ES193="","",IF(FA193="","",IFERROR(EV193/FA193-1,0)))</x:f>
      </x:c>
      <x:c r="FC193" s="166"/>
      <x:c r="FD193" s="172" t="str">
        <x:f>IF(ES193="","",IF(FC193="","",FC193-FB193*365/FE193))</x:f>
      </x:c>
      <x:c r="FE193" s="164"/>
      <x:c r="FF193" s="172" t="str">
        <x:f>IF(ES193="","",IFERROR(EX193*(EW193/EV193-1),0))</x:f>
      </x:c>
      <x:c r="FG193" s="147"/>
      <x:c r="FH193" s="147"/>
      <x:c r="FI193" s="147"/>
      <x:c r="FJ193" s="167"/>
      <x:c r="FK193" s="167"/>
      <x:c r="FL193" s="166"/>
      <x:c r="FM193" s="171" t="str">
        <x:f>IF(FG193="","",IFERROR(F193*FL193/FJ193,0))</x:f>
      </x:c>
      <x:c r="FN193" s="171" t="str">
        <x:f>IF(FG193="","",F193*ABS(FL193))</x:f>
      </x:c>
      <x:c r="FO193" s="165"/>
      <x:c r="FP193" s="172" t="str">
        <x:f>IF(FG193="","",IF(FO193="","",IFERROR(FJ193/FO193-1,0)))</x:f>
      </x:c>
      <x:c r="FQ193" s="166"/>
      <x:c r="FR193" s="172" t="str">
        <x:f>IF(FG193="","",IF(FQ193="","",FQ193-FP193*365/FS193))</x:f>
      </x:c>
      <x:c r="FS193" s="164"/>
      <x:c r="FT193" s="172" t="str">
        <x:f>IF(FG193="","",IFERROR(FL193*(FK193/FJ193-1),0))</x:f>
      </x:c>
    </x:row>
    <x:row r="194" ht="18" customHeight="1">
      <x:c r="A194" s="163" t="n">
        <x:v>25490</x:v>
      </x:c>
      <x:c r="B194" s="163" t="n">
        <x:v>25491</x:v>
      </x:c>
      <x:c r="C194" s="170" t="n">
        <x:f>B194-A194</x:f>
        <x:v>1</x:v>
      </x:c>
      <x:c r="D194" s="163" t="n">
        <x:v>25490</x:v>
      </x:c>
      <x:c r="E194" s="147" t="str">
        <x:v>positive</x:v>
      </x:c>
      <x:c r="F194" s="165" t="n">
        <x:v>1.81677121287227</x:v>
      </x:c>
      <x:c r="G194" s="168" t="n">
        <x:v>0.0031159298630137073</x:v>
      </x:c>
      <x:c r="H194" s="172" t="n">
        <x:f>SUM(AX194,BL194,BZ194,CN194,DB194,DP194,ED194,ER194,FF194,FT194)</x:f>
        <x:v>0.003115929863013678</x:v>
      </x:c>
      <x:c r="I194" s="174" t="n">
        <x:f>G194-H194</x:f>
        <x:v>2.949029909160572e-17</x:v>
      </x:c>
      <x:c r="J194" s="171" t="n">
        <x:f>F194*(1+H194)</x:f>
        <x:v>1.8224321445487222</x:v>
      </x:c>
      <x:c r="K194" s="169" t="n">
        <x:v>1.8224321445487222</x:v>
      </x:c>
      <x:c r="L194" s="175" t="n">
        <x:f>K194-J194</x:f>
        <x:v>0</x:v>
      </x:c>
      <x:c r="M194" s="167" t="n">
        <x:v>1.825</x:v>
      </x:c>
      <x:c r="N194" s="167" t="n">
        <x:v>1.808</x:v>
      </x:c>
      <x:c r="O194" s="172" t="n">
        <x:f>IFERROR(N194/M194-1,0)</x:f>
        <x:v>-0.009315068493150669</x:v>
      </x:c>
      <x:c r="P194" s="171" t="n">
        <x:f>IFERROR(AD194/AH194,0)</x:f>
        <x:v>1.949171525919948</x:v>
      </x:c>
      <x:c r="Q194" s="171" t="n">
        <x:f>IFERROR(AE194/AI194,0)</x:f>
        <x:v>1.973629501673893</x:v>
      </x:c>
      <x:c r="R194" s="172" t="n">
        <x:f>IFERROR((Q194-P194)/(P194+S194),0)</x:f>
        <x:v>0.012547882743362736</x:v>
      </x:c>
      <x:c r="S194" s="172" t="n">
        <x:f>IFERROR(AF194/AH194,0)</x:f>
        <x:v>0</x:v>
      </x:c>
      <x:c r="T194" s="172" t="n">
        <x:f>IFERROR(AG194/AI194,0)</x:f>
        <x:v>0</x:v>
      </x:c>
      <x:c r="U194" s="172" t="n">
        <x:f>IFERROR((T194-S194)/(P194+S194),0)</x:f>
        <x:v>0</x:v>
      </x:c>
      <x:c r="V194" s="172" t="n">
        <x:f>R194+U194</x:f>
        <x:v>0.012547882743362736</x:v>
      </x:c>
      <x:c r="W194" s="172" t="n">
        <x:f>(1+O194)*(1+V194)-1</x:f>
        <x:v>0.003115929863013678</x:v>
      </x:c>
      <x:c r="X194" s="174" t="n">
        <x:f>G194-W194</x:f>
        <x:v>2.949029909160572e-17</x:v>
      </x:c>
      <x:c r="Y194" s="172" t="n">
        <x:f>AX194</x:f>
        <x:v>-0.004946831050228302</x:v>
      </x:c>
      <x:c r="Z194" s="172" t="n">
        <x:f>BL194</x:f>
        <x:v>0.00009052347031960532</x:v>
      </x:c>
      <x:c r="AA194" s="172" t="n">
        <x:f>SUM(BZ194,CN194,DB194,DP194,ED194,ER194,FF194,FT194)</x:f>
        <x:v>0.007972237442922374</x:v>
      </x:c>
      <x:c r="AB194" s="172" t="n">
        <x:f>SUM(Y194:AA194)</x:f>
        <x:v>0.003115929863013678</x:v>
      </x:c>
      <x:c r="AC194" s="174" t="n">
        <x:f>G194-AB194</x:f>
        <x:v>2.949029909160572e-17</x:v>
      </x:c>
      <x:c r="AD194" s="169" t="n">
        <x:v>1.8167712128722702</x:v>
      </x:c>
      <x:c r="AE194" s="169" t="n">
        <x:v>1.8224321445487226</x:v>
      </x:c>
      <x:c r="AF194" s="169" t="n">
        <x:v>0</x:v>
      </x:c>
      <x:c r="AG194" s="169" t="n">
        <x:v>0</x:v>
      </x:c>
      <x:c r="AH194" s="171" t="n">
        <x:f>M194/$M$3</x:f>
        <x:v>0.932073544433095</x:v>
      </x:c>
      <x:c r="AI194" s="171" t="n">
        <x:f>N194/$M$3</x:f>
        <x:v>0.9233912155260471</x:v>
      </x:c>
      <x:c r="AJ194" s="170" t="n">
        <x:f>IF(AK194&lt;&gt;"",1,0)+IF(AY194&lt;&gt;"",1,0)+IF(BM194&lt;&gt;"",1,0)+IF(CA194&lt;&gt;"",1,0)+IF(CO194&lt;&gt;"",1,0)+IF(DC194&lt;&gt;"",1,0)+IF(DQ194&lt;&gt;"",1,0)+IF(EE194&lt;&gt;"",1,0)+IF(ES194&lt;&gt;"",1,0)+IF(FG194&lt;&gt;"",1,0)</x:f>
        <x:v>3</x:v>
      </x:c>
      <x:c r="AK194" s="147" t="str">
        <x:v>Silver replicating holding (LBMA/SLV proxy)</x:v>
      </x:c>
      <x:c r="AL194" s="147" t="str">
        <x:v>Physical-backed proxy</x:v>
      </x:c>
      <x:c r="AM194" s="147" t="str">
        <x:v>Long</x:v>
      </x:c>
      <x:c r="AN194" s="167" t="n">
        <x:v>1.825</x:v>
      </x:c>
      <x:c r="AO194" s="167" t="n">
        <x:v>1.808</x:v>
      </x:c>
      <x:c r="AP194" s="166" t="n">
        <x:v>0.5306666666666666</x:v>
      </x:c>
      <x:c r="AQ194" s="171" t="n">
        <x:f>IF(AK194="","",IFERROR(F194*AP194/AN194,0))</x:f>
        <x:v>0.5282739307566491</x:v>
      </x:c>
      <x:c r="AR194" s="171" t="n">
        <x:f>IF(AK194="","",F194*ABS(AP194))</x:f>
        <x:v>0.9640999236308845</x:v>
      </x:c>
      <x:c r="AS194" s="165"/>
      <x:c r="AT194" s="172" t="str">
        <x:f>IF(AK194="","",IF(AS194="","",IFERROR(AN194/AS194-1,0)))</x:f>
      </x:c>
      <x:c r="AU194" s="166"/>
      <x:c r="AV194" s="172" t="str">
        <x:f>IF(AK194="","",IF(AU194="","",AU194-AT194*365/AW194))</x:f>
      </x:c>
      <x:c r="AW194" s="164"/>
      <x:c r="AX194" s="173" t="n">
        <x:f>IF(AK194="","",IFERROR(AP194*(AO194/AN194-1-'Parameters'!$C$6*C194/365),0))</x:f>
        <x:v>-0.004946831050228302</x:v>
      </x:c>
      <x:c r="AY194" s="147" t="str">
        <x:v>Matched-maturity Treasury collateral</x:v>
      </x:c>
      <x:c r="AZ194" s="147" t="str">
        <x:v>Treasury</x:v>
      </x:c>
      <x:c r="BA194" s="147" t="str">
        <x:v>Long</x:v>
      </x:c>
      <x:c r="BB194" s="167" t="n">
        <x:v>105.17529523445504</x:v>
      </x:c>
      <x:c r="BC194" s="167" t="n">
        <x:v>105.19558109961807</x:v>
      </x:c>
      <x:c r="BD194" s="166" t="n">
        <x:v>0.4693333333333334</x:v>
      </x:c>
      <x:c r="BE194" s="171" t="n">
        <x:f>IF(AY194="","",IFERROR(F194*BD194/BB194,0))</x:f>
        <x:v>0.008107144242767511</x:v>
      </x:c>
      <x:c r="BF194" s="171" t="n">
        <x:f>IF(AY194="","",F194*ABS(BD194))</x:f>
        <x:v>0.8526712892413855</x:v>
      </x:c>
      <x:c r="BG194" s="165"/>
      <x:c r="BH194" s="172" t="str">
        <x:f>IF(AY194="","",IF(BG194="","",IFERROR(BB194/BG194-1,0)))</x:f>
      </x:c>
      <x:c r="BI194" s="166"/>
      <x:c r="BJ194" s="172" t="str">
        <x:f>IF(AY194="","",IF(BI194="","",BI194-BH194*365/BK194))</x:f>
      </x:c>
      <x:c r="BK194" s="164" t="n">
        <x:v>76</x:v>
      </x:c>
      <x:c r="BL194" s="172" t="n">
        <x:f>IF(AY194="","",IFERROR(BD194*(BC194/BB194-1),0))</x:f>
        <x:v>0.00009052347031960532</x:v>
      </x:c>
      <x:c r="BM194" s="147" t="str">
        <x:v>SI69Z</x:v>
      </x:c>
      <x:c r="BN194" s="147" t="str">
        <x:v>Silver future (regular)</x:v>
      </x:c>
      <x:c r="BO194" s="147" t="str">
        <x:v>Long</x:v>
      </x:c>
      <x:c r="BP194" s="167" t="n">
        <x:v>1.825</x:v>
      </x:c>
      <x:c r="BQ194" s="167" t="n">
        <x:v>1.8559999999999999</x:v>
      </x:c>
      <x:c r="BR194" s="166" t="n">
        <x:v>0.4693333333333334</x:v>
      </x:c>
      <x:c r="BS194" s="171" t="n">
        <x:f>IF(BM194="","",IFERROR(F194*BR194/BP194,0))</x:f>
        <x:v>0.46721714478980025</x:v>
      </x:c>
      <x:c r="BT194" s="171" t="n">
        <x:f>IF(BM194="","",F194*ABS(BR194))</x:f>
        <x:v>0.8526712892413855</x:v>
      </x:c>
      <x:c r="BU194" s="165" t="n">
        <x:v>1.825</x:v>
      </x:c>
      <x:c r="BV194" s="172" t="n">
        <x:f>IF(BM194="","",IF(BU194="","",IFERROR(BP194/BU194-1,0)))</x:f>
        <x:v>0</x:v>
      </x:c>
      <x:c r="BW194" s="166" t="n">
        <x:v>0.0704</x:v>
      </x:c>
      <x:c r="BX194" s="172" t="n">
        <x:f>IF(BM194="","",IF(BW194="","",BW194-BV194*365/BY194))</x:f>
        <x:v>0.0704</x:v>
      </x:c>
      <x:c r="BY194" s="164" t="n">
        <x:v>76</x:v>
      </x:c>
      <x:c r="BZ194" s="172" t="n">
        <x:f>IF(BM194="","",IFERROR(BR194*(BQ194/BP194-1),0))</x:f>
        <x:v>0.007972237442922374</x:v>
      </x:c>
      <x:c r="CA194" s="147"/>
      <x:c r="CB194" s="147"/>
      <x:c r="CC194" s="147"/>
      <x:c r="CD194" s="167"/>
      <x:c r="CE194" s="167"/>
      <x:c r="CF194" s="166"/>
      <x:c r="CG194" s="171" t="str">
        <x:f>IF(CA194="","",IFERROR(F194*CF194/CD194,0))</x:f>
      </x:c>
      <x:c r="CH194" s="171" t="str">
        <x:f>IF(CA194="","",F194*ABS(CF194))</x:f>
      </x:c>
      <x:c r="CI194" s="165"/>
      <x:c r="CJ194" s="172" t="str">
        <x:f>IF(CA194="","",IF(CI194="","",IFERROR(CD194/CI194-1,0)))</x:f>
      </x:c>
      <x:c r="CK194" s="166"/>
      <x:c r="CL194" s="172" t="str">
        <x:f>IF(CA194="","",IF(CK194="","",CK194-CJ194*365/CM194))</x:f>
      </x:c>
      <x:c r="CM194" s="164"/>
      <x:c r="CN194" s="172" t="str">
        <x:f>IF(CA194="","",IFERROR(CF194*(CE194/CD194-1),0))</x:f>
      </x:c>
      <x:c r="CO194" s="147"/>
      <x:c r="CP194" s="147"/>
      <x:c r="CQ194" s="147"/>
      <x:c r="CR194" s="167"/>
      <x:c r="CS194" s="167"/>
      <x:c r="CT194" s="166"/>
      <x:c r="CU194" s="171" t="str">
        <x:f>IF(CO194="","",IFERROR(F194*CT194/CR194,0))</x:f>
      </x:c>
      <x:c r="CV194" s="171" t="str">
        <x:f>IF(CO194="","",F194*ABS(CT194))</x:f>
      </x:c>
      <x:c r="CW194" s="165"/>
      <x:c r="CX194" s="172" t="str">
        <x:f>IF(CO194="","",IF(CW194="","",IFERROR(CR194/CW194-1,0)))</x:f>
      </x:c>
      <x:c r="CY194" s="166"/>
      <x:c r="CZ194" s="172" t="str">
        <x:f>IF(CO194="","",IF(CY194="","",CY194-CX194*365/DA194))</x:f>
      </x:c>
      <x:c r="DA194" s="164"/>
      <x:c r="DB194" s="172" t="str">
        <x:f>IF(CO194="","",IFERROR(CT194*(CS194/CR194-1),0))</x:f>
      </x:c>
      <x:c r="DC194" s="147"/>
      <x:c r="DD194" s="147"/>
      <x:c r="DE194" s="147"/>
      <x:c r="DF194" s="167"/>
      <x:c r="DG194" s="167"/>
      <x:c r="DH194" s="166"/>
      <x:c r="DI194" s="171" t="str">
        <x:f>IF(DC194="","",IFERROR(F194*DH194/DF194,0))</x:f>
      </x:c>
      <x:c r="DJ194" s="171" t="str">
        <x:f>IF(DC194="","",F194*ABS(DH194))</x:f>
      </x:c>
      <x:c r="DK194" s="165"/>
      <x:c r="DL194" s="172" t="str">
        <x:f>IF(DC194="","",IF(DK194="","",IFERROR(DF194/DK194-1,0)))</x:f>
      </x:c>
      <x:c r="DM194" s="166"/>
      <x:c r="DN194" s="172" t="str">
        <x:f>IF(DC194="","",IF(DM194="","",DM194-DL194*365/DO194))</x:f>
      </x:c>
      <x:c r="DO194" s="164"/>
      <x:c r="DP194" s="172" t="str">
        <x:f>IF(DC194="","",IFERROR(DH194*(DG194/DF194-1),0))</x:f>
      </x:c>
      <x:c r="DQ194" s="147"/>
      <x:c r="DR194" s="147"/>
      <x:c r="DS194" s="147"/>
      <x:c r="DT194" s="167"/>
      <x:c r="DU194" s="167"/>
      <x:c r="DV194" s="166"/>
      <x:c r="DW194" s="171" t="str">
        <x:f>IF(DQ194="","",IFERROR(F194*DV194/DT194,0))</x:f>
      </x:c>
      <x:c r="DX194" s="171" t="str">
        <x:f>IF(DQ194="","",F194*ABS(DV194))</x:f>
      </x:c>
      <x:c r="DY194" s="165"/>
      <x:c r="DZ194" s="172" t="str">
        <x:f>IF(DQ194="","",IF(DY194="","",IFERROR(DT194/DY194-1,0)))</x:f>
      </x:c>
      <x:c r="EA194" s="166"/>
      <x:c r="EB194" s="172" t="str">
        <x:f>IF(DQ194="","",IF(EA194="","",EA194-DZ194*365/EC194))</x:f>
      </x:c>
      <x:c r="EC194" s="164"/>
      <x:c r="ED194" s="172" t="str">
        <x:f>IF(DQ194="","",IFERROR(DV194*(DU194/DT194-1),0))</x:f>
      </x:c>
      <x:c r="EE194" s="147"/>
      <x:c r="EF194" s="147"/>
      <x:c r="EG194" s="147"/>
      <x:c r="EH194" s="167"/>
      <x:c r="EI194" s="167"/>
      <x:c r="EJ194" s="166"/>
      <x:c r="EK194" s="171" t="str">
        <x:f>IF(EE194="","",IFERROR(F194*EJ194/EH194,0))</x:f>
      </x:c>
      <x:c r="EL194" s="171" t="str">
        <x:f>IF(EE194="","",F194*ABS(EJ194))</x:f>
      </x:c>
      <x:c r="EM194" s="165"/>
      <x:c r="EN194" s="172" t="str">
        <x:f>IF(EE194="","",IF(EM194="","",IFERROR(EH194/EM194-1,0)))</x:f>
      </x:c>
      <x:c r="EO194" s="166"/>
      <x:c r="EP194" s="172" t="str">
        <x:f>IF(EE194="","",IF(EO194="","",EO194-EN194*365/EQ194))</x:f>
      </x:c>
      <x:c r="EQ194" s="164"/>
      <x:c r="ER194" s="172" t="str">
        <x:f>IF(EE194="","",IFERROR(EJ194*(EI194/EH194-1),0))</x:f>
      </x:c>
      <x:c r="ES194" s="147"/>
      <x:c r="ET194" s="147"/>
      <x:c r="EU194" s="147"/>
      <x:c r="EV194" s="167"/>
      <x:c r="EW194" s="167"/>
      <x:c r="EX194" s="166"/>
      <x:c r="EY194" s="171" t="str">
        <x:f>IF(ES194="","",IFERROR(F194*EX194/EV194,0))</x:f>
      </x:c>
      <x:c r="EZ194" s="171" t="str">
        <x:f>IF(ES194="","",F194*ABS(EX194))</x:f>
      </x:c>
      <x:c r="FA194" s="165"/>
      <x:c r="FB194" s="172" t="str">
        <x:f>IF(ES194="","",IF(FA194="","",IFERROR(EV194/FA194-1,0)))</x:f>
      </x:c>
      <x:c r="FC194" s="166"/>
      <x:c r="FD194" s="172" t="str">
        <x:f>IF(ES194="","",IF(FC194="","",FC194-FB194*365/FE194))</x:f>
      </x:c>
      <x:c r="FE194" s="164"/>
      <x:c r="FF194" s="172" t="str">
        <x:f>IF(ES194="","",IFERROR(EX194*(EW194/EV194-1),0))</x:f>
      </x:c>
      <x:c r="FG194" s="147"/>
      <x:c r="FH194" s="147"/>
      <x:c r="FI194" s="147"/>
      <x:c r="FJ194" s="167"/>
      <x:c r="FK194" s="167"/>
      <x:c r="FL194" s="166"/>
      <x:c r="FM194" s="171" t="str">
        <x:f>IF(FG194="","",IFERROR(F194*FL194/FJ194,0))</x:f>
      </x:c>
      <x:c r="FN194" s="171" t="str">
        <x:f>IF(FG194="","",F194*ABS(FL194))</x:f>
      </x:c>
      <x:c r="FO194" s="165"/>
      <x:c r="FP194" s="172" t="str">
        <x:f>IF(FG194="","",IF(FO194="","",IFERROR(FJ194/FO194-1,0)))</x:f>
      </x:c>
      <x:c r="FQ194" s="166"/>
      <x:c r="FR194" s="172" t="str">
        <x:f>IF(FG194="","",IF(FQ194="","",FQ194-FP194*365/FS194))</x:f>
      </x:c>
      <x:c r="FS194" s="164"/>
      <x:c r="FT194" s="172" t="str">
        <x:f>IF(FG194="","",IFERROR(FL194*(FK194/FJ194-1),0))</x:f>
      </x:c>
    </x:row>
    <x:row r="195" ht="18" customHeight="1">
      <x:c r="A195" s="163" t="n">
        <x:v>25491</x:v>
      </x:c>
      <x:c r="B195" s="163" t="n">
        <x:v>25492</x:v>
      </x:c>
      <x:c r="C195" s="170" t="n">
        <x:f>B195-A195</x:f>
        <x:v>1</x:v>
      </x:c>
      <x:c r="D195" s="163" t="n">
        <x:v>25491</x:v>
      </x:c>
      <x:c r="E195" s="147" t="str">
        <x:v>neutral</x:v>
      </x:c>
      <x:c r="F195" s="165" t="n">
        <x:v>1.8224321445487222</x:v>
      </x:c>
      <x:c r="G195" s="168" t="n">
        <x:v>0.019351557764577487</x:v>
      </x:c>
      <x:c r="H195" s="172" t="n">
        <x:f>SUM(AX195,BL195,BZ195,CN195,DB195,DP195,ED195,ER195,FF195,FT195)</x:f>
        <x:v>0.019351557764577487</x:v>
      </x:c>
      <x:c r="I195" s="174" t="n">
        <x:f>G195-H195</x:f>
        <x:v>0</x:v>
      </x:c>
      <x:c r="J195" s="171" t="n">
        <x:f>F195*(1+H195)</x:f>
        <x:v>1.8576990454659796</x:v>
      </x:c>
      <x:c r="K195" s="169" t="n">
        <x:v>1.8576990454659796</x:v>
      </x:c>
      <x:c r="L195" s="175" t="n">
        <x:f>K195-J195</x:f>
        <x:v>0</x:v>
      </x:c>
      <x:c r="M195" s="167" t="n">
        <x:v>1.808</x:v>
      </x:c>
      <x:c r="N195" s="167" t="n">
        <x:v>1.843</x:v>
      </x:c>
      <x:c r="O195" s="172" t="n">
        <x:f>IFERROR(N195/M195-1,0)</x:f>
        <x:v>0.01935840707964598</x:v>
      </x:c>
      <x:c r="P195" s="171" t="n">
        <x:f>IFERROR(AD195/AH195,0)</x:f>
        <x:v>1.973629501673893</x:v>
      </x:c>
      <x:c r="Q195" s="171" t="n">
        <x:f>IFERROR(AE195/AI195,0)</x:f>
        <x:v>1.9736162403811117</x:v>
      </x:c>
      <x:c r="R195" s="172" t="n">
        <x:f>IFERROR((Q195-P195)/(P195+S195),0)</x:f>
        <x:v>-0.000006719241260825828</x:v>
      </x:c>
      <x:c r="S195" s="172" t="n">
        <x:f>IFERROR(AF195/AH195,0)</x:f>
        <x:v>0</x:v>
      </x:c>
      <x:c r="T195" s="172" t="n">
        <x:f>IFERROR(AG195/AI195,0)</x:f>
        <x:v>0</x:v>
      </x:c>
      <x:c r="U195" s="172" t="n">
        <x:f>IFERROR((T195-S195)/(P195+S195),0)</x:f>
        <x:v>0</x:v>
      </x:c>
      <x:c r="V195" s="172" t="n">
        <x:f>R195+U195</x:f>
        <x:v>-0.000006719241260825828</x:v>
      </x:c>
      <x:c r="W195" s="172" t="n">
        <x:f>(1+O195)*(1+V195)-1</x:f>
        <x:v>0.01935155776457753</x:v>
      </x:c>
      <x:c r="X195" s="174" t="n">
        <x:f>G195-W195</x:f>
        <x:v>-4.5102810375396984e-17</x:v>
      </x:c>
      <x:c r="Y195" s="172" t="n">
        <x:f>AX195</x:f>
        <x:v>0.019351557764577487</x:v>
      </x:c>
      <x:c r="Z195" s="172" t="n">
        <x:f>BL195</x:f>
        <x:v>0</x:v>
      </x:c>
      <x:c r="AA195" s="172" t="n">
        <x:f>SUM(BZ195,CN195,DB195,DP195,ED195,ER195,FF195,FT195)</x:f>
        <x:v>0</x:v>
      </x:c>
      <x:c r="AB195" s="172" t="n">
        <x:f>SUM(Y195:AA195)</x:f>
        <x:v>0.019351557764577487</x:v>
      </x:c>
      <x:c r="AC195" s="174" t="n">
        <x:f>G195-AB195</x:f>
        <x:v>0</x:v>
      </x:c>
      <x:c r="AD195" s="169" t="n">
        <x:v>1.8224321445487226</x:v>
      </x:c>
      <x:c r="AE195" s="169" t="n">
        <x:v>1.85769904546598</x:v>
      </x:c>
      <x:c r="AF195" s="169" t="n">
        <x:v>0</x:v>
      </x:c>
      <x:c r="AG195" s="169" t="n">
        <x:v>0</x:v>
      </x:c>
      <x:c r="AH195" s="171" t="n">
        <x:f>M195/$M$3</x:f>
        <x:v>0.9233912155260471</x:v>
      </x:c>
      <x:c r="AI195" s="171" t="n">
        <x:f>N195/$M$3</x:f>
        <x:v>0.9412665985699694</x:v>
      </x:c>
      <x:c r="AJ195" s="170" t="n">
        <x:f>IF(AK195&lt;&gt;"",1,0)+IF(AY195&lt;&gt;"",1,0)+IF(BM195&lt;&gt;"",1,0)+IF(CA195&lt;&gt;"",1,0)+IF(CO195&lt;&gt;"",1,0)+IF(DC195&lt;&gt;"",1,0)+IF(DQ195&lt;&gt;"",1,0)+IF(EE195&lt;&gt;"",1,0)+IF(ES195&lt;&gt;"",1,0)+IF(FG195&lt;&gt;"",1,0)</x:f>
        <x:v>1</x:v>
      </x:c>
      <x:c r="AK195" s="147" t="str">
        <x:v>Silver replicating holding (LBMA/SLV proxy)</x:v>
      </x:c>
      <x:c r="AL195" s="147" t="str">
        <x:v>Physical-backed proxy</x:v>
      </x:c>
      <x:c r="AM195" s="147" t="str">
        <x:v>Long</x:v>
      </x:c>
      <x:c r="AN195" s="167" t="n">
        <x:v>1.808</x:v>
      </x:c>
      <x:c r="AO195" s="167" t="n">
        <x:v>1.843</x:v>
      </x:c>
      <x:c r="AP195" s="166" t="n">
        <x:v>1</x:v>
      </x:c>
      <x:c r="AQ195" s="171" t="n">
        <x:f>IF(AK195="","",IFERROR(F195*AP195/AN195,0))</x:f>
        <x:v>1.0079823808344701</x:v>
      </x:c>
      <x:c r="AR195" s="171" t="n">
        <x:f>IF(AK195="","",F195*ABS(AP195))</x:f>
        <x:v>1.8224321445487222</x:v>
      </x:c>
      <x:c r="AS195" s="165"/>
      <x:c r="AT195" s="172" t="str">
        <x:f>IF(AK195="","",IF(AS195="","",IFERROR(AN195/AS195-1,0)))</x:f>
      </x:c>
      <x:c r="AU195" s="166"/>
      <x:c r="AV195" s="172" t="str">
        <x:f>IF(AK195="","",IF(AU195="","",AU195-AT195*365/AW195))</x:f>
      </x:c>
      <x:c r="AW195" s="164"/>
      <x:c r="AX195" s="173" t="n">
        <x:f>IF(AK195="","",IFERROR(AP195*(AO195/AN195-1-'Parameters'!$C$6*C195/365),0))</x:f>
        <x:v>0.019351557764577487</x:v>
      </x:c>
      <x:c r="AY195" s="147"/>
      <x:c r="AZ195" s="147"/>
      <x:c r="BA195" s="147"/>
      <x:c r="BB195" s="167"/>
      <x:c r="BC195" s="167"/>
      <x:c r="BD195" s="166"/>
      <x:c r="BE195" s="171" t="str">
        <x:f>IF(AY195="","",IFERROR(F195*BD195/BB195,0))</x:f>
      </x:c>
      <x:c r="BF195" s="171" t="str">
        <x:f>IF(AY195="","",F195*ABS(BD195))</x:f>
      </x:c>
      <x:c r="BG195" s="165"/>
      <x:c r="BH195" s="172" t="str">
        <x:f>IF(AY195="","",IF(BG195="","",IFERROR(BB195/BG195-1,0)))</x:f>
      </x:c>
      <x:c r="BI195" s="166"/>
      <x:c r="BJ195" s="172" t="str">
        <x:f>IF(AY195="","",IF(BI195="","",BI195-BH195*365/BK195))</x:f>
      </x:c>
      <x:c r="BK195" s="164"/>
      <x:c r="BL195" s="172" t="str">
        <x:f>IF(AY195="","",IFERROR(BD195*(BC195/BB195-1),0))</x:f>
      </x:c>
      <x:c r="BM195" s="147"/>
      <x:c r="BN195" s="147"/>
      <x:c r="BO195" s="147"/>
      <x:c r="BP195" s="167"/>
      <x:c r="BQ195" s="167"/>
      <x:c r="BR195" s="166"/>
      <x:c r="BS195" s="171" t="str">
        <x:f>IF(BM195="","",IFERROR(F195*BR195/BP195,0))</x:f>
      </x:c>
      <x:c r="BT195" s="171" t="str">
        <x:f>IF(BM195="","",F195*ABS(BR195))</x:f>
      </x:c>
      <x:c r="BU195" s="165"/>
      <x:c r="BV195" s="172" t="str">
        <x:f>IF(BM195="","",IF(BU195="","",IFERROR(BP195/BU195-1,0)))</x:f>
      </x:c>
      <x:c r="BW195" s="166"/>
      <x:c r="BX195" s="172" t="str">
        <x:f>IF(BM195="","",IF(BW195="","",BW195-BV195*365/BY195))</x:f>
      </x:c>
      <x:c r="BY195" s="164"/>
      <x:c r="BZ195" s="172" t="str">
        <x:f>IF(BM195="","",IFERROR(BR195*(BQ195/BP195-1),0))</x:f>
      </x:c>
      <x:c r="CA195" s="147"/>
      <x:c r="CB195" s="147"/>
      <x:c r="CC195" s="147"/>
      <x:c r="CD195" s="167"/>
      <x:c r="CE195" s="167"/>
      <x:c r="CF195" s="166"/>
      <x:c r="CG195" s="171" t="str">
        <x:f>IF(CA195="","",IFERROR(F195*CF195/CD195,0))</x:f>
      </x:c>
      <x:c r="CH195" s="171" t="str">
        <x:f>IF(CA195="","",F195*ABS(CF195))</x:f>
      </x:c>
      <x:c r="CI195" s="165"/>
      <x:c r="CJ195" s="172" t="str">
        <x:f>IF(CA195="","",IF(CI195="","",IFERROR(CD195/CI195-1,0)))</x:f>
      </x:c>
      <x:c r="CK195" s="166"/>
      <x:c r="CL195" s="172" t="str">
        <x:f>IF(CA195="","",IF(CK195="","",CK195-CJ195*365/CM195))</x:f>
      </x:c>
      <x:c r="CM195" s="164"/>
      <x:c r="CN195" s="172" t="str">
        <x:f>IF(CA195="","",IFERROR(CF195*(CE195/CD195-1),0))</x:f>
      </x:c>
      <x:c r="CO195" s="147"/>
      <x:c r="CP195" s="147"/>
      <x:c r="CQ195" s="147"/>
      <x:c r="CR195" s="167"/>
      <x:c r="CS195" s="167"/>
      <x:c r="CT195" s="166"/>
      <x:c r="CU195" s="171" t="str">
        <x:f>IF(CO195="","",IFERROR(F195*CT195/CR195,0))</x:f>
      </x:c>
      <x:c r="CV195" s="171" t="str">
        <x:f>IF(CO195="","",F195*ABS(CT195))</x:f>
      </x:c>
      <x:c r="CW195" s="165"/>
      <x:c r="CX195" s="172" t="str">
        <x:f>IF(CO195="","",IF(CW195="","",IFERROR(CR195/CW195-1,0)))</x:f>
      </x:c>
      <x:c r="CY195" s="166"/>
      <x:c r="CZ195" s="172" t="str">
        <x:f>IF(CO195="","",IF(CY195="","",CY195-CX195*365/DA195))</x:f>
      </x:c>
      <x:c r="DA195" s="164"/>
      <x:c r="DB195" s="172" t="str">
        <x:f>IF(CO195="","",IFERROR(CT195*(CS195/CR195-1),0))</x:f>
      </x:c>
      <x:c r="DC195" s="147"/>
      <x:c r="DD195" s="147"/>
      <x:c r="DE195" s="147"/>
      <x:c r="DF195" s="167"/>
      <x:c r="DG195" s="167"/>
      <x:c r="DH195" s="166"/>
      <x:c r="DI195" s="171" t="str">
        <x:f>IF(DC195="","",IFERROR(F195*DH195/DF195,0))</x:f>
      </x:c>
      <x:c r="DJ195" s="171" t="str">
        <x:f>IF(DC195="","",F195*ABS(DH195))</x:f>
      </x:c>
      <x:c r="DK195" s="165"/>
      <x:c r="DL195" s="172" t="str">
        <x:f>IF(DC195="","",IF(DK195="","",IFERROR(DF195/DK195-1,0)))</x:f>
      </x:c>
      <x:c r="DM195" s="166"/>
      <x:c r="DN195" s="172" t="str">
        <x:f>IF(DC195="","",IF(DM195="","",DM195-DL195*365/DO195))</x:f>
      </x:c>
      <x:c r="DO195" s="164"/>
      <x:c r="DP195" s="172" t="str">
        <x:f>IF(DC195="","",IFERROR(DH195*(DG195/DF195-1),0))</x:f>
      </x:c>
      <x:c r="DQ195" s="147"/>
      <x:c r="DR195" s="147"/>
      <x:c r="DS195" s="147"/>
      <x:c r="DT195" s="167"/>
      <x:c r="DU195" s="167"/>
      <x:c r="DV195" s="166"/>
      <x:c r="DW195" s="171" t="str">
        <x:f>IF(DQ195="","",IFERROR(F195*DV195/DT195,0))</x:f>
      </x:c>
      <x:c r="DX195" s="171" t="str">
        <x:f>IF(DQ195="","",F195*ABS(DV195))</x:f>
      </x:c>
      <x:c r="DY195" s="165"/>
      <x:c r="DZ195" s="172" t="str">
        <x:f>IF(DQ195="","",IF(DY195="","",IFERROR(DT195/DY195-1,0)))</x:f>
      </x:c>
      <x:c r="EA195" s="166"/>
      <x:c r="EB195" s="172" t="str">
        <x:f>IF(DQ195="","",IF(EA195="","",EA195-DZ195*365/EC195))</x:f>
      </x:c>
      <x:c r="EC195" s="164"/>
      <x:c r="ED195" s="172" t="str">
        <x:f>IF(DQ195="","",IFERROR(DV195*(DU195/DT195-1),0))</x:f>
      </x:c>
      <x:c r="EE195" s="147"/>
      <x:c r="EF195" s="147"/>
      <x:c r="EG195" s="147"/>
      <x:c r="EH195" s="167"/>
      <x:c r="EI195" s="167"/>
      <x:c r="EJ195" s="166"/>
      <x:c r="EK195" s="171" t="str">
        <x:f>IF(EE195="","",IFERROR(F195*EJ195/EH195,0))</x:f>
      </x:c>
      <x:c r="EL195" s="171" t="str">
        <x:f>IF(EE195="","",F195*ABS(EJ195))</x:f>
      </x:c>
      <x:c r="EM195" s="165"/>
      <x:c r="EN195" s="172" t="str">
        <x:f>IF(EE195="","",IF(EM195="","",IFERROR(EH195/EM195-1,0)))</x:f>
      </x:c>
      <x:c r="EO195" s="166"/>
      <x:c r="EP195" s="172" t="str">
        <x:f>IF(EE195="","",IF(EO195="","",EO195-EN195*365/EQ195))</x:f>
      </x:c>
      <x:c r="EQ195" s="164"/>
      <x:c r="ER195" s="172" t="str">
        <x:f>IF(EE195="","",IFERROR(EJ195*(EI195/EH195-1),0))</x:f>
      </x:c>
      <x:c r="ES195" s="147"/>
      <x:c r="ET195" s="147"/>
      <x:c r="EU195" s="147"/>
      <x:c r="EV195" s="167"/>
      <x:c r="EW195" s="167"/>
      <x:c r="EX195" s="166"/>
      <x:c r="EY195" s="171" t="str">
        <x:f>IF(ES195="","",IFERROR(F195*EX195/EV195,0))</x:f>
      </x:c>
      <x:c r="EZ195" s="171" t="str">
        <x:f>IF(ES195="","",F195*ABS(EX195))</x:f>
      </x:c>
      <x:c r="FA195" s="165"/>
      <x:c r="FB195" s="172" t="str">
        <x:f>IF(ES195="","",IF(FA195="","",IFERROR(EV195/FA195-1,0)))</x:f>
      </x:c>
      <x:c r="FC195" s="166"/>
      <x:c r="FD195" s="172" t="str">
        <x:f>IF(ES195="","",IF(FC195="","",FC195-FB195*365/FE195))</x:f>
      </x:c>
      <x:c r="FE195" s="164"/>
      <x:c r="FF195" s="172" t="str">
        <x:f>IF(ES195="","",IFERROR(EX195*(EW195/EV195-1),0))</x:f>
      </x:c>
      <x:c r="FG195" s="147"/>
      <x:c r="FH195" s="147"/>
      <x:c r="FI195" s="147"/>
      <x:c r="FJ195" s="167"/>
      <x:c r="FK195" s="167"/>
      <x:c r="FL195" s="166"/>
      <x:c r="FM195" s="171" t="str">
        <x:f>IF(FG195="","",IFERROR(F195*FL195/FJ195,0))</x:f>
      </x:c>
      <x:c r="FN195" s="171" t="str">
        <x:f>IF(FG195="","",F195*ABS(FL195))</x:f>
      </x:c>
      <x:c r="FO195" s="165"/>
      <x:c r="FP195" s="172" t="str">
        <x:f>IF(FG195="","",IF(FO195="","",IFERROR(FJ195/FO195-1,0)))</x:f>
      </x:c>
      <x:c r="FQ195" s="166"/>
      <x:c r="FR195" s="172" t="str">
        <x:f>IF(FG195="","",IF(FQ195="","",FQ195-FP195*365/FS195))</x:f>
      </x:c>
      <x:c r="FS195" s="164"/>
      <x:c r="FT195" s="172" t="str">
        <x:f>IF(FG195="","",IFERROR(FL195*(FK195/FJ195-1),0))</x:f>
      </x:c>
    </x:row>
    <x:row r="196" ht="18" customHeight="1">
      <x:c r="A196" s="163" t="n">
        <x:v>25492</x:v>
      </x:c>
      <x:c r="B196" s="163" t="n">
        <x:v>25493</x:v>
      </x:c>
      <x:c r="C196" s="170" t="n">
        <x:f>B196-A196</x:f>
        <x:v>1</x:v>
      </x:c>
      <x:c r="D196" s="163" t="n">
        <x:v>25492</x:v>
      </x:c>
      <x:c r="E196" s="147" t="str">
        <x:v>neutral</x:v>
      </x:c>
      <x:c r="F196" s="165" t="n">
        <x:v>1.8576990454659796</x:v>
      </x:c>
      <x:c r="G196" s="168" t="n">
        <x:v>-0.016284657236934997</x:v>
      </x:c>
      <x:c r="H196" s="172" t="n">
        <x:f>SUM(AX196,BL196,BZ196,CN196,DB196,DP196,ED196,ER196,FF196,FT196)</x:f>
        <x:v>-0.016284657236934997</x:v>
      </x:c>
      <x:c r="I196" s="174" t="n">
        <x:f>G196-H196</x:f>
        <x:v>0</x:v>
      </x:c>
      <x:c r="J196" s="171" t="n">
        <x:f>F196*(1+H196)</x:f>
        <x:v>1.8274470532611848</x:v>
      </x:c>
      <x:c r="K196" s="169" t="n">
        <x:v>1.8274470532611848</x:v>
      </x:c>
      <x:c r="L196" s="175" t="n">
        <x:f>K196-J196</x:f>
        <x:v>0</x:v>
      </x:c>
      <x:c r="M196" s="167" t="n">
        <x:v>1.843</x:v>
      </x:c>
      <x:c r="N196" s="167" t="n">
        <x:v>1.813</x:v>
      </x:c>
      <x:c r="O196" s="172" t="n">
        <x:f>IFERROR(N196/M196-1,0)</x:f>
        <x:v>-0.016277807921866505</x:v>
      </x:c>
      <x:c r="P196" s="171" t="n">
        <x:f>IFERROR(AD196/AH196,0)</x:f>
        <x:v>1.9736162403811117</x:v>
      </x:c>
      <x:c r="Q196" s="171" t="n">
        <x:f>IFERROR(AE196/AI196,0)</x:f>
        <x:v>1.973602498778489</x:v>
      </x:c>
      <x:c r="R196" s="172" t="n">
        <x:f>IFERROR((Q196-P196)/(P196+S196),0)</x:f>
        <x:v>-0.000006962651776736487</x:v>
      </x:c>
      <x:c r="S196" s="172" t="n">
        <x:f>IFERROR(AF196/AH196,0)</x:f>
        <x:v>0</x:v>
      </x:c>
      <x:c r="T196" s="172" t="n">
        <x:f>IFERROR(AG196/AI196,0)</x:f>
        <x:v>0</x:v>
      </x:c>
      <x:c r="U196" s="172" t="n">
        <x:f>IFERROR((T196-S196)/(P196+S196),0)</x:f>
        <x:v>0</x:v>
      </x:c>
      <x:c r="V196" s="172" t="n">
        <x:f>R196+U196</x:f>
        <x:v>-0.000006962651776736487</x:v>
      </x:c>
      <x:c r="W196" s="172" t="n">
        <x:f>(1+O196)*(1+V196)-1</x:f>
        <x:v>-0.016284657236934952</x:v>
      </x:c>
      <x:c r="X196" s="174" t="n">
        <x:f>G196-W196</x:f>
        <x:v>-4.5102810375396984e-17</x:v>
      </x:c>
      <x:c r="Y196" s="172" t="n">
        <x:f>AX196</x:f>
        <x:v>-0.016284657236934997</x:v>
      </x:c>
      <x:c r="Z196" s="172" t="n">
        <x:f>BL196</x:f>
        <x:v>0</x:v>
      </x:c>
      <x:c r="AA196" s="172" t="n">
        <x:f>SUM(BZ196,CN196,DB196,DP196,ED196,ER196,FF196,FT196)</x:f>
        <x:v>0</x:v>
      </x:c>
      <x:c r="AB196" s="172" t="n">
        <x:f>SUM(Y196:AA196)</x:f>
        <x:v>-0.016284657236934997</x:v>
      </x:c>
      <x:c r="AC196" s="174" t="n">
        <x:f>G196-AB196</x:f>
        <x:v>0</x:v>
      </x:c>
      <x:c r="AD196" s="169" t="n">
        <x:v>1.85769904546598</x:v>
      </x:c>
      <x:c r="AE196" s="169" t="n">
        <x:v>1.8274470532611853</x:v>
      </x:c>
      <x:c r="AF196" s="169" t="n">
        <x:v>0</x:v>
      </x:c>
      <x:c r="AG196" s="169" t="n">
        <x:v>0</x:v>
      </x:c>
      <x:c r="AH196" s="171" t="n">
        <x:f>M196/$M$3</x:f>
        <x:v>0.9412665985699694</x:v>
      </x:c>
      <x:c r="AI196" s="171" t="n">
        <x:f>N196/$M$3</x:f>
        <x:v>0.9259448416751788</x:v>
      </x:c>
      <x:c r="AJ196" s="170" t="n">
        <x:f>IF(AK196&lt;&gt;"",1,0)+IF(AY196&lt;&gt;"",1,0)+IF(BM196&lt;&gt;"",1,0)+IF(CA196&lt;&gt;"",1,0)+IF(CO196&lt;&gt;"",1,0)+IF(DC196&lt;&gt;"",1,0)+IF(DQ196&lt;&gt;"",1,0)+IF(EE196&lt;&gt;"",1,0)+IF(ES196&lt;&gt;"",1,0)+IF(FG196&lt;&gt;"",1,0)</x:f>
        <x:v>1</x:v>
      </x:c>
      <x:c r="AK196" s="147" t="str">
        <x:v>Silver replicating holding (LBMA/SLV proxy)</x:v>
      </x:c>
      <x:c r="AL196" s="147" t="str">
        <x:v>Physical-backed proxy</x:v>
      </x:c>
      <x:c r="AM196" s="147" t="str">
        <x:v>Long</x:v>
      </x:c>
      <x:c r="AN196" s="167" t="n">
        <x:v>1.843</x:v>
      </x:c>
      <x:c r="AO196" s="167" t="n">
        <x:v>1.813</x:v>
      </x:c>
      <x:c r="AP196" s="166" t="n">
        <x:v>1</x:v>
      </x:c>
      <x:c r="AQ196" s="171" t="n">
        <x:f>IF(AK196="","",IFERROR(F196*AP196/AN196,0))</x:f>
        <x:v>1.0079756079576667</x:v>
      </x:c>
      <x:c r="AR196" s="171" t="n">
        <x:f>IF(AK196="","",F196*ABS(AP196))</x:f>
        <x:v>1.8576990454659796</x:v>
      </x:c>
      <x:c r="AS196" s="165"/>
      <x:c r="AT196" s="172" t="str">
        <x:f>IF(AK196="","",IF(AS196="","",IFERROR(AN196/AS196-1,0)))</x:f>
      </x:c>
      <x:c r="AU196" s="166"/>
      <x:c r="AV196" s="172" t="str">
        <x:f>IF(AK196="","",IF(AU196="","",AU196-AT196*365/AW196))</x:f>
      </x:c>
      <x:c r="AW196" s="164"/>
      <x:c r="AX196" s="173" t="n">
        <x:f>IF(AK196="","",IFERROR(AP196*(AO196/AN196-1-'Parameters'!$C$6*C196/365),0))</x:f>
        <x:v>-0.016284657236934997</x:v>
      </x:c>
      <x:c r="AY196" s="147"/>
      <x:c r="AZ196" s="147"/>
      <x:c r="BA196" s="147"/>
      <x:c r="BB196" s="167"/>
      <x:c r="BC196" s="167"/>
      <x:c r="BD196" s="166"/>
      <x:c r="BE196" s="171" t="str">
        <x:f>IF(AY196="","",IFERROR(F196*BD196/BB196,0))</x:f>
      </x:c>
      <x:c r="BF196" s="171" t="str">
        <x:f>IF(AY196="","",F196*ABS(BD196))</x:f>
      </x:c>
      <x:c r="BG196" s="165"/>
      <x:c r="BH196" s="172" t="str">
        <x:f>IF(AY196="","",IF(BG196="","",IFERROR(BB196/BG196-1,0)))</x:f>
      </x:c>
      <x:c r="BI196" s="166"/>
      <x:c r="BJ196" s="172" t="str">
        <x:f>IF(AY196="","",IF(BI196="","",BI196-BH196*365/BK196))</x:f>
      </x:c>
      <x:c r="BK196" s="164"/>
      <x:c r="BL196" s="172" t="str">
        <x:f>IF(AY196="","",IFERROR(BD196*(BC196/BB196-1),0))</x:f>
      </x:c>
      <x:c r="BM196" s="147"/>
      <x:c r="BN196" s="147"/>
      <x:c r="BO196" s="147"/>
      <x:c r="BP196" s="167"/>
      <x:c r="BQ196" s="167"/>
      <x:c r="BR196" s="166"/>
      <x:c r="BS196" s="171" t="str">
        <x:f>IF(BM196="","",IFERROR(F196*BR196/BP196,0))</x:f>
      </x:c>
      <x:c r="BT196" s="171" t="str">
        <x:f>IF(BM196="","",F196*ABS(BR196))</x:f>
      </x:c>
      <x:c r="BU196" s="165"/>
      <x:c r="BV196" s="172" t="str">
        <x:f>IF(BM196="","",IF(BU196="","",IFERROR(BP196/BU196-1,0)))</x:f>
      </x:c>
      <x:c r="BW196" s="166"/>
      <x:c r="BX196" s="172" t="str">
        <x:f>IF(BM196="","",IF(BW196="","",BW196-BV196*365/BY196))</x:f>
      </x:c>
      <x:c r="BY196" s="164"/>
      <x:c r="BZ196" s="172" t="str">
        <x:f>IF(BM196="","",IFERROR(BR196*(BQ196/BP196-1),0))</x:f>
      </x:c>
      <x:c r="CA196" s="147"/>
      <x:c r="CB196" s="147"/>
      <x:c r="CC196" s="147"/>
      <x:c r="CD196" s="167"/>
      <x:c r="CE196" s="167"/>
      <x:c r="CF196" s="166"/>
      <x:c r="CG196" s="171" t="str">
        <x:f>IF(CA196="","",IFERROR(F196*CF196/CD196,0))</x:f>
      </x:c>
      <x:c r="CH196" s="171" t="str">
        <x:f>IF(CA196="","",F196*ABS(CF196))</x:f>
      </x:c>
      <x:c r="CI196" s="165"/>
      <x:c r="CJ196" s="172" t="str">
        <x:f>IF(CA196="","",IF(CI196="","",IFERROR(CD196/CI196-1,0)))</x:f>
      </x:c>
      <x:c r="CK196" s="166"/>
      <x:c r="CL196" s="172" t="str">
        <x:f>IF(CA196="","",IF(CK196="","",CK196-CJ196*365/CM196))</x:f>
      </x:c>
      <x:c r="CM196" s="164"/>
      <x:c r="CN196" s="172" t="str">
        <x:f>IF(CA196="","",IFERROR(CF196*(CE196/CD196-1),0))</x:f>
      </x:c>
      <x:c r="CO196" s="147"/>
      <x:c r="CP196" s="147"/>
      <x:c r="CQ196" s="147"/>
      <x:c r="CR196" s="167"/>
      <x:c r="CS196" s="167"/>
      <x:c r="CT196" s="166"/>
      <x:c r="CU196" s="171" t="str">
        <x:f>IF(CO196="","",IFERROR(F196*CT196/CR196,0))</x:f>
      </x:c>
      <x:c r="CV196" s="171" t="str">
        <x:f>IF(CO196="","",F196*ABS(CT196))</x:f>
      </x:c>
      <x:c r="CW196" s="165"/>
      <x:c r="CX196" s="172" t="str">
        <x:f>IF(CO196="","",IF(CW196="","",IFERROR(CR196/CW196-1,0)))</x:f>
      </x:c>
      <x:c r="CY196" s="166"/>
      <x:c r="CZ196" s="172" t="str">
        <x:f>IF(CO196="","",IF(CY196="","",CY196-CX196*365/DA196))</x:f>
      </x:c>
      <x:c r="DA196" s="164"/>
      <x:c r="DB196" s="172" t="str">
        <x:f>IF(CO196="","",IFERROR(CT196*(CS196/CR196-1),0))</x:f>
      </x:c>
      <x:c r="DC196" s="147"/>
      <x:c r="DD196" s="147"/>
      <x:c r="DE196" s="147"/>
      <x:c r="DF196" s="167"/>
      <x:c r="DG196" s="167"/>
      <x:c r="DH196" s="166"/>
      <x:c r="DI196" s="171" t="str">
        <x:f>IF(DC196="","",IFERROR(F196*DH196/DF196,0))</x:f>
      </x:c>
      <x:c r="DJ196" s="171" t="str">
        <x:f>IF(DC196="","",F196*ABS(DH196))</x:f>
      </x:c>
      <x:c r="DK196" s="165"/>
      <x:c r="DL196" s="172" t="str">
        <x:f>IF(DC196="","",IF(DK196="","",IFERROR(DF196/DK196-1,0)))</x:f>
      </x:c>
      <x:c r="DM196" s="166"/>
      <x:c r="DN196" s="172" t="str">
        <x:f>IF(DC196="","",IF(DM196="","",DM196-DL196*365/DO196))</x:f>
      </x:c>
      <x:c r="DO196" s="164"/>
      <x:c r="DP196" s="172" t="str">
        <x:f>IF(DC196="","",IFERROR(DH196*(DG196/DF196-1),0))</x:f>
      </x:c>
      <x:c r="DQ196" s="147"/>
      <x:c r="DR196" s="147"/>
      <x:c r="DS196" s="147"/>
      <x:c r="DT196" s="167"/>
      <x:c r="DU196" s="167"/>
      <x:c r="DV196" s="166"/>
      <x:c r="DW196" s="171" t="str">
        <x:f>IF(DQ196="","",IFERROR(F196*DV196/DT196,0))</x:f>
      </x:c>
      <x:c r="DX196" s="171" t="str">
        <x:f>IF(DQ196="","",F196*ABS(DV196))</x:f>
      </x:c>
      <x:c r="DY196" s="165"/>
      <x:c r="DZ196" s="172" t="str">
        <x:f>IF(DQ196="","",IF(DY196="","",IFERROR(DT196/DY196-1,0)))</x:f>
      </x:c>
      <x:c r="EA196" s="166"/>
      <x:c r="EB196" s="172" t="str">
        <x:f>IF(DQ196="","",IF(EA196="","",EA196-DZ196*365/EC196))</x:f>
      </x:c>
      <x:c r="EC196" s="164"/>
      <x:c r="ED196" s="172" t="str">
        <x:f>IF(DQ196="","",IFERROR(DV196*(DU196/DT196-1),0))</x:f>
      </x:c>
      <x:c r="EE196" s="147"/>
      <x:c r="EF196" s="147"/>
      <x:c r="EG196" s="147"/>
      <x:c r="EH196" s="167"/>
      <x:c r="EI196" s="167"/>
      <x:c r="EJ196" s="166"/>
      <x:c r="EK196" s="171" t="str">
        <x:f>IF(EE196="","",IFERROR(F196*EJ196/EH196,0))</x:f>
      </x:c>
      <x:c r="EL196" s="171" t="str">
        <x:f>IF(EE196="","",F196*ABS(EJ196))</x:f>
      </x:c>
      <x:c r="EM196" s="165"/>
      <x:c r="EN196" s="172" t="str">
        <x:f>IF(EE196="","",IF(EM196="","",IFERROR(EH196/EM196-1,0)))</x:f>
      </x:c>
      <x:c r="EO196" s="166"/>
      <x:c r="EP196" s="172" t="str">
        <x:f>IF(EE196="","",IF(EO196="","",EO196-EN196*365/EQ196))</x:f>
      </x:c>
      <x:c r="EQ196" s="164"/>
      <x:c r="ER196" s="172" t="str">
        <x:f>IF(EE196="","",IFERROR(EJ196*(EI196/EH196-1),0))</x:f>
      </x:c>
      <x:c r="ES196" s="147"/>
      <x:c r="ET196" s="147"/>
      <x:c r="EU196" s="147"/>
      <x:c r="EV196" s="167"/>
      <x:c r="EW196" s="167"/>
      <x:c r="EX196" s="166"/>
      <x:c r="EY196" s="171" t="str">
        <x:f>IF(ES196="","",IFERROR(F196*EX196/EV196,0))</x:f>
      </x:c>
      <x:c r="EZ196" s="171" t="str">
        <x:f>IF(ES196="","",F196*ABS(EX196))</x:f>
      </x:c>
      <x:c r="FA196" s="165"/>
      <x:c r="FB196" s="172" t="str">
        <x:f>IF(ES196="","",IF(FA196="","",IFERROR(EV196/FA196-1,0)))</x:f>
      </x:c>
      <x:c r="FC196" s="166"/>
      <x:c r="FD196" s="172" t="str">
        <x:f>IF(ES196="","",IF(FC196="","",FC196-FB196*365/FE196))</x:f>
      </x:c>
      <x:c r="FE196" s="164"/>
      <x:c r="FF196" s="172" t="str">
        <x:f>IF(ES196="","",IFERROR(EX196*(EW196/EV196-1),0))</x:f>
      </x:c>
      <x:c r="FG196" s="147"/>
      <x:c r="FH196" s="147"/>
      <x:c r="FI196" s="147"/>
      <x:c r="FJ196" s="167"/>
      <x:c r="FK196" s="167"/>
      <x:c r="FL196" s="166"/>
      <x:c r="FM196" s="171" t="str">
        <x:f>IF(FG196="","",IFERROR(F196*FL196/FJ196,0))</x:f>
      </x:c>
      <x:c r="FN196" s="171" t="str">
        <x:f>IF(FG196="","",F196*ABS(FL196))</x:f>
      </x:c>
      <x:c r="FO196" s="165"/>
      <x:c r="FP196" s="172" t="str">
        <x:f>IF(FG196="","",IF(FO196="","",IFERROR(FJ196/FO196-1,0)))</x:f>
      </x:c>
      <x:c r="FQ196" s="166"/>
      <x:c r="FR196" s="172" t="str">
        <x:f>IF(FG196="","",IF(FQ196="","",FQ196-FP196*365/FS196))</x:f>
      </x:c>
      <x:c r="FS196" s="164"/>
      <x:c r="FT196" s="172" t="str">
        <x:f>IF(FG196="","",IFERROR(FL196*(FK196/FJ196-1),0))</x:f>
      </x:c>
    </x:row>
    <x:row r="197" ht="18" customHeight="1">
      <x:c r="A197" s="163" t="n">
        <x:v>25493</x:v>
      </x:c>
      <x:c r="B197" s="163" t="n">
        <x:v>25496</x:v>
      </x:c>
      <x:c r="C197" s="170" t="n">
        <x:f>B197-A197</x:f>
        <x:v>3</x:v>
      </x:c>
      <x:c r="D197" s="163" t="n">
        <x:v>25493</x:v>
      </x:c>
      <x:c r="E197" s="147" t="str">
        <x:v>neutral</x:v>
      </x:c>
      <x:c r="F197" s="165" t="n">
        <x:v>1.8274470532611848</x:v>
      </x:c>
      <x:c r="G197" s="168" t="n">
        <x:v>0.022593903240674423</x:v>
      </x:c>
      <x:c r="H197" s="172" t="n">
        <x:f>SUM(AX197,BL197,BZ197,CN197,DB197,DP197,ED197,ER197,FF197,FT197)</x:f>
        <x:v>0.022593903240674423</x:v>
      </x:c>
      <x:c r="I197" s="174" t="n">
        <x:f>G197-H197</x:f>
        <x:v>0</x:v>
      </x:c>
      <x:c r="J197" s="171" t="n">
        <x:f>F197*(1+H197)</x:f>
        <x:v>1.8687362151600235</x:v>
      </x:c>
      <x:c r="K197" s="169" t="n">
        <x:v>1.8687362151600235</x:v>
      </x:c>
      <x:c r="L197" s="175" t="n">
        <x:f>K197-J197</x:f>
        <x:v>0</x:v>
      </x:c>
      <x:c r="M197" s="167" t="n">
        <x:v>1.813</x:v>
      </x:c>
      <x:c r="N197" s="167" t="n">
        <x:v>1.854</x:v>
      </x:c>
      <x:c r="O197" s="172" t="n">
        <x:f>IFERROR(N197/M197-1,0)</x:f>
        <x:v>0.022614451185879902</x:v>
      </x:c>
      <x:c r="P197" s="171" t="n">
        <x:f>IFERROR(AD197/AH197,0)</x:f>
        <x:v>1.973602498778489</x:v>
      </x:c>
      <x:c r="Q197" s="171" t="n">
        <x:f>IFERROR(AE197/AI197,0)</x:f>
        <x:v>1.973562842116142</x:v>
      </x:c>
      <x:c r="R197" s="172" t="n">
        <x:f>IFERROR((Q197-P197)/(P197+S197),0)</x:f>
        <x:v>-0.00002009354080753829</x:v>
      </x:c>
      <x:c r="S197" s="172" t="n">
        <x:f>IFERROR(AF197/AH197,0)</x:f>
        <x:v>0</x:v>
      </x:c>
      <x:c r="T197" s="172" t="n">
        <x:f>IFERROR(AG197/AI197,0)</x:f>
        <x:v>0</x:v>
      </x:c>
      <x:c r="U197" s="172" t="n">
        <x:f>IFERROR((T197-S197)/(P197+S197),0)</x:f>
        <x:v>0</x:v>
      </x:c>
      <x:c r="V197" s="172" t="n">
        <x:f>R197+U197</x:f>
        <x:v>-0.00002009354080753829</x:v>
      </x:c>
      <x:c r="W197" s="172" t="n">
        <x:f>(1+O197)*(1+V197)-1</x:f>
        <x:v>0.022593903240674562</x:v>
      </x:c>
      <x:c r="X197" s="174" t="n">
        <x:f>G197-W197</x:f>
        <x:v>-1.3877787807814457e-16</x:v>
      </x:c>
      <x:c r="Y197" s="172" t="n">
        <x:f>AX197</x:f>
        <x:v>0.022593903240674423</x:v>
      </x:c>
      <x:c r="Z197" s="172" t="n">
        <x:f>BL197</x:f>
        <x:v>0</x:v>
      </x:c>
      <x:c r="AA197" s="172" t="n">
        <x:f>SUM(BZ197,CN197,DB197,DP197,ED197,ER197,FF197,FT197)</x:f>
        <x:v>0</x:v>
      </x:c>
      <x:c r="AB197" s="172" t="n">
        <x:f>SUM(Y197:AA197)</x:f>
        <x:v>0.022593903240674423</x:v>
      </x:c>
      <x:c r="AC197" s="174" t="n">
        <x:f>G197-AB197</x:f>
        <x:v>0</x:v>
      </x:c>
      <x:c r="AD197" s="169" t="n">
        <x:v>1.8274470532611853</x:v>
      </x:c>
      <x:c r="AE197" s="169" t="n">
        <x:v>1.8687362151600242</x:v>
      </x:c>
      <x:c r="AF197" s="169" t="n">
        <x:v>0</x:v>
      </x:c>
      <x:c r="AG197" s="169" t="n">
        <x:v>0</x:v>
      </x:c>
      <x:c r="AH197" s="171" t="n">
        <x:f>M197/$M$3</x:f>
        <x:v>0.9259448416751788</x:v>
      </x:c>
      <x:c r="AI197" s="171" t="n">
        <x:f>N197/$M$3</x:f>
        <x:v>0.9468845760980593</x:v>
      </x:c>
      <x:c r="AJ197" s="170" t="n">
        <x:f>IF(AK197&lt;&gt;"",1,0)+IF(AY197&lt;&gt;"",1,0)+IF(BM197&lt;&gt;"",1,0)+IF(CA197&lt;&gt;"",1,0)+IF(CO197&lt;&gt;"",1,0)+IF(DC197&lt;&gt;"",1,0)+IF(DQ197&lt;&gt;"",1,0)+IF(EE197&lt;&gt;"",1,0)+IF(ES197&lt;&gt;"",1,0)+IF(FG197&lt;&gt;"",1,0)</x:f>
        <x:v>1</x:v>
      </x:c>
      <x:c r="AK197" s="147" t="str">
        <x:v>Silver replicating holding (LBMA/SLV proxy)</x:v>
      </x:c>
      <x:c r="AL197" s="147" t="str">
        <x:v>Physical-backed proxy</x:v>
      </x:c>
      <x:c r="AM197" s="147" t="str">
        <x:v>Long</x:v>
      </x:c>
      <x:c r="AN197" s="167" t="n">
        <x:v>1.813</x:v>
      </x:c>
      <x:c r="AO197" s="167" t="n">
        <x:v>1.854</x:v>
      </x:c>
      <x:c r="AP197" s="166" t="n">
        <x:v>1</x:v>
      </x:c>
      <x:c r="AQ197" s="171" t="n">
        <x:f>IF(AK197="","",IFERROR(F197*AP197/AN197,0))</x:f>
        <x:v>1.007968589774509</x:v>
      </x:c>
      <x:c r="AR197" s="171" t="n">
        <x:f>IF(AK197="","",F197*ABS(AP197))</x:f>
        <x:v>1.8274470532611848</x:v>
      </x:c>
      <x:c r="AS197" s="165"/>
      <x:c r="AT197" s="172" t="str">
        <x:f>IF(AK197="","",IF(AS197="","",IFERROR(AN197/AS197-1,0)))</x:f>
      </x:c>
      <x:c r="AU197" s="166"/>
      <x:c r="AV197" s="172" t="str">
        <x:f>IF(AK197="","",IF(AU197="","",AU197-AT197*365/AW197))</x:f>
      </x:c>
      <x:c r="AW197" s="164"/>
      <x:c r="AX197" s="173" t="n">
        <x:f>IF(AK197="","",IFERROR(AP197*(AO197/AN197-1-'Parameters'!$C$6*C197/365),0))</x:f>
        <x:v>0.022593903240674423</x:v>
      </x:c>
      <x:c r="AY197" s="147"/>
      <x:c r="AZ197" s="147"/>
      <x:c r="BA197" s="147"/>
      <x:c r="BB197" s="167"/>
      <x:c r="BC197" s="167"/>
      <x:c r="BD197" s="166"/>
      <x:c r="BE197" s="171" t="str">
        <x:f>IF(AY197="","",IFERROR(F197*BD197/BB197,0))</x:f>
      </x:c>
      <x:c r="BF197" s="171" t="str">
        <x:f>IF(AY197="","",F197*ABS(BD197))</x:f>
      </x:c>
      <x:c r="BG197" s="165"/>
      <x:c r="BH197" s="172" t="str">
        <x:f>IF(AY197="","",IF(BG197="","",IFERROR(BB197/BG197-1,0)))</x:f>
      </x:c>
      <x:c r="BI197" s="166"/>
      <x:c r="BJ197" s="172" t="str">
        <x:f>IF(AY197="","",IF(BI197="","",BI197-BH197*365/BK197))</x:f>
      </x:c>
      <x:c r="BK197" s="164"/>
      <x:c r="BL197" s="172" t="str">
        <x:f>IF(AY197="","",IFERROR(BD197*(BC197/BB197-1),0))</x:f>
      </x:c>
      <x:c r="BM197" s="147"/>
      <x:c r="BN197" s="147"/>
      <x:c r="BO197" s="147"/>
      <x:c r="BP197" s="167"/>
      <x:c r="BQ197" s="167"/>
      <x:c r="BR197" s="166"/>
      <x:c r="BS197" s="171" t="str">
        <x:f>IF(BM197="","",IFERROR(F197*BR197/BP197,0))</x:f>
      </x:c>
      <x:c r="BT197" s="171" t="str">
        <x:f>IF(BM197="","",F197*ABS(BR197))</x:f>
      </x:c>
      <x:c r="BU197" s="165"/>
      <x:c r="BV197" s="172" t="str">
        <x:f>IF(BM197="","",IF(BU197="","",IFERROR(BP197/BU197-1,0)))</x:f>
      </x:c>
      <x:c r="BW197" s="166"/>
      <x:c r="BX197" s="172" t="str">
        <x:f>IF(BM197="","",IF(BW197="","",BW197-BV197*365/BY197))</x:f>
      </x:c>
      <x:c r="BY197" s="164"/>
      <x:c r="BZ197" s="172" t="str">
        <x:f>IF(BM197="","",IFERROR(BR197*(BQ197/BP197-1),0))</x:f>
      </x:c>
      <x:c r="CA197" s="147"/>
      <x:c r="CB197" s="147"/>
      <x:c r="CC197" s="147"/>
      <x:c r="CD197" s="167"/>
      <x:c r="CE197" s="167"/>
      <x:c r="CF197" s="166"/>
      <x:c r="CG197" s="171" t="str">
        <x:f>IF(CA197="","",IFERROR(F197*CF197/CD197,0))</x:f>
      </x:c>
      <x:c r="CH197" s="171" t="str">
        <x:f>IF(CA197="","",F197*ABS(CF197))</x:f>
      </x:c>
      <x:c r="CI197" s="165"/>
      <x:c r="CJ197" s="172" t="str">
        <x:f>IF(CA197="","",IF(CI197="","",IFERROR(CD197/CI197-1,0)))</x:f>
      </x:c>
      <x:c r="CK197" s="166"/>
      <x:c r="CL197" s="172" t="str">
        <x:f>IF(CA197="","",IF(CK197="","",CK197-CJ197*365/CM197))</x:f>
      </x:c>
      <x:c r="CM197" s="164"/>
      <x:c r="CN197" s="172" t="str">
        <x:f>IF(CA197="","",IFERROR(CF197*(CE197/CD197-1),0))</x:f>
      </x:c>
      <x:c r="CO197" s="147"/>
      <x:c r="CP197" s="147"/>
      <x:c r="CQ197" s="147"/>
      <x:c r="CR197" s="167"/>
      <x:c r="CS197" s="167"/>
      <x:c r="CT197" s="166"/>
      <x:c r="CU197" s="171" t="str">
        <x:f>IF(CO197="","",IFERROR(F197*CT197/CR197,0))</x:f>
      </x:c>
      <x:c r="CV197" s="171" t="str">
        <x:f>IF(CO197="","",F197*ABS(CT197))</x:f>
      </x:c>
      <x:c r="CW197" s="165"/>
      <x:c r="CX197" s="172" t="str">
        <x:f>IF(CO197="","",IF(CW197="","",IFERROR(CR197/CW197-1,0)))</x:f>
      </x:c>
      <x:c r="CY197" s="166"/>
      <x:c r="CZ197" s="172" t="str">
        <x:f>IF(CO197="","",IF(CY197="","",CY197-CX197*365/DA197))</x:f>
      </x:c>
      <x:c r="DA197" s="164"/>
      <x:c r="DB197" s="172" t="str">
        <x:f>IF(CO197="","",IFERROR(CT197*(CS197/CR197-1),0))</x:f>
      </x:c>
      <x:c r="DC197" s="147"/>
      <x:c r="DD197" s="147"/>
      <x:c r="DE197" s="147"/>
      <x:c r="DF197" s="167"/>
      <x:c r="DG197" s="167"/>
      <x:c r="DH197" s="166"/>
      <x:c r="DI197" s="171" t="str">
        <x:f>IF(DC197="","",IFERROR(F197*DH197/DF197,0))</x:f>
      </x:c>
      <x:c r="DJ197" s="171" t="str">
        <x:f>IF(DC197="","",F197*ABS(DH197))</x:f>
      </x:c>
      <x:c r="DK197" s="165"/>
      <x:c r="DL197" s="172" t="str">
        <x:f>IF(DC197="","",IF(DK197="","",IFERROR(DF197/DK197-1,0)))</x:f>
      </x:c>
      <x:c r="DM197" s="166"/>
      <x:c r="DN197" s="172" t="str">
        <x:f>IF(DC197="","",IF(DM197="","",DM197-DL197*365/DO197))</x:f>
      </x:c>
      <x:c r="DO197" s="164"/>
      <x:c r="DP197" s="172" t="str">
        <x:f>IF(DC197="","",IFERROR(DH197*(DG197/DF197-1),0))</x:f>
      </x:c>
      <x:c r="DQ197" s="147"/>
      <x:c r="DR197" s="147"/>
      <x:c r="DS197" s="147"/>
      <x:c r="DT197" s="167"/>
      <x:c r="DU197" s="167"/>
      <x:c r="DV197" s="166"/>
      <x:c r="DW197" s="171" t="str">
        <x:f>IF(DQ197="","",IFERROR(F197*DV197/DT197,0))</x:f>
      </x:c>
      <x:c r="DX197" s="171" t="str">
        <x:f>IF(DQ197="","",F197*ABS(DV197))</x:f>
      </x:c>
      <x:c r="DY197" s="165"/>
      <x:c r="DZ197" s="172" t="str">
        <x:f>IF(DQ197="","",IF(DY197="","",IFERROR(DT197/DY197-1,0)))</x:f>
      </x:c>
      <x:c r="EA197" s="166"/>
      <x:c r="EB197" s="172" t="str">
        <x:f>IF(DQ197="","",IF(EA197="","",EA197-DZ197*365/EC197))</x:f>
      </x:c>
      <x:c r="EC197" s="164"/>
      <x:c r="ED197" s="172" t="str">
        <x:f>IF(DQ197="","",IFERROR(DV197*(DU197/DT197-1),0))</x:f>
      </x:c>
      <x:c r="EE197" s="147"/>
      <x:c r="EF197" s="147"/>
      <x:c r="EG197" s="147"/>
      <x:c r="EH197" s="167"/>
      <x:c r="EI197" s="167"/>
      <x:c r="EJ197" s="166"/>
      <x:c r="EK197" s="171" t="str">
        <x:f>IF(EE197="","",IFERROR(F197*EJ197/EH197,0))</x:f>
      </x:c>
      <x:c r="EL197" s="171" t="str">
        <x:f>IF(EE197="","",F197*ABS(EJ197))</x:f>
      </x:c>
      <x:c r="EM197" s="165"/>
      <x:c r="EN197" s="172" t="str">
        <x:f>IF(EE197="","",IF(EM197="","",IFERROR(EH197/EM197-1,0)))</x:f>
      </x:c>
      <x:c r="EO197" s="166"/>
      <x:c r="EP197" s="172" t="str">
        <x:f>IF(EE197="","",IF(EO197="","",EO197-EN197*365/EQ197))</x:f>
      </x:c>
      <x:c r="EQ197" s="164"/>
      <x:c r="ER197" s="172" t="str">
        <x:f>IF(EE197="","",IFERROR(EJ197*(EI197/EH197-1),0))</x:f>
      </x:c>
      <x:c r="ES197" s="147"/>
      <x:c r="ET197" s="147"/>
      <x:c r="EU197" s="147"/>
      <x:c r="EV197" s="167"/>
      <x:c r="EW197" s="167"/>
      <x:c r="EX197" s="166"/>
      <x:c r="EY197" s="171" t="str">
        <x:f>IF(ES197="","",IFERROR(F197*EX197/EV197,0))</x:f>
      </x:c>
      <x:c r="EZ197" s="171" t="str">
        <x:f>IF(ES197="","",F197*ABS(EX197))</x:f>
      </x:c>
      <x:c r="FA197" s="165"/>
      <x:c r="FB197" s="172" t="str">
        <x:f>IF(ES197="","",IF(FA197="","",IFERROR(EV197/FA197-1,0)))</x:f>
      </x:c>
      <x:c r="FC197" s="166"/>
      <x:c r="FD197" s="172" t="str">
        <x:f>IF(ES197="","",IF(FC197="","",FC197-FB197*365/FE197))</x:f>
      </x:c>
      <x:c r="FE197" s="164"/>
      <x:c r="FF197" s="172" t="str">
        <x:f>IF(ES197="","",IFERROR(EX197*(EW197/EV197-1),0))</x:f>
      </x:c>
      <x:c r="FG197" s="147"/>
      <x:c r="FH197" s="147"/>
      <x:c r="FI197" s="147"/>
      <x:c r="FJ197" s="167"/>
      <x:c r="FK197" s="167"/>
      <x:c r="FL197" s="166"/>
      <x:c r="FM197" s="171" t="str">
        <x:f>IF(FG197="","",IFERROR(F197*FL197/FJ197,0))</x:f>
      </x:c>
      <x:c r="FN197" s="171" t="str">
        <x:f>IF(FG197="","",F197*ABS(FL197))</x:f>
      </x:c>
      <x:c r="FO197" s="165"/>
      <x:c r="FP197" s="172" t="str">
        <x:f>IF(FG197="","",IF(FO197="","",IFERROR(FJ197/FO197-1,0)))</x:f>
      </x:c>
      <x:c r="FQ197" s="166"/>
      <x:c r="FR197" s="172" t="str">
        <x:f>IF(FG197="","",IF(FQ197="","",FQ197-FP197*365/FS197))</x:f>
      </x:c>
      <x:c r="FS197" s="164"/>
      <x:c r="FT197" s="172" t="str">
        <x:f>IF(FG197="","",IFERROR(FL197*(FK197/FJ197-1),0))</x:f>
      </x:c>
    </x:row>
    <x:row r="198" ht="18" customHeight="1">
      <x:c r="A198" s="163" t="n">
        <x:v>25496</x:v>
      </x:c>
      <x:c r="B198" s="163" t="n">
        <x:v>25497</x:v>
      </x:c>
      <x:c r="C198" s="170" t="n">
        <x:f>B198-A198</x:f>
        <x:v>1</x:v>
      </x:c>
      <x:c r="D198" s="163" t="n">
        <x:v>25496</x:v>
      </x:c>
      <x:c r="E198" s="147" t="str">
        <x:v>neutral</x:v>
      </x:c>
      <x:c r="F198" s="165" t="n">
        <x:v>1.8687362151600235</x:v>
      </x:c>
      <x:c r="G198" s="168" t="n">
        <x:v>0.010780637200573382</x:v>
      </x:c>
      <x:c r="H198" s="172" t="n">
        <x:f>SUM(AX198,BL198,BZ198,CN198,DB198,DP198,ED198,ER198,FF198,FT198)</x:f>
        <x:v>0.010780637200573382</x:v>
      </x:c>
      <x:c r="I198" s="174" t="n">
        <x:f>G198-H198</x:f>
        <x:v>0</x:v>
      </x:c>
      <x:c r="J198" s="171" t="n">
        <x:f>F198*(1+H198)</x:f>
        <x:v>1.8888823823192364</x:v>
      </x:c>
      <x:c r="K198" s="169" t="n">
        <x:v>1.8888823823192364</x:v>
      </x:c>
      <x:c r="L198" s="175" t="n">
        <x:f>K198-J198</x:f>
        <x:v>0</x:v>
      </x:c>
      <x:c r="M198" s="167" t="n">
        <x:v>1.854</x:v>
      </x:c>
      <x:c r="N198" s="167" t="n">
        <x:v>1.874</x:v>
      </x:c>
      <x:c r="O198" s="172" t="n">
        <x:f>IFERROR(N198/M198-1,0)</x:f>
        <x:v>0.010787486515641875</x:v>
      </x:c>
      <x:c r="P198" s="171" t="n">
        <x:f>IFERROR(AD198/AH198,0)</x:f>
        <x:v>1.973562842116142</x:v>
      </x:c>
      <x:c r="Q198" s="171" t="n">
        <x:f>IFERROR(AE198/AI198,0)</x:f>
        <x:v>1.9735494688266093</x:v>
      </x:c>
      <x:c r="R198" s="172" t="n">
        <x:f>IFERROR((Q198-P198)/(P198+S198),0)</x:f>
        <x:v>-0.000006776216721996741</x:v>
      </x:c>
      <x:c r="S198" s="172" t="n">
        <x:f>IFERROR(AF198/AH198,0)</x:f>
        <x:v>0</x:v>
      </x:c>
      <x:c r="T198" s="172" t="n">
        <x:f>IFERROR(AG198/AI198,0)</x:f>
        <x:v>0</x:v>
      </x:c>
      <x:c r="U198" s="172" t="n">
        <x:f>IFERROR((T198-S198)/(P198+S198),0)</x:f>
        <x:v>0</x:v>
      </x:c>
      <x:c r="V198" s="172" t="n">
        <x:f>R198+U198</x:f>
        <x:v>-0.000006776216721996741</x:v>
      </x:c>
      <x:c r="W198" s="172" t="n">
        <x:f>(1+O198)*(1+V198)-1</x:f>
        <x:v>0.010780637200573429</x:v>
      </x:c>
      <x:c r="X198" s="174" t="n">
        <x:f>G198-W198</x:f>
        <x:v>-4.683753385137379e-17</x:v>
      </x:c>
      <x:c r="Y198" s="172" t="n">
        <x:f>AX198</x:f>
        <x:v>0.010780637200573382</x:v>
      </x:c>
      <x:c r="Z198" s="172" t="str">
        <x:f>BL198</x:f>
      </x:c>
      <x:c r="AA198" s="172" t="n">
        <x:f>SUM(BZ198,CN198,DB198,DP198,ED198,ER198,FF198,FT198)</x:f>
        <x:v>0</x:v>
      </x:c>
      <x:c r="AB198" s="172" t="n">
        <x:f>SUM(Y198:AA198)</x:f>
        <x:v>0.010780637200573382</x:v>
      </x:c>
      <x:c r="AC198" s="174" t="n">
        <x:f>G198-AB198</x:f>
        <x:v>0</x:v>
      </x:c>
      <x:c r="AD198" s="169" t="n">
        <x:v>1.8687362151600242</x:v>
      </x:c>
      <x:c r="AE198" s="169" t="n">
        <x:v>1.888882382319237</x:v>
      </x:c>
      <x:c r="AF198" s="169" t="n">
        <x:v>0</x:v>
      </x:c>
      <x:c r="AG198" s="169" t="n">
        <x:v>0</x:v>
      </x:c>
      <x:c r="AH198" s="171" t="n">
        <x:f>M198/$M$3</x:f>
        <x:v>0.9468845760980593</x:v>
      </x:c>
      <x:c r="AI198" s="171" t="n">
        <x:f>N198/$M$3</x:f>
        <x:v>0.9570990806945864</x:v>
      </x:c>
      <x:c r="AJ198" s="170" t="n">
        <x:f>IF(AK198&lt;&gt;"",1,0)+IF(AY198&lt;&gt;"",1,0)+IF(BM198&lt;&gt;"",1,0)+IF(CA198&lt;&gt;"",1,0)+IF(CO198&lt;&gt;"",1,0)+IF(DC198&lt;&gt;"",1,0)+IF(DQ198&lt;&gt;"",1,0)+IF(EE198&lt;&gt;"",1,0)+IF(ES198&lt;&gt;"",1,0)+IF(FG198&lt;&gt;"",1,0)</x:f>
        <x:v>1</x:v>
      </x:c>
      <x:c r="AK198" s="147" t="str">
        <x:v>Silver replicating holding (LBMA/SLV proxy)</x:v>
      </x:c>
      <x:c r="AL198" s="147" t="str">
        <x:v>Physical-backed proxy</x:v>
      </x:c>
      <x:c r="AM198" s="147" t="str">
        <x:v>Long</x:v>
      </x:c>
      <x:c r="AN198" s="167" t="n">
        <x:v>1.854</x:v>
      </x:c>
      <x:c r="AO198" s="167" t="n">
        <x:v>1.874</x:v>
      </x:c>
      <x:c r="AP198" s="166" t="n">
        <x:v>1</x:v>
      </x:c>
      <x:c r="AQ198" s="171" t="n">
        <x:f>IF(AK198="","",IFERROR(F198*AP198/AN198,0))</x:f>
        <x:v>1.0079483361165176</x:v>
      </x:c>
      <x:c r="AR198" s="171" t="n">
        <x:f>IF(AK198="","",F198*ABS(AP198))</x:f>
        <x:v>1.8687362151600235</x:v>
      </x:c>
      <x:c r="AS198" s="165"/>
      <x:c r="AT198" s="172" t="str">
        <x:f>IF(AK198="","",IF(AS198="","",IFERROR(AN198/AS198-1,0)))</x:f>
      </x:c>
      <x:c r="AU198" s="166"/>
      <x:c r="AV198" s="172" t="str">
        <x:f>IF(AK198="","",IF(AU198="","",AU198-AT198*365/AW198))</x:f>
      </x:c>
      <x:c r="AW198" s="164"/>
      <x:c r="AX198" s="173" t="n">
        <x:f>IF(AK198="","",IFERROR(AP198*(AO198/AN198-1-'Parameters'!$C$6*C198/365),0))</x:f>
        <x:v>0.010780637200573382</x:v>
      </x:c>
      <x:c r="AY198" s="147"/>
      <x:c r="AZ198" s="147"/>
      <x:c r="BA198" s="147"/>
      <x:c r="BB198" s="167"/>
      <x:c r="BC198" s="167"/>
      <x:c r="BD198" s="166"/>
      <x:c r="BE198" s="171" t="str">
        <x:f>IF(AY198="","",IFERROR(F198*BD198/BB198,0))</x:f>
      </x:c>
      <x:c r="BF198" s="171" t="str">
        <x:f>IF(AY198="","",F198*ABS(BD198))</x:f>
      </x:c>
      <x:c r="BG198" s="165"/>
      <x:c r="BH198" s="172" t="str">
        <x:f>IF(AY198="","",IF(BG198="","",IFERROR(BB198/BG198-1,0)))</x:f>
      </x:c>
      <x:c r="BI198" s="166"/>
      <x:c r="BJ198" s="172" t="str">
        <x:f>IF(AY198="","",IF(BI198="","",BI198-BH198*365/BK198))</x:f>
      </x:c>
      <x:c r="BK198" s="164"/>
      <x:c r="BL198" s="172" t="str">
        <x:f>IF(AY198="","",IFERROR(BD198*(BC198/BB198-1),0))</x:f>
      </x:c>
      <x:c r="BM198" s="147"/>
      <x:c r="BN198" s="147"/>
      <x:c r="BO198" s="147"/>
      <x:c r="BP198" s="167"/>
      <x:c r="BQ198" s="167"/>
      <x:c r="BR198" s="166"/>
      <x:c r="BS198" s="171" t="str">
        <x:f>IF(BM198="","",IFERROR(F198*BR198/BP198,0))</x:f>
      </x:c>
      <x:c r="BT198" s="171" t="str">
        <x:f>IF(BM198="","",F198*ABS(BR198))</x:f>
      </x:c>
      <x:c r="BU198" s="165"/>
      <x:c r="BV198" s="172" t="str">
        <x:f>IF(BM198="","",IF(BU198="","",IFERROR(BP198/BU198-1,0)))</x:f>
      </x:c>
      <x:c r="BW198" s="166"/>
      <x:c r="BX198" s="172" t="str">
        <x:f>IF(BM198="","",IF(BW198="","",BW198-BV198*365/BY198))</x:f>
      </x:c>
      <x:c r="BY198" s="164"/>
      <x:c r="BZ198" s="172" t="str">
        <x:f>IF(BM198="","",IFERROR(BR198*(BQ198/BP198-1),0))</x:f>
      </x:c>
      <x:c r="CA198" s="147"/>
      <x:c r="CB198" s="147"/>
      <x:c r="CC198" s="147"/>
      <x:c r="CD198" s="167"/>
      <x:c r="CE198" s="167"/>
      <x:c r="CF198" s="166"/>
      <x:c r="CG198" s="171" t="str">
        <x:f>IF(CA198="","",IFERROR(F198*CF198/CD198,0))</x:f>
      </x:c>
      <x:c r="CH198" s="171" t="str">
        <x:f>IF(CA198="","",F198*ABS(CF198))</x:f>
      </x:c>
      <x:c r="CI198" s="165"/>
      <x:c r="CJ198" s="172" t="str">
        <x:f>IF(CA198="","",IF(CI198="","",IFERROR(CD198/CI198-1,0)))</x:f>
      </x:c>
      <x:c r="CK198" s="166"/>
      <x:c r="CL198" s="172" t="str">
        <x:f>IF(CA198="","",IF(CK198="","",CK198-CJ198*365/CM198))</x:f>
      </x:c>
      <x:c r="CM198" s="164"/>
      <x:c r="CN198" s="172" t="str">
        <x:f>IF(CA198="","",IFERROR(CF198*(CE198/CD198-1),0))</x:f>
      </x:c>
      <x:c r="CO198" s="147"/>
      <x:c r="CP198" s="147"/>
      <x:c r="CQ198" s="147"/>
      <x:c r="CR198" s="167"/>
      <x:c r="CS198" s="167"/>
      <x:c r="CT198" s="166"/>
      <x:c r="CU198" s="171" t="str">
        <x:f>IF(CO198="","",IFERROR(F198*CT198/CR198,0))</x:f>
      </x:c>
      <x:c r="CV198" s="171" t="str">
        <x:f>IF(CO198="","",F198*ABS(CT198))</x:f>
      </x:c>
      <x:c r="CW198" s="165"/>
      <x:c r="CX198" s="172" t="str">
        <x:f>IF(CO198="","",IF(CW198="","",IFERROR(CR198/CW198-1,0)))</x:f>
      </x:c>
      <x:c r="CY198" s="166"/>
      <x:c r="CZ198" s="172" t="str">
        <x:f>IF(CO198="","",IF(CY198="","",CY198-CX198*365/DA198))</x:f>
      </x:c>
      <x:c r="DA198" s="164"/>
      <x:c r="DB198" s="172" t="str">
        <x:f>IF(CO198="","",IFERROR(CT198*(CS198/CR198-1),0))</x:f>
      </x:c>
      <x:c r="DC198" s="147"/>
      <x:c r="DD198" s="147"/>
      <x:c r="DE198" s="147"/>
      <x:c r="DF198" s="167"/>
      <x:c r="DG198" s="167"/>
      <x:c r="DH198" s="166"/>
      <x:c r="DI198" s="171" t="str">
        <x:f>IF(DC198="","",IFERROR(F198*DH198/DF198,0))</x:f>
      </x:c>
      <x:c r="DJ198" s="171" t="str">
        <x:f>IF(DC198="","",F198*ABS(DH198))</x:f>
      </x:c>
      <x:c r="DK198" s="165"/>
      <x:c r="DL198" s="172" t="str">
        <x:f>IF(DC198="","",IF(DK198="","",IFERROR(DF198/DK198-1,0)))</x:f>
      </x:c>
      <x:c r="DM198" s="166"/>
      <x:c r="DN198" s="172" t="str">
        <x:f>IF(DC198="","",IF(DM198="","",DM198-DL198*365/DO198))</x:f>
      </x:c>
      <x:c r="DO198" s="164"/>
      <x:c r="DP198" s="172" t="str">
        <x:f>IF(DC198="","",IFERROR(DH198*(DG198/DF198-1),0))</x:f>
      </x:c>
      <x:c r="DQ198" s="147"/>
      <x:c r="DR198" s="147"/>
      <x:c r="DS198" s="147"/>
      <x:c r="DT198" s="167"/>
      <x:c r="DU198" s="167"/>
      <x:c r="DV198" s="166"/>
      <x:c r="DW198" s="171" t="str">
        <x:f>IF(DQ198="","",IFERROR(F198*DV198/DT198,0))</x:f>
      </x:c>
      <x:c r="DX198" s="171" t="str">
        <x:f>IF(DQ198="","",F198*ABS(DV198))</x:f>
      </x:c>
      <x:c r="DY198" s="165"/>
      <x:c r="DZ198" s="172" t="str">
        <x:f>IF(DQ198="","",IF(DY198="","",IFERROR(DT198/DY198-1,0)))</x:f>
      </x:c>
      <x:c r="EA198" s="166"/>
      <x:c r="EB198" s="172" t="str">
        <x:f>IF(DQ198="","",IF(EA198="","",EA198-DZ198*365/EC198))</x:f>
      </x:c>
      <x:c r="EC198" s="164"/>
      <x:c r="ED198" s="172" t="str">
        <x:f>IF(DQ198="","",IFERROR(DV198*(DU198/DT198-1),0))</x:f>
      </x:c>
      <x:c r="EE198" s="147"/>
      <x:c r="EF198" s="147"/>
      <x:c r="EG198" s="147"/>
      <x:c r="EH198" s="167"/>
      <x:c r="EI198" s="167"/>
      <x:c r="EJ198" s="166"/>
      <x:c r="EK198" s="171" t="str">
        <x:f>IF(EE198="","",IFERROR(F198*EJ198/EH198,0))</x:f>
      </x:c>
      <x:c r="EL198" s="171" t="str">
        <x:f>IF(EE198="","",F198*ABS(EJ198))</x:f>
      </x:c>
      <x:c r="EM198" s="165"/>
      <x:c r="EN198" s="172" t="str">
        <x:f>IF(EE198="","",IF(EM198="","",IFERROR(EH198/EM198-1,0)))</x:f>
      </x:c>
      <x:c r="EO198" s="166"/>
      <x:c r="EP198" s="172" t="str">
        <x:f>IF(EE198="","",IF(EO198="","",EO198-EN198*365/EQ198))</x:f>
      </x:c>
      <x:c r="EQ198" s="164"/>
      <x:c r="ER198" s="172" t="str">
        <x:f>IF(EE198="","",IFERROR(EJ198*(EI198/EH198-1),0))</x:f>
      </x:c>
      <x:c r="ES198" s="147"/>
      <x:c r="ET198" s="147"/>
      <x:c r="EU198" s="147"/>
      <x:c r="EV198" s="167"/>
      <x:c r="EW198" s="167"/>
      <x:c r="EX198" s="166"/>
      <x:c r="EY198" s="171" t="str">
        <x:f>IF(ES198="","",IFERROR(F198*EX198/EV198,0))</x:f>
      </x:c>
      <x:c r="EZ198" s="171" t="str">
        <x:f>IF(ES198="","",F198*ABS(EX198))</x:f>
      </x:c>
      <x:c r="FA198" s="165"/>
      <x:c r="FB198" s="172" t="str">
        <x:f>IF(ES198="","",IF(FA198="","",IFERROR(EV198/FA198-1,0)))</x:f>
      </x:c>
      <x:c r="FC198" s="166"/>
      <x:c r="FD198" s="172" t="str">
        <x:f>IF(ES198="","",IF(FC198="","",FC198-FB198*365/FE198))</x:f>
      </x:c>
      <x:c r="FE198" s="164"/>
      <x:c r="FF198" s="172" t="str">
        <x:f>IF(ES198="","",IFERROR(EX198*(EW198/EV198-1),0))</x:f>
      </x:c>
      <x:c r="FG198" s="147"/>
      <x:c r="FH198" s="147"/>
      <x:c r="FI198" s="147"/>
      <x:c r="FJ198" s="167"/>
      <x:c r="FK198" s="167"/>
      <x:c r="FL198" s="166"/>
      <x:c r="FM198" s="171" t="str">
        <x:f>IF(FG198="","",IFERROR(F198*FL198/FJ198,0))</x:f>
      </x:c>
      <x:c r="FN198" s="171" t="str">
        <x:f>IF(FG198="","",F198*ABS(FL198))</x:f>
      </x:c>
      <x:c r="FO198" s="165"/>
      <x:c r="FP198" s="172" t="str">
        <x:f>IF(FG198="","",IF(FO198="","",IFERROR(FJ198/FO198-1,0)))</x:f>
      </x:c>
      <x:c r="FQ198" s="166"/>
      <x:c r="FR198" s="172" t="str">
        <x:f>IF(FG198="","",IF(FQ198="","",FQ198-FP198*365/FS198))</x:f>
      </x:c>
      <x:c r="FS198" s="164"/>
      <x:c r="FT198" s="172" t="str">
        <x:f>IF(FG198="","",IFERROR(FL198*(FK198/FJ198-1),0))</x:f>
      </x:c>
    </x:row>
    <x:row r="199" ht="18" customHeight="1">
      <x:c r="A199" s="163" t="n">
        <x:v>25497</x:v>
      </x:c>
      <x:c r="B199" s="163" t="n">
        <x:v>25498</x:v>
      </x:c>
      <x:c r="C199" s="170" t="n">
        <x:f>B199-A199</x:f>
        <x:v>1</x:v>
      </x:c>
      <x:c r="D199" s="163" t="n">
        <x:v>25497</x:v>
      </x:c>
      <x:c r="E199" s="147" t="str">
        <x:v>positive</x:v>
      </x:c>
      <x:c r="F199" s="165" t="n">
        <x:v>1.8888823823192364</x:v>
      </x:c>
      <x:c r="G199" s="168" t="n">
        <x:v>-0.012151052960057172</x:v>
      </x:c>
      <x:c r="H199" s="172" t="n">
        <x:f>SUM(AX199,BL199,BZ199,CN199,DB199,DP199,ED199,ER199,FF199,FT199)</x:f>
        <x:v>-0.012151052960057166</x:v>
      </x:c>
      <x:c r="I199" s="174" t="n">
        <x:f>G199-H199</x:f>
        <x:v>-5.204170427930421e-18</x:v>
      </x:c>
      <x:c r="J199" s="171" t="n">
        <x:f>F199*(1+H199)</x:f>
        <x:v>1.8659304724563566</x:v>
      </x:c>
      <x:c r="K199" s="169" t="n">
        <x:v>1.8659304724563566</x:v>
      </x:c>
      <x:c r="L199" s="175" t="n">
        <x:f>K199-J199</x:f>
        <x:v>0</x:v>
      </x:c>
      <x:c r="M199" s="167" t="n">
        <x:v>1.874</x:v>
      </x:c>
      <x:c r="N199" s="167" t="n">
        <x:v>1.846</x:v>
      </x:c>
      <x:c r="O199" s="172" t="n">
        <x:f>IFERROR(N199/M199-1,0)</x:f>
        <x:v>-0.014941302027748127</x:v>
      </x:c>
      <x:c r="P199" s="171" t="n">
        <x:f>IFERROR(AD199/AH199,0)</x:f>
        <x:v>1.9735494688266093</x:v>
      </x:c>
      <x:c r="Q199" s="171" t="n">
        <x:f>IFERROR(AE199/AI199,0)</x:f>
        <x:v>1.979139688553384</x:v>
      </x:c>
      <x:c r="R199" s="172" t="n">
        <x:f>IFERROR((Q199-P199)/(P199+S199),0)</x:f>
        <x:v>0.002832571372076359</x:v>
      </x:c>
      <x:c r="S199" s="172" t="n">
        <x:f>IFERROR(AF199/AH199,0)</x:f>
        <x:v>0</x:v>
      </x:c>
      <x:c r="T199" s="172" t="n">
        <x:f>IFERROR(AG199/AI199,0)</x:f>
        <x:v>0</x:v>
      </x:c>
      <x:c r="U199" s="172" t="n">
        <x:f>IFERROR((T199-S199)/(P199+S199),0)</x:f>
        <x:v>0</x:v>
      </x:c>
      <x:c r="V199" s="172" t="n">
        <x:f>R199+U199</x:f>
        <x:v>0.002832571372076359</x:v>
      </x:c>
      <x:c r="W199" s="172" t="n">
        <x:f>(1+O199)*(1+V199)-1</x:f>
        <x:v>-0.012151052960057251</x:v>
      </x:c>
      <x:c r="X199" s="174" t="n">
        <x:f>G199-W199</x:f>
        <x:v>7.979727989493313e-17</x:v>
      </x:c>
      <x:c r="Y199" s="172" t="n">
        <x:f>AX199</x:f>
        <x:v>-0.013135409678466981</x:v>
      </x:c>
      <x:c r="Z199" s="172" t="n">
        <x:f>BL199</x:f>
        <x:v>0.000022924752562104304</x:v>
      </x:c>
      <x:c r="AA199" s="172" t="n">
        <x:f>SUM(BZ199,CN199,DB199,DP199,ED199,ER199,FF199,FT199)</x:f>
        <x:v>0.0009614319658477108</x:v>
      </x:c>
      <x:c r="AB199" s="172" t="n">
        <x:f>SUM(Y199:AA199)</x:f>
        <x:v>-0.012151052960057166</x:v>
      </x:c>
      <x:c r="AC199" s="174" t="n">
        <x:f>G199-AB199</x:f>
        <x:v>-5.204170427930421e-18</x:v>
      </x:c>
      <x:c r="AD199" s="169" t="n">
        <x:v>1.888882382319237</x:v>
      </x:c>
      <x:c r="AE199" s="169" t="n">
        <x:v>1.865930472456357</x:v>
      </x:c>
      <x:c r="AF199" s="169" t="n">
        <x:v>0</x:v>
      </x:c>
      <x:c r="AG199" s="169" t="n">
        <x:v>0</x:v>
      </x:c>
      <x:c r="AH199" s="171" t="n">
        <x:f>M199/$M$3</x:f>
        <x:v>0.9570990806945864</x:v>
      </x:c>
      <x:c r="AI199" s="171" t="n">
        <x:f>N199/$M$3</x:f>
        <x:v>0.9427987742594485</x:v>
      </x:c>
      <x:c r="AJ199" s="170" t="n">
        <x:f>IF(AK199&lt;&gt;"",1,0)+IF(AY199&lt;&gt;"",1,0)+IF(BM199&lt;&gt;"",1,0)+IF(CA199&lt;&gt;"",1,0)+IF(CO199&lt;&gt;"",1,0)+IF(DC199&lt;&gt;"",1,0)+IF(DQ199&lt;&gt;"",1,0)+IF(EE199&lt;&gt;"",1,0)+IF(ES199&lt;&gt;"",1,0)+IF(FG199&lt;&gt;"",1,0)</x:f>
        <x:v>3</x:v>
      </x:c>
      <x:c r="AK199" s="147" t="str">
        <x:v>Silver replicating holding (LBMA/SLV proxy)</x:v>
      </x:c>
      <x:c r="AL199" s="147" t="str">
        <x:v>Physical-backed proxy</x:v>
      </x:c>
      <x:c r="AM199" s="147" t="str">
        <x:v>Long</x:v>
      </x:c>
      <x:c r="AN199" s="167" t="n">
        <x:v>1.874</x:v>
      </x:c>
      <x:c r="AO199" s="167" t="n">
        <x:v>1.846</x:v>
      </x:c>
      <x:c r="AP199" s="166" t="n">
        <x:v>0.8787313813744093</x:v>
      </x:c>
      <x:c r="AQ199" s="171" t="n">
        <x:f>IF(AK199="","",IFERROR(F199*AP199/AN199,0))</x:f>
        <x:v>0.8857098319472613</x:v>
      </x:c>
      <x:c r="AR199" s="171" t="n">
        <x:f>IF(AK199="","",F199*ABS(AP199))</x:f>
        <x:v>1.6598202250691678</x:v>
      </x:c>
      <x:c r="AS199" s="165"/>
      <x:c r="AT199" s="172" t="str">
        <x:f>IF(AK199="","",IF(AS199="","",IFERROR(AN199/AS199-1,0)))</x:f>
      </x:c>
      <x:c r="AU199" s="166"/>
      <x:c r="AV199" s="172" t="str">
        <x:f>IF(AK199="","",IF(AU199="","",AU199-AT199*365/AW199))</x:f>
      </x:c>
      <x:c r="AW199" s="164"/>
      <x:c r="AX199" s="173" t="n">
        <x:f>IF(AK199="","",IFERROR(AP199*(AO199/AN199-1-'Parameters'!$C$6*C199/365),0))</x:f>
        <x:v>-0.013135409678466981</x:v>
      </x:c>
      <x:c r="AY199" s="147" t="str">
        <x:v>Matched-maturity Treasury collateral</x:v>
      </x:c>
      <x:c r="AZ199" s="147" t="str">
        <x:v>Treasury</x:v>
      </x:c>
      <x:c r="BA199" s="147" t="str">
        <x:v>Long</x:v>
      </x:c>
      <x:c r="BB199" s="167" t="n">
        <x:v>105.3163284252141</x:v>
      </x:c>
      <x:c r="BC199" s="167" t="n">
        <x:v>105.33623753935477</x:v>
      </x:c>
      <x:c r="BD199" s="166" t="n">
        <x:v>0.12126861862559074</x:v>
      </x:c>
      <x:c r="BE199" s="171" t="n">
        <x:f>IF(AY199="","",IFERROR(F199*BD199/BB199,0))</x:f>
        <x:v>0.002174991861900384</x:v>
      </x:c>
      <x:c r="BF199" s="171" t="n">
        <x:f>IF(AY199="","",F199*ABS(BD199))</x:f>
        <x:v>0.22906215725006876</x:v>
      </x:c>
      <x:c r="BG199" s="165"/>
      <x:c r="BH199" s="172" t="str">
        <x:f>IF(AY199="","",IF(BG199="","",IFERROR(BB199/BG199-1,0)))</x:f>
      </x:c>
      <x:c r="BI199" s="166"/>
      <x:c r="BJ199" s="172" t="str">
        <x:f>IF(AY199="","",IF(BI199="","",BI199-BH199*365/BK199))</x:f>
      </x:c>
      <x:c r="BK199" s="164" t="n">
        <x:v>69</x:v>
      </x:c>
      <x:c r="BL199" s="172" t="n">
        <x:f>IF(AY199="","",IFERROR(BD199*(BC199/BB199-1),0))</x:f>
        <x:v>0.000022924752562104304</x:v>
      </x:c>
      <x:c r="BM199" s="147" t="str">
        <x:v>SI69Z</x:v>
      </x:c>
      <x:c r="BN199" s="147" t="str">
        <x:v>Silver future (regular)</x:v>
      </x:c>
      <x:c r="BO199" s="147" t="str">
        <x:v>Long</x:v>
      </x:c>
      <x:c r="BP199" s="167" t="n">
        <x:v>1.892</x:v>
      </x:c>
      <x:c r="BQ199" s="167" t="n">
        <x:v>1.9069999999999998</x:v>
      </x:c>
      <x:c r="BR199" s="166" t="n">
        <x:v>0.12126861862559074</x:v>
      </x:c>
      <x:c r="BS199" s="171" t="n">
        <x:f>IF(BM199="","",IFERROR(F199*BR199/BP199,0))</x:f>
        <x:v>0.1210687934725522</x:v>
      </x:c>
      <x:c r="BT199" s="171" t="n">
        <x:f>IF(BM199="","",F199*ABS(BR199))</x:f>
        <x:v>0.22906215725006876</x:v>
      </x:c>
      <x:c r="BU199" s="165" t="n">
        <x:v>1.874</x:v>
      </x:c>
      <x:c r="BV199" s="172" t="n">
        <x:f>IF(BM199="","",IF(BU199="","",IFERROR(BP199/BU199-1,0)))</x:f>
        <x:v>0.009605122732123661</x:v>
      </x:c>
      <x:c r="BW199" s="166" t="n">
        <x:v>0.069</x:v>
      </x:c>
      <x:c r="BX199" s="172" t="n">
        <x:f>IF(BM199="","",IF(BW199="","",BW199-BV199*365/BY199))</x:f>
        <x:v>0.01819029279383861</x:v>
      </x:c>
      <x:c r="BY199" s="164" t="n">
        <x:v>69</x:v>
      </x:c>
      <x:c r="BZ199" s="172" t="n">
        <x:f>IF(BM199="","",IFERROR(BR199*(BQ199/BP199-1),0))</x:f>
        <x:v>0.0009614319658477108</x:v>
      </x:c>
      <x:c r="CA199" s="147"/>
      <x:c r="CB199" s="147"/>
      <x:c r="CC199" s="147"/>
      <x:c r="CD199" s="167"/>
      <x:c r="CE199" s="167"/>
      <x:c r="CF199" s="166"/>
      <x:c r="CG199" s="171" t="str">
        <x:f>IF(CA199="","",IFERROR(F199*CF199/CD199,0))</x:f>
      </x:c>
      <x:c r="CH199" s="171" t="str">
        <x:f>IF(CA199="","",F199*ABS(CF199))</x:f>
      </x:c>
      <x:c r="CI199" s="165"/>
      <x:c r="CJ199" s="172" t="str">
        <x:f>IF(CA199="","",IF(CI199="","",IFERROR(CD199/CI199-1,0)))</x:f>
      </x:c>
      <x:c r="CK199" s="166"/>
      <x:c r="CL199" s="172" t="str">
        <x:f>IF(CA199="","",IF(CK199="","",CK199-CJ199*365/CM199))</x:f>
      </x:c>
      <x:c r="CM199" s="164"/>
      <x:c r="CN199" s="172" t="str">
        <x:f>IF(CA199="","",IFERROR(CF199*(CE199/CD199-1),0))</x:f>
      </x:c>
      <x:c r="CO199" s="147"/>
      <x:c r="CP199" s="147"/>
      <x:c r="CQ199" s="147"/>
      <x:c r="CR199" s="167"/>
      <x:c r="CS199" s="167"/>
      <x:c r="CT199" s="166"/>
      <x:c r="CU199" s="171" t="str">
        <x:f>IF(CO199="","",IFERROR(F199*CT199/CR199,0))</x:f>
      </x:c>
      <x:c r="CV199" s="171" t="str">
        <x:f>IF(CO199="","",F199*ABS(CT199))</x:f>
      </x:c>
      <x:c r="CW199" s="165"/>
      <x:c r="CX199" s="172" t="str">
        <x:f>IF(CO199="","",IF(CW199="","",IFERROR(CR199/CW199-1,0)))</x:f>
      </x:c>
      <x:c r="CY199" s="166"/>
      <x:c r="CZ199" s="172" t="str">
        <x:f>IF(CO199="","",IF(CY199="","",CY199-CX199*365/DA199))</x:f>
      </x:c>
      <x:c r="DA199" s="164"/>
      <x:c r="DB199" s="172" t="str">
        <x:f>IF(CO199="","",IFERROR(CT199*(CS199/CR199-1),0))</x:f>
      </x:c>
      <x:c r="DC199" s="147"/>
      <x:c r="DD199" s="147"/>
      <x:c r="DE199" s="147"/>
      <x:c r="DF199" s="167"/>
      <x:c r="DG199" s="167"/>
      <x:c r="DH199" s="166"/>
      <x:c r="DI199" s="171" t="str">
        <x:f>IF(DC199="","",IFERROR(F199*DH199/DF199,0))</x:f>
      </x:c>
      <x:c r="DJ199" s="171" t="str">
        <x:f>IF(DC199="","",F199*ABS(DH199))</x:f>
      </x:c>
      <x:c r="DK199" s="165"/>
      <x:c r="DL199" s="172" t="str">
        <x:f>IF(DC199="","",IF(DK199="","",IFERROR(DF199/DK199-1,0)))</x:f>
      </x:c>
      <x:c r="DM199" s="166"/>
      <x:c r="DN199" s="172" t="str">
        <x:f>IF(DC199="","",IF(DM199="","",DM199-DL199*365/DO199))</x:f>
      </x:c>
      <x:c r="DO199" s="164"/>
      <x:c r="DP199" s="172" t="str">
        <x:f>IF(DC199="","",IFERROR(DH199*(DG199/DF199-1),0))</x:f>
      </x:c>
      <x:c r="DQ199" s="147"/>
      <x:c r="DR199" s="147"/>
      <x:c r="DS199" s="147"/>
      <x:c r="DT199" s="167"/>
      <x:c r="DU199" s="167"/>
      <x:c r="DV199" s="166"/>
      <x:c r="DW199" s="171" t="str">
        <x:f>IF(DQ199="","",IFERROR(F199*DV199/DT199,0))</x:f>
      </x:c>
      <x:c r="DX199" s="171" t="str">
        <x:f>IF(DQ199="","",F199*ABS(DV199))</x:f>
      </x:c>
      <x:c r="DY199" s="165"/>
      <x:c r="DZ199" s="172" t="str">
        <x:f>IF(DQ199="","",IF(DY199="","",IFERROR(DT199/DY199-1,0)))</x:f>
      </x:c>
      <x:c r="EA199" s="166"/>
      <x:c r="EB199" s="172" t="str">
        <x:f>IF(DQ199="","",IF(EA199="","",EA199-DZ199*365/EC199))</x:f>
      </x:c>
      <x:c r="EC199" s="164"/>
      <x:c r="ED199" s="172" t="str">
        <x:f>IF(DQ199="","",IFERROR(DV199*(DU199/DT199-1),0))</x:f>
      </x:c>
      <x:c r="EE199" s="147"/>
      <x:c r="EF199" s="147"/>
      <x:c r="EG199" s="147"/>
      <x:c r="EH199" s="167"/>
      <x:c r="EI199" s="167"/>
      <x:c r="EJ199" s="166"/>
      <x:c r="EK199" s="171" t="str">
        <x:f>IF(EE199="","",IFERROR(F199*EJ199/EH199,0))</x:f>
      </x:c>
      <x:c r="EL199" s="171" t="str">
        <x:f>IF(EE199="","",F199*ABS(EJ199))</x:f>
      </x:c>
      <x:c r="EM199" s="165"/>
      <x:c r="EN199" s="172" t="str">
        <x:f>IF(EE199="","",IF(EM199="","",IFERROR(EH199/EM199-1,0)))</x:f>
      </x:c>
      <x:c r="EO199" s="166"/>
      <x:c r="EP199" s="172" t="str">
        <x:f>IF(EE199="","",IF(EO199="","",EO199-EN199*365/EQ199))</x:f>
      </x:c>
      <x:c r="EQ199" s="164"/>
      <x:c r="ER199" s="172" t="str">
        <x:f>IF(EE199="","",IFERROR(EJ199*(EI199/EH199-1),0))</x:f>
      </x:c>
      <x:c r="ES199" s="147"/>
      <x:c r="ET199" s="147"/>
      <x:c r="EU199" s="147"/>
      <x:c r="EV199" s="167"/>
      <x:c r="EW199" s="167"/>
      <x:c r="EX199" s="166"/>
      <x:c r="EY199" s="171" t="str">
        <x:f>IF(ES199="","",IFERROR(F199*EX199/EV199,0))</x:f>
      </x:c>
      <x:c r="EZ199" s="171" t="str">
        <x:f>IF(ES199="","",F199*ABS(EX199))</x:f>
      </x:c>
      <x:c r="FA199" s="165"/>
      <x:c r="FB199" s="172" t="str">
        <x:f>IF(ES199="","",IF(FA199="","",IFERROR(EV199/FA199-1,0)))</x:f>
      </x:c>
      <x:c r="FC199" s="166"/>
      <x:c r="FD199" s="172" t="str">
        <x:f>IF(ES199="","",IF(FC199="","",FC199-FB199*365/FE199))</x:f>
      </x:c>
      <x:c r="FE199" s="164"/>
      <x:c r="FF199" s="172" t="str">
        <x:f>IF(ES199="","",IFERROR(EX199*(EW199/EV199-1),0))</x:f>
      </x:c>
      <x:c r="FG199" s="147"/>
      <x:c r="FH199" s="147"/>
      <x:c r="FI199" s="147"/>
      <x:c r="FJ199" s="167"/>
      <x:c r="FK199" s="167"/>
      <x:c r="FL199" s="166"/>
      <x:c r="FM199" s="171" t="str">
        <x:f>IF(FG199="","",IFERROR(F199*FL199/FJ199,0))</x:f>
      </x:c>
      <x:c r="FN199" s="171" t="str">
        <x:f>IF(FG199="","",F199*ABS(FL199))</x:f>
      </x:c>
      <x:c r="FO199" s="165"/>
      <x:c r="FP199" s="172" t="str">
        <x:f>IF(FG199="","",IF(FO199="","",IFERROR(FJ199/FO199-1,0)))</x:f>
      </x:c>
      <x:c r="FQ199" s="166"/>
      <x:c r="FR199" s="172" t="str">
        <x:f>IF(FG199="","",IF(FQ199="","",FQ199-FP199*365/FS199))</x:f>
      </x:c>
      <x:c r="FS199" s="164"/>
      <x:c r="FT199" s="172" t="str">
        <x:f>IF(FG199="","",IFERROR(FL199*(FK199/FJ199-1),0))</x:f>
      </x:c>
    </x:row>
    <x:row r="200" ht="18" customHeight="1">
      <x:c r="A200" s="163" t="n">
        <x:v>25498</x:v>
      </x:c>
      <x:c r="B200" s="163" t="n">
        <x:v>25499</x:v>
      </x:c>
      <x:c r="C200" s="170" t="n">
        <x:f>B200-A200</x:f>
        <x:v>1</x:v>
      </x:c>
      <x:c r="D200" s="163" t="n">
        <x:v>25498</x:v>
      </x:c>
      <x:c r="E200" s="147" t="str">
        <x:v>neutral</x:v>
      </x:c>
      <x:c r="F200" s="165" t="n">
        <x:v>1.8659304724563566</x:v>
      </x:c>
      <x:c r="G200" s="168" t="n">
        <x:v>0.009202251443328044</x:v>
      </x:c>
      <x:c r="H200" s="172" t="n">
        <x:f>SUM(AX200,BL200,BZ200,CN200,DB200,DP200,ED200,ER200,FF200,FT200)</x:f>
        <x:v>0.009202251443328044</x:v>
      </x:c>
      <x:c r="I200" s="174" t="n">
        <x:f>G200-H200</x:f>
        <x:v>0</x:v>
      </x:c>
      <x:c r="J200" s="171" t="n">
        <x:f>F200*(1+H200)</x:f>
        <x:v>1.883101233839668</x:v>
      </x:c>
      <x:c r="K200" s="169" t="n">
        <x:v>1.883101233839668</x:v>
      </x:c>
      <x:c r="L200" s="175" t="n">
        <x:f>K200-J200</x:f>
        <x:v>0</x:v>
      </x:c>
      <x:c r="M200" s="167" t="n">
        <x:v>1.846</x:v>
      </x:c>
      <x:c r="N200" s="167" t="n">
        <x:v>1.863</x:v>
      </x:c>
      <x:c r="O200" s="172" t="n">
        <x:f>IFERROR(N200/M200-1,0)</x:f>
        <x:v>0.009209100758396538</x:v>
      </x:c>
      <x:c r="P200" s="171" t="n">
        <x:f>IFERROR(AD200/AH200,0)</x:f>
        <x:v>1.979139688553384</x:v>
      </x:c>
      <x:c r="Q200" s="171" t="n">
        <x:f>IFERROR(AE200/AI200,0)</x:f>
        <x:v>1.9791262564992325</x:v>
      </x:c>
      <x:c r="R200" s="172" t="n">
        <x:f>IFERROR((Q200-P200)/(P200+S200),0)</x:f>
        <x:v>-0.000006786814609041288</x:v>
      </x:c>
      <x:c r="S200" s="172" t="n">
        <x:f>IFERROR(AF200/AH200,0)</x:f>
        <x:v>0</x:v>
      </x:c>
      <x:c r="T200" s="172" t="n">
        <x:f>IFERROR(AG200/AI200,0)</x:f>
        <x:v>0</x:v>
      </x:c>
      <x:c r="U200" s="172" t="n">
        <x:f>IFERROR((T200-S200)/(P200+S200),0)</x:f>
        <x:v>0</x:v>
      </x:c>
      <x:c r="V200" s="172" t="n">
        <x:f>R200+U200</x:f>
        <x:v>-0.000006786814609041288</x:v>
      </x:c>
      <x:c r="W200" s="172" t="n">
        <x:f>(1+O200)*(1+V200)-1</x:f>
        <x:v>0.009202251443327869</x:v>
      </x:c>
      <x:c r="X200" s="174" t="n">
        <x:f>G200-W200</x:f>
        <x:v>1.7520707107365752e-16</x:v>
      </x:c>
      <x:c r="Y200" s="172" t="n">
        <x:f>AX200</x:f>
        <x:v>0.009202251443328044</x:v>
      </x:c>
      <x:c r="Z200" s="172" t="n">
        <x:f>BL200</x:f>
        <x:v>0</x:v>
      </x:c>
      <x:c r="AA200" s="172" t="n">
        <x:f>SUM(BZ200,CN200,DB200,DP200,ED200,ER200,FF200,FT200)</x:f>
        <x:v>0</x:v>
      </x:c>
      <x:c r="AB200" s="172" t="n">
        <x:f>SUM(Y200:AA200)</x:f>
        <x:v>0.009202251443328044</x:v>
      </x:c>
      <x:c r="AC200" s="174" t="n">
        <x:f>G200-AB200</x:f>
        <x:v>0</x:v>
      </x:c>
      <x:c r="AD200" s="169" t="n">
        <x:v>1.865930472456357</x:v>
      </x:c>
      <x:c r="AE200" s="169" t="n">
        <x:v>1.8831012338396682</x:v>
      </x:c>
      <x:c r="AF200" s="169" t="n">
        <x:v>0</x:v>
      </x:c>
      <x:c r="AG200" s="169" t="n">
        <x:v>0</x:v>
      </x:c>
      <x:c r="AH200" s="171" t="n">
        <x:f>M200/$M$3</x:f>
        <x:v>0.9427987742594485</x:v>
      </x:c>
      <x:c r="AI200" s="171" t="n">
        <x:f>N200/$M$3</x:f>
        <x:v>0.9514811031664965</x:v>
      </x:c>
      <x:c r="AJ200" s="170" t="n">
        <x:f>IF(AK200&lt;&gt;"",1,0)+IF(AY200&lt;&gt;"",1,0)+IF(BM200&lt;&gt;"",1,0)+IF(CA200&lt;&gt;"",1,0)+IF(CO200&lt;&gt;"",1,0)+IF(DC200&lt;&gt;"",1,0)+IF(DQ200&lt;&gt;"",1,0)+IF(EE200&lt;&gt;"",1,0)+IF(ES200&lt;&gt;"",1,0)+IF(FG200&lt;&gt;"",1,0)</x:f>
        <x:v>1</x:v>
      </x:c>
      <x:c r="AK200" s="147" t="str">
        <x:v>Silver replicating holding (LBMA/SLV proxy)</x:v>
      </x:c>
      <x:c r="AL200" s="147" t="str">
        <x:v>Physical-backed proxy</x:v>
      </x:c>
      <x:c r="AM200" s="147" t="str">
        <x:v>Long</x:v>
      </x:c>
      <x:c r="AN200" s="167" t="n">
        <x:v>1.846</x:v>
      </x:c>
      <x:c r="AO200" s="167" t="n">
        <x:v>1.863</x:v>
      </x:c>
      <x:c r="AP200" s="166" t="n">
        <x:v>1</x:v>
      </x:c>
      <x:c r="AQ200" s="171" t="n">
        <x:f>IF(AK200="","",IFERROR(F200*AP200/AN200,0))</x:f>
        <x:v>1.0107965722948844</x:v>
      </x:c>
      <x:c r="AR200" s="171" t="n">
        <x:f>IF(AK200="","",F200*ABS(AP200))</x:f>
        <x:v>1.8659304724563566</x:v>
      </x:c>
      <x:c r="AS200" s="165"/>
      <x:c r="AT200" s="172" t="str">
        <x:f>IF(AK200="","",IF(AS200="","",IFERROR(AN200/AS200-1,0)))</x:f>
      </x:c>
      <x:c r="AU200" s="166"/>
      <x:c r="AV200" s="172" t="str">
        <x:f>IF(AK200="","",IF(AU200="","",AU200-AT200*365/AW200))</x:f>
      </x:c>
      <x:c r="AW200" s="164"/>
      <x:c r="AX200" s="173" t="n">
        <x:f>IF(AK200="","",IFERROR(AP200*(AO200/AN200-1-'Parameters'!$C$6*C200/365),0))</x:f>
        <x:v>0.009202251443328044</x:v>
      </x:c>
      <x:c r="AY200" s="147"/>
      <x:c r="AZ200" s="147"/>
      <x:c r="BA200" s="147"/>
      <x:c r="BB200" s="167"/>
      <x:c r="BC200" s="167"/>
      <x:c r="BD200" s="166"/>
      <x:c r="BE200" s="171" t="str">
        <x:f>IF(AY200="","",IFERROR(F200*BD200/BB200,0))</x:f>
      </x:c>
      <x:c r="BF200" s="171" t="str">
        <x:f>IF(AY200="","",F200*ABS(BD200))</x:f>
      </x:c>
      <x:c r="BG200" s="165"/>
      <x:c r="BH200" s="172" t="str">
        <x:f>IF(AY200="","",IF(BG200="","",IFERROR(BB200/BG200-1,0)))</x:f>
      </x:c>
      <x:c r="BI200" s="166"/>
      <x:c r="BJ200" s="172" t="str">
        <x:f>IF(AY200="","",IF(BI200="","",BI200-BH200*365/BK200))</x:f>
      </x:c>
      <x:c r="BK200" s="164"/>
      <x:c r="BL200" s="172" t="str">
        <x:f>IF(AY200="","",IFERROR(BD200*(BC200/BB200-1),0))</x:f>
      </x:c>
      <x:c r="BM200" s="147"/>
      <x:c r="BN200" s="147"/>
      <x:c r="BO200" s="147"/>
      <x:c r="BP200" s="167"/>
      <x:c r="BQ200" s="167"/>
      <x:c r="BR200" s="166"/>
      <x:c r="BS200" s="171" t="str">
        <x:f>IF(BM200="","",IFERROR(F200*BR200/BP200,0))</x:f>
      </x:c>
      <x:c r="BT200" s="171" t="str">
        <x:f>IF(BM200="","",F200*ABS(BR200))</x:f>
      </x:c>
      <x:c r="BU200" s="165"/>
      <x:c r="BV200" s="172" t="str">
        <x:f>IF(BM200="","",IF(BU200="","",IFERROR(BP200/BU200-1,0)))</x:f>
      </x:c>
      <x:c r="BW200" s="166"/>
      <x:c r="BX200" s="172" t="str">
        <x:f>IF(BM200="","",IF(BW200="","",BW200-BV200*365/BY200))</x:f>
      </x:c>
      <x:c r="BY200" s="164"/>
      <x:c r="BZ200" s="172" t="str">
        <x:f>IF(BM200="","",IFERROR(BR200*(BQ200/BP200-1),0))</x:f>
      </x:c>
      <x:c r="CA200" s="147"/>
      <x:c r="CB200" s="147"/>
      <x:c r="CC200" s="147"/>
      <x:c r="CD200" s="167"/>
      <x:c r="CE200" s="167"/>
      <x:c r="CF200" s="166"/>
      <x:c r="CG200" s="171" t="str">
        <x:f>IF(CA200="","",IFERROR(F200*CF200/CD200,0))</x:f>
      </x:c>
      <x:c r="CH200" s="171" t="str">
        <x:f>IF(CA200="","",F200*ABS(CF200))</x:f>
      </x:c>
      <x:c r="CI200" s="165"/>
      <x:c r="CJ200" s="172" t="str">
        <x:f>IF(CA200="","",IF(CI200="","",IFERROR(CD200/CI200-1,0)))</x:f>
      </x:c>
      <x:c r="CK200" s="166"/>
      <x:c r="CL200" s="172" t="str">
        <x:f>IF(CA200="","",IF(CK200="","",CK200-CJ200*365/CM200))</x:f>
      </x:c>
      <x:c r="CM200" s="164"/>
      <x:c r="CN200" s="172" t="str">
        <x:f>IF(CA200="","",IFERROR(CF200*(CE200/CD200-1),0))</x:f>
      </x:c>
      <x:c r="CO200" s="147"/>
      <x:c r="CP200" s="147"/>
      <x:c r="CQ200" s="147"/>
      <x:c r="CR200" s="167"/>
      <x:c r="CS200" s="167"/>
      <x:c r="CT200" s="166"/>
      <x:c r="CU200" s="171" t="str">
        <x:f>IF(CO200="","",IFERROR(F200*CT200/CR200,0))</x:f>
      </x:c>
      <x:c r="CV200" s="171" t="str">
        <x:f>IF(CO200="","",F200*ABS(CT200))</x:f>
      </x:c>
      <x:c r="CW200" s="165"/>
      <x:c r="CX200" s="172" t="str">
        <x:f>IF(CO200="","",IF(CW200="","",IFERROR(CR200/CW200-1,0)))</x:f>
      </x:c>
      <x:c r="CY200" s="166"/>
      <x:c r="CZ200" s="172" t="str">
        <x:f>IF(CO200="","",IF(CY200="","",CY200-CX200*365/DA200))</x:f>
      </x:c>
      <x:c r="DA200" s="164"/>
      <x:c r="DB200" s="172" t="str">
        <x:f>IF(CO200="","",IFERROR(CT200*(CS200/CR200-1),0))</x:f>
      </x:c>
      <x:c r="DC200" s="147"/>
      <x:c r="DD200" s="147"/>
      <x:c r="DE200" s="147"/>
      <x:c r="DF200" s="167"/>
      <x:c r="DG200" s="167"/>
      <x:c r="DH200" s="166"/>
      <x:c r="DI200" s="171" t="str">
        <x:f>IF(DC200="","",IFERROR(F200*DH200/DF200,0))</x:f>
      </x:c>
      <x:c r="DJ200" s="171" t="str">
        <x:f>IF(DC200="","",F200*ABS(DH200))</x:f>
      </x:c>
      <x:c r="DK200" s="165"/>
      <x:c r="DL200" s="172" t="str">
        <x:f>IF(DC200="","",IF(DK200="","",IFERROR(DF200/DK200-1,0)))</x:f>
      </x:c>
      <x:c r="DM200" s="166"/>
      <x:c r="DN200" s="172" t="str">
        <x:f>IF(DC200="","",IF(DM200="","",DM200-DL200*365/DO200))</x:f>
      </x:c>
      <x:c r="DO200" s="164"/>
      <x:c r="DP200" s="172" t="str">
        <x:f>IF(DC200="","",IFERROR(DH200*(DG200/DF200-1),0))</x:f>
      </x:c>
      <x:c r="DQ200" s="147"/>
      <x:c r="DR200" s="147"/>
      <x:c r="DS200" s="147"/>
      <x:c r="DT200" s="167"/>
      <x:c r="DU200" s="167"/>
      <x:c r="DV200" s="166"/>
      <x:c r="DW200" s="171" t="str">
        <x:f>IF(DQ200="","",IFERROR(F200*DV200/DT200,0))</x:f>
      </x:c>
      <x:c r="DX200" s="171" t="str">
        <x:f>IF(DQ200="","",F200*ABS(DV200))</x:f>
      </x:c>
      <x:c r="DY200" s="165"/>
      <x:c r="DZ200" s="172" t="str">
        <x:f>IF(DQ200="","",IF(DY200="","",IFERROR(DT200/DY200-1,0)))</x:f>
      </x:c>
      <x:c r="EA200" s="166"/>
      <x:c r="EB200" s="172" t="str">
        <x:f>IF(DQ200="","",IF(EA200="","",EA200-DZ200*365/EC200))</x:f>
      </x:c>
      <x:c r="EC200" s="164"/>
      <x:c r="ED200" s="172" t="str">
        <x:f>IF(DQ200="","",IFERROR(DV200*(DU200/DT200-1),0))</x:f>
      </x:c>
      <x:c r="EE200" s="147"/>
      <x:c r="EF200" s="147"/>
      <x:c r="EG200" s="147"/>
      <x:c r="EH200" s="167"/>
      <x:c r="EI200" s="167"/>
      <x:c r="EJ200" s="166"/>
      <x:c r="EK200" s="171" t="str">
        <x:f>IF(EE200="","",IFERROR(F200*EJ200/EH200,0))</x:f>
      </x:c>
      <x:c r="EL200" s="171" t="str">
        <x:f>IF(EE200="","",F200*ABS(EJ200))</x:f>
      </x:c>
      <x:c r="EM200" s="165"/>
      <x:c r="EN200" s="172" t="str">
        <x:f>IF(EE200="","",IF(EM200="","",IFERROR(EH200/EM200-1,0)))</x:f>
      </x:c>
      <x:c r="EO200" s="166"/>
      <x:c r="EP200" s="172" t="str">
        <x:f>IF(EE200="","",IF(EO200="","",EO200-EN200*365/EQ200))</x:f>
      </x:c>
      <x:c r="EQ200" s="164"/>
      <x:c r="ER200" s="172" t="str">
        <x:f>IF(EE200="","",IFERROR(EJ200*(EI200/EH200-1),0))</x:f>
      </x:c>
      <x:c r="ES200" s="147"/>
      <x:c r="ET200" s="147"/>
      <x:c r="EU200" s="147"/>
      <x:c r="EV200" s="167"/>
      <x:c r="EW200" s="167"/>
      <x:c r="EX200" s="166"/>
      <x:c r="EY200" s="171" t="str">
        <x:f>IF(ES200="","",IFERROR(F200*EX200/EV200,0))</x:f>
      </x:c>
      <x:c r="EZ200" s="171" t="str">
        <x:f>IF(ES200="","",F200*ABS(EX200))</x:f>
      </x:c>
      <x:c r="FA200" s="165"/>
      <x:c r="FB200" s="172" t="str">
        <x:f>IF(ES200="","",IF(FA200="","",IFERROR(EV200/FA200-1,0)))</x:f>
      </x:c>
      <x:c r="FC200" s="166"/>
      <x:c r="FD200" s="172" t="str">
        <x:f>IF(ES200="","",IF(FC200="","",FC200-FB200*365/FE200))</x:f>
      </x:c>
      <x:c r="FE200" s="164"/>
      <x:c r="FF200" s="172" t="str">
        <x:f>IF(ES200="","",IFERROR(EX200*(EW200/EV200-1),0))</x:f>
      </x:c>
      <x:c r="FG200" s="147"/>
      <x:c r="FH200" s="147"/>
      <x:c r="FI200" s="147"/>
      <x:c r="FJ200" s="167"/>
      <x:c r="FK200" s="167"/>
      <x:c r="FL200" s="166"/>
      <x:c r="FM200" s="171" t="str">
        <x:f>IF(FG200="","",IFERROR(F200*FL200/FJ200,0))</x:f>
      </x:c>
      <x:c r="FN200" s="171" t="str">
        <x:f>IF(FG200="","",F200*ABS(FL200))</x:f>
      </x:c>
      <x:c r="FO200" s="165"/>
      <x:c r="FP200" s="172" t="str">
        <x:f>IF(FG200="","",IF(FO200="","",IFERROR(FJ200/FO200-1,0)))</x:f>
      </x:c>
      <x:c r="FQ200" s="166"/>
      <x:c r="FR200" s="172" t="str">
        <x:f>IF(FG200="","",IF(FQ200="","",FQ200-FP200*365/FS200))</x:f>
      </x:c>
      <x:c r="FS200" s="164"/>
      <x:c r="FT200" s="172" t="str">
        <x:f>IF(FG200="","",IFERROR(FL200*(FK200/FJ200-1),0))</x:f>
      </x:c>
    </x:row>
    <x:row r="201" ht="18" customHeight="1">
      <x:c r="A201" s="163" t="n">
        <x:v>25499</x:v>
      </x:c>
      <x:c r="B201" s="163" t="n">
        <x:v>25500</x:v>
      </x:c>
      <x:c r="C201" s="170" t="n">
        <x:f>B201-A201</x:f>
        <x:v>1</x:v>
      </x:c>
      <x:c r="D201" s="163" t="n">
        <x:v>25499</x:v>
      </x:c>
      <x:c r="E201" s="147" t="str">
        <x:v>neutral</x:v>
      </x:c>
      <x:c r="F201" s="165" t="n">
        <x:v>1.883101233839668</x:v>
      </x:c>
      <x:c r="G201" s="168" t="n">
        <x:v>-0.005374535842175333</x:v>
      </x:c>
      <x:c r="H201" s="172" t="n">
        <x:f>SUM(AX201,BL201,BZ201,CN201,DB201,DP201,ED201,ER201,FF201,FT201)</x:f>
        <x:v>-0.0053745358421753335</x:v>
      </x:c>
      <x:c r="I201" s="174" t="n">
        <x:f>G201-H201</x:f>
        <x:v>8.673617379884035e-19</x:v>
      </x:c>
      <x:c r="J201" s="171" t="n">
        <x:f>F201*(1+H201)</x:f>
        <x:v>1.8729804387639521</x:v>
      </x:c>
      <x:c r="K201" s="169" t="n">
        <x:v>1.8729804387639521</x:v>
      </x:c>
      <x:c r="L201" s="175" t="n">
        <x:f>K201-J201</x:f>
        <x:v>0</x:v>
      </x:c>
      <x:c r="M201" s="167" t="n">
        <x:v>1.863</x:v>
      </x:c>
      <x:c r="N201" s="167" t="n">
        <x:v>1.853</x:v>
      </x:c>
      <x:c r="O201" s="172" t="n">
        <x:f>IFERROR(N201/M201-1,0)</x:f>
        <x:v>-0.005367686527106841</x:v>
      </x:c>
      <x:c r="P201" s="171" t="n">
        <x:f>IFERROR(AD201/AH201,0)</x:f>
        <x:v>1.9791262564992325</x:v>
      </x:c>
      <x:c r="Q201" s="171" t="n">
        <x:f>IFERROR(AE201/AI201,0)</x:f>
        <x:v>1.9791126276847375</x:v>
      </x:c>
      <x:c r="R201" s="172" t="n">
        <x:f>IFERROR((Q201-P201)/(P201+S201),0)</x:f>
        <x:v>-0.000006886278452526061</x:v>
      </x:c>
      <x:c r="S201" s="172" t="n">
        <x:f>IFERROR(AF201/AH201,0)</x:f>
        <x:v>0</x:v>
      </x:c>
      <x:c r="T201" s="172" t="n">
        <x:f>IFERROR(AG201/AI201,0)</x:f>
        <x:v>0</x:v>
      </x:c>
      <x:c r="U201" s="172" t="n">
        <x:f>IFERROR((T201-S201)/(P201+S201),0)</x:f>
        <x:v>0</x:v>
      </x:c>
      <x:c r="V201" s="172" t="n">
        <x:f>R201+U201</x:f>
        <x:v>-0.000006886278452526061</x:v>
      </x:c>
      <x:c r="W201" s="172" t="n">
        <x:f>(1+O201)*(1+V201)-1</x:f>
        <x:v>-0.005374535842175399</x:v>
      </x:c>
      <x:c r="X201" s="174" t="n">
        <x:f>G201-W201</x:f>
        <x:v>6.591949208711867e-17</x:v>
      </x:c>
      <x:c r="Y201" s="172" t="n">
        <x:f>AX201</x:f>
        <x:v>-0.0053745358421753335</x:v>
      </x:c>
      <x:c r="Z201" s="172" t="n">
        <x:f>BL201</x:f>
        <x:v>0</x:v>
      </x:c>
      <x:c r="AA201" s="172" t="n">
        <x:f>SUM(BZ201,CN201,DB201,DP201,ED201,ER201,FF201,FT201)</x:f>
        <x:v>0</x:v>
      </x:c>
      <x:c r="AB201" s="172" t="n">
        <x:f>SUM(Y201:AA201)</x:f>
        <x:v>-0.0053745358421753335</x:v>
      </x:c>
      <x:c r="AC201" s="174" t="n">
        <x:f>G201-AB201</x:f>
        <x:v>8.673617379884035e-19</x:v>
      </x:c>
      <x:c r="AD201" s="169" t="n">
        <x:v>1.8831012338396682</x:v>
      </x:c>
      <x:c r="AE201" s="169" t="n">
        <x:v>1.8729804387639524</x:v>
      </x:c>
      <x:c r="AF201" s="169" t="n">
        <x:v>0</x:v>
      </x:c>
      <x:c r="AG201" s="169" t="n">
        <x:v>0</x:v>
      </x:c>
      <x:c r="AH201" s="171" t="n">
        <x:f>M201/$M$3</x:f>
        <x:v>0.9514811031664965</x:v>
      </x:c>
      <x:c r="AI201" s="171" t="n">
        <x:f>N201/$M$3</x:f>
        <x:v>0.9463738508682329</x:v>
      </x:c>
      <x:c r="AJ201" s="170" t="n">
        <x:f>IF(AK201&lt;&gt;"",1,0)+IF(AY201&lt;&gt;"",1,0)+IF(BM201&lt;&gt;"",1,0)+IF(CA201&lt;&gt;"",1,0)+IF(CO201&lt;&gt;"",1,0)+IF(DC201&lt;&gt;"",1,0)+IF(DQ201&lt;&gt;"",1,0)+IF(EE201&lt;&gt;"",1,0)+IF(ES201&lt;&gt;"",1,0)+IF(FG201&lt;&gt;"",1,0)</x:f>
        <x:v>1</x:v>
      </x:c>
      <x:c r="AK201" s="147" t="str">
        <x:v>Silver replicating holding (LBMA/SLV proxy)</x:v>
      </x:c>
      <x:c r="AL201" s="147" t="str">
        <x:v>Physical-backed proxy</x:v>
      </x:c>
      <x:c r="AM201" s="147" t="str">
        <x:v>Long</x:v>
      </x:c>
      <x:c r="AN201" s="167" t="n">
        <x:v>1.863</x:v>
      </x:c>
      <x:c r="AO201" s="167" t="n">
        <x:v>1.853</x:v>
      </x:c>
      <x:c r="AP201" s="166" t="n">
        <x:v>1</x:v>
      </x:c>
      <x:c r="AQ201" s="171" t="n">
        <x:f>IF(AK201="","",IFERROR(F201*AP201/AN201,0))</x:f>
        <x:v>1.010789712205941</x:v>
      </x:c>
      <x:c r="AR201" s="171" t="n">
        <x:f>IF(AK201="","",F201*ABS(AP201))</x:f>
        <x:v>1.883101233839668</x:v>
      </x:c>
      <x:c r="AS201" s="165"/>
      <x:c r="AT201" s="172" t="str">
        <x:f>IF(AK201="","",IF(AS201="","",IFERROR(AN201/AS201-1,0)))</x:f>
      </x:c>
      <x:c r="AU201" s="166"/>
      <x:c r="AV201" s="172" t="str">
        <x:f>IF(AK201="","",IF(AU201="","",AU201-AT201*365/AW201))</x:f>
      </x:c>
      <x:c r="AW201" s="164"/>
      <x:c r="AX201" s="173" t="n">
        <x:f>IF(AK201="","",IFERROR(AP201*(AO201/AN201-1-'Parameters'!$C$6*C201/365),0))</x:f>
        <x:v>-0.0053745358421753335</x:v>
      </x:c>
      <x:c r="AY201" s="147"/>
      <x:c r="AZ201" s="147"/>
      <x:c r="BA201" s="147"/>
      <x:c r="BB201" s="167"/>
      <x:c r="BC201" s="167"/>
      <x:c r="BD201" s="166"/>
      <x:c r="BE201" s="171" t="str">
        <x:f>IF(AY201="","",IFERROR(F201*BD201/BB201,0))</x:f>
      </x:c>
      <x:c r="BF201" s="171" t="str">
        <x:f>IF(AY201="","",F201*ABS(BD201))</x:f>
      </x:c>
      <x:c r="BG201" s="165"/>
      <x:c r="BH201" s="172" t="str">
        <x:f>IF(AY201="","",IF(BG201="","",IFERROR(BB201/BG201-1,0)))</x:f>
      </x:c>
      <x:c r="BI201" s="166"/>
      <x:c r="BJ201" s="172" t="str">
        <x:f>IF(AY201="","",IF(BI201="","",BI201-BH201*365/BK201))</x:f>
      </x:c>
      <x:c r="BK201" s="164"/>
      <x:c r="BL201" s="172" t="str">
        <x:f>IF(AY201="","",IFERROR(BD201*(BC201/BB201-1),0))</x:f>
      </x:c>
      <x:c r="BM201" s="147"/>
      <x:c r="BN201" s="147"/>
      <x:c r="BO201" s="147"/>
      <x:c r="BP201" s="167"/>
      <x:c r="BQ201" s="167"/>
      <x:c r="BR201" s="166"/>
      <x:c r="BS201" s="171" t="str">
        <x:f>IF(BM201="","",IFERROR(F201*BR201/BP201,0))</x:f>
      </x:c>
      <x:c r="BT201" s="171" t="str">
        <x:f>IF(BM201="","",F201*ABS(BR201))</x:f>
      </x:c>
      <x:c r="BU201" s="165"/>
      <x:c r="BV201" s="172" t="str">
        <x:f>IF(BM201="","",IF(BU201="","",IFERROR(BP201/BU201-1,0)))</x:f>
      </x:c>
      <x:c r="BW201" s="166"/>
      <x:c r="BX201" s="172" t="str">
        <x:f>IF(BM201="","",IF(BW201="","",BW201-BV201*365/BY201))</x:f>
      </x:c>
      <x:c r="BY201" s="164"/>
      <x:c r="BZ201" s="172" t="str">
        <x:f>IF(BM201="","",IFERROR(BR201*(BQ201/BP201-1),0))</x:f>
      </x:c>
      <x:c r="CA201" s="147"/>
      <x:c r="CB201" s="147"/>
      <x:c r="CC201" s="147"/>
      <x:c r="CD201" s="167"/>
      <x:c r="CE201" s="167"/>
      <x:c r="CF201" s="166"/>
      <x:c r="CG201" s="171" t="str">
        <x:f>IF(CA201="","",IFERROR(F201*CF201/CD201,0))</x:f>
      </x:c>
      <x:c r="CH201" s="171" t="str">
        <x:f>IF(CA201="","",F201*ABS(CF201))</x:f>
      </x:c>
      <x:c r="CI201" s="165"/>
      <x:c r="CJ201" s="172" t="str">
        <x:f>IF(CA201="","",IF(CI201="","",IFERROR(CD201/CI201-1,0)))</x:f>
      </x:c>
      <x:c r="CK201" s="166"/>
      <x:c r="CL201" s="172" t="str">
        <x:f>IF(CA201="","",IF(CK201="","",CK201-CJ201*365/CM201))</x:f>
      </x:c>
      <x:c r="CM201" s="164"/>
      <x:c r="CN201" s="172" t="str">
        <x:f>IF(CA201="","",IFERROR(CF201*(CE201/CD201-1),0))</x:f>
      </x:c>
      <x:c r="CO201" s="147"/>
      <x:c r="CP201" s="147"/>
      <x:c r="CQ201" s="147"/>
      <x:c r="CR201" s="167"/>
      <x:c r="CS201" s="167"/>
      <x:c r="CT201" s="166"/>
      <x:c r="CU201" s="171" t="str">
        <x:f>IF(CO201="","",IFERROR(F201*CT201/CR201,0))</x:f>
      </x:c>
      <x:c r="CV201" s="171" t="str">
        <x:f>IF(CO201="","",F201*ABS(CT201))</x:f>
      </x:c>
      <x:c r="CW201" s="165"/>
      <x:c r="CX201" s="172" t="str">
        <x:f>IF(CO201="","",IF(CW201="","",IFERROR(CR201/CW201-1,0)))</x:f>
      </x:c>
      <x:c r="CY201" s="166"/>
      <x:c r="CZ201" s="172" t="str">
        <x:f>IF(CO201="","",IF(CY201="","",CY201-CX201*365/DA201))</x:f>
      </x:c>
      <x:c r="DA201" s="164"/>
      <x:c r="DB201" s="172" t="str">
        <x:f>IF(CO201="","",IFERROR(CT201*(CS201/CR201-1),0))</x:f>
      </x:c>
      <x:c r="DC201" s="147"/>
      <x:c r="DD201" s="147"/>
      <x:c r="DE201" s="147"/>
      <x:c r="DF201" s="167"/>
      <x:c r="DG201" s="167"/>
      <x:c r="DH201" s="166"/>
      <x:c r="DI201" s="171" t="str">
        <x:f>IF(DC201="","",IFERROR(F201*DH201/DF201,0))</x:f>
      </x:c>
      <x:c r="DJ201" s="171" t="str">
        <x:f>IF(DC201="","",F201*ABS(DH201))</x:f>
      </x:c>
      <x:c r="DK201" s="165"/>
      <x:c r="DL201" s="172" t="str">
        <x:f>IF(DC201="","",IF(DK201="","",IFERROR(DF201/DK201-1,0)))</x:f>
      </x:c>
      <x:c r="DM201" s="166"/>
      <x:c r="DN201" s="172" t="str">
        <x:f>IF(DC201="","",IF(DM201="","",DM201-DL201*365/DO201))</x:f>
      </x:c>
      <x:c r="DO201" s="164"/>
      <x:c r="DP201" s="172" t="str">
        <x:f>IF(DC201="","",IFERROR(DH201*(DG201/DF201-1),0))</x:f>
      </x:c>
      <x:c r="DQ201" s="147"/>
      <x:c r="DR201" s="147"/>
      <x:c r="DS201" s="147"/>
      <x:c r="DT201" s="167"/>
      <x:c r="DU201" s="167"/>
      <x:c r="DV201" s="166"/>
      <x:c r="DW201" s="171" t="str">
        <x:f>IF(DQ201="","",IFERROR(F201*DV201/DT201,0))</x:f>
      </x:c>
      <x:c r="DX201" s="171" t="str">
        <x:f>IF(DQ201="","",F201*ABS(DV201))</x:f>
      </x:c>
      <x:c r="DY201" s="165"/>
      <x:c r="DZ201" s="172" t="str">
        <x:f>IF(DQ201="","",IF(DY201="","",IFERROR(DT201/DY201-1,0)))</x:f>
      </x:c>
      <x:c r="EA201" s="166"/>
      <x:c r="EB201" s="172" t="str">
        <x:f>IF(DQ201="","",IF(EA201="","",EA201-DZ201*365/EC201))</x:f>
      </x:c>
      <x:c r="EC201" s="164"/>
      <x:c r="ED201" s="172" t="str">
        <x:f>IF(DQ201="","",IFERROR(DV201*(DU201/DT201-1),0))</x:f>
      </x:c>
      <x:c r="EE201" s="147"/>
      <x:c r="EF201" s="147"/>
      <x:c r="EG201" s="147"/>
      <x:c r="EH201" s="167"/>
      <x:c r="EI201" s="167"/>
      <x:c r="EJ201" s="166"/>
      <x:c r="EK201" s="171" t="str">
        <x:f>IF(EE201="","",IFERROR(F201*EJ201/EH201,0))</x:f>
      </x:c>
      <x:c r="EL201" s="171" t="str">
        <x:f>IF(EE201="","",F201*ABS(EJ201))</x:f>
      </x:c>
      <x:c r="EM201" s="165"/>
      <x:c r="EN201" s="172" t="str">
        <x:f>IF(EE201="","",IF(EM201="","",IFERROR(EH201/EM201-1,0)))</x:f>
      </x:c>
      <x:c r="EO201" s="166"/>
      <x:c r="EP201" s="172" t="str">
        <x:f>IF(EE201="","",IF(EO201="","",EO201-EN201*365/EQ201))</x:f>
      </x:c>
      <x:c r="EQ201" s="164"/>
      <x:c r="ER201" s="172" t="str">
        <x:f>IF(EE201="","",IFERROR(EJ201*(EI201/EH201-1),0))</x:f>
      </x:c>
      <x:c r="ES201" s="147"/>
      <x:c r="ET201" s="147"/>
      <x:c r="EU201" s="147"/>
      <x:c r="EV201" s="167"/>
      <x:c r="EW201" s="167"/>
      <x:c r="EX201" s="166"/>
      <x:c r="EY201" s="171" t="str">
        <x:f>IF(ES201="","",IFERROR(F201*EX201/EV201,0))</x:f>
      </x:c>
      <x:c r="EZ201" s="171" t="str">
        <x:f>IF(ES201="","",F201*ABS(EX201))</x:f>
      </x:c>
      <x:c r="FA201" s="165"/>
      <x:c r="FB201" s="172" t="str">
        <x:f>IF(ES201="","",IF(FA201="","",IFERROR(EV201/FA201-1,0)))</x:f>
      </x:c>
      <x:c r="FC201" s="166"/>
      <x:c r="FD201" s="172" t="str">
        <x:f>IF(ES201="","",IF(FC201="","",FC201-FB201*365/FE201))</x:f>
      </x:c>
      <x:c r="FE201" s="164"/>
      <x:c r="FF201" s="172" t="str">
        <x:f>IF(ES201="","",IFERROR(EX201*(EW201/EV201-1),0))</x:f>
      </x:c>
      <x:c r="FG201" s="147"/>
      <x:c r="FH201" s="147"/>
      <x:c r="FI201" s="147"/>
      <x:c r="FJ201" s="167"/>
      <x:c r="FK201" s="167"/>
      <x:c r="FL201" s="166"/>
      <x:c r="FM201" s="171" t="str">
        <x:f>IF(FG201="","",IFERROR(F201*FL201/FJ201,0))</x:f>
      </x:c>
      <x:c r="FN201" s="171" t="str">
        <x:f>IF(FG201="","",F201*ABS(FL201))</x:f>
      </x:c>
      <x:c r="FO201" s="165"/>
      <x:c r="FP201" s="172" t="str">
        <x:f>IF(FG201="","",IF(FO201="","",IFERROR(FJ201/FO201-1,0)))</x:f>
      </x:c>
      <x:c r="FQ201" s="166"/>
      <x:c r="FR201" s="172" t="str">
        <x:f>IF(FG201="","",IF(FQ201="","",FQ201-FP201*365/FS201))</x:f>
      </x:c>
      <x:c r="FS201" s="164"/>
      <x:c r="FT201" s="172" t="str">
        <x:f>IF(FG201="","",IFERROR(FL201*(FK201/FJ201-1),0))</x:f>
      </x:c>
    </x:row>
    <x:row r="202" ht="18" customHeight="1">
      <x:c r="A202" s="163" t="n">
        <x:v>25500</x:v>
      </x:c>
      <x:c r="B202" s="163" t="n">
        <x:v>25503</x:v>
      </x:c>
      <x:c r="C202" s="170" t="n">
        <x:f>B202-A202</x:f>
        <x:v>3</x:v>
      </x:c>
      <x:c r="D202" s="163" t="n">
        <x:v>25500</x:v>
      </x:c>
      <x:c r="E202" s="147" t="str">
        <x:v>neutral</x:v>
      </x:c>
      <x:c r="F202" s="165" t="n">
        <x:v>1.8729804387639521</x:v>
      </x:c>
      <x:c r="G202" s="168" t="n">
        <x:v>0.028581718649505733</x:v>
      </x:c>
      <x:c r="H202" s="172" t="n">
        <x:f>SUM(AX202,BL202,BZ202,CN202,DB202,DP202,ED202,ER202,FF202,FT202)</x:f>
        <x:v>0.028581718649505733</x:v>
      </x:c>
      <x:c r="I202" s="174" t="n">
        <x:f>G202-H202</x:f>
        <x:v>0</x:v>
      </x:c>
      <x:c r="J202" s="171" t="n">
        <x:f>F202*(1+H202)</x:f>
        <x:v>1.926513438700731</x:v>
      </x:c>
      <x:c r="K202" s="169" t="n">
        <x:v>1.926513438700731</x:v>
      </x:c>
      <x:c r="L202" s="175" t="n">
        <x:f>K202-J202</x:f>
        <x:v>0</x:v>
      </x:c>
      <x:c r="M202" s="167" t="n">
        <x:v>1.853</x:v>
      </x:c>
      <x:c r="N202" s="167" t="n">
        <x:v>1.906</x:v>
      </x:c>
      <x:c r="O202" s="172" t="n">
        <x:f>IFERROR(N202/M202-1,0)</x:f>
        <x:v>0.028602266594711212</x:v>
      </x:c>
      <x:c r="P202" s="171" t="n">
        <x:f>IFERROR(AD202/AH202,0)</x:f>
        <x:v>1.9791126276847375</x:v>
      </x:c>
      <x:c r="Q202" s="171" t="n">
        <x:f>IFERROR(AE202/AI202,0)</x:f>
        <x:v>1.9790730918027453</x:v>
      </x:c>
      <x:c r="R202" s="172" t="n">
        <x:f>IFERROR((Q202-P202)/(P202+S202),0)</x:f>
        <x:v>-0.00001997657002395435</x:v>
      </x:c>
      <x:c r="S202" s="172" t="n">
        <x:f>IFERROR(AF202/AH202,0)</x:f>
        <x:v>0</x:v>
      </x:c>
      <x:c r="T202" s="172" t="n">
        <x:f>IFERROR(AG202/AI202,0)</x:f>
        <x:v>0</x:v>
      </x:c>
      <x:c r="U202" s="172" t="n">
        <x:f>IFERROR((T202-S202)/(P202+S202),0)</x:f>
        <x:v>0</x:v>
      </x:c>
      <x:c r="V202" s="172" t="n">
        <x:f>R202+U202</x:f>
        <x:v>-0.00001997657002395435</x:v>
      </x:c>
      <x:c r="W202" s="172" t="n">
        <x:f>(1+O202)*(1+V202)-1</x:f>
        <x:v>0.02858171864950587</x:v>
      </x:c>
      <x:c r="X202" s="174" t="n">
        <x:f>G202-W202</x:f>
        <x:v>-1.3877787807814457e-16</x:v>
      </x:c>
      <x:c r="Y202" s="172" t="n">
        <x:f>AX202</x:f>
        <x:v>0.028581718649505733</x:v>
      </x:c>
      <x:c r="Z202" s="172" t="n">
        <x:f>BL202</x:f>
        <x:v>0</x:v>
      </x:c>
      <x:c r="AA202" s="172" t="n">
        <x:f>SUM(BZ202,CN202,DB202,DP202,ED202,ER202,FF202,FT202)</x:f>
        <x:v>0</x:v>
      </x:c>
      <x:c r="AB202" s="172" t="n">
        <x:f>SUM(Y202:AA202)</x:f>
        <x:v>0.028581718649505733</x:v>
      </x:c>
      <x:c r="AC202" s="174" t="n">
        <x:f>G202-AB202</x:f>
        <x:v>0</x:v>
      </x:c>
      <x:c r="AD202" s="169" t="n">
        <x:v>1.8729804387639524</x:v>
      </x:c>
      <x:c r="AE202" s="169" t="n">
        <x:v>1.9265134387007314</x:v>
      </x:c>
      <x:c r="AF202" s="169" t="n">
        <x:v>0</x:v>
      </x:c>
      <x:c r="AG202" s="169" t="n">
        <x:v>0</x:v>
      </x:c>
      <x:c r="AH202" s="171" t="n">
        <x:f>M202/$M$3</x:f>
        <x:v>0.9463738508682329</x:v>
      </x:c>
      <x:c r="AI202" s="171" t="n">
        <x:f>N202/$M$3</x:f>
        <x:v>0.9734422880490295</x:v>
      </x:c>
      <x:c r="AJ202" s="170" t="n">
        <x:f>IF(AK202&lt;&gt;"",1,0)+IF(AY202&lt;&gt;"",1,0)+IF(BM202&lt;&gt;"",1,0)+IF(CA202&lt;&gt;"",1,0)+IF(CO202&lt;&gt;"",1,0)+IF(DC202&lt;&gt;"",1,0)+IF(DQ202&lt;&gt;"",1,0)+IF(EE202&lt;&gt;"",1,0)+IF(ES202&lt;&gt;"",1,0)+IF(FG202&lt;&gt;"",1,0)</x:f>
        <x:v>1</x:v>
      </x:c>
      <x:c r="AK202" s="147" t="str">
        <x:v>Silver replicating holding (LBMA/SLV proxy)</x:v>
      </x:c>
      <x:c r="AL202" s="147" t="str">
        <x:v>Physical-backed proxy</x:v>
      </x:c>
      <x:c r="AM202" s="147" t="str">
        <x:v>Long</x:v>
      </x:c>
      <x:c r="AN202" s="167" t="n">
        <x:v>1.853</x:v>
      </x:c>
      <x:c r="AO202" s="167" t="n">
        <x:v>1.906</x:v>
      </x:c>
      <x:c r="AP202" s="166" t="n">
        <x:v>1</x:v>
      </x:c>
      <x:c r="AQ202" s="171" t="n">
        <x:f>IF(AK202="","",IFERROR(F202*AP202/AN202,0))</x:f>
        <x:v>1.0107827516265258</x:v>
      </x:c>
      <x:c r="AR202" s="171" t="n">
        <x:f>IF(AK202="","",F202*ABS(AP202))</x:f>
        <x:v>1.8729804387639521</x:v>
      </x:c>
      <x:c r="AS202" s="165"/>
      <x:c r="AT202" s="172" t="str">
        <x:f>IF(AK202="","",IF(AS202="","",IFERROR(AN202/AS202-1,0)))</x:f>
      </x:c>
      <x:c r="AU202" s="166"/>
      <x:c r="AV202" s="172" t="str">
        <x:f>IF(AK202="","",IF(AU202="","",AU202-AT202*365/AW202))</x:f>
      </x:c>
      <x:c r="AW202" s="164"/>
      <x:c r="AX202" s="173" t="n">
        <x:f>IF(AK202="","",IFERROR(AP202*(AO202/AN202-1-'Parameters'!$C$6*C202/365),0))</x:f>
        <x:v>0.028581718649505733</x:v>
      </x:c>
      <x:c r="AY202" s="147"/>
      <x:c r="AZ202" s="147"/>
      <x:c r="BA202" s="147"/>
      <x:c r="BB202" s="167"/>
      <x:c r="BC202" s="167"/>
      <x:c r="BD202" s="166"/>
      <x:c r="BE202" s="171" t="str">
        <x:f>IF(AY202="","",IFERROR(F202*BD202/BB202,0))</x:f>
      </x:c>
      <x:c r="BF202" s="171" t="str">
        <x:f>IF(AY202="","",F202*ABS(BD202))</x:f>
      </x:c>
      <x:c r="BG202" s="165"/>
      <x:c r="BH202" s="172" t="str">
        <x:f>IF(AY202="","",IF(BG202="","",IFERROR(BB202/BG202-1,0)))</x:f>
      </x:c>
      <x:c r="BI202" s="166"/>
      <x:c r="BJ202" s="172" t="str">
        <x:f>IF(AY202="","",IF(BI202="","",BI202-BH202*365/BK202))</x:f>
      </x:c>
      <x:c r="BK202" s="164"/>
      <x:c r="BL202" s="172" t="str">
        <x:f>IF(AY202="","",IFERROR(BD202*(BC202/BB202-1),0))</x:f>
      </x:c>
      <x:c r="BM202" s="147"/>
      <x:c r="BN202" s="147"/>
      <x:c r="BO202" s="147"/>
      <x:c r="BP202" s="167"/>
      <x:c r="BQ202" s="167"/>
      <x:c r="BR202" s="166"/>
      <x:c r="BS202" s="171" t="str">
        <x:f>IF(BM202="","",IFERROR(F202*BR202/BP202,0))</x:f>
      </x:c>
      <x:c r="BT202" s="171" t="str">
        <x:f>IF(BM202="","",F202*ABS(BR202))</x:f>
      </x:c>
      <x:c r="BU202" s="165"/>
      <x:c r="BV202" s="172" t="str">
        <x:f>IF(BM202="","",IF(BU202="","",IFERROR(BP202/BU202-1,0)))</x:f>
      </x:c>
      <x:c r="BW202" s="166"/>
      <x:c r="BX202" s="172" t="str">
        <x:f>IF(BM202="","",IF(BW202="","",BW202-BV202*365/BY202))</x:f>
      </x:c>
      <x:c r="BY202" s="164"/>
      <x:c r="BZ202" s="172" t="str">
        <x:f>IF(BM202="","",IFERROR(BR202*(BQ202/BP202-1),0))</x:f>
      </x:c>
      <x:c r="CA202" s="147"/>
      <x:c r="CB202" s="147"/>
      <x:c r="CC202" s="147"/>
      <x:c r="CD202" s="167"/>
      <x:c r="CE202" s="167"/>
      <x:c r="CF202" s="166"/>
      <x:c r="CG202" s="171" t="str">
        <x:f>IF(CA202="","",IFERROR(F202*CF202/CD202,0))</x:f>
      </x:c>
      <x:c r="CH202" s="171" t="str">
        <x:f>IF(CA202="","",F202*ABS(CF202))</x:f>
      </x:c>
      <x:c r="CI202" s="165"/>
      <x:c r="CJ202" s="172" t="str">
        <x:f>IF(CA202="","",IF(CI202="","",IFERROR(CD202/CI202-1,0)))</x:f>
      </x:c>
      <x:c r="CK202" s="166"/>
      <x:c r="CL202" s="172" t="str">
        <x:f>IF(CA202="","",IF(CK202="","",CK202-CJ202*365/CM202))</x:f>
      </x:c>
      <x:c r="CM202" s="164"/>
      <x:c r="CN202" s="172" t="str">
        <x:f>IF(CA202="","",IFERROR(CF202*(CE202/CD202-1),0))</x:f>
      </x:c>
      <x:c r="CO202" s="147"/>
      <x:c r="CP202" s="147"/>
      <x:c r="CQ202" s="147"/>
      <x:c r="CR202" s="167"/>
      <x:c r="CS202" s="167"/>
      <x:c r="CT202" s="166"/>
      <x:c r="CU202" s="171" t="str">
        <x:f>IF(CO202="","",IFERROR(F202*CT202/CR202,0))</x:f>
      </x:c>
      <x:c r="CV202" s="171" t="str">
        <x:f>IF(CO202="","",F202*ABS(CT202))</x:f>
      </x:c>
      <x:c r="CW202" s="165"/>
      <x:c r="CX202" s="172" t="str">
        <x:f>IF(CO202="","",IF(CW202="","",IFERROR(CR202/CW202-1,0)))</x:f>
      </x:c>
      <x:c r="CY202" s="166"/>
      <x:c r="CZ202" s="172" t="str">
        <x:f>IF(CO202="","",IF(CY202="","",CY202-CX202*365/DA202))</x:f>
      </x:c>
      <x:c r="DA202" s="164"/>
      <x:c r="DB202" s="172" t="str">
        <x:f>IF(CO202="","",IFERROR(CT202*(CS202/CR202-1),0))</x:f>
      </x:c>
      <x:c r="DC202" s="147"/>
      <x:c r="DD202" s="147"/>
      <x:c r="DE202" s="147"/>
      <x:c r="DF202" s="167"/>
      <x:c r="DG202" s="167"/>
      <x:c r="DH202" s="166"/>
      <x:c r="DI202" s="171" t="str">
        <x:f>IF(DC202="","",IFERROR(F202*DH202/DF202,0))</x:f>
      </x:c>
      <x:c r="DJ202" s="171" t="str">
        <x:f>IF(DC202="","",F202*ABS(DH202))</x:f>
      </x:c>
      <x:c r="DK202" s="165"/>
      <x:c r="DL202" s="172" t="str">
        <x:f>IF(DC202="","",IF(DK202="","",IFERROR(DF202/DK202-1,0)))</x:f>
      </x:c>
      <x:c r="DM202" s="166"/>
      <x:c r="DN202" s="172" t="str">
        <x:f>IF(DC202="","",IF(DM202="","",DM202-DL202*365/DO202))</x:f>
      </x:c>
      <x:c r="DO202" s="164"/>
      <x:c r="DP202" s="172" t="str">
        <x:f>IF(DC202="","",IFERROR(DH202*(DG202/DF202-1),0))</x:f>
      </x:c>
      <x:c r="DQ202" s="147"/>
      <x:c r="DR202" s="147"/>
      <x:c r="DS202" s="147"/>
      <x:c r="DT202" s="167"/>
      <x:c r="DU202" s="167"/>
      <x:c r="DV202" s="166"/>
      <x:c r="DW202" s="171" t="str">
        <x:f>IF(DQ202="","",IFERROR(F202*DV202/DT202,0))</x:f>
      </x:c>
      <x:c r="DX202" s="171" t="str">
        <x:f>IF(DQ202="","",F202*ABS(DV202))</x:f>
      </x:c>
      <x:c r="DY202" s="165"/>
      <x:c r="DZ202" s="172" t="str">
        <x:f>IF(DQ202="","",IF(DY202="","",IFERROR(DT202/DY202-1,0)))</x:f>
      </x:c>
      <x:c r="EA202" s="166"/>
      <x:c r="EB202" s="172" t="str">
        <x:f>IF(DQ202="","",IF(EA202="","",EA202-DZ202*365/EC202))</x:f>
      </x:c>
      <x:c r="EC202" s="164"/>
      <x:c r="ED202" s="172" t="str">
        <x:f>IF(DQ202="","",IFERROR(DV202*(DU202/DT202-1),0))</x:f>
      </x:c>
      <x:c r="EE202" s="147"/>
      <x:c r="EF202" s="147"/>
      <x:c r="EG202" s="147"/>
      <x:c r="EH202" s="167"/>
      <x:c r="EI202" s="167"/>
      <x:c r="EJ202" s="166"/>
      <x:c r="EK202" s="171" t="str">
        <x:f>IF(EE202="","",IFERROR(F202*EJ202/EH202,0))</x:f>
      </x:c>
      <x:c r="EL202" s="171" t="str">
        <x:f>IF(EE202="","",F202*ABS(EJ202))</x:f>
      </x:c>
      <x:c r="EM202" s="165"/>
      <x:c r="EN202" s="172" t="str">
        <x:f>IF(EE202="","",IF(EM202="","",IFERROR(EH202/EM202-1,0)))</x:f>
      </x:c>
      <x:c r="EO202" s="166"/>
      <x:c r="EP202" s="172" t="str">
        <x:f>IF(EE202="","",IF(EO202="","",EO202-EN202*365/EQ202))</x:f>
      </x:c>
      <x:c r="EQ202" s="164"/>
      <x:c r="ER202" s="172" t="str">
        <x:f>IF(EE202="","",IFERROR(EJ202*(EI202/EH202-1),0))</x:f>
      </x:c>
      <x:c r="ES202" s="147"/>
      <x:c r="ET202" s="147"/>
      <x:c r="EU202" s="147"/>
      <x:c r="EV202" s="167"/>
      <x:c r="EW202" s="167"/>
      <x:c r="EX202" s="166"/>
      <x:c r="EY202" s="171" t="str">
        <x:f>IF(ES202="","",IFERROR(F202*EX202/EV202,0))</x:f>
      </x:c>
      <x:c r="EZ202" s="171" t="str">
        <x:f>IF(ES202="","",F202*ABS(EX202))</x:f>
      </x:c>
      <x:c r="FA202" s="165"/>
      <x:c r="FB202" s="172" t="str">
        <x:f>IF(ES202="","",IF(FA202="","",IFERROR(EV202/FA202-1,0)))</x:f>
      </x:c>
      <x:c r="FC202" s="166"/>
      <x:c r="FD202" s="172" t="str">
        <x:f>IF(ES202="","",IF(FC202="","",FC202-FB202*365/FE202))</x:f>
      </x:c>
      <x:c r="FE202" s="164"/>
      <x:c r="FF202" s="172" t="str">
        <x:f>IF(ES202="","",IFERROR(EX202*(EW202/EV202-1),0))</x:f>
      </x:c>
      <x:c r="FG202" s="147"/>
      <x:c r="FH202" s="147"/>
      <x:c r="FI202" s="147"/>
      <x:c r="FJ202" s="167"/>
      <x:c r="FK202" s="167"/>
      <x:c r="FL202" s="166"/>
      <x:c r="FM202" s="171" t="str">
        <x:f>IF(FG202="","",IFERROR(F202*FL202/FJ202,0))</x:f>
      </x:c>
      <x:c r="FN202" s="171" t="str">
        <x:f>IF(FG202="","",F202*ABS(FL202))</x:f>
      </x:c>
      <x:c r="FO202" s="165"/>
      <x:c r="FP202" s="172" t="str">
        <x:f>IF(FG202="","",IF(FO202="","",IFERROR(FJ202/FO202-1,0)))</x:f>
      </x:c>
      <x:c r="FQ202" s="166"/>
      <x:c r="FR202" s="172" t="str">
        <x:f>IF(FG202="","",IF(FQ202="","",FQ202-FP202*365/FS202))</x:f>
      </x:c>
      <x:c r="FS202" s="164"/>
      <x:c r="FT202" s="172" t="str">
        <x:f>IF(FG202="","",IFERROR(FL202*(FK202/FJ202-1),0))</x:f>
      </x:c>
    </x:row>
    <x:row r="203" ht="18" customHeight="1">
      <x:c r="A203" s="163" t="n">
        <x:v>25503</x:v>
      </x:c>
      <x:c r="B203" s="163" t="n">
        <x:v>25504</x:v>
      </x:c>
      <x:c r="C203" s="170" t="n">
        <x:f>B203-A203</x:f>
        <x:v>1</x:v>
      </x:c>
      <x:c r="D203" s="163" t="n">
        <x:v>25503</x:v>
      </x:c>
      <x:c r="E203" s="147" t="str">
        <x:v>neutral</x:v>
      </x:c>
      <x:c r="F203" s="165" t="n">
        <x:v>1.926513438700731</x:v>
      </x:c>
      <x:c r="G203" s="168" t="n">
        <x:v>-0.011024687720105166</x:v>
      </x:c>
      <x:c r="H203" s="172" t="n">
        <x:f>SUM(AX203,BL203,BZ203,CN203,DB203,DP203,ED203,ER203,FF203,FT203)</x:f>
        <x:v>-0.011024687720105166</x:v>
      </x:c>
      <x:c r="I203" s="174" t="n">
        <x:f>G203-H203</x:f>
        <x:v>0</x:v>
      </x:c>
      <x:c r="J203" s="171" t="n">
        <x:f>F203*(1+H203)</x:f>
        <x:v>1.9052742296504697</x:v>
      </x:c>
      <x:c r="K203" s="169" t="n">
        <x:v>1.9052742296504697</x:v>
      </x:c>
      <x:c r="L203" s="175" t="n">
        <x:f>K203-J203</x:f>
        <x:v>0</x:v>
      </x:c>
      <x:c r="M203" s="167" t="n">
        <x:v>1.906</x:v>
      </x:c>
      <x:c r="N203" s="167" t="n">
        <x:v>1.885</x:v>
      </x:c>
      <x:c r="O203" s="172" t="n">
        <x:f>IFERROR(N203/M203-1,0)</x:f>
        <x:v>-0.011017838405036673</x:v>
      </x:c>
      <x:c r="P203" s="171" t="n">
        <x:f>IFERROR(AD203/AH203,0)</x:f>
        <x:v>1.9790730918027453</x:v>
      </x:c>
      <x:c r="Q203" s="171" t="n">
        <x:f>IFERROR(AE203/AI203,0)</x:f>
        <x:v>1.9790593854936978</x:v>
      </x:c>
      <x:c r="R203" s="172" t="n">
        <x:f>IFERROR((Q203-P203)/(P203+S203),0)</x:f>
        <x:v>-0.000006925620435285132</x:v>
      </x:c>
      <x:c r="S203" s="172" t="n">
        <x:f>IFERROR(AF203/AH203,0)</x:f>
        <x:v>0</x:v>
      </x:c>
      <x:c r="T203" s="172" t="n">
        <x:f>IFERROR(AG203/AI203,0)</x:f>
        <x:v>0</x:v>
      </x:c>
      <x:c r="U203" s="172" t="n">
        <x:f>IFERROR((T203-S203)/(P203+S203),0)</x:f>
        <x:v>0</x:v>
      </x:c>
      <x:c r="V203" s="172" t="n">
        <x:f>R203+U203</x:f>
        <x:v>-0.000006925620435285132</x:v>
      </x:c>
      <x:c r="W203" s="172" t="n">
        <x:f>(1+O203)*(1+V203)-1</x:f>
        <x:v>-0.01102468772010512</x:v>
      </x:c>
      <x:c r="X203" s="174" t="n">
        <x:f>G203-W203</x:f>
        <x:v>-4.683753385137379e-17</x:v>
      </x:c>
      <x:c r="Y203" s="172" t="n">
        <x:f>AX203</x:f>
        <x:v>-0.011024687720105166</x:v>
      </x:c>
      <x:c r="Z203" s="172" t="n">
        <x:f>BL203</x:f>
        <x:v>0</x:v>
      </x:c>
      <x:c r="AA203" s="172" t="n">
        <x:f>SUM(BZ203,CN203,DB203,DP203,ED203,ER203,FF203,FT203)</x:f>
        <x:v>0</x:v>
      </x:c>
      <x:c r="AB203" s="172" t="n">
        <x:f>SUM(Y203:AA203)</x:f>
        <x:v>-0.011024687720105166</x:v>
      </x:c>
      <x:c r="AC203" s="174" t="n">
        <x:f>G203-AB203</x:f>
        <x:v>0</x:v>
      </x:c>
      <x:c r="AD203" s="169" t="n">
        <x:v>1.9265134387007314</x:v>
      </x:c>
      <x:c r="AE203" s="169" t="n">
        <x:v>1.9052742296504699</x:v>
      </x:c>
      <x:c r="AF203" s="169" t="n">
        <x:v>0</x:v>
      </x:c>
      <x:c r="AG203" s="169" t="n">
        <x:v>0</x:v>
      </x:c>
      <x:c r="AH203" s="171" t="n">
        <x:f>M203/$M$3</x:f>
        <x:v>0.9734422880490295</x:v>
      </x:c>
      <x:c r="AI203" s="171" t="n">
        <x:f>N203/$M$3</x:f>
        <x:v>0.9627170582226762</x:v>
      </x:c>
      <x:c r="AJ203" s="170" t="n">
        <x:f>IF(AK203&lt;&gt;"",1,0)+IF(AY203&lt;&gt;"",1,0)+IF(BM203&lt;&gt;"",1,0)+IF(CA203&lt;&gt;"",1,0)+IF(CO203&lt;&gt;"",1,0)+IF(DC203&lt;&gt;"",1,0)+IF(DQ203&lt;&gt;"",1,0)+IF(EE203&lt;&gt;"",1,0)+IF(ES203&lt;&gt;"",1,0)+IF(FG203&lt;&gt;"",1,0)</x:f>
        <x:v>1</x:v>
      </x:c>
      <x:c r="AK203" s="147" t="str">
        <x:v>Silver replicating holding (LBMA/SLV proxy)</x:v>
      </x:c>
      <x:c r="AL203" s="147" t="str">
        <x:v>Physical-backed proxy</x:v>
      </x:c>
      <x:c r="AM203" s="147" t="str">
        <x:v>Long</x:v>
      </x:c>
      <x:c r="AN203" s="167" t="n">
        <x:v>1.906</x:v>
      </x:c>
      <x:c r="AO203" s="167" t="n">
        <x:v>1.885</x:v>
      </x:c>
      <x:c r="AP203" s="166" t="n">
        <x:v>1</x:v>
      </x:c>
      <x:c r="AQ203" s="171" t="n">
        <x:f>IF(AK203="","",IFERROR(F203*AP203/AN203,0))</x:f>
        <x:v>1.0107625596541085</x:v>
      </x:c>
      <x:c r="AR203" s="171" t="n">
        <x:f>IF(AK203="","",F203*ABS(AP203))</x:f>
        <x:v>1.926513438700731</x:v>
      </x:c>
      <x:c r="AS203" s="165"/>
      <x:c r="AT203" s="172" t="str">
        <x:f>IF(AK203="","",IF(AS203="","",IFERROR(AN203/AS203-1,0)))</x:f>
      </x:c>
      <x:c r="AU203" s="166"/>
      <x:c r="AV203" s="172" t="str">
        <x:f>IF(AK203="","",IF(AU203="","",AU203-AT203*365/AW203))</x:f>
      </x:c>
      <x:c r="AW203" s="164"/>
      <x:c r="AX203" s="173" t="n">
        <x:f>IF(AK203="","",IFERROR(AP203*(AO203/AN203-1-'Parameters'!$C$6*C203/365),0))</x:f>
        <x:v>-0.011024687720105166</x:v>
      </x:c>
      <x:c r="AY203" s="147"/>
      <x:c r="AZ203" s="147"/>
      <x:c r="BA203" s="147"/>
      <x:c r="BB203" s="167"/>
      <x:c r="BC203" s="167"/>
      <x:c r="BD203" s="166"/>
      <x:c r="BE203" s="171" t="str">
        <x:f>IF(AY203="","",IFERROR(F203*BD203/BB203,0))</x:f>
      </x:c>
      <x:c r="BF203" s="171" t="str">
        <x:f>IF(AY203="","",F203*ABS(BD203))</x:f>
      </x:c>
      <x:c r="BG203" s="165"/>
      <x:c r="BH203" s="172" t="str">
        <x:f>IF(AY203="","",IF(BG203="","",IFERROR(BB203/BG203-1,0)))</x:f>
      </x:c>
      <x:c r="BI203" s="166"/>
      <x:c r="BJ203" s="172" t="str">
        <x:f>IF(AY203="","",IF(BI203="","",BI203-BH203*365/BK203))</x:f>
      </x:c>
      <x:c r="BK203" s="164"/>
      <x:c r="BL203" s="172" t="str">
        <x:f>IF(AY203="","",IFERROR(BD203*(BC203/BB203-1),0))</x:f>
      </x:c>
      <x:c r="BM203" s="147"/>
      <x:c r="BN203" s="147"/>
      <x:c r="BO203" s="147"/>
      <x:c r="BP203" s="167"/>
      <x:c r="BQ203" s="167"/>
      <x:c r="BR203" s="166"/>
      <x:c r="BS203" s="171" t="str">
        <x:f>IF(BM203="","",IFERROR(F203*BR203/BP203,0))</x:f>
      </x:c>
      <x:c r="BT203" s="171" t="str">
        <x:f>IF(BM203="","",F203*ABS(BR203))</x:f>
      </x:c>
      <x:c r="BU203" s="165"/>
      <x:c r="BV203" s="172" t="str">
        <x:f>IF(BM203="","",IF(BU203="","",IFERROR(BP203/BU203-1,0)))</x:f>
      </x:c>
      <x:c r="BW203" s="166"/>
      <x:c r="BX203" s="172" t="str">
        <x:f>IF(BM203="","",IF(BW203="","",BW203-BV203*365/BY203))</x:f>
      </x:c>
      <x:c r="BY203" s="164"/>
      <x:c r="BZ203" s="172" t="str">
        <x:f>IF(BM203="","",IFERROR(BR203*(BQ203/BP203-1),0))</x:f>
      </x:c>
      <x:c r="CA203" s="147"/>
      <x:c r="CB203" s="147"/>
      <x:c r="CC203" s="147"/>
      <x:c r="CD203" s="167"/>
      <x:c r="CE203" s="167"/>
      <x:c r="CF203" s="166"/>
      <x:c r="CG203" s="171" t="str">
        <x:f>IF(CA203="","",IFERROR(F203*CF203/CD203,0))</x:f>
      </x:c>
      <x:c r="CH203" s="171" t="str">
        <x:f>IF(CA203="","",F203*ABS(CF203))</x:f>
      </x:c>
      <x:c r="CI203" s="165"/>
      <x:c r="CJ203" s="172" t="str">
        <x:f>IF(CA203="","",IF(CI203="","",IFERROR(CD203/CI203-1,0)))</x:f>
      </x:c>
      <x:c r="CK203" s="166"/>
      <x:c r="CL203" s="172" t="str">
        <x:f>IF(CA203="","",IF(CK203="","",CK203-CJ203*365/CM203))</x:f>
      </x:c>
      <x:c r="CM203" s="164"/>
      <x:c r="CN203" s="172" t="str">
        <x:f>IF(CA203="","",IFERROR(CF203*(CE203/CD203-1),0))</x:f>
      </x:c>
      <x:c r="CO203" s="147"/>
      <x:c r="CP203" s="147"/>
      <x:c r="CQ203" s="147"/>
      <x:c r="CR203" s="167"/>
      <x:c r="CS203" s="167"/>
      <x:c r="CT203" s="166"/>
      <x:c r="CU203" s="171" t="str">
        <x:f>IF(CO203="","",IFERROR(F203*CT203/CR203,0))</x:f>
      </x:c>
      <x:c r="CV203" s="171" t="str">
        <x:f>IF(CO203="","",F203*ABS(CT203))</x:f>
      </x:c>
      <x:c r="CW203" s="165"/>
      <x:c r="CX203" s="172" t="str">
        <x:f>IF(CO203="","",IF(CW203="","",IFERROR(CR203/CW203-1,0)))</x:f>
      </x:c>
      <x:c r="CY203" s="166"/>
      <x:c r="CZ203" s="172" t="str">
        <x:f>IF(CO203="","",IF(CY203="","",CY203-CX203*365/DA203))</x:f>
      </x:c>
      <x:c r="DA203" s="164"/>
      <x:c r="DB203" s="172" t="str">
        <x:f>IF(CO203="","",IFERROR(CT203*(CS203/CR203-1),0))</x:f>
      </x:c>
      <x:c r="DC203" s="147"/>
      <x:c r="DD203" s="147"/>
      <x:c r="DE203" s="147"/>
      <x:c r="DF203" s="167"/>
      <x:c r="DG203" s="167"/>
      <x:c r="DH203" s="166"/>
      <x:c r="DI203" s="171" t="str">
        <x:f>IF(DC203="","",IFERROR(F203*DH203/DF203,0))</x:f>
      </x:c>
      <x:c r="DJ203" s="171" t="str">
        <x:f>IF(DC203="","",F203*ABS(DH203))</x:f>
      </x:c>
      <x:c r="DK203" s="165"/>
      <x:c r="DL203" s="172" t="str">
        <x:f>IF(DC203="","",IF(DK203="","",IFERROR(DF203/DK203-1,0)))</x:f>
      </x:c>
      <x:c r="DM203" s="166"/>
      <x:c r="DN203" s="172" t="str">
        <x:f>IF(DC203="","",IF(DM203="","",DM203-DL203*365/DO203))</x:f>
      </x:c>
      <x:c r="DO203" s="164"/>
      <x:c r="DP203" s="172" t="str">
        <x:f>IF(DC203="","",IFERROR(DH203*(DG203/DF203-1),0))</x:f>
      </x:c>
      <x:c r="DQ203" s="147"/>
      <x:c r="DR203" s="147"/>
      <x:c r="DS203" s="147"/>
      <x:c r="DT203" s="167"/>
      <x:c r="DU203" s="167"/>
      <x:c r="DV203" s="166"/>
      <x:c r="DW203" s="171" t="str">
        <x:f>IF(DQ203="","",IFERROR(F203*DV203/DT203,0))</x:f>
      </x:c>
      <x:c r="DX203" s="171" t="str">
        <x:f>IF(DQ203="","",F203*ABS(DV203))</x:f>
      </x:c>
      <x:c r="DY203" s="165"/>
      <x:c r="DZ203" s="172" t="str">
        <x:f>IF(DQ203="","",IF(DY203="","",IFERROR(DT203/DY203-1,0)))</x:f>
      </x:c>
      <x:c r="EA203" s="166"/>
      <x:c r="EB203" s="172" t="str">
        <x:f>IF(DQ203="","",IF(EA203="","",EA203-DZ203*365/EC203))</x:f>
      </x:c>
      <x:c r="EC203" s="164"/>
      <x:c r="ED203" s="172" t="str">
        <x:f>IF(DQ203="","",IFERROR(DV203*(DU203/DT203-1),0))</x:f>
      </x:c>
      <x:c r="EE203" s="147"/>
      <x:c r="EF203" s="147"/>
      <x:c r="EG203" s="147"/>
      <x:c r="EH203" s="167"/>
      <x:c r="EI203" s="167"/>
      <x:c r="EJ203" s="166"/>
      <x:c r="EK203" s="171" t="str">
        <x:f>IF(EE203="","",IFERROR(F203*EJ203/EH203,0))</x:f>
      </x:c>
      <x:c r="EL203" s="171" t="str">
        <x:f>IF(EE203="","",F203*ABS(EJ203))</x:f>
      </x:c>
      <x:c r="EM203" s="165"/>
      <x:c r="EN203" s="172" t="str">
        <x:f>IF(EE203="","",IF(EM203="","",IFERROR(EH203/EM203-1,0)))</x:f>
      </x:c>
      <x:c r="EO203" s="166"/>
      <x:c r="EP203" s="172" t="str">
        <x:f>IF(EE203="","",IF(EO203="","",EO203-EN203*365/EQ203))</x:f>
      </x:c>
      <x:c r="EQ203" s="164"/>
      <x:c r="ER203" s="172" t="str">
        <x:f>IF(EE203="","",IFERROR(EJ203*(EI203/EH203-1),0))</x:f>
      </x:c>
      <x:c r="ES203" s="147"/>
      <x:c r="ET203" s="147"/>
      <x:c r="EU203" s="147"/>
      <x:c r="EV203" s="167"/>
      <x:c r="EW203" s="167"/>
      <x:c r="EX203" s="166"/>
      <x:c r="EY203" s="171" t="str">
        <x:f>IF(ES203="","",IFERROR(F203*EX203/EV203,0))</x:f>
      </x:c>
      <x:c r="EZ203" s="171" t="str">
        <x:f>IF(ES203="","",F203*ABS(EX203))</x:f>
      </x:c>
      <x:c r="FA203" s="165"/>
      <x:c r="FB203" s="172" t="str">
        <x:f>IF(ES203="","",IF(FA203="","",IFERROR(EV203/FA203-1,0)))</x:f>
      </x:c>
      <x:c r="FC203" s="166"/>
      <x:c r="FD203" s="172" t="str">
        <x:f>IF(ES203="","",IF(FC203="","",FC203-FB203*365/FE203))</x:f>
      </x:c>
      <x:c r="FE203" s="164"/>
      <x:c r="FF203" s="172" t="str">
        <x:f>IF(ES203="","",IFERROR(EX203*(EW203/EV203-1),0))</x:f>
      </x:c>
      <x:c r="FG203" s="147"/>
      <x:c r="FH203" s="147"/>
      <x:c r="FI203" s="147"/>
      <x:c r="FJ203" s="167"/>
      <x:c r="FK203" s="167"/>
      <x:c r="FL203" s="166"/>
      <x:c r="FM203" s="171" t="str">
        <x:f>IF(FG203="","",IFERROR(F203*FL203/FJ203,0))</x:f>
      </x:c>
      <x:c r="FN203" s="171" t="str">
        <x:f>IF(FG203="","",F203*ABS(FL203))</x:f>
      </x:c>
      <x:c r="FO203" s="165"/>
      <x:c r="FP203" s="172" t="str">
        <x:f>IF(FG203="","",IF(FO203="","",IFERROR(FJ203/FO203-1,0)))</x:f>
      </x:c>
      <x:c r="FQ203" s="166"/>
      <x:c r="FR203" s="172" t="str">
        <x:f>IF(FG203="","",IF(FQ203="","",FQ203-FP203*365/FS203))</x:f>
      </x:c>
      <x:c r="FS203" s="164"/>
      <x:c r="FT203" s="172" t="str">
        <x:f>IF(FG203="","",IFERROR(FL203*(FK203/FJ203-1),0))</x:f>
      </x:c>
    </x:row>
    <x:row r="204" ht="18" customHeight="1">
      <x:c r="A204" s="163" t="n">
        <x:v>25504</x:v>
      </x:c>
      <x:c r="B204" s="163" t="n">
        <x:v>25505</x:v>
      </x:c>
      <x:c r="C204" s="170" t="n">
        <x:f>B204-A204</x:f>
        <x:v>1</x:v>
      </x:c>
      <x:c r="D204" s="163" t="n">
        <x:v>25504</x:v>
      </x:c>
      <x:c r="E204" s="147" t="str">
        <x:v>neutral</x:v>
      </x:c>
      <x:c r="F204" s="165" t="n">
        <x:v>1.9052742296504697</x:v>
      </x:c>
      <x:c r="G204" s="168" t="n">
        <x:v>0.005828694451509752</x:v>
      </x:c>
      <x:c r="H204" s="172" t="n">
        <x:f>SUM(AX204,BL204,BZ204,CN204,DB204,DP204,ED204,ER204,FF204,FT204)</x:f>
        <x:v>0.005828694451509751</x:v>
      </x:c>
      <x:c r="I204" s="174" t="n">
        <x:f>G204-H204</x:f>
        <x:v>8.673617379884035e-19</x:v>
      </x:c>
      <x:c r="J204" s="171" t="n">
        <x:f>F204*(1+H204)</x:f>
        <x:v>1.916379490981438</x:v>
      </x:c>
      <x:c r="K204" s="169" t="n">
        <x:v>1.916379490981438</x:v>
      </x:c>
      <x:c r="L204" s="175" t="n">
        <x:f>K204-J204</x:f>
        <x:v>0</x:v>
      </x:c>
      <x:c r="M204" s="167" t="n">
        <x:v>1.885</x:v>
      </x:c>
      <x:c r="N204" s="167" t="n">
        <x:v>1.896</x:v>
      </x:c>
      <x:c r="O204" s="172" t="n">
        <x:f>IFERROR(N204/M204-1,0)</x:f>
        <x:v>0.005835543766578244</x:v>
      </x:c>
      <x:c r="P204" s="171" t="n">
        <x:f>IFERROR(AD204/AH204,0)</x:f>
        <x:v>1.9790593854936978</x:v>
      </x:c>
      <x:c r="Q204" s="171" t="n">
        <x:f>IFERROR(AE204/AI204,0)</x:f>
        <x:v>1.9790459089354724</x:v>
      </x:c>
      <x:c r="R204" s="172" t="n">
        <x:f>IFERROR((Q204-P204)/(P204+S204),0)</x:f>
        <x:v>-0.00000680957748117559</x:v>
      </x:c>
      <x:c r="S204" s="172" t="n">
        <x:f>IFERROR(AF204/AH204,0)</x:f>
        <x:v>0</x:v>
      </x:c>
      <x:c r="T204" s="172" t="n">
        <x:f>IFERROR(AG204/AI204,0)</x:f>
        <x:v>0</x:v>
      </x:c>
      <x:c r="U204" s="172" t="n">
        <x:f>IFERROR((T204-S204)/(P204+S204),0)</x:f>
        <x:v>0</x:v>
      </x:c>
      <x:c r="V204" s="172" t="n">
        <x:f>R204+U204</x:f>
        <x:v>-0.00000680957748117559</x:v>
      </x:c>
      <x:c r="W204" s="172" t="n">
        <x:f>(1+O204)*(1+V204)-1</x:f>
        <x:v>0.005828694451509575</x:v>
      </x:c>
      <x:c r="X204" s="174" t="n">
        <x:f>G204-W204</x:f>
        <x:v>1.7694179454963432e-16</x:v>
      </x:c>
      <x:c r="Y204" s="172" t="n">
        <x:f>AX204</x:f>
        <x:v>0.005828694451509751</x:v>
      </x:c>
      <x:c r="Z204" s="172" t="n">
        <x:f>BL204</x:f>
        <x:v>0</x:v>
      </x:c>
      <x:c r="AA204" s="172" t="n">
        <x:f>SUM(BZ204,CN204,DB204,DP204,ED204,ER204,FF204,FT204)</x:f>
        <x:v>0</x:v>
      </x:c>
      <x:c r="AB204" s="172" t="n">
        <x:f>SUM(Y204:AA204)</x:f>
        <x:v>0.005828694451509751</x:v>
      </x:c>
      <x:c r="AC204" s="174" t="n">
        <x:f>G204-AB204</x:f>
        <x:v>8.673617379884035e-19</x:v>
      </x:c>
      <x:c r="AD204" s="169" t="n">
        <x:v>1.9052742296504699</x:v>
      </x:c>
      <x:c r="AE204" s="169" t="n">
        <x:v>1.916379490981438</x:v>
      </x:c>
      <x:c r="AF204" s="169" t="n">
        <x:v>0</x:v>
      </x:c>
      <x:c r="AG204" s="169" t="n">
        <x:v>0</x:v>
      </x:c>
      <x:c r="AH204" s="171" t="n">
        <x:f>M204/$M$3</x:f>
        <x:v>0.9627170582226762</x:v>
      </x:c>
      <x:c r="AI204" s="171" t="n">
        <x:f>N204/$M$3</x:f>
        <x:v>0.9683350357507661</x:v>
      </x:c>
      <x:c r="AJ204" s="170" t="n">
        <x:f>IF(AK204&lt;&gt;"",1,0)+IF(AY204&lt;&gt;"",1,0)+IF(BM204&lt;&gt;"",1,0)+IF(CA204&lt;&gt;"",1,0)+IF(CO204&lt;&gt;"",1,0)+IF(DC204&lt;&gt;"",1,0)+IF(DQ204&lt;&gt;"",1,0)+IF(EE204&lt;&gt;"",1,0)+IF(ES204&lt;&gt;"",1,0)+IF(FG204&lt;&gt;"",1,0)</x:f>
        <x:v>1</x:v>
      </x:c>
      <x:c r="AK204" s="147" t="str">
        <x:v>Silver replicating holding (LBMA/SLV proxy)</x:v>
      </x:c>
      <x:c r="AL204" s="147" t="str">
        <x:v>Physical-backed proxy</x:v>
      </x:c>
      <x:c r="AM204" s="147" t="str">
        <x:v>Long</x:v>
      </x:c>
      <x:c r="AN204" s="167" t="n">
        <x:v>1.885</x:v>
      </x:c>
      <x:c r="AO204" s="167" t="n">
        <x:v>1.896</x:v>
      </x:c>
      <x:c r="AP204" s="166" t="n">
        <x:v>1</x:v>
      </x:c>
      <x:c r="AQ204" s="171" t="n">
        <x:f>IF(AK204="","",IFERROR(F204*AP204/AN204,0))</x:f>
        <x:v>1.0107555594962703</x:v>
      </x:c>
      <x:c r="AR204" s="171" t="n">
        <x:f>IF(AK204="","",F204*ABS(AP204))</x:f>
        <x:v>1.9052742296504697</x:v>
      </x:c>
      <x:c r="AS204" s="165"/>
      <x:c r="AT204" s="172" t="str">
        <x:f>IF(AK204="","",IF(AS204="","",IFERROR(AN204/AS204-1,0)))</x:f>
      </x:c>
      <x:c r="AU204" s="166"/>
      <x:c r="AV204" s="172" t="str">
        <x:f>IF(AK204="","",IF(AU204="","",AU204-AT204*365/AW204))</x:f>
      </x:c>
      <x:c r="AW204" s="164"/>
      <x:c r="AX204" s="173" t="n">
        <x:f>IF(AK204="","",IFERROR(AP204*(AO204/AN204-1-'Parameters'!$C$6*C204/365),0))</x:f>
        <x:v>0.005828694451509751</x:v>
      </x:c>
      <x:c r="AY204" s="147"/>
      <x:c r="AZ204" s="147"/>
      <x:c r="BA204" s="147"/>
      <x:c r="BB204" s="167"/>
      <x:c r="BC204" s="167"/>
      <x:c r="BD204" s="166"/>
      <x:c r="BE204" s="171" t="str">
        <x:f>IF(AY204="","",IFERROR(F204*BD204/BB204,0))</x:f>
      </x:c>
      <x:c r="BF204" s="171" t="str">
        <x:f>IF(AY204="","",F204*ABS(BD204))</x:f>
      </x:c>
      <x:c r="BG204" s="165"/>
      <x:c r="BH204" s="172" t="str">
        <x:f>IF(AY204="","",IF(BG204="","",IFERROR(BB204/BG204-1,0)))</x:f>
      </x:c>
      <x:c r="BI204" s="166"/>
      <x:c r="BJ204" s="172" t="str">
        <x:f>IF(AY204="","",IF(BI204="","",BI204-BH204*365/BK204))</x:f>
      </x:c>
      <x:c r="BK204" s="164"/>
      <x:c r="BL204" s="172" t="str">
        <x:f>IF(AY204="","",IFERROR(BD204*(BC204/BB204-1),0))</x:f>
      </x:c>
      <x:c r="BM204" s="147"/>
      <x:c r="BN204" s="147"/>
      <x:c r="BO204" s="147"/>
      <x:c r="BP204" s="167"/>
      <x:c r="BQ204" s="167"/>
      <x:c r="BR204" s="166"/>
      <x:c r="BS204" s="171" t="str">
        <x:f>IF(BM204="","",IFERROR(F204*BR204/BP204,0))</x:f>
      </x:c>
      <x:c r="BT204" s="171" t="str">
        <x:f>IF(BM204="","",F204*ABS(BR204))</x:f>
      </x:c>
      <x:c r="BU204" s="165"/>
      <x:c r="BV204" s="172" t="str">
        <x:f>IF(BM204="","",IF(BU204="","",IFERROR(BP204/BU204-1,0)))</x:f>
      </x:c>
      <x:c r="BW204" s="166"/>
      <x:c r="BX204" s="172" t="str">
        <x:f>IF(BM204="","",IF(BW204="","",BW204-BV204*365/BY204))</x:f>
      </x:c>
      <x:c r="BY204" s="164"/>
      <x:c r="BZ204" s="172" t="str">
        <x:f>IF(BM204="","",IFERROR(BR204*(BQ204/BP204-1),0))</x:f>
      </x:c>
      <x:c r="CA204" s="147"/>
      <x:c r="CB204" s="147"/>
      <x:c r="CC204" s="147"/>
      <x:c r="CD204" s="167"/>
      <x:c r="CE204" s="167"/>
      <x:c r="CF204" s="166"/>
      <x:c r="CG204" s="171" t="str">
        <x:f>IF(CA204="","",IFERROR(F204*CF204/CD204,0))</x:f>
      </x:c>
      <x:c r="CH204" s="171" t="str">
        <x:f>IF(CA204="","",F204*ABS(CF204))</x:f>
      </x:c>
      <x:c r="CI204" s="165"/>
      <x:c r="CJ204" s="172" t="str">
        <x:f>IF(CA204="","",IF(CI204="","",IFERROR(CD204/CI204-1,0)))</x:f>
      </x:c>
      <x:c r="CK204" s="166"/>
      <x:c r="CL204" s="172" t="str">
        <x:f>IF(CA204="","",IF(CK204="","",CK204-CJ204*365/CM204))</x:f>
      </x:c>
      <x:c r="CM204" s="164"/>
      <x:c r="CN204" s="172" t="str">
        <x:f>IF(CA204="","",IFERROR(CF204*(CE204/CD204-1),0))</x:f>
      </x:c>
      <x:c r="CO204" s="147"/>
      <x:c r="CP204" s="147"/>
      <x:c r="CQ204" s="147"/>
      <x:c r="CR204" s="167"/>
      <x:c r="CS204" s="167"/>
      <x:c r="CT204" s="166"/>
      <x:c r="CU204" s="171" t="str">
        <x:f>IF(CO204="","",IFERROR(F204*CT204/CR204,0))</x:f>
      </x:c>
      <x:c r="CV204" s="171" t="str">
        <x:f>IF(CO204="","",F204*ABS(CT204))</x:f>
      </x:c>
      <x:c r="CW204" s="165"/>
      <x:c r="CX204" s="172" t="str">
        <x:f>IF(CO204="","",IF(CW204="","",IFERROR(CR204/CW204-1,0)))</x:f>
      </x:c>
      <x:c r="CY204" s="166"/>
      <x:c r="CZ204" s="172" t="str">
        <x:f>IF(CO204="","",IF(CY204="","",CY204-CX204*365/DA204))</x:f>
      </x:c>
      <x:c r="DA204" s="164"/>
      <x:c r="DB204" s="172" t="str">
        <x:f>IF(CO204="","",IFERROR(CT204*(CS204/CR204-1),0))</x:f>
      </x:c>
      <x:c r="DC204" s="147"/>
      <x:c r="DD204" s="147"/>
      <x:c r="DE204" s="147"/>
      <x:c r="DF204" s="167"/>
      <x:c r="DG204" s="167"/>
      <x:c r="DH204" s="166"/>
      <x:c r="DI204" s="171" t="str">
        <x:f>IF(DC204="","",IFERROR(F204*DH204/DF204,0))</x:f>
      </x:c>
      <x:c r="DJ204" s="171" t="str">
        <x:f>IF(DC204="","",F204*ABS(DH204))</x:f>
      </x:c>
      <x:c r="DK204" s="165"/>
      <x:c r="DL204" s="172" t="str">
        <x:f>IF(DC204="","",IF(DK204="","",IFERROR(DF204/DK204-1,0)))</x:f>
      </x:c>
      <x:c r="DM204" s="166"/>
      <x:c r="DN204" s="172" t="str">
        <x:f>IF(DC204="","",IF(DM204="","",DM204-DL204*365/DO204))</x:f>
      </x:c>
      <x:c r="DO204" s="164"/>
      <x:c r="DP204" s="172" t="str">
        <x:f>IF(DC204="","",IFERROR(DH204*(DG204/DF204-1),0))</x:f>
      </x:c>
      <x:c r="DQ204" s="147"/>
      <x:c r="DR204" s="147"/>
      <x:c r="DS204" s="147"/>
      <x:c r="DT204" s="167"/>
      <x:c r="DU204" s="167"/>
      <x:c r="DV204" s="166"/>
      <x:c r="DW204" s="171" t="str">
        <x:f>IF(DQ204="","",IFERROR(F204*DV204/DT204,0))</x:f>
      </x:c>
      <x:c r="DX204" s="171" t="str">
        <x:f>IF(DQ204="","",F204*ABS(DV204))</x:f>
      </x:c>
      <x:c r="DY204" s="165"/>
      <x:c r="DZ204" s="172" t="str">
        <x:f>IF(DQ204="","",IF(DY204="","",IFERROR(DT204/DY204-1,0)))</x:f>
      </x:c>
      <x:c r="EA204" s="166"/>
      <x:c r="EB204" s="172" t="str">
        <x:f>IF(DQ204="","",IF(EA204="","",EA204-DZ204*365/EC204))</x:f>
      </x:c>
      <x:c r="EC204" s="164"/>
      <x:c r="ED204" s="172" t="str">
        <x:f>IF(DQ204="","",IFERROR(DV204*(DU204/DT204-1),0))</x:f>
      </x:c>
      <x:c r="EE204" s="147"/>
      <x:c r="EF204" s="147"/>
      <x:c r="EG204" s="147"/>
      <x:c r="EH204" s="167"/>
      <x:c r="EI204" s="167"/>
      <x:c r="EJ204" s="166"/>
      <x:c r="EK204" s="171" t="str">
        <x:f>IF(EE204="","",IFERROR(F204*EJ204/EH204,0))</x:f>
      </x:c>
      <x:c r="EL204" s="171" t="str">
        <x:f>IF(EE204="","",F204*ABS(EJ204))</x:f>
      </x:c>
      <x:c r="EM204" s="165"/>
      <x:c r="EN204" s="172" t="str">
        <x:f>IF(EE204="","",IF(EM204="","",IFERROR(EH204/EM204-1,0)))</x:f>
      </x:c>
      <x:c r="EO204" s="166"/>
      <x:c r="EP204" s="172" t="str">
        <x:f>IF(EE204="","",IF(EO204="","",EO204-EN204*365/EQ204))</x:f>
      </x:c>
      <x:c r="EQ204" s="164"/>
      <x:c r="ER204" s="172" t="str">
        <x:f>IF(EE204="","",IFERROR(EJ204*(EI204/EH204-1),0))</x:f>
      </x:c>
      <x:c r="ES204" s="147"/>
      <x:c r="ET204" s="147"/>
      <x:c r="EU204" s="147"/>
      <x:c r="EV204" s="167"/>
      <x:c r="EW204" s="167"/>
      <x:c r="EX204" s="166"/>
      <x:c r="EY204" s="171" t="str">
        <x:f>IF(ES204="","",IFERROR(F204*EX204/EV204,0))</x:f>
      </x:c>
      <x:c r="EZ204" s="171" t="str">
        <x:f>IF(ES204="","",F204*ABS(EX204))</x:f>
      </x:c>
      <x:c r="FA204" s="165"/>
      <x:c r="FB204" s="172" t="str">
        <x:f>IF(ES204="","",IF(FA204="","",IFERROR(EV204/FA204-1,0)))</x:f>
      </x:c>
      <x:c r="FC204" s="166"/>
      <x:c r="FD204" s="172" t="str">
        <x:f>IF(ES204="","",IF(FC204="","",FC204-FB204*365/FE204))</x:f>
      </x:c>
      <x:c r="FE204" s="164"/>
      <x:c r="FF204" s="172" t="str">
        <x:f>IF(ES204="","",IFERROR(EX204*(EW204/EV204-1),0))</x:f>
      </x:c>
      <x:c r="FG204" s="147"/>
      <x:c r="FH204" s="147"/>
      <x:c r="FI204" s="147"/>
      <x:c r="FJ204" s="167"/>
      <x:c r="FK204" s="167"/>
      <x:c r="FL204" s="166"/>
      <x:c r="FM204" s="171" t="str">
        <x:f>IF(FG204="","",IFERROR(F204*FL204/FJ204,0))</x:f>
      </x:c>
      <x:c r="FN204" s="171" t="str">
        <x:f>IF(FG204="","",F204*ABS(FL204))</x:f>
      </x:c>
      <x:c r="FO204" s="165"/>
      <x:c r="FP204" s="172" t="str">
        <x:f>IF(FG204="","",IF(FO204="","",IFERROR(FJ204/FO204-1,0)))</x:f>
      </x:c>
      <x:c r="FQ204" s="166"/>
      <x:c r="FR204" s="172" t="str">
        <x:f>IF(FG204="","",IF(FQ204="","",FQ204-FP204*365/FS204))</x:f>
      </x:c>
      <x:c r="FS204" s="164"/>
      <x:c r="FT204" s="172" t="str">
        <x:f>IF(FG204="","",IFERROR(FL204*(FK204/FJ204-1),0))</x:f>
      </x:c>
    </x:row>
    <x:row r="205" ht="18" customHeight="1">
      <x:c r="A205" s="163" t="n">
        <x:v>25505</x:v>
      </x:c>
      <x:c r="B205" s="163" t="n">
        <x:v>25506</x:v>
      </x:c>
      <x:c r="C205" s="170" t="n">
        <x:f>B205-A205</x:f>
        <x:v>1</x:v>
      </x:c>
      <x:c r="D205" s="163" t="n">
        <x:v>25505</x:v>
      </x:c>
      <x:c r="E205" s="147" t="str">
        <x:v>neutral</x:v>
      </x:c>
      <x:c r="F205" s="165" t="n">
        <x:v>1.916379490981438</x:v>
      </x:c>
      <x:c r="G205" s="168" t="n">
        <x:v>0.016343361655395804</x:v>
      </x:c>
      <x:c r="H205" s="172" t="n">
        <x:f>SUM(AX205,BL205,BZ205,CN205,DB205,DP205,ED205,ER205,FF205,FT205)</x:f>
        <x:v>0.016343361655395804</x:v>
      </x:c>
      <x:c r="I205" s="174" t="n">
        <x:f>G205-H205</x:f>
        <x:v>0</x:v>
      </x:c>
      <x:c r="J205" s="171" t="n">
        <x:f>F205*(1+H205)</x:f>
        <x:v>1.947699574071531</x:v>
      </x:c>
      <x:c r="K205" s="169" t="n">
        <x:v>1.947699574071531</x:v>
      </x:c>
      <x:c r="L205" s="175" t="n">
        <x:f>K205-J205</x:f>
        <x:v>0</x:v>
      </x:c>
      <x:c r="M205" s="167" t="n">
        <x:v>1.896</x:v>
      </x:c>
      <x:c r="N205" s="167" t="n">
        <x:v>1.927</x:v>
      </x:c>
      <x:c r="O205" s="172" t="n">
        <x:f>IFERROR(N205/M205-1,0)</x:f>
        <x:v>0.016350210970464296</x:v>
      </x:c>
      <x:c r="P205" s="171" t="n">
        <x:f>IFERROR(AD205/AH205,0)</x:f>
        <x:v>1.9790459089354724</x:v>
      </x:c>
      <x:c r="Q205" s="171" t="n">
        <x:f>IFERROR(AE205/AI205,0)</x:f>
        <x:v>1.9790325718900144</x:v>
      </x:c>
      <x:c r="R205" s="172" t="n">
        <x:f>IFERROR((Q205-P205)/(P205+S205),0)</x:f>
        <x:v>-0.0000067391288892344965</x:v>
      </x:c>
      <x:c r="S205" s="172" t="n">
        <x:f>IFERROR(AF205/AH205,0)</x:f>
        <x:v>0</x:v>
      </x:c>
      <x:c r="T205" s="172" t="n">
        <x:f>IFERROR(AG205/AI205,0)</x:f>
        <x:v>0</x:v>
      </x:c>
      <x:c r="U205" s="172" t="n">
        <x:f>IFERROR((T205-S205)/(P205+S205),0)</x:f>
        <x:v>0</x:v>
      </x:c>
      <x:c r="V205" s="172" t="n">
        <x:f>R205+U205</x:f>
        <x:v>-0.0000067391288892344965</x:v>
      </x:c>
      <x:c r="W205" s="172" t="n">
        <x:f>(1+O205)*(1+V205)-1</x:f>
        <x:v>0.01634336165539585</x:v>
      </x:c>
      <x:c r="X205" s="174" t="n">
        <x:f>G205-W205</x:f>
        <x:v>-4.5102810375396984e-17</x:v>
      </x:c>
      <x:c r="Y205" s="172" t="n">
        <x:f>AX205</x:f>
        <x:v>0.016343361655395804</x:v>
      </x:c>
      <x:c r="Z205" s="172" t="n">
        <x:f>BL205</x:f>
        <x:v>0</x:v>
      </x:c>
      <x:c r="AA205" s="172" t="n">
        <x:f>SUM(BZ205,CN205,DB205,DP205,ED205,ER205,FF205,FT205)</x:f>
        <x:v>0</x:v>
      </x:c>
      <x:c r="AB205" s="172" t="n">
        <x:f>SUM(Y205:AA205)</x:f>
        <x:v>0.016343361655395804</x:v>
      </x:c>
      <x:c r="AC205" s="174" t="n">
        <x:f>G205-AB205</x:f>
        <x:v>0</x:v>
      </x:c>
      <x:c r="AD205" s="169" t="n">
        <x:v>1.916379490981438</x:v>
      </x:c>
      <x:c r="AE205" s="169" t="n">
        <x:v>1.947699574071531</x:v>
      </x:c>
      <x:c r="AF205" s="169" t="n">
        <x:v>0</x:v>
      </x:c>
      <x:c r="AG205" s="169" t="n">
        <x:v>0</x:v>
      </x:c>
      <x:c r="AH205" s="171" t="n">
        <x:f>M205/$M$3</x:f>
        <x:v>0.9683350357507661</x:v>
      </x:c>
      <x:c r="AI205" s="171" t="n">
        <x:f>N205/$M$3</x:f>
        <x:v>0.984167517875383</x:v>
      </x:c>
      <x:c r="AJ205" s="170" t="n">
        <x:f>IF(AK205&lt;&gt;"",1,0)+IF(AY205&lt;&gt;"",1,0)+IF(BM205&lt;&gt;"",1,0)+IF(CA205&lt;&gt;"",1,0)+IF(CO205&lt;&gt;"",1,0)+IF(DC205&lt;&gt;"",1,0)+IF(DQ205&lt;&gt;"",1,0)+IF(EE205&lt;&gt;"",1,0)+IF(ES205&lt;&gt;"",1,0)+IF(FG205&lt;&gt;"",1,0)</x:f>
        <x:v>1</x:v>
      </x:c>
      <x:c r="AK205" s="147" t="str">
        <x:v>Silver replicating holding (LBMA/SLV proxy)</x:v>
      </x:c>
      <x:c r="AL205" s="147" t="str">
        <x:v>Physical-backed proxy</x:v>
      </x:c>
      <x:c r="AM205" s="147" t="str">
        <x:v>Long</x:v>
      </x:c>
      <x:c r="AN205" s="167" t="n">
        <x:v>1.896</x:v>
      </x:c>
      <x:c r="AO205" s="167" t="n">
        <x:v>1.927</x:v>
      </x:c>
      <x:c r="AP205" s="166" t="n">
        <x:v>1</x:v>
      </x:c>
      <x:c r="AQ205" s="171" t="n">
        <x:f>IF(AK205="","",IFERROR(F205*AP205/AN205,0))</x:f>
        <x:v>1.0107486766779736</x:v>
      </x:c>
      <x:c r="AR205" s="171" t="n">
        <x:f>IF(AK205="","",F205*ABS(AP205))</x:f>
        <x:v>1.916379490981438</x:v>
      </x:c>
      <x:c r="AS205" s="165"/>
      <x:c r="AT205" s="172" t="str">
        <x:f>IF(AK205="","",IF(AS205="","",IFERROR(AN205/AS205-1,0)))</x:f>
      </x:c>
      <x:c r="AU205" s="166"/>
      <x:c r="AV205" s="172" t="str">
        <x:f>IF(AK205="","",IF(AU205="","",AU205-AT205*365/AW205))</x:f>
      </x:c>
      <x:c r="AW205" s="164"/>
      <x:c r="AX205" s="173" t="n">
        <x:f>IF(AK205="","",IFERROR(AP205*(AO205/AN205-1-'Parameters'!$C$6*C205/365),0))</x:f>
        <x:v>0.016343361655395804</x:v>
      </x:c>
      <x:c r="AY205" s="147"/>
      <x:c r="AZ205" s="147"/>
      <x:c r="BA205" s="147"/>
      <x:c r="BB205" s="167"/>
      <x:c r="BC205" s="167"/>
      <x:c r="BD205" s="166"/>
      <x:c r="BE205" s="171" t="str">
        <x:f>IF(AY205="","",IFERROR(F205*BD205/BB205,0))</x:f>
      </x:c>
      <x:c r="BF205" s="171" t="str">
        <x:f>IF(AY205="","",F205*ABS(BD205))</x:f>
      </x:c>
      <x:c r="BG205" s="165"/>
      <x:c r="BH205" s="172" t="str">
        <x:f>IF(AY205="","",IF(BG205="","",IFERROR(BB205/BG205-1,0)))</x:f>
      </x:c>
      <x:c r="BI205" s="166"/>
      <x:c r="BJ205" s="172" t="str">
        <x:f>IF(AY205="","",IF(BI205="","",BI205-BH205*365/BK205))</x:f>
      </x:c>
      <x:c r="BK205" s="164"/>
      <x:c r="BL205" s="172" t="str">
        <x:f>IF(AY205="","",IFERROR(BD205*(BC205/BB205-1),0))</x:f>
      </x:c>
      <x:c r="BM205" s="147"/>
      <x:c r="BN205" s="147"/>
      <x:c r="BO205" s="147"/>
      <x:c r="BP205" s="167"/>
      <x:c r="BQ205" s="167"/>
      <x:c r="BR205" s="166"/>
      <x:c r="BS205" s="171" t="str">
        <x:f>IF(BM205="","",IFERROR(F205*BR205/BP205,0))</x:f>
      </x:c>
      <x:c r="BT205" s="171" t="str">
        <x:f>IF(BM205="","",F205*ABS(BR205))</x:f>
      </x:c>
      <x:c r="BU205" s="165"/>
      <x:c r="BV205" s="172" t="str">
        <x:f>IF(BM205="","",IF(BU205="","",IFERROR(BP205/BU205-1,0)))</x:f>
      </x:c>
      <x:c r="BW205" s="166"/>
      <x:c r="BX205" s="172" t="str">
        <x:f>IF(BM205="","",IF(BW205="","",BW205-BV205*365/BY205))</x:f>
      </x:c>
      <x:c r="BY205" s="164"/>
      <x:c r="BZ205" s="172" t="str">
        <x:f>IF(BM205="","",IFERROR(BR205*(BQ205/BP205-1),0))</x:f>
      </x:c>
      <x:c r="CA205" s="147"/>
      <x:c r="CB205" s="147"/>
      <x:c r="CC205" s="147"/>
      <x:c r="CD205" s="167"/>
      <x:c r="CE205" s="167"/>
      <x:c r="CF205" s="166"/>
      <x:c r="CG205" s="171" t="str">
        <x:f>IF(CA205="","",IFERROR(F205*CF205/CD205,0))</x:f>
      </x:c>
      <x:c r="CH205" s="171" t="str">
        <x:f>IF(CA205="","",F205*ABS(CF205))</x:f>
      </x:c>
      <x:c r="CI205" s="165"/>
      <x:c r="CJ205" s="172" t="str">
        <x:f>IF(CA205="","",IF(CI205="","",IFERROR(CD205/CI205-1,0)))</x:f>
      </x:c>
      <x:c r="CK205" s="166"/>
      <x:c r="CL205" s="172" t="str">
        <x:f>IF(CA205="","",IF(CK205="","",CK205-CJ205*365/CM205))</x:f>
      </x:c>
      <x:c r="CM205" s="164"/>
      <x:c r="CN205" s="172" t="str">
        <x:f>IF(CA205="","",IFERROR(CF205*(CE205/CD205-1),0))</x:f>
      </x:c>
      <x:c r="CO205" s="147"/>
      <x:c r="CP205" s="147"/>
      <x:c r="CQ205" s="147"/>
      <x:c r="CR205" s="167"/>
      <x:c r="CS205" s="167"/>
      <x:c r="CT205" s="166"/>
      <x:c r="CU205" s="171" t="str">
        <x:f>IF(CO205="","",IFERROR(F205*CT205/CR205,0))</x:f>
      </x:c>
      <x:c r="CV205" s="171" t="str">
        <x:f>IF(CO205="","",F205*ABS(CT205))</x:f>
      </x:c>
      <x:c r="CW205" s="165"/>
      <x:c r="CX205" s="172" t="str">
        <x:f>IF(CO205="","",IF(CW205="","",IFERROR(CR205/CW205-1,0)))</x:f>
      </x:c>
      <x:c r="CY205" s="166"/>
      <x:c r="CZ205" s="172" t="str">
        <x:f>IF(CO205="","",IF(CY205="","",CY205-CX205*365/DA205))</x:f>
      </x:c>
      <x:c r="DA205" s="164"/>
      <x:c r="DB205" s="172" t="str">
        <x:f>IF(CO205="","",IFERROR(CT205*(CS205/CR205-1),0))</x:f>
      </x:c>
      <x:c r="DC205" s="147"/>
      <x:c r="DD205" s="147"/>
      <x:c r="DE205" s="147"/>
      <x:c r="DF205" s="167"/>
      <x:c r="DG205" s="167"/>
      <x:c r="DH205" s="166"/>
      <x:c r="DI205" s="171" t="str">
        <x:f>IF(DC205="","",IFERROR(F205*DH205/DF205,0))</x:f>
      </x:c>
      <x:c r="DJ205" s="171" t="str">
        <x:f>IF(DC205="","",F205*ABS(DH205))</x:f>
      </x:c>
      <x:c r="DK205" s="165"/>
      <x:c r="DL205" s="172" t="str">
        <x:f>IF(DC205="","",IF(DK205="","",IFERROR(DF205/DK205-1,0)))</x:f>
      </x:c>
      <x:c r="DM205" s="166"/>
      <x:c r="DN205" s="172" t="str">
        <x:f>IF(DC205="","",IF(DM205="","",DM205-DL205*365/DO205))</x:f>
      </x:c>
      <x:c r="DO205" s="164"/>
      <x:c r="DP205" s="172" t="str">
        <x:f>IF(DC205="","",IFERROR(DH205*(DG205/DF205-1),0))</x:f>
      </x:c>
      <x:c r="DQ205" s="147"/>
      <x:c r="DR205" s="147"/>
      <x:c r="DS205" s="147"/>
      <x:c r="DT205" s="167"/>
      <x:c r="DU205" s="167"/>
      <x:c r="DV205" s="166"/>
      <x:c r="DW205" s="171" t="str">
        <x:f>IF(DQ205="","",IFERROR(F205*DV205/DT205,0))</x:f>
      </x:c>
      <x:c r="DX205" s="171" t="str">
        <x:f>IF(DQ205="","",F205*ABS(DV205))</x:f>
      </x:c>
      <x:c r="DY205" s="165"/>
      <x:c r="DZ205" s="172" t="str">
        <x:f>IF(DQ205="","",IF(DY205="","",IFERROR(DT205/DY205-1,0)))</x:f>
      </x:c>
      <x:c r="EA205" s="166"/>
      <x:c r="EB205" s="172" t="str">
        <x:f>IF(DQ205="","",IF(EA205="","",EA205-DZ205*365/EC205))</x:f>
      </x:c>
      <x:c r="EC205" s="164"/>
      <x:c r="ED205" s="172" t="str">
        <x:f>IF(DQ205="","",IFERROR(DV205*(DU205/DT205-1),0))</x:f>
      </x:c>
      <x:c r="EE205" s="147"/>
      <x:c r="EF205" s="147"/>
      <x:c r="EG205" s="147"/>
      <x:c r="EH205" s="167"/>
      <x:c r="EI205" s="167"/>
      <x:c r="EJ205" s="166"/>
      <x:c r="EK205" s="171" t="str">
        <x:f>IF(EE205="","",IFERROR(F205*EJ205/EH205,0))</x:f>
      </x:c>
      <x:c r="EL205" s="171" t="str">
        <x:f>IF(EE205="","",F205*ABS(EJ205))</x:f>
      </x:c>
      <x:c r="EM205" s="165"/>
      <x:c r="EN205" s="172" t="str">
        <x:f>IF(EE205="","",IF(EM205="","",IFERROR(EH205/EM205-1,0)))</x:f>
      </x:c>
      <x:c r="EO205" s="166"/>
      <x:c r="EP205" s="172" t="str">
        <x:f>IF(EE205="","",IF(EO205="","",EO205-EN205*365/EQ205))</x:f>
      </x:c>
      <x:c r="EQ205" s="164"/>
      <x:c r="ER205" s="172" t="str">
        <x:f>IF(EE205="","",IFERROR(EJ205*(EI205/EH205-1),0))</x:f>
      </x:c>
      <x:c r="ES205" s="147"/>
      <x:c r="ET205" s="147"/>
      <x:c r="EU205" s="147"/>
      <x:c r="EV205" s="167"/>
      <x:c r="EW205" s="167"/>
      <x:c r="EX205" s="166"/>
      <x:c r="EY205" s="171" t="str">
        <x:f>IF(ES205="","",IFERROR(F205*EX205/EV205,0))</x:f>
      </x:c>
      <x:c r="EZ205" s="171" t="str">
        <x:f>IF(ES205="","",F205*ABS(EX205))</x:f>
      </x:c>
      <x:c r="FA205" s="165"/>
      <x:c r="FB205" s="172" t="str">
        <x:f>IF(ES205="","",IF(FA205="","",IFERROR(EV205/FA205-1,0)))</x:f>
      </x:c>
      <x:c r="FC205" s="166"/>
      <x:c r="FD205" s="172" t="str">
        <x:f>IF(ES205="","",IF(FC205="","",FC205-FB205*365/FE205))</x:f>
      </x:c>
      <x:c r="FE205" s="164"/>
      <x:c r="FF205" s="172" t="str">
        <x:f>IF(ES205="","",IFERROR(EX205*(EW205/EV205-1),0))</x:f>
      </x:c>
      <x:c r="FG205" s="147"/>
      <x:c r="FH205" s="147"/>
      <x:c r="FI205" s="147"/>
      <x:c r="FJ205" s="167"/>
      <x:c r="FK205" s="167"/>
      <x:c r="FL205" s="166"/>
      <x:c r="FM205" s="171" t="str">
        <x:f>IF(FG205="","",IFERROR(F205*FL205/FJ205,0))</x:f>
      </x:c>
      <x:c r="FN205" s="171" t="str">
        <x:f>IF(FG205="","",F205*ABS(FL205))</x:f>
      </x:c>
      <x:c r="FO205" s="165"/>
      <x:c r="FP205" s="172" t="str">
        <x:f>IF(FG205="","",IF(FO205="","",IFERROR(FJ205/FO205-1,0)))</x:f>
      </x:c>
      <x:c r="FQ205" s="166"/>
      <x:c r="FR205" s="172" t="str">
        <x:f>IF(FG205="","",IF(FQ205="","",FQ205-FP205*365/FS205))</x:f>
      </x:c>
      <x:c r="FS205" s="164"/>
      <x:c r="FT205" s="172" t="str">
        <x:f>IF(FG205="","",IFERROR(FL205*(FK205/FJ205-1),0))</x:f>
      </x:c>
    </x:row>
    <x:row r="206" ht="18" customHeight="1">
      <x:c r="A206" s="163" t="n">
        <x:v>25506</x:v>
      </x:c>
      <x:c r="B206" s="163" t="n">
        <x:v>25507</x:v>
      </x:c>
      <x:c r="C206" s="170" t="n">
        <x:f>B206-A206</x:f>
        <x:v>1</x:v>
      </x:c>
      <x:c r="D206" s="163" t="n">
        <x:v>25506</x:v>
      </x:c>
      <x:c r="E206" s="147" t="str">
        <x:v>neutral</x:v>
      </x:c>
      <x:c r="F206" s="165" t="n">
        <x:v>1.947699574071531</x:v>
      </x:c>
      <x:c r="G206" s="168" t="n">
        <x:v>0.010371977877458869</x:v>
      </x:c>
      <x:c r="H206" s="172" t="n">
        <x:f>SUM(AX206,BL206,BZ206,CN206,DB206,DP206,ED206,ER206,FF206,FT206)</x:f>
        <x:v>0.010371977877458869</x:v>
      </x:c>
      <x:c r="I206" s="174" t="n">
        <x:f>G206-H206</x:f>
        <x:v>0</x:v>
      </x:c>
      <x:c r="J206" s="171" t="n">
        <x:f>F206*(1+H206)</x:f>
        <x:v>1.9679010709657372</x:v>
      </x:c>
      <x:c r="K206" s="169" t="n">
        <x:v>1.9679010709657372</x:v>
      </x:c>
      <x:c r="L206" s="175" t="n">
        <x:f>K206-J206</x:f>
        <x:v>0</x:v>
      </x:c>
      <x:c r="M206" s="167" t="n">
        <x:v>1.927</x:v>
      </x:c>
      <x:c r="N206" s="167" t="n">
        <x:v>1.947</x:v>
      </x:c>
      <x:c r="O206" s="172" t="n">
        <x:f>IFERROR(N206/M206-1,0)</x:f>
        <x:v>0.010378827192527362</x:v>
      </x:c>
      <x:c r="P206" s="171" t="n">
        <x:f>IFERROR(AD206/AH206,0)</x:f>
        <x:v>1.9790325718900144</x:v>
      </x:c>
      <x:c r="Q206" s="171" t="n">
        <x:f>IFERROR(AE206/AI206,0)</x:f>
        <x:v>1.979019156112436</x:v>
      </x:c>
      <x:c r="R206" s="172" t="n">
        <x:f>IFERROR((Q206-P206)/(P206+S206),0)</x:f>
        <x:v>-0.000006778957440601822</x:v>
      </x:c>
      <x:c r="S206" s="172" t="n">
        <x:f>IFERROR(AF206/AH206,0)</x:f>
        <x:v>0</x:v>
      </x:c>
      <x:c r="T206" s="172" t="n">
        <x:f>IFERROR(AG206/AI206,0)</x:f>
        <x:v>0</x:v>
      </x:c>
      <x:c r="U206" s="172" t="n">
        <x:f>IFERROR((T206-S206)/(P206+S206),0)</x:f>
        <x:v>0</x:v>
      </x:c>
      <x:c r="V206" s="172" t="n">
        <x:f>R206+U206</x:f>
        <x:v>-0.000006778957440601822</x:v>
      </x:c>
      <x:c r="W206" s="172" t="n">
        <x:f>(1+O206)*(1+V206)-1</x:f>
        <x:v>0.010371977877458916</x:v>
      </x:c>
      <x:c r="X206" s="174" t="n">
        <x:f>G206-W206</x:f>
        <x:v>-4.683753385137379e-17</x:v>
      </x:c>
      <x:c r="Y206" s="172" t="n">
        <x:f>AX206</x:f>
        <x:v>0.010371977877458869</x:v>
      </x:c>
      <x:c r="Z206" s="172" t="n">
        <x:f>BL206</x:f>
        <x:v>0</x:v>
      </x:c>
      <x:c r="AA206" s="172" t="n">
        <x:f>SUM(BZ206,CN206,DB206,DP206,ED206,ER206,FF206,FT206)</x:f>
        <x:v>0</x:v>
      </x:c>
      <x:c r="AB206" s="172" t="n">
        <x:f>SUM(Y206:AA206)</x:f>
        <x:v>0.010371977877458869</x:v>
      </x:c>
      <x:c r="AC206" s="174" t="n">
        <x:f>G206-AB206</x:f>
        <x:v>0</x:v>
      </x:c>
      <x:c r="AD206" s="169" t="n">
        <x:v>1.947699574071531</x:v>
      </x:c>
      <x:c r="AE206" s="169" t="n">
        <x:v>1.967901070965737</x:v>
      </x:c>
      <x:c r="AF206" s="169" t="n">
        <x:v>0</x:v>
      </x:c>
      <x:c r="AG206" s="169" t="n">
        <x:v>0</x:v>
      </x:c>
      <x:c r="AH206" s="171" t="n">
        <x:f>M206/$M$3</x:f>
        <x:v>0.984167517875383</x:v>
      </x:c>
      <x:c r="AI206" s="171" t="n">
        <x:f>N206/$M$3</x:f>
        <x:v>0.9943820224719102</x:v>
      </x:c>
      <x:c r="AJ206" s="170" t="n">
        <x:f>IF(AK206&lt;&gt;"",1,0)+IF(AY206&lt;&gt;"",1,0)+IF(BM206&lt;&gt;"",1,0)+IF(CA206&lt;&gt;"",1,0)+IF(CO206&lt;&gt;"",1,0)+IF(DC206&lt;&gt;"",1,0)+IF(DQ206&lt;&gt;"",1,0)+IF(EE206&lt;&gt;"",1,0)+IF(ES206&lt;&gt;"",1,0)+IF(FG206&lt;&gt;"",1,0)</x:f>
        <x:v>1</x:v>
      </x:c>
      <x:c r="AK206" s="147" t="str">
        <x:v>Silver replicating holding (LBMA/SLV proxy)</x:v>
      </x:c>
      <x:c r="AL206" s="147" t="str">
        <x:v>Physical-backed proxy</x:v>
      </x:c>
      <x:c r="AM206" s="147" t="str">
        <x:v>Long</x:v>
      </x:c>
      <x:c r="AN206" s="167" t="n">
        <x:v>1.927</x:v>
      </x:c>
      <x:c r="AO206" s="167" t="n">
        <x:v>1.947</x:v>
      </x:c>
      <x:c r="AP206" s="166" t="n">
        <x:v>1</x:v>
      </x:c>
      <x:c r="AQ206" s="171" t="n">
        <x:f>IF(AK206="","",IFERROR(F206*AP206/AN206,0))</x:f>
        <x:v>1.010741865112367</x:v>
      </x:c>
      <x:c r="AR206" s="171" t="n">
        <x:f>IF(AK206="","",F206*ABS(AP206))</x:f>
        <x:v>1.947699574071531</x:v>
      </x:c>
      <x:c r="AS206" s="165"/>
      <x:c r="AT206" s="172" t="str">
        <x:f>IF(AK206="","",IF(AS206="","",IFERROR(AN206/AS206-1,0)))</x:f>
      </x:c>
      <x:c r="AU206" s="166"/>
      <x:c r="AV206" s="172" t="str">
        <x:f>IF(AK206="","",IF(AU206="","",AU206-AT206*365/AW206))</x:f>
      </x:c>
      <x:c r="AW206" s="164"/>
      <x:c r="AX206" s="173" t="n">
        <x:f>IF(AK206="","",IFERROR(AP206*(AO206/AN206-1-'Parameters'!$C$6*C206/365),0))</x:f>
        <x:v>0.010371977877458869</x:v>
      </x:c>
      <x:c r="AY206" s="147"/>
      <x:c r="AZ206" s="147"/>
      <x:c r="BA206" s="147"/>
      <x:c r="BB206" s="167"/>
      <x:c r="BC206" s="167"/>
      <x:c r="BD206" s="166"/>
      <x:c r="BE206" s="171" t="str">
        <x:f>IF(AY206="","",IFERROR(F206*BD206/BB206,0))</x:f>
      </x:c>
      <x:c r="BF206" s="171" t="str">
        <x:f>IF(AY206="","",F206*ABS(BD206))</x:f>
      </x:c>
      <x:c r="BG206" s="165"/>
      <x:c r="BH206" s="172" t="str">
        <x:f>IF(AY206="","",IF(BG206="","",IFERROR(BB206/BG206-1,0)))</x:f>
      </x:c>
      <x:c r="BI206" s="166"/>
      <x:c r="BJ206" s="172" t="str">
        <x:f>IF(AY206="","",IF(BI206="","",BI206-BH206*365/BK206))</x:f>
      </x:c>
      <x:c r="BK206" s="164"/>
      <x:c r="BL206" s="172" t="str">
        <x:f>IF(AY206="","",IFERROR(BD206*(BC206/BB206-1),0))</x:f>
      </x:c>
      <x:c r="BM206" s="147"/>
      <x:c r="BN206" s="147"/>
      <x:c r="BO206" s="147"/>
      <x:c r="BP206" s="167"/>
      <x:c r="BQ206" s="167"/>
      <x:c r="BR206" s="166"/>
      <x:c r="BS206" s="171" t="str">
        <x:f>IF(BM206="","",IFERROR(F206*BR206/BP206,0))</x:f>
      </x:c>
      <x:c r="BT206" s="171" t="str">
        <x:f>IF(BM206="","",F206*ABS(BR206))</x:f>
      </x:c>
      <x:c r="BU206" s="165"/>
      <x:c r="BV206" s="172" t="str">
        <x:f>IF(BM206="","",IF(BU206="","",IFERROR(BP206/BU206-1,0)))</x:f>
      </x:c>
      <x:c r="BW206" s="166"/>
      <x:c r="BX206" s="172" t="str">
        <x:f>IF(BM206="","",IF(BW206="","",BW206-BV206*365/BY206))</x:f>
      </x:c>
      <x:c r="BY206" s="164"/>
      <x:c r="BZ206" s="172" t="str">
        <x:f>IF(BM206="","",IFERROR(BR206*(BQ206/BP206-1),0))</x:f>
      </x:c>
      <x:c r="CA206" s="147"/>
      <x:c r="CB206" s="147"/>
      <x:c r="CC206" s="147"/>
      <x:c r="CD206" s="167"/>
      <x:c r="CE206" s="167"/>
      <x:c r="CF206" s="166"/>
      <x:c r="CG206" s="171" t="str">
        <x:f>IF(CA206="","",IFERROR(F206*CF206/CD206,0))</x:f>
      </x:c>
      <x:c r="CH206" s="171" t="str">
        <x:f>IF(CA206="","",F206*ABS(CF206))</x:f>
      </x:c>
      <x:c r="CI206" s="165"/>
      <x:c r="CJ206" s="172" t="str">
        <x:f>IF(CA206="","",IF(CI206="","",IFERROR(CD206/CI206-1,0)))</x:f>
      </x:c>
      <x:c r="CK206" s="166"/>
      <x:c r="CL206" s="172" t="str">
        <x:f>IF(CA206="","",IF(CK206="","",CK206-CJ206*365/CM206))</x:f>
      </x:c>
      <x:c r="CM206" s="164"/>
      <x:c r="CN206" s="172" t="str">
        <x:f>IF(CA206="","",IFERROR(CF206*(CE206/CD206-1),0))</x:f>
      </x:c>
      <x:c r="CO206" s="147"/>
      <x:c r="CP206" s="147"/>
      <x:c r="CQ206" s="147"/>
      <x:c r="CR206" s="167"/>
      <x:c r="CS206" s="167"/>
      <x:c r="CT206" s="166"/>
      <x:c r="CU206" s="171" t="str">
        <x:f>IF(CO206="","",IFERROR(F206*CT206/CR206,0))</x:f>
      </x:c>
      <x:c r="CV206" s="171" t="str">
        <x:f>IF(CO206="","",F206*ABS(CT206))</x:f>
      </x:c>
      <x:c r="CW206" s="165"/>
      <x:c r="CX206" s="172" t="str">
        <x:f>IF(CO206="","",IF(CW206="","",IFERROR(CR206/CW206-1,0)))</x:f>
      </x:c>
      <x:c r="CY206" s="166"/>
      <x:c r="CZ206" s="172" t="str">
        <x:f>IF(CO206="","",IF(CY206="","",CY206-CX206*365/DA206))</x:f>
      </x:c>
      <x:c r="DA206" s="164"/>
      <x:c r="DB206" s="172" t="str">
        <x:f>IF(CO206="","",IFERROR(CT206*(CS206/CR206-1),0))</x:f>
      </x:c>
      <x:c r="DC206" s="147"/>
      <x:c r="DD206" s="147"/>
      <x:c r="DE206" s="147"/>
      <x:c r="DF206" s="167"/>
      <x:c r="DG206" s="167"/>
      <x:c r="DH206" s="166"/>
      <x:c r="DI206" s="171" t="str">
        <x:f>IF(DC206="","",IFERROR(F206*DH206/DF206,0))</x:f>
      </x:c>
      <x:c r="DJ206" s="171" t="str">
        <x:f>IF(DC206="","",F206*ABS(DH206))</x:f>
      </x:c>
      <x:c r="DK206" s="165"/>
      <x:c r="DL206" s="172" t="str">
        <x:f>IF(DC206="","",IF(DK206="","",IFERROR(DF206/DK206-1,0)))</x:f>
      </x:c>
      <x:c r="DM206" s="166"/>
      <x:c r="DN206" s="172" t="str">
        <x:f>IF(DC206="","",IF(DM206="","",DM206-DL206*365/DO206))</x:f>
      </x:c>
      <x:c r="DO206" s="164"/>
      <x:c r="DP206" s="172" t="str">
        <x:f>IF(DC206="","",IFERROR(DH206*(DG206/DF206-1),0))</x:f>
      </x:c>
      <x:c r="DQ206" s="147"/>
      <x:c r="DR206" s="147"/>
      <x:c r="DS206" s="147"/>
      <x:c r="DT206" s="167"/>
      <x:c r="DU206" s="167"/>
      <x:c r="DV206" s="166"/>
      <x:c r="DW206" s="171" t="str">
        <x:f>IF(DQ206="","",IFERROR(F206*DV206/DT206,0))</x:f>
      </x:c>
      <x:c r="DX206" s="171" t="str">
        <x:f>IF(DQ206="","",F206*ABS(DV206))</x:f>
      </x:c>
      <x:c r="DY206" s="165"/>
      <x:c r="DZ206" s="172" t="str">
        <x:f>IF(DQ206="","",IF(DY206="","",IFERROR(DT206/DY206-1,0)))</x:f>
      </x:c>
      <x:c r="EA206" s="166"/>
      <x:c r="EB206" s="172" t="str">
        <x:f>IF(DQ206="","",IF(EA206="","",EA206-DZ206*365/EC206))</x:f>
      </x:c>
      <x:c r="EC206" s="164"/>
      <x:c r="ED206" s="172" t="str">
        <x:f>IF(DQ206="","",IFERROR(DV206*(DU206/DT206-1),0))</x:f>
      </x:c>
      <x:c r="EE206" s="147"/>
      <x:c r="EF206" s="147"/>
      <x:c r="EG206" s="147"/>
      <x:c r="EH206" s="167"/>
      <x:c r="EI206" s="167"/>
      <x:c r="EJ206" s="166"/>
      <x:c r="EK206" s="171" t="str">
        <x:f>IF(EE206="","",IFERROR(F206*EJ206/EH206,0))</x:f>
      </x:c>
      <x:c r="EL206" s="171" t="str">
        <x:f>IF(EE206="","",F206*ABS(EJ206))</x:f>
      </x:c>
      <x:c r="EM206" s="165"/>
      <x:c r="EN206" s="172" t="str">
        <x:f>IF(EE206="","",IF(EM206="","",IFERROR(EH206/EM206-1,0)))</x:f>
      </x:c>
      <x:c r="EO206" s="166"/>
      <x:c r="EP206" s="172" t="str">
        <x:f>IF(EE206="","",IF(EO206="","",EO206-EN206*365/EQ206))</x:f>
      </x:c>
      <x:c r="EQ206" s="164"/>
      <x:c r="ER206" s="172" t="str">
        <x:f>IF(EE206="","",IFERROR(EJ206*(EI206/EH206-1),0))</x:f>
      </x:c>
      <x:c r="ES206" s="147"/>
      <x:c r="ET206" s="147"/>
      <x:c r="EU206" s="147"/>
      <x:c r="EV206" s="167"/>
      <x:c r="EW206" s="167"/>
      <x:c r="EX206" s="166"/>
      <x:c r="EY206" s="171" t="str">
        <x:f>IF(ES206="","",IFERROR(F206*EX206/EV206,0))</x:f>
      </x:c>
      <x:c r="EZ206" s="171" t="str">
        <x:f>IF(ES206="","",F206*ABS(EX206))</x:f>
      </x:c>
      <x:c r="FA206" s="165"/>
      <x:c r="FB206" s="172" t="str">
        <x:f>IF(ES206="","",IF(FA206="","",IFERROR(EV206/FA206-1,0)))</x:f>
      </x:c>
      <x:c r="FC206" s="166"/>
      <x:c r="FD206" s="172" t="str">
        <x:f>IF(ES206="","",IF(FC206="","",FC206-FB206*365/FE206))</x:f>
      </x:c>
      <x:c r="FE206" s="164"/>
      <x:c r="FF206" s="172" t="str">
        <x:f>IF(ES206="","",IFERROR(EX206*(EW206/EV206-1),0))</x:f>
      </x:c>
      <x:c r="FG206" s="147"/>
      <x:c r="FH206" s="147"/>
      <x:c r="FI206" s="147"/>
      <x:c r="FJ206" s="167"/>
      <x:c r="FK206" s="167"/>
      <x:c r="FL206" s="166"/>
      <x:c r="FM206" s="171" t="str">
        <x:f>IF(FG206="","",IFERROR(F206*FL206/FJ206,0))</x:f>
      </x:c>
      <x:c r="FN206" s="171" t="str">
        <x:f>IF(FG206="","",F206*ABS(FL206))</x:f>
      </x:c>
      <x:c r="FO206" s="165"/>
      <x:c r="FP206" s="172" t="str">
        <x:f>IF(FG206="","",IF(FO206="","",IFERROR(FJ206/FO206-1,0)))</x:f>
      </x:c>
      <x:c r="FQ206" s="166"/>
      <x:c r="FR206" s="172" t="str">
        <x:f>IF(FG206="","",IF(FQ206="","",FQ206-FP206*365/FS206))</x:f>
      </x:c>
      <x:c r="FS206" s="164"/>
      <x:c r="FT206" s="172" t="str">
        <x:f>IF(FG206="","",IFERROR(FL206*(FK206/FJ206-1),0))</x:f>
      </x:c>
    </x:row>
    <x:row r="207" ht="18" customHeight="1">
      <x:c r="A207" s="163" t="n">
        <x:v>25507</x:v>
      </x:c>
      <x:c r="B207" s="163" t="n">
        <x:v>25510</x:v>
      </x:c>
      <x:c r="C207" s="170" t="n">
        <x:f>B207-A207</x:f>
        <x:v>3</x:v>
      </x:c>
      <x:c r="D207" s="163" t="n">
        <x:v>25507</x:v>
      </x:c>
      <x:c r="E207" s="147" t="str">
        <x:v>neutral</x:v>
      </x:c>
      <x:c r="F207" s="165" t="n">
        <x:v>1.9679010709657372</x:v>
      </x:c>
      <x:c r="G207" s="168" t="n">
        <x:v>0.02514637552680274</x:v>
      </x:c>
      <x:c r="H207" s="172" t="n">
        <x:f>SUM(AX207,BL207,BZ207,CN207,DB207,DP207,ED207,ER207,FF207,FT207)</x:f>
        <x:v>0.02514637552680274</x:v>
      </x:c>
      <x:c r="I207" s="174" t="n">
        <x:f>G207-H207</x:f>
        <x:v>0</x:v>
      </x:c>
      <x:c r="J207" s="171" t="n">
        <x:f>F207*(1+H207)</x:f>
        <x:v>2.0173866502958386</x:v>
      </x:c>
      <x:c r="K207" s="169" t="n">
        <x:v>2.0173866502958386</x:v>
      </x:c>
      <x:c r="L207" s="175" t="n">
        <x:f>K207-J207</x:f>
        <x:v>0</x:v>
      </x:c>
      <x:c r="M207" s="167" t="n">
        <x:v>1.947</x:v>
      </x:c>
      <x:c r="N207" s="167" t="n">
        <x:v>1.996</x:v>
      </x:c>
      <x:c r="O207" s="172" t="n">
        <x:f>IFERROR(N207/M207-1,0)</x:f>
        <x:v>0.025166923472008218</x:v>
      </x:c>
      <x:c r="P207" s="171" t="n">
        <x:f>IFERROR(AD207/AH207,0)</x:f>
        <x:v>1.979019156112436</x:v>
      </x:c>
      <x:c r="Q207" s="171" t="n">
        <x:f>IFERROR(AE207/AI207,0)</x:f>
        <x:v>1.9789794896188637</x:v>
      </x:c>
      <x:c r="R207" s="172" t="n">
        <x:f>IFERROR((Q207-P207)/(P207+S207),0)</x:f>
        <x:v>-0.000020043511680883795</x:v>
      </x:c>
      <x:c r="S207" s="172" t="n">
        <x:f>IFERROR(AF207/AH207,0)</x:f>
        <x:v>0</x:v>
      </x:c>
      <x:c r="T207" s="172" t="n">
        <x:f>IFERROR(AG207/AI207,0)</x:f>
        <x:v>0</x:v>
      </x:c>
      <x:c r="U207" s="172" t="n">
        <x:f>IFERROR((T207-S207)/(P207+S207),0)</x:f>
        <x:v>0</x:v>
      </x:c>
      <x:c r="V207" s="172" t="n">
        <x:f>R207+U207</x:f>
        <x:v>-0.000020043511680883795</x:v>
      </x:c>
      <x:c r="W207" s="172" t="n">
        <x:f>(1+O207)*(1+V207)-1</x:f>
        <x:v>0.025146375526802878</x:v>
      </x:c>
      <x:c r="X207" s="174" t="n">
        <x:f>G207-W207</x:f>
        <x:v>-1.3877787807814457e-16</x:v>
      </x:c>
      <x:c r="Y207" s="172" t="n">
        <x:f>AX207</x:f>
        <x:v>0.02514637552680274</x:v>
      </x:c>
      <x:c r="Z207" s="172" t="str">
        <x:f>BL207</x:f>
      </x:c>
      <x:c r="AA207" s="172" t="n">
        <x:f>SUM(BZ207,CN207,DB207,DP207,ED207,ER207,FF207,FT207)</x:f>
        <x:v>0</x:v>
      </x:c>
      <x:c r="AB207" s="172" t="n">
        <x:f>SUM(Y207:AA207)</x:f>
        <x:v>0.02514637552680274</x:v>
      </x:c>
      <x:c r="AC207" s="174" t="n">
        <x:f>G207-AB207</x:f>
        <x:v>0</x:v>
      </x:c>
      <x:c r="AD207" s="169" t="n">
        <x:v>1.967901070965737</x:v>
      </x:c>
      <x:c r="AE207" s="169" t="n">
        <x:v>2.0173866502958386</x:v>
      </x:c>
      <x:c r="AF207" s="169" t="n">
        <x:v>0</x:v>
      </x:c>
      <x:c r="AG207" s="169" t="n">
        <x:v>0</x:v>
      </x:c>
      <x:c r="AH207" s="171" t="n">
        <x:f>M207/$M$3</x:f>
        <x:v>0.9943820224719102</x:v>
      </x:c>
      <x:c r="AI207" s="171" t="n">
        <x:f>N207/$M$3</x:f>
        <x:v>1.0194075587334015</x:v>
      </x:c>
      <x:c r="AJ207" s="170" t="n">
        <x:f>IF(AK207&lt;&gt;"",1,0)+IF(AY207&lt;&gt;"",1,0)+IF(BM207&lt;&gt;"",1,0)+IF(CA207&lt;&gt;"",1,0)+IF(CO207&lt;&gt;"",1,0)+IF(DC207&lt;&gt;"",1,0)+IF(DQ207&lt;&gt;"",1,0)+IF(EE207&lt;&gt;"",1,0)+IF(ES207&lt;&gt;"",1,0)+IF(FG207&lt;&gt;"",1,0)</x:f>
        <x:v>1</x:v>
      </x:c>
      <x:c r="AK207" s="147" t="str">
        <x:v>Silver replicating holding (LBMA/SLV proxy)</x:v>
      </x:c>
      <x:c r="AL207" s="147" t="str">
        <x:v>Physical-backed proxy</x:v>
      </x:c>
      <x:c r="AM207" s="147" t="str">
        <x:v>Long</x:v>
      </x:c>
      <x:c r="AN207" s="167" t="n">
        <x:v>1.947</x:v>
      </x:c>
      <x:c r="AO207" s="167" t="n">
        <x:v>1.996</x:v>
      </x:c>
      <x:c r="AP207" s="166" t="n">
        <x:v>1</x:v>
      </x:c>
      <x:c r="AQ207" s="171" t="n">
        <x:f>IF(AK207="","",IFERROR(F207*AP207/AN207,0))</x:f>
        <x:v>1.01073501333628</x:v>
      </x:c>
      <x:c r="AR207" s="171" t="n">
        <x:f>IF(AK207="","",F207*ABS(AP207))</x:f>
        <x:v>1.9679010709657372</x:v>
      </x:c>
      <x:c r="AS207" s="165"/>
      <x:c r="AT207" s="172" t="str">
        <x:f>IF(AK207="","",IF(AS207="","",IFERROR(AN207/AS207-1,0)))</x:f>
      </x:c>
      <x:c r="AU207" s="166"/>
      <x:c r="AV207" s="172" t="str">
        <x:f>IF(AK207="","",IF(AU207="","",AU207-AT207*365/AW207))</x:f>
      </x:c>
      <x:c r="AW207" s="164"/>
      <x:c r="AX207" s="173" t="n">
        <x:f>IF(AK207="","",IFERROR(AP207*(AO207/AN207-1-'Parameters'!$C$6*C207/365),0))</x:f>
        <x:v>0.02514637552680274</x:v>
      </x:c>
      <x:c r="AY207" s="147"/>
      <x:c r="AZ207" s="147"/>
      <x:c r="BA207" s="147"/>
      <x:c r="BB207" s="167"/>
      <x:c r="BC207" s="167"/>
      <x:c r="BD207" s="166"/>
      <x:c r="BE207" s="171" t="str">
        <x:f>IF(AY207="","",IFERROR(F207*BD207/BB207,0))</x:f>
      </x:c>
      <x:c r="BF207" s="171" t="str">
        <x:f>IF(AY207="","",F207*ABS(BD207))</x:f>
      </x:c>
      <x:c r="BG207" s="165"/>
      <x:c r="BH207" s="172" t="str">
        <x:f>IF(AY207="","",IF(BG207="","",IFERROR(BB207/BG207-1,0)))</x:f>
      </x:c>
      <x:c r="BI207" s="166"/>
      <x:c r="BJ207" s="172" t="str">
        <x:f>IF(AY207="","",IF(BI207="","",BI207-BH207*365/BK207))</x:f>
      </x:c>
      <x:c r="BK207" s="164"/>
      <x:c r="BL207" s="172" t="str">
        <x:f>IF(AY207="","",IFERROR(BD207*(BC207/BB207-1),0))</x:f>
      </x:c>
      <x:c r="BM207" s="147"/>
      <x:c r="BN207" s="147"/>
      <x:c r="BO207" s="147"/>
      <x:c r="BP207" s="167"/>
      <x:c r="BQ207" s="167"/>
      <x:c r="BR207" s="166"/>
      <x:c r="BS207" s="171" t="str">
        <x:f>IF(BM207="","",IFERROR(F207*BR207/BP207,0))</x:f>
      </x:c>
      <x:c r="BT207" s="171" t="str">
        <x:f>IF(BM207="","",F207*ABS(BR207))</x:f>
      </x:c>
      <x:c r="BU207" s="165"/>
      <x:c r="BV207" s="172" t="str">
        <x:f>IF(BM207="","",IF(BU207="","",IFERROR(BP207/BU207-1,0)))</x:f>
      </x:c>
      <x:c r="BW207" s="166"/>
      <x:c r="BX207" s="172" t="str">
        <x:f>IF(BM207="","",IF(BW207="","",BW207-BV207*365/BY207))</x:f>
      </x:c>
      <x:c r="BY207" s="164"/>
      <x:c r="BZ207" s="172" t="str">
        <x:f>IF(BM207="","",IFERROR(BR207*(BQ207/BP207-1),0))</x:f>
      </x:c>
      <x:c r="CA207" s="147"/>
      <x:c r="CB207" s="147"/>
      <x:c r="CC207" s="147"/>
      <x:c r="CD207" s="167"/>
      <x:c r="CE207" s="167"/>
      <x:c r="CF207" s="166"/>
      <x:c r="CG207" s="171" t="str">
        <x:f>IF(CA207="","",IFERROR(F207*CF207/CD207,0))</x:f>
      </x:c>
      <x:c r="CH207" s="171" t="str">
        <x:f>IF(CA207="","",F207*ABS(CF207))</x:f>
      </x:c>
      <x:c r="CI207" s="165"/>
      <x:c r="CJ207" s="172" t="str">
        <x:f>IF(CA207="","",IF(CI207="","",IFERROR(CD207/CI207-1,0)))</x:f>
      </x:c>
      <x:c r="CK207" s="166"/>
      <x:c r="CL207" s="172" t="str">
        <x:f>IF(CA207="","",IF(CK207="","",CK207-CJ207*365/CM207))</x:f>
      </x:c>
      <x:c r="CM207" s="164"/>
      <x:c r="CN207" s="172" t="str">
        <x:f>IF(CA207="","",IFERROR(CF207*(CE207/CD207-1),0))</x:f>
      </x:c>
      <x:c r="CO207" s="147"/>
      <x:c r="CP207" s="147"/>
      <x:c r="CQ207" s="147"/>
      <x:c r="CR207" s="167"/>
      <x:c r="CS207" s="167"/>
      <x:c r="CT207" s="166"/>
      <x:c r="CU207" s="171" t="str">
        <x:f>IF(CO207="","",IFERROR(F207*CT207/CR207,0))</x:f>
      </x:c>
      <x:c r="CV207" s="171" t="str">
        <x:f>IF(CO207="","",F207*ABS(CT207))</x:f>
      </x:c>
      <x:c r="CW207" s="165"/>
      <x:c r="CX207" s="172" t="str">
        <x:f>IF(CO207="","",IF(CW207="","",IFERROR(CR207/CW207-1,0)))</x:f>
      </x:c>
      <x:c r="CY207" s="166"/>
      <x:c r="CZ207" s="172" t="str">
        <x:f>IF(CO207="","",IF(CY207="","",CY207-CX207*365/DA207))</x:f>
      </x:c>
      <x:c r="DA207" s="164"/>
      <x:c r="DB207" s="172" t="str">
        <x:f>IF(CO207="","",IFERROR(CT207*(CS207/CR207-1),0))</x:f>
      </x:c>
      <x:c r="DC207" s="147"/>
      <x:c r="DD207" s="147"/>
      <x:c r="DE207" s="147"/>
      <x:c r="DF207" s="167"/>
      <x:c r="DG207" s="167"/>
      <x:c r="DH207" s="166"/>
      <x:c r="DI207" s="171" t="str">
        <x:f>IF(DC207="","",IFERROR(F207*DH207/DF207,0))</x:f>
      </x:c>
      <x:c r="DJ207" s="171" t="str">
        <x:f>IF(DC207="","",F207*ABS(DH207))</x:f>
      </x:c>
      <x:c r="DK207" s="165"/>
      <x:c r="DL207" s="172" t="str">
        <x:f>IF(DC207="","",IF(DK207="","",IFERROR(DF207/DK207-1,0)))</x:f>
      </x:c>
      <x:c r="DM207" s="166"/>
      <x:c r="DN207" s="172" t="str">
        <x:f>IF(DC207="","",IF(DM207="","",DM207-DL207*365/DO207))</x:f>
      </x:c>
      <x:c r="DO207" s="164"/>
      <x:c r="DP207" s="172" t="str">
        <x:f>IF(DC207="","",IFERROR(DH207*(DG207/DF207-1),0))</x:f>
      </x:c>
      <x:c r="DQ207" s="147"/>
      <x:c r="DR207" s="147"/>
      <x:c r="DS207" s="147"/>
      <x:c r="DT207" s="167"/>
      <x:c r="DU207" s="167"/>
      <x:c r="DV207" s="166"/>
      <x:c r="DW207" s="171" t="str">
        <x:f>IF(DQ207="","",IFERROR(F207*DV207/DT207,0))</x:f>
      </x:c>
      <x:c r="DX207" s="171" t="str">
        <x:f>IF(DQ207="","",F207*ABS(DV207))</x:f>
      </x:c>
      <x:c r="DY207" s="165"/>
      <x:c r="DZ207" s="172" t="str">
        <x:f>IF(DQ207="","",IF(DY207="","",IFERROR(DT207/DY207-1,0)))</x:f>
      </x:c>
      <x:c r="EA207" s="166"/>
      <x:c r="EB207" s="172" t="str">
        <x:f>IF(DQ207="","",IF(EA207="","",EA207-DZ207*365/EC207))</x:f>
      </x:c>
      <x:c r="EC207" s="164"/>
      <x:c r="ED207" s="172" t="str">
        <x:f>IF(DQ207="","",IFERROR(DV207*(DU207/DT207-1),0))</x:f>
      </x:c>
      <x:c r="EE207" s="147"/>
      <x:c r="EF207" s="147"/>
      <x:c r="EG207" s="147"/>
      <x:c r="EH207" s="167"/>
      <x:c r="EI207" s="167"/>
      <x:c r="EJ207" s="166"/>
      <x:c r="EK207" s="171" t="str">
        <x:f>IF(EE207="","",IFERROR(F207*EJ207/EH207,0))</x:f>
      </x:c>
      <x:c r="EL207" s="171" t="str">
        <x:f>IF(EE207="","",F207*ABS(EJ207))</x:f>
      </x:c>
      <x:c r="EM207" s="165"/>
      <x:c r="EN207" s="172" t="str">
        <x:f>IF(EE207="","",IF(EM207="","",IFERROR(EH207/EM207-1,0)))</x:f>
      </x:c>
      <x:c r="EO207" s="166"/>
      <x:c r="EP207" s="172" t="str">
        <x:f>IF(EE207="","",IF(EO207="","",EO207-EN207*365/EQ207))</x:f>
      </x:c>
      <x:c r="EQ207" s="164"/>
      <x:c r="ER207" s="172" t="str">
        <x:f>IF(EE207="","",IFERROR(EJ207*(EI207/EH207-1),0))</x:f>
      </x:c>
      <x:c r="ES207" s="147"/>
      <x:c r="ET207" s="147"/>
      <x:c r="EU207" s="147"/>
      <x:c r="EV207" s="167"/>
      <x:c r="EW207" s="167"/>
      <x:c r="EX207" s="166"/>
      <x:c r="EY207" s="171" t="str">
        <x:f>IF(ES207="","",IFERROR(F207*EX207/EV207,0))</x:f>
      </x:c>
      <x:c r="EZ207" s="171" t="str">
        <x:f>IF(ES207="","",F207*ABS(EX207))</x:f>
      </x:c>
      <x:c r="FA207" s="165"/>
      <x:c r="FB207" s="172" t="str">
        <x:f>IF(ES207="","",IF(FA207="","",IFERROR(EV207/FA207-1,0)))</x:f>
      </x:c>
      <x:c r="FC207" s="166"/>
      <x:c r="FD207" s="172" t="str">
        <x:f>IF(ES207="","",IF(FC207="","",FC207-FB207*365/FE207))</x:f>
      </x:c>
      <x:c r="FE207" s="164"/>
      <x:c r="FF207" s="172" t="str">
        <x:f>IF(ES207="","",IFERROR(EX207*(EW207/EV207-1),0))</x:f>
      </x:c>
      <x:c r="FG207" s="147"/>
      <x:c r="FH207" s="147"/>
      <x:c r="FI207" s="147"/>
      <x:c r="FJ207" s="167"/>
      <x:c r="FK207" s="167"/>
      <x:c r="FL207" s="166"/>
      <x:c r="FM207" s="171" t="str">
        <x:f>IF(FG207="","",IFERROR(F207*FL207/FJ207,0))</x:f>
      </x:c>
      <x:c r="FN207" s="171" t="str">
        <x:f>IF(FG207="","",F207*ABS(FL207))</x:f>
      </x:c>
      <x:c r="FO207" s="165"/>
      <x:c r="FP207" s="172" t="str">
        <x:f>IF(FG207="","",IF(FO207="","",IFERROR(FJ207/FO207-1,0)))</x:f>
      </x:c>
      <x:c r="FQ207" s="166"/>
      <x:c r="FR207" s="172" t="str">
        <x:f>IF(FG207="","",IF(FQ207="","",FQ207-FP207*365/FS207))</x:f>
      </x:c>
      <x:c r="FS207" s="164"/>
      <x:c r="FT207" s="172" t="str">
        <x:f>IF(FG207="","",IFERROR(FL207*(FK207/FJ207-1),0))</x:f>
      </x:c>
    </x:row>
    <x:row r="208" ht="18" customHeight="1">
      <x:c r="A208" s="163" t="n">
        <x:v>25510</x:v>
      </x:c>
      <x:c r="B208" s="163" t="n">
        <x:v>25512</x:v>
      </x:c>
      <x:c r="C208" s="170" t="n">
        <x:f>B208-A208</x:f>
        <x:v>2</x:v>
      </x:c>
      <x:c r="D208" s="163" t="n">
        <x:v>25510</x:v>
      </x:c>
      <x:c r="E208" s="147" t="str">
        <x:v>positive</x:v>
      </x:c>
      <x:c r="F208" s="165" t="n">
        <x:v>2.0173866502958386</x:v>
      </x:c>
      <x:c r="G208" s="168" t="n">
        <x:v>0.016049604724310097</x:v>
      </x:c>
      <x:c r="H208" s="172" t="n">
        <x:f>SUM(AX208,BL208,BZ208,CN208,DB208,DP208,ED208,ER208,FF208,FT208)</x:f>
        <x:v>0.016049604724310086</x:v>
      </x:c>
      <x:c r="I208" s="174" t="n">
        <x:f>G208-H208</x:f>
        <x:v>1.0408340855860843e-17</x:v>
      </x:c>
      <x:c r="J208" s="171" t="n">
        <x:f>F208*(1+H208)</x:f>
        <x:v>2.049764908609187</x:v>
      </x:c>
      <x:c r="K208" s="169" t="n">
        <x:v>2.049764908609187</x:v>
      </x:c>
      <x:c r="L208" s="175" t="n">
        <x:f>K208-J208</x:f>
        <x:v>0</x:v>
      </x:c>
      <x:c r="M208" s="167" t="n">
        <x:v>1.996</x:v>
      </x:c>
      <x:c r="N208" s="167" t="n">
        <x:v>1.993</x:v>
      </x:c>
      <x:c r="O208" s="172" t="n">
        <x:f>IFERROR(N208/M208-1,0)</x:f>
        <x:v>-0.0015030060120240218</x:v>
      </x:c>
      <x:c r="P208" s="171" t="n">
        <x:f>IFERROR(AD208/AH208,0)</x:f>
        <x:v>1.9789794896188637</x:v>
      </x:c>
      <x:c r="Q208" s="171" t="n">
        <x:f>IFERROR(AE208/AI208,0)</x:f>
        <x:v>2.013768033646155</x:v>
      </x:c>
      <x:c r="R208" s="172" t="n">
        <x:f>IFERROR((Q208-P208)/(P208+S208),0)</x:f>
        <x:v>0.01757903212730682</x:v>
      </x:c>
      <x:c r="S208" s="172" t="n">
        <x:f>IFERROR(AF208/AH208,0)</x:f>
        <x:v>0</x:v>
      </x:c>
      <x:c r="T208" s="172" t="n">
        <x:f>IFERROR(AG208/AI208,0)</x:f>
        <x:v>0</x:v>
      </x:c>
      <x:c r="U208" s="172" t="n">
        <x:f>IFERROR((T208-S208)/(P208+S208),0)</x:f>
        <x:v>0</x:v>
      </x:c>
      <x:c r="V208" s="172" t="n">
        <x:f>R208+U208</x:f>
        <x:v>0.01757903212730682</x:v>
      </x:c>
      <x:c r="W208" s="172" t="n">
        <x:f>(1+O208)*(1+V208)-1</x:f>
        <x:v>0.01604960472430994</x:v>
      </x:c>
      <x:c r="X208" s="174" t="n">
        <x:f>G208-W208</x:f>
        <x:v>1.5612511283791264e-16</x:v>
      </x:c>
      <x:c r="Y208" s="172" t="n">
        <x:f>AX208</x:f>
        <x:v>-0.00008554104181260836</x:v>
      </x:c>
      <x:c r="Z208" s="172" t="n">
        <x:f>BL208</x:f>
        <x:v>0.0003603779208253322</x:v>
      </x:c>
      <x:c r="AA208" s="172" t="n">
        <x:f>SUM(BZ208,CN208,DB208,DP208,ED208,ER208,FF208,FT208)</x:f>
        <x:v>0.015774767845297362</x:v>
      </x:c>
      <x:c r="AB208" s="172" t="n">
        <x:f>SUM(Y208:AA208)</x:f>
        <x:v>0.016049604724310086</x:v>
      </x:c>
      <x:c r="AC208" s="174" t="n">
        <x:f>G208-AB208</x:f>
        <x:v>1.0408340855860843e-17</x:v>
      </x:c>
      <x:c r="AD208" s="169" t="n">
        <x:v>2.0173866502958386</x:v>
      </x:c>
      <x:c r="AE208" s="169" t="n">
        <x:v>2.0497649086091867</x:v>
      </x:c>
      <x:c r="AF208" s="169" t="n">
        <x:v>0</x:v>
      </x:c>
      <x:c r="AG208" s="169" t="n">
        <x:v>0</x:v>
      </x:c>
      <x:c r="AH208" s="171" t="n">
        <x:f>M208/$M$3</x:f>
        <x:v>1.0194075587334015</x:v>
      </x:c>
      <x:c r="AI208" s="171" t="n">
        <x:f>N208/$M$3</x:f>
        <x:v>1.0178753830439224</x:v>
      </x:c>
      <x:c r="AJ208" s="170" t="n">
        <x:f>IF(AK208&lt;&gt;"",1,0)+IF(AY208&lt;&gt;"",1,0)+IF(BM208&lt;&gt;"",1,0)+IF(CA208&lt;&gt;"",1,0)+IF(CO208&lt;&gt;"",1,0)+IF(DC208&lt;&gt;"",1,0)+IF(DQ208&lt;&gt;"",1,0)+IF(EE208&lt;&gt;"",1,0)+IF(ES208&lt;&gt;"",1,0)+IF(FG208&lt;&gt;"",1,0)</x:f>
        <x:v>5</x:v>
      </x:c>
      <x:c r="AK208" s="147" t="str">
        <x:v>Silver replicating holding (LBMA/SLV proxy)</x:v>
      </x:c>
      <x:c r="AL208" s="147" t="str">
        <x:v>Physical-backed proxy</x:v>
      </x:c>
      <x:c r="AM208" s="147" t="str">
        <x:v>Long</x:v>
      </x:c>
      <x:c r="AN208" s="167" t="n">
        <x:v>1.996</x:v>
      </x:c>
      <x:c r="AO208" s="167" t="n">
        <x:v>1.993</x:v>
      </x:c>
      <x:c r="AP208" s="166" t="n">
        <x:v>0.05639927473995798</x:v>
      </x:c>
      <x:c r="AQ208" s="171" t="n">
        <x:f>IF(AK208="","",IFERROR(F208*AP208/AN208,0))</x:f>
        <x:v>0.05700357913164256</x:v>
      </x:c>
      <x:c r="AR208" s="171" t="n">
        <x:f>IF(AK208="","",F208*ABS(AP208))</x:f>
        <x:v>0.11377914394675855</x:v>
      </x:c>
      <x:c r="AS208" s="165"/>
      <x:c r="AT208" s="172" t="str">
        <x:f>IF(AK208="","",IF(AS208="","",IFERROR(AN208/AS208-1,0)))</x:f>
      </x:c>
      <x:c r="AU208" s="166"/>
      <x:c r="AV208" s="172" t="str">
        <x:f>IF(AK208="","",IF(AU208="","",AU208-AT208*365/AW208))</x:f>
      </x:c>
      <x:c r="AW208" s="164"/>
      <x:c r="AX208" s="173" t="n">
        <x:f>IF(AK208="","",IFERROR(AP208*(AO208/AN208-1-'Parameters'!$C$6*C208/365),0))</x:f>
        <x:v>-0.00008554104181260836</x:v>
      </x:c>
      <x:c r="AY208" s="147" t="str">
        <x:v>Matched-maturity Treasury collateral</x:v>
      </x:c>
      <x:c r="AZ208" s="147" t="str">
        <x:v>Treasury</x:v>
      </x:c>
      <x:c r="BA208" s="147" t="str">
        <x:v>Long</x:v>
      </x:c>
      <x:c r="BB208" s="167" t="n">
        <x:v>105.57854075039353</x:v>
      </x:c>
      <x:c r="BC208" s="167" t="n">
        <x:v>105.61886307527189</x:v>
      </x:c>
      <x:c r="BD208" s="166" t="n">
        <x:v>0.943600725260042</x:v>
      </x:c>
      <x:c r="BE208" s="171" t="n">
        <x:f>IF(AY208="","",IFERROR(F208*BD208/BB208,0))</x:f>
        <x:v>0.018030250208226947</x:v>
      </x:c>
      <x:c r="BF208" s="171" t="n">
        <x:f>IF(AY208="","",F208*ABS(BD208))</x:f>
        <x:v>1.90360750634908</x:v>
      </x:c>
      <x:c r="BG208" s="165"/>
      <x:c r="BH208" s="172" t="str">
        <x:f>IF(AY208="","",IF(BG208="","",IFERROR(BB208/BG208-1,0)))</x:f>
      </x:c>
      <x:c r="BI208" s="166"/>
      <x:c r="BJ208" s="172" t="str">
        <x:f>IF(AY208="","",IF(BI208="","",BI208-BH208*365/BK208))</x:f>
      </x:c>
      <x:c r="BK208" s="164" t="n">
        <x:v>56.02814346558134</x:v>
      </x:c>
      <x:c r="BL208" s="172" t="n">
        <x:f>IF(AY208="","",IFERROR(BD208*(BC208/BB208-1),0))</x:f>
        <x:v>0.0003603779208253322</x:v>
      </x:c>
      <x:c r="BM208" s="147" t="str">
        <x:v>SI69Z</x:v>
      </x:c>
      <x:c r="BN208" s="147" t="str">
        <x:v>Silver future (regular)</x:v>
      </x:c>
      <x:c r="BO208" s="147" t="str">
        <x:v>Long</x:v>
      </x:c>
      <x:c r="BP208" s="167" t="n">
        <x:v>1.974</x:v>
      </x:c>
      <x:c r="BQ208" s="167" t="n">
        <x:v>2.0069999999999997</x:v>
      </x:c>
      <x:c r="BR208" s="166" t="n">
        <x:v>0.9427159136150781</x:v>
      </x:c>
      <x:c r="BS208" s="171" t="n">
        <x:f>IF(BM208="","",IFERROR(F208*BR208/BP208,0))</x:f>
        <x:v>0.9634359164886036</x:v>
      </x:c>
      <x:c r="BT208" s="171" t="n">
        <x:f>IF(BM208="","",F208*ABS(BR208))</x:f>
        <x:v>1.9018224991485035</x:v>
      </x:c>
      <x:c r="BU208" s="165" t="n">
        <x:v>1.996</x:v>
      </x:c>
      <x:c r="BV208" s="172" t="n">
        <x:f>IF(BM208="","",IF(BU208="","",IFERROR(BP208/BU208-1,0)))</x:f>
        <x:v>-0.011022044088176308</x:v>
      </x:c>
      <x:c r="BW208" s="166" t="n">
        <x:v>0.0697</x:v>
      </x:c>
      <x:c r="BX208" s="172" t="n">
        <x:f>IF(BM208="","",IF(BW208="","",BW208-BV208*365/BY208))</x:f>
        <x:v>0.1415401087890063</x:v>
      </x:c>
      <x:c r="BY208" s="164" t="n">
        <x:v>56</x:v>
      </x:c>
      <x:c r="BZ208" s="172" t="n">
        <x:f>IF(BM208="","",IFERROR(BR208*(BQ208/BP208-1),0))</x:f>
        <x:v>0.015759688525479834</x:v>
      </x:c>
      <x:c r="CA208" s="147" t="str">
        <x:v>SI70F</x:v>
      </x:c>
      <x:c r="CB208" s="147" t="str">
        <x:v>Silver future (regular)</x:v>
      </x:c>
      <x:c r="CC208" s="147" t="str">
        <x:v>Long</x:v>
      </x:c>
      <x:c r="CD208" s="167" t="n">
        <x:v>1.995</x:v>
      </x:c>
      <x:c r="CE208" s="167" t="n">
        <x:v>2.029</x:v>
      </x:c>
      <x:c r="CF208" s="166" t="n">
        <x:v>0.0008846074176369336</x:v>
      </x:c>
      <x:c r="CG208" s="171" t="n">
        <x:f>IF(CA208="","",IFERROR(F208*CF208/CD208,0))</x:f>
        <x:v>0.0008945339323776568</x:v>
      </x:c>
      <x:c r="CH208" s="171" t="n">
        <x:f>IF(CA208="","",F208*ABS(CF208))</x:f>
        <x:v>0.0017845951950934255</x:v>
      </x:c>
      <x:c r="CI208" s="165" t="n">
        <x:v>1.996</x:v>
      </x:c>
      <x:c r="CJ208" s="172" t="n">
        <x:f>IF(CA208="","",IF(CI208="","",IFERROR(CD208/CI208-1,0)))</x:f>
        <x:v>-0.0005010020040079333</x:v>
      </x:c>
      <x:c r="CK208" s="166" t="n">
        <x:v>0.0697</x:v>
      </x:c>
      <x:c r="CL208" s="172" t="n">
        <x:f>IF(CA208="","",IF(CK208="","",CK208-CJ208*365/CM208))</x:f>
        <x:v>0.07182634571468482</x:v>
      </x:c>
      <x:c r="CM208" s="164" t="n">
        <x:v>86</x:v>
      </x:c>
      <x:c r="CN208" s="172" t="n">
        <x:f>IF(CA208="","",IFERROR(CF208*(CE208/CD208-1),0))</x:f>
        <x:v>0.00001507601614017814</x:v>
      </x:c>
      <x:c r="CO208" s="147" t="str">
        <x:v>SI70H</x:v>
      </x:c>
      <x:c r="CP208" s="147" t="str">
        <x:v>Silver future (regular)</x:v>
      </x:c>
      <x:c r="CQ208" s="147" t="str">
        <x:v>Long</x:v>
      </x:c>
      <x:c r="CR208" s="167" t="n">
        <x:v>2.04</x:v>
      </x:c>
      <x:c r="CS208" s="167" t="n">
        <x:v>2.073</x:v>
      </x:c>
      <x:c r="CT208" s="166" t="n">
        <x:v>2.0422732696779688e-7</x:v>
      </x:c>
      <x:c r="CU208" s="171" t="n">
        <x:f>IF(CO208="","",IFERROR(F208*CT208/CR208,0))</x:f>
        <x:v>2.0196347208354742e-7</x:v>
      </x:c>
      <x:c r="CV208" s="171" t="n">
        <x:f>IF(CO208="","",F208*ABS(CT208))</x:f>
        <x:v>4.1200548305043676e-7</x:v>
      </x:c>
      <x:c r="CW208" s="165" t="n">
        <x:v>1.996</x:v>
      </x:c>
      <x:c r="CX208" s="172" t="n">
        <x:f>IF(CO208="","",IF(CW208="","",IFERROR(CR208/CW208-1,0)))</x:f>
        <x:v>0.022044088176352616</x:v>
      </x:c>
      <x:c r="CY208" s="166" t="n">
        <x:v>0.07162197802197802</x:v>
      </x:c>
      <x:c r="CZ208" s="172" t="n">
        <x:f>IF(CO208="","",IF(CY208="","",CY208-CX208*365/DA208))</x:f>
        <x:v>0.015746337852750904</x:v>
      </x:c>
      <x:c r="DA208" s="164" t="n">
        <x:v>144</x:v>
      </x:c>
      <x:c r="DB208" s="172" t="n">
        <x:f>IF(CO208="","",IFERROR(CT208*(CS208/CR208-1),0))</x:f>
        <x:v>3.303677348008467e-9</x:v>
      </x:c>
      <x:c r="DC208" s="147"/>
      <x:c r="DD208" s="147"/>
      <x:c r="DE208" s="147"/>
      <x:c r="DF208" s="167"/>
      <x:c r="DG208" s="167"/>
      <x:c r="DH208" s="166"/>
      <x:c r="DI208" s="171" t="str">
        <x:f>IF(DC208="","",IFERROR(F208*DH208/DF208,0))</x:f>
      </x:c>
      <x:c r="DJ208" s="171" t="str">
        <x:f>IF(DC208="","",F208*ABS(DH208))</x:f>
      </x:c>
      <x:c r="DK208" s="165"/>
      <x:c r="DL208" s="172" t="str">
        <x:f>IF(DC208="","",IF(DK208="","",IFERROR(DF208/DK208-1,0)))</x:f>
      </x:c>
      <x:c r="DM208" s="166"/>
      <x:c r="DN208" s="172" t="str">
        <x:f>IF(DC208="","",IF(DM208="","",DM208-DL208*365/DO208))</x:f>
      </x:c>
      <x:c r="DO208" s="164"/>
      <x:c r="DP208" s="172" t="str">
        <x:f>IF(DC208="","",IFERROR(DH208*(DG208/DF208-1),0))</x:f>
      </x:c>
      <x:c r="DQ208" s="147"/>
      <x:c r="DR208" s="147"/>
      <x:c r="DS208" s="147"/>
      <x:c r="DT208" s="167"/>
      <x:c r="DU208" s="167"/>
      <x:c r="DV208" s="166"/>
      <x:c r="DW208" s="171" t="str">
        <x:f>IF(DQ208="","",IFERROR(F208*DV208/DT208,0))</x:f>
      </x:c>
      <x:c r="DX208" s="171" t="str">
        <x:f>IF(DQ208="","",F208*ABS(DV208))</x:f>
      </x:c>
      <x:c r="DY208" s="165"/>
      <x:c r="DZ208" s="172" t="str">
        <x:f>IF(DQ208="","",IF(DY208="","",IFERROR(DT208/DY208-1,0)))</x:f>
      </x:c>
      <x:c r="EA208" s="166"/>
      <x:c r="EB208" s="172" t="str">
        <x:f>IF(DQ208="","",IF(EA208="","",EA208-DZ208*365/EC208))</x:f>
      </x:c>
      <x:c r="EC208" s="164"/>
      <x:c r="ED208" s="172" t="str">
        <x:f>IF(DQ208="","",IFERROR(DV208*(DU208/DT208-1),0))</x:f>
      </x:c>
      <x:c r="EE208" s="147"/>
      <x:c r="EF208" s="147"/>
      <x:c r="EG208" s="147"/>
      <x:c r="EH208" s="167"/>
      <x:c r="EI208" s="167"/>
      <x:c r="EJ208" s="166"/>
      <x:c r="EK208" s="171" t="str">
        <x:f>IF(EE208="","",IFERROR(F208*EJ208/EH208,0))</x:f>
      </x:c>
      <x:c r="EL208" s="171" t="str">
        <x:f>IF(EE208="","",F208*ABS(EJ208))</x:f>
      </x:c>
      <x:c r="EM208" s="165"/>
      <x:c r="EN208" s="172" t="str">
        <x:f>IF(EE208="","",IF(EM208="","",IFERROR(EH208/EM208-1,0)))</x:f>
      </x:c>
      <x:c r="EO208" s="166"/>
      <x:c r="EP208" s="172" t="str">
        <x:f>IF(EE208="","",IF(EO208="","",EO208-EN208*365/EQ208))</x:f>
      </x:c>
      <x:c r="EQ208" s="164"/>
      <x:c r="ER208" s="172" t="str">
        <x:f>IF(EE208="","",IFERROR(EJ208*(EI208/EH208-1),0))</x:f>
      </x:c>
      <x:c r="ES208" s="147"/>
      <x:c r="ET208" s="147"/>
      <x:c r="EU208" s="147"/>
      <x:c r="EV208" s="167"/>
      <x:c r="EW208" s="167"/>
      <x:c r="EX208" s="166"/>
      <x:c r="EY208" s="171" t="str">
        <x:f>IF(ES208="","",IFERROR(F208*EX208/EV208,0))</x:f>
      </x:c>
      <x:c r="EZ208" s="171" t="str">
        <x:f>IF(ES208="","",F208*ABS(EX208))</x:f>
      </x:c>
      <x:c r="FA208" s="165"/>
      <x:c r="FB208" s="172" t="str">
        <x:f>IF(ES208="","",IF(FA208="","",IFERROR(EV208/FA208-1,0)))</x:f>
      </x:c>
      <x:c r="FC208" s="166"/>
      <x:c r="FD208" s="172" t="str">
        <x:f>IF(ES208="","",IF(FC208="","",FC208-FB208*365/FE208))</x:f>
      </x:c>
      <x:c r="FE208" s="164"/>
      <x:c r="FF208" s="172" t="str">
        <x:f>IF(ES208="","",IFERROR(EX208*(EW208/EV208-1),0))</x:f>
      </x:c>
      <x:c r="FG208" s="147"/>
      <x:c r="FH208" s="147"/>
      <x:c r="FI208" s="147"/>
      <x:c r="FJ208" s="167"/>
      <x:c r="FK208" s="167"/>
      <x:c r="FL208" s="166"/>
      <x:c r="FM208" s="171" t="str">
        <x:f>IF(FG208="","",IFERROR(F208*FL208/FJ208,0))</x:f>
      </x:c>
      <x:c r="FN208" s="171" t="str">
        <x:f>IF(FG208="","",F208*ABS(FL208))</x:f>
      </x:c>
      <x:c r="FO208" s="165"/>
      <x:c r="FP208" s="172" t="str">
        <x:f>IF(FG208="","",IF(FO208="","",IFERROR(FJ208/FO208-1,0)))</x:f>
      </x:c>
      <x:c r="FQ208" s="166"/>
      <x:c r="FR208" s="172" t="str">
        <x:f>IF(FG208="","",IF(FQ208="","",FQ208-FP208*365/FS208))</x:f>
      </x:c>
      <x:c r="FS208" s="164"/>
      <x:c r="FT208" s="172" t="str">
        <x:f>IF(FG208="","",IFERROR(FL208*(FK208/FJ208-1),0))</x:f>
      </x:c>
    </x:row>
    <x:row r="209" ht="18" customHeight="1">
      <x:c r="A209" s="163" t="n">
        <x:v>25512</x:v>
      </x:c>
      <x:c r="B209" s="163" t="n">
        <x:v>25513</x:v>
      </x:c>
      <x:c r="C209" s="170" t="n">
        <x:f>B209-A209</x:f>
        <x:v>1</x:v>
      </x:c>
      <x:c r="D209" s="163" t="n">
        <x:v>25512</x:v>
      </x:c>
      <x:c r="E209" s="147" t="str">
        <x:v>positive</x:v>
      </x:c>
      <x:c r="F209" s="165" t="n">
        <x:v>2.049764908609187</x:v>
      </x:c>
      <x:c r="G209" s="168" t="n">
        <x:v>-0.002751930568085771</x:v>
      </x:c>
      <x:c r="H209" s="172" t="n">
        <x:f>SUM(AX209,BL209,BZ209,CN209,DB209,DP209,ED209,ER209,FF209,FT209)</x:f>
        <x:v>-0.0027519305680857743</x:v>
      </x:c>
      <x:c r="I209" s="174" t="n">
        <x:f>G209-H209</x:f>
        <x:v>3.469446951953614e-18</x:v>
      </x:c>
      <x:c r="J209" s="171" t="n">
        <x:f>F209*(1+H209)</x:f>
        <x:v>2.044124097899796</x:v>
      </x:c>
      <x:c r="K209" s="169" t="n">
        <x:v>2.044124097899796</x:v>
      </x:c>
      <x:c r="L209" s="175" t="n">
        <x:f>K209-J209</x:f>
        <x:v>0</x:v>
      </x:c>
      <x:c r="M209" s="167" t="n">
        <x:v>1.993</x:v>
      </x:c>
      <x:c r="N209" s="167" t="n">
        <x:v>1.989</x:v>
      </x:c>
      <x:c r="O209" s="172" t="n">
        <x:f>IFERROR(N209/M209-1,0)</x:f>
        <x:v>-0.002007024586051176</x:v>
      </x:c>
      <x:c r="P209" s="171" t="n">
        <x:f>IFERROR(AD209/AH209,0)</x:f>
        <x:v>2.013768033646155</x:v>
      </x:c>
      <x:c r="Q209" s="171" t="n">
        <x:f>IFERROR(AE209/AI209,0)</x:f>
        <x:v>2.0122649490637503</x:v>
      </x:c>
      <x:c r="R209" s="172" t="n">
        <x:f>IFERROR((Q209-P209)/(P209+S209),0)</x:f>
        <x:v>-0.0007464040332804187</x:v>
      </x:c>
      <x:c r="S209" s="172" t="n">
        <x:f>IFERROR(AF209/AH209,0)</x:f>
        <x:v>0</x:v>
      </x:c>
      <x:c r="T209" s="172" t="n">
        <x:f>IFERROR(AG209/AI209,0)</x:f>
        <x:v>0</x:v>
      </x:c>
      <x:c r="U209" s="172" t="n">
        <x:f>IFERROR((T209-S209)/(P209+S209),0)</x:f>
        <x:v>0</x:v>
      </x:c>
      <x:c r="V209" s="172" t="n">
        <x:f>R209+U209</x:f>
        <x:v>-0.0007464040332804187</x:v>
      </x:c>
      <x:c r="W209" s="172" t="n">
        <x:f>(1+O209)*(1+V209)-1</x:f>
        <x:v>-0.0027519305680856476</x:v>
      </x:c>
      <x:c r="X209" s="174" t="n">
        <x:f>G209-W209</x:f>
        <x:v>-1.231653667943533e-16</x:v>
      </x:c>
      <x:c r="Y209" s="172" t="n">
        <x:f>AX209</x:f>
        <x:v>-0.001702139624347857</x:v>
      </x:c>
      <x:c r="Z209" s="172" t="n">
        <x:f>BL209</x:f>
        <x:v>0.000029983258804766992</x:v>
      </x:c>
      <x:c r="AA209" s="172" t="n">
        <x:f>SUM(BZ209,CN209,DB209,DP209,ED209,ER209,FF209,FT209)</x:f>
        <x:v>-0.0010797742025426846</x:v>
      </x:c>
      <x:c r="AB209" s="172" t="n">
        <x:f>SUM(Y209:AA209)</x:f>
        <x:v>-0.0027519305680857743</x:v>
      </x:c>
      <x:c r="AC209" s="174" t="n">
        <x:f>G209-AB209</x:f>
        <x:v>3.469446951953614e-18</x:v>
      </x:c>
      <x:c r="AD209" s="169" t="n">
        <x:v>2.0497649086091867</x:v>
      </x:c>
      <x:c r="AE209" s="169" t="n">
        <x:v>2.0441240978997954</x:v>
      </x:c>
      <x:c r="AF209" s="169" t="n">
        <x:v>0</x:v>
      </x:c>
      <x:c r="AG209" s="169" t="n">
        <x:v>0</x:v>
      </x:c>
      <x:c r="AH209" s="171" t="n">
        <x:f>M209/$M$3</x:f>
        <x:v>1.0178753830439224</x:v>
      </x:c>
      <x:c r="AI209" s="171" t="n">
        <x:f>N209/$M$3</x:f>
        <x:v>1.015832482124617</x:v>
      </x:c>
      <x:c r="AJ209" s="170" t="n">
        <x:f>IF(AK209&lt;&gt;"",1,0)+IF(AY209&lt;&gt;"",1,0)+IF(BM209&lt;&gt;"",1,0)+IF(CA209&lt;&gt;"",1,0)+IF(CO209&lt;&gt;"",1,0)+IF(DC209&lt;&gt;"",1,0)+IF(DQ209&lt;&gt;"",1,0)+IF(EE209&lt;&gt;"",1,0)+IF(ES209&lt;&gt;"",1,0)+IF(FG209&lt;&gt;"",1,0)</x:f>
        <x:v>3</x:v>
      </x:c>
      <x:c r="AK209" s="147" t="str">
        <x:v>Silver replicating holding (LBMA/SLV proxy)</x:v>
      </x:c>
      <x:c r="AL209" s="147" t="str">
        <x:v>Physical-backed proxy</x:v>
      </x:c>
      <x:c r="AM209" s="147" t="str">
        <x:v>Long</x:v>
      </x:c>
      <x:c r="AN209" s="167" t="n">
        <x:v>1.993</x:v>
      </x:c>
      <x:c r="AO209" s="167" t="n">
        <x:v>1.989</x:v>
      </x:c>
      <x:c r="AP209" s="166" t="n">
        <x:v>0.8452066553926266</x:v>
      </x:c>
      <x:c r="AQ209" s="171" t="n">
        <x:f>IF(AK209="","",IFERROR(F209*AP209/AN209,0))</x:f>
        <x:v>0.8692799512025811</x:v>
      </x:c>
      <x:c r="AR209" s="171" t="n">
        <x:f>IF(AK209="","",F209*ABS(AP209))</x:f>
        <x:v>1.732474942746744</x:v>
      </x:c>
      <x:c r="AS209" s="165"/>
      <x:c r="AT209" s="172" t="str">
        <x:f>IF(AK209="","",IF(AS209="","",IFERROR(AN209/AS209-1,0)))</x:f>
      </x:c>
      <x:c r="AU209" s="166"/>
      <x:c r="AV209" s="172" t="str">
        <x:f>IF(AK209="","",IF(AU209="","",AU209-AT209*365/AW209))</x:f>
      </x:c>
      <x:c r="AW209" s="164"/>
      <x:c r="AX209" s="173" t="n">
        <x:f>IF(AK209="","",IFERROR(AP209*(AO209/AN209-1-'Parameters'!$C$6*C209/365),0))</x:f>
        <x:v>-0.001702139624347857</x:v>
      </x:c>
      <x:c r="AY209" s="147" t="str">
        <x:v>Matched-maturity Treasury collateral</x:v>
      </x:c>
      <x:c r="AZ209" s="147" t="str">
        <x:v>Treasury</x:v>
      </x:c>
      <x:c r="BA209" s="147" t="str">
        <x:v>Long</x:v>
      </x:c>
      <x:c r="BB209" s="167" t="n">
        <x:v>105.61886307527189</x:v>
      </x:c>
      <x:c r="BC209" s="167" t="n">
        <x:v>105.63932130436619</x:v>
      </x:c>
      <x:c r="BD209" s="166" t="n">
        <x:v>0.15479334460737335</x:v>
      </x:c>
      <x:c r="BE209" s="171" t="n">
        <x:f>IF(AY209="","",IFERROR(F209*BD209/BB209,0))</x:f>
        <x:v>0.003004103212475583</x:v>
      </x:c>
      <x:c r="BF209" s="171" t="n">
        <x:f>IF(AY209="","",F209*ABS(BD209))</x:f>
        <x:v>0.317289965862443</x:v>
      </x:c>
      <x:c r="BG209" s="165"/>
      <x:c r="BH209" s="172" t="str">
        <x:f>IF(AY209="","",IF(BG209="","",IFERROR(BB209/BG209-1,0)))</x:f>
      </x:c>
      <x:c r="BI209" s="166"/>
      <x:c r="BJ209" s="172" t="str">
        <x:f>IF(AY209="","",IF(BI209="","",BI209-BH209*365/BK209))</x:f>
      </x:c>
      <x:c r="BK209" s="164" t="n">
        <x:v>54</x:v>
      </x:c>
      <x:c r="BL209" s="172" t="n">
        <x:f>IF(AY209="","",IFERROR(BD209*(BC209/BB209-1),0))</x:f>
        <x:v>0.000029983258804766992</x:v>
      </x:c>
      <x:c r="BM209" s="147" t="str">
        <x:v>SI69Z</x:v>
      </x:c>
      <x:c r="BN209" s="147" t="str">
        <x:v>Silver future (regular)</x:v>
      </x:c>
      <x:c r="BO209" s="147" t="str">
        <x:v>Long</x:v>
      </x:c>
      <x:c r="BP209" s="167" t="n">
        <x:v>2.0069999999999997</x:v>
      </x:c>
      <x:c r="BQ209" s="167" t="n">
        <x:v>1.993</x:v>
      </x:c>
      <x:c r="BR209" s="166" t="n">
        <x:v>0.15479334460737335</x:v>
      </x:c>
      <x:c r="BS209" s="171" t="n">
        <x:f>IF(BM209="","",IFERROR(F209*BR209/BP209,0))</x:f>
        <x:v>0.15809166211382314</x:v>
      </x:c>
      <x:c r="BT209" s="171" t="n">
        <x:f>IF(BM209="","",F209*ABS(BR209))</x:f>
        <x:v>0.317289965862443</x:v>
      </x:c>
      <x:c r="BU209" s="165" t="n">
        <x:v>1.993</x:v>
      </x:c>
      <x:c r="BV209" s="172" t="n">
        <x:f>IF(BM209="","",IF(BU209="","",IFERROR(BP209/BU209-1,0)))</x:f>
        <x:v>0.007024586051178838</x:v>
      </x:c>
      <x:c r="BW209" s="166" t="n">
        <x:v>0.0707</x:v>
      </x:c>
      <x:c r="BX209" s="172" t="n">
        <x:f>IF(BM209="","",IF(BW209="","",BW209-BV209*365/BY209))</x:f>
        <x:v>0.023219001691106002</x:v>
      </x:c>
      <x:c r="BY209" s="164" t="n">
        <x:v>54</x:v>
      </x:c>
      <x:c r="BZ209" s="172" t="n">
        <x:f>IF(BM209="","",IFERROR(BR209*(BQ209/BP209-1),0))</x:f>
        <x:v>-0.0010797742025426846</x:v>
      </x:c>
      <x:c r="CA209" s="147"/>
      <x:c r="CB209" s="147"/>
      <x:c r="CC209" s="147"/>
      <x:c r="CD209" s="167"/>
      <x:c r="CE209" s="167"/>
      <x:c r="CF209" s="166"/>
      <x:c r="CG209" s="171" t="str">
        <x:f>IF(CA209="","",IFERROR(F209*CF209/CD209,0))</x:f>
      </x:c>
      <x:c r="CH209" s="171" t="str">
        <x:f>IF(CA209="","",F209*ABS(CF209))</x:f>
      </x:c>
      <x:c r="CI209" s="165"/>
      <x:c r="CJ209" s="172" t="str">
        <x:f>IF(CA209="","",IF(CI209="","",IFERROR(CD209/CI209-1,0)))</x:f>
      </x:c>
      <x:c r="CK209" s="166"/>
      <x:c r="CL209" s="172" t="str">
        <x:f>IF(CA209="","",IF(CK209="","",CK209-CJ209*365/CM209))</x:f>
      </x:c>
      <x:c r="CM209" s="164"/>
      <x:c r="CN209" s="172" t="str">
        <x:f>IF(CA209="","",IFERROR(CF209*(CE209/CD209-1),0))</x:f>
      </x:c>
      <x:c r="CO209" s="147"/>
      <x:c r="CP209" s="147"/>
      <x:c r="CQ209" s="147"/>
      <x:c r="CR209" s="167"/>
      <x:c r="CS209" s="167"/>
      <x:c r="CT209" s="166"/>
      <x:c r="CU209" s="171" t="str">
        <x:f>IF(CO209="","",IFERROR(F209*CT209/CR209,0))</x:f>
      </x:c>
      <x:c r="CV209" s="171" t="str">
        <x:f>IF(CO209="","",F209*ABS(CT209))</x:f>
      </x:c>
      <x:c r="CW209" s="165"/>
      <x:c r="CX209" s="172" t="str">
        <x:f>IF(CO209="","",IF(CW209="","",IFERROR(CR209/CW209-1,0)))</x:f>
      </x:c>
      <x:c r="CY209" s="166"/>
      <x:c r="CZ209" s="172" t="str">
        <x:f>IF(CO209="","",IF(CY209="","",CY209-CX209*365/DA209))</x:f>
      </x:c>
      <x:c r="DA209" s="164"/>
      <x:c r="DB209" s="172" t="str">
        <x:f>IF(CO209="","",IFERROR(CT209*(CS209/CR209-1),0))</x:f>
      </x:c>
      <x:c r="DC209" s="147"/>
      <x:c r="DD209" s="147"/>
      <x:c r="DE209" s="147"/>
      <x:c r="DF209" s="167"/>
      <x:c r="DG209" s="167"/>
      <x:c r="DH209" s="166"/>
      <x:c r="DI209" s="171" t="str">
        <x:f>IF(DC209="","",IFERROR(F209*DH209/DF209,0))</x:f>
      </x:c>
      <x:c r="DJ209" s="171" t="str">
        <x:f>IF(DC209="","",F209*ABS(DH209))</x:f>
      </x:c>
      <x:c r="DK209" s="165"/>
      <x:c r="DL209" s="172" t="str">
        <x:f>IF(DC209="","",IF(DK209="","",IFERROR(DF209/DK209-1,0)))</x:f>
      </x:c>
      <x:c r="DM209" s="166"/>
      <x:c r="DN209" s="172" t="str">
        <x:f>IF(DC209="","",IF(DM209="","",DM209-DL209*365/DO209))</x:f>
      </x:c>
      <x:c r="DO209" s="164"/>
      <x:c r="DP209" s="172" t="str">
        <x:f>IF(DC209="","",IFERROR(DH209*(DG209/DF209-1),0))</x:f>
      </x:c>
      <x:c r="DQ209" s="147"/>
      <x:c r="DR209" s="147"/>
      <x:c r="DS209" s="147"/>
      <x:c r="DT209" s="167"/>
      <x:c r="DU209" s="167"/>
      <x:c r="DV209" s="166"/>
      <x:c r="DW209" s="171" t="str">
        <x:f>IF(DQ209="","",IFERROR(F209*DV209/DT209,0))</x:f>
      </x:c>
      <x:c r="DX209" s="171" t="str">
        <x:f>IF(DQ209="","",F209*ABS(DV209))</x:f>
      </x:c>
      <x:c r="DY209" s="165"/>
      <x:c r="DZ209" s="172" t="str">
        <x:f>IF(DQ209="","",IF(DY209="","",IFERROR(DT209/DY209-1,0)))</x:f>
      </x:c>
      <x:c r="EA209" s="166"/>
      <x:c r="EB209" s="172" t="str">
        <x:f>IF(DQ209="","",IF(EA209="","",EA209-DZ209*365/EC209))</x:f>
      </x:c>
      <x:c r="EC209" s="164"/>
      <x:c r="ED209" s="172" t="str">
        <x:f>IF(DQ209="","",IFERROR(DV209*(DU209/DT209-1),0))</x:f>
      </x:c>
      <x:c r="EE209" s="147"/>
      <x:c r="EF209" s="147"/>
      <x:c r="EG209" s="147"/>
      <x:c r="EH209" s="167"/>
      <x:c r="EI209" s="167"/>
      <x:c r="EJ209" s="166"/>
      <x:c r="EK209" s="171" t="str">
        <x:f>IF(EE209="","",IFERROR(F209*EJ209/EH209,0))</x:f>
      </x:c>
      <x:c r="EL209" s="171" t="str">
        <x:f>IF(EE209="","",F209*ABS(EJ209))</x:f>
      </x:c>
      <x:c r="EM209" s="165"/>
      <x:c r="EN209" s="172" t="str">
        <x:f>IF(EE209="","",IF(EM209="","",IFERROR(EH209/EM209-1,0)))</x:f>
      </x:c>
      <x:c r="EO209" s="166"/>
      <x:c r="EP209" s="172" t="str">
        <x:f>IF(EE209="","",IF(EO209="","",EO209-EN209*365/EQ209))</x:f>
      </x:c>
      <x:c r="EQ209" s="164"/>
      <x:c r="ER209" s="172" t="str">
        <x:f>IF(EE209="","",IFERROR(EJ209*(EI209/EH209-1),0))</x:f>
      </x:c>
      <x:c r="ES209" s="147"/>
      <x:c r="ET209" s="147"/>
      <x:c r="EU209" s="147"/>
      <x:c r="EV209" s="167"/>
      <x:c r="EW209" s="167"/>
      <x:c r="EX209" s="166"/>
      <x:c r="EY209" s="171" t="str">
        <x:f>IF(ES209="","",IFERROR(F209*EX209/EV209,0))</x:f>
      </x:c>
      <x:c r="EZ209" s="171" t="str">
        <x:f>IF(ES209="","",F209*ABS(EX209))</x:f>
      </x:c>
      <x:c r="FA209" s="165"/>
      <x:c r="FB209" s="172" t="str">
        <x:f>IF(ES209="","",IF(FA209="","",IFERROR(EV209/FA209-1,0)))</x:f>
      </x:c>
      <x:c r="FC209" s="166"/>
      <x:c r="FD209" s="172" t="str">
        <x:f>IF(ES209="","",IF(FC209="","",FC209-FB209*365/FE209))</x:f>
      </x:c>
      <x:c r="FE209" s="164"/>
      <x:c r="FF209" s="172" t="str">
        <x:f>IF(ES209="","",IFERROR(EX209*(EW209/EV209-1),0))</x:f>
      </x:c>
      <x:c r="FG209" s="147"/>
      <x:c r="FH209" s="147"/>
      <x:c r="FI209" s="147"/>
      <x:c r="FJ209" s="167"/>
      <x:c r="FK209" s="167"/>
      <x:c r="FL209" s="166"/>
      <x:c r="FM209" s="171" t="str">
        <x:f>IF(FG209="","",IFERROR(F209*FL209/FJ209,0))</x:f>
      </x:c>
      <x:c r="FN209" s="171" t="str">
        <x:f>IF(FG209="","",F209*ABS(FL209))</x:f>
      </x:c>
      <x:c r="FO209" s="165"/>
      <x:c r="FP209" s="172" t="str">
        <x:f>IF(FG209="","",IF(FO209="","",IFERROR(FJ209/FO209-1,0)))</x:f>
      </x:c>
      <x:c r="FQ209" s="166"/>
      <x:c r="FR209" s="172" t="str">
        <x:f>IF(FG209="","",IF(FQ209="","",FQ209-FP209*365/FS209))</x:f>
      </x:c>
      <x:c r="FS209" s="164"/>
      <x:c r="FT209" s="172" t="str">
        <x:f>IF(FG209="","",IFERROR(FL209*(FK209/FJ209-1),0))</x:f>
      </x:c>
    </x:row>
    <x:row r="210" ht="18" customHeight="1">
      <x:c r="A210" s="163" t="n">
        <x:v>25513</x:v>
      </x:c>
      <x:c r="B210" s="163" t="n">
        <x:v>25514</x:v>
      </x:c>
      <x:c r="C210" s="170" t="n">
        <x:f>B210-A210</x:f>
        <x:v>1</x:v>
      </x:c>
      <x:c r="D210" s="163" t="n">
        <x:v>25513</x:v>
      </x:c>
      <x:c r="E210" s="147" t="str">
        <x:v>positive</x:v>
      </x:c>
      <x:c r="F210" s="165" t="n">
        <x:v>2.044124097899796</x:v>
      </x:c>
      <x:c r="G210" s="168" t="n">
        <x:v>-0.014791201195764098</x:v>
      </x:c>
      <x:c r="H210" s="172" t="n">
        <x:f>SUM(AX210,BL210,BZ210,CN210,DB210,DP210,ED210,ER210,FF210,FT210)</x:f>
        <x:v>-0.014791201195764112</x:v>
      </x:c>
      <x:c r="I210" s="174" t="n">
        <x:f>G210-H210</x:f>
        <x:v>1.3877787807814457e-17</x:v>
      </x:c>
      <x:c r="J210" s="171" t="n">
        <x:f>F210*(1+H210)</x:f>
        <x:v>2.01388904709865</x:v>
      </x:c>
      <x:c r="K210" s="169" t="n">
        <x:v>2.01388904709865</x:v>
      </x:c>
      <x:c r="L210" s="175" t="n">
        <x:f>K210-J210</x:f>
        <x:v>0</x:v>
      </x:c>
      <x:c r="M210" s="167" t="n">
        <x:v>1.989</x:v>
      </x:c>
      <x:c r="N210" s="167" t="n">
        <x:v>1.964</x:v>
      </x:c>
      <x:c r="O210" s="172" t="n">
        <x:f>IFERROR(N210/M210-1,0)</x:f>
        <x:v>-0.012569130216189106</x:v>
      </x:c>
      <x:c r="P210" s="171" t="n">
        <x:f>IFERROR(AD210/AH210,0)</x:f>
        <x:v>2.0122649490637503</x:v>
      </x:c>
      <x:c r="Q210" s="171" t="n">
        <x:f>IFERROR(AE210/AI210,0)</x:f>
        <x:v>2.0077366365677984</x:v>
      </x:c>
      <x:c r="R210" s="172" t="n">
        <x:f>IFERROR((Q210-P210)/(P210+S210),0)</x:f>
        <x:v>-0.0022503559971358464</x:v>
      </x:c>
      <x:c r="S210" s="172" t="n">
        <x:f>IFERROR(AF210/AH210,0)</x:f>
        <x:v>0</x:v>
      </x:c>
      <x:c r="T210" s="172" t="n">
        <x:f>IFERROR(AG210/AI210,0)</x:f>
        <x:v>0</x:v>
      </x:c>
      <x:c r="U210" s="172" t="n">
        <x:f>IFERROR((T210-S210)/(P210+S210),0)</x:f>
        <x:v>0</x:v>
      </x:c>
      <x:c r="V210" s="172" t="n">
        <x:f>R210+U210</x:f>
        <x:v>-0.0022503559971358464</x:v>
      </x:c>
      <x:c r="W210" s="172" t="n">
        <x:f>(1+O210)*(1+V210)-1</x:f>
        <x:v>-0.014791201195764159</x:v>
      </x:c>
      <x:c r="X210" s="174" t="n">
        <x:f>G210-W210</x:f>
        <x:v>6.071532165918825e-17</x:v>
      </x:c>
      <x:c r="Y210" s="172" t="n">
        <x:f>AX210</x:f>
        <x:v>-0.00776774311633903</x:v>
      </x:c>
      <x:c r="Z210" s="172" t="n">
        <x:f>BL210</x:f>
        <x:v>0.00007458150117364769</x:v>
      </x:c>
      <x:c r="AA210" s="172" t="n">
        <x:f>SUM(BZ210,CN210,DB210,DP210,ED210,ER210,FF210,FT210)</x:f>
        <x:v>-0.007098039580598729</x:v>
      </x:c>
      <x:c r="AB210" s="172" t="n">
        <x:f>SUM(Y210:AA210)</x:f>
        <x:v>-0.014791201195764112</x:v>
      </x:c>
      <x:c r="AC210" s="174" t="n">
        <x:f>G210-AB210</x:f>
        <x:v>1.3877787807814457e-17</x:v>
      </x:c>
      <x:c r="AD210" s="169" t="n">
        <x:v>2.0441240978997954</x:v>
      </x:c>
      <x:c r="AE210" s="169" t="n">
        <x:v>2.0138890470986497</x:v>
      </x:c>
      <x:c r="AF210" s="169" t="n">
        <x:v>0</x:v>
      </x:c>
      <x:c r="AG210" s="169" t="n">
        <x:v>0</x:v>
      </x:c>
      <x:c r="AH210" s="171" t="n">
        <x:f>M210/$M$3</x:f>
        <x:v>1.015832482124617</x:v>
      </x:c>
      <x:c r="AI210" s="171" t="n">
        <x:f>N210/$M$3</x:f>
        <x:v>1.003064351378958</x:v>
      </x:c>
      <x:c r="AJ210" s="170" t="n">
        <x:f>IF(AK210&lt;&gt;"",1,0)+IF(AY210&lt;&gt;"",1,0)+IF(BM210&lt;&gt;"",1,0)+IF(CA210&lt;&gt;"",1,0)+IF(CO210&lt;&gt;"",1,0)+IF(DC210&lt;&gt;"",1,0)+IF(DQ210&lt;&gt;"",1,0)+IF(EE210&lt;&gt;"",1,0)+IF(ES210&lt;&gt;"",1,0)+IF(FG210&lt;&gt;"",1,0)</x:f>
        <x:v>3</x:v>
      </x:c>
      <x:c r="AK210" s="147" t="str">
        <x:v>Silver replicating holding (LBMA/SLV proxy)</x:v>
      </x:c>
      <x:c r="AL210" s="147" t="str">
        <x:v>Physical-backed proxy</x:v>
      </x:c>
      <x:c r="AM210" s="147" t="str">
        <x:v>Long</x:v>
      </x:c>
      <x:c r="AN210" s="167" t="n">
        <x:v>1.989</x:v>
      </x:c>
      <x:c r="AO210" s="167" t="n">
        <x:v>1.964</x:v>
      </x:c>
      <x:c r="AP210" s="166" t="n">
        <x:v>0.6176650571855896</x:v>
      </x:c>
      <x:c r="AQ210" s="171" t="n">
        <x:f>IF(AK210="","",IFERROR(F210*AP210/AN210,0))</x:f>
        <x:v>0.6347833221838709</x:v>
      </x:c>
      <x:c r="AR210" s="171" t="n">
        <x:f>IF(AK210="","",F210*ABS(AP210))</x:f>
        <x:v>1.2625840278237193</x:v>
      </x:c>
      <x:c r="AS210" s="165"/>
      <x:c r="AT210" s="172" t="str">
        <x:f>IF(AK210="","",IF(AS210="","",IFERROR(AN210/AS210-1,0)))</x:f>
      </x:c>
      <x:c r="AU210" s="166"/>
      <x:c r="AV210" s="172" t="str">
        <x:f>IF(AK210="","",IF(AU210="","",AU210-AT210*365/AW210))</x:f>
      </x:c>
      <x:c r="AW210" s="164"/>
      <x:c r="AX210" s="173" t="n">
        <x:f>IF(AK210="","",IFERROR(AP210*(AO210/AN210-1-'Parameters'!$C$6*C210/365),0))</x:f>
        <x:v>-0.00776774311633903</x:v>
      </x:c>
      <x:c r="AY210" s="147" t="str">
        <x:v>Matched-maturity Treasury collateral</x:v>
      </x:c>
      <x:c r="AZ210" s="147" t="str">
        <x:v>Treasury</x:v>
      </x:c>
      <x:c r="BA210" s="147" t="str">
        <x:v>Long</x:v>
      </x:c>
      <x:c r="BB210" s="167" t="n">
        <x:v>105.63932130436619</x:v>
      </x:c>
      <x:c r="BC210" s="167" t="n">
        <x:v>105.6599282075905</x:v>
      </x:c>
      <x:c r="BD210" s="166" t="n">
        <x:v>0.3823349428144104</x:v>
      </x:c>
      <x:c r="BE210" s="171" t="n">
        <x:f>IF(AY210="","",IFERROR(F210*BD210/BB210,0))</x:f>
        <x:v>0.007398192836020944</x:v>
      </x:c>
      <x:c r="BF210" s="171" t="n">
        <x:f>IF(AY210="","",F210*ABS(BD210))</x:f>
        <x:v>0.7815400700760766</x:v>
      </x:c>
      <x:c r="BG210" s="165"/>
      <x:c r="BH210" s="172" t="str">
        <x:f>IF(AY210="","",IF(BG210="","",IFERROR(BB210/BG210-1,0)))</x:f>
      </x:c>
      <x:c r="BI210" s="166"/>
      <x:c r="BJ210" s="172" t="str">
        <x:f>IF(AY210="","",IF(BI210="","",BI210-BH210*365/BK210))</x:f>
      </x:c>
      <x:c r="BK210" s="164" t="n">
        <x:v>53</x:v>
      </x:c>
      <x:c r="BL210" s="172" t="n">
        <x:f>IF(AY210="","",IFERROR(BD210*(BC210/BB210-1),0))</x:f>
        <x:v>0.00007458150117364769</x:v>
      </x:c>
      <x:c r="BM210" s="147" t="str">
        <x:v>SI69Z</x:v>
      </x:c>
      <x:c r="BN210" s="147" t="str">
        <x:v>Silver future (regular)</x:v>
      </x:c>
      <x:c r="BO210" s="147" t="str">
        <x:v>Long</x:v>
      </x:c>
      <x:c r="BP210" s="167" t="n">
        <x:v>1.993</x:v>
      </x:c>
      <x:c r="BQ210" s="167" t="n">
        <x:v>1.956</x:v>
      </x:c>
      <x:c r="BR210" s="166" t="n">
        <x:v>0.3823349428144104</x:v>
      </x:c>
      <x:c r="BS210" s="171" t="n">
        <x:f>IF(BM210="","",IFERROR(F210*BR210/BP210,0))</x:f>
        <x:v>0.3921425339067118</x:v>
      </x:c>
      <x:c r="BT210" s="171" t="n">
        <x:f>IF(BM210="","",F210*ABS(BR210))</x:f>
        <x:v>0.7815400700760766</x:v>
      </x:c>
      <x:c r="BU210" s="165" t="n">
        <x:v>1.989</x:v>
      </x:c>
      <x:c r="BV210" s="172" t="n">
        <x:f>IF(BM210="","",IF(BU210="","",IFERROR(BP210/BU210-1,0)))</x:f>
        <x:v>0.002011060834590239</x:v>
      </x:c>
      <x:c r="BW210" s="166" t="n">
        <x:v>0.0712</x:v>
      </x:c>
      <x:c r="BX210" s="172" t="n">
        <x:f>IF(BM210="","",IF(BW210="","",BW210-BV210*365/BY210))</x:f>
        <x:v>0.05735024142216156</x:v>
      </x:c>
      <x:c r="BY210" s="164" t="n">
        <x:v>53</x:v>
      </x:c>
      <x:c r="BZ210" s="172" t="n">
        <x:f>IF(BM210="","",IFERROR(BR210*(BQ210/BP210-1),0))</x:f>
        <x:v>-0.007098039580598729</x:v>
      </x:c>
      <x:c r="CA210" s="147"/>
      <x:c r="CB210" s="147"/>
      <x:c r="CC210" s="147"/>
      <x:c r="CD210" s="167"/>
      <x:c r="CE210" s="167"/>
      <x:c r="CF210" s="166"/>
      <x:c r="CG210" s="171" t="str">
        <x:f>IF(CA210="","",IFERROR(F210*CF210/CD210,0))</x:f>
      </x:c>
      <x:c r="CH210" s="171" t="str">
        <x:f>IF(CA210="","",F210*ABS(CF210))</x:f>
      </x:c>
      <x:c r="CI210" s="165"/>
      <x:c r="CJ210" s="172" t="str">
        <x:f>IF(CA210="","",IF(CI210="","",IFERROR(CD210/CI210-1,0)))</x:f>
      </x:c>
      <x:c r="CK210" s="166"/>
      <x:c r="CL210" s="172" t="str">
        <x:f>IF(CA210="","",IF(CK210="","",CK210-CJ210*365/CM210))</x:f>
      </x:c>
      <x:c r="CM210" s="164"/>
      <x:c r="CN210" s="172" t="str">
        <x:f>IF(CA210="","",IFERROR(CF210*(CE210/CD210-1),0))</x:f>
      </x:c>
      <x:c r="CO210" s="147"/>
      <x:c r="CP210" s="147"/>
      <x:c r="CQ210" s="147"/>
      <x:c r="CR210" s="167"/>
      <x:c r="CS210" s="167"/>
      <x:c r="CT210" s="166"/>
      <x:c r="CU210" s="171" t="str">
        <x:f>IF(CO210="","",IFERROR(F210*CT210/CR210,0))</x:f>
      </x:c>
      <x:c r="CV210" s="171" t="str">
        <x:f>IF(CO210="","",F210*ABS(CT210))</x:f>
      </x:c>
      <x:c r="CW210" s="165"/>
      <x:c r="CX210" s="172" t="str">
        <x:f>IF(CO210="","",IF(CW210="","",IFERROR(CR210/CW210-1,0)))</x:f>
      </x:c>
      <x:c r="CY210" s="166"/>
      <x:c r="CZ210" s="172" t="str">
        <x:f>IF(CO210="","",IF(CY210="","",CY210-CX210*365/DA210))</x:f>
      </x:c>
      <x:c r="DA210" s="164"/>
      <x:c r="DB210" s="172" t="str">
        <x:f>IF(CO210="","",IFERROR(CT210*(CS210/CR210-1),0))</x:f>
      </x:c>
      <x:c r="DC210" s="147"/>
      <x:c r="DD210" s="147"/>
      <x:c r="DE210" s="147"/>
      <x:c r="DF210" s="167"/>
      <x:c r="DG210" s="167"/>
      <x:c r="DH210" s="166"/>
      <x:c r="DI210" s="171" t="str">
        <x:f>IF(DC210="","",IFERROR(F210*DH210/DF210,0))</x:f>
      </x:c>
      <x:c r="DJ210" s="171" t="str">
        <x:f>IF(DC210="","",F210*ABS(DH210))</x:f>
      </x:c>
      <x:c r="DK210" s="165"/>
      <x:c r="DL210" s="172" t="str">
        <x:f>IF(DC210="","",IF(DK210="","",IFERROR(DF210/DK210-1,0)))</x:f>
      </x:c>
      <x:c r="DM210" s="166"/>
      <x:c r="DN210" s="172" t="str">
        <x:f>IF(DC210="","",IF(DM210="","",DM210-DL210*365/DO210))</x:f>
      </x:c>
      <x:c r="DO210" s="164"/>
      <x:c r="DP210" s="172" t="str">
        <x:f>IF(DC210="","",IFERROR(DH210*(DG210/DF210-1),0))</x:f>
      </x:c>
      <x:c r="DQ210" s="147"/>
      <x:c r="DR210" s="147"/>
      <x:c r="DS210" s="147"/>
      <x:c r="DT210" s="167"/>
      <x:c r="DU210" s="167"/>
      <x:c r="DV210" s="166"/>
      <x:c r="DW210" s="171" t="str">
        <x:f>IF(DQ210="","",IFERROR(F210*DV210/DT210,0))</x:f>
      </x:c>
      <x:c r="DX210" s="171" t="str">
        <x:f>IF(DQ210="","",F210*ABS(DV210))</x:f>
      </x:c>
      <x:c r="DY210" s="165"/>
      <x:c r="DZ210" s="172" t="str">
        <x:f>IF(DQ210="","",IF(DY210="","",IFERROR(DT210/DY210-1,0)))</x:f>
      </x:c>
      <x:c r="EA210" s="166"/>
      <x:c r="EB210" s="172" t="str">
        <x:f>IF(DQ210="","",IF(EA210="","",EA210-DZ210*365/EC210))</x:f>
      </x:c>
      <x:c r="EC210" s="164"/>
      <x:c r="ED210" s="172" t="str">
        <x:f>IF(DQ210="","",IFERROR(DV210*(DU210/DT210-1),0))</x:f>
      </x:c>
      <x:c r="EE210" s="147"/>
      <x:c r="EF210" s="147"/>
      <x:c r="EG210" s="147"/>
      <x:c r="EH210" s="167"/>
      <x:c r="EI210" s="167"/>
      <x:c r="EJ210" s="166"/>
      <x:c r="EK210" s="171" t="str">
        <x:f>IF(EE210="","",IFERROR(F210*EJ210/EH210,0))</x:f>
      </x:c>
      <x:c r="EL210" s="171" t="str">
        <x:f>IF(EE210="","",F210*ABS(EJ210))</x:f>
      </x:c>
      <x:c r="EM210" s="165"/>
      <x:c r="EN210" s="172" t="str">
        <x:f>IF(EE210="","",IF(EM210="","",IFERROR(EH210/EM210-1,0)))</x:f>
      </x:c>
      <x:c r="EO210" s="166"/>
      <x:c r="EP210" s="172" t="str">
        <x:f>IF(EE210="","",IF(EO210="","",EO210-EN210*365/EQ210))</x:f>
      </x:c>
      <x:c r="EQ210" s="164"/>
      <x:c r="ER210" s="172" t="str">
        <x:f>IF(EE210="","",IFERROR(EJ210*(EI210/EH210-1),0))</x:f>
      </x:c>
      <x:c r="ES210" s="147"/>
      <x:c r="ET210" s="147"/>
      <x:c r="EU210" s="147"/>
      <x:c r="EV210" s="167"/>
      <x:c r="EW210" s="167"/>
      <x:c r="EX210" s="166"/>
      <x:c r="EY210" s="171" t="str">
        <x:f>IF(ES210="","",IFERROR(F210*EX210/EV210,0))</x:f>
      </x:c>
      <x:c r="EZ210" s="171" t="str">
        <x:f>IF(ES210="","",F210*ABS(EX210))</x:f>
      </x:c>
      <x:c r="FA210" s="165"/>
      <x:c r="FB210" s="172" t="str">
        <x:f>IF(ES210="","",IF(FA210="","",IFERROR(EV210/FA210-1,0)))</x:f>
      </x:c>
      <x:c r="FC210" s="166"/>
      <x:c r="FD210" s="172" t="str">
        <x:f>IF(ES210="","",IF(FC210="","",FC210-FB210*365/FE210))</x:f>
      </x:c>
      <x:c r="FE210" s="164"/>
      <x:c r="FF210" s="172" t="str">
        <x:f>IF(ES210="","",IFERROR(EX210*(EW210/EV210-1),0))</x:f>
      </x:c>
      <x:c r="FG210" s="147"/>
      <x:c r="FH210" s="147"/>
      <x:c r="FI210" s="147"/>
      <x:c r="FJ210" s="167"/>
      <x:c r="FK210" s="167"/>
      <x:c r="FL210" s="166"/>
      <x:c r="FM210" s="171" t="str">
        <x:f>IF(FG210="","",IFERROR(F210*FL210/FJ210,0))</x:f>
      </x:c>
      <x:c r="FN210" s="171" t="str">
        <x:f>IF(FG210="","",F210*ABS(FL210))</x:f>
      </x:c>
      <x:c r="FO210" s="165"/>
      <x:c r="FP210" s="172" t="str">
        <x:f>IF(FG210="","",IF(FO210="","",IFERROR(FJ210/FO210-1,0)))</x:f>
      </x:c>
      <x:c r="FQ210" s="166"/>
      <x:c r="FR210" s="172" t="str">
        <x:f>IF(FG210="","",IF(FQ210="","",FQ210-FP210*365/FS210))</x:f>
      </x:c>
      <x:c r="FS210" s="164"/>
      <x:c r="FT210" s="172" t="str">
        <x:f>IF(FG210="","",IFERROR(FL210*(FK210/FJ210-1),0))</x:f>
      </x:c>
    </x:row>
    <x:row r="211" ht="18" customHeight="1">
      <x:c r="A211" s="163" t="n">
        <x:v>25514</x:v>
      </x:c>
      <x:c r="B211" s="163" t="n">
        <x:v>25517</x:v>
      </x:c>
      <x:c r="C211" s="170" t="n">
        <x:f>B211-A211</x:f>
        <x:v>3</x:v>
      </x:c>
      <x:c r="D211" s="163" t="n">
        <x:v>25514</x:v>
      </x:c>
      <x:c r="E211" s="147" t="str">
        <x:v>positive</x:v>
      </x:c>
      <x:c r="F211" s="165" t="n">
        <x:v>2.01388904709865</x:v>
      </x:c>
      <x:c r="G211" s="168" t="n">
        <x:v>-0.0008052522757661675</x:v>
      </x:c>
      <x:c r="H211" s="172" t="n">
        <x:f>SUM(AX211,BL211,BZ211,CN211,DB211,DP211,ED211,ER211,FF211,FT211)</x:f>
        <x:v>-0.000805252275766207</x:v>
      </x:c>
      <x:c r="I211" s="174" t="n">
        <x:f>G211-H211</x:f>
        <x:v>3.946495907847236e-17</x:v>
      </x:c>
      <x:c r="J211" s="171" t="n">
        <x:f>F211*(1+H211)</x:f>
        <x:v>2.0122673583603334</x:v>
      </x:c>
      <x:c r="K211" s="169" t="n">
        <x:v>2.0122673583603334</x:v>
      </x:c>
      <x:c r="L211" s="175" t="n">
        <x:f>K211-J211</x:f>
        <x:v>0</x:v>
      </x:c>
      <x:c r="M211" s="167" t="n">
        <x:v>1.964</x:v>
      </x:c>
      <x:c r="N211" s="167" t="n">
        <x:v>1.943</x:v>
      </x:c>
      <x:c r="O211" s="172" t="n">
        <x:f>IFERROR(N211/M211-1,0)</x:f>
        <x:v>-0.010692464358452058</x:v>
      </x:c>
      <x:c r="P211" s="171" t="n">
        <x:f>IFERROR(AD211/AH211,0)</x:f>
        <x:v>2.0077366365677984</x:v>
      </x:c>
      <x:c r="Q211" s="171" t="n">
        <x:f>IFERROR(AE211/AI211,0)</x:f>
        <x:v>2.0278021037928626</x:v>
      </x:c>
      <x:c r="R211" s="172" t="n">
        <x:f>IFERROR((Q211-P211)/(P211+S211),0)</x:f>
        <x:v>0.009994073355839074</x:v>
      </x:c>
      <x:c r="S211" s="172" t="n">
        <x:f>IFERROR(AF211/AH211,0)</x:f>
        <x:v>0</x:v>
      </x:c>
      <x:c r="T211" s="172" t="n">
        <x:f>IFERROR(AG211/AI211,0)</x:f>
        <x:v>0</x:v>
      </x:c>
      <x:c r="U211" s="172" t="n">
        <x:f>IFERROR((T211-S211)/(P211+S211),0)</x:f>
        <x:v>0</x:v>
      </x:c>
      <x:c r="V211" s="172" t="n">
        <x:f>R211+U211</x:f>
        <x:v>0.009994073355839074</x:v>
      </x:c>
      <x:c r="W211" s="172" t="n">
        <x:f>(1+O211)*(1+V211)-1</x:f>
        <x:v>-0.0008052522757661107</x:v>
      </x:c>
      <x:c r="X211" s="174" t="n">
        <x:f>G211-W211</x:f>
        <x:v>-5.681219383824043e-17</x:v>
      </x:c>
      <x:c r="Y211" s="172" t="n">
        <x:f>AX211</x:f>
        <x:v>-0.0035787480834797505</x:v>
      </x:c>
      <x:c r="Z211" s="172" t="n">
        <x:f>BL211</x:f>
        <x:v>0.0003902613171544722</x:v>
      </x:c>
      <x:c r="AA211" s="172" t="n">
        <x:f>SUM(BZ211,CN211,DB211,DP211,ED211,ER211,FF211,FT211)</x:f>
        <x:v>0.0023832344905590714</x:v>
      </x:c>
      <x:c r="AB211" s="172" t="n">
        <x:f>SUM(Y211:AA211)</x:f>
        <x:v>-0.000805252275766207</x:v>
      </x:c>
      <x:c r="AC211" s="174" t="n">
        <x:f>G211-AB211</x:f>
        <x:v>3.946495907847236e-17</x:v>
      </x:c>
      <x:c r="AD211" s="169" t="n">
        <x:v>2.0138890470986497</x:v>
      </x:c>
      <x:c r="AE211" s="169" t="n">
        <x:v>2.012267358360333</x:v>
      </x:c>
      <x:c r="AF211" s="169" t="n">
        <x:v>0</x:v>
      </x:c>
      <x:c r="AG211" s="169" t="n">
        <x:v>0</x:v>
      </x:c>
      <x:c r="AH211" s="171" t="n">
        <x:f>M211/$M$3</x:f>
        <x:v>1.003064351378958</x:v>
      </x:c>
      <x:c r="AI211" s="171" t="n">
        <x:f>N211/$M$3</x:f>
        <x:v>0.9923391215526047</x:v>
      </x:c>
      <x:c r="AJ211" s="170" t="n">
        <x:f>IF(AK211&lt;&gt;"",1,0)+IF(AY211&lt;&gt;"",1,0)+IF(BM211&lt;&gt;"",1,0)+IF(CA211&lt;&gt;"",1,0)+IF(CO211&lt;&gt;"",1,0)+IF(DC211&lt;&gt;"",1,0)+IF(DQ211&lt;&gt;"",1,0)+IF(EE211&lt;&gt;"",1,0)+IF(ES211&lt;&gt;"",1,0)+IF(FG211&lt;&gt;"",1,0)</x:f>
        <x:v>3</x:v>
      </x:c>
      <x:c r="AK211" s="147" t="str">
        <x:v>Silver replicating holding (LBMA/SLV proxy)</x:v>
      </x:c>
      <x:c r="AL211" s="147" t="str">
        <x:v>Physical-backed proxy</x:v>
      </x:c>
      <x:c r="AM211" s="147" t="str">
        <x:v>Long</x:v>
      </x:c>
      <x:c r="AN211" s="167" t="n">
        <x:v>1.964</x:v>
      </x:c>
      <x:c r="AO211" s="167" t="n">
        <x:v>1.943</x:v>
      </x:c>
      <x:c r="AP211" s="166" t="n">
        <x:v>0.3340561909238102</x:v>
      </x:c>
      <x:c r="AQ211" s="171" t="n">
        <x:f>IF(AK211="","",IFERROR(F211*AP211/AN211,0))</x:f>
        <x:v>0.3425418044892856</x:v>
      </x:c>
      <x:c r="AR211" s="171" t="n">
        <x:f>IF(AK211="","",F211*ABS(AP211))</x:f>
        <x:v>0.672752104016957</x:v>
      </x:c>
      <x:c r="AS211" s="165"/>
      <x:c r="AT211" s="172" t="str">
        <x:f>IF(AK211="","",IF(AS211="","",IFERROR(AN211/AS211-1,0)))</x:f>
      </x:c>
      <x:c r="AU211" s="166"/>
      <x:c r="AV211" s="172" t="str">
        <x:f>IF(AK211="","",IF(AU211="","",AU211-AT211*365/AW211))</x:f>
      </x:c>
      <x:c r="AW211" s="164"/>
      <x:c r="AX211" s="173" t="n">
        <x:f>IF(AK211="","",IFERROR(AP211*(AO211/AN211-1-'Parameters'!$C$6*C211/365),0))</x:f>
        <x:v>-0.0035787480834797505</x:v>
      </x:c>
      <x:c r="AY211" s="147" t="str">
        <x:v>Matched-maturity Treasury collateral</x:v>
      </x:c>
      <x:c r="AZ211" s="147" t="str">
        <x:v>Treasury</x:v>
      </x:c>
      <x:c r="BA211" s="147" t="str">
        <x:v>Long</x:v>
      </x:c>
      <x:c r="BB211" s="167" t="n">
        <x:v>105.6599282075905</x:v>
      </x:c>
      <x:c r="BC211" s="167" t="n">
        <x:v>105.72184782031269</x:v>
      </x:c>
      <x:c r="BD211" s="166" t="n">
        <x:v>0.6659438090761899</x:v>
      </x:c>
      <x:c r="BE211" s="171" t="n">
        <x:f>IF(AY211="","",IFERROR(F211*BD211/BB211,0))</x:f>
        <x:v>0.01269295716770464</x:v>
      </x:c>
      <x:c r="BF211" s="171" t="n">
        <x:f>IF(AY211="","",F211*ABS(BD211))</x:f>
        <x:v>1.3411369430816935</x:v>
      </x:c>
      <x:c r="BG211" s="165"/>
      <x:c r="BH211" s="172" t="str">
        <x:f>IF(AY211="","",IF(BG211="","",IFERROR(BB211/BG211-1,0)))</x:f>
      </x:c>
      <x:c r="BI211" s="166"/>
      <x:c r="BJ211" s="172" t="str">
        <x:f>IF(AY211="","",IF(BI211="","",BI211-BH211*365/BK211))</x:f>
      </x:c>
      <x:c r="BK211" s="164" t="n">
        <x:v>52.00000000000001</x:v>
      </x:c>
      <x:c r="BL211" s="172" t="n">
        <x:f>IF(AY211="","",IFERROR(BD211*(BC211/BB211-1),0))</x:f>
        <x:v>0.0003902613171544722</x:v>
      </x:c>
      <x:c r="BM211" s="147" t="str">
        <x:v>SI69Z</x:v>
      </x:c>
      <x:c r="BN211" s="147" t="str">
        <x:v>Silver future (regular)</x:v>
      </x:c>
      <x:c r="BO211" s="147" t="str">
        <x:v>Long</x:v>
      </x:c>
      <x:c r="BP211" s="167" t="n">
        <x:v>1.956</x:v>
      </x:c>
      <x:c r="BQ211" s="167" t="n">
        <x:v>1.963</x:v>
      </x:c>
      <x:c r="BR211" s="166" t="n">
        <x:v>0.6659438090761899</x:v>
      </x:c>
      <x:c r="BS211" s="171" t="n">
        <x:f>IF(BM211="","",IFERROR(F211*BR211/BP211,0))</x:f>
        <x:v>0.6856528338863463</x:v>
      </x:c>
      <x:c r="BT211" s="171" t="n">
        <x:f>IF(BM211="","",F211*ABS(BR211))</x:f>
        <x:v>1.3411369430816935</x:v>
      </x:c>
      <x:c r="BU211" s="165" t="n">
        <x:v>1.964</x:v>
      </x:c>
      <x:c r="BV211" s="172" t="n">
        <x:f>IF(BM211="","",IF(BU211="","",IFERROR(BP211/BU211-1,0)))</x:f>
        <x:v>-0.004073319755600768</x:v>
      </x:c>
      <x:c r="BW211" s="166" t="n">
        <x:v>0.0713</x:v>
      </x:c>
      <x:c r="BX211" s="172" t="n">
        <x:f>IF(BM211="","",IF(BW211="","",BW211-BV211*365/BY211))</x:f>
        <x:v>0.09989157136142847</x:v>
      </x:c>
      <x:c r="BY211" s="164" t="n">
        <x:v>52</x:v>
      </x:c>
      <x:c r="BZ211" s="172" t="n">
        <x:f>IF(BM211="","",IFERROR(BR211*(BQ211/BP211-1),0))</x:f>
        <x:v>0.0023832344905590714</x:v>
      </x:c>
      <x:c r="CA211" s="147"/>
      <x:c r="CB211" s="147"/>
      <x:c r="CC211" s="147"/>
      <x:c r="CD211" s="167"/>
      <x:c r="CE211" s="167"/>
      <x:c r="CF211" s="166"/>
      <x:c r="CG211" s="171" t="str">
        <x:f>IF(CA211="","",IFERROR(F211*CF211/CD211,0))</x:f>
      </x:c>
      <x:c r="CH211" s="171" t="str">
        <x:f>IF(CA211="","",F211*ABS(CF211))</x:f>
      </x:c>
      <x:c r="CI211" s="165"/>
      <x:c r="CJ211" s="172" t="str">
        <x:f>IF(CA211="","",IF(CI211="","",IFERROR(CD211/CI211-1,0)))</x:f>
      </x:c>
      <x:c r="CK211" s="166"/>
      <x:c r="CL211" s="172" t="str">
        <x:f>IF(CA211="","",IF(CK211="","",CK211-CJ211*365/CM211))</x:f>
      </x:c>
      <x:c r="CM211" s="164"/>
      <x:c r="CN211" s="172" t="str">
        <x:f>IF(CA211="","",IFERROR(CF211*(CE211/CD211-1),0))</x:f>
      </x:c>
      <x:c r="CO211" s="147"/>
      <x:c r="CP211" s="147"/>
      <x:c r="CQ211" s="147"/>
      <x:c r="CR211" s="167"/>
      <x:c r="CS211" s="167"/>
      <x:c r="CT211" s="166"/>
      <x:c r="CU211" s="171" t="str">
        <x:f>IF(CO211="","",IFERROR(F211*CT211/CR211,0))</x:f>
      </x:c>
      <x:c r="CV211" s="171" t="str">
        <x:f>IF(CO211="","",F211*ABS(CT211))</x:f>
      </x:c>
      <x:c r="CW211" s="165"/>
      <x:c r="CX211" s="172" t="str">
        <x:f>IF(CO211="","",IF(CW211="","",IFERROR(CR211/CW211-1,0)))</x:f>
      </x:c>
      <x:c r="CY211" s="166"/>
      <x:c r="CZ211" s="172" t="str">
        <x:f>IF(CO211="","",IF(CY211="","",CY211-CX211*365/DA211))</x:f>
      </x:c>
      <x:c r="DA211" s="164"/>
      <x:c r="DB211" s="172" t="str">
        <x:f>IF(CO211="","",IFERROR(CT211*(CS211/CR211-1),0))</x:f>
      </x:c>
      <x:c r="DC211" s="147"/>
      <x:c r="DD211" s="147"/>
      <x:c r="DE211" s="147"/>
      <x:c r="DF211" s="167"/>
      <x:c r="DG211" s="167"/>
      <x:c r="DH211" s="166"/>
      <x:c r="DI211" s="171" t="str">
        <x:f>IF(DC211="","",IFERROR(F211*DH211/DF211,0))</x:f>
      </x:c>
      <x:c r="DJ211" s="171" t="str">
        <x:f>IF(DC211="","",F211*ABS(DH211))</x:f>
      </x:c>
      <x:c r="DK211" s="165"/>
      <x:c r="DL211" s="172" t="str">
        <x:f>IF(DC211="","",IF(DK211="","",IFERROR(DF211/DK211-1,0)))</x:f>
      </x:c>
      <x:c r="DM211" s="166"/>
      <x:c r="DN211" s="172" t="str">
        <x:f>IF(DC211="","",IF(DM211="","",DM211-DL211*365/DO211))</x:f>
      </x:c>
      <x:c r="DO211" s="164"/>
      <x:c r="DP211" s="172" t="str">
        <x:f>IF(DC211="","",IFERROR(DH211*(DG211/DF211-1),0))</x:f>
      </x:c>
      <x:c r="DQ211" s="147"/>
      <x:c r="DR211" s="147"/>
      <x:c r="DS211" s="147"/>
      <x:c r="DT211" s="167"/>
      <x:c r="DU211" s="167"/>
      <x:c r="DV211" s="166"/>
      <x:c r="DW211" s="171" t="str">
        <x:f>IF(DQ211="","",IFERROR(F211*DV211/DT211,0))</x:f>
      </x:c>
      <x:c r="DX211" s="171" t="str">
        <x:f>IF(DQ211="","",F211*ABS(DV211))</x:f>
      </x:c>
      <x:c r="DY211" s="165"/>
      <x:c r="DZ211" s="172" t="str">
        <x:f>IF(DQ211="","",IF(DY211="","",IFERROR(DT211/DY211-1,0)))</x:f>
      </x:c>
      <x:c r="EA211" s="166"/>
      <x:c r="EB211" s="172" t="str">
        <x:f>IF(DQ211="","",IF(EA211="","",EA211-DZ211*365/EC211))</x:f>
      </x:c>
      <x:c r="EC211" s="164"/>
      <x:c r="ED211" s="172" t="str">
        <x:f>IF(DQ211="","",IFERROR(DV211*(DU211/DT211-1),0))</x:f>
      </x:c>
      <x:c r="EE211" s="147"/>
      <x:c r="EF211" s="147"/>
      <x:c r="EG211" s="147"/>
      <x:c r="EH211" s="167"/>
      <x:c r="EI211" s="167"/>
      <x:c r="EJ211" s="166"/>
      <x:c r="EK211" s="171" t="str">
        <x:f>IF(EE211="","",IFERROR(F211*EJ211/EH211,0))</x:f>
      </x:c>
      <x:c r="EL211" s="171" t="str">
        <x:f>IF(EE211="","",F211*ABS(EJ211))</x:f>
      </x:c>
      <x:c r="EM211" s="165"/>
      <x:c r="EN211" s="172" t="str">
        <x:f>IF(EE211="","",IF(EM211="","",IFERROR(EH211/EM211-1,0)))</x:f>
      </x:c>
      <x:c r="EO211" s="166"/>
      <x:c r="EP211" s="172" t="str">
        <x:f>IF(EE211="","",IF(EO211="","",EO211-EN211*365/EQ211))</x:f>
      </x:c>
      <x:c r="EQ211" s="164"/>
      <x:c r="ER211" s="172" t="str">
        <x:f>IF(EE211="","",IFERROR(EJ211*(EI211/EH211-1),0))</x:f>
      </x:c>
      <x:c r="ES211" s="147"/>
      <x:c r="ET211" s="147"/>
      <x:c r="EU211" s="147"/>
      <x:c r="EV211" s="167"/>
      <x:c r="EW211" s="167"/>
      <x:c r="EX211" s="166"/>
      <x:c r="EY211" s="171" t="str">
        <x:f>IF(ES211="","",IFERROR(F211*EX211/EV211,0))</x:f>
      </x:c>
      <x:c r="EZ211" s="171" t="str">
        <x:f>IF(ES211="","",F211*ABS(EX211))</x:f>
      </x:c>
      <x:c r="FA211" s="165"/>
      <x:c r="FB211" s="172" t="str">
        <x:f>IF(ES211="","",IF(FA211="","",IFERROR(EV211/FA211-1,0)))</x:f>
      </x:c>
      <x:c r="FC211" s="166"/>
      <x:c r="FD211" s="172" t="str">
        <x:f>IF(ES211="","",IF(FC211="","",FC211-FB211*365/FE211))</x:f>
      </x:c>
      <x:c r="FE211" s="164"/>
      <x:c r="FF211" s="172" t="str">
        <x:f>IF(ES211="","",IFERROR(EX211*(EW211/EV211-1),0))</x:f>
      </x:c>
      <x:c r="FG211" s="147"/>
      <x:c r="FH211" s="147"/>
      <x:c r="FI211" s="147"/>
      <x:c r="FJ211" s="167"/>
      <x:c r="FK211" s="167"/>
      <x:c r="FL211" s="166"/>
      <x:c r="FM211" s="171" t="str">
        <x:f>IF(FG211="","",IFERROR(F211*FL211/FJ211,0))</x:f>
      </x:c>
      <x:c r="FN211" s="171" t="str">
        <x:f>IF(FG211="","",F211*ABS(FL211))</x:f>
      </x:c>
      <x:c r="FO211" s="165"/>
      <x:c r="FP211" s="172" t="str">
        <x:f>IF(FG211="","",IF(FO211="","",IFERROR(FJ211/FO211-1,0)))</x:f>
      </x:c>
      <x:c r="FQ211" s="166"/>
      <x:c r="FR211" s="172" t="str">
        <x:f>IF(FG211="","",IF(FQ211="","",FQ211-FP211*365/FS211))</x:f>
      </x:c>
      <x:c r="FS211" s="164"/>
      <x:c r="FT211" s="172" t="str">
        <x:f>IF(FG211="","",IFERROR(FL211*(FK211/FJ211-1),0))</x:f>
      </x:c>
    </x:row>
    <x:row r="212" ht="18" customHeight="1">
      <x:c r="A212" s="163" t="n">
        <x:v>25517</x:v>
      </x:c>
      <x:c r="B212" s="163" t="n">
        <x:v>25519</x:v>
      </x:c>
      <x:c r="C212" s="170" t="n">
        <x:f>B212-A212</x:f>
        <x:v>2</x:v>
      </x:c>
      <x:c r="D212" s="163" t="n">
        <x:v>25517</x:v>
      </x:c>
      <x:c r="E212" s="147" t="str">
        <x:v>neutral</x:v>
      </x:c>
      <x:c r="F212" s="165" t="n">
        <x:v>2.0122673583603334</x:v>
      </x:c>
      <x:c r="G212" s="168" t="n">
        <x:v>0.009250326073928858</x:v>
      </x:c>
      <x:c r="H212" s="172" t="n">
        <x:f>SUM(AX212,BL212,BZ212,CN212,DB212,DP212,ED212,ER212,FF212,FT212)</x:f>
        <x:v>0.009250326073928858</x:v>
      </x:c>
      <x:c r="I212" s="174" t="n">
        <x:f>G212-H212</x:f>
        <x:v>0</x:v>
      </x:c>
      <x:c r="J212" s="171" t="n">
        <x:f>F212*(1+H212)</x:f>
        <x:v>2.0308814875730903</x:v>
      </x:c>
      <x:c r="K212" s="169" t="n">
        <x:v>2.0308814875730903</x:v>
      </x:c>
      <x:c r="L212" s="175" t="n">
        <x:f>K212-J212</x:f>
        <x:v>0</x:v>
      </x:c>
      <x:c r="M212" s="167" t="n">
        <x:v>1.943</x:v>
      </x:c>
      <x:c r="N212" s="167" t="n">
        <x:v>1.961</x:v>
      </x:c>
      <x:c r="O212" s="172" t="n">
        <x:f>IFERROR(N212/M212-1,0)</x:f>
        <x:v>0.009264024704065843</x:v>
      </x:c>
      <x:c r="P212" s="171" t="n">
        <x:f>IFERROR(AD212/AH212,0)</x:f>
        <x:v>2.0278021037928626</x:v>
      </x:c>
      <x:c r="Q212" s="171" t="n">
        <x:f>IFERROR(AE212/AI212,0)</x:f>
        <x:v>2.0277745806568634</x:v>
      </x:c>
      <x:c r="R212" s="172" t="n">
        <x:f>IFERROR((Q212-P212)/(P212+S212),0)</x:f>
        <x:v>-0.000013572890543759446</x:v>
      </x:c>
      <x:c r="S212" s="172" t="n">
        <x:f>IFERROR(AF212/AH212,0)</x:f>
        <x:v>0</x:v>
      </x:c>
      <x:c r="T212" s="172" t="n">
        <x:f>IFERROR(AG212/AI212,0)</x:f>
        <x:v>0</x:v>
      </x:c>
      <x:c r="U212" s="172" t="n">
        <x:f>IFERROR((T212-S212)/(P212+S212),0)</x:f>
        <x:v>0</x:v>
      </x:c>
      <x:c r="V212" s="172" t="n">
        <x:f>R212+U212</x:f>
        <x:v>-0.000013572890543759446</x:v>
      </x:c>
      <x:c r="W212" s="172" t="n">
        <x:f>(1+O212)*(1+V212)-1</x:f>
        <x:v>0.009250326073928727</x:v>
      </x:c>
      <x:c r="X212" s="174" t="n">
        <x:f>G212-W212</x:f>
        <x:v>1.3010426069826053e-16</x:v>
      </x:c>
      <x:c r="Y212" s="172" t="n">
        <x:f>AX212</x:f>
        <x:v>0.009250326073928858</x:v>
      </x:c>
      <x:c r="Z212" s="172" t="str">
        <x:f>BL212</x:f>
      </x:c>
      <x:c r="AA212" s="172" t="n">
        <x:f>SUM(BZ212,CN212,DB212,DP212,ED212,ER212,FF212,FT212)</x:f>
        <x:v>0</x:v>
      </x:c>
      <x:c r="AB212" s="172" t="n">
        <x:f>SUM(Y212:AA212)</x:f>
        <x:v>0.009250326073928858</x:v>
      </x:c>
      <x:c r="AC212" s="174" t="n">
        <x:f>G212-AB212</x:f>
        <x:v>0</x:v>
      </x:c>
      <x:c r="AD212" s="169" t="n">
        <x:v>2.012267358360333</x:v>
      </x:c>
      <x:c r="AE212" s="169" t="n">
        <x:v>2.0308814875730894</x:v>
      </x:c>
      <x:c r="AF212" s="169" t="n">
        <x:v>0</x:v>
      </x:c>
      <x:c r="AG212" s="169" t="n">
        <x:v>0</x:v>
      </x:c>
      <x:c r="AH212" s="171" t="n">
        <x:f>M212/$M$3</x:f>
        <x:v>0.9923391215526047</x:v>
      </x:c>
      <x:c r="AI212" s="171" t="n">
        <x:f>N212/$M$3</x:f>
        <x:v>1.001532175689479</x:v>
      </x:c>
      <x:c r="AJ212" s="170" t="n">
        <x:f>IF(AK212&lt;&gt;"",1,0)+IF(AY212&lt;&gt;"",1,0)+IF(BM212&lt;&gt;"",1,0)+IF(CA212&lt;&gt;"",1,0)+IF(CO212&lt;&gt;"",1,0)+IF(DC212&lt;&gt;"",1,0)+IF(DQ212&lt;&gt;"",1,0)+IF(EE212&lt;&gt;"",1,0)+IF(ES212&lt;&gt;"",1,0)+IF(FG212&lt;&gt;"",1,0)</x:f>
        <x:v>1</x:v>
      </x:c>
      <x:c r="AK212" s="147" t="str">
        <x:v>Silver replicating holding (LBMA/SLV proxy)</x:v>
      </x:c>
      <x:c r="AL212" s="147" t="str">
        <x:v>Physical-backed proxy</x:v>
      </x:c>
      <x:c r="AM212" s="147" t="str">
        <x:v>Long</x:v>
      </x:c>
      <x:c r="AN212" s="167" t="n">
        <x:v>1.943</x:v>
      </x:c>
      <x:c r="AO212" s="167" t="n">
        <x:v>1.961</x:v>
      </x:c>
      <x:c r="AP212" s="166" t="n">
        <x:v>1</x:v>
      </x:c>
      <x:c r="AQ212" s="171" t="n">
        <x:f>IF(AK212="","",IFERROR(F212*AP212/AN212,0))</x:f>
        <x:v>1.035649695501973</x:v>
      </x:c>
      <x:c r="AR212" s="171" t="n">
        <x:f>IF(AK212="","",F212*ABS(AP212))</x:f>
        <x:v>2.0122673583603334</x:v>
      </x:c>
      <x:c r="AS212" s="165"/>
      <x:c r="AT212" s="172" t="str">
        <x:f>IF(AK212="","",IF(AS212="","",IFERROR(AN212/AS212-1,0)))</x:f>
      </x:c>
      <x:c r="AU212" s="166"/>
      <x:c r="AV212" s="172" t="str">
        <x:f>IF(AK212="","",IF(AU212="","",AU212-AT212*365/AW212))</x:f>
      </x:c>
      <x:c r="AW212" s="164"/>
      <x:c r="AX212" s="173" t="n">
        <x:f>IF(AK212="","",IFERROR(AP212*(AO212/AN212-1-'Parameters'!$C$6*C212/365),0))</x:f>
        <x:v>0.009250326073928858</x:v>
      </x:c>
      <x:c r="AY212" s="147"/>
      <x:c r="AZ212" s="147"/>
      <x:c r="BA212" s="147"/>
      <x:c r="BB212" s="167"/>
      <x:c r="BC212" s="167"/>
      <x:c r="BD212" s="166"/>
      <x:c r="BE212" s="171" t="str">
        <x:f>IF(AY212="","",IFERROR(F212*BD212/BB212,0))</x:f>
      </x:c>
      <x:c r="BF212" s="171" t="str">
        <x:f>IF(AY212="","",F212*ABS(BD212))</x:f>
      </x:c>
      <x:c r="BG212" s="165"/>
      <x:c r="BH212" s="172" t="str">
        <x:f>IF(AY212="","",IF(BG212="","",IFERROR(BB212/BG212-1,0)))</x:f>
      </x:c>
      <x:c r="BI212" s="166"/>
      <x:c r="BJ212" s="172" t="str">
        <x:f>IF(AY212="","",IF(BI212="","",BI212-BH212*365/BK212))</x:f>
      </x:c>
      <x:c r="BK212" s="164"/>
      <x:c r="BL212" s="172" t="str">
        <x:f>IF(AY212="","",IFERROR(BD212*(BC212/BB212-1),0))</x:f>
      </x:c>
      <x:c r="BM212" s="147"/>
      <x:c r="BN212" s="147"/>
      <x:c r="BO212" s="147"/>
      <x:c r="BP212" s="167"/>
      <x:c r="BQ212" s="167"/>
      <x:c r="BR212" s="166"/>
      <x:c r="BS212" s="171" t="str">
        <x:f>IF(BM212="","",IFERROR(F212*BR212/BP212,0))</x:f>
      </x:c>
      <x:c r="BT212" s="171" t="str">
        <x:f>IF(BM212="","",F212*ABS(BR212))</x:f>
      </x:c>
      <x:c r="BU212" s="165"/>
      <x:c r="BV212" s="172" t="str">
        <x:f>IF(BM212="","",IF(BU212="","",IFERROR(BP212/BU212-1,0)))</x:f>
      </x:c>
      <x:c r="BW212" s="166"/>
      <x:c r="BX212" s="172" t="str">
        <x:f>IF(BM212="","",IF(BW212="","",BW212-BV212*365/BY212))</x:f>
      </x:c>
      <x:c r="BY212" s="164"/>
      <x:c r="BZ212" s="172" t="str">
        <x:f>IF(BM212="","",IFERROR(BR212*(BQ212/BP212-1),0))</x:f>
      </x:c>
      <x:c r="CA212" s="147"/>
      <x:c r="CB212" s="147"/>
      <x:c r="CC212" s="147"/>
      <x:c r="CD212" s="167"/>
      <x:c r="CE212" s="167"/>
      <x:c r="CF212" s="166"/>
      <x:c r="CG212" s="171" t="str">
        <x:f>IF(CA212="","",IFERROR(F212*CF212/CD212,0))</x:f>
      </x:c>
      <x:c r="CH212" s="171" t="str">
        <x:f>IF(CA212="","",F212*ABS(CF212))</x:f>
      </x:c>
      <x:c r="CI212" s="165"/>
      <x:c r="CJ212" s="172" t="str">
        <x:f>IF(CA212="","",IF(CI212="","",IFERROR(CD212/CI212-1,0)))</x:f>
      </x:c>
      <x:c r="CK212" s="166"/>
      <x:c r="CL212" s="172" t="str">
        <x:f>IF(CA212="","",IF(CK212="","",CK212-CJ212*365/CM212))</x:f>
      </x:c>
      <x:c r="CM212" s="164"/>
      <x:c r="CN212" s="172" t="str">
        <x:f>IF(CA212="","",IFERROR(CF212*(CE212/CD212-1),0))</x:f>
      </x:c>
      <x:c r="CO212" s="147"/>
      <x:c r="CP212" s="147"/>
      <x:c r="CQ212" s="147"/>
      <x:c r="CR212" s="167"/>
      <x:c r="CS212" s="167"/>
      <x:c r="CT212" s="166"/>
      <x:c r="CU212" s="171" t="str">
        <x:f>IF(CO212="","",IFERROR(F212*CT212/CR212,0))</x:f>
      </x:c>
      <x:c r="CV212" s="171" t="str">
        <x:f>IF(CO212="","",F212*ABS(CT212))</x:f>
      </x:c>
      <x:c r="CW212" s="165"/>
      <x:c r="CX212" s="172" t="str">
        <x:f>IF(CO212="","",IF(CW212="","",IFERROR(CR212/CW212-1,0)))</x:f>
      </x:c>
      <x:c r="CY212" s="166"/>
      <x:c r="CZ212" s="172" t="str">
        <x:f>IF(CO212="","",IF(CY212="","",CY212-CX212*365/DA212))</x:f>
      </x:c>
      <x:c r="DA212" s="164"/>
      <x:c r="DB212" s="172" t="str">
        <x:f>IF(CO212="","",IFERROR(CT212*(CS212/CR212-1),0))</x:f>
      </x:c>
      <x:c r="DC212" s="147"/>
      <x:c r="DD212" s="147"/>
      <x:c r="DE212" s="147"/>
      <x:c r="DF212" s="167"/>
      <x:c r="DG212" s="167"/>
      <x:c r="DH212" s="166"/>
      <x:c r="DI212" s="171" t="str">
        <x:f>IF(DC212="","",IFERROR(F212*DH212/DF212,0))</x:f>
      </x:c>
      <x:c r="DJ212" s="171" t="str">
        <x:f>IF(DC212="","",F212*ABS(DH212))</x:f>
      </x:c>
      <x:c r="DK212" s="165"/>
      <x:c r="DL212" s="172" t="str">
        <x:f>IF(DC212="","",IF(DK212="","",IFERROR(DF212/DK212-1,0)))</x:f>
      </x:c>
      <x:c r="DM212" s="166"/>
      <x:c r="DN212" s="172" t="str">
        <x:f>IF(DC212="","",IF(DM212="","",DM212-DL212*365/DO212))</x:f>
      </x:c>
      <x:c r="DO212" s="164"/>
      <x:c r="DP212" s="172" t="str">
        <x:f>IF(DC212="","",IFERROR(DH212*(DG212/DF212-1),0))</x:f>
      </x:c>
      <x:c r="DQ212" s="147"/>
      <x:c r="DR212" s="147"/>
      <x:c r="DS212" s="147"/>
      <x:c r="DT212" s="167"/>
      <x:c r="DU212" s="167"/>
      <x:c r="DV212" s="166"/>
      <x:c r="DW212" s="171" t="str">
        <x:f>IF(DQ212="","",IFERROR(F212*DV212/DT212,0))</x:f>
      </x:c>
      <x:c r="DX212" s="171" t="str">
        <x:f>IF(DQ212="","",F212*ABS(DV212))</x:f>
      </x:c>
      <x:c r="DY212" s="165"/>
      <x:c r="DZ212" s="172" t="str">
        <x:f>IF(DQ212="","",IF(DY212="","",IFERROR(DT212/DY212-1,0)))</x:f>
      </x:c>
      <x:c r="EA212" s="166"/>
      <x:c r="EB212" s="172" t="str">
        <x:f>IF(DQ212="","",IF(EA212="","",EA212-DZ212*365/EC212))</x:f>
      </x:c>
      <x:c r="EC212" s="164"/>
      <x:c r="ED212" s="172" t="str">
        <x:f>IF(DQ212="","",IFERROR(DV212*(DU212/DT212-1),0))</x:f>
      </x:c>
      <x:c r="EE212" s="147"/>
      <x:c r="EF212" s="147"/>
      <x:c r="EG212" s="147"/>
      <x:c r="EH212" s="167"/>
      <x:c r="EI212" s="167"/>
      <x:c r="EJ212" s="166"/>
      <x:c r="EK212" s="171" t="str">
        <x:f>IF(EE212="","",IFERROR(F212*EJ212/EH212,0))</x:f>
      </x:c>
      <x:c r="EL212" s="171" t="str">
        <x:f>IF(EE212="","",F212*ABS(EJ212))</x:f>
      </x:c>
      <x:c r="EM212" s="165"/>
      <x:c r="EN212" s="172" t="str">
        <x:f>IF(EE212="","",IF(EM212="","",IFERROR(EH212/EM212-1,0)))</x:f>
      </x:c>
      <x:c r="EO212" s="166"/>
      <x:c r="EP212" s="172" t="str">
        <x:f>IF(EE212="","",IF(EO212="","",EO212-EN212*365/EQ212))</x:f>
      </x:c>
      <x:c r="EQ212" s="164"/>
      <x:c r="ER212" s="172" t="str">
        <x:f>IF(EE212="","",IFERROR(EJ212*(EI212/EH212-1),0))</x:f>
      </x:c>
      <x:c r="ES212" s="147"/>
      <x:c r="ET212" s="147"/>
      <x:c r="EU212" s="147"/>
      <x:c r="EV212" s="167"/>
      <x:c r="EW212" s="167"/>
      <x:c r="EX212" s="166"/>
      <x:c r="EY212" s="171" t="str">
        <x:f>IF(ES212="","",IFERROR(F212*EX212/EV212,0))</x:f>
      </x:c>
      <x:c r="EZ212" s="171" t="str">
        <x:f>IF(ES212="","",F212*ABS(EX212))</x:f>
      </x:c>
      <x:c r="FA212" s="165"/>
      <x:c r="FB212" s="172" t="str">
        <x:f>IF(ES212="","",IF(FA212="","",IFERROR(EV212/FA212-1,0)))</x:f>
      </x:c>
      <x:c r="FC212" s="166"/>
      <x:c r="FD212" s="172" t="str">
        <x:f>IF(ES212="","",IF(FC212="","",FC212-FB212*365/FE212))</x:f>
      </x:c>
      <x:c r="FE212" s="164"/>
      <x:c r="FF212" s="172" t="str">
        <x:f>IF(ES212="","",IFERROR(EX212*(EW212/EV212-1),0))</x:f>
      </x:c>
      <x:c r="FG212" s="147"/>
      <x:c r="FH212" s="147"/>
      <x:c r="FI212" s="147"/>
      <x:c r="FJ212" s="167"/>
      <x:c r="FK212" s="167"/>
      <x:c r="FL212" s="166"/>
      <x:c r="FM212" s="171" t="str">
        <x:f>IF(FG212="","",IFERROR(F212*FL212/FJ212,0))</x:f>
      </x:c>
      <x:c r="FN212" s="171" t="str">
        <x:f>IF(FG212="","",F212*ABS(FL212))</x:f>
      </x:c>
      <x:c r="FO212" s="165"/>
      <x:c r="FP212" s="172" t="str">
        <x:f>IF(FG212="","",IF(FO212="","",IFERROR(FJ212/FO212-1,0)))</x:f>
      </x:c>
      <x:c r="FQ212" s="166"/>
      <x:c r="FR212" s="172" t="str">
        <x:f>IF(FG212="","",IF(FQ212="","",FQ212-FP212*365/FS212))</x:f>
      </x:c>
      <x:c r="FS212" s="164"/>
      <x:c r="FT212" s="172" t="str">
        <x:f>IF(FG212="","",IFERROR(FL212*(FK212/FJ212-1),0))</x:f>
      </x:c>
    </x:row>
    <x:row r="213" ht="18" customHeight="1">
      <x:c r="A213" s="163" t="n">
        <x:v>25519</x:v>
      </x:c>
      <x:c r="B213" s="163" t="n">
        <x:v>25520</x:v>
      </x:c>
      <x:c r="C213" s="170" t="n">
        <x:f>B213-A213</x:f>
        <x:v>1</x:v>
      </x:c>
      <x:c r="D213" s="163" t="n">
        <x:v>25519</x:v>
      </x:c>
      <x:c r="E213" s="147" t="str">
        <x:v>positive</x:v>
      </x:c>
      <x:c r="F213" s="165" t="n">
        <x:v>2.0308814875730903</x:v>
      </x:c>
      <x:c r="G213" s="168" t="n">
        <x:v>-0.01675521346153666</x:v>
      </x:c>
      <x:c r="H213" s="172" t="n">
        <x:f>SUM(AX213,BL213,BZ213,CN213,DB213,DP213,ED213,ER213,FF213,FT213)</x:f>
        <x:v>-0.016755213461536682</x:v>
      </x:c>
      <x:c r="I213" s="174" t="n">
        <x:f>G213-H213</x:f>
        <x:v>2.0816681711721685e-17</x:v>
      </x:c>
      <x:c r="J213" s="171" t="n">
        <x:f>F213*(1+H213)</x:f>
        <x:v>1.99685363473372</x:v>
      </x:c>
      <x:c r="K213" s="169" t="n">
        <x:v>1.99685363473372</x:v>
      </x:c>
      <x:c r="L213" s="175" t="n">
        <x:f>K213-J213</x:f>
        <x:v>0</x:v>
      </x:c>
      <x:c r="M213" s="167" t="n">
        <x:v>1.961</x:v>
      </x:c>
      <x:c r="N213" s="167" t="n">
        <x:v>1.932</x:v>
      </x:c>
      <x:c r="O213" s="172" t="n">
        <x:f>IFERROR(N213/M213-1,0)</x:f>
        <x:v>-0.014788373278939337</x:v>
      </x:c>
      <x:c r="P213" s="171" t="n">
        <x:f>IFERROR(AD213/AH213,0)</x:f>
        <x:v>2.0277745806568634</x:v>
      </x:c>
      <x:c r="Q213" s="171" t="n">
        <x:f>IFERROR(AE213/AI213,0)</x:f>
        <x:v>2.023726406215643</x:v>
      </x:c>
      <x:c r="R213" s="172" t="n">
        <x:f>IFERROR((Q213-P213)/(P213+S213),0)</x:f>
        <x:v>-0.001996363146000821</x:v>
      </x:c>
      <x:c r="S213" s="172" t="n">
        <x:f>IFERROR(AF213/AH213,0)</x:f>
        <x:v>0</x:v>
      </x:c>
      <x:c r="T213" s="172" t="n">
        <x:f>IFERROR(AG213/AI213,0)</x:f>
        <x:v>0</x:v>
      </x:c>
      <x:c r="U213" s="172" t="n">
        <x:f>IFERROR((T213-S213)/(P213+S213),0)</x:f>
        <x:v>0</x:v>
      </x:c>
      <x:c r="V213" s="172" t="n">
        <x:f>R213+U213</x:f>
        <x:v>-0.001996363146000821</x:v>
      </x:c>
      <x:c r="W213" s="172" t="n">
        <x:f>(1+O213)*(1+V213)-1</x:f>
        <x:v>-0.016755213461536744</x:v>
      </x:c>
      <x:c r="X213" s="174" t="n">
        <x:f>G213-W213</x:f>
        <x:v>8.326672684688674e-17</x:v>
      </x:c>
      <x:c r="Y213" s="172" t="n">
        <x:f>AX213</x:f>
        <x:v>-0.00733249232672159</x:v>
      </x:c>
      <x:c r="Z213" s="172" t="n">
        <x:f>BL213</x:f>
        <x:v>0.0000990837722710107</x:v>
      </x:c>
      <x:c r="AA213" s="172" t="n">
        <x:f>SUM(BZ213,CN213,DB213,DP213,ED213,ER213,FF213,FT213)</x:f>
        <x:v>-0.009521804907086102</x:v>
      </x:c>
      <x:c r="AB213" s="172" t="n">
        <x:f>SUM(Y213:AA213)</x:f>
        <x:v>-0.016755213461536682</x:v>
      </x:c>
      <x:c r="AC213" s="174" t="n">
        <x:f>G213-AB213</x:f>
        <x:v>2.0816681711721685e-17</x:v>
      </x:c>
      <x:c r="AD213" s="169" t="n">
        <x:v>2.0308814875730894</x:v>
      </x:c>
      <x:c r="AE213" s="169" t="n">
        <x:v>1.9968536347337191</x:v>
      </x:c>
      <x:c r="AF213" s="169" t="n">
        <x:v>0</x:v>
      </x:c>
      <x:c r="AG213" s="169" t="n">
        <x:v>0</x:v>
      </x:c>
      <x:c r="AH213" s="171" t="n">
        <x:f>M213/$M$3</x:f>
        <x:v>1.001532175689479</x:v>
      </x:c>
      <x:c r="AI213" s="171" t="n">
        <x:f>N213/$M$3</x:f>
        <x:v>0.9867211440245148</x:v>
      </x:c>
      <x:c r="AJ213" s="170" t="n">
        <x:f>IF(AK213&lt;&gt;"",1,0)+IF(AY213&lt;&gt;"",1,0)+IF(BM213&lt;&gt;"",1,0)+IF(CA213&lt;&gt;"",1,0)+IF(CO213&lt;&gt;"",1,0)+IF(DC213&lt;&gt;"",1,0)+IF(DQ213&lt;&gt;"",1,0)+IF(EE213&lt;&gt;"",1,0)+IF(ES213&lt;&gt;"",1,0)+IF(FG213&lt;&gt;"",1,0)</x:f>
        <x:v>4</x:v>
      </x:c>
      <x:c r="AK213" s="147" t="str">
        <x:v>Silver replicating holding (LBMA/SLV proxy)</x:v>
      </x:c>
      <x:c r="AL213" s="147" t="str">
        <x:v>Physical-backed proxy</x:v>
      </x:c>
      <x:c r="AM213" s="147" t="str">
        <x:v>Long</x:v>
      </x:c>
      <x:c r="AN213" s="167" t="n">
        <x:v>1.961</x:v>
      </x:c>
      <x:c r="AO213" s="167" t="n">
        <x:v>1.932</x:v>
      </x:c>
      <x:c r="AP213" s="166" t="n">
        <x:v>0.49559864882947424</x:v>
      </x:c>
      <x:c r="AQ213" s="171" t="n">
        <x:f>IF(AK213="","",IFERROR(F213*AP213/AN213,0))</x:f>
        <x:v>0.5132596232401918</x:v>
      </x:c>
      <x:c r="AR213" s="171" t="n">
        <x:f>IF(AK213="","",F213*ABS(AP213))</x:f>
        <x:v>1.0065021211740162</x:v>
      </x:c>
      <x:c r="AS213" s="165"/>
      <x:c r="AT213" s="172" t="str">
        <x:f>IF(AK213="","",IF(AS213="","",IFERROR(AN213/AS213-1,0)))</x:f>
      </x:c>
      <x:c r="AU213" s="166"/>
      <x:c r="AV213" s="172" t="str">
        <x:f>IF(AK213="","",IF(AU213="","",AU213-AT213*365/AW213))</x:f>
      </x:c>
      <x:c r="AW213" s="164"/>
      <x:c r="AX213" s="173" t="n">
        <x:f>IF(AK213="","",IFERROR(AP213*(AO213/AN213-1-'Parameters'!$C$6*C213/365),0))</x:f>
        <x:v>-0.00733249232672159</x:v>
      </x:c>
      <x:c r="AY213" s="147" t="str">
        <x:v>Matched-maturity Treasury collateral</x:v>
      </x:c>
      <x:c r="AZ213" s="147" t="str">
        <x:v>Treasury</x:v>
      </x:c>
      <x:c r="BA213" s="147" t="str">
        <x:v>Long</x:v>
      </x:c>
      <x:c r="BB213" s="167" t="n">
        <x:v>105.76309382340752</x:v>
      </x:c>
      <x:c r="BC213" s="167" t="n">
        <x:v>105.78386975170105</x:v>
      </x:c>
      <x:c r="BD213" s="166" t="n">
        <x:v>0.5044013511705258</x:v>
      </x:c>
      <x:c r="BE213" s="171" t="n">
        <x:f>IF(AY213="","",IFERROR(F213*BD213/BB213,0))</x:f>
        <x:v>0.009685603260712843</x:v>
      </x:c>
      <x:c r="BF213" s="171" t="n">
        <x:f>IF(AY213="","",F213*ABS(BD213))</x:f>
        <x:v>1.0243793663990741</x:v>
      </x:c>
      <x:c r="BG213" s="165"/>
      <x:c r="BH213" s="172" t="str">
        <x:f>IF(AY213="","",IF(BG213="","",IFERROR(BB213/BG213-1,0)))</x:f>
      </x:c>
      <x:c r="BI213" s="166"/>
      <x:c r="BJ213" s="172" t="str">
        <x:f>IF(AY213="","",IF(BI213="","",BI213-BH213*365/BK213))</x:f>
      </x:c>
      <x:c r="BK213" s="164" t="n">
        <x:v>47.01627404786867</x:v>
      </x:c>
      <x:c r="BL213" s="172" t="n">
        <x:f>IF(AY213="","",IFERROR(BD213*(BC213/BB213-1),0))</x:f>
        <x:v>0.0000990837722710107</x:v>
      </x:c>
      <x:c r="BM213" s="147" t="str">
        <x:v>SI69Z</x:v>
      </x:c>
      <x:c r="BN213" s="147" t="str">
        <x:v>Silver future (regular)</x:v>
      </x:c>
      <x:c r="BO213" s="147" t="str">
        <x:v>Long</x:v>
      </x:c>
      <x:c r="BP213" s="167" t="n">
        <x:v>1.96</x:v>
      </x:c>
      <x:c r="BQ213" s="167" t="n">
        <x:v>1.923</x:v>
      </x:c>
      <x:c r="BR213" s="166" t="n">
        <x:v>0.50412772944606</x:v>
      </x:c>
      <x:c r="BS213" s="171" t="n">
        <x:f>IF(BM213="","",IFERROR(F213*BR213/BP213,0))</x:f>
        <x:v>0.5223590168899279</x:v>
      </x:c>
      <x:c r="BT213" s="171" t="n">
        <x:f>IF(BM213="","",F213*ABS(BR213))</x:f>
        <x:v>1.0238236731042587</x:v>
      </x:c>
      <x:c r="BU213" s="165" t="n">
        <x:v>1.961</x:v>
      </x:c>
      <x:c r="BV213" s="172" t="n">
        <x:f>IF(BM213="","",IF(BU213="","",IFERROR(BP213/BU213-1,0)))</x:f>
        <x:v>-0.0005099439061704292</x:v>
      </x:c>
      <x:c r="BW213" s="166" t="n">
        <x:v>0.0717</x:v>
      </x:c>
      <x:c r="BX213" s="172" t="n">
        <x:f>IF(BM213="","",IF(BW213="","",BW213-BV213*365/BY213))</x:f>
        <x:v>0.07566020267557887</x:v>
      </x:c>
      <x:c r="BY213" s="164" t="n">
        <x:v>47</x:v>
      </x:c>
      <x:c r="BZ213" s="172" t="n">
        <x:f>IF(BM213="","",IFERROR(BR213*(BQ213/BP213-1),0))</x:f>
        <x:v>-0.009516696933420495</x:v>
      </x:c>
      <x:c r="CA213" s="147" t="str">
        <x:v>SI70F</x:v>
      </x:c>
      <x:c r="CB213" s="147" t="str">
        <x:v>Silver future (regular)</x:v>
      </x:c>
      <x:c r="CC213" s="147" t="str">
        <x:v>Long</x:v>
      </x:c>
      <x:c r="CD213" s="167" t="n">
        <x:v>1.982</x:v>
      </x:c>
      <x:c r="CE213" s="167" t="n">
        <x:v>1.945</x:v>
      </x:c>
      <x:c r="CF213" s="166" t="n">
        <x:v>0.00027362172446575306</x:v>
      </x:c>
      <x:c r="CG213" s="171" t="n">
        <x:f>IF(CA213="","",IFERROR(F213*CF213/CD213,0))</x:f>
        <x:v>0.00028036997720248374</x:v>
      </x:c>
      <x:c r="CH213" s="171" t="n">
        <x:f>IF(CA213="","",F213*ABS(CF213))</x:f>
        <x:v>0.0005556932948153228</x:v>
      </x:c>
      <x:c r="CI213" s="165" t="n">
        <x:v>1.961</x:v>
      </x:c>
      <x:c r="CJ213" s="172" t="n">
        <x:f>IF(CA213="","",IF(CI213="","",IFERROR(CD213/CI213-1,0)))</x:f>
        <x:v>0.010708822029576792</x:v>
      </x:c>
      <x:c r="CK213" s="166" t="n">
        <x:v>0.0717</x:v>
      </x:c>
      <x:c r="CL213" s="172" t="n">
        <x:f>IF(CA213="","",IF(CK213="","",CK213-CJ213*365/CM213))</x:f>
        <x:v>0.020937402067590524</x:v>
      </x:c>
      <x:c r="CM213" s="164" t="n">
        <x:v>77</x:v>
      </x:c>
      <x:c r="CN213" s="172" t="n">
        <x:f>IF(CA213="","",IFERROR(CF213*(CE213/CD213-1),0))</x:f>
        <x:v>-0.000005107973665606896</x:v>
      </x:c>
      <x:c r="CO213" s="147"/>
      <x:c r="CP213" s="147"/>
      <x:c r="CQ213" s="147"/>
      <x:c r="CR213" s="167"/>
      <x:c r="CS213" s="167"/>
      <x:c r="CT213" s="166"/>
      <x:c r="CU213" s="171" t="str">
        <x:f>IF(CO213="","",IFERROR(F213*CT213/CR213,0))</x:f>
      </x:c>
      <x:c r="CV213" s="171" t="str">
        <x:f>IF(CO213="","",F213*ABS(CT213))</x:f>
      </x:c>
      <x:c r="CW213" s="165"/>
      <x:c r="CX213" s="172" t="str">
        <x:f>IF(CO213="","",IF(CW213="","",IFERROR(CR213/CW213-1,0)))</x:f>
      </x:c>
      <x:c r="CY213" s="166"/>
      <x:c r="CZ213" s="172" t="str">
        <x:f>IF(CO213="","",IF(CY213="","",CY213-CX213*365/DA213))</x:f>
      </x:c>
      <x:c r="DA213" s="164"/>
      <x:c r="DB213" s="172" t="str">
        <x:f>IF(CO213="","",IFERROR(CT213*(CS213/CR213-1),0))</x:f>
      </x:c>
      <x:c r="DC213" s="147"/>
      <x:c r="DD213" s="147"/>
      <x:c r="DE213" s="147"/>
      <x:c r="DF213" s="167"/>
      <x:c r="DG213" s="167"/>
      <x:c r="DH213" s="166"/>
      <x:c r="DI213" s="171" t="str">
        <x:f>IF(DC213="","",IFERROR(F213*DH213/DF213,0))</x:f>
      </x:c>
      <x:c r="DJ213" s="171" t="str">
        <x:f>IF(DC213="","",F213*ABS(DH213))</x:f>
      </x:c>
      <x:c r="DK213" s="165"/>
      <x:c r="DL213" s="172" t="str">
        <x:f>IF(DC213="","",IF(DK213="","",IFERROR(DF213/DK213-1,0)))</x:f>
      </x:c>
      <x:c r="DM213" s="166"/>
      <x:c r="DN213" s="172" t="str">
        <x:f>IF(DC213="","",IF(DM213="","",DM213-DL213*365/DO213))</x:f>
      </x:c>
      <x:c r="DO213" s="164"/>
      <x:c r="DP213" s="172" t="str">
        <x:f>IF(DC213="","",IFERROR(DH213*(DG213/DF213-1),0))</x:f>
      </x:c>
      <x:c r="DQ213" s="147"/>
      <x:c r="DR213" s="147"/>
      <x:c r="DS213" s="147"/>
      <x:c r="DT213" s="167"/>
      <x:c r="DU213" s="167"/>
      <x:c r="DV213" s="166"/>
      <x:c r="DW213" s="171" t="str">
        <x:f>IF(DQ213="","",IFERROR(F213*DV213/DT213,0))</x:f>
      </x:c>
      <x:c r="DX213" s="171" t="str">
        <x:f>IF(DQ213="","",F213*ABS(DV213))</x:f>
      </x:c>
      <x:c r="DY213" s="165"/>
      <x:c r="DZ213" s="172" t="str">
        <x:f>IF(DQ213="","",IF(DY213="","",IFERROR(DT213/DY213-1,0)))</x:f>
      </x:c>
      <x:c r="EA213" s="166"/>
      <x:c r="EB213" s="172" t="str">
        <x:f>IF(DQ213="","",IF(EA213="","",EA213-DZ213*365/EC213))</x:f>
      </x:c>
      <x:c r="EC213" s="164"/>
      <x:c r="ED213" s="172" t="str">
        <x:f>IF(DQ213="","",IFERROR(DV213*(DU213/DT213-1),0))</x:f>
      </x:c>
      <x:c r="EE213" s="147"/>
      <x:c r="EF213" s="147"/>
      <x:c r="EG213" s="147"/>
      <x:c r="EH213" s="167"/>
      <x:c r="EI213" s="167"/>
      <x:c r="EJ213" s="166"/>
      <x:c r="EK213" s="171" t="str">
        <x:f>IF(EE213="","",IFERROR(F213*EJ213/EH213,0))</x:f>
      </x:c>
      <x:c r="EL213" s="171" t="str">
        <x:f>IF(EE213="","",F213*ABS(EJ213))</x:f>
      </x:c>
      <x:c r="EM213" s="165"/>
      <x:c r="EN213" s="172" t="str">
        <x:f>IF(EE213="","",IF(EM213="","",IFERROR(EH213/EM213-1,0)))</x:f>
      </x:c>
      <x:c r="EO213" s="166"/>
      <x:c r="EP213" s="172" t="str">
        <x:f>IF(EE213="","",IF(EO213="","",EO213-EN213*365/EQ213))</x:f>
      </x:c>
      <x:c r="EQ213" s="164"/>
      <x:c r="ER213" s="172" t="str">
        <x:f>IF(EE213="","",IFERROR(EJ213*(EI213/EH213-1),0))</x:f>
      </x:c>
      <x:c r="ES213" s="147"/>
      <x:c r="ET213" s="147"/>
      <x:c r="EU213" s="147"/>
      <x:c r="EV213" s="167"/>
      <x:c r="EW213" s="167"/>
      <x:c r="EX213" s="166"/>
      <x:c r="EY213" s="171" t="str">
        <x:f>IF(ES213="","",IFERROR(F213*EX213/EV213,0))</x:f>
      </x:c>
      <x:c r="EZ213" s="171" t="str">
        <x:f>IF(ES213="","",F213*ABS(EX213))</x:f>
      </x:c>
      <x:c r="FA213" s="165"/>
      <x:c r="FB213" s="172" t="str">
        <x:f>IF(ES213="","",IF(FA213="","",IFERROR(EV213/FA213-1,0)))</x:f>
      </x:c>
      <x:c r="FC213" s="166"/>
      <x:c r="FD213" s="172" t="str">
        <x:f>IF(ES213="","",IF(FC213="","",FC213-FB213*365/FE213))</x:f>
      </x:c>
      <x:c r="FE213" s="164"/>
      <x:c r="FF213" s="172" t="str">
        <x:f>IF(ES213="","",IFERROR(EX213*(EW213/EV213-1),0))</x:f>
      </x:c>
      <x:c r="FG213" s="147"/>
      <x:c r="FH213" s="147"/>
      <x:c r="FI213" s="147"/>
      <x:c r="FJ213" s="167"/>
      <x:c r="FK213" s="167"/>
      <x:c r="FL213" s="166"/>
      <x:c r="FM213" s="171" t="str">
        <x:f>IF(FG213="","",IFERROR(F213*FL213/FJ213,0))</x:f>
      </x:c>
      <x:c r="FN213" s="171" t="str">
        <x:f>IF(FG213="","",F213*ABS(FL213))</x:f>
      </x:c>
      <x:c r="FO213" s="165"/>
      <x:c r="FP213" s="172" t="str">
        <x:f>IF(FG213="","",IF(FO213="","",IFERROR(FJ213/FO213-1,0)))</x:f>
      </x:c>
      <x:c r="FQ213" s="166"/>
      <x:c r="FR213" s="172" t="str">
        <x:f>IF(FG213="","",IF(FQ213="","",FQ213-FP213*365/FS213))</x:f>
      </x:c>
      <x:c r="FS213" s="164"/>
      <x:c r="FT213" s="172" t="str">
        <x:f>IF(FG213="","",IFERROR(FL213*(FK213/FJ213-1),0))</x:f>
      </x:c>
    </x:row>
    <x:row r="214" ht="18" customHeight="1">
      <x:c r="A214" s="163" t="n">
        <x:v>25520</x:v>
      </x:c>
      <x:c r="B214" s="163" t="n">
        <x:v>25521</x:v>
      </x:c>
      <x:c r="C214" s="170" t="n">
        <x:f>B214-A214</x:f>
        <x:v>1</x:v>
      </x:c>
      <x:c r="D214" s="163" t="n">
        <x:v>25520</x:v>
      </x:c>
      <x:c r="E214" s="147" t="str">
        <x:v>positive</x:v>
      </x:c>
      <x:c r="F214" s="165" t="n">
        <x:v>1.99685363473372</x:v>
      </x:c>
      <x:c r="G214" s="168" t="n">
        <x:v>0.0021251534656584695</x:v>
      </x:c>
      <x:c r="H214" s="172" t="n">
        <x:f>SUM(AX214,BL214,BZ214,CN214,DB214,DP214,ED214,ER214,FF214,FT214)</x:f>
        <x:v>0.002125153465658467</x:v>
      </x:c>
      <x:c r="I214" s="174" t="n">
        <x:f>G214-H214</x:f>
        <x:v>2.6020852139652106e-18</x:v>
      </x:c>
      <x:c r="J214" s="171" t="n">
        <x:f>F214*(1+H214)</x:f>
        <x:v>2.001097255155987</x:v>
      </x:c>
      <x:c r="K214" s="169" t="n">
        <x:v>2.001097255155987</x:v>
      </x:c>
      <x:c r="L214" s="175" t="n">
        <x:f>K214-J214</x:f>
        <x:v>0</x:v>
      </x:c>
      <x:c r="M214" s="167" t="n">
        <x:v>1.932</x:v>
      </x:c>
      <x:c r="N214" s="167" t="n">
        <x:v>1.922</x:v>
      </x:c>
      <x:c r="O214" s="172" t="n">
        <x:f>IFERROR(N214/M214-1,0)</x:f>
        <x:v>-0.005175983436852993</x:v>
      </x:c>
      <x:c r="P214" s="171" t="n">
        <x:f>IFERROR(AD214/AH214,0)</x:f>
        <x:v>2.023726406215643</x:v>
      </x:c>
      <x:c r="Q214" s="171" t="n">
        <x:f>IFERROR(AE214/AI214,0)</x:f>
        <x:v>2.0385787854294595</x:v>
      </x:c>
      <x:c r="R214" s="172" t="n">
        <x:f>IFERROR((Q214-P214)/(P214+S214),0)</x:f>
        <x:v>0.007339124087228038</x:v>
      </x:c>
      <x:c r="S214" s="172" t="n">
        <x:f>IFERROR(AF214/AH214,0)</x:f>
        <x:v>0</x:v>
      </x:c>
      <x:c r="T214" s="172" t="n">
        <x:f>IFERROR(AG214/AI214,0)</x:f>
        <x:v>0</x:v>
      </x:c>
      <x:c r="U214" s="172" t="n">
        <x:f>IFERROR((T214-S214)/(P214+S214),0)</x:f>
        <x:v>0</x:v>
      </x:c>
      <x:c r="V214" s="172" t="n">
        <x:f>R214+U214</x:f>
        <x:v>0.007339124087228038</x:v>
      </x:c>
      <x:c r="W214" s="172" t="n">
        <x:f>(1+O214)*(1+V214)-1</x:f>
        <x:v>0.002125153465658558</x:v>
      </x:c>
      <x:c r="X214" s="174" t="n">
        <x:f>G214-W214</x:f>
        <x:v>-8.847089727481716e-17</x:v>
      </x:c>
      <x:c r="Y214" s="172" t="n">
        <x:f>AX214</x:f>
        <x:v>-0.0014179099507592914</x:v>
      </x:c>
      <x:c r="Z214" s="172" t="n">
        <x:f>BL214</x:f>
        <x:v>0.00014329416726163944</x:v>
      </x:c>
      <x:c r="AA214" s="172" t="n">
        <x:f>SUM(BZ214,CN214,DB214,DP214,ED214,ER214,FF214,FT214)</x:f>
        <x:v>0.003399769249156119</x:v>
      </x:c>
      <x:c r="AB214" s="172" t="n">
        <x:f>SUM(Y214:AA214)</x:f>
        <x:v>0.002125153465658467</x:v>
      </x:c>
      <x:c r="AC214" s="174" t="n">
        <x:f>G214-AB214</x:f>
        <x:v>2.6020852139652106e-18</x:v>
      </x:c>
      <x:c r="AD214" s="169" t="n">
        <x:v>1.9968536347337191</x:v>
      </x:c>
      <x:c r="AE214" s="169" t="n">
        <x:v>2.0010972551559862</x:v>
      </x:c>
      <x:c r="AF214" s="169" t="n">
        <x:v>0</x:v>
      </x:c>
      <x:c r="AG214" s="169" t="n">
        <x:v>0</x:v>
      </x:c>
      <x:c r="AH214" s="171" t="n">
        <x:f>M214/$M$3</x:f>
        <x:v>0.9867211440245148</x:v>
      </x:c>
      <x:c r="AI214" s="171" t="n">
        <x:f>N214/$M$3</x:f>
        <x:v>0.9816138917262512</x:v>
      </x:c>
      <x:c r="AJ214" s="170" t="n">
        <x:f>IF(AK214&lt;&gt;"",1,0)+IF(AY214&lt;&gt;"",1,0)+IF(BM214&lt;&gt;"",1,0)+IF(CA214&lt;&gt;"",1,0)+IF(CO214&lt;&gt;"",1,0)+IF(DC214&lt;&gt;"",1,0)+IF(DQ214&lt;&gt;"",1,0)+IF(EE214&lt;&gt;"",1,0)+IF(ES214&lt;&gt;"",1,0)+IF(FG214&lt;&gt;"",1,0)</x:f>
        <x:v>4</x:v>
      </x:c>
      <x:c r="AK214" s="147" t="str">
        <x:v>Silver replicating holding (LBMA/SLV proxy)</x:v>
      </x:c>
      <x:c r="AL214" s="147" t="str">
        <x:v>Physical-backed proxy</x:v>
      </x:c>
      <x:c r="AM214" s="147" t="str">
        <x:v>Long</x:v>
      </x:c>
      <x:c r="AN214" s="167" t="n">
        <x:v>1.932</x:v>
      </x:c>
      <x:c r="AO214" s="167" t="n">
        <x:v>1.922</x:v>
      </x:c>
      <x:c r="AP214" s="166" t="n">
        <x:v>0.2735781798541762</x:v>
      </x:c>
      <x:c r="AQ214" s="171" t="n">
        <x:f>IF(AK214="","",IFERROR(F214*AP214/AN214,0))</x:f>
        <x:v>0.2827616888331507</x:v>
      </x:c>
      <x:c r="AR214" s="171" t="n">
        <x:f>IF(AK214="","",F214*ABS(AP214))</x:f>
        <x:v>0.5462955828256472</x:v>
      </x:c>
      <x:c r="AS214" s="165"/>
      <x:c r="AT214" s="172" t="str">
        <x:f>IF(AK214="","",IF(AS214="","",IFERROR(AN214/AS214-1,0)))</x:f>
      </x:c>
      <x:c r="AU214" s="166"/>
      <x:c r="AV214" s="172" t="str">
        <x:f>IF(AK214="","",IF(AU214="","",AU214-AT214*365/AW214))</x:f>
      </x:c>
      <x:c r="AW214" s="164"/>
      <x:c r="AX214" s="173" t="n">
        <x:f>IF(AK214="","",IFERROR(AP214*(AO214/AN214-1-'Parameters'!$C$6*C214/365),0))</x:f>
        <x:v>-0.0014179099507592914</x:v>
      </x:c>
      <x:c r="AY214" s="147" t="str">
        <x:v>Matched-maturity Treasury collateral</x:v>
      </x:c>
      <x:c r="AZ214" s="147" t="str">
        <x:v>Treasury</x:v>
      </x:c>
      <x:c r="BA214" s="147" t="str">
        <x:v>Long</x:v>
      </x:c>
      <x:c r="BB214" s="167" t="n">
        <x:v>105.78386975170105</x:v>
      </x:c>
      <x:c r="BC214" s="167" t="n">
        <x:v>105.80473670683016</x:v>
      </x:c>
      <x:c r="BD214" s="166" t="n">
        <x:v>0.7264218201458238</x:v>
      </x:c>
      <x:c r="BE214" s="171" t="n">
        <x:f>IF(AY214="","",IFERROR(F214*BD214/BB214,0))</x:f>
        <x:v>0.013712469162953338</x:v>
      </x:c>
      <x:c r="BF214" s="171" t="n">
        <x:f>IF(AY214="","",F214*ABS(BD214))</x:f>
        <x:v>1.450558051908073</x:v>
      </x:c>
      <x:c r="BG214" s="165"/>
      <x:c r="BH214" s="172" t="str">
        <x:f>IF(AY214="","",IF(BG214="","",IFERROR(BB214/BG214-1,0)))</x:f>
      </x:c>
      <x:c r="BI214" s="166"/>
      <x:c r="BJ214" s="172" t="str">
        <x:f>IF(AY214="","",IF(BI214="","",BI214-BH214*365/BK214))</x:f>
      </x:c>
      <x:c r="BK214" s="164" t="n">
        <x:v>46.01627404786867</x:v>
      </x:c>
      <x:c r="BL214" s="172" t="n">
        <x:f>IF(AY214="","",IFERROR(BD214*(BC214/BB214-1),0))</x:f>
        <x:v>0.00014329416726163944</x:v>
      </x:c>
      <x:c r="BM214" s="147" t="str">
        <x:v>SI69Z</x:v>
      </x:c>
      <x:c r="BN214" s="147" t="str">
        <x:v>Silver future (regular)</x:v>
      </x:c>
      <x:c r="BO214" s="147" t="str">
        <x:v>Long</x:v>
      </x:c>
      <x:c r="BP214" s="167" t="n">
        <x:v>1.923</x:v>
      </x:c>
      <x:c r="BQ214" s="167" t="n">
        <x:v>1.932</x:v>
      </x:c>
      <x:c r="BR214" s="166" t="n">
        <x:v>0.7260277593633604</x:v>
      </x:c>
      <x:c r="BS214" s="171" t="n">
        <x:f>IF(BM214="","",IFERROR(F214*BR214/BP214,0))</x:f>
        <x:v>0.7539111649517966</x:v>
      </x:c>
      <x:c r="BT214" s="171" t="n">
        <x:f>IF(BM214="","",F214*ABS(BR214))</x:f>
        <x:v>1.4497711702023048</x:v>
      </x:c>
      <x:c r="BU214" s="165" t="n">
        <x:v>1.932</x:v>
      </x:c>
      <x:c r="BV214" s="172" t="n">
        <x:f>IF(BM214="","",IF(BU214="","",IFERROR(BP214/BU214-1,0)))</x:f>
        <x:v>-0.004658385093167627</x:v>
      </x:c>
      <x:c r="BW214" s="166" t="n">
        <x:v>0.07200000000000001</x:v>
      </x:c>
      <x:c r="BX214" s="172" t="n">
        <x:f>IF(BM214="","",IF(BW214="","",BW214-BV214*365/BY214))</x:f>
        <x:v>0.10896327302187357</x:v>
      </x:c>
      <x:c r="BY214" s="164" t="n">
        <x:v>46</x:v>
      </x:c>
      <x:c r="BZ214" s="172" t="n">
        <x:f>IF(BM214="","",IFERROR(BR214*(BQ214/BP214-1),0))</x:f>
        <x:v>0.0033979458316537176</x:v>
      </x:c>
      <x:c r="CA214" s="147" t="str">
        <x:v>SI70F</x:v>
      </x:c>
      <x:c r="CB214" s="147" t="str">
        <x:v>Silver future (regular)</x:v>
      </x:c>
      <x:c r="CC214" s="147" t="str">
        <x:v>Long</x:v>
      </x:c>
      <x:c r="CD214" s="167" t="n">
        <x:v>1.945</x:v>
      </x:c>
      <x:c r="CE214" s="167" t="n">
        <x:v>1.954</x:v>
      </x:c>
      <x:c r="CF214" s="166" t="n">
        <x:v>0.00039406078246339573</x:v>
      </x:c>
      <x:c r="CG214" s="171" t="n">
        <x:f>IF(CA214="","",IFERROR(F214*CF214/CD214,0))</x:f>
        <x:v>0.00040456642970079456</x:v>
      </x:c>
      <x:c r="CH214" s="171" t="n">
        <x:f>IF(CA214="","",F214*ABS(CF214))</x:f>
        <x:v>0.0007868817057680455</x:v>
      </x:c>
      <x:c r="CI214" s="165" t="n">
        <x:v>1.932</x:v>
      </x:c>
      <x:c r="CJ214" s="172" t="n">
        <x:f>IF(CA214="","",IF(CI214="","",IFERROR(CD214/CI214-1,0)))</x:f>
        <x:v>0.006728778467908869</x:v>
      </x:c>
      <x:c r="CK214" s="166" t="n">
        <x:v>0.07200000000000001</x:v>
      </x:c>
      <x:c r="CL214" s="172" t="n">
        <x:f>IF(CA214="","",IF(CK214="","",CK214-CJ214*365/CM214))</x:f>
        <x:v>0.03968415604227978</x:v>
      </x:c>
      <x:c r="CM214" s="164" t="n">
        <x:v>76</x:v>
      </x:c>
      <x:c r="CN214" s="172" t="n">
        <x:f>IF(CA214="","",IFERROR(CF214*(CE214/CD214-1),0))</x:f>
        <x:v>0.0000018234175024013263</x:v>
      </x:c>
      <x:c r="CO214" s="147"/>
      <x:c r="CP214" s="147"/>
      <x:c r="CQ214" s="147"/>
      <x:c r="CR214" s="167"/>
      <x:c r="CS214" s="167"/>
      <x:c r="CT214" s="166"/>
      <x:c r="CU214" s="171" t="str">
        <x:f>IF(CO214="","",IFERROR(F214*CT214/CR214,0))</x:f>
      </x:c>
      <x:c r="CV214" s="171" t="str">
        <x:f>IF(CO214="","",F214*ABS(CT214))</x:f>
      </x:c>
      <x:c r="CW214" s="165"/>
      <x:c r="CX214" s="172" t="str">
        <x:f>IF(CO214="","",IF(CW214="","",IFERROR(CR214/CW214-1,0)))</x:f>
      </x:c>
      <x:c r="CY214" s="166"/>
      <x:c r="CZ214" s="172" t="str">
        <x:f>IF(CO214="","",IF(CY214="","",CY214-CX214*365/DA214))</x:f>
      </x:c>
      <x:c r="DA214" s="164"/>
      <x:c r="DB214" s="172" t="str">
        <x:f>IF(CO214="","",IFERROR(CT214*(CS214/CR214-1),0))</x:f>
      </x:c>
      <x:c r="DC214" s="147"/>
      <x:c r="DD214" s="147"/>
      <x:c r="DE214" s="147"/>
      <x:c r="DF214" s="167"/>
      <x:c r="DG214" s="167"/>
      <x:c r="DH214" s="166"/>
      <x:c r="DI214" s="171" t="str">
        <x:f>IF(DC214="","",IFERROR(F214*DH214/DF214,0))</x:f>
      </x:c>
      <x:c r="DJ214" s="171" t="str">
        <x:f>IF(DC214="","",F214*ABS(DH214))</x:f>
      </x:c>
      <x:c r="DK214" s="165"/>
      <x:c r="DL214" s="172" t="str">
        <x:f>IF(DC214="","",IF(DK214="","",IFERROR(DF214/DK214-1,0)))</x:f>
      </x:c>
      <x:c r="DM214" s="166"/>
      <x:c r="DN214" s="172" t="str">
        <x:f>IF(DC214="","",IF(DM214="","",DM214-DL214*365/DO214))</x:f>
      </x:c>
      <x:c r="DO214" s="164"/>
      <x:c r="DP214" s="172" t="str">
        <x:f>IF(DC214="","",IFERROR(DH214*(DG214/DF214-1),0))</x:f>
      </x:c>
      <x:c r="DQ214" s="147"/>
      <x:c r="DR214" s="147"/>
      <x:c r="DS214" s="147"/>
      <x:c r="DT214" s="167"/>
      <x:c r="DU214" s="167"/>
      <x:c r="DV214" s="166"/>
      <x:c r="DW214" s="171" t="str">
        <x:f>IF(DQ214="","",IFERROR(F214*DV214/DT214,0))</x:f>
      </x:c>
      <x:c r="DX214" s="171" t="str">
        <x:f>IF(DQ214="","",F214*ABS(DV214))</x:f>
      </x:c>
      <x:c r="DY214" s="165"/>
      <x:c r="DZ214" s="172" t="str">
        <x:f>IF(DQ214="","",IF(DY214="","",IFERROR(DT214/DY214-1,0)))</x:f>
      </x:c>
      <x:c r="EA214" s="166"/>
      <x:c r="EB214" s="172" t="str">
        <x:f>IF(DQ214="","",IF(EA214="","",EA214-DZ214*365/EC214))</x:f>
      </x:c>
      <x:c r="EC214" s="164"/>
      <x:c r="ED214" s="172" t="str">
        <x:f>IF(DQ214="","",IFERROR(DV214*(DU214/DT214-1),0))</x:f>
      </x:c>
      <x:c r="EE214" s="147"/>
      <x:c r="EF214" s="147"/>
      <x:c r="EG214" s="147"/>
      <x:c r="EH214" s="167"/>
      <x:c r="EI214" s="167"/>
      <x:c r="EJ214" s="166"/>
      <x:c r="EK214" s="171" t="str">
        <x:f>IF(EE214="","",IFERROR(F214*EJ214/EH214,0))</x:f>
      </x:c>
      <x:c r="EL214" s="171" t="str">
        <x:f>IF(EE214="","",F214*ABS(EJ214))</x:f>
      </x:c>
      <x:c r="EM214" s="165"/>
      <x:c r="EN214" s="172" t="str">
        <x:f>IF(EE214="","",IF(EM214="","",IFERROR(EH214/EM214-1,0)))</x:f>
      </x:c>
      <x:c r="EO214" s="166"/>
      <x:c r="EP214" s="172" t="str">
        <x:f>IF(EE214="","",IF(EO214="","",EO214-EN214*365/EQ214))</x:f>
      </x:c>
      <x:c r="EQ214" s="164"/>
      <x:c r="ER214" s="172" t="str">
        <x:f>IF(EE214="","",IFERROR(EJ214*(EI214/EH214-1),0))</x:f>
      </x:c>
      <x:c r="ES214" s="147"/>
      <x:c r="ET214" s="147"/>
      <x:c r="EU214" s="147"/>
      <x:c r="EV214" s="167"/>
      <x:c r="EW214" s="167"/>
      <x:c r="EX214" s="166"/>
      <x:c r="EY214" s="171" t="str">
        <x:f>IF(ES214="","",IFERROR(F214*EX214/EV214,0))</x:f>
      </x:c>
      <x:c r="EZ214" s="171" t="str">
        <x:f>IF(ES214="","",F214*ABS(EX214))</x:f>
      </x:c>
      <x:c r="FA214" s="165"/>
      <x:c r="FB214" s="172" t="str">
        <x:f>IF(ES214="","",IF(FA214="","",IFERROR(EV214/FA214-1,0)))</x:f>
      </x:c>
      <x:c r="FC214" s="166"/>
      <x:c r="FD214" s="172" t="str">
        <x:f>IF(ES214="","",IF(FC214="","",FC214-FB214*365/FE214))</x:f>
      </x:c>
      <x:c r="FE214" s="164"/>
      <x:c r="FF214" s="172" t="str">
        <x:f>IF(ES214="","",IFERROR(EX214*(EW214/EV214-1),0))</x:f>
      </x:c>
      <x:c r="FG214" s="147"/>
      <x:c r="FH214" s="147"/>
      <x:c r="FI214" s="147"/>
      <x:c r="FJ214" s="167"/>
      <x:c r="FK214" s="167"/>
      <x:c r="FL214" s="166"/>
      <x:c r="FM214" s="171" t="str">
        <x:f>IF(FG214="","",IFERROR(F214*FL214/FJ214,0))</x:f>
      </x:c>
      <x:c r="FN214" s="171" t="str">
        <x:f>IF(FG214="","",F214*ABS(FL214))</x:f>
      </x:c>
      <x:c r="FO214" s="165"/>
      <x:c r="FP214" s="172" t="str">
        <x:f>IF(FG214="","",IF(FO214="","",IFERROR(FJ214/FO214-1,0)))</x:f>
      </x:c>
      <x:c r="FQ214" s="166"/>
      <x:c r="FR214" s="172" t="str">
        <x:f>IF(FG214="","",IF(FQ214="","",FQ214-FP214*365/FS214))</x:f>
      </x:c>
      <x:c r="FS214" s="164"/>
      <x:c r="FT214" s="172" t="str">
        <x:f>IF(FG214="","",IFERROR(FL214*(FK214/FJ214-1),0))</x:f>
      </x:c>
    </x:row>
    <x:row r="215" ht="18" customHeight="1">
      <x:c r="A215" s="163" t="n">
        <x:v>25521</x:v>
      </x:c>
      <x:c r="B215" s="163" t="n">
        <x:v>25524</x:v>
      </x:c>
      <x:c r="C215" s="170" t="n">
        <x:f>B215-A215</x:f>
        <x:v>3</x:v>
      </x:c>
      <x:c r="D215" s="163" t="n">
        <x:v>25521</x:v>
      </x:c>
      <x:c r="E215" s="147" t="str">
        <x:v>positive</x:v>
      </x:c>
      <x:c r="F215" s="165" t="n">
        <x:v>2.001097255155987</x:v>
      </x:c>
      <x:c r="G215" s="168" t="n">
        <x:v>-0.005673435000605199</x:v>
      </x:c>
      <x:c r="H215" s="172" t="n">
        <x:f>SUM(AX215,BL215,BZ215,CN215,DB215,DP215,ED215,ER215,FF215,FT215)</x:f>
        <x:v>-0.005673435000605198</x:v>
      </x:c>
      <x:c r="I215" s="174" t="n">
        <x:f>G215-H215</x:f>
        <x:v>-8.673617379884035e-19</x:v>
      </x:c>
      <x:c r="J215" s="171" t="n">
        <x:f>F215*(1+H215)</x:f>
        <x:v>1.98974415994897</x:v>
      </x:c>
      <x:c r="K215" s="169" t="n">
        <x:v>1.98974415994897</x:v>
      </x:c>
      <x:c r="L215" s="175" t="n">
        <x:f>K215-J215</x:f>
        <x:v>0</x:v>
      </x:c>
      <x:c r="M215" s="167" t="n">
        <x:v>1.922</x:v>
      </x:c>
      <x:c r="N215" s="167" t="n">
        <x:v>1.921</x:v>
      </x:c>
      <x:c r="O215" s="172" t="n">
        <x:f>IFERROR(N215/M215-1,0)</x:f>
        <x:v>-0.0005202913631633388</x:v>
      </x:c>
      <x:c r="P215" s="171" t="n">
        <x:f>IFERROR(AD215/AH215,0)</x:f>
        <x:v>2.0385787854294595</x:v>
      </x:c>
      <x:c r="Q215" s="171" t="n">
        <x:f>IFERROR(AE215/AI215,0)</x:f>
        <x:v>2.0280682275794284</x:v>
      </x:c>
      <x:c r="R215" s="172" t="n">
        <x:f>IFERROR((Q215-P215)/(P215+S215),0)</x:f>
        <x:v>-0.005155826169267654</x:v>
      </x:c>
      <x:c r="S215" s="172" t="n">
        <x:f>IFERROR(AF215/AH215,0)</x:f>
        <x:v>0</x:v>
      </x:c>
      <x:c r="T215" s="172" t="n">
        <x:f>IFERROR(AG215/AI215,0)</x:f>
        <x:v>0</x:v>
      </x:c>
      <x:c r="U215" s="172" t="n">
        <x:f>IFERROR((T215-S215)/(P215+S215),0)</x:f>
        <x:v>0</x:v>
      </x:c>
      <x:c r="V215" s="172" t="n">
        <x:f>R215+U215</x:f>
        <x:v>-0.005155826169267654</x:v>
      </x:c>
      <x:c r="W215" s="172" t="n">
        <x:f>(1+O215)*(1+V215)-1</x:f>
        <x:v>-0.0056734350006051315</x:v>
      </x:c>
      <x:c r="X215" s="174" t="n">
        <x:f>G215-W215</x:f>
        <x:v>-6.765421556309548e-17</x:v>
      </x:c>
      <x:c r="Y215" s="172" t="n">
        <x:f>AX215</x:f>
        <x:v>-0.0004373638066372942</x:v>
      </x:c>
      <x:c r="Z215" s="172" t="n">
        <x:f>BL215</x:f>
        <x:v>0.00011149205428769638</x:v>
      </x:c>
      <x:c r="AA215" s="172" t="n">
        <x:f>SUM(BZ215,CN215,DB215,DP215,ED215,ER215,FF215,FT215)</x:f>
        <x:v>-0.005347563248255601</x:v>
      </x:c>
      <x:c r="AB215" s="172" t="n">
        <x:f>SUM(Y215:AA215)</x:f>
        <x:v>-0.005673435000605198</x:v>
      </x:c>
      <x:c r="AC215" s="174" t="n">
        <x:f>G215-AB215</x:f>
        <x:v>-8.673617379884035e-19</x:v>
      </x:c>
      <x:c r="AD215" s="169" t="n">
        <x:v>2.0010972551559862</x:v>
      </x:c>
      <x:c r="AE215" s="169" t="n">
        <x:v>1.9897441599489694</x:v>
      </x:c>
      <x:c r="AF215" s="169" t="n">
        <x:v>0</x:v>
      </x:c>
      <x:c r="AG215" s="169" t="n">
        <x:v>0</x:v>
      </x:c>
      <x:c r="AH215" s="171" t="n">
        <x:f>M215/$M$3</x:f>
        <x:v>0.9816138917262512</x:v>
      </x:c>
      <x:c r="AI215" s="171" t="n">
        <x:f>N215/$M$3</x:f>
        <x:v>0.9811031664964249</x:v>
      </x:c>
      <x:c r="AJ215" s="170" t="n">
        <x:f>IF(AK215&lt;&gt;"",1,0)+IF(AY215&lt;&gt;"",1,0)+IF(BM215&lt;&gt;"",1,0)+IF(CA215&lt;&gt;"",1,0)+IF(CO215&lt;&gt;"",1,0)+IF(DC215&lt;&gt;"",1,0)+IF(DQ215&lt;&gt;"",1,0)+IF(EE215&lt;&gt;"",1,0)+IF(ES215&lt;&gt;"",1,0)+IF(FG215&lt;&gt;"",1,0)</x:f>
        <x:v>3</x:v>
      </x:c>
      <x:c r="AK215" s="147" t="str">
        <x:v>Silver replicating holding (LBMA/SLV proxy)</x:v>
      </x:c>
      <x:c r="AL215" s="147" t="str">
        <x:v>Physical-backed proxy</x:v>
      </x:c>
      <x:c r="AM215" s="147" t="str">
        <x:v>Long</x:v>
      </x:c>
      <x:c r="AN215" s="167" t="n">
        <x:v>1.922</x:v>
      </x:c>
      <x:c r="AO215" s="167" t="n">
        <x:v>1.921</x:v>
      </x:c>
      <x:c r="AP215" s="166" t="n">
        <x:v>0.8086760704512989</x:v>
      </x:c>
      <x:c r="AQ215" s="171" t="n">
        <x:f>IF(AK215="","",IFERROR(F215*AP215/AN215,0))</x:f>
        <x:v>0.8419560171126035</x:v>
      </x:c>
      <x:c r="AR215" s="171" t="n">
        <x:f>IF(AK215="","",F215*ABS(AP215))</x:f>
        <x:v>1.618239464890424</x:v>
      </x:c>
      <x:c r="AS215" s="165"/>
      <x:c r="AT215" s="172" t="str">
        <x:f>IF(AK215="","",IF(AS215="","",IFERROR(AN215/AS215-1,0)))</x:f>
      </x:c>
      <x:c r="AU215" s="166"/>
      <x:c r="AV215" s="172" t="str">
        <x:f>IF(AK215="","",IF(AU215="","",AU215-AT215*365/AW215))</x:f>
      </x:c>
      <x:c r="AW215" s="164"/>
      <x:c r="AX215" s="173" t="n">
        <x:f>IF(AK215="","",IFERROR(AP215*(AO215/AN215-1-'Parameters'!$C$6*C215/365),0))</x:f>
        <x:v>-0.0004373638066372942</x:v>
      </x:c>
      <x:c r="AY215" s="147" t="str">
        <x:v>Matched-maturity Treasury collateral</x:v>
      </x:c>
      <x:c r="AZ215" s="147" t="str">
        <x:v>Treasury</x:v>
      </x:c>
      <x:c r="BA215" s="147" t="str">
        <x:v>Long</x:v>
      </x:c>
      <x:c r="BB215" s="167" t="n">
        <x:v>105.80473670683016</x:v>
      </x:c>
      <x:c r="BC215" s="167" t="n">
        <x:v>105.8663933301111</x:v>
      </x:c>
      <x:c r="BD215" s="166" t="n">
        <x:v>0.19132392954870114</x:v>
      </x:c>
      <x:c r="BE215" s="171" t="n">
        <x:f>IF(AY215="","",IFERROR(F215*BD215/BB215,0))</x:f>
        <x:v>0.0036185316667476587</x:v>
      </x:c>
      <x:c r="BF215" s="171" t="n">
        <x:f>IF(AY215="","",F215*ABS(BD215))</x:f>
        <x:v>0.3828577902655633</x:v>
      </x:c>
      <x:c r="BG215" s="165"/>
      <x:c r="BH215" s="172" t="str">
        <x:f>IF(AY215="","",IF(BG215="","",IFERROR(BB215/BG215-1,0)))</x:f>
      </x:c>
      <x:c r="BI215" s="166"/>
      <x:c r="BJ215" s="172" t="str">
        <x:f>IF(AY215="","",IF(BI215="","",BI215-BH215*365/BK215))</x:f>
      </x:c>
      <x:c r="BK215" s="164" t="n">
        <x:v>45</x:v>
      </x:c>
      <x:c r="BL215" s="172" t="n">
        <x:f>IF(AY215="","",IFERROR(BD215*(BC215/BB215-1),0))</x:f>
        <x:v>0.00011149205428769638</x:v>
      </x:c>
      <x:c r="BM215" s="147" t="str">
        <x:v>SI69Z</x:v>
      </x:c>
      <x:c r="BN215" s="147" t="str">
        <x:v>Silver future (regular)</x:v>
      </x:c>
      <x:c r="BO215" s="147" t="str">
        <x:v>Long</x:v>
      </x:c>
      <x:c r="BP215" s="167" t="n">
        <x:v>1.932</x:v>
      </x:c>
      <x:c r="BQ215" s="167" t="n">
        <x:v>1.8780000000000001</x:v>
      </x:c>
      <x:c r="BR215" s="166" t="n">
        <x:v>0.19132392954870114</x:v>
      </x:c>
      <x:c r="BS215" s="171" t="n">
        <x:f>IF(BM215="","",IFERROR(F215*BR215/BP215,0))</x:f>
        <x:v>0.19816655810846964</x:v>
      </x:c>
      <x:c r="BT215" s="171" t="n">
        <x:f>IF(BM215="","",F215*ABS(BR215))</x:f>
        <x:v>0.3828577902655633</x:v>
      </x:c>
      <x:c r="BU215" s="165" t="n">
        <x:v>1.922</x:v>
      </x:c>
      <x:c r="BV215" s="172" t="n">
        <x:f>IF(BM215="","",IF(BU215="","",IFERROR(BP215/BU215-1,0)))</x:f>
        <x:v>0.00520291363163361</x:v>
      </x:c>
      <x:c r="BW215" s="166" t="n">
        <x:v>0.0709</x:v>
      </x:c>
      <x:c r="BX215" s="172" t="n">
        <x:f>IF(BM215="","",IF(BW215="","",BW215-BV215*365/BY215))</x:f>
        <x:v>0.028698589432305167</x:v>
      </x:c>
      <x:c r="BY215" s="164" t="n">
        <x:v>45</x:v>
      </x:c>
      <x:c r="BZ215" s="172" t="n">
        <x:f>IF(BM215="","",IFERROR(BR215*(BQ215/BP215-1),0))</x:f>
        <x:v>-0.005347563248255601</x:v>
      </x:c>
      <x:c r="CA215" s="147"/>
      <x:c r="CB215" s="147"/>
      <x:c r="CC215" s="147"/>
      <x:c r="CD215" s="167"/>
      <x:c r="CE215" s="167"/>
      <x:c r="CF215" s="166"/>
      <x:c r="CG215" s="171" t="str">
        <x:f>IF(CA215="","",IFERROR(F215*CF215/CD215,0))</x:f>
      </x:c>
      <x:c r="CH215" s="171" t="str">
        <x:f>IF(CA215="","",F215*ABS(CF215))</x:f>
      </x:c>
      <x:c r="CI215" s="165"/>
      <x:c r="CJ215" s="172" t="str">
        <x:f>IF(CA215="","",IF(CI215="","",IFERROR(CD215/CI215-1,0)))</x:f>
      </x:c>
      <x:c r="CK215" s="166"/>
      <x:c r="CL215" s="172" t="str">
        <x:f>IF(CA215="","",IF(CK215="","",CK215-CJ215*365/CM215))</x:f>
      </x:c>
      <x:c r="CM215" s="164"/>
      <x:c r="CN215" s="172" t="str">
        <x:f>IF(CA215="","",IFERROR(CF215*(CE215/CD215-1),0))</x:f>
      </x:c>
      <x:c r="CO215" s="147"/>
      <x:c r="CP215" s="147"/>
      <x:c r="CQ215" s="147"/>
      <x:c r="CR215" s="167"/>
      <x:c r="CS215" s="167"/>
      <x:c r="CT215" s="166"/>
      <x:c r="CU215" s="171" t="str">
        <x:f>IF(CO215="","",IFERROR(F215*CT215/CR215,0))</x:f>
      </x:c>
      <x:c r="CV215" s="171" t="str">
        <x:f>IF(CO215="","",F215*ABS(CT215))</x:f>
      </x:c>
      <x:c r="CW215" s="165"/>
      <x:c r="CX215" s="172" t="str">
        <x:f>IF(CO215="","",IF(CW215="","",IFERROR(CR215/CW215-1,0)))</x:f>
      </x:c>
      <x:c r="CY215" s="166"/>
      <x:c r="CZ215" s="172" t="str">
        <x:f>IF(CO215="","",IF(CY215="","",CY215-CX215*365/DA215))</x:f>
      </x:c>
      <x:c r="DA215" s="164"/>
      <x:c r="DB215" s="172" t="str">
        <x:f>IF(CO215="","",IFERROR(CT215*(CS215/CR215-1),0))</x:f>
      </x:c>
      <x:c r="DC215" s="147"/>
      <x:c r="DD215" s="147"/>
      <x:c r="DE215" s="147"/>
      <x:c r="DF215" s="167"/>
      <x:c r="DG215" s="167"/>
      <x:c r="DH215" s="166"/>
      <x:c r="DI215" s="171" t="str">
        <x:f>IF(DC215="","",IFERROR(F215*DH215/DF215,0))</x:f>
      </x:c>
      <x:c r="DJ215" s="171" t="str">
        <x:f>IF(DC215="","",F215*ABS(DH215))</x:f>
      </x:c>
      <x:c r="DK215" s="165"/>
      <x:c r="DL215" s="172" t="str">
        <x:f>IF(DC215="","",IF(DK215="","",IFERROR(DF215/DK215-1,0)))</x:f>
      </x:c>
      <x:c r="DM215" s="166"/>
      <x:c r="DN215" s="172" t="str">
        <x:f>IF(DC215="","",IF(DM215="","",DM215-DL215*365/DO215))</x:f>
      </x:c>
      <x:c r="DO215" s="164"/>
      <x:c r="DP215" s="172" t="str">
        <x:f>IF(DC215="","",IFERROR(DH215*(DG215/DF215-1),0))</x:f>
      </x:c>
      <x:c r="DQ215" s="147"/>
      <x:c r="DR215" s="147"/>
      <x:c r="DS215" s="147"/>
      <x:c r="DT215" s="167"/>
      <x:c r="DU215" s="167"/>
      <x:c r="DV215" s="166"/>
      <x:c r="DW215" s="171" t="str">
        <x:f>IF(DQ215="","",IFERROR(F215*DV215/DT215,0))</x:f>
      </x:c>
      <x:c r="DX215" s="171" t="str">
        <x:f>IF(DQ215="","",F215*ABS(DV215))</x:f>
      </x:c>
      <x:c r="DY215" s="165"/>
      <x:c r="DZ215" s="172" t="str">
        <x:f>IF(DQ215="","",IF(DY215="","",IFERROR(DT215/DY215-1,0)))</x:f>
      </x:c>
      <x:c r="EA215" s="166"/>
      <x:c r="EB215" s="172" t="str">
        <x:f>IF(DQ215="","",IF(EA215="","",EA215-DZ215*365/EC215))</x:f>
      </x:c>
      <x:c r="EC215" s="164"/>
      <x:c r="ED215" s="172" t="str">
        <x:f>IF(DQ215="","",IFERROR(DV215*(DU215/DT215-1),0))</x:f>
      </x:c>
      <x:c r="EE215" s="147"/>
      <x:c r="EF215" s="147"/>
      <x:c r="EG215" s="147"/>
      <x:c r="EH215" s="167"/>
      <x:c r="EI215" s="167"/>
      <x:c r="EJ215" s="166"/>
      <x:c r="EK215" s="171" t="str">
        <x:f>IF(EE215="","",IFERROR(F215*EJ215/EH215,0))</x:f>
      </x:c>
      <x:c r="EL215" s="171" t="str">
        <x:f>IF(EE215="","",F215*ABS(EJ215))</x:f>
      </x:c>
      <x:c r="EM215" s="165"/>
      <x:c r="EN215" s="172" t="str">
        <x:f>IF(EE215="","",IF(EM215="","",IFERROR(EH215/EM215-1,0)))</x:f>
      </x:c>
      <x:c r="EO215" s="166"/>
      <x:c r="EP215" s="172" t="str">
        <x:f>IF(EE215="","",IF(EO215="","",EO215-EN215*365/EQ215))</x:f>
      </x:c>
      <x:c r="EQ215" s="164"/>
      <x:c r="ER215" s="172" t="str">
        <x:f>IF(EE215="","",IFERROR(EJ215*(EI215/EH215-1),0))</x:f>
      </x:c>
      <x:c r="ES215" s="147"/>
      <x:c r="ET215" s="147"/>
      <x:c r="EU215" s="147"/>
      <x:c r="EV215" s="167"/>
      <x:c r="EW215" s="167"/>
      <x:c r="EX215" s="166"/>
      <x:c r="EY215" s="171" t="str">
        <x:f>IF(ES215="","",IFERROR(F215*EX215/EV215,0))</x:f>
      </x:c>
      <x:c r="EZ215" s="171" t="str">
        <x:f>IF(ES215="","",F215*ABS(EX215))</x:f>
      </x:c>
      <x:c r="FA215" s="165"/>
      <x:c r="FB215" s="172" t="str">
        <x:f>IF(ES215="","",IF(FA215="","",IFERROR(EV215/FA215-1,0)))</x:f>
      </x:c>
      <x:c r="FC215" s="166"/>
      <x:c r="FD215" s="172" t="str">
        <x:f>IF(ES215="","",IF(FC215="","",FC215-FB215*365/FE215))</x:f>
      </x:c>
      <x:c r="FE215" s="164"/>
      <x:c r="FF215" s="172" t="str">
        <x:f>IF(ES215="","",IFERROR(EX215*(EW215/EV215-1),0))</x:f>
      </x:c>
      <x:c r="FG215" s="147"/>
      <x:c r="FH215" s="147"/>
      <x:c r="FI215" s="147"/>
      <x:c r="FJ215" s="167"/>
      <x:c r="FK215" s="167"/>
      <x:c r="FL215" s="166"/>
      <x:c r="FM215" s="171" t="str">
        <x:f>IF(FG215="","",IFERROR(F215*FL215/FJ215,0))</x:f>
      </x:c>
      <x:c r="FN215" s="171" t="str">
        <x:f>IF(FG215="","",F215*ABS(FL215))</x:f>
      </x:c>
      <x:c r="FO215" s="165"/>
      <x:c r="FP215" s="172" t="str">
        <x:f>IF(FG215="","",IF(FO215="","",IFERROR(FJ215/FO215-1,0)))</x:f>
      </x:c>
      <x:c r="FQ215" s="166"/>
      <x:c r="FR215" s="172" t="str">
        <x:f>IF(FG215="","",IF(FQ215="","",FQ215-FP215*365/FS215))</x:f>
      </x:c>
      <x:c r="FS215" s="164"/>
      <x:c r="FT215" s="172" t="str">
        <x:f>IF(FG215="","",IFERROR(FL215*(FK215/FJ215-1),0))</x:f>
      </x:c>
    </x:row>
    <x:row r="216" ht="18" customHeight="1">
      <x:c r="A216" s="163" t="n">
        <x:v>25524</x:v>
      </x:c>
      <x:c r="B216" s="163" t="n">
        <x:v>25525</x:v>
      </x:c>
      <x:c r="C216" s="170" t="n">
        <x:f>B216-A216</x:f>
        <x:v>1</x:v>
      </x:c>
      <x:c r="D216" s="163" t="n">
        <x:v>25524</x:v>
      </x:c>
      <x:c r="E216" s="147" t="str">
        <x:v>positive</x:v>
      </x:c>
      <x:c r="F216" s="165" t="n">
        <x:v>1.98974415994897</x:v>
      </x:c>
      <x:c r="G216" s="168" t="n">
        <x:v>-0.004066152275081313</x:v>
      </x:c>
      <x:c r="H216" s="172" t="n">
        <x:f>SUM(AX216,BL216,BZ216,CN216,DB216,DP216,ED216,ER216,FF216,FT216)</x:f>
        <x:v>-0.004066152275081336</x:v>
      </x:c>
      <x:c r="I216" s="174" t="n">
        <x:f>G216-H216</x:f>
        <x:v>2.3418766925686896e-17</x:v>
      </x:c>
      <x:c r="J216" s="171" t="n">
        <x:f>F216*(1+H216)</x:f>
        <x:v>1.9816535572061638</x:v>
      </x:c>
      <x:c r="K216" s="169" t="n">
        <x:v>1.9816535572061638</x:v>
      </x:c>
      <x:c r="L216" s="175" t="n">
        <x:f>K216-J216</x:f>
        <x:v>0</x:v>
      </x:c>
      <x:c r="M216" s="167" t="n">
        <x:v>1.921</x:v>
      </x:c>
      <x:c r="N216" s="167" t="n">
        <x:v>1.897</x:v>
      </x:c>
      <x:c r="O216" s="172" t="n">
        <x:f>IFERROR(N216/M216-1,0)</x:f>
        <x:v>-0.012493492972410203</x:v>
      </x:c>
      <x:c r="P216" s="171" t="n">
        <x:f>IFERROR(AD216/AH216,0)</x:f>
        <x:v>2.0280682275794284</x:v>
      </x:c>
      <x:c r="Q216" s="171" t="n">
        <x:f>IFERROR(AE216/AI216,0)</x:f>
        <x:v>2.045375680026182</x:v>
      </x:c>
      <x:c r="R216" s="172" t="n">
        <x:f>IFERROR((Q216-P216)/(P216+S216),0)</x:f>
        <x:v>0.008533959662397866</x:v>
      </x:c>
      <x:c r="S216" s="172" t="n">
        <x:f>IFERROR(AF216/AH216,0)</x:f>
        <x:v>0</x:v>
      </x:c>
      <x:c r="T216" s="172" t="n">
        <x:f>IFERROR(AG216/AI216,0)</x:f>
        <x:v>0</x:v>
      </x:c>
      <x:c r="U216" s="172" t="n">
        <x:f>IFERROR((T216-S216)/(P216+S216),0)</x:f>
        <x:v>0</x:v>
      </x:c>
      <x:c r="V216" s="172" t="n">
        <x:f>R216+U216</x:f>
        <x:v>0.008533959662397866</x:v>
      </x:c>
      <x:c r="W216" s="172" t="n">
        <x:f>(1+O216)*(1+V216)-1</x:f>
        <x:v>-0.004066152275081336</x:v>
      </x:c>
      <x:c r="X216" s="174" t="n">
        <x:f>G216-W216</x:f>
        <x:v>2.3418766925686896e-17</x:v>
      </x:c>
      <x:c r="Y216" s="172" t="str">
        <x:f>AX216</x:f>
      </x:c>
      <x:c r="Z216" s="172" t="n">
        <x:f>BL216</x:f>
        <x:v>0.00019369863013696254</x:v>
      </x:c>
      <x:c r="AA216" s="172" t="n">
        <x:f>SUM(BZ216,CN216,DB216,DP216,ED216,ER216,FF216,FT216)</x:f>
        <x:v>-0.004259850905218299</x:v>
      </x:c>
      <x:c r="AB216" s="172" t="n">
        <x:f>SUM(Y216:AA216)</x:f>
        <x:v>-0.004066152275081336</x:v>
      </x:c>
      <x:c r="AC216" s="174" t="n">
        <x:f>G216-AB216</x:f>
        <x:v>2.3418766925686896e-17</x:v>
      </x:c>
      <x:c r="AD216" s="169" t="n">
        <x:v>1.9897441599489694</x:v>
      </x:c>
      <x:c r="AE216" s="169" t="n">
        <x:v>1.981653557206163</x:v>
      </x:c>
      <x:c r="AF216" s="169" t="n">
        <x:v>0</x:v>
      </x:c>
      <x:c r="AG216" s="169" t="n">
        <x:v>0</x:v>
      </x:c>
      <x:c r="AH216" s="171" t="n">
        <x:f>M216/$M$3</x:f>
        <x:v>0.9811031664964249</x:v>
      </x:c>
      <x:c r="AI216" s="171" t="n">
        <x:f>N216/$M$3</x:f>
        <x:v>0.9688457609805925</x:v>
      </x:c>
      <x:c r="AJ216" s="170" t="n">
        <x:f>IF(AK216&lt;&gt;"",1,0)+IF(AY216&lt;&gt;"",1,0)+IF(BM216&lt;&gt;"",1,0)+IF(CA216&lt;&gt;"",1,0)+IF(CO216&lt;&gt;"",1,0)+IF(DC216&lt;&gt;"",1,0)+IF(DQ216&lt;&gt;"",1,0)+IF(EE216&lt;&gt;"",1,0)+IF(ES216&lt;&gt;"",1,0)+IF(FG216&lt;&gt;"",1,0)</x:f>
        <x:v>2</x:v>
      </x:c>
      <x:c r="AK216" s="147"/>
      <x:c r="AL216" s="147"/>
      <x:c r="AM216" s="147"/>
      <x:c r="AN216" s="167"/>
      <x:c r="AO216" s="167"/>
      <x:c r="AP216" s="166"/>
      <x:c r="AQ216" s="171" t="str">
        <x:f>IF(AK216="","",IFERROR(F216*AP216/AN216,0))</x:f>
      </x:c>
      <x:c r="AR216" s="171" t="str">
        <x:f>IF(AK216="","",F216*ABS(AP216))</x:f>
      </x:c>
      <x:c r="AS216" s="165"/>
      <x:c r="AT216" s="172" t="str">
        <x:f>IF(AK216="","",IF(AS216="","",IFERROR(AN216/AS216-1,0)))</x:f>
      </x:c>
      <x:c r="AU216" s="166"/>
      <x:c r="AV216" s="172" t="str">
        <x:f>IF(AK216="","",IF(AU216="","",AU216-AT216*365/AW216))</x:f>
      </x:c>
      <x:c r="AW216" s="164"/>
      <x:c r="AX216" s="173" t="str">
        <x:f>IF(AK216="","",IFERROR(AP216*(AO216/AN216-1),0))</x:f>
      </x:c>
      <x:c r="AY216" s="147" t="str">
        <x:v>Matched-maturity Treasury collateral</x:v>
      </x:c>
      <x:c r="AZ216" s="147" t="str">
        <x:v>Treasury</x:v>
      </x:c>
      <x:c r="BA216" s="147" t="str">
        <x:v>Long</x:v>
      </x:c>
      <x:c r="BB216" s="167" t="n">
        <x:v>105.8663933301111</x:v>
      </x:c>
      <x:c r="BC216" s="167" t="n">
        <x:v>105.88689950547668</x:v>
      </x:c>
      <x:c r="BD216" s="166" t="n">
        <x:v>1</x:v>
      </x:c>
      <x:c r="BE216" s="171" t="n">
        <x:f>IF(AY216="","",IFERROR(F216*BD216/BB216,0))</x:f>
        <x:v>0.018794861120323404</x:v>
      </x:c>
      <x:c r="BF216" s="171" t="n">
        <x:f>IF(AY216="","",F216*ABS(BD216))</x:f>
        <x:v>1.98974415994897</x:v>
      </x:c>
      <x:c r="BG216" s="165"/>
      <x:c r="BH216" s="172" t="str">
        <x:f>IF(AY216="","",IF(BG216="","",IFERROR(BB216/BG216-1,0)))</x:f>
      </x:c>
      <x:c r="BI216" s="166"/>
      <x:c r="BJ216" s="172" t="str">
        <x:f>IF(AY216="","",IF(BI216="","",BI216-BH216*365/BK216))</x:f>
      </x:c>
      <x:c r="BK216" s="164" t="n">
        <x:v>42</x:v>
      </x:c>
      <x:c r="BL216" s="172" t="n">
        <x:f>IF(AY216="","",IFERROR(BD216*(BC216/BB216-1),0))</x:f>
        <x:v>0.00019369863013696254</x:v>
      </x:c>
      <x:c r="BM216" s="147" t="str">
        <x:v>SI69Z</x:v>
      </x:c>
      <x:c r="BN216" s="147" t="str">
        <x:v>Silver future (regular)</x:v>
      </x:c>
      <x:c r="BO216" s="147" t="str">
        <x:v>Long</x:v>
      </x:c>
      <x:c r="BP216" s="167" t="n">
        <x:v>1.8780000000000001</x:v>
      </x:c>
      <x:c r="BQ216" s="167" t="n">
        <x:v>1.87</x:v>
      </x:c>
      <x:c r="BR216" s="166" t="n">
        <x:v>1</x:v>
      </x:c>
      <x:c r="BS216" s="171" t="n">
        <x:f>IF(BM216="","",IFERROR(F216*BR216/BP216,0))</x:f>
        <x:v>1.059501682613935</x:v>
      </x:c>
      <x:c r="BT216" s="171" t="n">
        <x:f>IF(BM216="","",F216*ABS(BR216))</x:f>
        <x:v>1.98974415994897</x:v>
      </x:c>
      <x:c r="BU216" s="165" t="n">
        <x:v>1.921</x:v>
      </x:c>
      <x:c r="BV216" s="172" t="n">
        <x:f>IF(BM216="","",IF(BU216="","",IFERROR(BP216/BU216-1,0)))</x:f>
        <x:v>-0.022384174908901544</x:v>
      </x:c>
      <x:c r="BW216" s="166" t="n">
        <x:v>0.0707</x:v>
      </x:c>
      <x:c r="BX216" s="172" t="n">
        <x:f>IF(BM216="","",IF(BW216="","",BW216-BV216*365/BY216))</x:f>
        <x:v>0.26522913908926343</x:v>
      </x:c>
      <x:c r="BY216" s="164" t="n">
        <x:v>42</x:v>
      </x:c>
      <x:c r="BZ216" s="172" t="n">
        <x:f>IF(BM216="","",IFERROR(BR216*(BQ216/BP216-1),0))</x:f>
        <x:v>-0.004259850905218299</x:v>
      </x:c>
      <x:c r="CA216" s="147"/>
      <x:c r="CB216" s="147"/>
      <x:c r="CC216" s="147"/>
      <x:c r="CD216" s="167"/>
      <x:c r="CE216" s="167"/>
      <x:c r="CF216" s="166"/>
      <x:c r="CG216" s="171" t="str">
        <x:f>IF(CA216="","",IFERROR(F216*CF216/CD216,0))</x:f>
      </x:c>
      <x:c r="CH216" s="171" t="str">
        <x:f>IF(CA216="","",F216*ABS(CF216))</x:f>
      </x:c>
      <x:c r="CI216" s="165"/>
      <x:c r="CJ216" s="172" t="str">
        <x:f>IF(CA216="","",IF(CI216="","",IFERROR(CD216/CI216-1,0)))</x:f>
      </x:c>
      <x:c r="CK216" s="166"/>
      <x:c r="CL216" s="172" t="str">
        <x:f>IF(CA216="","",IF(CK216="","",CK216-CJ216*365/CM216))</x:f>
      </x:c>
      <x:c r="CM216" s="164"/>
      <x:c r="CN216" s="172" t="str">
        <x:f>IF(CA216="","",IFERROR(CF216*(CE216/CD216-1),0))</x:f>
      </x:c>
      <x:c r="CO216" s="147"/>
      <x:c r="CP216" s="147"/>
      <x:c r="CQ216" s="147"/>
      <x:c r="CR216" s="167"/>
      <x:c r="CS216" s="167"/>
      <x:c r="CT216" s="166"/>
      <x:c r="CU216" s="171" t="str">
        <x:f>IF(CO216="","",IFERROR(F216*CT216/CR216,0))</x:f>
      </x:c>
      <x:c r="CV216" s="171" t="str">
        <x:f>IF(CO216="","",F216*ABS(CT216))</x:f>
      </x:c>
      <x:c r="CW216" s="165"/>
      <x:c r="CX216" s="172" t="str">
        <x:f>IF(CO216="","",IF(CW216="","",IFERROR(CR216/CW216-1,0)))</x:f>
      </x:c>
      <x:c r="CY216" s="166"/>
      <x:c r="CZ216" s="172" t="str">
        <x:f>IF(CO216="","",IF(CY216="","",CY216-CX216*365/DA216))</x:f>
      </x:c>
      <x:c r="DA216" s="164"/>
      <x:c r="DB216" s="172" t="str">
        <x:f>IF(CO216="","",IFERROR(CT216*(CS216/CR216-1),0))</x:f>
      </x:c>
      <x:c r="DC216" s="147"/>
      <x:c r="DD216" s="147"/>
      <x:c r="DE216" s="147"/>
      <x:c r="DF216" s="167"/>
      <x:c r="DG216" s="167"/>
      <x:c r="DH216" s="166"/>
      <x:c r="DI216" s="171" t="str">
        <x:f>IF(DC216="","",IFERROR(F216*DH216/DF216,0))</x:f>
      </x:c>
      <x:c r="DJ216" s="171" t="str">
        <x:f>IF(DC216="","",F216*ABS(DH216))</x:f>
      </x:c>
      <x:c r="DK216" s="165"/>
      <x:c r="DL216" s="172" t="str">
        <x:f>IF(DC216="","",IF(DK216="","",IFERROR(DF216/DK216-1,0)))</x:f>
      </x:c>
      <x:c r="DM216" s="166"/>
      <x:c r="DN216" s="172" t="str">
        <x:f>IF(DC216="","",IF(DM216="","",DM216-DL216*365/DO216))</x:f>
      </x:c>
      <x:c r="DO216" s="164"/>
      <x:c r="DP216" s="172" t="str">
        <x:f>IF(DC216="","",IFERROR(DH216*(DG216/DF216-1),0))</x:f>
      </x:c>
      <x:c r="DQ216" s="147"/>
      <x:c r="DR216" s="147"/>
      <x:c r="DS216" s="147"/>
      <x:c r="DT216" s="167"/>
      <x:c r="DU216" s="167"/>
      <x:c r="DV216" s="166"/>
      <x:c r="DW216" s="171" t="str">
        <x:f>IF(DQ216="","",IFERROR(F216*DV216/DT216,0))</x:f>
      </x:c>
      <x:c r="DX216" s="171" t="str">
        <x:f>IF(DQ216="","",F216*ABS(DV216))</x:f>
      </x:c>
      <x:c r="DY216" s="165"/>
      <x:c r="DZ216" s="172" t="str">
        <x:f>IF(DQ216="","",IF(DY216="","",IFERROR(DT216/DY216-1,0)))</x:f>
      </x:c>
      <x:c r="EA216" s="166"/>
      <x:c r="EB216" s="172" t="str">
        <x:f>IF(DQ216="","",IF(EA216="","",EA216-DZ216*365/EC216))</x:f>
      </x:c>
      <x:c r="EC216" s="164"/>
      <x:c r="ED216" s="172" t="str">
        <x:f>IF(DQ216="","",IFERROR(DV216*(DU216/DT216-1),0))</x:f>
      </x:c>
      <x:c r="EE216" s="147"/>
      <x:c r="EF216" s="147"/>
      <x:c r="EG216" s="147"/>
      <x:c r="EH216" s="167"/>
      <x:c r="EI216" s="167"/>
      <x:c r="EJ216" s="166"/>
      <x:c r="EK216" s="171" t="str">
        <x:f>IF(EE216="","",IFERROR(F216*EJ216/EH216,0))</x:f>
      </x:c>
      <x:c r="EL216" s="171" t="str">
        <x:f>IF(EE216="","",F216*ABS(EJ216))</x:f>
      </x:c>
      <x:c r="EM216" s="165"/>
      <x:c r="EN216" s="172" t="str">
        <x:f>IF(EE216="","",IF(EM216="","",IFERROR(EH216/EM216-1,0)))</x:f>
      </x:c>
      <x:c r="EO216" s="166"/>
      <x:c r="EP216" s="172" t="str">
        <x:f>IF(EE216="","",IF(EO216="","",EO216-EN216*365/EQ216))</x:f>
      </x:c>
      <x:c r="EQ216" s="164"/>
      <x:c r="ER216" s="172" t="str">
        <x:f>IF(EE216="","",IFERROR(EJ216*(EI216/EH216-1),0))</x:f>
      </x:c>
      <x:c r="ES216" s="147"/>
      <x:c r="ET216" s="147"/>
      <x:c r="EU216" s="147"/>
      <x:c r="EV216" s="167"/>
      <x:c r="EW216" s="167"/>
      <x:c r="EX216" s="166"/>
      <x:c r="EY216" s="171" t="str">
        <x:f>IF(ES216="","",IFERROR(F216*EX216/EV216,0))</x:f>
      </x:c>
      <x:c r="EZ216" s="171" t="str">
        <x:f>IF(ES216="","",F216*ABS(EX216))</x:f>
      </x:c>
      <x:c r="FA216" s="165"/>
      <x:c r="FB216" s="172" t="str">
        <x:f>IF(ES216="","",IF(FA216="","",IFERROR(EV216/FA216-1,0)))</x:f>
      </x:c>
      <x:c r="FC216" s="166"/>
      <x:c r="FD216" s="172" t="str">
        <x:f>IF(ES216="","",IF(FC216="","",FC216-FB216*365/FE216))</x:f>
      </x:c>
      <x:c r="FE216" s="164"/>
      <x:c r="FF216" s="172" t="str">
        <x:f>IF(ES216="","",IFERROR(EX216*(EW216/EV216-1),0))</x:f>
      </x:c>
      <x:c r="FG216" s="147"/>
      <x:c r="FH216" s="147"/>
      <x:c r="FI216" s="147"/>
      <x:c r="FJ216" s="167"/>
      <x:c r="FK216" s="167"/>
      <x:c r="FL216" s="166"/>
      <x:c r="FM216" s="171" t="str">
        <x:f>IF(FG216="","",IFERROR(F216*FL216/FJ216,0))</x:f>
      </x:c>
      <x:c r="FN216" s="171" t="str">
        <x:f>IF(FG216="","",F216*ABS(FL216))</x:f>
      </x:c>
      <x:c r="FO216" s="165"/>
      <x:c r="FP216" s="172" t="str">
        <x:f>IF(FG216="","",IF(FO216="","",IFERROR(FJ216/FO216-1,0)))</x:f>
      </x:c>
      <x:c r="FQ216" s="166"/>
      <x:c r="FR216" s="172" t="str">
        <x:f>IF(FG216="","",IF(FQ216="","",FQ216-FP216*365/FS216))</x:f>
      </x:c>
      <x:c r="FS216" s="164"/>
      <x:c r="FT216" s="172" t="str">
        <x:f>IF(FG216="","",IFERROR(FL216*(FK216/FJ216-1),0))</x:f>
      </x:c>
    </x:row>
    <x:row r="217" ht="18" customHeight="1">
      <x:c r="A217" s="163" t="n">
        <x:v>25525</x:v>
      </x:c>
      <x:c r="B217" s="163" t="n">
        <x:v>25526</x:v>
      </x:c>
      <x:c r="C217" s="170" t="n">
        <x:f>B217-A217</x:f>
        <x:v>1</x:v>
      </x:c>
      <x:c r="D217" s="163" t="n">
        <x:v>25525</x:v>
      </x:c>
      <x:c r="E217" s="147" t="str">
        <x:v>positive</x:v>
      </x:c>
      <x:c r="F217" s="165" t="n">
        <x:v>1.9816535572061638</x:v>
      </x:c>
      <x:c r="G217" s="168" t="n">
        <x:v>0.010892447439747826</x:v>
      </x:c>
      <x:c r="H217" s="172" t="n">
        <x:f>SUM(AX217,BL217,BZ217,CN217,DB217,DP217,ED217,ER217,FF217,FT217)</x:f>
        <x:v>0.010892447439747821</x:v>
      </x:c>
      <x:c r="I217" s="174" t="n">
        <x:f>G217-H217</x:f>
        <x:v>5.204170427930421e-18</x:v>
      </x:c>
      <x:c r="J217" s="171" t="n">
        <x:f>F217*(1+H217)</x:f>
        <x:v>2.003238614421821</x:v>
      </x:c>
      <x:c r="K217" s="169" t="n">
        <x:v>2.003238614421821</x:v>
      </x:c>
      <x:c r="L217" s="175" t="n">
        <x:f>K217-J217</x:f>
        <x:v>0</x:v>
      </x:c>
      <x:c r="M217" s="167" t="n">
        <x:v>1.897</x:v>
      </x:c>
      <x:c r="N217" s="167" t="n">
        <x:v>1.877</x:v>
      </x:c>
      <x:c r="O217" s="172" t="n">
        <x:f>IFERROR(N217/M217-1,0)</x:f>
        <x:v>-0.010542962572482883</x:v>
      </x:c>
      <x:c r="P217" s="171" t="n">
        <x:f>IFERROR(AD217/AH217,0)</x:f>
        <x:v>2.045375680026182</x:v>
      </x:c>
      <x:c r="Q217" s="171" t="n">
        <x:f>IFERROR(AE217/AI217,0)</x:f>
        <x:v>2.0896863116877595</x:v>
      </x:c>
      <x:c r="R217" s="172" t="n">
        <x:f>IFERROR((Q217-P217)/(P217+S217),0)</x:f>
        <x:v>0.02166381075823213</x:v>
      </x:c>
      <x:c r="S217" s="172" t="n">
        <x:f>IFERROR(AF217/AH217,0)</x:f>
        <x:v>0</x:v>
      </x:c>
      <x:c r="T217" s="172" t="n">
        <x:f>IFERROR(AG217/AI217,0)</x:f>
        <x:v>0</x:v>
      </x:c>
      <x:c r="U217" s="172" t="n">
        <x:f>IFERROR((T217-S217)/(P217+S217),0)</x:f>
        <x:v>0</x:v>
      </x:c>
      <x:c r="V217" s="172" t="n">
        <x:f>R217+U217</x:f>
        <x:v>0.02166381075823213</x:v>
      </x:c>
      <x:c r="W217" s="172" t="n">
        <x:f>(1+O217)*(1+V217)-1</x:f>
        <x:v>0.010892447439747821</x:v>
      </x:c>
      <x:c r="X217" s="174" t="n">
        <x:f>G217-W217</x:f>
        <x:v>5.204170427930421e-18</x:v>
      </x:c>
      <x:c r="Y217" s="172" t="str">
        <x:f>AX217</x:f>
      </x:c>
      <x:c r="Z217" s="172" t="n">
        <x:f>BL217</x:f>
        <x:v>0.00019726027397259926</x:v>
      </x:c>
      <x:c r="AA217" s="172" t="n">
        <x:f>SUM(BZ217,CN217,DB217,DP217,ED217,ER217,FF217,FT217)</x:f>
        <x:v>0.010695187165775222</x:v>
      </x:c>
      <x:c r="AB217" s="172" t="n">
        <x:f>SUM(Y217:AA217)</x:f>
        <x:v>0.010892447439747821</x:v>
      </x:c>
      <x:c r="AC217" s="174" t="n">
        <x:f>G217-AB217</x:f>
        <x:v>5.204170427930421e-18</x:v>
      </x:c>
      <x:c r="AD217" s="169" t="n">
        <x:v>1.981653557206163</x:v>
      </x:c>
      <x:c r="AE217" s="169" t="n">
        <x:v>2.0032386144218206</x:v>
      </x:c>
      <x:c r="AF217" s="169" t="n">
        <x:v>0</x:v>
      </x:c>
      <x:c r="AG217" s="169" t="n">
        <x:v>0</x:v>
      </x:c>
      <x:c r="AH217" s="171" t="n">
        <x:f>M217/$M$3</x:f>
        <x:v>0.9688457609805925</x:v>
      </x:c>
      <x:c r="AI217" s="171" t="n">
        <x:f>N217/$M$3</x:f>
        <x:v>0.9586312563840654</x:v>
      </x:c>
      <x:c r="AJ217" s="170" t="n">
        <x:f>IF(AK217&lt;&gt;"",1,0)+IF(AY217&lt;&gt;"",1,0)+IF(BM217&lt;&gt;"",1,0)+IF(CA217&lt;&gt;"",1,0)+IF(CO217&lt;&gt;"",1,0)+IF(DC217&lt;&gt;"",1,0)+IF(DQ217&lt;&gt;"",1,0)+IF(EE217&lt;&gt;"",1,0)+IF(ES217&lt;&gt;"",1,0)+IF(FG217&lt;&gt;"",1,0)</x:f>
        <x:v>2</x:v>
      </x:c>
      <x:c r="AK217" s="147"/>
      <x:c r="AL217" s="147"/>
      <x:c r="AM217" s="147"/>
      <x:c r="AN217" s="167"/>
      <x:c r="AO217" s="167"/>
      <x:c r="AP217" s="166"/>
      <x:c r="AQ217" s="171" t="str">
        <x:f>IF(AK217="","",IFERROR(F217*AP217/AN217,0))</x:f>
      </x:c>
      <x:c r="AR217" s="171" t="str">
        <x:f>IF(AK217="","",F217*ABS(AP217))</x:f>
      </x:c>
      <x:c r="AS217" s="165"/>
      <x:c r="AT217" s="172" t="str">
        <x:f>IF(AK217="","",IF(AS217="","",IFERROR(AN217/AS217-1,0)))</x:f>
      </x:c>
      <x:c r="AU217" s="166"/>
      <x:c r="AV217" s="172" t="str">
        <x:f>IF(AK217="","",IF(AU217="","",AU217-AT217*365/AW217))</x:f>
      </x:c>
      <x:c r="AW217" s="164"/>
      <x:c r="AX217" s="173" t="str">
        <x:f>IF(AK217="","",IFERROR(AP217*(AO217/AN217-1),0))</x:f>
      </x:c>
      <x:c r="AY217" s="147" t="str">
        <x:v>Matched-maturity Treasury collateral</x:v>
      </x:c>
      <x:c r="AZ217" s="147" t="str">
        <x:v>Treasury</x:v>
      </x:c>
      <x:c r="BA217" s="147" t="str">
        <x:v>Long</x:v>
      </x:c>
      <x:c r="BB217" s="167" t="n">
        <x:v>105.88689950547668</x:v>
      </x:c>
      <x:c r="BC217" s="167" t="n">
        <x:v>105.90778678428323</x:v>
      </x:c>
      <x:c r="BD217" s="166" t="n">
        <x:v>1</x:v>
      </x:c>
      <x:c r="BE217" s="171" t="n">
        <x:f>IF(AY217="","",IFERROR(F217*BD217/BB217,0))</x:f>
        <x:v>0.018714813319315945</x:v>
      </x:c>
      <x:c r="BF217" s="171" t="n">
        <x:f>IF(AY217="","",F217*ABS(BD217))</x:f>
        <x:v>1.9816535572061638</x:v>
      </x:c>
      <x:c r="BG217" s="165"/>
      <x:c r="BH217" s="172" t="str">
        <x:f>IF(AY217="","",IF(BG217="","",IFERROR(BB217/BG217-1,0)))</x:f>
      </x:c>
      <x:c r="BI217" s="166"/>
      <x:c r="BJ217" s="172" t="str">
        <x:f>IF(AY217="","",IF(BI217="","",BI217-BH217*365/BK217))</x:f>
      </x:c>
      <x:c r="BK217" s="164" t="n">
        <x:v>41</x:v>
      </x:c>
      <x:c r="BL217" s="172" t="n">
        <x:f>IF(AY217="","",IFERROR(BD217*(BC217/BB217-1),0))</x:f>
        <x:v>0.00019726027397259926</x:v>
      </x:c>
      <x:c r="BM217" s="147" t="str">
        <x:v>SI69Z</x:v>
      </x:c>
      <x:c r="BN217" s="147" t="str">
        <x:v>Silver future (regular)</x:v>
      </x:c>
      <x:c r="BO217" s="147" t="str">
        <x:v>Long</x:v>
      </x:c>
      <x:c r="BP217" s="167" t="n">
        <x:v>1.87</x:v>
      </x:c>
      <x:c r="BQ217" s="167" t="n">
        <x:v>1.89</x:v>
      </x:c>
      <x:c r="BR217" s="166" t="n">
        <x:v>1</x:v>
      </x:c>
      <x:c r="BS217" s="171" t="n">
        <x:f>IF(BM217="","",IFERROR(F217*BR217/BP217,0))</x:f>
        <x:v>1.0597077846022265</x:v>
      </x:c>
      <x:c r="BT217" s="171" t="n">
        <x:f>IF(BM217="","",F217*ABS(BR217))</x:f>
        <x:v>1.9816535572061638</x:v>
      </x:c>
      <x:c r="BU217" s="165" t="n">
        <x:v>1.897</x:v>
      </x:c>
      <x:c r="BV217" s="172" t="n">
        <x:f>IF(BM217="","",IF(BU217="","",IFERROR(BP217/BU217-1,0)))</x:f>
        <x:v>-0.014232999472851837</x:v>
      </x:c>
      <x:c r="BW217" s="166" t="n">
        <x:v>0.07200000000000001</x:v>
      </x:c>
      <x:c r="BX217" s="172" t="n">
        <x:f>IF(BM217="","",IF(BW217="","",BW217-BV217*365/BY217))</x:f>
        <x:v>0.19870840994124198</x:v>
      </x:c>
      <x:c r="BY217" s="164" t="n">
        <x:v>41</x:v>
      </x:c>
      <x:c r="BZ217" s="172" t="n">
        <x:f>IF(BM217="","",IFERROR(BR217*(BQ217/BP217-1),0))</x:f>
        <x:v>0.010695187165775222</x:v>
      </x:c>
      <x:c r="CA217" s="147"/>
      <x:c r="CB217" s="147"/>
      <x:c r="CC217" s="147"/>
      <x:c r="CD217" s="167"/>
      <x:c r="CE217" s="167"/>
      <x:c r="CF217" s="166"/>
      <x:c r="CG217" s="171" t="str">
        <x:f>IF(CA217="","",IFERROR(F217*CF217/CD217,0))</x:f>
      </x:c>
      <x:c r="CH217" s="171" t="str">
        <x:f>IF(CA217="","",F217*ABS(CF217))</x:f>
      </x:c>
      <x:c r="CI217" s="165"/>
      <x:c r="CJ217" s="172" t="str">
        <x:f>IF(CA217="","",IF(CI217="","",IFERROR(CD217/CI217-1,0)))</x:f>
      </x:c>
      <x:c r="CK217" s="166"/>
      <x:c r="CL217" s="172" t="str">
        <x:f>IF(CA217="","",IF(CK217="","",CK217-CJ217*365/CM217))</x:f>
      </x:c>
      <x:c r="CM217" s="164"/>
      <x:c r="CN217" s="172" t="str">
        <x:f>IF(CA217="","",IFERROR(CF217*(CE217/CD217-1),0))</x:f>
      </x:c>
      <x:c r="CO217" s="147"/>
      <x:c r="CP217" s="147"/>
      <x:c r="CQ217" s="147"/>
      <x:c r="CR217" s="167"/>
      <x:c r="CS217" s="167"/>
      <x:c r="CT217" s="166"/>
      <x:c r="CU217" s="171" t="str">
        <x:f>IF(CO217="","",IFERROR(F217*CT217/CR217,0))</x:f>
      </x:c>
      <x:c r="CV217" s="171" t="str">
        <x:f>IF(CO217="","",F217*ABS(CT217))</x:f>
      </x:c>
      <x:c r="CW217" s="165"/>
      <x:c r="CX217" s="172" t="str">
        <x:f>IF(CO217="","",IF(CW217="","",IFERROR(CR217/CW217-1,0)))</x:f>
      </x:c>
      <x:c r="CY217" s="166"/>
      <x:c r="CZ217" s="172" t="str">
        <x:f>IF(CO217="","",IF(CY217="","",CY217-CX217*365/DA217))</x:f>
      </x:c>
      <x:c r="DA217" s="164"/>
      <x:c r="DB217" s="172" t="str">
        <x:f>IF(CO217="","",IFERROR(CT217*(CS217/CR217-1),0))</x:f>
      </x:c>
      <x:c r="DC217" s="147"/>
      <x:c r="DD217" s="147"/>
      <x:c r="DE217" s="147"/>
      <x:c r="DF217" s="167"/>
      <x:c r="DG217" s="167"/>
      <x:c r="DH217" s="166"/>
      <x:c r="DI217" s="171" t="str">
        <x:f>IF(DC217="","",IFERROR(F217*DH217/DF217,0))</x:f>
      </x:c>
      <x:c r="DJ217" s="171" t="str">
        <x:f>IF(DC217="","",F217*ABS(DH217))</x:f>
      </x:c>
      <x:c r="DK217" s="165"/>
      <x:c r="DL217" s="172" t="str">
        <x:f>IF(DC217="","",IF(DK217="","",IFERROR(DF217/DK217-1,0)))</x:f>
      </x:c>
      <x:c r="DM217" s="166"/>
      <x:c r="DN217" s="172" t="str">
        <x:f>IF(DC217="","",IF(DM217="","",DM217-DL217*365/DO217))</x:f>
      </x:c>
      <x:c r="DO217" s="164"/>
      <x:c r="DP217" s="172" t="str">
        <x:f>IF(DC217="","",IFERROR(DH217*(DG217/DF217-1),0))</x:f>
      </x:c>
      <x:c r="DQ217" s="147"/>
      <x:c r="DR217" s="147"/>
      <x:c r="DS217" s="147"/>
      <x:c r="DT217" s="167"/>
      <x:c r="DU217" s="167"/>
      <x:c r="DV217" s="166"/>
      <x:c r="DW217" s="171" t="str">
        <x:f>IF(DQ217="","",IFERROR(F217*DV217/DT217,0))</x:f>
      </x:c>
      <x:c r="DX217" s="171" t="str">
        <x:f>IF(DQ217="","",F217*ABS(DV217))</x:f>
      </x:c>
      <x:c r="DY217" s="165"/>
      <x:c r="DZ217" s="172" t="str">
        <x:f>IF(DQ217="","",IF(DY217="","",IFERROR(DT217/DY217-1,0)))</x:f>
      </x:c>
      <x:c r="EA217" s="166"/>
      <x:c r="EB217" s="172" t="str">
        <x:f>IF(DQ217="","",IF(EA217="","",EA217-DZ217*365/EC217))</x:f>
      </x:c>
      <x:c r="EC217" s="164"/>
      <x:c r="ED217" s="172" t="str">
        <x:f>IF(DQ217="","",IFERROR(DV217*(DU217/DT217-1),0))</x:f>
      </x:c>
      <x:c r="EE217" s="147"/>
      <x:c r="EF217" s="147"/>
      <x:c r="EG217" s="147"/>
      <x:c r="EH217" s="167"/>
      <x:c r="EI217" s="167"/>
      <x:c r="EJ217" s="166"/>
      <x:c r="EK217" s="171" t="str">
        <x:f>IF(EE217="","",IFERROR(F217*EJ217/EH217,0))</x:f>
      </x:c>
      <x:c r="EL217" s="171" t="str">
        <x:f>IF(EE217="","",F217*ABS(EJ217))</x:f>
      </x:c>
      <x:c r="EM217" s="165"/>
      <x:c r="EN217" s="172" t="str">
        <x:f>IF(EE217="","",IF(EM217="","",IFERROR(EH217/EM217-1,0)))</x:f>
      </x:c>
      <x:c r="EO217" s="166"/>
      <x:c r="EP217" s="172" t="str">
        <x:f>IF(EE217="","",IF(EO217="","",EO217-EN217*365/EQ217))</x:f>
      </x:c>
      <x:c r="EQ217" s="164"/>
      <x:c r="ER217" s="172" t="str">
        <x:f>IF(EE217="","",IFERROR(EJ217*(EI217/EH217-1),0))</x:f>
      </x:c>
      <x:c r="ES217" s="147"/>
      <x:c r="ET217" s="147"/>
      <x:c r="EU217" s="147"/>
      <x:c r="EV217" s="167"/>
      <x:c r="EW217" s="167"/>
      <x:c r="EX217" s="166"/>
      <x:c r="EY217" s="171" t="str">
        <x:f>IF(ES217="","",IFERROR(F217*EX217/EV217,0))</x:f>
      </x:c>
      <x:c r="EZ217" s="171" t="str">
        <x:f>IF(ES217="","",F217*ABS(EX217))</x:f>
      </x:c>
      <x:c r="FA217" s="165"/>
      <x:c r="FB217" s="172" t="str">
        <x:f>IF(ES217="","",IF(FA217="","",IFERROR(EV217/FA217-1,0)))</x:f>
      </x:c>
      <x:c r="FC217" s="166"/>
      <x:c r="FD217" s="172" t="str">
        <x:f>IF(ES217="","",IF(FC217="","",FC217-FB217*365/FE217))</x:f>
      </x:c>
      <x:c r="FE217" s="164"/>
      <x:c r="FF217" s="172" t="str">
        <x:f>IF(ES217="","",IFERROR(EX217*(EW217/EV217-1),0))</x:f>
      </x:c>
      <x:c r="FG217" s="147"/>
      <x:c r="FH217" s="147"/>
      <x:c r="FI217" s="147"/>
      <x:c r="FJ217" s="167"/>
      <x:c r="FK217" s="167"/>
      <x:c r="FL217" s="166"/>
      <x:c r="FM217" s="171" t="str">
        <x:f>IF(FG217="","",IFERROR(F217*FL217/FJ217,0))</x:f>
      </x:c>
      <x:c r="FN217" s="171" t="str">
        <x:f>IF(FG217="","",F217*ABS(FL217))</x:f>
      </x:c>
      <x:c r="FO217" s="165"/>
      <x:c r="FP217" s="172" t="str">
        <x:f>IF(FG217="","",IF(FO217="","",IFERROR(FJ217/FO217-1,0)))</x:f>
      </x:c>
      <x:c r="FQ217" s="166"/>
      <x:c r="FR217" s="172" t="str">
        <x:f>IF(FG217="","",IF(FQ217="","",FQ217-FP217*365/FS217))</x:f>
      </x:c>
      <x:c r="FS217" s="164"/>
      <x:c r="FT217" s="172" t="str">
        <x:f>IF(FG217="","",IFERROR(FL217*(FK217/FJ217-1),0))</x:f>
      </x:c>
    </x:row>
    <x:row r="218" ht="18" customHeight="1">
      <x:c r="A218" s="163" t="n">
        <x:v>25526</x:v>
      </x:c>
      <x:c r="B218" s="163" t="n">
        <x:v>25527</x:v>
      </x:c>
      <x:c r="C218" s="170" t="n">
        <x:f>B218-A218</x:f>
        <x:v>1</x:v>
      </x:c>
      <x:c r="D218" s="163" t="n">
        <x:v>25526</x:v>
      </x:c>
      <x:c r="E218" s="147" t="str">
        <x:v>positive</x:v>
      </x:c>
      <x:c r="F218" s="165" t="n">
        <x:v>2.003238614421821</x:v>
      </x:c>
      <x:c r="G218" s="168" t="n">
        <x:v>0.01325494937476911</x:v>
      </x:c>
      <x:c r="H218" s="172" t="n">
        <x:f>SUM(AX218,BL218,BZ218,CN218,DB218,DP218,ED218,ER218,FF218,FT218)</x:f>
        <x:v>0.013254949374769112</x:v>
      </x:c>
      <x:c r="I218" s="174" t="n">
        <x:f>G218-H218</x:f>
        <x:v>-1.734723475976807e-18</x:v>
      </x:c>
      <x:c r="J218" s="171" t="n">
        <x:f>F218*(1+H218)</x:f>
        <x:v>2.029791440841565</x:v>
      </x:c>
      <x:c r="K218" s="169" t="n">
        <x:v>2.029791440841565</x:v>
      </x:c>
      <x:c r="L218" s="175" t="n">
        <x:f>K218-J218</x:f>
        <x:v>0</x:v>
      </x:c>
      <x:c r="M218" s="167" t="n">
        <x:v>1.877</x:v>
      </x:c>
      <x:c r="N218" s="167" t="n">
        <x:v>1.902</x:v>
      </x:c>
      <x:c r="O218" s="172" t="n">
        <x:f>IFERROR(N218/M218-1,0)</x:f>
        <x:v>0.01331912626531695</x:v>
      </x:c>
      <x:c r="P218" s="171" t="n">
        <x:f>IFERROR(AD218/AH218,0)</x:f>
        <x:v>2.0896863116877595</x:v>
      </x:c>
      <x:c r="Q218" s="171" t="n">
        <x:f>IFERROR(AE218/AI218,0)</x:f>
        <x:v>2.0895539648621364</x:v>
      </x:c>
      <x:c r="R218" s="172" t="n">
        <x:f>IFERROR((Q218-P218)/(P218+S218),0)</x:f>
        <x:v>-0.00006333334571935792</x:v>
      </x:c>
      <x:c r="S218" s="172" t="n">
        <x:f>IFERROR(AF218/AH218,0)</x:f>
        <x:v>0</x:v>
      </x:c>
      <x:c r="T218" s="172" t="n">
        <x:f>IFERROR(AG218/AI218,0)</x:f>
        <x:v>0</x:v>
      </x:c>
      <x:c r="U218" s="172" t="n">
        <x:f>IFERROR((T218-S218)/(P218+S218),0)</x:f>
        <x:v>0</x:v>
      </x:c>
      <x:c r="V218" s="172" t="n">
        <x:f>R218+U218</x:f>
        <x:v>-0.00006333334571935792</x:v>
      </x:c>
      <x:c r="W218" s="172" t="n">
        <x:f>(1+O218)*(1+V218)-1</x:f>
        <x:v>0.01325494937476912</x:v>
      </x:c>
      <x:c r="X218" s="174" t="n">
        <x:f>G218-W218</x:f>
        <x:v>-1.0408340855860843e-17</x:v>
      </x:c>
      <x:c r="Y218" s="172" t="n">
        <x:f>AX218</x:f>
        <x:v>0.012504599286984998</x:v>
      </x:c>
      <x:c r="Z218" s="172" t="n">
        <x:f>BL218</x:f>
        <x:v>0.000012017971259881348</x:v>
      </x:c>
      <x:c r="AA218" s="172" t="n">
        <x:f>SUM(BZ218,CN218,DB218,DP218,ED218,ER218,FF218,FT218)</x:f>
        <x:v>0.0007383321165242323</x:v>
      </x:c>
      <x:c r="AB218" s="172" t="n">
        <x:f>SUM(Y218:AA218)</x:f>
        <x:v>0.013254949374769112</x:v>
      </x:c>
      <x:c r="AC218" s="174" t="n">
        <x:f>G218-AB218</x:f>
        <x:v>-1.734723475976807e-18</x:v>
      </x:c>
      <x:c r="AD218" s="169" t="n">
        <x:v>2.0032386144218206</x:v>
      </x:c>
      <x:c r="AE218" s="169" t="n">
        <x:v>2.0297914408415645</x:v>
      </x:c>
      <x:c r="AF218" s="169" t="n">
        <x:v>0</x:v>
      </x:c>
      <x:c r="AG218" s="169" t="n">
        <x:v>0</x:v>
      </x:c>
      <x:c r="AH218" s="171" t="n">
        <x:f>M218/$M$3</x:f>
        <x:v>0.9586312563840654</x:v>
      </x:c>
      <x:c r="AI218" s="171" t="n">
        <x:f>N218/$M$3</x:f>
        <x:v>0.9713993871297242</x:v>
      </x:c>
      <x:c r="AJ218" s="170" t="n">
        <x:f>IF(AK218&lt;&gt;"",1,0)+IF(AY218&lt;&gt;"",1,0)+IF(BM218&lt;&gt;"",1,0)+IF(CA218&lt;&gt;"",1,0)+IF(CO218&lt;&gt;"",1,0)+IF(DC218&lt;&gt;"",1,0)+IF(DQ218&lt;&gt;"",1,0)+IF(EE218&lt;&gt;"",1,0)+IF(ES218&lt;&gt;"",1,0)+IF(FG218&lt;&gt;"",1,0)</x:f>
        <x:v>3</x:v>
      </x:c>
      <x:c r="AK218" s="147" t="str">
        <x:v>Silver replicating holding (LBMA/SLV proxy)</x:v>
      </x:c>
      <x:c r="AL218" s="147" t="str">
        <x:v>Physical-backed proxy</x:v>
      </x:c>
      <x:c r="AM218" s="147" t="str">
        <x:v>Long</x:v>
      </x:c>
      <x:c r="AN218" s="167" t="n">
        <x:v>1.877</x:v>
      </x:c>
      <x:c r="AO218" s="167" t="n">
        <x:v>1.902</x:v>
      </x:c>
      <x:c r="AP218" s="166" t="n">
        <x:v>0.939328360859531</x:v>
      </x:c>
      <x:c r="AQ218" s="171" t="n">
        <x:f>IF(AK218="","",IFERROR(F218*AP218/AN218,0))</x:f>
        <x:v>1.0025033799122893</x:v>
      </x:c>
      <x:c r="AR218" s="171" t="n">
        <x:f>IF(AK218="","",F218*ABS(AP218))</x:f>
        <x:v>1.8816988440953673</x:v>
      </x:c>
      <x:c r="AS218" s="165"/>
      <x:c r="AT218" s="172" t="str">
        <x:f>IF(AK218="","",IF(AS218="","",IFERROR(AN218/AS218-1,0)))</x:f>
      </x:c>
      <x:c r="AU218" s="166"/>
      <x:c r="AV218" s="172" t="str">
        <x:f>IF(AK218="","",IF(AU218="","",AU218-AT218*365/AW218))</x:f>
      </x:c>
      <x:c r="AW218" s="164"/>
      <x:c r="AX218" s="173" t="n">
        <x:f>IF(AK218="","",IFERROR(AP218*(AO218/AN218-1-'Parameters'!$C$6*C218/365),0))</x:f>
        <x:v>0.012504599286984998</x:v>
      </x:c>
      <x:c r="AY218" s="147" t="str">
        <x:v>Matched-maturity Treasury collateral</x:v>
      </x:c>
      <x:c r="AZ218" s="147" t="str">
        <x:v>Treasury</x:v>
      </x:c>
      <x:c r="BA218" s="147" t="str">
        <x:v>Long</x:v>
      </x:c>
      <x:c r="BB218" s="167" t="n">
        <x:v>105.90778678428323</x:v>
      </x:c>
      <x:c r="BC218" s="167" t="n">
        <x:v>105.92876523081611</x:v>
      </x:c>
      <x:c r="BD218" s="166" t="n">
        <x:v>0.060671639140469</x:v>
      </x:c>
      <x:c r="BE218" s="171" t="n">
        <x:f>IF(AY218="","",IFERROR(F218*BD218/BB218,0))</x:f>
        <x:v>0.0011475999453563353</x:v>
      </x:c>
      <x:c r="BF218" s="171" t="n">
        <x:f>IF(AY218="","",F218*ABS(BD218))</x:f>
        <x:v>0.12153977032645384</x:v>
      </x:c>
      <x:c r="BG218" s="165"/>
      <x:c r="BH218" s="172" t="str">
        <x:f>IF(AY218="","",IF(BG218="","",IFERROR(BB218/BG218-1,0)))</x:f>
      </x:c>
      <x:c r="BI218" s="166"/>
      <x:c r="BJ218" s="172" t="str">
        <x:f>IF(AY218="","",IF(BI218="","",BI218-BH218*365/BK218))</x:f>
      </x:c>
      <x:c r="BK218" s="164" t="n">
        <x:v>40</x:v>
      </x:c>
      <x:c r="BL218" s="172" t="n">
        <x:f>IF(AY218="","",IFERROR(BD218*(BC218/BB218-1),0))</x:f>
        <x:v>0.000012017971259881348</x:v>
      </x:c>
      <x:c r="BM218" s="147" t="str">
        <x:v>SI69Z</x:v>
      </x:c>
      <x:c r="BN218" s="147" t="str">
        <x:v>Silver future (regular)</x:v>
      </x:c>
      <x:c r="BO218" s="147" t="str">
        <x:v>Long</x:v>
      </x:c>
      <x:c r="BP218" s="167" t="n">
        <x:v>1.89</x:v>
      </x:c>
      <x:c r="BQ218" s="167" t="n">
        <x:v>1.913</x:v>
      </x:c>
      <x:c r="BR218" s="166" t="n">
        <x:v>0.060671639140469</x:v>
      </x:c>
      <x:c r="BS218" s="171" t="n">
        <x:f>IF(BM218="","",IFERROR(F218*BR218/BP218,0))</x:f>
        <x:v>0.06430675678648352</x:v>
      </x:c>
      <x:c r="BT218" s="171" t="n">
        <x:f>IF(BM218="","",F218*ABS(BR218))</x:f>
        <x:v>0.12153977032645384</x:v>
      </x:c>
      <x:c r="BU218" s="165" t="n">
        <x:v>1.877</x:v>
      </x:c>
      <x:c r="BV218" s="172" t="n">
        <x:f>IF(BM218="","",IF(BU218="","",IFERROR(BP218/BU218-1,0)))</x:f>
        <x:v>0.006925945657964894</x:v>
      </x:c>
      <x:c r="BW218" s="166" t="n">
        <x:v>0.0723</x:v>
      </x:c>
      <x:c r="BX218" s="172" t="n">
        <x:f>IF(BM218="","",IF(BW218="","",BW218-BV218*365/BY218))</x:f>
        <x:v>0.009100745871070348</x:v>
      </x:c>
      <x:c r="BY218" s="164" t="n">
        <x:v>40</x:v>
      </x:c>
      <x:c r="BZ218" s="172" t="n">
        <x:f>IF(BM218="","",IFERROR(BR218*(BQ218/BP218-1),0))</x:f>
        <x:v>0.0007383321165242323</x:v>
      </x:c>
      <x:c r="CA218" s="147"/>
      <x:c r="CB218" s="147"/>
      <x:c r="CC218" s="147"/>
      <x:c r="CD218" s="167"/>
      <x:c r="CE218" s="167"/>
      <x:c r="CF218" s="166"/>
      <x:c r="CG218" s="171" t="str">
        <x:f>IF(CA218="","",IFERROR(F218*CF218/CD218,0))</x:f>
      </x:c>
      <x:c r="CH218" s="171" t="str">
        <x:f>IF(CA218="","",F218*ABS(CF218))</x:f>
      </x:c>
      <x:c r="CI218" s="165"/>
      <x:c r="CJ218" s="172" t="str">
        <x:f>IF(CA218="","",IF(CI218="","",IFERROR(CD218/CI218-1,0)))</x:f>
      </x:c>
      <x:c r="CK218" s="166"/>
      <x:c r="CL218" s="172" t="str">
        <x:f>IF(CA218="","",IF(CK218="","",CK218-CJ218*365/CM218))</x:f>
      </x:c>
      <x:c r="CM218" s="164"/>
      <x:c r="CN218" s="172" t="str">
        <x:f>IF(CA218="","",IFERROR(CF218*(CE218/CD218-1),0))</x:f>
      </x:c>
      <x:c r="CO218" s="147"/>
      <x:c r="CP218" s="147"/>
      <x:c r="CQ218" s="147"/>
      <x:c r="CR218" s="167"/>
      <x:c r="CS218" s="167"/>
      <x:c r="CT218" s="166"/>
      <x:c r="CU218" s="171" t="str">
        <x:f>IF(CO218="","",IFERROR(F218*CT218/CR218,0))</x:f>
      </x:c>
      <x:c r="CV218" s="171" t="str">
        <x:f>IF(CO218="","",F218*ABS(CT218))</x:f>
      </x:c>
      <x:c r="CW218" s="165"/>
      <x:c r="CX218" s="172" t="str">
        <x:f>IF(CO218="","",IF(CW218="","",IFERROR(CR218/CW218-1,0)))</x:f>
      </x:c>
      <x:c r="CY218" s="166"/>
      <x:c r="CZ218" s="172" t="str">
        <x:f>IF(CO218="","",IF(CY218="","",CY218-CX218*365/DA218))</x:f>
      </x:c>
      <x:c r="DA218" s="164"/>
      <x:c r="DB218" s="172" t="str">
        <x:f>IF(CO218="","",IFERROR(CT218*(CS218/CR218-1),0))</x:f>
      </x:c>
      <x:c r="DC218" s="147"/>
      <x:c r="DD218" s="147"/>
      <x:c r="DE218" s="147"/>
      <x:c r="DF218" s="167"/>
      <x:c r="DG218" s="167"/>
      <x:c r="DH218" s="166"/>
      <x:c r="DI218" s="171" t="str">
        <x:f>IF(DC218="","",IFERROR(F218*DH218/DF218,0))</x:f>
      </x:c>
      <x:c r="DJ218" s="171" t="str">
        <x:f>IF(DC218="","",F218*ABS(DH218))</x:f>
      </x:c>
      <x:c r="DK218" s="165"/>
      <x:c r="DL218" s="172" t="str">
        <x:f>IF(DC218="","",IF(DK218="","",IFERROR(DF218/DK218-1,0)))</x:f>
      </x:c>
      <x:c r="DM218" s="166"/>
      <x:c r="DN218" s="172" t="str">
        <x:f>IF(DC218="","",IF(DM218="","",DM218-DL218*365/DO218))</x:f>
      </x:c>
      <x:c r="DO218" s="164"/>
      <x:c r="DP218" s="172" t="str">
        <x:f>IF(DC218="","",IFERROR(DH218*(DG218/DF218-1),0))</x:f>
      </x:c>
      <x:c r="DQ218" s="147"/>
      <x:c r="DR218" s="147"/>
      <x:c r="DS218" s="147"/>
      <x:c r="DT218" s="167"/>
      <x:c r="DU218" s="167"/>
      <x:c r="DV218" s="166"/>
      <x:c r="DW218" s="171" t="str">
        <x:f>IF(DQ218="","",IFERROR(F218*DV218/DT218,0))</x:f>
      </x:c>
      <x:c r="DX218" s="171" t="str">
        <x:f>IF(DQ218="","",F218*ABS(DV218))</x:f>
      </x:c>
      <x:c r="DY218" s="165"/>
      <x:c r="DZ218" s="172" t="str">
        <x:f>IF(DQ218="","",IF(DY218="","",IFERROR(DT218/DY218-1,0)))</x:f>
      </x:c>
      <x:c r="EA218" s="166"/>
      <x:c r="EB218" s="172" t="str">
        <x:f>IF(DQ218="","",IF(EA218="","",EA218-DZ218*365/EC218))</x:f>
      </x:c>
      <x:c r="EC218" s="164"/>
      <x:c r="ED218" s="172" t="str">
        <x:f>IF(DQ218="","",IFERROR(DV218*(DU218/DT218-1),0))</x:f>
      </x:c>
      <x:c r="EE218" s="147"/>
      <x:c r="EF218" s="147"/>
      <x:c r="EG218" s="147"/>
      <x:c r="EH218" s="167"/>
      <x:c r="EI218" s="167"/>
      <x:c r="EJ218" s="166"/>
      <x:c r="EK218" s="171" t="str">
        <x:f>IF(EE218="","",IFERROR(F218*EJ218/EH218,0))</x:f>
      </x:c>
      <x:c r="EL218" s="171" t="str">
        <x:f>IF(EE218="","",F218*ABS(EJ218))</x:f>
      </x:c>
      <x:c r="EM218" s="165"/>
      <x:c r="EN218" s="172" t="str">
        <x:f>IF(EE218="","",IF(EM218="","",IFERROR(EH218/EM218-1,0)))</x:f>
      </x:c>
      <x:c r="EO218" s="166"/>
      <x:c r="EP218" s="172" t="str">
        <x:f>IF(EE218="","",IF(EO218="","",EO218-EN218*365/EQ218))</x:f>
      </x:c>
      <x:c r="EQ218" s="164"/>
      <x:c r="ER218" s="172" t="str">
        <x:f>IF(EE218="","",IFERROR(EJ218*(EI218/EH218-1),0))</x:f>
      </x:c>
      <x:c r="ES218" s="147"/>
      <x:c r="ET218" s="147"/>
      <x:c r="EU218" s="147"/>
      <x:c r="EV218" s="167"/>
      <x:c r="EW218" s="167"/>
      <x:c r="EX218" s="166"/>
      <x:c r="EY218" s="171" t="str">
        <x:f>IF(ES218="","",IFERROR(F218*EX218/EV218,0))</x:f>
      </x:c>
      <x:c r="EZ218" s="171" t="str">
        <x:f>IF(ES218="","",F218*ABS(EX218))</x:f>
      </x:c>
      <x:c r="FA218" s="165"/>
      <x:c r="FB218" s="172" t="str">
        <x:f>IF(ES218="","",IF(FA218="","",IFERROR(EV218/FA218-1,0)))</x:f>
      </x:c>
      <x:c r="FC218" s="166"/>
      <x:c r="FD218" s="172" t="str">
        <x:f>IF(ES218="","",IF(FC218="","",FC218-FB218*365/FE218))</x:f>
      </x:c>
      <x:c r="FE218" s="164"/>
      <x:c r="FF218" s="172" t="str">
        <x:f>IF(ES218="","",IFERROR(EX218*(EW218/EV218-1),0))</x:f>
      </x:c>
      <x:c r="FG218" s="147"/>
      <x:c r="FH218" s="147"/>
      <x:c r="FI218" s="147"/>
      <x:c r="FJ218" s="167"/>
      <x:c r="FK218" s="167"/>
      <x:c r="FL218" s="166"/>
      <x:c r="FM218" s="171" t="str">
        <x:f>IF(FG218="","",IFERROR(F218*FL218/FJ218,0))</x:f>
      </x:c>
      <x:c r="FN218" s="171" t="str">
        <x:f>IF(FG218="","",F218*ABS(FL218))</x:f>
      </x:c>
      <x:c r="FO218" s="165"/>
      <x:c r="FP218" s="172" t="str">
        <x:f>IF(FG218="","",IF(FO218="","",IFERROR(FJ218/FO218-1,0)))</x:f>
      </x:c>
      <x:c r="FQ218" s="166"/>
      <x:c r="FR218" s="172" t="str">
        <x:f>IF(FG218="","",IF(FQ218="","",FQ218-FP218*365/FS218))</x:f>
      </x:c>
      <x:c r="FS218" s="164"/>
      <x:c r="FT218" s="172" t="str">
        <x:f>IF(FG218="","",IFERROR(FL218*(FK218/FJ218-1),0))</x:f>
      </x:c>
    </x:row>
    <x:row r="219" ht="18" customHeight="1">
      <x:c r="A219" s="163" t="n">
        <x:v>25527</x:v>
      </x:c>
      <x:c r="B219" s="163" t="n">
        <x:v>25528</x:v>
      </x:c>
      <x:c r="C219" s="170" t="n">
        <x:f>B219-A219</x:f>
        <x:v>1</x:v>
      </x:c>
      <x:c r="D219" s="163" t="n">
        <x:v>25527</x:v>
      </x:c>
      <x:c r="E219" s="147" t="str">
        <x:v>positive</x:v>
      </x:c>
      <x:c r="F219" s="165" t="n">
        <x:v>2.029791440841565</x:v>
      </x:c>
      <x:c r="G219" s="168" t="n">
        <x:v>-0.0030646728074859514</x:v>
      </x:c>
      <x:c r="H219" s="172" t="n">
        <x:f>SUM(AX219,BL219,BZ219,CN219,DB219,DP219,ED219,ER219,FF219,FT219)</x:f>
        <x:v>-0.0030646728074859558</x:v>
      </x:c>
      <x:c r="I219" s="174" t="n">
        <x:f>G219-H219</x:f>
        <x:v>4.336808689942018e-18</x:v>
      </x:c>
      <x:c r="J219" s="171" t="n">
        <x:f>F219*(1+H219)</x:f>
        <x:v>2.02357079420795</x:v>
      </x:c>
      <x:c r="K219" s="169" t="n">
        <x:v>2.02357079420795</x:v>
      </x:c>
      <x:c r="L219" s="175" t="n">
        <x:f>K219-J219</x:f>
        <x:v>0</x:v>
      </x:c>
      <x:c r="M219" s="167" t="n">
        <x:v>1.902</x:v>
      </x:c>
      <x:c r="N219" s="167" t="n">
        <x:v>1.896</x:v>
      </x:c>
      <x:c r="O219" s="172" t="n">
        <x:f>IFERROR(N219/M219-1,0)</x:f>
        <x:v>-0.003154574132492094</x:v>
      </x:c>
      <x:c r="P219" s="171" t="n">
        <x:f>IFERROR(AD219/AH219,0)</x:f>
        <x:v>2.0895539648621364</x:v>
      </x:c>
      <x:c r="Q219" s="171" t="n">
        <x:f>IFERROR(AE219/AI219,0)</x:f>
        <x:v>2.089742413005889</x:v>
      </x:c>
      <x:c r="R219" s="172" t="n">
        <x:f>IFERROR((Q219-P219)/(P219+S219),0)</x:f>
        <x:v>0.00009018582287002095</x:v>
      </x:c>
      <x:c r="S219" s="172" t="n">
        <x:f>IFERROR(AF219/AH219,0)</x:f>
        <x:v>0</x:v>
      </x:c>
      <x:c r="T219" s="172" t="n">
        <x:f>IFERROR(AG219/AI219,0)</x:f>
        <x:v>0</x:v>
      </x:c>
      <x:c r="U219" s="172" t="n">
        <x:f>IFERROR((T219-S219)/(P219+S219),0)</x:f>
        <x:v>0</x:v>
      </x:c>
      <x:c r="V219" s="172" t="n">
        <x:f>R219+U219</x:f>
        <x:v>0.00009018582287002095</x:v>
      </x:c>
      <x:c r="W219" s="172" t="n">
        <x:f>(1+O219)*(1+V219)-1</x:f>
        <x:v>-0.003064672807485902</x:v>
      </x:c>
      <x:c r="X219" s="174" t="n">
        <x:f>G219-W219</x:f>
        <x:v>-4.9439619065339e-17</x:v>
      </x:c>
      <x:c r="Y219" s="172" t="n">
        <x:f>AX219</x:f>
        <x:v>-0.002753105806904257</x:v>
      </x:c>
      <x:c r="Z219" s="172" t="n">
        <x:f>BL219</x:f>
        <x:v>0.000026008179141099794</x:v>
      </x:c>
      <x:c r="AA219" s="172" t="n">
        <x:f>SUM(BZ219,CN219,DB219,DP219,ED219,ER219,FF219,FT219)</x:f>
        <x:v>-0.00033757517972279855</x:v>
      </x:c>
      <x:c r="AB219" s="172" t="n">
        <x:f>SUM(Y219:AA219)</x:f>
        <x:v>-0.0030646728074859558</x:v>
      </x:c>
      <x:c r="AC219" s="174" t="n">
        <x:f>G219-AB219</x:f>
        <x:v>4.336808689942018e-18</x:v>
      </x:c>
      <x:c r="AD219" s="169" t="n">
        <x:v>2.0297914408415645</x:v>
      </x:c>
      <x:c r="AE219" s="169" t="n">
        <x:v>2.0235707942079495</x:v>
      </x:c>
      <x:c r="AF219" s="169" t="n">
        <x:v>0</x:v>
      </x:c>
      <x:c r="AG219" s="169" t="n">
        <x:v>0</x:v>
      </x:c>
      <x:c r="AH219" s="171" t="n">
        <x:f>M219/$M$3</x:f>
        <x:v>0.9713993871297242</x:v>
      </x:c>
      <x:c r="AI219" s="171" t="n">
        <x:f>N219/$M$3</x:f>
        <x:v>0.9683350357507661</x:v>
      </x:c>
      <x:c r="AJ219" s="170" t="n">
        <x:f>IF(AK219&lt;&gt;"",1,0)+IF(AY219&lt;&gt;"",1,0)+IF(BM219&lt;&gt;"",1,0)+IF(CA219&lt;&gt;"",1,0)+IF(CO219&lt;&gt;"",1,0)+IF(DC219&lt;&gt;"",1,0)+IF(DQ219&lt;&gt;"",1,0)+IF(EE219&lt;&gt;"",1,0)+IF(ES219&lt;&gt;"",1,0)+IF(FG219&lt;&gt;"",1,0)</x:f>
        <x:v>3</x:v>
      </x:c>
      <x:c r="AK219" s="147" t="str">
        <x:v>Silver replicating holding (LBMA/SLV proxy)</x:v>
      </x:c>
      <x:c r="AL219" s="147" t="str">
        <x:v>Physical-backed proxy</x:v>
      </x:c>
      <x:c r="AM219" s="147" t="str">
        <x:v>Long</x:v>
      </x:c>
      <x:c r="AN219" s="167" t="n">
        <x:v>1.902</x:v>
      </x:c>
      <x:c r="AO219" s="167" t="n">
        <x:v>1.896</x:v>
      </x:c>
      <x:c r="AP219" s="166" t="n">
        <x:v>0.8708437362380558</x:v>
      </x:c>
      <x:c r="AQ219" s="171" t="n">
        <x:f>IF(AK219="","",IFERROR(F219*AP219/AN219,0))</x:f>
        <x:v>0.9293539233052025</x:v>
      </x:c>
      <x:c r="AR219" s="171" t="n">
        <x:f>IF(AK219="","",F219*ABS(AP219))</x:f>
        <x:v>1.767631162126495</x:v>
      </x:c>
      <x:c r="AS219" s="165"/>
      <x:c r="AT219" s="172" t="str">
        <x:f>IF(AK219="","",IF(AS219="","",IFERROR(AN219/AS219-1,0)))</x:f>
      </x:c>
      <x:c r="AU219" s="166"/>
      <x:c r="AV219" s="172" t="str">
        <x:f>IF(AK219="","",IF(AU219="","",AU219-AT219*365/AW219))</x:f>
      </x:c>
      <x:c r="AW219" s="164"/>
      <x:c r="AX219" s="173" t="n">
        <x:f>IF(AK219="","",IFERROR(AP219*(AO219/AN219-1-'Parameters'!$C$6*C219/365),0))</x:f>
        <x:v>-0.002753105806904257</x:v>
      </x:c>
      <x:c r="AY219" s="147" t="str">
        <x:v>Matched-maturity Treasury collateral</x:v>
      </x:c>
      <x:c r="AZ219" s="147" t="str">
        <x:v>Treasury</x:v>
      </x:c>
      <x:c r="BA219" s="147" t="str">
        <x:v>Long</x:v>
      </x:c>
      <x:c r="BB219" s="167" t="n">
        <x:v>105.92876523081611</x:v>
      </x:c>
      <x:c r="BC219" s="167" t="n">
        <x:v>105.95009609175985</x:v>
      </x:c>
      <x:c r="BD219" s="166" t="n">
        <x:v>0.12915626376194422</x:v>
      </x:c>
      <x:c r="BE219" s="171" t="n">
        <x:f>IF(AY219="","",IFERROR(F219*BD219/BB219,0))</x:f>
        <x:v>0.0024748733561070907</x:v>
      </x:c>
      <x:c r="BF219" s="171" t="n">
        <x:f>IF(AY219="","",F219*ABS(BD219))</x:f>
        <x:v>0.26216027871506997</x:v>
      </x:c>
      <x:c r="BG219" s="165"/>
      <x:c r="BH219" s="172" t="str">
        <x:f>IF(AY219="","",IF(BG219="","",IFERROR(BB219/BG219-1,0)))</x:f>
      </x:c>
      <x:c r="BI219" s="166"/>
      <x:c r="BJ219" s="172" t="str">
        <x:f>IF(AY219="","",IF(BI219="","",BI219-BH219*365/BK219))</x:f>
      </x:c>
      <x:c r="BK219" s="164" t="n">
        <x:v>39</x:v>
      </x:c>
      <x:c r="BL219" s="172" t="n">
        <x:f>IF(AY219="","",IFERROR(BD219*(BC219/BB219-1),0))</x:f>
        <x:v>0.000026008179141099794</x:v>
      </x:c>
      <x:c r="BM219" s="147" t="str">
        <x:v>SI69Z</x:v>
      </x:c>
      <x:c r="BN219" s="147" t="str">
        <x:v>Silver future (regular)</x:v>
      </x:c>
      <x:c r="BO219" s="147" t="str">
        <x:v>Long</x:v>
      </x:c>
      <x:c r="BP219" s="167" t="n">
        <x:v>1.913</x:v>
      </x:c>
      <x:c r="BQ219" s="167" t="n">
        <x:v>1.9080000000000001</x:v>
      </x:c>
      <x:c r="BR219" s="166" t="n">
        <x:v>0.12915626376194422</x:v>
      </x:c>
      <x:c r="BS219" s="171" t="n">
        <x:f>IF(BM219="","",IFERROR(F219*BR219/BP219,0))</x:f>
        <x:v>0.13704144208837948</x:v>
      </x:c>
      <x:c r="BT219" s="171" t="n">
        <x:f>IF(BM219="","",F219*ABS(BR219))</x:f>
        <x:v>0.26216027871506997</x:v>
      </x:c>
      <x:c r="BU219" s="165" t="n">
        <x:v>1.902</x:v>
      </x:c>
      <x:c r="BV219" s="172" t="n">
        <x:f>IF(BM219="","",IF(BU219="","",IFERROR(BP219/BU219-1,0)))</x:f>
        <x:v>0.005783385909568839</x:v>
      </x:c>
      <x:c r="BW219" s="166" t="n">
        <x:v>0.0735</x:v>
      </x:c>
      <x:c r="BX219" s="172" t="n">
        <x:f>IF(BM219="","",IF(BW219="","",BW219-BV219*365/BY219))</x:f>
        <x:v>0.019373439564291633</x:v>
      </x:c>
      <x:c r="BY219" s="164" t="n">
        <x:v>39</x:v>
      </x:c>
      <x:c r="BZ219" s="172" t="n">
        <x:f>IF(BM219="","",IFERROR(BR219*(BQ219/BP219-1),0))</x:f>
        <x:v>-0.00033757517972279855</x:v>
      </x:c>
      <x:c r="CA219" s="147"/>
      <x:c r="CB219" s="147"/>
      <x:c r="CC219" s="147"/>
      <x:c r="CD219" s="167"/>
      <x:c r="CE219" s="167"/>
      <x:c r="CF219" s="166"/>
      <x:c r="CG219" s="171" t="str">
        <x:f>IF(CA219="","",IFERROR(F219*CF219/CD219,0))</x:f>
      </x:c>
      <x:c r="CH219" s="171" t="str">
        <x:f>IF(CA219="","",F219*ABS(CF219))</x:f>
      </x:c>
      <x:c r="CI219" s="165"/>
      <x:c r="CJ219" s="172" t="str">
        <x:f>IF(CA219="","",IF(CI219="","",IFERROR(CD219/CI219-1,0)))</x:f>
      </x:c>
      <x:c r="CK219" s="166"/>
      <x:c r="CL219" s="172" t="str">
        <x:f>IF(CA219="","",IF(CK219="","",CK219-CJ219*365/CM219))</x:f>
      </x:c>
      <x:c r="CM219" s="164"/>
      <x:c r="CN219" s="172" t="str">
        <x:f>IF(CA219="","",IFERROR(CF219*(CE219/CD219-1),0))</x:f>
      </x:c>
      <x:c r="CO219" s="147"/>
      <x:c r="CP219" s="147"/>
      <x:c r="CQ219" s="147"/>
      <x:c r="CR219" s="167"/>
      <x:c r="CS219" s="167"/>
      <x:c r="CT219" s="166"/>
      <x:c r="CU219" s="171" t="str">
        <x:f>IF(CO219="","",IFERROR(F219*CT219/CR219,0))</x:f>
      </x:c>
      <x:c r="CV219" s="171" t="str">
        <x:f>IF(CO219="","",F219*ABS(CT219))</x:f>
      </x:c>
      <x:c r="CW219" s="165"/>
      <x:c r="CX219" s="172" t="str">
        <x:f>IF(CO219="","",IF(CW219="","",IFERROR(CR219/CW219-1,0)))</x:f>
      </x:c>
      <x:c r="CY219" s="166"/>
      <x:c r="CZ219" s="172" t="str">
        <x:f>IF(CO219="","",IF(CY219="","",CY219-CX219*365/DA219))</x:f>
      </x:c>
      <x:c r="DA219" s="164"/>
      <x:c r="DB219" s="172" t="str">
        <x:f>IF(CO219="","",IFERROR(CT219*(CS219/CR219-1),0))</x:f>
      </x:c>
      <x:c r="DC219" s="147"/>
      <x:c r="DD219" s="147"/>
      <x:c r="DE219" s="147"/>
      <x:c r="DF219" s="167"/>
      <x:c r="DG219" s="167"/>
      <x:c r="DH219" s="166"/>
      <x:c r="DI219" s="171" t="str">
        <x:f>IF(DC219="","",IFERROR(F219*DH219/DF219,0))</x:f>
      </x:c>
      <x:c r="DJ219" s="171" t="str">
        <x:f>IF(DC219="","",F219*ABS(DH219))</x:f>
      </x:c>
      <x:c r="DK219" s="165"/>
      <x:c r="DL219" s="172" t="str">
        <x:f>IF(DC219="","",IF(DK219="","",IFERROR(DF219/DK219-1,0)))</x:f>
      </x:c>
      <x:c r="DM219" s="166"/>
      <x:c r="DN219" s="172" t="str">
        <x:f>IF(DC219="","",IF(DM219="","",DM219-DL219*365/DO219))</x:f>
      </x:c>
      <x:c r="DO219" s="164"/>
      <x:c r="DP219" s="172" t="str">
        <x:f>IF(DC219="","",IFERROR(DH219*(DG219/DF219-1),0))</x:f>
      </x:c>
      <x:c r="DQ219" s="147"/>
      <x:c r="DR219" s="147"/>
      <x:c r="DS219" s="147"/>
      <x:c r="DT219" s="167"/>
      <x:c r="DU219" s="167"/>
      <x:c r="DV219" s="166"/>
      <x:c r="DW219" s="171" t="str">
        <x:f>IF(DQ219="","",IFERROR(F219*DV219/DT219,0))</x:f>
      </x:c>
      <x:c r="DX219" s="171" t="str">
        <x:f>IF(DQ219="","",F219*ABS(DV219))</x:f>
      </x:c>
      <x:c r="DY219" s="165"/>
      <x:c r="DZ219" s="172" t="str">
        <x:f>IF(DQ219="","",IF(DY219="","",IFERROR(DT219/DY219-1,0)))</x:f>
      </x:c>
      <x:c r="EA219" s="166"/>
      <x:c r="EB219" s="172" t="str">
        <x:f>IF(DQ219="","",IF(EA219="","",EA219-DZ219*365/EC219))</x:f>
      </x:c>
      <x:c r="EC219" s="164"/>
      <x:c r="ED219" s="172" t="str">
        <x:f>IF(DQ219="","",IFERROR(DV219*(DU219/DT219-1),0))</x:f>
      </x:c>
      <x:c r="EE219" s="147"/>
      <x:c r="EF219" s="147"/>
      <x:c r="EG219" s="147"/>
      <x:c r="EH219" s="167"/>
      <x:c r="EI219" s="167"/>
      <x:c r="EJ219" s="166"/>
      <x:c r="EK219" s="171" t="str">
        <x:f>IF(EE219="","",IFERROR(F219*EJ219/EH219,0))</x:f>
      </x:c>
      <x:c r="EL219" s="171" t="str">
        <x:f>IF(EE219="","",F219*ABS(EJ219))</x:f>
      </x:c>
      <x:c r="EM219" s="165"/>
      <x:c r="EN219" s="172" t="str">
        <x:f>IF(EE219="","",IF(EM219="","",IFERROR(EH219/EM219-1,0)))</x:f>
      </x:c>
      <x:c r="EO219" s="166"/>
      <x:c r="EP219" s="172" t="str">
        <x:f>IF(EE219="","",IF(EO219="","",EO219-EN219*365/EQ219))</x:f>
      </x:c>
      <x:c r="EQ219" s="164"/>
      <x:c r="ER219" s="172" t="str">
        <x:f>IF(EE219="","",IFERROR(EJ219*(EI219/EH219-1),0))</x:f>
      </x:c>
      <x:c r="ES219" s="147"/>
      <x:c r="ET219" s="147"/>
      <x:c r="EU219" s="147"/>
      <x:c r="EV219" s="167"/>
      <x:c r="EW219" s="167"/>
      <x:c r="EX219" s="166"/>
      <x:c r="EY219" s="171" t="str">
        <x:f>IF(ES219="","",IFERROR(F219*EX219/EV219,0))</x:f>
      </x:c>
      <x:c r="EZ219" s="171" t="str">
        <x:f>IF(ES219="","",F219*ABS(EX219))</x:f>
      </x:c>
      <x:c r="FA219" s="165"/>
      <x:c r="FB219" s="172" t="str">
        <x:f>IF(ES219="","",IF(FA219="","",IFERROR(EV219/FA219-1,0)))</x:f>
      </x:c>
      <x:c r="FC219" s="166"/>
      <x:c r="FD219" s="172" t="str">
        <x:f>IF(ES219="","",IF(FC219="","",FC219-FB219*365/FE219))</x:f>
      </x:c>
      <x:c r="FE219" s="164"/>
      <x:c r="FF219" s="172" t="str">
        <x:f>IF(ES219="","",IFERROR(EX219*(EW219/EV219-1),0))</x:f>
      </x:c>
      <x:c r="FG219" s="147"/>
      <x:c r="FH219" s="147"/>
      <x:c r="FI219" s="147"/>
      <x:c r="FJ219" s="167"/>
      <x:c r="FK219" s="167"/>
      <x:c r="FL219" s="166"/>
      <x:c r="FM219" s="171" t="str">
        <x:f>IF(FG219="","",IFERROR(F219*FL219/FJ219,0))</x:f>
      </x:c>
      <x:c r="FN219" s="171" t="str">
        <x:f>IF(FG219="","",F219*ABS(FL219))</x:f>
      </x:c>
      <x:c r="FO219" s="165"/>
      <x:c r="FP219" s="172" t="str">
        <x:f>IF(FG219="","",IF(FO219="","",IFERROR(FJ219/FO219-1,0)))</x:f>
      </x:c>
      <x:c r="FQ219" s="166"/>
      <x:c r="FR219" s="172" t="str">
        <x:f>IF(FG219="","",IF(FQ219="","",FQ219-FP219*365/FS219))</x:f>
      </x:c>
      <x:c r="FS219" s="164"/>
      <x:c r="FT219" s="172" t="str">
        <x:f>IF(FG219="","",IFERROR(FL219*(FK219/FJ219-1),0))</x:f>
      </x:c>
    </x:row>
    <x:row r="220" ht="18" customHeight="1">
      <x:c r="A220" s="163" t="n">
        <x:v>25528</x:v>
      </x:c>
      <x:c r="B220" s="163" t="n">
        <x:v>25531</x:v>
      </x:c>
      <x:c r="C220" s="170" t="n">
        <x:f>B220-A220</x:f>
        <x:v>3</x:v>
      </x:c>
      <x:c r="D220" s="163" t="n">
        <x:v>25528</x:v>
      </x:c>
      <x:c r="E220" s="147" t="str">
        <x:v>positive</x:v>
      </x:c>
      <x:c r="F220" s="165" t="n">
        <x:v>2.02357079420795</x:v>
      </x:c>
      <x:c r="G220" s="168" t="n">
        <x:v>-0.0005297787850088799</x:v>
      </x:c>
      <x:c r="H220" s="172" t="n">
        <x:f>SUM(AX220,BL220,BZ220,CN220,DB220,DP220,ED220,ER220,FF220,FT220)</x:f>
        <x:v>-0.0005297787850088777</x:v>
      </x:c>
      <x:c r="I220" s="174" t="n">
        <x:f>G220-H220</x:f>
        <x:v>-2.168404344971009e-18</x:v>
      </x:c>
      <x:c r="J220" s="171" t="n">
        <x:f>F220*(1+H220)</x:f>
        <x:v>2.022498749331215</x:v>
      </x:c>
      <x:c r="K220" s="169" t="n">
        <x:v>2.022498749331215</x:v>
      </x:c>
      <x:c r="L220" s="175" t="n">
        <x:f>K220-J220</x:f>
        <x:v>0</x:v>
      </x:c>
      <x:c r="M220" s="167" t="n">
        <x:v>1.896</x:v>
      </x:c>
      <x:c r="N220" s="167" t="n">
        <x:v>1.897</x:v>
      </x:c>
      <x:c r="O220" s="172" t="n">
        <x:f>IFERROR(N220/M220-1,0)</x:f>
        <x:v>0.0005274261603376296</x:v>
      </x:c>
      <x:c r="P220" s="171" t="n">
        <x:f>IFERROR(AD220/AH220,0)</x:f>
        <x:v>2.089742413005889</x:v>
      </x:c>
      <x:c r="Q220" s="171" t="n">
        <x:f>IFERROR(AE220/AI220,0)</x:f>
        <x:v>2.087534291613346</x:v>
      </x:c>
      <x:c r="R220" s="172" t="n">
        <x:f>IFERROR((Q220-P220)/(P220+S220),0)</x:f>
        <x:v>-0.0010566476417380585</x:v>
      </x:c>
      <x:c r="S220" s="172" t="n">
        <x:f>IFERROR(AF220/AH220,0)</x:f>
        <x:v>0</x:v>
      </x:c>
      <x:c r="T220" s="172" t="n">
        <x:f>IFERROR(AG220/AI220,0)</x:f>
        <x:v>0</x:v>
      </x:c>
      <x:c r="U220" s="172" t="n">
        <x:f>IFERROR((T220-S220)/(P220+S220),0)</x:f>
        <x:v>0</x:v>
      </x:c>
      <x:c r="V220" s="172" t="n">
        <x:f>R220+U220</x:f>
        <x:v>-0.0010566476417380585</x:v>
      </x:c>
      <x:c r="W220" s="172" t="n">
        <x:f>(1+O220)*(1+V220)-1</x:f>
        <x:v>-0.0005297787850089275</x:v>
      </x:c>
      <x:c r="X220" s="174" t="n">
        <x:f>G220-W220</x:f>
        <x:v>4.7596475372113645e-17</x:v>
      </x:c>
      <x:c r="Y220" s="172" t="n">
        <x:f>AX220</x:f>
        <x:v>0.00046292445587566857</x:v>
      </x:c>
      <x:c r="Z220" s="172" t="n">
        <x:f>BL220</x:f>
        <x:v>0.00005259895923265834</x:v>
      </x:c>
      <x:c r="AA220" s="172" t="n">
        <x:f>SUM(BZ220,CN220,DB220,DP220,ED220,ER220,FF220,FT220)</x:f>
        <x:v>-0.0010453022001172046</x:v>
      </x:c>
      <x:c r="AB220" s="172" t="n">
        <x:f>SUM(Y220:AA220)</x:f>
        <x:v>-0.0005297787850088777</x:v>
      </x:c>
      <x:c r="AC220" s="174" t="n">
        <x:f>G220-AB220</x:f>
        <x:v>-2.168404344971009e-18</x:v>
      </x:c>
      <x:c r="AD220" s="169" t="n">
        <x:v>2.0235707942079495</x:v>
      </x:c>
      <x:c r="AE220" s="169" t="n">
        <x:v>2.0224987493312145</x:v>
      </x:c>
      <x:c r="AF220" s="169" t="n">
        <x:v>0</x:v>
      </x:c>
      <x:c r="AG220" s="169" t="n">
        <x:v>0</x:v>
      </x:c>
      <x:c r="AH220" s="171" t="n">
        <x:f>M220/$M$3</x:f>
        <x:v>0.9683350357507661</x:v>
      </x:c>
      <x:c r="AI220" s="171" t="n">
        <x:f>N220/$M$3</x:f>
        <x:v>0.9688457609805925</x:v>
      </x:c>
      <x:c r="AJ220" s="170" t="n">
        <x:f>IF(AK220&lt;&gt;"",1,0)+IF(AY220&lt;&gt;"",1,0)+IF(BM220&lt;&gt;"",1,0)+IF(CA220&lt;&gt;"",1,0)+IF(CO220&lt;&gt;"",1,0)+IF(DC220&lt;&gt;"",1,0)+IF(DQ220&lt;&gt;"",1,0)+IF(EE220&lt;&gt;"",1,0)+IF(ES220&lt;&gt;"",1,0)+IF(FG220&lt;&gt;"",1,0)</x:f>
        <x:v>3</x:v>
      </x:c>
      <x:c r="AK220" s="147" t="str">
        <x:v>Silver replicating holding (LBMA/SLV proxy)</x:v>
      </x:c>
      <x:c r="AL220" s="147" t="str">
        <x:v>Physical-backed proxy</x:v>
      </x:c>
      <x:c r="AM220" s="147" t="str">
        <x:v>Long</x:v>
      </x:c>
      <x:c r="AN220" s="167" t="n">
        <x:v>1.896</x:v>
      </x:c>
      <x:c r="AO220" s="167" t="n">
        <x:v>1.897</x:v>
      </x:c>
      <x:c r="AP220" s="166" t="n">
        <x:v>0.9132853653120163</x:v>
      </x:c>
      <x:c r="AQ220" s="171" t="n">
        <x:f>IF(AK220="","",IFERROR(F220*AP220/AN220,0))</x:f>
        <x:v>0.9747350168897334</x:v>
      </x:c>
      <x:c r="AR220" s="171" t="n">
        <x:f>IF(AK220="","",F220*ABS(AP220))</x:f>
        <x:v>1.8480975920229346</x:v>
      </x:c>
      <x:c r="AS220" s="165"/>
      <x:c r="AT220" s="172" t="str">
        <x:f>IF(AK220="","",IF(AS220="","",IFERROR(AN220/AS220-1,0)))</x:f>
      </x:c>
      <x:c r="AU220" s="166"/>
      <x:c r="AV220" s="172" t="str">
        <x:f>IF(AK220="","",IF(AU220="","",AU220-AT220*365/AW220))</x:f>
      </x:c>
      <x:c r="AW220" s="164"/>
      <x:c r="AX220" s="173" t="n">
        <x:f>IF(AK220="","",IFERROR(AP220*(AO220/AN220-1-'Parameters'!$C$6*C220/365),0))</x:f>
        <x:v>0.00046292445587566857</x:v>
      </x:c>
      <x:c r="AY220" s="147" t="str">
        <x:v>Matched-maturity Treasury collateral</x:v>
      </x:c>
      <x:c r="AZ220" s="147" t="str">
        <x:v>Treasury</x:v>
      </x:c>
      <x:c r="BA220" s="147" t="str">
        <x:v>Long</x:v>
      </x:c>
      <x:c r="BB220" s="167" t="n">
        <x:v>105.95009609175985</x:v>
      </x:c>
      <x:c r="BC220" s="167" t="n">
        <x:v>106.01436280758098</x:v>
      </x:c>
      <x:c r="BD220" s="166" t="n">
        <x:v>0.08671463468798364</x:v>
      </x:c>
      <x:c r="BE220" s="171" t="n">
        <x:f>IF(AY220="","",IFERROR(F220*BD220/BB220,0))</x:f>
        <x:v>0.0016561872868245803</x:v>
      </x:c>
      <x:c r="BF220" s="171" t="n">
        <x:f>IF(AY220="","",F220*ABS(BD220))</x:f>
        <x:v>0.1754732021850153</x:v>
      </x:c>
      <x:c r="BG220" s="165"/>
      <x:c r="BH220" s="172" t="str">
        <x:f>IF(AY220="","",IF(BG220="","",IFERROR(BB220/BG220-1,0)))</x:f>
      </x:c>
      <x:c r="BI220" s="166"/>
      <x:c r="BJ220" s="172" t="str">
        <x:f>IF(AY220="","",IF(BI220="","",BI220-BH220*365/BK220))</x:f>
      </x:c>
      <x:c r="BK220" s="164" t="n">
        <x:v>38</x:v>
      </x:c>
      <x:c r="BL220" s="172" t="n">
        <x:f>IF(AY220="","",IFERROR(BD220*(BC220/BB220-1),0))</x:f>
        <x:v>0.00005259895923265834</x:v>
      </x:c>
      <x:c r="BM220" s="147" t="str">
        <x:v>SI69Z</x:v>
      </x:c>
      <x:c r="BN220" s="147" t="str">
        <x:v>Silver future (regular)</x:v>
      </x:c>
      <x:c r="BO220" s="147" t="str">
        <x:v>Long</x:v>
      </x:c>
      <x:c r="BP220" s="167" t="n">
        <x:v>1.9080000000000001</x:v>
      </x:c>
      <x:c r="BQ220" s="167" t="n">
        <x:v>1.885</x:v>
      </x:c>
      <x:c r="BR220" s="166" t="n">
        <x:v>0.08671463468798364</x:v>
      </x:c>
      <x:c r="BS220" s="171" t="n">
        <x:f>IF(BM220="","",IFERROR(F220*BR220/BP220,0))</x:f>
        <x:v>0.09196708709906462</x:v>
      </x:c>
      <x:c r="BT220" s="171" t="n">
        <x:f>IF(BM220="","",F220*ABS(BR220))</x:f>
        <x:v>0.1754732021850153</x:v>
      </x:c>
      <x:c r="BU220" s="165" t="n">
        <x:v>1.896</x:v>
      </x:c>
      <x:c r="BV220" s="172" t="n">
        <x:f>IF(BM220="","",IF(BU220="","",IFERROR(BP220/BU220-1,0)))</x:f>
        <x:v>0.006329113924050667</x:v>
      </x:c>
      <x:c r="BW220" s="166" t="n">
        <x:v>0.0738</x:v>
      </x:c>
      <x:c r="BX220" s="172" t="n">
        <x:f>IF(BM220="","",IF(BW220="","",BW220-BV220*365/BY220))</x:f>
        <x:v>0.013007195203197548</x:v>
      </x:c>
      <x:c r="BY220" s="164" t="n">
        <x:v>38</x:v>
      </x:c>
      <x:c r="BZ220" s="172" t="n">
        <x:f>IF(BM220="","",IFERROR(BR220*(BQ220/BP220-1),0))</x:f>
        <x:v>-0.0010453022001172046</x:v>
      </x:c>
      <x:c r="CA220" s="147"/>
      <x:c r="CB220" s="147"/>
      <x:c r="CC220" s="147"/>
      <x:c r="CD220" s="167"/>
      <x:c r="CE220" s="167"/>
      <x:c r="CF220" s="166"/>
      <x:c r="CG220" s="171" t="str">
        <x:f>IF(CA220="","",IFERROR(F220*CF220/CD220,0))</x:f>
      </x:c>
      <x:c r="CH220" s="171" t="str">
        <x:f>IF(CA220="","",F220*ABS(CF220))</x:f>
      </x:c>
      <x:c r="CI220" s="165"/>
      <x:c r="CJ220" s="172" t="str">
        <x:f>IF(CA220="","",IF(CI220="","",IFERROR(CD220/CI220-1,0)))</x:f>
      </x:c>
      <x:c r="CK220" s="166"/>
      <x:c r="CL220" s="172" t="str">
        <x:f>IF(CA220="","",IF(CK220="","",CK220-CJ220*365/CM220))</x:f>
      </x:c>
      <x:c r="CM220" s="164"/>
      <x:c r="CN220" s="172" t="str">
        <x:f>IF(CA220="","",IFERROR(CF220*(CE220/CD220-1),0))</x:f>
      </x:c>
      <x:c r="CO220" s="147"/>
      <x:c r="CP220" s="147"/>
      <x:c r="CQ220" s="147"/>
      <x:c r="CR220" s="167"/>
      <x:c r="CS220" s="167"/>
      <x:c r="CT220" s="166"/>
      <x:c r="CU220" s="171" t="str">
        <x:f>IF(CO220="","",IFERROR(F220*CT220/CR220,0))</x:f>
      </x:c>
      <x:c r="CV220" s="171" t="str">
        <x:f>IF(CO220="","",F220*ABS(CT220))</x:f>
      </x:c>
      <x:c r="CW220" s="165"/>
      <x:c r="CX220" s="172" t="str">
        <x:f>IF(CO220="","",IF(CW220="","",IFERROR(CR220/CW220-1,0)))</x:f>
      </x:c>
      <x:c r="CY220" s="166"/>
      <x:c r="CZ220" s="172" t="str">
        <x:f>IF(CO220="","",IF(CY220="","",CY220-CX220*365/DA220))</x:f>
      </x:c>
      <x:c r="DA220" s="164"/>
      <x:c r="DB220" s="172" t="str">
        <x:f>IF(CO220="","",IFERROR(CT220*(CS220/CR220-1),0))</x:f>
      </x:c>
      <x:c r="DC220" s="147"/>
      <x:c r="DD220" s="147"/>
      <x:c r="DE220" s="147"/>
      <x:c r="DF220" s="167"/>
      <x:c r="DG220" s="167"/>
      <x:c r="DH220" s="166"/>
      <x:c r="DI220" s="171" t="str">
        <x:f>IF(DC220="","",IFERROR(F220*DH220/DF220,0))</x:f>
      </x:c>
      <x:c r="DJ220" s="171" t="str">
        <x:f>IF(DC220="","",F220*ABS(DH220))</x:f>
      </x:c>
      <x:c r="DK220" s="165"/>
      <x:c r="DL220" s="172" t="str">
        <x:f>IF(DC220="","",IF(DK220="","",IFERROR(DF220/DK220-1,0)))</x:f>
      </x:c>
      <x:c r="DM220" s="166"/>
      <x:c r="DN220" s="172" t="str">
        <x:f>IF(DC220="","",IF(DM220="","",DM220-DL220*365/DO220))</x:f>
      </x:c>
      <x:c r="DO220" s="164"/>
      <x:c r="DP220" s="172" t="str">
        <x:f>IF(DC220="","",IFERROR(DH220*(DG220/DF220-1),0))</x:f>
      </x:c>
      <x:c r="DQ220" s="147"/>
      <x:c r="DR220" s="147"/>
      <x:c r="DS220" s="147"/>
      <x:c r="DT220" s="167"/>
      <x:c r="DU220" s="167"/>
      <x:c r="DV220" s="166"/>
      <x:c r="DW220" s="171" t="str">
        <x:f>IF(DQ220="","",IFERROR(F220*DV220/DT220,0))</x:f>
      </x:c>
      <x:c r="DX220" s="171" t="str">
        <x:f>IF(DQ220="","",F220*ABS(DV220))</x:f>
      </x:c>
      <x:c r="DY220" s="165"/>
      <x:c r="DZ220" s="172" t="str">
        <x:f>IF(DQ220="","",IF(DY220="","",IFERROR(DT220/DY220-1,0)))</x:f>
      </x:c>
      <x:c r="EA220" s="166"/>
      <x:c r="EB220" s="172" t="str">
        <x:f>IF(DQ220="","",IF(EA220="","",EA220-DZ220*365/EC220))</x:f>
      </x:c>
      <x:c r="EC220" s="164"/>
      <x:c r="ED220" s="172" t="str">
        <x:f>IF(DQ220="","",IFERROR(DV220*(DU220/DT220-1),0))</x:f>
      </x:c>
      <x:c r="EE220" s="147"/>
      <x:c r="EF220" s="147"/>
      <x:c r="EG220" s="147"/>
      <x:c r="EH220" s="167"/>
      <x:c r="EI220" s="167"/>
      <x:c r="EJ220" s="166"/>
      <x:c r="EK220" s="171" t="str">
        <x:f>IF(EE220="","",IFERROR(F220*EJ220/EH220,0))</x:f>
      </x:c>
      <x:c r="EL220" s="171" t="str">
        <x:f>IF(EE220="","",F220*ABS(EJ220))</x:f>
      </x:c>
      <x:c r="EM220" s="165"/>
      <x:c r="EN220" s="172" t="str">
        <x:f>IF(EE220="","",IF(EM220="","",IFERROR(EH220/EM220-1,0)))</x:f>
      </x:c>
      <x:c r="EO220" s="166"/>
      <x:c r="EP220" s="172" t="str">
        <x:f>IF(EE220="","",IF(EO220="","",EO220-EN220*365/EQ220))</x:f>
      </x:c>
      <x:c r="EQ220" s="164"/>
      <x:c r="ER220" s="172" t="str">
        <x:f>IF(EE220="","",IFERROR(EJ220*(EI220/EH220-1),0))</x:f>
      </x:c>
      <x:c r="ES220" s="147"/>
      <x:c r="ET220" s="147"/>
      <x:c r="EU220" s="147"/>
      <x:c r="EV220" s="167"/>
      <x:c r="EW220" s="167"/>
      <x:c r="EX220" s="166"/>
      <x:c r="EY220" s="171" t="str">
        <x:f>IF(ES220="","",IFERROR(F220*EX220/EV220,0))</x:f>
      </x:c>
      <x:c r="EZ220" s="171" t="str">
        <x:f>IF(ES220="","",F220*ABS(EX220))</x:f>
      </x:c>
      <x:c r="FA220" s="165"/>
      <x:c r="FB220" s="172" t="str">
        <x:f>IF(ES220="","",IF(FA220="","",IFERROR(EV220/FA220-1,0)))</x:f>
      </x:c>
      <x:c r="FC220" s="166"/>
      <x:c r="FD220" s="172" t="str">
        <x:f>IF(ES220="","",IF(FC220="","",FC220-FB220*365/FE220))</x:f>
      </x:c>
      <x:c r="FE220" s="164"/>
      <x:c r="FF220" s="172" t="str">
        <x:f>IF(ES220="","",IFERROR(EX220*(EW220/EV220-1),0))</x:f>
      </x:c>
      <x:c r="FG220" s="147"/>
      <x:c r="FH220" s="147"/>
      <x:c r="FI220" s="147"/>
      <x:c r="FJ220" s="167"/>
      <x:c r="FK220" s="167"/>
      <x:c r="FL220" s="166"/>
      <x:c r="FM220" s="171" t="str">
        <x:f>IF(FG220="","",IFERROR(F220*FL220/FJ220,0))</x:f>
      </x:c>
      <x:c r="FN220" s="171" t="str">
        <x:f>IF(FG220="","",F220*ABS(FL220))</x:f>
      </x:c>
      <x:c r="FO220" s="165"/>
      <x:c r="FP220" s="172" t="str">
        <x:f>IF(FG220="","",IF(FO220="","",IFERROR(FJ220/FO220-1,0)))</x:f>
      </x:c>
      <x:c r="FQ220" s="166"/>
      <x:c r="FR220" s="172" t="str">
        <x:f>IF(FG220="","",IF(FQ220="","",FQ220-FP220*365/FS220))</x:f>
      </x:c>
      <x:c r="FS220" s="164"/>
      <x:c r="FT220" s="172" t="str">
        <x:f>IF(FG220="","",IFERROR(FL220*(FK220/FJ220-1),0))</x:f>
      </x:c>
    </x:row>
    <x:row r="221" ht="18" customHeight="1">
      <x:c r="A221" s="163" t="n">
        <x:v>25531</x:v>
      </x:c>
      <x:c r="B221" s="163" t="n">
        <x:v>25532</x:v>
      </x:c>
      <x:c r="C221" s="170" t="n">
        <x:f>B221-A221</x:f>
        <x:v>1</x:v>
      </x:c>
      <x:c r="D221" s="163" t="n">
        <x:v>25531</x:v>
      </x:c>
      <x:c r="E221" s="147" t="str">
        <x:v>positive</x:v>
      </x:c>
      <x:c r="F221" s="165" t="n">
        <x:v>2.022498749331215</x:v>
      </x:c>
      <x:c r="G221" s="168" t="n">
        <x:v>-0.0067612418229901165</x:v>
      </x:c>
      <x:c r="H221" s="172" t="n">
        <x:f>SUM(AX221,BL221,BZ221,CN221,DB221,DP221,ED221,ER221,FF221,FT221)</x:f>
        <x:v>-0.006761241822989992</x:v>
      </x:c>
      <x:c r="I221" s="174" t="n">
        <x:f>G221-H221</x:f>
        <x:v>-1.240327285323417e-16</x:v>
      </x:c>
      <x:c r="J221" s="171" t="n">
        <x:f>F221*(1+H221)</x:f>
        <x:v>2.008824146200292</x:v>
      </x:c>
      <x:c r="K221" s="169" t="n">
        <x:v>2.0088241462002916</x:v>
      </x:c>
      <x:c r="L221" s="175" t="n">
        <x:f>K221-J221</x:f>
        <x:v>-4.440892098500626e-16</x:v>
      </x:c>
      <x:c r="M221" s="167" t="n">
        <x:v>1.897</x:v>
      </x:c>
      <x:c r="N221" s="167" t="n">
        <x:v>1.868</x:v>
      </x:c>
      <x:c r="O221" s="172" t="n">
        <x:f>IFERROR(N221/M221-1,0)</x:f>
        <x:v>-0.015287295730100126</x:v>
      </x:c>
      <x:c r="P221" s="171" t="n">
        <x:f>IFERROR(AD221/AH221,0)</x:f>
        <x:v>2.087534291613346</x:v>
      </x:c>
      <x:c r="Q221" s="171" t="n">
        <x:f>IFERROR(AE221/AI221,0)</x:f>
        <x:v>2.105609035471183</x:v>
      </x:c>
      <x:c r="R221" s="172" t="n">
        <x:f>IFERROR((Q221-P221)/(P221+S221),0)</x:f>
        <x:v>0.00865841769902999</x:v>
      </x:c>
      <x:c r="S221" s="172" t="n">
        <x:f>IFERROR(AF221/AH221,0)</x:f>
        <x:v>0</x:v>
      </x:c>
      <x:c r="T221" s="172" t="n">
        <x:f>IFERROR(AG221/AI221,0)</x:f>
        <x:v>0</x:v>
      </x:c>
      <x:c r="U221" s="172" t="n">
        <x:f>IFERROR((T221-S221)/(P221+S221),0)</x:f>
        <x:v>0</x:v>
      </x:c>
      <x:c r="V221" s="172" t="n">
        <x:f>R221+U221</x:f>
        <x:v>0.00865841769902999</x:v>
      </x:c>
      <x:c r="W221" s="172" t="n">
        <x:f>(1+O221)*(1+V221)-1</x:f>
        <x:v>-0.006761241822989872</x:v>
      </x:c>
      <x:c r="X221" s="174" t="n">
        <x:f>G221-W221</x:f>
        <x:v>-2.445960101127298e-16</x:v>
      </x:c>
      <x:c r="Y221" s="172" t="n">
        <x:f>AX221</x:f>
        <x:v>-0.001002396318089044</x:v>
      </x:c>
      <x:c r="Z221" s="172" t="n">
        <x:f>BL221</x:f>
        <x:v>0.00018996395731797578</x:v>
      </x:c>
      <x:c r="AA221" s="172" t="n">
        <x:f>SUM(BZ221,CN221,DB221,DP221,ED221,ER221,FF221,FT221)</x:f>
        <x:v>-0.005948809462218924</x:v>
      </x:c>
      <x:c r="AB221" s="172" t="n">
        <x:f>SUM(Y221:AA221)</x:f>
        <x:v>-0.006761241822989992</x:v>
      </x:c>
      <x:c r="AC221" s="174" t="n">
        <x:f>G221-AB221</x:f>
        <x:v>-1.240327285323417e-16</x:v>
      </x:c>
      <x:c r="AD221" s="169" t="n">
        <x:v>2.0224987493312145</x:v>
      </x:c>
      <x:c r="AE221" s="169" t="n">
        <x:v>2.008824146200291</x:v>
      </x:c>
      <x:c r="AF221" s="169" t="n">
        <x:v>0</x:v>
      </x:c>
      <x:c r="AG221" s="169" t="n">
        <x:v>0</x:v>
      </x:c>
      <x:c r="AH221" s="171" t="n">
        <x:f>M221/$M$3</x:f>
        <x:v>0.9688457609805925</x:v>
      </x:c>
      <x:c r="AI221" s="171" t="n">
        <x:f>N221/$M$3</x:f>
        <x:v>0.9540347293156283</x:v>
      </x:c>
      <x:c r="AJ221" s="170" t="n">
        <x:f>IF(AK221&lt;&gt;"",1,0)+IF(AY221&lt;&gt;"",1,0)+IF(BM221&lt;&gt;"",1,0)+IF(CA221&lt;&gt;"",1,0)+IF(CO221&lt;&gt;"",1,0)+IF(DC221&lt;&gt;"",1,0)+IF(DQ221&lt;&gt;"",1,0)+IF(EE221&lt;&gt;"",1,0)+IF(ES221&lt;&gt;"",1,0)+IF(FG221&lt;&gt;"",1,0)</x:f>
        <x:v>3</x:v>
      </x:c>
      <x:c r="AK221" s="147" t="str">
        <x:v>Silver replicating holding (LBMA/SLV proxy)</x:v>
      </x:c>
      <x:c r="AL221" s="147" t="str">
        <x:v>Physical-backed proxy</x:v>
      </x:c>
      <x:c r="AM221" s="147" t="str">
        <x:v>Long</x:v>
      </x:c>
      <x:c r="AN221" s="167" t="n">
        <x:v>1.897</x:v>
      </x:c>
      <x:c r="AO221" s="167" t="n">
        <x:v>1.868</x:v>
      </x:c>
      <x:c r="AP221" s="166" t="n">
        <x:v>0.06554118030976164</x:v>
      </x:c>
      <x:c r="AQ221" s="171" t="n">
        <x:f>IF(AK221="","",IFERROR(F221*AP221/AN221,0))</x:f>
        <x:v>0.0698771508730546</x:v>
      </x:c>
      <x:c r="AR221" s="171" t="n">
        <x:f>IF(AK221="","",F221*ABS(AP221))</x:f>
        <x:v>0.13255695520618457</x:v>
      </x:c>
      <x:c r="AS221" s="165"/>
      <x:c r="AT221" s="172" t="str">
        <x:f>IF(AK221="","",IF(AS221="","",IFERROR(AN221/AS221-1,0)))</x:f>
      </x:c>
      <x:c r="AU221" s="166"/>
      <x:c r="AV221" s="172" t="str">
        <x:f>IF(AK221="","",IF(AU221="","",AU221-AT221*365/AW221))</x:f>
      </x:c>
      <x:c r="AW221" s="164"/>
      <x:c r="AX221" s="173" t="n">
        <x:f>IF(AK221="","",IFERROR(AP221*(AO221/AN221-1-'Parameters'!$C$6*C221/365),0))</x:f>
        <x:v>-0.001002396318089044</x:v>
      </x:c>
      <x:c r="AY221" s="147" t="str">
        <x:v>Matched-maturity Treasury collateral</x:v>
      </x:c>
      <x:c r="AZ221" s="147" t="str">
        <x:v>Treasury</x:v>
      </x:c>
      <x:c r="BA221" s="147" t="str">
        <x:v>Long</x:v>
      </x:c>
      <x:c r="BB221" s="167" t="n">
        <x:v>106.01436280758098</x:v>
      </x:c>
      <x:c r="BC221" s="167" t="n">
        <x:v>106.03591422051338</x:v>
      </x:c>
      <x:c r="BD221" s="166" t="n">
        <x:v>0.9344588196902383</x:v>
      </x:c>
      <x:c r="BE221" s="171" t="n">
        <x:f>IF(AY221="","",IFERROR(F221*BD221/BB221,0))</x:f>
        <x:v>0.017827224010725104</x:v>
      </x:c>
      <x:c r="BF221" s="171" t="n">
        <x:f>IF(AY221="","",F221*ABS(BD221))</x:f>
        <x:v>1.8899417941250303</x:v>
      </x:c>
      <x:c r="BG221" s="165"/>
      <x:c r="BH221" s="172" t="str">
        <x:f>IF(AY221="","",IF(BG221="","",IFERROR(BB221/BG221-1,0)))</x:f>
      </x:c>
      <x:c r="BI221" s="166"/>
      <x:c r="BJ221" s="172" t="str">
        <x:f>IF(AY221="","",IF(BI221="","",BI221-BH221*365/BK221))</x:f>
      </x:c>
      <x:c r="BK221" s="164" t="n">
        <x:v>35</x:v>
      </x:c>
      <x:c r="BL221" s="172" t="n">
        <x:f>IF(AY221="","",IFERROR(BD221*(BC221/BB221-1),0))</x:f>
        <x:v>0.00018996395731797578</x:v>
      </x:c>
      <x:c r="BM221" s="147" t="str">
        <x:v>SI69Z</x:v>
      </x:c>
      <x:c r="BN221" s="147" t="str">
        <x:v>Silver future (regular)</x:v>
      </x:c>
      <x:c r="BO221" s="147" t="str">
        <x:v>Long</x:v>
      </x:c>
      <x:c r="BP221" s="167" t="n">
        <x:v>1.885</x:v>
      </x:c>
      <x:c r="BQ221" s="167" t="n">
        <x:v>1.8730000000000002</x:v>
      </x:c>
      <x:c r="BR221" s="166" t="n">
        <x:v>0.9344588196902383</x:v>
      </x:c>
      <x:c r="BS221" s="171" t="n">
        <x:f>IF(BM221="","",IFERROR(F221*BR221/BP221,0))</x:f>
        <x:v>1.0026216414456395</x:v>
      </x:c>
      <x:c r="BT221" s="171" t="n">
        <x:f>IF(BM221="","",F221*ABS(BR221))</x:f>
        <x:v>1.8899417941250303</x:v>
      </x:c>
      <x:c r="BU221" s="165" t="n">
        <x:v>1.897</x:v>
      </x:c>
      <x:c r="BV221" s="172" t="n">
        <x:f>IF(BM221="","",IF(BU221="","",IFERROR(BP221/BU221-1,0)))</x:f>
        <x:v>-0.00632577754348973</x:v>
      </x:c>
      <x:c r="BW221" s="166" t="n">
        <x:v>0.0742</x:v>
      </x:c>
      <x:c r="BX221" s="172" t="n">
        <x:f>IF(BM221="","",IF(BW221="","",BW221-BV221*365/BY221))</x:f>
        <x:v>0.14016882295353575</x:v>
      </x:c>
      <x:c r="BY221" s="164" t="n">
        <x:v>35</x:v>
      </x:c>
      <x:c r="BZ221" s="172" t="n">
        <x:f>IF(BM221="","",IFERROR(BR221*(BQ221/BP221-1),0))</x:f>
        <x:v>-0.005948809462218924</x:v>
      </x:c>
      <x:c r="CA221" s="147"/>
      <x:c r="CB221" s="147"/>
      <x:c r="CC221" s="147"/>
      <x:c r="CD221" s="167"/>
      <x:c r="CE221" s="167"/>
      <x:c r="CF221" s="166"/>
      <x:c r="CG221" s="171" t="str">
        <x:f>IF(CA221="","",IFERROR(F221*CF221/CD221,0))</x:f>
      </x:c>
      <x:c r="CH221" s="171" t="str">
        <x:f>IF(CA221="","",F221*ABS(CF221))</x:f>
      </x:c>
      <x:c r="CI221" s="165"/>
      <x:c r="CJ221" s="172" t="str">
        <x:f>IF(CA221="","",IF(CI221="","",IFERROR(CD221/CI221-1,0)))</x:f>
      </x:c>
      <x:c r="CK221" s="166"/>
      <x:c r="CL221" s="172" t="str">
        <x:f>IF(CA221="","",IF(CK221="","",CK221-CJ221*365/CM221))</x:f>
      </x:c>
      <x:c r="CM221" s="164"/>
      <x:c r="CN221" s="172" t="str">
        <x:f>IF(CA221="","",IFERROR(CF221*(CE221/CD221-1),0))</x:f>
      </x:c>
      <x:c r="CO221" s="147"/>
      <x:c r="CP221" s="147"/>
      <x:c r="CQ221" s="147"/>
      <x:c r="CR221" s="167"/>
      <x:c r="CS221" s="167"/>
      <x:c r="CT221" s="166"/>
      <x:c r="CU221" s="171" t="str">
        <x:f>IF(CO221="","",IFERROR(F221*CT221/CR221,0))</x:f>
      </x:c>
      <x:c r="CV221" s="171" t="str">
        <x:f>IF(CO221="","",F221*ABS(CT221))</x:f>
      </x:c>
      <x:c r="CW221" s="165"/>
      <x:c r="CX221" s="172" t="str">
        <x:f>IF(CO221="","",IF(CW221="","",IFERROR(CR221/CW221-1,0)))</x:f>
      </x:c>
      <x:c r="CY221" s="166"/>
      <x:c r="CZ221" s="172" t="str">
        <x:f>IF(CO221="","",IF(CY221="","",CY221-CX221*365/DA221))</x:f>
      </x:c>
      <x:c r="DA221" s="164"/>
      <x:c r="DB221" s="172" t="str">
        <x:f>IF(CO221="","",IFERROR(CT221*(CS221/CR221-1),0))</x:f>
      </x:c>
      <x:c r="DC221" s="147"/>
      <x:c r="DD221" s="147"/>
      <x:c r="DE221" s="147"/>
      <x:c r="DF221" s="167"/>
      <x:c r="DG221" s="167"/>
      <x:c r="DH221" s="166"/>
      <x:c r="DI221" s="171" t="str">
        <x:f>IF(DC221="","",IFERROR(F221*DH221/DF221,0))</x:f>
      </x:c>
      <x:c r="DJ221" s="171" t="str">
        <x:f>IF(DC221="","",F221*ABS(DH221))</x:f>
      </x:c>
      <x:c r="DK221" s="165"/>
      <x:c r="DL221" s="172" t="str">
        <x:f>IF(DC221="","",IF(DK221="","",IFERROR(DF221/DK221-1,0)))</x:f>
      </x:c>
      <x:c r="DM221" s="166"/>
      <x:c r="DN221" s="172" t="str">
        <x:f>IF(DC221="","",IF(DM221="","",DM221-DL221*365/DO221))</x:f>
      </x:c>
      <x:c r="DO221" s="164"/>
      <x:c r="DP221" s="172" t="str">
        <x:f>IF(DC221="","",IFERROR(DH221*(DG221/DF221-1),0))</x:f>
      </x:c>
      <x:c r="DQ221" s="147"/>
      <x:c r="DR221" s="147"/>
      <x:c r="DS221" s="147"/>
      <x:c r="DT221" s="167"/>
      <x:c r="DU221" s="167"/>
      <x:c r="DV221" s="166"/>
      <x:c r="DW221" s="171" t="str">
        <x:f>IF(DQ221="","",IFERROR(F221*DV221/DT221,0))</x:f>
      </x:c>
      <x:c r="DX221" s="171" t="str">
        <x:f>IF(DQ221="","",F221*ABS(DV221))</x:f>
      </x:c>
      <x:c r="DY221" s="165"/>
      <x:c r="DZ221" s="172" t="str">
        <x:f>IF(DQ221="","",IF(DY221="","",IFERROR(DT221/DY221-1,0)))</x:f>
      </x:c>
      <x:c r="EA221" s="166"/>
      <x:c r="EB221" s="172" t="str">
        <x:f>IF(DQ221="","",IF(EA221="","",EA221-DZ221*365/EC221))</x:f>
      </x:c>
      <x:c r="EC221" s="164"/>
      <x:c r="ED221" s="172" t="str">
        <x:f>IF(DQ221="","",IFERROR(DV221*(DU221/DT221-1),0))</x:f>
      </x:c>
      <x:c r="EE221" s="147"/>
      <x:c r="EF221" s="147"/>
      <x:c r="EG221" s="147"/>
      <x:c r="EH221" s="167"/>
      <x:c r="EI221" s="167"/>
      <x:c r="EJ221" s="166"/>
      <x:c r="EK221" s="171" t="str">
        <x:f>IF(EE221="","",IFERROR(F221*EJ221/EH221,0))</x:f>
      </x:c>
      <x:c r="EL221" s="171" t="str">
        <x:f>IF(EE221="","",F221*ABS(EJ221))</x:f>
      </x:c>
      <x:c r="EM221" s="165"/>
      <x:c r="EN221" s="172" t="str">
        <x:f>IF(EE221="","",IF(EM221="","",IFERROR(EH221/EM221-1,0)))</x:f>
      </x:c>
      <x:c r="EO221" s="166"/>
      <x:c r="EP221" s="172" t="str">
        <x:f>IF(EE221="","",IF(EO221="","",EO221-EN221*365/EQ221))</x:f>
      </x:c>
      <x:c r="EQ221" s="164"/>
      <x:c r="ER221" s="172" t="str">
        <x:f>IF(EE221="","",IFERROR(EJ221*(EI221/EH221-1),0))</x:f>
      </x:c>
      <x:c r="ES221" s="147"/>
      <x:c r="ET221" s="147"/>
      <x:c r="EU221" s="147"/>
      <x:c r="EV221" s="167"/>
      <x:c r="EW221" s="167"/>
      <x:c r="EX221" s="166"/>
      <x:c r="EY221" s="171" t="str">
        <x:f>IF(ES221="","",IFERROR(F221*EX221/EV221,0))</x:f>
      </x:c>
      <x:c r="EZ221" s="171" t="str">
        <x:f>IF(ES221="","",F221*ABS(EX221))</x:f>
      </x:c>
      <x:c r="FA221" s="165"/>
      <x:c r="FB221" s="172" t="str">
        <x:f>IF(ES221="","",IF(FA221="","",IFERROR(EV221/FA221-1,0)))</x:f>
      </x:c>
      <x:c r="FC221" s="166"/>
      <x:c r="FD221" s="172" t="str">
        <x:f>IF(ES221="","",IF(FC221="","",FC221-FB221*365/FE221))</x:f>
      </x:c>
      <x:c r="FE221" s="164"/>
      <x:c r="FF221" s="172" t="str">
        <x:f>IF(ES221="","",IFERROR(EX221*(EW221/EV221-1),0))</x:f>
      </x:c>
      <x:c r="FG221" s="147"/>
      <x:c r="FH221" s="147"/>
      <x:c r="FI221" s="147"/>
      <x:c r="FJ221" s="167"/>
      <x:c r="FK221" s="167"/>
      <x:c r="FL221" s="166"/>
      <x:c r="FM221" s="171" t="str">
        <x:f>IF(FG221="","",IFERROR(F221*FL221/FJ221,0))</x:f>
      </x:c>
      <x:c r="FN221" s="171" t="str">
        <x:f>IF(FG221="","",F221*ABS(FL221))</x:f>
      </x:c>
      <x:c r="FO221" s="165"/>
      <x:c r="FP221" s="172" t="str">
        <x:f>IF(FG221="","",IF(FO221="","",IFERROR(FJ221/FO221-1,0)))</x:f>
      </x:c>
      <x:c r="FQ221" s="166"/>
      <x:c r="FR221" s="172" t="str">
        <x:f>IF(FG221="","",IF(FQ221="","",FQ221-FP221*365/FS221))</x:f>
      </x:c>
      <x:c r="FS221" s="164"/>
      <x:c r="FT221" s="172" t="str">
        <x:f>IF(FG221="","",IFERROR(FL221*(FK221/FJ221-1),0))</x:f>
      </x:c>
    </x:row>
    <x:row r="222" ht="18" customHeight="1">
      <x:c r="A222" s="163" t="n">
        <x:v>25532</x:v>
      </x:c>
      <x:c r="B222" s="163" t="n">
        <x:v>25533</x:v>
      </x:c>
      <x:c r="C222" s="170" t="n">
        <x:f>B222-A222</x:f>
        <x:v>1</x:v>
      </x:c>
      <x:c r="D222" s="163" t="n">
        <x:v>25532</x:v>
      </x:c>
      <x:c r="E222" s="147" t="str">
        <x:v>positive</x:v>
      </x:c>
      <x:c r="F222" s="165" t="n">
        <x:v>2.0088241462002916</x:v>
      </x:c>
      <x:c r="G222" s="168" t="n">
        <x:v>0.0007206382636418458</x:v>
      </x:c>
      <x:c r="H222" s="172" t="n">
        <x:f>SUM(AX222,BL222,BZ222,CN222,DB222,DP222,ED222,ER222,FF222,FT222)</x:f>
        <x:v>0.0007206382636418127</x:v>
      </x:c>
      <x:c r="I222" s="174" t="n">
        <x:f>G222-H222</x:f>
        <x:v>3.3068166260807885e-17</x:v>
      </x:c>
      <x:c r="J222" s="171" t="n">
        <x:f>F222*(1+H222)</x:f>
        <x:v>2.010271781744971</x:v>
      </x:c>
      <x:c r="K222" s="169" t="n">
        <x:v>2.010271781744971</x:v>
      </x:c>
      <x:c r="L222" s="175" t="n">
        <x:f>K222-J222</x:f>
        <x:v>0</x:v>
      </x:c>
      <x:c r="M222" s="167" t="n">
        <x:v>1.868</x:v>
      </x:c>
      <x:c r="N222" s="167" t="n">
        <x:v>1.868</x:v>
      </x:c>
      <x:c r="O222" s="172" t="n">
        <x:f>IFERROR(N222/M222-1,0)</x:f>
        <x:v>0</x:v>
      </x:c>
      <x:c r="P222" s="171" t="n">
        <x:f>IFERROR(AD222/AH222,0)</x:f>
        <x:v>2.105609035471183</x:v>
      </x:c>
      <x:c r="Q222" s="171" t="n">
        <x:f>IFERROR(AE222/AI222,0)</x:f>
        <x:v>2.1071264179104134</x:v>
      </x:c>
      <x:c r="R222" s="172" t="n">
        <x:f>IFERROR((Q222-P222)/(P222+S222),0)</x:f>
        <x:v>0.0007206382636417222</x:v>
      </x:c>
      <x:c r="S222" s="172" t="n">
        <x:f>IFERROR(AF222/AH222,0)</x:f>
        <x:v>0</x:v>
      </x:c>
      <x:c r="T222" s="172" t="n">
        <x:f>IFERROR(AG222/AI222,0)</x:f>
        <x:v>0</x:v>
      </x:c>
      <x:c r="U222" s="172" t="n">
        <x:f>IFERROR((T222-S222)/(P222+S222),0)</x:f>
        <x:v>0</x:v>
      </x:c>
      <x:c r="V222" s="172" t="n">
        <x:f>R222+U222</x:f>
        <x:v>0.0007206382636417222</x:v>
      </x:c>
      <x:c r="W222" s="172" t="n">
        <x:f>(1+O222)*(1+V222)-1</x:f>
        <x:v>0.0007206382636417707</x:v>
      </x:c>
      <x:c r="X222" s="174" t="n">
        <x:f>G222-W222</x:f>
        <x:v>7.502679033599691e-17</x:v>
      </x:c>
      <x:c r="Y222" s="172" t="n">
        <x:f>AX222</x:f>
        <x:v>-0.000004727613118521945</x:v>
      </x:c>
      <x:c r="Z222" s="172" t="n">
        <x:f>BL222</x:f>
        <x:v>0.00006382079465510066</x:v>
      </x:c>
      <x:c r="AA222" s="172" t="n">
        <x:f>SUM(BZ222,CN222,DB222,DP222,ED222,ER222,FF222,FT222)</x:f>
        <x:v>0.000661545082105234</x:v>
      </x:c>
      <x:c r="AB222" s="172" t="n">
        <x:f>SUM(Y222:AA222)</x:f>
        <x:v>0.0007206382636418127</x:v>
      </x:c>
      <x:c r="AC222" s="174" t="n">
        <x:f>G222-AB222</x:f>
        <x:v>3.3068166260807885e-17</x:v>
      </x:c>
      <x:c r="AD222" s="169" t="n">
        <x:v>2.008824146200291</x:v>
      </x:c>
      <x:c r="AE222" s="169" t="n">
        <x:v>2.010271781744971</x:v>
      </x:c>
      <x:c r="AF222" s="169" t="n">
        <x:v>0</x:v>
      </x:c>
      <x:c r="AG222" s="169" t="n">
        <x:v>0</x:v>
      </x:c>
      <x:c r="AH222" s="171" t="n">
        <x:f>M222/$M$3</x:f>
        <x:v>0.9540347293156283</x:v>
      </x:c>
      <x:c r="AI222" s="171" t="n">
        <x:f>N222/$M$3</x:f>
        <x:v>0.9540347293156283</x:v>
      </x:c>
      <x:c r="AJ222" s="170" t="n">
        <x:f>IF(AK222&lt;&gt;"",1,0)+IF(AY222&lt;&gt;"",1,0)+IF(BM222&lt;&gt;"",1,0)+IF(CA222&lt;&gt;"",1,0)+IF(CO222&lt;&gt;"",1,0)+IF(DC222&lt;&gt;"",1,0)+IF(DQ222&lt;&gt;"",1,0)+IF(EE222&lt;&gt;"",1,0)+IF(ES222&lt;&gt;"",1,0)+IF(FG222&lt;&gt;"",1,0)</x:f>
        <x:v>3</x:v>
      </x:c>
      <x:c r="AK222" s="147" t="str">
        <x:v>Silver replicating holding (LBMA/SLV proxy)</x:v>
      </x:c>
      <x:c r="AL222" s="147" t="str">
        <x:v>Physical-backed proxy</x:v>
      </x:c>
      <x:c r="AM222" s="147" t="str">
        <x:v>Long</x:v>
      </x:c>
      <x:c r="AN222" s="167" t="n">
        <x:v>1.868</x:v>
      </x:c>
      <x:c r="AO222" s="167" t="n">
        <x:v>1.868</x:v>
      </x:c>
      <x:c r="AP222" s="166" t="n">
        <x:v>0.6902315153042039</x:v>
      </x:c>
      <x:c r="AQ222" s="171" t="n">
        <x:f>IF(AK222="","",IFERROR(F222*AP222/AN222,0))</x:f>
        <x:v>0.7422664531110817</x:v>
      </x:c>
      <x:c r="AR222" s="171" t="n">
        <x:f>IF(AK222="","",F222*ABS(AP222))</x:f>
        <x:v>1.3865537344115009</x:v>
      </x:c>
      <x:c r="AS222" s="165"/>
      <x:c r="AT222" s="172" t="str">
        <x:f>IF(AK222="","",IF(AS222="","",IFERROR(AN222/AS222-1,0)))</x:f>
      </x:c>
      <x:c r="AU222" s="166"/>
      <x:c r="AV222" s="172" t="str">
        <x:f>IF(AK222="","",IF(AU222="","",AU222-AT222*365/AW222))</x:f>
      </x:c>
      <x:c r="AW222" s="164"/>
      <x:c r="AX222" s="173" t="n">
        <x:f>IF(AK222="","",IFERROR(AP222*(AO222/AN222-1-'Parameters'!$C$6*C222/365),0))</x:f>
        <x:v>-0.000004727613118521945</x:v>
      </x:c>
      <x:c r="AY222" s="147" t="str">
        <x:v>Matched-maturity Treasury collateral</x:v>
      </x:c>
      <x:c r="AZ222" s="147" t="str">
        <x:v>Treasury</x:v>
      </x:c>
      <x:c r="BA222" s="147" t="str">
        <x:v>Long</x:v>
      </x:c>
      <x:c r="BB222" s="167" t="n">
        <x:v>106.03591422051338</x:v>
      </x:c>
      <x:c r="BC222" s="167" t="n">
        <x:v>106.05776052393632</x:v>
      </x:c>
      <x:c r="BD222" s="166" t="n">
        <x:v>0.3097684846957961</x:v>
      </x:c>
      <x:c r="BE222" s="171" t="n">
        <x:f>IF(AY222="","",IFERROR(F222*BD222/BB222,0))</x:f>
        <x:v>0.0058684872607851594</x:v>
      </x:c>
      <x:c r="BF222" s="171" t="n">
        <x:f>IF(AY222="","",F222*ABS(BD222))</x:f>
        <x:v>0.6222704117887907</x:v>
      </x:c>
      <x:c r="BG222" s="165"/>
      <x:c r="BH222" s="172" t="str">
        <x:f>IF(AY222="","",IF(BG222="","",IFERROR(BB222/BG222-1,0)))</x:f>
      </x:c>
      <x:c r="BI222" s="166"/>
      <x:c r="BJ222" s="172" t="str">
        <x:f>IF(AY222="","",IF(BI222="","",BI222-BH222*365/BK222))</x:f>
      </x:c>
      <x:c r="BK222" s="164" t="n">
        <x:v>34</x:v>
      </x:c>
      <x:c r="BL222" s="172" t="n">
        <x:f>IF(AY222="","",IFERROR(BD222*(BC222/BB222-1),0))</x:f>
        <x:v>0.00006382079465510066</x:v>
      </x:c>
      <x:c r="BM222" s="147" t="str">
        <x:v>SI69Z</x:v>
      </x:c>
      <x:c r="BN222" s="147" t="str">
        <x:v>Silver future (regular)</x:v>
      </x:c>
      <x:c r="BO222" s="147" t="str">
        <x:v>Long</x:v>
      </x:c>
      <x:c r="BP222" s="167" t="n">
        <x:v>1.8730000000000002</x:v>
      </x:c>
      <x:c r="BQ222" s="167" t="n">
        <x:v>1.8769999999999998</x:v>
      </x:c>
      <x:c r="BR222" s="166" t="n">
        <x:v>0.3097684846957961</x:v>
      </x:c>
      <x:c r="BS222" s="171" t="n">
        <x:f>IF(BM222="","",IFERROR(F222*BR222/BP222,0))</x:f>
        <x:v>0.33223193368328385</x:v>
      </x:c>
      <x:c r="BT222" s="171" t="n">
        <x:f>IF(BM222="","",F222*ABS(BR222))</x:f>
        <x:v>0.6222704117887907</x:v>
      </x:c>
      <x:c r="BU222" s="165" t="n">
        <x:v>1.868</x:v>
      </x:c>
      <x:c r="BV222" s="172" t="n">
        <x:f>IF(BM222="","",IF(BU222="","",IFERROR(BP222/BU222-1,0)))</x:f>
        <x:v>0.002676659528908054</x:v>
      </x:c>
      <x:c r="BW222" s="166" t="n">
        <x:v>0.07519999999999999</x:v>
      </x:c>
      <x:c r="BX222" s="172" t="n">
        <x:f>IF(BM222="","",IF(BW222="","",BW222-BV222*365/BY222))</x:f>
        <x:v>0.04646527270436941</x:v>
      </x:c>
      <x:c r="BY222" s="164" t="n">
        <x:v>34</x:v>
      </x:c>
      <x:c r="BZ222" s="172" t="n">
        <x:f>IF(BM222="","",IFERROR(BR222*(BQ222/BP222-1),0))</x:f>
        <x:v>0.000661545082105234</x:v>
      </x:c>
      <x:c r="CA222" s="147"/>
      <x:c r="CB222" s="147"/>
      <x:c r="CC222" s="147"/>
      <x:c r="CD222" s="167"/>
      <x:c r="CE222" s="167"/>
      <x:c r="CF222" s="166"/>
      <x:c r="CG222" s="171" t="str">
        <x:f>IF(CA222="","",IFERROR(F222*CF222/CD222,0))</x:f>
      </x:c>
      <x:c r="CH222" s="171" t="str">
        <x:f>IF(CA222="","",F222*ABS(CF222))</x:f>
      </x:c>
      <x:c r="CI222" s="165"/>
      <x:c r="CJ222" s="172" t="str">
        <x:f>IF(CA222="","",IF(CI222="","",IFERROR(CD222/CI222-1,0)))</x:f>
      </x:c>
      <x:c r="CK222" s="166"/>
      <x:c r="CL222" s="172" t="str">
        <x:f>IF(CA222="","",IF(CK222="","",CK222-CJ222*365/CM222))</x:f>
      </x:c>
      <x:c r="CM222" s="164"/>
      <x:c r="CN222" s="172" t="str">
        <x:f>IF(CA222="","",IFERROR(CF222*(CE222/CD222-1),0))</x:f>
      </x:c>
      <x:c r="CO222" s="147"/>
      <x:c r="CP222" s="147"/>
      <x:c r="CQ222" s="147"/>
      <x:c r="CR222" s="167"/>
      <x:c r="CS222" s="167"/>
      <x:c r="CT222" s="166"/>
      <x:c r="CU222" s="171" t="str">
        <x:f>IF(CO222="","",IFERROR(F222*CT222/CR222,0))</x:f>
      </x:c>
      <x:c r="CV222" s="171" t="str">
        <x:f>IF(CO222="","",F222*ABS(CT222))</x:f>
      </x:c>
      <x:c r="CW222" s="165"/>
      <x:c r="CX222" s="172" t="str">
        <x:f>IF(CO222="","",IF(CW222="","",IFERROR(CR222/CW222-1,0)))</x:f>
      </x:c>
      <x:c r="CY222" s="166"/>
      <x:c r="CZ222" s="172" t="str">
        <x:f>IF(CO222="","",IF(CY222="","",CY222-CX222*365/DA222))</x:f>
      </x:c>
      <x:c r="DA222" s="164"/>
      <x:c r="DB222" s="172" t="str">
        <x:f>IF(CO222="","",IFERROR(CT222*(CS222/CR222-1),0))</x:f>
      </x:c>
      <x:c r="DC222" s="147"/>
      <x:c r="DD222" s="147"/>
      <x:c r="DE222" s="147"/>
      <x:c r="DF222" s="167"/>
      <x:c r="DG222" s="167"/>
      <x:c r="DH222" s="166"/>
      <x:c r="DI222" s="171" t="str">
        <x:f>IF(DC222="","",IFERROR(F222*DH222/DF222,0))</x:f>
      </x:c>
      <x:c r="DJ222" s="171" t="str">
        <x:f>IF(DC222="","",F222*ABS(DH222))</x:f>
      </x:c>
      <x:c r="DK222" s="165"/>
      <x:c r="DL222" s="172" t="str">
        <x:f>IF(DC222="","",IF(DK222="","",IFERROR(DF222/DK222-1,0)))</x:f>
      </x:c>
      <x:c r="DM222" s="166"/>
      <x:c r="DN222" s="172" t="str">
        <x:f>IF(DC222="","",IF(DM222="","",DM222-DL222*365/DO222))</x:f>
      </x:c>
      <x:c r="DO222" s="164"/>
      <x:c r="DP222" s="172" t="str">
        <x:f>IF(DC222="","",IFERROR(DH222*(DG222/DF222-1),0))</x:f>
      </x:c>
      <x:c r="DQ222" s="147"/>
      <x:c r="DR222" s="147"/>
      <x:c r="DS222" s="147"/>
      <x:c r="DT222" s="167"/>
      <x:c r="DU222" s="167"/>
      <x:c r="DV222" s="166"/>
      <x:c r="DW222" s="171" t="str">
        <x:f>IF(DQ222="","",IFERROR(F222*DV222/DT222,0))</x:f>
      </x:c>
      <x:c r="DX222" s="171" t="str">
        <x:f>IF(DQ222="","",F222*ABS(DV222))</x:f>
      </x:c>
      <x:c r="DY222" s="165"/>
      <x:c r="DZ222" s="172" t="str">
        <x:f>IF(DQ222="","",IF(DY222="","",IFERROR(DT222/DY222-1,0)))</x:f>
      </x:c>
      <x:c r="EA222" s="166"/>
      <x:c r="EB222" s="172" t="str">
        <x:f>IF(DQ222="","",IF(EA222="","",EA222-DZ222*365/EC222))</x:f>
      </x:c>
      <x:c r="EC222" s="164"/>
      <x:c r="ED222" s="172" t="str">
        <x:f>IF(DQ222="","",IFERROR(DV222*(DU222/DT222-1),0))</x:f>
      </x:c>
      <x:c r="EE222" s="147"/>
      <x:c r="EF222" s="147"/>
      <x:c r="EG222" s="147"/>
      <x:c r="EH222" s="167"/>
      <x:c r="EI222" s="167"/>
      <x:c r="EJ222" s="166"/>
      <x:c r="EK222" s="171" t="str">
        <x:f>IF(EE222="","",IFERROR(F222*EJ222/EH222,0))</x:f>
      </x:c>
      <x:c r="EL222" s="171" t="str">
        <x:f>IF(EE222="","",F222*ABS(EJ222))</x:f>
      </x:c>
      <x:c r="EM222" s="165"/>
      <x:c r="EN222" s="172" t="str">
        <x:f>IF(EE222="","",IF(EM222="","",IFERROR(EH222/EM222-1,0)))</x:f>
      </x:c>
      <x:c r="EO222" s="166"/>
      <x:c r="EP222" s="172" t="str">
        <x:f>IF(EE222="","",IF(EO222="","",EO222-EN222*365/EQ222))</x:f>
      </x:c>
      <x:c r="EQ222" s="164"/>
      <x:c r="ER222" s="172" t="str">
        <x:f>IF(EE222="","",IFERROR(EJ222*(EI222/EH222-1),0))</x:f>
      </x:c>
      <x:c r="ES222" s="147"/>
      <x:c r="ET222" s="147"/>
      <x:c r="EU222" s="147"/>
      <x:c r="EV222" s="167"/>
      <x:c r="EW222" s="167"/>
      <x:c r="EX222" s="166"/>
      <x:c r="EY222" s="171" t="str">
        <x:f>IF(ES222="","",IFERROR(F222*EX222/EV222,0))</x:f>
      </x:c>
      <x:c r="EZ222" s="171" t="str">
        <x:f>IF(ES222="","",F222*ABS(EX222))</x:f>
      </x:c>
      <x:c r="FA222" s="165"/>
      <x:c r="FB222" s="172" t="str">
        <x:f>IF(ES222="","",IF(FA222="","",IFERROR(EV222/FA222-1,0)))</x:f>
      </x:c>
      <x:c r="FC222" s="166"/>
      <x:c r="FD222" s="172" t="str">
        <x:f>IF(ES222="","",IF(FC222="","",FC222-FB222*365/FE222))</x:f>
      </x:c>
      <x:c r="FE222" s="164"/>
      <x:c r="FF222" s="172" t="str">
        <x:f>IF(ES222="","",IFERROR(EX222*(EW222/EV222-1),0))</x:f>
      </x:c>
      <x:c r="FG222" s="147"/>
      <x:c r="FH222" s="147"/>
      <x:c r="FI222" s="147"/>
      <x:c r="FJ222" s="167"/>
      <x:c r="FK222" s="167"/>
      <x:c r="FL222" s="166"/>
      <x:c r="FM222" s="171" t="str">
        <x:f>IF(FG222="","",IFERROR(F222*FL222/FJ222,0))</x:f>
      </x:c>
      <x:c r="FN222" s="171" t="str">
        <x:f>IF(FG222="","",F222*ABS(FL222))</x:f>
      </x:c>
      <x:c r="FO222" s="165"/>
      <x:c r="FP222" s="172" t="str">
        <x:f>IF(FG222="","",IF(FO222="","",IFERROR(FJ222/FO222-1,0)))</x:f>
      </x:c>
      <x:c r="FQ222" s="166"/>
      <x:c r="FR222" s="172" t="str">
        <x:f>IF(FG222="","",IF(FQ222="","",FQ222-FP222*365/FS222))</x:f>
      </x:c>
      <x:c r="FS222" s="164"/>
      <x:c r="FT222" s="172" t="str">
        <x:f>IF(FG222="","",IFERROR(FL222*(FK222/FJ222-1),0))</x:f>
      </x:c>
    </x:row>
    <x:row r="223" ht="18" customHeight="1">
      <x:c r="A223" s="163" t="n">
        <x:v>25533</x:v>
      </x:c>
      <x:c r="B223" s="163" t="n">
        <x:v>25535</x:v>
      </x:c>
      <x:c r="C223" s="170" t="n">
        <x:f>B223-A223</x:f>
        <x:v>2</x:v>
      </x:c>
      <x:c r="D223" s="163" t="n">
        <x:v>25533</x:v>
      </x:c>
      <x:c r="E223" s="147" t="str">
        <x:v>positive</x:v>
      </x:c>
      <x:c r="F223" s="165" t="n">
        <x:v>2.010271781744971</x:v>
      </x:c>
      <x:c r="G223" s="168" t="n">
        <x:v>0.011475833976227652</x:v>
      </x:c>
      <x:c r="H223" s="172" t="n">
        <x:f>SUM(AX223,BL223,BZ223,CN223,DB223,DP223,ED223,ER223,FF223,FT223)</x:f>
        <x:v>0.011475833976227631</x:v>
      </x:c>
      <x:c r="I223" s="174" t="n">
        <x:f>G223-H223</x:f>
        <x:v>2.0816681711721685e-17</x:v>
      </x:c>
      <x:c r="J223" s="171" t="n">
        <x:f>F223*(1+H223)</x:f>
        <x:v>2.033341326959371</x:v>
      </x:c>
      <x:c r="K223" s="169" t="n">
        <x:v>2.0333413269593716</x:v>
      </x:c>
      <x:c r="L223" s="175" t="n">
        <x:f>K223-J223</x:f>
        <x:v>4.440892098500626e-16</x:v>
      </x:c>
      <x:c r="M223" s="167" t="n">
        <x:v>1.868</x:v>
      </x:c>
      <x:c r="N223" s="167" t="n">
        <x:v>1.887</x:v>
      </x:c>
      <x:c r="O223" s="172" t="n">
        <x:f>IFERROR(N223/M223-1,0)</x:f>
        <x:v>0.010171306209850073</x:v>
      </x:c>
      <x:c r="P223" s="171" t="n">
        <x:f>IFERROR(AD223/AH223,0)</x:f>
        <x:v>2.1071264179104134</x:v>
      </x:c>
      <x:c r="Q223" s="171" t="n">
        <x:f>IFERROR(AE223/AI223,0)</x:f>
        <x:v>2.1098475454088232</x:v>
      </x:c>
      <x:c r="R223" s="172" t="n">
        <x:f>IFERROR((Q223-P223)/(P223+S223),0)</x:f>
        <x:v>0.001291392616636775</x:v>
      </x:c>
      <x:c r="S223" s="172" t="n">
        <x:f>IFERROR(AF223/AH223,0)</x:f>
        <x:v>0</x:v>
      </x:c>
      <x:c r="T223" s="172" t="n">
        <x:f>IFERROR(AG223/AI223,0)</x:f>
        <x:v>0</x:v>
      </x:c>
      <x:c r="U223" s="172" t="n">
        <x:f>IFERROR((T223-S223)/(P223+S223),0)</x:f>
        <x:v>0</x:v>
      </x:c>
      <x:c r="V223" s="172" t="n">
        <x:f>R223+U223</x:f>
        <x:v>0.001291392616636775</x:v>
      </x:c>
      <x:c r="W223" s="172" t="n">
        <x:f>(1+O223)*(1+V223)-1</x:f>
        <x:v>0.011475833976227756</x:v>
      </x:c>
      <x:c r="X223" s="174" t="n">
        <x:f>G223-W223</x:f>
        <x:v>-1.0408340855860843e-16</x:v>
      </x:c>
      <x:c r="Y223" s="172" t="n">
        <x:f>AX223</x:f>
        <x:v>0.008653594861010812</x:v>
      </x:c>
      <x:c r="Z223" s="172" t="n">
        <x:f>BL223</x:f>
        <x:v>0.00006125536909677555</x:v>
      </x:c>
      <x:c r="AA223" s="172" t="n">
        <x:f>SUM(BZ223,CN223,DB223,DP223,ED223,ER223,FF223,FT223)</x:f>
        <x:v>0.002760983746120043</x:v>
      </x:c>
      <x:c r="AB223" s="172" t="n">
        <x:f>SUM(Y223:AA223)</x:f>
        <x:v>0.011475833976227631</x:v>
      </x:c>
      <x:c r="AC223" s="174" t="n">
        <x:f>G223-AB223</x:f>
        <x:v>2.0816681711721685e-17</x:v>
      </x:c>
      <x:c r="AD223" s="169" t="n">
        <x:v>2.010271781744971</x:v>
      </x:c>
      <x:c r="AE223" s="169" t="n">
        <x:v>2.0333413269593716</x:v>
      </x:c>
      <x:c r="AF223" s="169" t="n">
        <x:v>0</x:v>
      </x:c>
      <x:c r="AG223" s="169" t="n">
        <x:v>0</x:v>
      </x:c>
      <x:c r="AH223" s="171" t="n">
        <x:f>M223/$M$3</x:f>
        <x:v>0.9540347293156283</x:v>
      </x:c>
      <x:c r="AI223" s="171" t="n">
        <x:f>N223/$M$3</x:f>
        <x:v>0.9637385086823289</x:v>
      </x:c>
      <x:c r="AJ223" s="170" t="n">
        <x:f>IF(AK223&lt;&gt;"",1,0)+IF(AY223&lt;&gt;"",1,0)+IF(BM223&lt;&gt;"",1,0)+IF(CA223&lt;&gt;"",1,0)+IF(CO223&lt;&gt;"",1,0)+IF(DC223&lt;&gt;"",1,0)+IF(DQ223&lt;&gt;"",1,0)+IF(EE223&lt;&gt;"",1,0)+IF(ES223&lt;&gt;"",1,0)+IF(FG223&lt;&gt;"",1,0)</x:f>
        <x:v>3</x:v>
      </x:c>
      <x:c r="AK223" s="147" t="str">
        <x:v>Silver replicating holding (LBMA/SLV proxy)</x:v>
      </x:c>
      <x:c r="AL223" s="147" t="str">
        <x:v>Physical-backed proxy</x:v>
      </x:c>
      <x:c r="AM223" s="147" t="str">
        <x:v>Long</x:v>
      </x:c>
      <x:c r="AN223" s="167" t="n">
        <x:v>1.868</x:v>
      </x:c>
      <x:c r="AO223" s="167" t="n">
        <x:v>1.887</x:v>
      </x:c>
      <x:c r="AP223" s="166" t="n">
        <x:v>0.8519323859580764</x:v>
      </x:c>
      <x:c r="AQ223" s="171" t="n">
        <x:f>IF(AK223="","",IFERROR(F223*AP223/AN223,0))</x:f>
        <x:v>0.9168177919947464</x:v>
      </x:c>
      <x:c r="AR223" s="171" t="n">
        <x:f>IF(AK223="","",F223*ABS(AP223))</x:f>
        <x:v>1.7126156354461866</x:v>
      </x:c>
      <x:c r="AS223" s="165"/>
      <x:c r="AT223" s="172" t="str">
        <x:f>IF(AK223="","",IF(AS223="","",IFERROR(AN223/AS223-1,0)))</x:f>
      </x:c>
      <x:c r="AU223" s="166"/>
      <x:c r="AV223" s="172" t="str">
        <x:f>IF(AK223="","",IF(AU223="","",AU223-AT223*365/AW223))</x:f>
      </x:c>
      <x:c r="AW223" s="164"/>
      <x:c r="AX223" s="173" t="n">
        <x:f>IF(AK223="","",IFERROR(AP223*(AO223/AN223-1-'Parameters'!$C$6*C223/365),0))</x:f>
        <x:v>0.008653594861010812</x:v>
      </x:c>
      <x:c r="AY223" s="147" t="str">
        <x:v>Matched-maturity Treasury collateral</x:v>
      </x:c>
      <x:c r="AZ223" s="147" t="str">
        <x:v>Treasury</x:v>
      </x:c>
      <x:c r="BA223" s="147" t="str">
        <x:v>Long</x:v>
      </x:c>
      <x:c r="BB223" s="167" t="n">
        <x:v>106.05776052393632</x:v>
      </x:c>
      <x:c r="BC223" s="167" t="n">
        <x:v>106.10163647418047</x:v>
      </x:c>
      <x:c r="BD223" s="166" t="n">
        <x:v>0.14806761404192362</x:v>
      </x:c>
      <x:c r="BE223" s="171" t="n">
        <x:f>IF(AY223="","",IFERROR(F223*BD223/BB223,0))</x:f>
        <x:v>0.0028065475343655405</x:v>
      </x:c>
      <x:c r="BF223" s="171" t="n">
        <x:f>IF(AY223="","",F223*ABS(BD223))</x:f>
        <x:v>0.29765614629878445</x:v>
      </x:c>
      <x:c r="BG223" s="165"/>
      <x:c r="BH223" s="172" t="str">
        <x:f>IF(AY223="","",IF(BG223="","",IFERROR(BB223/BG223-1,0)))</x:f>
      </x:c>
      <x:c r="BI223" s="166"/>
      <x:c r="BJ223" s="172" t="str">
        <x:f>IF(AY223="","",IF(BI223="","",BI223-BH223*365/BK223))</x:f>
      </x:c>
      <x:c r="BK223" s="164" t="n">
        <x:v>33</x:v>
      </x:c>
      <x:c r="BL223" s="172" t="n">
        <x:f>IF(AY223="","",IFERROR(BD223*(BC223/BB223-1),0))</x:f>
        <x:v>0.00006125536909677555</x:v>
      </x:c>
      <x:c r="BM223" s="147" t="str">
        <x:v>SI69Z</x:v>
      </x:c>
      <x:c r="BN223" s="147" t="str">
        <x:v>Silver future (regular)</x:v>
      </x:c>
      <x:c r="BO223" s="147" t="str">
        <x:v>Long</x:v>
      </x:c>
      <x:c r="BP223" s="167" t="n">
        <x:v>1.8769999999999998</x:v>
      </x:c>
      <x:c r="BQ223" s="167" t="n">
        <x:v>1.912</x:v>
      </x:c>
      <x:c r="BR223" s="166" t="n">
        <x:v>0.14806761404192362</x:v>
      </x:c>
      <x:c r="BS223" s="171" t="n">
        <x:f>IF(BM223="","",IFERROR(F223*BR223/BP223,0))</x:f>
        <x:v>0.15858079184804713</x:v>
      </x:c>
      <x:c r="BT223" s="171" t="n">
        <x:f>IF(BM223="","",F223*ABS(BR223))</x:f>
        <x:v>0.29765614629878445</x:v>
      </x:c>
      <x:c r="BU223" s="165" t="n">
        <x:v>1.868</x:v>
      </x:c>
      <x:c r="BV223" s="172" t="n">
        <x:f>IF(BM223="","",IF(BU223="","",IFERROR(BP223/BU223-1,0)))</x:f>
        <x:v>0.004817987152034187</x:v>
      </x:c>
      <x:c r="BW223" s="166" t="n">
        <x:v>0.0755</x:v>
      </x:c>
      <x:c r="BX223" s="172" t="n">
        <x:f>IF(BM223="","",IF(BW223="","",BW223-BV223*365/BY223))</x:f>
        <x:v>0.022210142106288543</x:v>
      </x:c>
      <x:c r="BY223" s="164" t="n">
        <x:v>33</x:v>
      </x:c>
      <x:c r="BZ223" s="172" t="n">
        <x:f>IF(BM223="","",IFERROR(BR223*(BQ223/BP223-1),0))</x:f>
        <x:v>0.002760983746120043</x:v>
      </x:c>
      <x:c r="CA223" s="147"/>
      <x:c r="CB223" s="147"/>
      <x:c r="CC223" s="147"/>
      <x:c r="CD223" s="167"/>
      <x:c r="CE223" s="167"/>
      <x:c r="CF223" s="166"/>
      <x:c r="CG223" s="171" t="str">
        <x:f>IF(CA223="","",IFERROR(F223*CF223/CD223,0))</x:f>
      </x:c>
      <x:c r="CH223" s="171" t="str">
        <x:f>IF(CA223="","",F223*ABS(CF223))</x:f>
      </x:c>
      <x:c r="CI223" s="165"/>
      <x:c r="CJ223" s="172" t="str">
        <x:f>IF(CA223="","",IF(CI223="","",IFERROR(CD223/CI223-1,0)))</x:f>
      </x:c>
      <x:c r="CK223" s="166"/>
      <x:c r="CL223" s="172" t="str">
        <x:f>IF(CA223="","",IF(CK223="","",CK223-CJ223*365/CM223))</x:f>
      </x:c>
      <x:c r="CM223" s="164"/>
      <x:c r="CN223" s="172" t="str">
        <x:f>IF(CA223="","",IFERROR(CF223*(CE223/CD223-1),0))</x:f>
      </x:c>
      <x:c r="CO223" s="147"/>
      <x:c r="CP223" s="147"/>
      <x:c r="CQ223" s="147"/>
      <x:c r="CR223" s="167"/>
      <x:c r="CS223" s="167"/>
      <x:c r="CT223" s="166"/>
      <x:c r="CU223" s="171" t="str">
        <x:f>IF(CO223="","",IFERROR(F223*CT223/CR223,0))</x:f>
      </x:c>
      <x:c r="CV223" s="171" t="str">
        <x:f>IF(CO223="","",F223*ABS(CT223))</x:f>
      </x:c>
      <x:c r="CW223" s="165"/>
      <x:c r="CX223" s="172" t="str">
        <x:f>IF(CO223="","",IF(CW223="","",IFERROR(CR223/CW223-1,0)))</x:f>
      </x:c>
      <x:c r="CY223" s="166"/>
      <x:c r="CZ223" s="172" t="str">
        <x:f>IF(CO223="","",IF(CY223="","",CY223-CX223*365/DA223))</x:f>
      </x:c>
      <x:c r="DA223" s="164"/>
      <x:c r="DB223" s="172" t="str">
        <x:f>IF(CO223="","",IFERROR(CT223*(CS223/CR223-1),0))</x:f>
      </x:c>
      <x:c r="DC223" s="147"/>
      <x:c r="DD223" s="147"/>
      <x:c r="DE223" s="147"/>
      <x:c r="DF223" s="167"/>
      <x:c r="DG223" s="167"/>
      <x:c r="DH223" s="166"/>
      <x:c r="DI223" s="171" t="str">
        <x:f>IF(DC223="","",IFERROR(F223*DH223/DF223,0))</x:f>
      </x:c>
      <x:c r="DJ223" s="171" t="str">
        <x:f>IF(DC223="","",F223*ABS(DH223))</x:f>
      </x:c>
      <x:c r="DK223" s="165"/>
      <x:c r="DL223" s="172" t="str">
        <x:f>IF(DC223="","",IF(DK223="","",IFERROR(DF223/DK223-1,0)))</x:f>
      </x:c>
      <x:c r="DM223" s="166"/>
      <x:c r="DN223" s="172" t="str">
        <x:f>IF(DC223="","",IF(DM223="","",DM223-DL223*365/DO223))</x:f>
      </x:c>
      <x:c r="DO223" s="164"/>
      <x:c r="DP223" s="172" t="str">
        <x:f>IF(DC223="","",IFERROR(DH223*(DG223/DF223-1),0))</x:f>
      </x:c>
      <x:c r="DQ223" s="147"/>
      <x:c r="DR223" s="147"/>
      <x:c r="DS223" s="147"/>
      <x:c r="DT223" s="167"/>
      <x:c r="DU223" s="167"/>
      <x:c r="DV223" s="166"/>
      <x:c r="DW223" s="171" t="str">
        <x:f>IF(DQ223="","",IFERROR(F223*DV223/DT223,0))</x:f>
      </x:c>
      <x:c r="DX223" s="171" t="str">
        <x:f>IF(DQ223="","",F223*ABS(DV223))</x:f>
      </x:c>
      <x:c r="DY223" s="165"/>
      <x:c r="DZ223" s="172" t="str">
        <x:f>IF(DQ223="","",IF(DY223="","",IFERROR(DT223/DY223-1,0)))</x:f>
      </x:c>
      <x:c r="EA223" s="166"/>
      <x:c r="EB223" s="172" t="str">
        <x:f>IF(DQ223="","",IF(EA223="","",EA223-DZ223*365/EC223))</x:f>
      </x:c>
      <x:c r="EC223" s="164"/>
      <x:c r="ED223" s="172" t="str">
        <x:f>IF(DQ223="","",IFERROR(DV223*(DU223/DT223-1),0))</x:f>
      </x:c>
      <x:c r="EE223" s="147"/>
      <x:c r="EF223" s="147"/>
      <x:c r="EG223" s="147"/>
      <x:c r="EH223" s="167"/>
      <x:c r="EI223" s="167"/>
      <x:c r="EJ223" s="166"/>
      <x:c r="EK223" s="171" t="str">
        <x:f>IF(EE223="","",IFERROR(F223*EJ223/EH223,0))</x:f>
      </x:c>
      <x:c r="EL223" s="171" t="str">
        <x:f>IF(EE223="","",F223*ABS(EJ223))</x:f>
      </x:c>
      <x:c r="EM223" s="165"/>
      <x:c r="EN223" s="172" t="str">
        <x:f>IF(EE223="","",IF(EM223="","",IFERROR(EH223/EM223-1,0)))</x:f>
      </x:c>
      <x:c r="EO223" s="166"/>
      <x:c r="EP223" s="172" t="str">
        <x:f>IF(EE223="","",IF(EO223="","",EO223-EN223*365/EQ223))</x:f>
      </x:c>
      <x:c r="EQ223" s="164"/>
      <x:c r="ER223" s="172" t="str">
        <x:f>IF(EE223="","",IFERROR(EJ223*(EI223/EH223-1),0))</x:f>
      </x:c>
      <x:c r="ES223" s="147"/>
      <x:c r="ET223" s="147"/>
      <x:c r="EU223" s="147"/>
      <x:c r="EV223" s="167"/>
      <x:c r="EW223" s="167"/>
      <x:c r="EX223" s="166"/>
      <x:c r="EY223" s="171" t="str">
        <x:f>IF(ES223="","",IFERROR(F223*EX223/EV223,0))</x:f>
      </x:c>
      <x:c r="EZ223" s="171" t="str">
        <x:f>IF(ES223="","",F223*ABS(EX223))</x:f>
      </x:c>
      <x:c r="FA223" s="165"/>
      <x:c r="FB223" s="172" t="str">
        <x:f>IF(ES223="","",IF(FA223="","",IFERROR(EV223/FA223-1,0)))</x:f>
      </x:c>
      <x:c r="FC223" s="166"/>
      <x:c r="FD223" s="172" t="str">
        <x:f>IF(ES223="","",IF(FC223="","",FC223-FB223*365/FE223))</x:f>
      </x:c>
      <x:c r="FE223" s="164"/>
      <x:c r="FF223" s="172" t="str">
        <x:f>IF(ES223="","",IFERROR(EX223*(EW223/EV223-1),0))</x:f>
      </x:c>
      <x:c r="FG223" s="147"/>
      <x:c r="FH223" s="147"/>
      <x:c r="FI223" s="147"/>
      <x:c r="FJ223" s="167"/>
      <x:c r="FK223" s="167"/>
      <x:c r="FL223" s="166"/>
      <x:c r="FM223" s="171" t="str">
        <x:f>IF(FG223="","",IFERROR(F223*FL223/FJ223,0))</x:f>
      </x:c>
      <x:c r="FN223" s="171" t="str">
        <x:f>IF(FG223="","",F223*ABS(FL223))</x:f>
      </x:c>
      <x:c r="FO223" s="165"/>
      <x:c r="FP223" s="172" t="str">
        <x:f>IF(FG223="","",IF(FO223="","",IFERROR(FJ223/FO223-1,0)))</x:f>
      </x:c>
      <x:c r="FQ223" s="166"/>
      <x:c r="FR223" s="172" t="str">
        <x:f>IF(FG223="","",IF(FQ223="","",FQ223-FP223*365/FS223))</x:f>
      </x:c>
      <x:c r="FS223" s="164"/>
      <x:c r="FT223" s="172" t="str">
        <x:f>IF(FG223="","",IFERROR(FL223*(FK223/FJ223-1),0))</x:f>
      </x:c>
    </x:row>
    <x:row r="224" ht="18" customHeight="1">
      <x:c r="A224" s="163" t="n">
        <x:v>25535</x:v>
      </x:c>
      <x:c r="B224" s="163" t="n">
        <x:v>25538</x:v>
      </x:c>
      <x:c r="C224" s="170" t="n">
        <x:f>B224-A224</x:f>
        <x:v>3</x:v>
      </x:c>
      <x:c r="D224" s="163" t="n">
        <x:v>25535</x:v>
      </x:c>
      <x:c r="E224" s="147" t="str">
        <x:v>neutral</x:v>
      </x:c>
      <x:c r="F224" s="165" t="n">
        <x:v>2.0333413269593716</x:v>
      </x:c>
      <x:c r="G224" s="168" t="n">
        <x:v>0.010578286183040438</x:v>
      </x:c>
      <x:c r="H224" s="172" t="n">
        <x:f>SUM(AX224,BL224,BZ224,CN224,DB224,DP224,ED224,ER224,FF224,FT224)</x:f>
        <x:v>0.010578286183040436</x:v>
      </x:c>
      <x:c r="I224" s="174" t="n">
        <x:f>G224-H224</x:f>
        <x:v>1.734723475976807e-18</x:v>
      </x:c>
      <x:c r="J224" s="171" t="n">
        <x:f>F224*(1+H224)</x:f>
        <x:v>2.054850593423751</x:v>
      </x:c>
      <x:c r="K224" s="169" t="n">
        <x:v>2.054850593423751</x:v>
      </x:c>
      <x:c r="L224" s="175" t="n">
        <x:f>K224-J224</x:f>
        <x:v>0</x:v>
      </x:c>
      <x:c r="M224" s="167" t="n">
        <x:v>1.887</x:v>
      </x:c>
      <x:c r="N224" s="167" t="n">
        <x:v>1.907</x:v>
      </x:c>
      <x:c r="O224" s="172" t="n">
        <x:f>IFERROR(N224/M224-1,0)</x:f>
        <x:v>0.010598834128245915</x:v>
      </x:c>
      <x:c r="P224" s="171" t="n">
        <x:f>IFERROR(AD224/AH224,0)</x:f>
        <x:v>2.1098475454088232</x:v>
      </x:c>
      <x:c r="Q224" s="171" t="n">
        <x:f>IFERROR(AE224/AI224,0)</x:f>
        <x:v>2.1098046470496614</x:v>
      </x:c>
      <x:c r="R224" s="172" t="n">
        <x:f>IFERROR((Q224-P224)/(P224+S224),0)</x:f>
        <x:v>-0.00002033244499356111</x:v>
      </x:c>
      <x:c r="S224" s="172" t="n">
        <x:f>IFERROR(AF224/AH224,0)</x:f>
        <x:v>0</x:v>
      </x:c>
      <x:c r="T224" s="172" t="n">
        <x:f>IFERROR(AG224/AI224,0)</x:f>
        <x:v>0</x:v>
      </x:c>
      <x:c r="U224" s="172" t="n">
        <x:f>IFERROR((T224-S224)/(P224+S224),0)</x:f>
        <x:v>0</x:v>
      </x:c>
      <x:c r="V224" s="172" t="n">
        <x:f>R224+U224</x:f>
        <x:v>-0.00002033244499356111</x:v>
      </x:c>
      <x:c r="W224" s="172" t="n">
        <x:f>(1+O224)*(1+V224)-1</x:f>
        <x:v>0.010578286183040353</x:v>
      </x:c>
      <x:c r="X224" s="174" t="n">
        <x:f>G224-W224</x:f>
        <x:v>8.500145032286355e-17</x:v>
      </x:c>
      <x:c r="Y224" s="172" t="n">
        <x:f>AX224</x:f>
        <x:v>0.010578286183040436</x:v>
      </x:c>
      <x:c r="Z224" s="172" t="n">
        <x:f>BL224</x:f>
        <x:v>0</x:v>
      </x:c>
      <x:c r="AA224" s="172" t="n">
        <x:f>SUM(BZ224,CN224,DB224,DP224,ED224,ER224,FF224,FT224)</x:f>
        <x:v>0</x:v>
      </x:c>
      <x:c r="AB224" s="172" t="n">
        <x:f>SUM(Y224:AA224)</x:f>
        <x:v>0.010578286183040436</x:v>
      </x:c>
      <x:c r="AC224" s="174" t="n">
        <x:f>G224-AB224</x:f>
        <x:v>1.734723475976807e-18</x:v>
      </x:c>
      <x:c r="AD224" s="169" t="n">
        <x:v>2.0333413269593716</x:v>
      </x:c>
      <x:c r="AE224" s="169" t="n">
        <x:v>2.054850593423751</x:v>
      </x:c>
      <x:c r="AF224" s="169" t="n">
        <x:v>0</x:v>
      </x:c>
      <x:c r="AG224" s="169" t="n">
        <x:v>0</x:v>
      </x:c>
      <x:c r="AH224" s="171" t="n">
        <x:f>M224/$M$3</x:f>
        <x:v>0.9637385086823289</x:v>
      </x:c>
      <x:c r="AI224" s="171" t="n">
        <x:f>N224/$M$3</x:f>
        <x:v>0.973953013278856</x:v>
      </x:c>
      <x:c r="AJ224" s="170" t="n">
        <x:f>IF(AK224&lt;&gt;"",1,0)+IF(AY224&lt;&gt;"",1,0)+IF(BM224&lt;&gt;"",1,0)+IF(CA224&lt;&gt;"",1,0)+IF(CO224&lt;&gt;"",1,0)+IF(DC224&lt;&gt;"",1,0)+IF(DQ224&lt;&gt;"",1,0)+IF(EE224&lt;&gt;"",1,0)+IF(ES224&lt;&gt;"",1,0)+IF(FG224&lt;&gt;"",1,0)</x:f>
        <x:v>1</x:v>
      </x:c>
      <x:c r="AK224" s="147" t="str">
        <x:v>Silver replicating holding (LBMA/SLV proxy)</x:v>
      </x:c>
      <x:c r="AL224" s="147" t="str">
        <x:v>Physical-backed proxy</x:v>
      </x:c>
      <x:c r="AM224" s="147" t="str">
        <x:v>Long</x:v>
      </x:c>
      <x:c r="AN224" s="167" t="n">
        <x:v>1.887</x:v>
      </x:c>
      <x:c r="AO224" s="167" t="n">
        <x:v>1.907</x:v>
      </x:c>
      <x:c r="AP224" s="166" t="n">
        <x:v>1</x:v>
      </x:c>
      <x:c r="AQ224" s="171" t="n">
        <x:f>IF(AK224="","",IFERROR(F224*AP224/AN224,0))</x:f>
        <x:v>1.077552372527489</x:v>
      </x:c>
      <x:c r="AR224" s="171" t="n">
        <x:f>IF(AK224="","",F224*ABS(AP224))</x:f>
        <x:v>2.0333413269593716</x:v>
      </x:c>
      <x:c r="AS224" s="165"/>
      <x:c r="AT224" s="172" t="str">
        <x:f>IF(AK224="","",IF(AS224="","",IFERROR(AN224/AS224-1,0)))</x:f>
      </x:c>
      <x:c r="AU224" s="166"/>
      <x:c r="AV224" s="172" t="str">
        <x:f>IF(AK224="","",IF(AU224="","",AU224-AT224*365/AW224))</x:f>
      </x:c>
      <x:c r="AW224" s="164"/>
      <x:c r="AX224" s="173" t="n">
        <x:f>IF(AK224="","",IFERROR(AP224*(AO224/AN224-1-'Parameters'!$C$6*C224/365),0))</x:f>
        <x:v>0.010578286183040436</x:v>
      </x:c>
      <x:c r="AY224" s="147"/>
      <x:c r="AZ224" s="147"/>
      <x:c r="BA224" s="147"/>
      <x:c r="BB224" s="167"/>
      <x:c r="BC224" s="167"/>
      <x:c r="BD224" s="166"/>
      <x:c r="BE224" s="171" t="str">
        <x:f>IF(AY224="","",IFERROR(F224*BD224/BB224,0))</x:f>
      </x:c>
      <x:c r="BF224" s="171" t="str">
        <x:f>IF(AY224="","",F224*ABS(BD224))</x:f>
      </x:c>
      <x:c r="BG224" s="165"/>
      <x:c r="BH224" s="172" t="str">
        <x:f>IF(AY224="","",IF(BG224="","",IFERROR(BB224/BG224-1,0)))</x:f>
      </x:c>
      <x:c r="BI224" s="166"/>
      <x:c r="BJ224" s="172" t="str">
        <x:f>IF(AY224="","",IF(BI224="","",BI224-BH224*365/BK224))</x:f>
      </x:c>
      <x:c r="BK224" s="164"/>
      <x:c r="BL224" s="172" t="str">
        <x:f>IF(AY224="","",IFERROR(BD224*(BC224/BB224-1),0))</x:f>
      </x:c>
      <x:c r="BM224" s="147"/>
      <x:c r="BN224" s="147"/>
      <x:c r="BO224" s="147"/>
      <x:c r="BP224" s="167"/>
      <x:c r="BQ224" s="167"/>
      <x:c r="BR224" s="166"/>
      <x:c r="BS224" s="171" t="str">
        <x:f>IF(BM224="","",IFERROR(F224*BR224/BP224,0))</x:f>
      </x:c>
      <x:c r="BT224" s="171" t="str">
        <x:f>IF(BM224="","",F224*ABS(BR224))</x:f>
      </x:c>
      <x:c r="BU224" s="165"/>
      <x:c r="BV224" s="172" t="str">
        <x:f>IF(BM224="","",IF(BU224="","",IFERROR(BP224/BU224-1,0)))</x:f>
      </x:c>
      <x:c r="BW224" s="166"/>
      <x:c r="BX224" s="172" t="str">
        <x:f>IF(BM224="","",IF(BW224="","",BW224-BV224*365/BY224))</x:f>
      </x:c>
      <x:c r="BY224" s="164"/>
      <x:c r="BZ224" s="172" t="str">
        <x:f>IF(BM224="","",IFERROR(BR224*(BQ224/BP224-1),0))</x:f>
      </x:c>
      <x:c r="CA224" s="147"/>
      <x:c r="CB224" s="147"/>
      <x:c r="CC224" s="147"/>
      <x:c r="CD224" s="167"/>
      <x:c r="CE224" s="167"/>
      <x:c r="CF224" s="166"/>
      <x:c r="CG224" s="171" t="str">
        <x:f>IF(CA224="","",IFERROR(F224*CF224/CD224,0))</x:f>
      </x:c>
      <x:c r="CH224" s="171" t="str">
        <x:f>IF(CA224="","",F224*ABS(CF224))</x:f>
      </x:c>
      <x:c r="CI224" s="165"/>
      <x:c r="CJ224" s="172" t="str">
        <x:f>IF(CA224="","",IF(CI224="","",IFERROR(CD224/CI224-1,0)))</x:f>
      </x:c>
      <x:c r="CK224" s="166"/>
      <x:c r="CL224" s="172" t="str">
        <x:f>IF(CA224="","",IF(CK224="","",CK224-CJ224*365/CM224))</x:f>
      </x:c>
      <x:c r="CM224" s="164"/>
      <x:c r="CN224" s="172" t="str">
        <x:f>IF(CA224="","",IFERROR(CF224*(CE224/CD224-1),0))</x:f>
      </x:c>
      <x:c r="CO224" s="147"/>
      <x:c r="CP224" s="147"/>
      <x:c r="CQ224" s="147"/>
      <x:c r="CR224" s="167"/>
      <x:c r="CS224" s="167"/>
      <x:c r="CT224" s="166"/>
      <x:c r="CU224" s="171" t="str">
        <x:f>IF(CO224="","",IFERROR(F224*CT224/CR224,0))</x:f>
      </x:c>
      <x:c r="CV224" s="171" t="str">
        <x:f>IF(CO224="","",F224*ABS(CT224))</x:f>
      </x:c>
      <x:c r="CW224" s="165"/>
      <x:c r="CX224" s="172" t="str">
        <x:f>IF(CO224="","",IF(CW224="","",IFERROR(CR224/CW224-1,0)))</x:f>
      </x:c>
      <x:c r="CY224" s="166"/>
      <x:c r="CZ224" s="172" t="str">
        <x:f>IF(CO224="","",IF(CY224="","",CY224-CX224*365/DA224))</x:f>
      </x:c>
      <x:c r="DA224" s="164"/>
      <x:c r="DB224" s="172" t="str">
        <x:f>IF(CO224="","",IFERROR(CT224*(CS224/CR224-1),0))</x:f>
      </x:c>
      <x:c r="DC224" s="147"/>
      <x:c r="DD224" s="147"/>
      <x:c r="DE224" s="147"/>
      <x:c r="DF224" s="167"/>
      <x:c r="DG224" s="167"/>
      <x:c r="DH224" s="166"/>
      <x:c r="DI224" s="171" t="str">
        <x:f>IF(DC224="","",IFERROR(F224*DH224/DF224,0))</x:f>
      </x:c>
      <x:c r="DJ224" s="171" t="str">
        <x:f>IF(DC224="","",F224*ABS(DH224))</x:f>
      </x:c>
      <x:c r="DK224" s="165"/>
      <x:c r="DL224" s="172" t="str">
        <x:f>IF(DC224="","",IF(DK224="","",IFERROR(DF224/DK224-1,0)))</x:f>
      </x:c>
      <x:c r="DM224" s="166"/>
      <x:c r="DN224" s="172" t="str">
        <x:f>IF(DC224="","",IF(DM224="","",DM224-DL224*365/DO224))</x:f>
      </x:c>
      <x:c r="DO224" s="164"/>
      <x:c r="DP224" s="172" t="str">
        <x:f>IF(DC224="","",IFERROR(DH224*(DG224/DF224-1),0))</x:f>
      </x:c>
      <x:c r="DQ224" s="147"/>
      <x:c r="DR224" s="147"/>
      <x:c r="DS224" s="147"/>
      <x:c r="DT224" s="167"/>
      <x:c r="DU224" s="167"/>
      <x:c r="DV224" s="166"/>
      <x:c r="DW224" s="171" t="str">
        <x:f>IF(DQ224="","",IFERROR(F224*DV224/DT224,0))</x:f>
      </x:c>
      <x:c r="DX224" s="171" t="str">
        <x:f>IF(DQ224="","",F224*ABS(DV224))</x:f>
      </x:c>
      <x:c r="DY224" s="165"/>
      <x:c r="DZ224" s="172" t="str">
        <x:f>IF(DQ224="","",IF(DY224="","",IFERROR(DT224/DY224-1,0)))</x:f>
      </x:c>
      <x:c r="EA224" s="166"/>
      <x:c r="EB224" s="172" t="str">
        <x:f>IF(DQ224="","",IF(EA224="","",EA224-DZ224*365/EC224))</x:f>
      </x:c>
      <x:c r="EC224" s="164"/>
      <x:c r="ED224" s="172" t="str">
        <x:f>IF(DQ224="","",IFERROR(DV224*(DU224/DT224-1),0))</x:f>
      </x:c>
      <x:c r="EE224" s="147"/>
      <x:c r="EF224" s="147"/>
      <x:c r="EG224" s="147"/>
      <x:c r="EH224" s="167"/>
      <x:c r="EI224" s="167"/>
      <x:c r="EJ224" s="166"/>
      <x:c r="EK224" s="171" t="str">
        <x:f>IF(EE224="","",IFERROR(F224*EJ224/EH224,0))</x:f>
      </x:c>
      <x:c r="EL224" s="171" t="str">
        <x:f>IF(EE224="","",F224*ABS(EJ224))</x:f>
      </x:c>
      <x:c r="EM224" s="165"/>
      <x:c r="EN224" s="172" t="str">
        <x:f>IF(EE224="","",IF(EM224="","",IFERROR(EH224/EM224-1,0)))</x:f>
      </x:c>
      <x:c r="EO224" s="166"/>
      <x:c r="EP224" s="172" t="str">
        <x:f>IF(EE224="","",IF(EO224="","",EO224-EN224*365/EQ224))</x:f>
      </x:c>
      <x:c r="EQ224" s="164"/>
      <x:c r="ER224" s="172" t="str">
        <x:f>IF(EE224="","",IFERROR(EJ224*(EI224/EH224-1),0))</x:f>
      </x:c>
      <x:c r="ES224" s="147"/>
      <x:c r="ET224" s="147"/>
      <x:c r="EU224" s="147"/>
      <x:c r="EV224" s="167"/>
      <x:c r="EW224" s="167"/>
      <x:c r="EX224" s="166"/>
      <x:c r="EY224" s="171" t="str">
        <x:f>IF(ES224="","",IFERROR(F224*EX224/EV224,0))</x:f>
      </x:c>
      <x:c r="EZ224" s="171" t="str">
        <x:f>IF(ES224="","",F224*ABS(EX224))</x:f>
      </x:c>
      <x:c r="FA224" s="165"/>
      <x:c r="FB224" s="172" t="str">
        <x:f>IF(ES224="","",IF(FA224="","",IFERROR(EV224/FA224-1,0)))</x:f>
      </x:c>
      <x:c r="FC224" s="166"/>
      <x:c r="FD224" s="172" t="str">
        <x:f>IF(ES224="","",IF(FC224="","",FC224-FB224*365/FE224))</x:f>
      </x:c>
      <x:c r="FE224" s="164"/>
      <x:c r="FF224" s="172" t="str">
        <x:f>IF(ES224="","",IFERROR(EX224*(EW224/EV224-1),0))</x:f>
      </x:c>
      <x:c r="FG224" s="147"/>
      <x:c r="FH224" s="147"/>
      <x:c r="FI224" s="147"/>
      <x:c r="FJ224" s="167"/>
      <x:c r="FK224" s="167"/>
      <x:c r="FL224" s="166"/>
      <x:c r="FM224" s="171" t="str">
        <x:f>IF(FG224="","",IFERROR(F224*FL224/FJ224,0))</x:f>
      </x:c>
      <x:c r="FN224" s="171" t="str">
        <x:f>IF(FG224="","",F224*ABS(FL224))</x:f>
      </x:c>
      <x:c r="FO224" s="165"/>
      <x:c r="FP224" s="172" t="str">
        <x:f>IF(FG224="","",IF(FO224="","",IFERROR(FJ224/FO224-1,0)))</x:f>
      </x:c>
      <x:c r="FQ224" s="166"/>
      <x:c r="FR224" s="172" t="str">
        <x:f>IF(FG224="","",IF(FQ224="","",FQ224-FP224*365/FS224))</x:f>
      </x:c>
      <x:c r="FS224" s="164"/>
      <x:c r="FT224" s="172" t="str">
        <x:f>IF(FG224="","",IFERROR(FL224*(FK224/FJ224-1),0))</x:f>
      </x:c>
    </x:row>
    <x:row r="225" ht="18" customHeight="1">
      <x:c r="A225" s="163" t="n">
        <x:v>25538</x:v>
      </x:c>
      <x:c r="B225" s="163" t="n">
        <x:v>25539</x:v>
      </x:c>
      <x:c r="C225" s="170" t="n">
        <x:f>B225-A225</x:f>
        <x:v>1</x:v>
      </x:c>
      <x:c r="D225" s="163" t="n">
        <x:v>25538</x:v>
      </x:c>
      <x:c r="E225" s="147" t="str">
        <x:v>neutral</x:v>
      </x:c>
      <x:c r="F225" s="165" t="n">
        <x:v>2.054850593423751</x:v>
      </x:c>
      <x:c r="G225" s="168" t="n">
        <x:v>0.0078589084195932</x:v>
      </x:c>
      <x:c r="H225" s="172" t="n">
        <x:f>SUM(AX225,BL225,BZ225,CN225,DB225,DP225,ED225,ER225,FF225,FT225)</x:f>
        <x:v>0.0078589084195932</x:v>
      </x:c>
      <x:c r="I225" s="174" t="n">
        <x:f>G225-H225</x:f>
        <x:v>0</x:v>
      </x:c>
      <x:c r="J225" s="171" t="n">
        <x:f>F225*(1+H225)</x:f>
        <x:v>2.0709994760534154</x:v>
      </x:c>
      <x:c r="K225" s="169" t="n">
        <x:v>2.0709994760534154</x:v>
      </x:c>
      <x:c r="L225" s="175" t="n">
        <x:f>K225-J225</x:f>
        <x:v>0</x:v>
      </x:c>
      <x:c r="M225" s="167" t="n">
        <x:v>1.907</x:v>
      </x:c>
      <x:c r="N225" s="167" t="n">
        <x:v>1.922</x:v>
      </x:c>
      <x:c r="O225" s="172" t="n">
        <x:f>IFERROR(N225/M225-1,0)</x:f>
        <x:v>0.007865757734661694</x:v>
      </x:c>
      <x:c r="P225" s="171" t="n">
        <x:f>IFERROR(AD225/AH225,0)</x:f>
        <x:v>2.1098046470496614</x:v>
      </x:c>
      <x:c r="Q225" s="171" t="n">
        <x:f>IFERROR(AE225/AI225,0)</x:f>
        <x:v>2.1097903091116477</x:v>
      </x:c>
      <x:c r="R225" s="172" t="n">
        <x:f>IFERROR((Q225-P225)/(P225+S225),0)</x:f>
        <x:v>-0.000006795860476373132</x:v>
      </x:c>
      <x:c r="S225" s="172" t="n">
        <x:f>IFERROR(AF225/AH225,0)</x:f>
        <x:v>0</x:v>
      </x:c>
      <x:c r="T225" s="172" t="n">
        <x:f>IFERROR(AG225/AI225,0)</x:f>
        <x:v>0</x:v>
      </x:c>
      <x:c r="U225" s="172" t="n">
        <x:f>IFERROR((T225-S225)/(P225+S225),0)</x:f>
        <x:v>0</x:v>
      </x:c>
      <x:c r="V225" s="172" t="n">
        <x:f>R225+U225</x:f>
        <x:v>-0.000006795860476373132</x:v>
      </x:c>
      <x:c r="W225" s="172" t="n">
        <x:f>(1+O225)*(1+V225)-1</x:f>
        <x:v>0.007858908419593247</x:v>
      </x:c>
      <x:c r="X225" s="174" t="n">
        <x:f>G225-W225</x:f>
        <x:v>-4.683753385137379e-17</x:v>
      </x:c>
      <x:c r="Y225" s="172" t="n">
        <x:f>AX225</x:f>
        <x:v>0.0078589084195932</x:v>
      </x:c>
      <x:c r="Z225" s="172" t="str">
        <x:f>BL225</x:f>
      </x:c>
      <x:c r="AA225" s="172" t="n">
        <x:f>SUM(BZ225,CN225,DB225,DP225,ED225,ER225,FF225,FT225)</x:f>
        <x:v>0</x:v>
      </x:c>
      <x:c r="AB225" s="172" t="n">
        <x:f>SUM(Y225:AA225)</x:f>
        <x:v>0.0078589084195932</x:v>
      </x:c>
      <x:c r="AC225" s="174" t="n">
        <x:f>G225-AB225</x:f>
        <x:v>0</x:v>
      </x:c>
      <x:c r="AD225" s="169" t="n">
        <x:v>2.054850593423751</x:v>
      </x:c>
      <x:c r="AE225" s="169" t="n">
        <x:v>2.070999476053415</x:v>
      </x:c>
      <x:c r="AF225" s="169" t="n">
        <x:v>0</x:v>
      </x:c>
      <x:c r="AG225" s="169" t="n">
        <x:v>0</x:v>
      </x:c>
      <x:c r="AH225" s="171" t="n">
        <x:f>M225/$M$3</x:f>
        <x:v>0.973953013278856</x:v>
      </x:c>
      <x:c r="AI225" s="171" t="n">
        <x:f>N225/$M$3</x:f>
        <x:v>0.9816138917262512</x:v>
      </x:c>
      <x:c r="AJ225" s="170" t="n">
        <x:f>IF(AK225&lt;&gt;"",1,0)+IF(AY225&lt;&gt;"",1,0)+IF(BM225&lt;&gt;"",1,0)+IF(CA225&lt;&gt;"",1,0)+IF(CO225&lt;&gt;"",1,0)+IF(DC225&lt;&gt;"",1,0)+IF(DQ225&lt;&gt;"",1,0)+IF(EE225&lt;&gt;"",1,0)+IF(ES225&lt;&gt;"",1,0)+IF(FG225&lt;&gt;"",1,0)</x:f>
        <x:v>1</x:v>
      </x:c>
      <x:c r="AK225" s="147" t="str">
        <x:v>Silver replicating holding (LBMA/SLV proxy)</x:v>
      </x:c>
      <x:c r="AL225" s="147" t="str">
        <x:v>Physical-backed proxy</x:v>
      </x:c>
      <x:c r="AM225" s="147" t="str">
        <x:v>Long</x:v>
      </x:c>
      <x:c r="AN225" s="167" t="n">
        <x:v>1.907</x:v>
      </x:c>
      <x:c r="AO225" s="167" t="n">
        <x:v>1.922</x:v>
      </x:c>
      <x:c r="AP225" s="166" t="n">
        <x:v>1</x:v>
      </x:c>
      <x:c r="AQ225" s="171" t="n">
        <x:f>IF(AK225="","",IFERROR(F225*AP225/AN225,0))</x:f>
        <x:v>1.0775304632531468</x:v>
      </x:c>
      <x:c r="AR225" s="171" t="n">
        <x:f>IF(AK225="","",F225*ABS(AP225))</x:f>
        <x:v>2.054850593423751</x:v>
      </x:c>
      <x:c r="AS225" s="165"/>
      <x:c r="AT225" s="172" t="str">
        <x:f>IF(AK225="","",IF(AS225="","",IFERROR(AN225/AS225-1,0)))</x:f>
      </x:c>
      <x:c r="AU225" s="166"/>
      <x:c r="AV225" s="172" t="str">
        <x:f>IF(AK225="","",IF(AU225="","",AU225-AT225*365/AW225))</x:f>
      </x:c>
      <x:c r="AW225" s="164"/>
      <x:c r="AX225" s="173" t="n">
        <x:f>IF(AK225="","",IFERROR(AP225*(AO225/AN225-1-'Parameters'!$C$6*C225/365),0))</x:f>
        <x:v>0.0078589084195932</x:v>
      </x:c>
      <x:c r="AY225" s="147"/>
      <x:c r="AZ225" s="147"/>
      <x:c r="BA225" s="147"/>
      <x:c r="BB225" s="167"/>
      <x:c r="BC225" s="167"/>
      <x:c r="BD225" s="166"/>
      <x:c r="BE225" s="171" t="str">
        <x:f>IF(AY225="","",IFERROR(F225*BD225/BB225,0))</x:f>
      </x:c>
      <x:c r="BF225" s="171" t="str">
        <x:f>IF(AY225="","",F225*ABS(BD225))</x:f>
      </x:c>
      <x:c r="BG225" s="165"/>
      <x:c r="BH225" s="172" t="str">
        <x:f>IF(AY225="","",IF(BG225="","",IFERROR(BB225/BG225-1,0)))</x:f>
      </x:c>
      <x:c r="BI225" s="166"/>
      <x:c r="BJ225" s="172" t="str">
        <x:f>IF(AY225="","",IF(BI225="","",BI225-BH225*365/BK225))</x:f>
      </x:c>
      <x:c r="BK225" s="164"/>
      <x:c r="BL225" s="172" t="str">
        <x:f>IF(AY225="","",IFERROR(BD225*(BC225/BB225-1),0))</x:f>
      </x:c>
      <x:c r="BM225" s="147"/>
      <x:c r="BN225" s="147"/>
      <x:c r="BO225" s="147"/>
      <x:c r="BP225" s="167"/>
      <x:c r="BQ225" s="167"/>
      <x:c r="BR225" s="166"/>
      <x:c r="BS225" s="171" t="str">
        <x:f>IF(BM225="","",IFERROR(F225*BR225/BP225,0))</x:f>
      </x:c>
      <x:c r="BT225" s="171" t="str">
        <x:f>IF(BM225="","",F225*ABS(BR225))</x:f>
      </x:c>
      <x:c r="BU225" s="165"/>
      <x:c r="BV225" s="172" t="str">
        <x:f>IF(BM225="","",IF(BU225="","",IFERROR(BP225/BU225-1,0)))</x:f>
      </x:c>
      <x:c r="BW225" s="166"/>
      <x:c r="BX225" s="172" t="str">
        <x:f>IF(BM225="","",IF(BW225="","",BW225-BV225*365/BY225))</x:f>
      </x:c>
      <x:c r="BY225" s="164"/>
      <x:c r="BZ225" s="172" t="str">
        <x:f>IF(BM225="","",IFERROR(BR225*(BQ225/BP225-1),0))</x:f>
      </x:c>
      <x:c r="CA225" s="147"/>
      <x:c r="CB225" s="147"/>
      <x:c r="CC225" s="147"/>
      <x:c r="CD225" s="167"/>
      <x:c r="CE225" s="167"/>
      <x:c r="CF225" s="166"/>
      <x:c r="CG225" s="171" t="str">
        <x:f>IF(CA225="","",IFERROR(F225*CF225/CD225,0))</x:f>
      </x:c>
      <x:c r="CH225" s="171" t="str">
        <x:f>IF(CA225="","",F225*ABS(CF225))</x:f>
      </x:c>
      <x:c r="CI225" s="165"/>
      <x:c r="CJ225" s="172" t="str">
        <x:f>IF(CA225="","",IF(CI225="","",IFERROR(CD225/CI225-1,0)))</x:f>
      </x:c>
      <x:c r="CK225" s="166"/>
      <x:c r="CL225" s="172" t="str">
        <x:f>IF(CA225="","",IF(CK225="","",CK225-CJ225*365/CM225))</x:f>
      </x:c>
      <x:c r="CM225" s="164"/>
      <x:c r="CN225" s="172" t="str">
        <x:f>IF(CA225="","",IFERROR(CF225*(CE225/CD225-1),0))</x:f>
      </x:c>
      <x:c r="CO225" s="147"/>
      <x:c r="CP225" s="147"/>
      <x:c r="CQ225" s="147"/>
      <x:c r="CR225" s="167"/>
      <x:c r="CS225" s="167"/>
      <x:c r="CT225" s="166"/>
      <x:c r="CU225" s="171" t="str">
        <x:f>IF(CO225="","",IFERROR(F225*CT225/CR225,0))</x:f>
      </x:c>
      <x:c r="CV225" s="171" t="str">
        <x:f>IF(CO225="","",F225*ABS(CT225))</x:f>
      </x:c>
      <x:c r="CW225" s="165"/>
      <x:c r="CX225" s="172" t="str">
        <x:f>IF(CO225="","",IF(CW225="","",IFERROR(CR225/CW225-1,0)))</x:f>
      </x:c>
      <x:c r="CY225" s="166"/>
      <x:c r="CZ225" s="172" t="str">
        <x:f>IF(CO225="","",IF(CY225="","",CY225-CX225*365/DA225))</x:f>
      </x:c>
      <x:c r="DA225" s="164"/>
      <x:c r="DB225" s="172" t="str">
        <x:f>IF(CO225="","",IFERROR(CT225*(CS225/CR225-1),0))</x:f>
      </x:c>
      <x:c r="DC225" s="147"/>
      <x:c r="DD225" s="147"/>
      <x:c r="DE225" s="147"/>
      <x:c r="DF225" s="167"/>
      <x:c r="DG225" s="167"/>
      <x:c r="DH225" s="166"/>
      <x:c r="DI225" s="171" t="str">
        <x:f>IF(DC225="","",IFERROR(F225*DH225/DF225,0))</x:f>
      </x:c>
      <x:c r="DJ225" s="171" t="str">
        <x:f>IF(DC225="","",F225*ABS(DH225))</x:f>
      </x:c>
      <x:c r="DK225" s="165"/>
      <x:c r="DL225" s="172" t="str">
        <x:f>IF(DC225="","",IF(DK225="","",IFERROR(DF225/DK225-1,0)))</x:f>
      </x:c>
      <x:c r="DM225" s="166"/>
      <x:c r="DN225" s="172" t="str">
        <x:f>IF(DC225="","",IF(DM225="","",DM225-DL225*365/DO225))</x:f>
      </x:c>
      <x:c r="DO225" s="164"/>
      <x:c r="DP225" s="172" t="str">
        <x:f>IF(DC225="","",IFERROR(DH225*(DG225/DF225-1),0))</x:f>
      </x:c>
      <x:c r="DQ225" s="147"/>
      <x:c r="DR225" s="147"/>
      <x:c r="DS225" s="147"/>
      <x:c r="DT225" s="167"/>
      <x:c r="DU225" s="167"/>
      <x:c r="DV225" s="166"/>
      <x:c r="DW225" s="171" t="str">
        <x:f>IF(DQ225="","",IFERROR(F225*DV225/DT225,0))</x:f>
      </x:c>
      <x:c r="DX225" s="171" t="str">
        <x:f>IF(DQ225="","",F225*ABS(DV225))</x:f>
      </x:c>
      <x:c r="DY225" s="165"/>
      <x:c r="DZ225" s="172" t="str">
        <x:f>IF(DQ225="","",IF(DY225="","",IFERROR(DT225/DY225-1,0)))</x:f>
      </x:c>
      <x:c r="EA225" s="166"/>
      <x:c r="EB225" s="172" t="str">
        <x:f>IF(DQ225="","",IF(EA225="","",EA225-DZ225*365/EC225))</x:f>
      </x:c>
      <x:c r="EC225" s="164"/>
      <x:c r="ED225" s="172" t="str">
        <x:f>IF(DQ225="","",IFERROR(DV225*(DU225/DT225-1),0))</x:f>
      </x:c>
      <x:c r="EE225" s="147"/>
      <x:c r="EF225" s="147"/>
      <x:c r="EG225" s="147"/>
      <x:c r="EH225" s="167"/>
      <x:c r="EI225" s="167"/>
      <x:c r="EJ225" s="166"/>
      <x:c r="EK225" s="171" t="str">
        <x:f>IF(EE225="","",IFERROR(F225*EJ225/EH225,0))</x:f>
      </x:c>
      <x:c r="EL225" s="171" t="str">
        <x:f>IF(EE225="","",F225*ABS(EJ225))</x:f>
      </x:c>
      <x:c r="EM225" s="165"/>
      <x:c r="EN225" s="172" t="str">
        <x:f>IF(EE225="","",IF(EM225="","",IFERROR(EH225/EM225-1,0)))</x:f>
      </x:c>
      <x:c r="EO225" s="166"/>
      <x:c r="EP225" s="172" t="str">
        <x:f>IF(EE225="","",IF(EO225="","",EO225-EN225*365/EQ225))</x:f>
      </x:c>
      <x:c r="EQ225" s="164"/>
      <x:c r="ER225" s="172" t="str">
        <x:f>IF(EE225="","",IFERROR(EJ225*(EI225/EH225-1),0))</x:f>
      </x:c>
      <x:c r="ES225" s="147"/>
      <x:c r="ET225" s="147"/>
      <x:c r="EU225" s="147"/>
      <x:c r="EV225" s="167"/>
      <x:c r="EW225" s="167"/>
      <x:c r="EX225" s="166"/>
      <x:c r="EY225" s="171" t="str">
        <x:f>IF(ES225="","",IFERROR(F225*EX225/EV225,0))</x:f>
      </x:c>
      <x:c r="EZ225" s="171" t="str">
        <x:f>IF(ES225="","",F225*ABS(EX225))</x:f>
      </x:c>
      <x:c r="FA225" s="165"/>
      <x:c r="FB225" s="172" t="str">
        <x:f>IF(ES225="","",IF(FA225="","",IFERROR(EV225/FA225-1,0)))</x:f>
      </x:c>
      <x:c r="FC225" s="166"/>
      <x:c r="FD225" s="172" t="str">
        <x:f>IF(ES225="","",IF(FC225="","",FC225-FB225*365/FE225))</x:f>
      </x:c>
      <x:c r="FE225" s="164"/>
      <x:c r="FF225" s="172" t="str">
        <x:f>IF(ES225="","",IFERROR(EX225*(EW225/EV225-1),0))</x:f>
      </x:c>
      <x:c r="FG225" s="147"/>
      <x:c r="FH225" s="147"/>
      <x:c r="FI225" s="147"/>
      <x:c r="FJ225" s="167"/>
      <x:c r="FK225" s="167"/>
      <x:c r="FL225" s="166"/>
      <x:c r="FM225" s="171" t="str">
        <x:f>IF(FG225="","",IFERROR(F225*FL225/FJ225,0))</x:f>
      </x:c>
      <x:c r="FN225" s="171" t="str">
        <x:f>IF(FG225="","",F225*ABS(FL225))</x:f>
      </x:c>
      <x:c r="FO225" s="165"/>
      <x:c r="FP225" s="172" t="str">
        <x:f>IF(FG225="","",IF(FO225="","",IFERROR(FJ225/FO225-1,0)))</x:f>
      </x:c>
      <x:c r="FQ225" s="166"/>
      <x:c r="FR225" s="172" t="str">
        <x:f>IF(FG225="","",IF(FQ225="","",FQ225-FP225*365/FS225))</x:f>
      </x:c>
      <x:c r="FS225" s="164"/>
      <x:c r="FT225" s="172" t="str">
        <x:f>IF(FG225="","",IFERROR(FL225*(FK225/FJ225-1),0))</x:f>
      </x:c>
    </x:row>
    <x:row r="226" ht="18" customHeight="1">
      <x:c r="A226" s="163" t="n">
        <x:v>25539</x:v>
      </x:c>
      <x:c r="B226" s="163" t="n">
        <x:v>25540</x:v>
      </x:c>
      <x:c r="C226" s="170" t="n">
        <x:f>B226-A226</x:f>
        <x:v>1</x:v>
      </x:c>
      <x:c r="D226" s="163" t="n">
        <x:v>25539</x:v>
      </x:c>
      <x:c r="E226" s="147" t="str">
        <x:v>positive</x:v>
      </x:c>
      <x:c r="F226" s="165" t="n">
        <x:v>2.0709994760534154</x:v>
      </x:c>
      <x:c r="G226" s="168" t="n">
        <x:v>-0.00975327438357818</x:v>
      </x:c>
      <x:c r="H226" s="172" t="n">
        <x:f>SUM(AX226,BL226,BZ226,CN226,DB226,DP226,ED226,ER226,FF226,FT226)</x:f>
        <x:v>-0.009753274383578219</x:v>
      </x:c>
      <x:c r="I226" s="174" t="n">
        <x:f>G226-H226</x:f>
        <x:v>3.8163916471489756e-17</x:v>
      </x:c>
      <x:c r="J226" s="171" t="n">
        <x:f>F226*(1+H226)</x:f>
        <x:v>2.05080044991522</x:v>
      </x:c>
      <x:c r="K226" s="169" t="n">
        <x:v>2.05080044991522</x:v>
      </x:c>
      <x:c r="L226" s="175" t="n">
        <x:f>K226-J226</x:f>
        <x:v>0</x:v>
      </x:c>
      <x:c r="M226" s="167" t="n">
        <x:v>1.922</x:v>
      </x:c>
      <x:c r="N226" s="167" t="n">
        <x:v>1.908</x:v>
      </x:c>
      <x:c r="O226" s="172" t="n">
        <x:f>IFERROR(N226/M226-1,0)</x:f>
        <x:v>-0.007284079084287187</x:v>
      </x:c>
      <x:c r="P226" s="171" t="n">
        <x:f>IFERROR(AD226/AH226,0)</x:f>
        <x:v>2.1097903091116477</x:v>
      </x:c>
      <x:c r="Q226" s="171" t="n">
        <x:f>IFERROR(AE226/AI226,0)</x:f>
        <x:v>2.1045426000702308</x:v>
      </x:c>
      <x:c r="R226" s="172" t="n">
        <x:f>IFERROR((Q226-P226)/(P226+S226),0)</x:f>
        <x:v>-0.002487313084505789</x:v>
      </x:c>
      <x:c r="S226" s="172" t="n">
        <x:f>IFERROR(AF226/AH226,0)</x:f>
        <x:v>0</x:v>
      </x:c>
      <x:c r="T226" s="172" t="n">
        <x:f>IFERROR(AG226/AI226,0)</x:f>
        <x:v>0</x:v>
      </x:c>
      <x:c r="U226" s="172" t="n">
        <x:f>IFERROR((T226-S226)/(P226+S226),0)</x:f>
        <x:v>0</x:v>
      </x:c>
      <x:c r="V226" s="172" t="n">
        <x:f>R226+U226</x:f>
        <x:v>-0.002487313084505789</x:v>
      </x:c>
      <x:c r="W226" s="172" t="n">
        <x:f>(1+O226)*(1+V226)-1</x:f>
        <x:v>-0.009753274383578092</x:v>
      </x:c>
      <x:c r="X226" s="174" t="n">
        <x:f>G226-W226</x:f>
        <x:v>-8.847089727481716e-17</x:v>
      </x:c>
      <x:c r="Y226" s="172" t="n">
        <x:f>AX226</x:f>
        <x:v>-0.0032792861463456966</x:v>
      </x:c>
      <x:c r="Z226" s="172" t="n">
        <x:f>BL226</x:f>
        <x:v>0.00011381341399649455</x:v>
      </x:c>
      <x:c r="AA226" s="172" t="n">
        <x:f>SUM(BZ226,CN226,DB226,DP226,ED226,ER226,FF226,FT226)</x:f>
        <x:v>-0.006587801651229015</x:v>
      </x:c>
      <x:c r="AB226" s="172" t="n">
        <x:f>SUM(Y226:AA226)</x:f>
        <x:v>-0.009753274383578217</x:v>
      </x:c>
      <x:c r="AC226" s="174" t="n">
        <x:f>G226-AB226</x:f>
        <x:v>3.642919299551295e-17</x:v>
      </x:c>
      <x:c r="AD226" s="169" t="n">
        <x:v>2.070999476053415</x:v>
      </x:c>
      <x:c r="AE226" s="169" t="n">
        <x:v>2.0508004499152195</x:v>
      </x:c>
      <x:c r="AF226" s="169" t="n">
        <x:v>0</x:v>
      </x:c>
      <x:c r="AG226" s="169" t="n">
        <x:v>0</x:v>
      </x:c>
      <x:c r="AH226" s="171" t="n">
        <x:f>M226/$M$3</x:f>
        <x:v>0.9816138917262512</x:v>
      </x:c>
      <x:c r="AI226" s="171" t="n">
        <x:f>N226/$M$3</x:f>
        <x:v>0.9744637385086823</x:v>
      </x:c>
      <x:c r="AJ226" s="170" t="n">
        <x:f>IF(AK226&lt;&gt;"",1,0)+IF(AY226&lt;&gt;"",1,0)+IF(BM226&lt;&gt;"",1,0)+IF(CA226&lt;&gt;"",1,0)+IF(CO226&lt;&gt;"",1,0)+IF(DC226&lt;&gt;"",1,0)+IF(DQ226&lt;&gt;"",1,0)+IF(EE226&lt;&gt;"",1,0)+IF(ES226&lt;&gt;"",1,0)+IF(FG226&lt;&gt;"",1,0)</x:f>
        <x:v>4</x:v>
      </x:c>
      <x:c r="AK226" s="147" t="str">
        <x:v>Silver replicating holding (LBMA/SLV proxy)</x:v>
      </x:c>
      <x:c r="AL226" s="147" t="str">
        <x:v>Physical-backed proxy</x:v>
      </x:c>
      <x:c r="AM226" s="147" t="str">
        <x:v>Long</x:v>
      </x:c>
      <x:c r="AN226" s="167" t="n">
        <x:v>1.922</x:v>
      </x:c>
      <x:c r="AO226" s="167" t="n">
        <x:v>1.908</x:v>
      </x:c>
      <x:c r="AP226" s="166" t="n">
        <x:v>0.4497762104803411</x:v>
      </x:c>
      <x:c r="AQ226" s="171" t="n">
        <x:f>IF(AK226="","",IFERROR(F226*AP226/AN226,0))</x:f>
        <x:v>0.48464427484187156</x:v>
      </x:c>
      <x:c r="AR226" s="171" t="n">
        <x:f>IF(AK226="","",F226*ABS(AP226))</x:f>
        <x:v>0.9314862962460772</x:v>
      </x:c>
      <x:c r="AS226" s="165"/>
      <x:c r="AT226" s="172" t="str">
        <x:f>IF(AK226="","",IF(AS226="","",IFERROR(AN226/AS226-1,0)))</x:f>
      </x:c>
      <x:c r="AU226" s="166"/>
      <x:c r="AV226" s="172" t="str">
        <x:f>IF(AK226="","",IF(AU226="","",AU226-AT226*365/AW226))</x:f>
      </x:c>
      <x:c r="AW226" s="164"/>
      <x:c r="AX226" s="173" t="n">
        <x:f>IF(AK226="","",IFERROR(AP226*(AO226/AN226-1-'Parameters'!$C$6*C226/365),0))</x:f>
        <x:v>-0.0032792861463456966</x:v>
      </x:c>
      <x:c r="AY226" s="147" t="str">
        <x:v>Matched-maturity Treasury collateral</x:v>
      </x:c>
      <x:c r="AZ226" s="147" t="str">
        <x:v>Treasury</x:v>
      </x:c>
      <x:c r="BA226" s="147" t="str">
        <x:v>Long</x:v>
      </x:c>
      <x:c r="BB226" s="167" t="n">
        <x:v>106.1889439628314</x:v>
      </x:c>
      <x:c r="BC226" s="167" t="n">
        <x:v>106.21090907315795</x:v>
      </x:c>
      <x:c r="BD226" s="166" t="n">
        <x:v>0.5502237895196589</x:v>
      </x:c>
      <x:c r="BE226" s="171" t="n">
        <x:f>IF(AY226="","",IFERROR(F226*BD226/BB226,0))</x:f>
        <x:v>0.010730996441646453</x:v>
      </x:c>
      <x:c r="BF226" s="171" t="n">
        <x:f>IF(AY226="","",F226*ABS(BD226))</x:f>
        <x:v>1.1395131798073384</x:v>
      </x:c>
      <x:c r="BG226" s="165"/>
      <x:c r="BH226" s="172" t="str">
        <x:f>IF(AY226="","",IF(BG226="","",IFERROR(BB226/BG226-1,0)))</x:f>
      </x:c>
      <x:c r="BI226" s="166"/>
      <x:c r="BJ226" s="172" t="str">
        <x:f>IF(AY226="","",IF(BI226="","",BI226-BH226*365/BK226))</x:f>
      </x:c>
      <x:c r="BK226" s="164" t="n">
        <x:v>27.00039927143718</x:v>
      </x:c>
      <x:c r="BL226" s="172" t="n">
        <x:f>IF(AY226="","",IFERROR(BD226*(BC226/BB226-1),0))</x:f>
        <x:v>0.00011381341399649455</x:v>
      </x:c>
      <x:c r="BM226" s="147" t="str">
        <x:v>SI69Z</x:v>
      </x:c>
      <x:c r="BN226" s="147" t="str">
        <x:v>Silver future (regular)</x:v>
      </x:c>
      <x:c r="BO226" s="147" t="str">
        <x:v>Long</x:v>
      </x:c>
      <x:c r="BP226" s="167" t="n">
        <x:v>1.921</x:v>
      </x:c>
      <x:c r="BQ226" s="167" t="n">
        <x:v>1.8980000000000001</x:v>
      </x:c>
      <x:c r="BR226" s="166" t="n">
        <x:v>0.5502164665648852</x:v>
      </x:c>
      <x:c r="BS226" s="171" t="n">
        <x:f>IF(BM226="","",IFERROR(F226*BR226/BP226,0))</x:f>
        <x:v>0.5931796012346897</x:v>
      </x:c>
      <x:c r="BT226" s="171" t="n">
        <x:f>IF(BM226="","",F226*ABS(BR226))</x:f>
        <x:v>1.139498013971839</x:v>
      </x:c>
      <x:c r="BU226" s="165" t="n">
        <x:v>1.922</x:v>
      </x:c>
      <x:c r="BV226" s="172" t="n">
        <x:f>IF(BM226="","",IF(BU226="","",IFERROR(BP226/BU226-1,0)))</x:f>
        <x:v>-0.0005202913631633388</x:v>
      </x:c>
      <x:c r="BW226" s="166" t="n">
        <x:v>0.0755</x:v>
      </x:c>
      <x:c r="BX226" s="172" t="n">
        <x:f>IF(BM226="","",IF(BW226="","",BW226-BV226*365/BY226))</x:f>
        <x:v>0.08253356842794883</x:v>
      </x:c>
      <x:c r="BY226" s="164" t="n">
        <x:v>27</x:v>
      </x:c>
      <x:c r="BZ226" s="172" t="n">
        <x:f>IF(BM226="","",IFERROR(BR226*(BQ226/BP226-1),0))</x:f>
        <x:v>-0.006587703660068894</x:v>
      </x:c>
      <x:c r="CA226" s="147" t="str">
        <x:v>SI70F</x:v>
      </x:c>
      <x:c r="CB226" s="147" t="str">
        <x:v>Silver future (regular)</x:v>
      </x:c>
      <x:c r="CC226" s="147" t="str">
        <x:v>Long</x:v>
      </x:c>
      <x:c r="CD226" s="167" t="n">
        <x:v>1.943</x:v>
      </x:c>
      <x:c r="CE226" s="167" t="n">
        <x:v>1.9169999999999998</x:v>
      </x:c>
      <x:c r="CF226" s="166" t="n">
        <x:v>0.000007322954773674073</x:v>
      </x:c>
      <x:c r="CG226" s="171" t="n">
        <x:f>IF(CA226="","",IFERROR(F226*CF226/CD226,0))</x:f>
        <x:v>0.000007805370818034926</x:v>
      </x:c>
      <x:c r="CH226" s="171" t="n">
        <x:f>IF(CA226="","",F226*ABS(CF226))</x:f>
        <x:v>0.000015165835499441863</x:v>
      </x:c>
      <x:c r="CI226" s="165" t="n">
        <x:v>1.922</x:v>
      </x:c>
      <x:c r="CJ226" s="172" t="n">
        <x:f>IF(CA226="","",IF(CI226="","",IFERROR(CD226/CI226-1,0)))</x:f>
        <x:v>0.010926118626430892</x:v>
      </x:c>
      <x:c r="CK226" s="166" t="n">
        <x:v>0.0755</x:v>
      </x:c>
      <x:c r="CL226" s="172" t="n">
        <x:f>IF(CA226="","",IF(CK226="","",CK226-CJ226*365/CM226))</x:f>
        <x:v>0.00553450353250394</x:v>
      </x:c>
      <x:c r="CM226" s="164" t="n">
        <x:v>57</x:v>
      </x:c>
      <x:c r="CN226" s="172" t="n">
        <x:f>IF(CA226="","",IFERROR(CF226*(CE226/CD226-1),0))</x:f>
        <x:v>-9.799116012121856e-8</x:v>
      </x:c>
      <x:c r="CO226" s="147"/>
      <x:c r="CP226" s="147"/>
      <x:c r="CQ226" s="147"/>
      <x:c r="CR226" s="167"/>
      <x:c r="CS226" s="167"/>
      <x:c r="CT226" s="166"/>
      <x:c r="CU226" s="171" t="str">
        <x:f>IF(CO226="","",IFERROR(F226*CT226/CR226,0))</x:f>
      </x:c>
      <x:c r="CV226" s="171" t="str">
        <x:f>IF(CO226="","",F226*ABS(CT226))</x:f>
      </x:c>
      <x:c r="CW226" s="165"/>
      <x:c r="CX226" s="172" t="str">
        <x:f>IF(CO226="","",IF(CW226="","",IFERROR(CR226/CW226-1,0)))</x:f>
      </x:c>
      <x:c r="CY226" s="166"/>
      <x:c r="CZ226" s="172" t="str">
        <x:f>IF(CO226="","",IF(CY226="","",CY226-CX226*365/DA226))</x:f>
      </x:c>
      <x:c r="DA226" s="164"/>
      <x:c r="DB226" s="172" t="str">
        <x:f>IF(CO226="","",IFERROR(CT226*(CS226/CR226-1),0))</x:f>
      </x:c>
      <x:c r="DC226" s="147"/>
      <x:c r="DD226" s="147"/>
      <x:c r="DE226" s="147"/>
      <x:c r="DF226" s="167"/>
      <x:c r="DG226" s="167"/>
      <x:c r="DH226" s="166"/>
      <x:c r="DI226" s="171" t="str">
        <x:f>IF(DC226="","",IFERROR(F226*DH226/DF226,0))</x:f>
      </x:c>
      <x:c r="DJ226" s="171" t="str">
        <x:f>IF(DC226="","",F226*ABS(DH226))</x:f>
      </x:c>
      <x:c r="DK226" s="165"/>
      <x:c r="DL226" s="172" t="str">
        <x:f>IF(DC226="","",IF(DK226="","",IFERROR(DF226/DK226-1,0)))</x:f>
      </x:c>
      <x:c r="DM226" s="166"/>
      <x:c r="DN226" s="172" t="str">
        <x:f>IF(DC226="","",IF(DM226="","",DM226-DL226*365/DO226))</x:f>
      </x:c>
      <x:c r="DO226" s="164"/>
      <x:c r="DP226" s="172" t="str">
        <x:f>IF(DC226="","",IFERROR(DH226*(DG226/DF226-1),0))</x:f>
      </x:c>
      <x:c r="DQ226" s="147"/>
      <x:c r="DR226" s="147"/>
      <x:c r="DS226" s="147"/>
      <x:c r="DT226" s="167"/>
      <x:c r="DU226" s="167"/>
      <x:c r="DV226" s="166"/>
      <x:c r="DW226" s="171" t="str">
        <x:f>IF(DQ226="","",IFERROR(F226*DV226/DT226,0))</x:f>
      </x:c>
      <x:c r="DX226" s="171" t="str">
        <x:f>IF(DQ226="","",F226*ABS(DV226))</x:f>
      </x:c>
      <x:c r="DY226" s="165"/>
      <x:c r="DZ226" s="172" t="str">
        <x:f>IF(DQ226="","",IF(DY226="","",IFERROR(DT226/DY226-1,0)))</x:f>
      </x:c>
      <x:c r="EA226" s="166"/>
      <x:c r="EB226" s="172" t="str">
        <x:f>IF(DQ226="","",IF(EA226="","",EA226-DZ226*365/EC226))</x:f>
      </x:c>
      <x:c r="EC226" s="164"/>
      <x:c r="ED226" s="172" t="str">
        <x:f>IF(DQ226="","",IFERROR(DV226*(DU226/DT226-1),0))</x:f>
      </x:c>
      <x:c r="EE226" s="147"/>
      <x:c r="EF226" s="147"/>
      <x:c r="EG226" s="147"/>
      <x:c r="EH226" s="167"/>
      <x:c r="EI226" s="167"/>
      <x:c r="EJ226" s="166"/>
      <x:c r="EK226" s="171" t="str">
        <x:f>IF(EE226="","",IFERROR(F226*EJ226/EH226,0))</x:f>
      </x:c>
      <x:c r="EL226" s="171" t="str">
        <x:f>IF(EE226="","",F226*ABS(EJ226))</x:f>
      </x:c>
      <x:c r="EM226" s="165"/>
      <x:c r="EN226" s="172" t="str">
        <x:f>IF(EE226="","",IF(EM226="","",IFERROR(EH226/EM226-1,0)))</x:f>
      </x:c>
      <x:c r="EO226" s="166"/>
      <x:c r="EP226" s="172" t="str">
        <x:f>IF(EE226="","",IF(EO226="","",EO226-EN226*365/EQ226))</x:f>
      </x:c>
      <x:c r="EQ226" s="164"/>
      <x:c r="ER226" s="172" t="str">
        <x:f>IF(EE226="","",IFERROR(EJ226*(EI226/EH226-1),0))</x:f>
      </x:c>
      <x:c r="ES226" s="147"/>
      <x:c r="ET226" s="147"/>
      <x:c r="EU226" s="147"/>
      <x:c r="EV226" s="167"/>
      <x:c r="EW226" s="167"/>
      <x:c r="EX226" s="166"/>
      <x:c r="EY226" s="171" t="str">
        <x:f>IF(ES226="","",IFERROR(F226*EX226/EV226,0))</x:f>
      </x:c>
      <x:c r="EZ226" s="171" t="str">
        <x:f>IF(ES226="","",F226*ABS(EX226))</x:f>
      </x:c>
      <x:c r="FA226" s="165"/>
      <x:c r="FB226" s="172" t="str">
        <x:f>IF(ES226="","",IF(FA226="","",IFERROR(EV226/FA226-1,0)))</x:f>
      </x:c>
      <x:c r="FC226" s="166"/>
      <x:c r="FD226" s="172" t="str">
        <x:f>IF(ES226="","",IF(FC226="","",FC226-FB226*365/FE226))</x:f>
      </x:c>
      <x:c r="FE226" s="164"/>
      <x:c r="FF226" s="172" t="str">
        <x:f>IF(ES226="","",IFERROR(EX226*(EW226/EV226-1),0))</x:f>
      </x:c>
      <x:c r="FG226" s="147"/>
      <x:c r="FH226" s="147"/>
      <x:c r="FI226" s="147"/>
      <x:c r="FJ226" s="167"/>
      <x:c r="FK226" s="167"/>
      <x:c r="FL226" s="166"/>
      <x:c r="FM226" s="171" t="str">
        <x:f>IF(FG226="","",IFERROR(F226*FL226/FJ226,0))</x:f>
      </x:c>
      <x:c r="FN226" s="171" t="str">
        <x:f>IF(FG226="","",F226*ABS(FL226))</x:f>
      </x:c>
      <x:c r="FO226" s="165"/>
      <x:c r="FP226" s="172" t="str">
        <x:f>IF(FG226="","",IF(FO226="","",IFERROR(FJ226/FO226-1,0)))</x:f>
      </x:c>
      <x:c r="FQ226" s="166"/>
      <x:c r="FR226" s="172" t="str">
        <x:f>IF(FG226="","",IF(FQ226="","",FQ226-FP226*365/FS226))</x:f>
      </x:c>
      <x:c r="FS226" s="164"/>
      <x:c r="FT226" s="172" t="str">
        <x:f>IF(FG226="","",IFERROR(FL226*(FK226/FJ226-1),0))</x:f>
      </x:c>
    </x:row>
    <x:row r="227" ht="18" customHeight="1">
      <x:c r="A227" s="163" t="n">
        <x:v>25540</x:v>
      </x:c>
      <x:c r="B227" s="163" t="n">
        <x:v>25541</x:v>
      </x:c>
      <x:c r="C227" s="170" t="n">
        <x:f>B227-A227</x:f>
        <x:v>1</x:v>
      </x:c>
      <x:c r="D227" s="163" t="n">
        <x:v>25540</x:v>
      </x:c>
      <x:c r="E227" s="147" t="str">
        <x:v>positive</x:v>
      </x:c>
      <x:c r="F227" s="165" t="n">
        <x:v>2.05080044991522</x:v>
      </x:c>
      <x:c r="G227" s="168" t="n">
        <x:v>-0.027172215518384567</x:v>
      </x:c>
      <x:c r="H227" s="172" t="n">
        <x:f>SUM(AX227,BL227,BZ227,CN227,DB227,DP227,ED227,ER227,FF227,FT227)</x:f>
        <x:v>-0.027172215518384467</x:v>
      </x:c>
      <x:c r="I227" s="174" t="n">
        <x:f>G227-H227</x:f>
        <x:v>-1.0061396160665481e-16</x:v>
      </x:c>
      <x:c r="J227" s="171" t="n">
        <x:f>F227*(1+H227)</x:f>
        <x:v>1.9950756581049238</x:v>
      </x:c>
      <x:c r="K227" s="169" t="n">
        <x:v>1.9950756581049236</x:v>
      </x:c>
      <x:c r="L227" s="175" t="n">
        <x:f>K227-J227</x:f>
        <x:v>-2.220446049250313e-16</x:v>
      </x:c>
      <x:c r="M227" s="167" t="n">
        <x:v>1.908</x:v>
      </x:c>
      <x:c r="N227" s="167" t="n">
        <x:v>1.877</x:v>
      </x:c>
      <x:c r="O227" s="172" t="n">
        <x:f>IFERROR(N227/M227-1,0)</x:f>
        <x:v>-0.016247379454926603</x:v>
      </x:c>
      <x:c r="P227" s="171" t="n">
        <x:f>IFERROR(AD227/AH227,0)</x:f>
        <x:v>2.1045426000702308</x:v>
      </x:c>
      <x:c r="Q227" s="171" t="n">
        <x:f>IFERROR(AE227/AI227,0)</x:f>
        <x:v>2.081171091406201</x:v>
      </x:c>
      <x:c r="R227" s="172" t="n">
        <x:f>IFERROR((Q227-P227)/(P227+S227),0)</x:f>
        <x:v>-0.011105267559444824</x:v>
      </x:c>
      <x:c r="S227" s="172" t="n">
        <x:f>IFERROR(AF227/AH227,0)</x:f>
        <x:v>0</x:v>
      </x:c>
      <x:c r="T227" s="172" t="n">
        <x:f>IFERROR(AG227/AI227,0)</x:f>
        <x:v>0</x:v>
      </x:c>
      <x:c r="U227" s="172" t="n">
        <x:f>IFERROR((T227-S227)/(P227+S227),0)</x:f>
        <x:v>0</x:v>
      </x:c>
      <x:c r="V227" s="172" t="n">
        <x:f>R227+U227</x:f>
        <x:v>-0.011105267559444824</x:v>
      </x:c>
      <x:c r="W227" s="172" t="n">
        <x:f>(1+O227)*(1+V227)-1</x:f>
        <x:v>-0.027172215518384668</x:v>
      </x:c>
      <x:c r="X227" s="174" t="n">
        <x:f>G227-W227</x:f>
        <x:v>1.0061396160665481e-16</x:v>
      </x:c>
      <x:c r="Y227" s="172" t="n">
        <x:f>AX227</x:f>
        <x:v>-0.00002418169303018456</x:v>
      </x:c>
      <x:c r="Z227" s="172" t="n">
        <x:f>BL227</x:f>
        <x:v>0.00020845653688212647</x:v>
      </x:c>
      <x:c r="AA227" s="172" t="n">
        <x:f>SUM(BZ227,CN227,DB227,DP227,ED227,ER227,FF227,FT227)</x:f>
        <x:v>-0.027356490362236408</x:v>
      </x:c>
      <x:c r="AB227" s="172" t="n">
        <x:f>SUM(Y227:AA227)</x:f>
        <x:v>-0.027172215518384467</x:v>
      </x:c>
      <x:c r="AC227" s="174" t="n">
        <x:f>G227-AB227</x:f>
        <x:v>-1.0061396160665481e-16</x:v>
      </x:c>
      <x:c r="AD227" s="169" t="n">
        <x:v>2.0508004499152195</x:v>
      </x:c>
      <x:c r="AE227" s="169" t="n">
        <x:v>1.9950756581049232</x:v>
      </x:c>
      <x:c r="AF227" s="169" t="n">
        <x:v>0</x:v>
      </x:c>
      <x:c r="AG227" s="169" t="n">
        <x:v>0</x:v>
      </x:c>
      <x:c r="AH227" s="171" t="n">
        <x:f>M227/$M$3</x:f>
        <x:v>0.9744637385086823</x:v>
      </x:c>
      <x:c r="AI227" s="171" t="n">
        <x:f>N227/$M$3</x:f>
        <x:v>0.9586312563840654</x:v>
      </x:c>
      <x:c r="AJ227" s="170" t="n">
        <x:f>IF(AK227&lt;&gt;"",1,0)+IF(AY227&lt;&gt;"",1,0)+IF(BM227&lt;&gt;"",1,0)+IF(CA227&lt;&gt;"",1,0)+IF(CO227&lt;&gt;"",1,0)+IF(DC227&lt;&gt;"",1,0)+IF(DQ227&lt;&gt;"",1,0)+IF(EE227&lt;&gt;"",1,0)+IF(ES227&lt;&gt;"",1,0)+IF(FG227&lt;&gt;"",1,0)</x:f>
        <x:v>4</x:v>
      </x:c>
      <x:c r="AK227" s="147" t="str">
        <x:v>Silver replicating holding (LBMA/SLV proxy)</x:v>
      </x:c>
      <x:c r="AL227" s="147" t="str">
        <x:v>Physical-backed proxy</x:v>
      </x:c>
      <x:c r="AM227" s="147" t="str">
        <x:v>Long</x:v>
      </x:c>
      <x:c r="AN227" s="167" t="n">
        <x:v>1.908</x:v>
      </x:c>
      <x:c r="AO227" s="167" t="n">
        <x:v>1.877</x:v>
      </x:c>
      <x:c r="AP227" s="166" t="n">
        <x:v>0.0014877170348939206</x:v>
      </x:c>
      <x:c r="AQ227" s="171" t="n">
        <x:f>IF(AK227="","",IFERROR(F227*AP227/AN227,0))</x:f>
        <x:v>0.0015990622455487366</x:v>
      </x:c>
      <x:c r="AR227" s="171" t="n">
        <x:f>IF(AK227="","",F227*ABS(AP227))</x:f>
        <x:v>0.0030510107645069892</x:v>
      </x:c>
      <x:c r="AS227" s="165"/>
      <x:c r="AT227" s="172" t="str">
        <x:f>IF(AK227="","",IF(AS227="","",IFERROR(AN227/AS227-1,0)))</x:f>
      </x:c>
      <x:c r="AU227" s="166"/>
      <x:c r="AV227" s="172" t="str">
        <x:f>IF(AK227="","",IF(AU227="","",AU227-AT227*365/AW227))</x:f>
      </x:c>
      <x:c r="AW227" s="164"/>
      <x:c r="AX227" s="173" t="n">
        <x:f>IF(AK227="","",IFERROR(AP227*(AO227/AN227-1-'Parameters'!$C$6*C227/365),0))</x:f>
        <x:v>-0.00002418169303018456</x:v>
      </x:c>
      <x:c r="AY227" s="147" t="str">
        <x:v>Matched-maturity Treasury collateral</x:v>
      </x:c>
      <x:c r="AZ227" s="147" t="str">
        <x:v>Treasury</x:v>
      </x:c>
      <x:c r="BA227" s="147" t="str">
        <x:v>Long</x:v>
      </x:c>
      <x:c r="BB227" s="167" t="n">
        <x:v>106.21090907315795</x:v>
      </x:c>
      <x:c r="BC227" s="167" t="n">
        <x:v>106.23308241910694</x:v>
      </x:c>
      <x:c r="BD227" s="166" t="n">
        <x:v>0.9985122829651061</x:v>
      </x:c>
      <x:c r="BE227" s="171" t="n">
        <x:f>IF(AY227="","",IFERROR(F227*BD227/BB227,0))</x:f>
        <x:v>0.019280029302265224</x:v>
      </x:c>
      <x:c r="BF227" s="171" t="n">
        <x:f>IF(AY227="","",F227*ABS(BD227))</x:f>
        <x:v>2.0477494391507127</x:v>
      </x:c>
      <x:c r="BG227" s="165"/>
      <x:c r="BH227" s="172" t="str">
        <x:f>IF(AY227="","",IF(BG227="","",IFERROR(BB227/BG227-1,0)))</x:f>
      </x:c>
      <x:c r="BI227" s="166"/>
      <x:c r="BJ227" s="172" t="str">
        <x:f>IF(AY227="","",IF(BI227="","",BI227-BH227*365/BK227))</x:f>
      </x:c>
      <x:c r="BK227" s="164" t="n">
        <x:v>26.00039927143718</x:v>
      </x:c>
      <x:c r="BL227" s="172" t="n">
        <x:f>IF(AY227="","",IFERROR(BD227*(BC227/BB227-1),0))</x:f>
        <x:v>0.00020845653688212647</x:v>
      </x:c>
      <x:c r="BM227" s="147" t="str">
        <x:v>SI69Z</x:v>
      </x:c>
      <x:c r="BN227" s="147" t="str">
        <x:v>Silver future (regular)</x:v>
      </x:c>
      <x:c r="BO227" s="147" t="str">
        <x:v>Long</x:v>
      </x:c>
      <x:c r="BP227" s="167" t="n">
        <x:v>1.8980000000000001</x:v>
      </x:c>
      <x:c r="BQ227" s="167" t="n">
        <x:v>1.8459999999999999</x:v>
      </x:c>
      <x:c r="BR227" s="166" t="n">
        <x:v>0.9984989937172974</x:v>
      </x:c>
      <x:c r="BS227" s="171" t="n">
        <x:f>IF(BM227="","",IFERROR(F227*BR227/BP227,0))</x:f>
        <x:v>1.0788841862778333</x:v>
      </x:c>
      <x:c r="BT227" s="171" t="n">
        <x:f>IF(BM227="","",F227*ABS(BR227))</x:f>
        <x:v>2.047722185555328</x:v>
      </x:c>
      <x:c r="BU227" s="165" t="n">
        <x:v>1.908</x:v>
      </x:c>
      <x:c r="BV227" s="172" t="n">
        <x:f>IF(BM227="","",IF(BU227="","",IFERROR(BP227/BU227-1,0)))</x:f>
        <x:v>-0.005241090146750449</x:v>
      </x:c>
      <x:c r="BW227" s="166" t="n">
        <x:v>0.0762</x:v>
      </x:c>
      <x:c r="BX227" s="172" t="n">
        <x:f>IF(BM227="","",IF(BW227="","",BW227-BV227*365/BY227))</x:f>
        <x:v>0.1497768424447659</x:v>
      </x:c>
      <x:c r="BY227" s="164" t="n">
        <x:v>26</x:v>
      </x:c>
      <x:c r="BZ227" s="172" t="n">
        <x:f>IF(BM227="","",IFERROR(BR227*(BQ227/BP227-1),0))</x:f>
        <x:v>-0.027356136814172642</x:v>
      </x:c>
      <x:c r="CA227" s="147" t="str">
        <x:v>SI70F</x:v>
      </x:c>
      <x:c r="CB227" s="147" t="str">
        <x:v>Silver future (regular)</x:v>
      </x:c>
      <x:c r="CC227" s="147" t="str">
        <x:v>Long</x:v>
      </x:c>
      <x:c r="CD227" s="167" t="n">
        <x:v>1.9169999999999998</x:v>
      </x:c>
      <x:c r="CE227" s="167" t="n">
        <x:v>1.8659999999999999</x:v>
      </x:c>
      <x:c r="CF227" s="166" t="n">
        <x:v>0.000013289247808596012</x:v>
      </x:c>
      <x:c r="CG227" s="171" t="n">
        <x:f>IF(CA227="","",IFERROR(F227*CF227/CD227,0))</x:f>
        <x:v>0.000014216794671311191</x:v>
      </x:c>
      <x:c r="CH227" s="171" t="n">
        <x:f>IF(CA227="","",F227*ABS(CF227))</x:f>
        <x:v>0.00002725359538490355</x:v>
      </x:c>
      <x:c r="CI227" s="165" t="n">
        <x:v>1.908</x:v>
      </x:c>
      <x:c r="CJ227" s="172" t="n">
        <x:f>IF(CA227="","",IF(CI227="","",IFERROR(CD227/CI227-1,0)))</x:f>
        <x:v>0.004716981132075526</x:v>
      </x:c>
      <x:c r="CK227" s="166" t="n">
        <x:v>0.0762</x:v>
      </x:c>
      <x:c r="CL227" s="172" t="n">
        <x:f>IF(CA227="","",IF(CK227="","",CK227-CJ227*365/CM227))</x:f>
        <x:v>0.04545539083557916</x:v>
      </x:c>
      <x:c r="CM227" s="164" t="n">
        <x:v>56</x:v>
      </x:c>
      <x:c r="CN227" s="172" t="n">
        <x:f>IF(CA227="","",IFERROR(CF227*(CE227/CD227-1),0))</x:f>
        <x:v>-3.535480637654643e-7</x:v>
      </x:c>
      <x:c r="CO227" s="147"/>
      <x:c r="CP227" s="147"/>
      <x:c r="CQ227" s="147"/>
      <x:c r="CR227" s="167"/>
      <x:c r="CS227" s="167"/>
      <x:c r="CT227" s="166"/>
      <x:c r="CU227" s="171" t="str">
        <x:f>IF(CO227="","",IFERROR(F227*CT227/CR227,0))</x:f>
      </x:c>
      <x:c r="CV227" s="171" t="str">
        <x:f>IF(CO227="","",F227*ABS(CT227))</x:f>
      </x:c>
      <x:c r="CW227" s="165"/>
      <x:c r="CX227" s="172" t="str">
        <x:f>IF(CO227="","",IF(CW227="","",IFERROR(CR227/CW227-1,0)))</x:f>
      </x:c>
      <x:c r="CY227" s="166"/>
      <x:c r="CZ227" s="172" t="str">
        <x:f>IF(CO227="","",IF(CY227="","",CY227-CX227*365/DA227))</x:f>
      </x:c>
      <x:c r="DA227" s="164"/>
      <x:c r="DB227" s="172" t="str">
        <x:f>IF(CO227="","",IFERROR(CT227*(CS227/CR227-1),0))</x:f>
      </x:c>
      <x:c r="DC227" s="147"/>
      <x:c r="DD227" s="147"/>
      <x:c r="DE227" s="147"/>
      <x:c r="DF227" s="167"/>
      <x:c r="DG227" s="167"/>
      <x:c r="DH227" s="166"/>
      <x:c r="DI227" s="171" t="str">
        <x:f>IF(DC227="","",IFERROR(F227*DH227/DF227,0))</x:f>
      </x:c>
      <x:c r="DJ227" s="171" t="str">
        <x:f>IF(DC227="","",F227*ABS(DH227))</x:f>
      </x:c>
      <x:c r="DK227" s="165"/>
      <x:c r="DL227" s="172" t="str">
        <x:f>IF(DC227="","",IF(DK227="","",IFERROR(DF227/DK227-1,0)))</x:f>
      </x:c>
      <x:c r="DM227" s="166"/>
      <x:c r="DN227" s="172" t="str">
        <x:f>IF(DC227="","",IF(DM227="","",DM227-DL227*365/DO227))</x:f>
      </x:c>
      <x:c r="DO227" s="164"/>
      <x:c r="DP227" s="172" t="str">
        <x:f>IF(DC227="","",IFERROR(DH227*(DG227/DF227-1),0))</x:f>
      </x:c>
      <x:c r="DQ227" s="147"/>
      <x:c r="DR227" s="147"/>
      <x:c r="DS227" s="147"/>
      <x:c r="DT227" s="167"/>
      <x:c r="DU227" s="167"/>
      <x:c r="DV227" s="166"/>
      <x:c r="DW227" s="171" t="str">
        <x:f>IF(DQ227="","",IFERROR(F227*DV227/DT227,0))</x:f>
      </x:c>
      <x:c r="DX227" s="171" t="str">
        <x:f>IF(DQ227="","",F227*ABS(DV227))</x:f>
      </x:c>
      <x:c r="DY227" s="165"/>
      <x:c r="DZ227" s="172" t="str">
        <x:f>IF(DQ227="","",IF(DY227="","",IFERROR(DT227/DY227-1,0)))</x:f>
      </x:c>
      <x:c r="EA227" s="166"/>
      <x:c r="EB227" s="172" t="str">
        <x:f>IF(DQ227="","",IF(EA227="","",EA227-DZ227*365/EC227))</x:f>
      </x:c>
      <x:c r="EC227" s="164"/>
      <x:c r="ED227" s="172" t="str">
        <x:f>IF(DQ227="","",IFERROR(DV227*(DU227/DT227-1),0))</x:f>
      </x:c>
      <x:c r="EE227" s="147"/>
      <x:c r="EF227" s="147"/>
      <x:c r="EG227" s="147"/>
      <x:c r="EH227" s="167"/>
      <x:c r="EI227" s="167"/>
      <x:c r="EJ227" s="166"/>
      <x:c r="EK227" s="171" t="str">
        <x:f>IF(EE227="","",IFERROR(F227*EJ227/EH227,0))</x:f>
      </x:c>
      <x:c r="EL227" s="171" t="str">
        <x:f>IF(EE227="","",F227*ABS(EJ227))</x:f>
      </x:c>
      <x:c r="EM227" s="165"/>
      <x:c r="EN227" s="172" t="str">
        <x:f>IF(EE227="","",IF(EM227="","",IFERROR(EH227/EM227-1,0)))</x:f>
      </x:c>
      <x:c r="EO227" s="166"/>
      <x:c r="EP227" s="172" t="str">
        <x:f>IF(EE227="","",IF(EO227="","",EO227-EN227*365/EQ227))</x:f>
      </x:c>
      <x:c r="EQ227" s="164"/>
      <x:c r="ER227" s="172" t="str">
        <x:f>IF(EE227="","",IFERROR(EJ227*(EI227/EH227-1),0))</x:f>
      </x:c>
      <x:c r="ES227" s="147"/>
      <x:c r="ET227" s="147"/>
      <x:c r="EU227" s="147"/>
      <x:c r="EV227" s="167"/>
      <x:c r="EW227" s="167"/>
      <x:c r="EX227" s="166"/>
      <x:c r="EY227" s="171" t="str">
        <x:f>IF(ES227="","",IFERROR(F227*EX227/EV227,0))</x:f>
      </x:c>
      <x:c r="EZ227" s="171" t="str">
        <x:f>IF(ES227="","",F227*ABS(EX227))</x:f>
      </x:c>
      <x:c r="FA227" s="165"/>
      <x:c r="FB227" s="172" t="str">
        <x:f>IF(ES227="","",IF(FA227="","",IFERROR(EV227/FA227-1,0)))</x:f>
      </x:c>
      <x:c r="FC227" s="166"/>
      <x:c r="FD227" s="172" t="str">
        <x:f>IF(ES227="","",IF(FC227="","",FC227-FB227*365/FE227))</x:f>
      </x:c>
      <x:c r="FE227" s="164"/>
      <x:c r="FF227" s="172" t="str">
        <x:f>IF(ES227="","",IFERROR(EX227*(EW227/EV227-1),0))</x:f>
      </x:c>
      <x:c r="FG227" s="147"/>
      <x:c r="FH227" s="147"/>
      <x:c r="FI227" s="147"/>
      <x:c r="FJ227" s="167"/>
      <x:c r="FK227" s="167"/>
      <x:c r="FL227" s="166"/>
      <x:c r="FM227" s="171" t="str">
        <x:f>IF(FG227="","",IFERROR(F227*FL227/FJ227,0))</x:f>
      </x:c>
      <x:c r="FN227" s="171" t="str">
        <x:f>IF(FG227="","",F227*ABS(FL227))</x:f>
      </x:c>
      <x:c r="FO227" s="165"/>
      <x:c r="FP227" s="172" t="str">
        <x:f>IF(FG227="","",IF(FO227="","",IFERROR(FJ227/FO227-1,0)))</x:f>
      </x:c>
      <x:c r="FQ227" s="166"/>
      <x:c r="FR227" s="172" t="str">
        <x:f>IF(FG227="","",IF(FQ227="","",FQ227-FP227*365/FS227))</x:f>
      </x:c>
      <x:c r="FS227" s="164"/>
      <x:c r="FT227" s="172" t="str">
        <x:f>IF(FG227="","",IFERROR(FL227*(FK227/FJ227-1),0))</x:f>
      </x:c>
    </x:row>
    <x:row r="228" ht="18" customHeight="1">
      <x:c r="A228" s="163" t="n">
        <x:v>25541</x:v>
      </x:c>
      <x:c r="B228" s="163" t="n">
        <x:v>25542</x:v>
      </x:c>
      <x:c r="C228" s="170" t="n">
        <x:f>B228-A228</x:f>
        <x:v>1</x:v>
      </x:c>
      <x:c r="D228" s="163" t="n">
        <x:v>25541</x:v>
      </x:c>
      <x:c r="E228" s="147" t="str">
        <x:v>positive</x:v>
      </x:c>
      <x:c r="F228" s="165" t="n">
        <x:v>1.9950756581049236</x:v>
      </x:c>
      <x:c r="G228" s="168" t="n">
        <x:v>0.0018344504946505712</x:v>
      </x:c>
      <x:c r="H228" s="172" t="n">
        <x:f>SUM(AX228,BL228,BZ228,CN228,DB228,DP228,ED228,ER228,FF228,FT228)</x:f>
        <x:v>0.0018344504946508416</x:v>
      </x:c>
      <x:c r="I228" s="174" t="n">
        <x:f>G228-H228</x:f>
        <x:v>-2.704000218178848e-16</x:v>
      </x:c>
      <x:c r="J228" s="171" t="n">
        <x:f>F228*(1+H228)</x:f>
        <x:v>1.9987355256327999</x:v>
      </x:c>
      <x:c r="K228" s="169" t="n">
        <x:v>1.9987355256327994</x:v>
      </x:c>
      <x:c r="L228" s="175" t="n">
        <x:f>K228-J228</x:f>
        <x:v>-4.440892098500626e-16</x:v>
      </x:c>
      <x:c r="M228" s="167" t="n">
        <x:v>1.877</x:v>
      </x:c>
      <x:c r="N228" s="167" t="n">
        <x:v>1.852</x:v>
      </x:c>
      <x:c r="O228" s="172" t="n">
        <x:f>IFERROR(N228/M228-1,0)</x:f>
        <x:v>-0.01331912626531695</x:v>
      </x:c>
      <x:c r="P228" s="171" t="n">
        <x:f>IFERROR(AD228/AH228,0)</x:f>
        <x:v>2.081171091406201</x:v>
      </x:c>
      <x:c r="Q228" s="171" t="n">
        <x:f>IFERROR(AE228/AI228,0)</x:f>
        <x:v>2.1131339952424515</x:v>
      </x:c>
      <x:c r="R228" s="172" t="n">
        <x:f>IFERROR((Q228-P228)/(P228+S228),0)</x:f>
        <x:v>0.015358133681673287</x:v>
      </x:c>
      <x:c r="S228" s="172" t="n">
        <x:f>IFERROR(AF228/AH228,0)</x:f>
        <x:v>0</x:v>
      </x:c>
      <x:c r="T228" s="172" t="n">
        <x:f>IFERROR(AG228/AI228,0)</x:f>
        <x:v>0</x:v>
      </x:c>
      <x:c r="U228" s="172" t="n">
        <x:f>IFERROR((T228-S228)/(P228+S228),0)</x:f>
        <x:v>0</x:v>
      </x:c>
      <x:c r="V228" s="172" t="n">
        <x:f>R228+U228</x:f>
        <x:v>0.015358133681673287</x:v>
      </x:c>
      <x:c r="W228" s="172" t="n">
        <x:f>(1+O228)*(1+V228)-1</x:f>
        <x:v>0.0018344504946505857</x:v>
      </x:c>
      <x:c r="X228" s="174" t="n">
        <x:f>G228-W228</x:f>
        <x:v>-1.452830911130576e-17</x:v>
      </x:c>
      <x:c r="Y228" s="172" t="str">
        <x:f>AX228</x:f>
      </x:c>
      <x:c r="Z228" s="172" t="n">
        <x:f>BL228</x:f>
        <x:v>0.00020931506849342085</x:v>
      </x:c>
      <x:c r="AA228" s="172" t="n">
        <x:f>SUM(BZ228,CN228,DB228,DP228,ED228,ER228,FF228,FT228)</x:f>
        <x:v>0.0016251354261574208</x:v>
      </x:c>
      <x:c r="AB228" s="172" t="n">
        <x:f>SUM(Y228:AA228)</x:f>
        <x:v>0.0018344504946508416</x:v>
      </x:c>
      <x:c r="AC228" s="174" t="n">
        <x:f>G228-AB228</x:f>
        <x:v>-2.704000218178848e-16</x:v>
      </x:c>
      <x:c r="AD228" s="169" t="n">
        <x:v>1.9950756581049232</x:v>
      </x:c>
      <x:c r="AE228" s="169" t="n">
        <x:v>1.998735525632799</x:v>
      </x:c>
      <x:c r="AF228" s="169" t="n">
        <x:v>0</x:v>
      </x:c>
      <x:c r="AG228" s="169" t="n">
        <x:v>0</x:v>
      </x:c>
      <x:c r="AH228" s="171" t="n">
        <x:f>M228/$M$3</x:f>
        <x:v>0.9586312563840654</x:v>
      </x:c>
      <x:c r="AI228" s="171" t="n">
        <x:f>N228/$M$3</x:f>
        <x:v>0.9458631256384066</x:v>
      </x:c>
      <x:c r="AJ228" s="170" t="n">
        <x:f>IF(AK228&lt;&gt;"",1,0)+IF(AY228&lt;&gt;"",1,0)+IF(BM228&lt;&gt;"",1,0)+IF(CA228&lt;&gt;"",1,0)+IF(CO228&lt;&gt;"",1,0)+IF(DC228&lt;&gt;"",1,0)+IF(DQ228&lt;&gt;"",1,0)+IF(EE228&lt;&gt;"",1,0)+IF(ES228&lt;&gt;"",1,0)+IF(FG228&lt;&gt;"",1,0)</x:f>
        <x:v>4</x:v>
      </x:c>
      <x:c r="AK228" s="147"/>
      <x:c r="AL228" s="147"/>
      <x:c r="AM228" s="147"/>
      <x:c r="AN228" s="167"/>
      <x:c r="AO228" s="167"/>
      <x:c r="AP228" s="166"/>
      <x:c r="AQ228" s="171" t="str">
        <x:f>IF(AK228="","",IFERROR(F228*AP228/AN228,0))</x:f>
      </x:c>
      <x:c r="AR228" s="171" t="str">
        <x:f>IF(AK228="","",F228*ABS(AP228))</x:f>
      </x:c>
      <x:c r="AS228" s="165"/>
      <x:c r="AT228" s="172" t="str">
        <x:f>IF(AK228="","",IF(AS228="","",IFERROR(AN228/AS228-1,0)))</x:f>
      </x:c>
      <x:c r="AU228" s="166"/>
      <x:c r="AV228" s="172" t="str">
        <x:f>IF(AK228="","",IF(AU228="","",AU228-AT228*365/AW228))</x:f>
      </x:c>
      <x:c r="AW228" s="164"/>
      <x:c r="AX228" s="173" t="str">
        <x:f>IF(AK228="","",IFERROR(AP228*(AO228/AN228-1),0))</x:f>
      </x:c>
      <x:c r="AY228" s="147" t="str">
        <x:v>Matched-maturity Treasury collateral</x:v>
      </x:c>
      <x:c r="AZ228" s="147" t="str">
        <x:v>Treasury</x:v>
      </x:c>
      <x:c r="BA228" s="147" t="str">
        <x:v>Long</x:v>
      </x:c>
      <x:c r="BB228" s="167" t="n">
        <x:v>106.23308241910694</x:v>
      </x:c>
      <x:c r="BC228" s="167" t="n">
        <x:v>106.25531860402975</x:v>
      </x:c>
      <x:c r="BD228" s="166" t="n">
        <x:v>1</x:v>
      </x:c>
      <x:c r="BE228" s="171" t="n">
        <x:f>IF(AY228="","",IFERROR(F228*BD228/BB228,0))</x:f>
        <x:v>0.018780172924231106</x:v>
      </x:c>
      <x:c r="BF228" s="171" t="n">
        <x:f>IF(AY228="","",F228*ABS(BD228))</x:f>
        <x:v>1.9950756581049236</x:v>
      </x:c>
      <x:c r="BG228" s="165"/>
      <x:c r="BH228" s="172" t="str">
        <x:f>IF(AY228="","",IF(BG228="","",IFERROR(BB228/BG228-1,0)))</x:f>
      </x:c>
      <x:c r="BI228" s="166"/>
      <x:c r="BJ228" s="172" t="str">
        <x:f>IF(AY228="","",IF(BI228="","",BI228-BH228*365/BK228))</x:f>
      </x:c>
      <x:c r="BK228" s="164" t="n">
        <x:v>25.000000049438288</x:v>
      </x:c>
      <x:c r="BL228" s="172" t="n">
        <x:f>IF(AY228="","",IFERROR(BD228*(BC228/BB228-1),0))</x:f>
        <x:v>0.00020931506849342085</x:v>
      </x:c>
      <x:c r="BM228" s="147" t="str">
        <x:v>SI69Z</x:v>
      </x:c>
      <x:c r="BN228" s="147" t="str">
        <x:v>Silver future (regular)</x:v>
      </x:c>
      <x:c r="BO228" s="147" t="str">
        <x:v>Long</x:v>
      </x:c>
      <x:c r="BP228" s="167" t="n">
        <x:v>1.8459999999999999</x:v>
      </x:c>
      <x:c r="BQ228" s="167" t="n">
        <x:v>1.849</x:v>
      </x:c>
      <x:c r="BR228" s="166" t="n">
        <x:v>0.9999999983520824</x:v>
      </x:c>
      <x:c r="BS228" s="171" t="n">
        <x:f>IF(BM228="","",IFERROR(F228*BR228/BP228,0))</x:f>
        <x:v>1.08075604269621</x:v>
      </x:c>
      <x:c r="BT228" s="171" t="n">
        <x:f>IF(BM228="","",F228*ABS(BR228))</x:f>
        <x:v>1.9950756548172033</x:v>
      </x:c>
      <x:c r="BU228" s="165" t="n">
        <x:v>1.877</x:v>
      </x:c>
      <x:c r="BV228" s="172" t="n">
        <x:f>IF(BM228="","",IF(BU228="","",IFERROR(BP228/BU228-1,0)))</x:f>
        <x:v>-0.0165157165689932</x:v>
      </x:c>
      <x:c r="BW228" s="166" t="n">
        <x:v>0.0764</x:v>
      </x:c>
      <x:c r="BX228" s="172" t="n">
        <x:f>IF(BM228="","",IF(BW228="","",BW228-BV228*365/BY228))</x:f>
        <x:v>0.3175294619073007</x:v>
      </x:c>
      <x:c r="BY228" s="164" t="n">
        <x:v>25</x:v>
      </x:c>
      <x:c r="BZ228" s="172" t="n">
        <x:f>IF(BM228="","",IFERROR(BR228*(BQ228/BP228-1),0))</x:f>
        <x:v>0.0016251354252743062</x:v>
      </x:c>
      <x:c r="CA228" s="147" t="str">
        <x:v>SI70F</x:v>
      </x:c>
      <x:c r="CB228" s="147" t="str">
        <x:v>Silver future (regular)</x:v>
      </x:c>
      <x:c r="CC228" s="147" t="str">
        <x:v>Long</x:v>
      </x:c>
      <x:c r="CD228" s="167" t="n">
        <x:v>1.8659999999999999</x:v>
      </x:c>
      <x:c r="CE228" s="167" t="n">
        <x:v>1.867</x:v>
      </x:c>
      <x:c r="CF228" s="166" t="n">
        <x:v>1.6479045548125784e-9</x:v>
      </x:c>
      <x:c r="CG228" s="171" t="n">
        <x:f>IF(CA228="","",IFERROR(F228*CF228/CD228,0))</x:f>
        <x:v>1.7618940322544514e-9</x:v>
      </x:c>
      <x:c r="CH228" s="171" t="n">
        <x:f>IF(CA228="","",F228*ABS(CF228))</x:f>
        <x:v>3.287694264186806e-9</x:v>
      </x:c>
      <x:c r="CI228" s="165" t="n">
        <x:v>1.877</x:v>
      </x:c>
      <x:c r="CJ228" s="172" t="n">
        <x:f>IF(CA228="","",IF(CI228="","",IFERROR(CD228/CI228-1,0)))</x:f>
        <x:v>-0.005860415556739551</x:v>
      </x:c>
      <x:c r="CK228" s="166" t="n">
        <x:v>0.0764</x:v>
      </x:c>
      <x:c r="CL228" s="172" t="n">
        <x:f>IF(CA228="","",IF(CK228="","",CK228-CJ228*365/CM228))</x:f>
        <x:v>0.11529184869472611</x:v>
      </x:c>
      <x:c r="CM228" s="164" t="n">
        <x:v>55</x:v>
      </x:c>
      <x:c r="CN228" s="172" t="n">
        <x:f>IF(CA228="","",IFERROR(CF228*(CE228/CD228-1),0))</x:f>
        <x:v>8.831214120110803e-13</x:v>
      </x:c>
      <x:c r="CO228" s="147" t="str">
        <x:v>SI70H</x:v>
      </x:c>
      <x:c r="CP228" s="147" t="str">
        <x:v>Silver future (regular)</x:v>
      </x:c>
      <x:c r="CQ228" s="147" t="str">
        <x:v>Long</x:v>
      </x:c>
      <x:c r="CR228" s="167" t="n">
        <x:v>1.91</x:v>
      </x:c>
      <x:c r="CS228" s="167" t="n">
        <x:v>1.909</x:v>
      </x:c>
      <x:c r="CT228" s="166" t="n">
        <x:v>1.3085192903907831e-14</x:v>
      </x:c>
      <x:c r="CU228" s="171" t="n">
        <x:f>IF(CO228="","",IFERROR(F228*CT228/CR228,0))</x:f>
        <x:v>1.3668036567640729e-14</x:v>
      </x:c>
      <x:c r="CV228" s="171" t="n">
        <x:f>IF(CO228="","",F228*ABS(CT228))</x:f>
        <x:v>2.6105949844193792e-14</x:v>
      </x:c>
      <x:c r="CW228" s="165" t="n">
        <x:v>1.877</x:v>
      </x:c>
      <x:c r="CX228" s="172" t="n">
        <x:f>IF(CO228="","",IF(CW228="","",IFERROR(CR228/CW228-1,0)))</x:f>
        <x:v>0.01758124667021832</x:v>
      </x:c>
      <x:c r="CY228" s="166" t="n">
        <x:v>0.07695604395604395</x:v>
      </x:c>
      <x:c r="CZ228" s="172" t="n">
        <x:f>IF(CO228="","",IF(CY228="","",CY228-CX228*365/DA228))</x:f>
        <x:v>0.020167061348701595</x:v>
      </x:c>
      <x:c r="DA228" s="164" t="n">
        <x:v>113</x:v>
      </x:c>
      <x:c r="DB228" s="172" t="n">
        <x:f>IF(CO228="","",IFERROR(CT228*(CS228/CR228-1),0))</x:f>
        <x:v>-6.8508863371235814e-18</x:v>
      </x:c>
      <x:c r="DC228" s="147"/>
      <x:c r="DD228" s="147"/>
      <x:c r="DE228" s="147"/>
      <x:c r="DF228" s="167"/>
      <x:c r="DG228" s="167"/>
      <x:c r="DH228" s="166"/>
      <x:c r="DI228" s="171" t="str">
        <x:f>IF(DC228="","",IFERROR(F228*DH228/DF228,0))</x:f>
      </x:c>
      <x:c r="DJ228" s="171" t="str">
        <x:f>IF(DC228="","",F228*ABS(DH228))</x:f>
      </x:c>
      <x:c r="DK228" s="165"/>
      <x:c r="DL228" s="172" t="str">
        <x:f>IF(DC228="","",IF(DK228="","",IFERROR(DF228/DK228-1,0)))</x:f>
      </x:c>
      <x:c r="DM228" s="166"/>
      <x:c r="DN228" s="172" t="str">
        <x:f>IF(DC228="","",IF(DM228="","",DM228-DL228*365/DO228))</x:f>
      </x:c>
      <x:c r="DO228" s="164"/>
      <x:c r="DP228" s="172" t="str">
        <x:f>IF(DC228="","",IFERROR(DH228*(DG228/DF228-1),0))</x:f>
      </x:c>
      <x:c r="DQ228" s="147"/>
      <x:c r="DR228" s="147"/>
      <x:c r="DS228" s="147"/>
      <x:c r="DT228" s="167"/>
      <x:c r="DU228" s="167"/>
      <x:c r="DV228" s="166"/>
      <x:c r="DW228" s="171" t="str">
        <x:f>IF(DQ228="","",IFERROR(F228*DV228/DT228,0))</x:f>
      </x:c>
      <x:c r="DX228" s="171" t="str">
        <x:f>IF(DQ228="","",F228*ABS(DV228))</x:f>
      </x:c>
      <x:c r="DY228" s="165"/>
      <x:c r="DZ228" s="172" t="str">
        <x:f>IF(DQ228="","",IF(DY228="","",IFERROR(DT228/DY228-1,0)))</x:f>
      </x:c>
      <x:c r="EA228" s="166"/>
      <x:c r="EB228" s="172" t="str">
        <x:f>IF(DQ228="","",IF(EA228="","",EA228-DZ228*365/EC228))</x:f>
      </x:c>
      <x:c r="EC228" s="164"/>
      <x:c r="ED228" s="172" t="str">
        <x:f>IF(DQ228="","",IFERROR(DV228*(DU228/DT228-1),0))</x:f>
      </x:c>
      <x:c r="EE228" s="147"/>
      <x:c r="EF228" s="147"/>
      <x:c r="EG228" s="147"/>
      <x:c r="EH228" s="167"/>
      <x:c r="EI228" s="167"/>
      <x:c r="EJ228" s="166"/>
      <x:c r="EK228" s="171" t="str">
        <x:f>IF(EE228="","",IFERROR(F228*EJ228/EH228,0))</x:f>
      </x:c>
      <x:c r="EL228" s="171" t="str">
        <x:f>IF(EE228="","",F228*ABS(EJ228))</x:f>
      </x:c>
      <x:c r="EM228" s="165"/>
      <x:c r="EN228" s="172" t="str">
        <x:f>IF(EE228="","",IF(EM228="","",IFERROR(EH228/EM228-1,0)))</x:f>
      </x:c>
      <x:c r="EO228" s="166"/>
      <x:c r="EP228" s="172" t="str">
        <x:f>IF(EE228="","",IF(EO228="","",EO228-EN228*365/EQ228))</x:f>
      </x:c>
      <x:c r="EQ228" s="164"/>
      <x:c r="ER228" s="172" t="str">
        <x:f>IF(EE228="","",IFERROR(EJ228*(EI228/EH228-1),0))</x:f>
      </x:c>
      <x:c r="ES228" s="147"/>
      <x:c r="ET228" s="147"/>
      <x:c r="EU228" s="147"/>
      <x:c r="EV228" s="167"/>
      <x:c r="EW228" s="167"/>
      <x:c r="EX228" s="166"/>
      <x:c r="EY228" s="171" t="str">
        <x:f>IF(ES228="","",IFERROR(F228*EX228/EV228,0))</x:f>
      </x:c>
      <x:c r="EZ228" s="171" t="str">
        <x:f>IF(ES228="","",F228*ABS(EX228))</x:f>
      </x:c>
      <x:c r="FA228" s="165"/>
      <x:c r="FB228" s="172" t="str">
        <x:f>IF(ES228="","",IF(FA228="","",IFERROR(EV228/FA228-1,0)))</x:f>
      </x:c>
      <x:c r="FC228" s="166"/>
      <x:c r="FD228" s="172" t="str">
        <x:f>IF(ES228="","",IF(FC228="","",FC228-FB228*365/FE228))</x:f>
      </x:c>
      <x:c r="FE228" s="164"/>
      <x:c r="FF228" s="172" t="str">
        <x:f>IF(ES228="","",IFERROR(EX228*(EW228/EV228-1),0))</x:f>
      </x:c>
      <x:c r="FG228" s="147"/>
      <x:c r="FH228" s="147"/>
      <x:c r="FI228" s="147"/>
      <x:c r="FJ228" s="167"/>
      <x:c r="FK228" s="167"/>
      <x:c r="FL228" s="166"/>
      <x:c r="FM228" s="171" t="str">
        <x:f>IF(FG228="","",IFERROR(F228*FL228/FJ228,0))</x:f>
      </x:c>
      <x:c r="FN228" s="171" t="str">
        <x:f>IF(FG228="","",F228*ABS(FL228))</x:f>
      </x:c>
      <x:c r="FO228" s="165"/>
      <x:c r="FP228" s="172" t="str">
        <x:f>IF(FG228="","",IF(FO228="","",IFERROR(FJ228/FO228-1,0)))</x:f>
      </x:c>
      <x:c r="FQ228" s="166"/>
      <x:c r="FR228" s="172" t="str">
        <x:f>IF(FG228="","",IF(FQ228="","",FQ228-FP228*365/FS228))</x:f>
      </x:c>
      <x:c r="FS228" s="164"/>
      <x:c r="FT228" s="172" t="str">
        <x:f>IF(FG228="","",IFERROR(FL228*(FK228/FJ228-1),0))</x:f>
      </x:c>
    </x:row>
    <x:row r="229" ht="18" customHeight="1">
      <x:c r="A229" s="163" t="n">
        <x:v>25542</x:v>
      </x:c>
      <x:c r="B229" s="163" t="n">
        <x:v>25545</x:v>
      </x:c>
      <x:c r="C229" s="170" t="n">
        <x:f>B229-A229</x:f>
        <x:v>3</x:v>
      </x:c>
      <x:c r="D229" s="163" t="n">
        <x:v>25542</x:v>
      </x:c>
      <x:c r="E229" s="147" t="str">
        <x:v>positive</x:v>
      </x:c>
      <x:c r="F229" s="165" t="n">
        <x:v>1.9987355256327994</x:v>
      </x:c>
      <x:c r="G229" s="168" t="n">
        <x:v>-0.01938586266899968</x:v>
      </x:c>
      <x:c r="H229" s="172" t="n">
        <x:f>SUM(AX229,BL229,BZ229,CN229,DB229,DP229,ED229,ER229,FF229,FT229)</x:f>
        <x:v>-0.01938586266899965</x:v>
      </x:c>
      <x:c r="I229" s="174" t="n">
        <x:f>G229-H229</x:f>
        <x:v>-2.7755575615628914e-17</x:v>
      </x:c>
      <x:c r="J229" s="171" t="n">
        <x:f>F229*(1+H229)</x:f>
        <x:v>1.9599883132212312</x:v>
      </x:c>
      <x:c r="K229" s="169" t="n">
        <x:v>1.9599883132212312</x:v>
      </x:c>
      <x:c r="L229" s="175" t="n">
        <x:f>K229-J229</x:f>
        <x:v>0</x:v>
      </x:c>
      <x:c r="M229" s="167" t="n">
        <x:v>1.852</x:v>
      </x:c>
      <x:c r="N229" s="167" t="n">
        <x:v>1.862</x:v>
      </x:c>
      <x:c r="O229" s="172" t="n">
        <x:f>IFERROR(N229/M229-1,0)</x:f>
        <x:v>0.005399568034557323</x:v>
      </x:c>
      <x:c r="P229" s="171" t="n">
        <x:f>IFERROR(AD229/AH229,0)</x:f>
        <x:v>2.1131339952424515</x:v>
      </x:c>
      <x:c r="Q229" s="171" t="n">
        <x:f>IFERROR(AE229/AI229,0)</x:f>
        <x:v>2.0610403422594894</x:v>
      </x:c>
      <x:c r="R229" s="172" t="n">
        <x:f>IFERROR((Q229-P229)/(P229+S229),0)</x:f>
        <x:v>-0.024652318830820332</x:v>
      </x:c>
      <x:c r="S229" s="172" t="n">
        <x:f>IFERROR(AF229/AH229,0)</x:f>
        <x:v>0</x:v>
      </x:c>
      <x:c r="T229" s="172" t="n">
        <x:f>IFERROR(AG229/AI229,0)</x:f>
        <x:v>0</x:v>
      </x:c>
      <x:c r="U229" s="172" t="n">
        <x:f>IFERROR((T229-S229)/(P229+S229),0)</x:f>
        <x:v>0</x:v>
      </x:c>
      <x:c r="V229" s="172" t="n">
        <x:f>R229+U229</x:f>
        <x:v>-0.024652318830820332</x:v>
      </x:c>
      <x:c r="W229" s="172" t="n">
        <x:f>(1+O229)*(1+V229)-1</x:f>
        <x:v>-0.019385862668999554</x:v>
      </x:c>
      <x:c r="X229" s="174" t="n">
        <x:f>G229-W229</x:f>
        <x:v>-1.249000902703301e-16</x:v>
      </x:c>
      <x:c r="Y229" s="172" t="n">
        <x:f>AX229</x:f>
        <x:v>0.0017451144419905098</x:v>
      </x:c>
      <x:c r="Z229" s="172" t="n">
        <x:f>BL229</x:f>
        <x:v>0.0004258868540489686</x:v>
      </x:c>
      <x:c r="AA229" s="172" t="n">
        <x:f>SUM(BZ229,CN229,DB229,DP229,ED229,ER229,FF229,FT229)</x:f>
        <x:v>-0.02155686396503913</x:v>
      </x:c>
      <x:c r="AB229" s="172" t="n">
        <x:f>SUM(Y229:AA229)</x:f>
        <x:v>-0.01938586266899965</x:v>
      </x:c>
      <x:c r="AC229" s="174" t="n">
        <x:f>G229-AB229</x:f>
        <x:v>-2.7755575615628914e-17</x:v>
      </x:c>
      <x:c r="AD229" s="169" t="n">
        <x:v>1.998735525632799</x:v>
      </x:c>
      <x:c r="AE229" s="169" t="n">
        <x:v>1.9599883132212306</x:v>
      </x:c>
      <x:c r="AF229" s="169" t="n">
        <x:v>0</x:v>
      </x:c>
      <x:c r="AG229" s="169" t="n">
        <x:v>0</x:v>
      </x:c>
      <x:c r="AH229" s="171" t="n">
        <x:f>M229/$M$3</x:f>
        <x:v>0.9458631256384066</x:v>
      </x:c>
      <x:c r="AI229" s="171" t="n">
        <x:f>N229/$M$3</x:f>
        <x:v>0.9509703779366702</x:v>
      </x:c>
      <x:c r="AJ229" s="170" t="n">
        <x:f>IF(AK229&lt;&gt;"",1,0)+IF(AY229&lt;&gt;"",1,0)+IF(BM229&lt;&gt;"",1,0)+IF(CA229&lt;&gt;"",1,0)+IF(CO229&lt;&gt;"",1,0)+IF(DC229&lt;&gt;"",1,0)+IF(DQ229&lt;&gt;"",1,0)+IF(EE229&lt;&gt;"",1,0)+IF(ES229&lt;&gt;"",1,0)+IF(FG229&lt;&gt;"",1,0)</x:f>
        <x:v>4</x:v>
      </x:c>
      <x:c r="AK229" s="147" t="str">
        <x:v>Silver replicating holding (LBMA/SLV proxy)</x:v>
      </x:c>
      <x:c r="AL229" s="147" t="str">
        <x:v>Physical-backed proxy</x:v>
      </x:c>
      <x:c r="AM229" s="147" t="str">
        <x:v>Long</x:v>
      </x:c>
      <x:c r="AN229" s="167" t="n">
        <x:v>1.852</x:v>
      </x:c>
      <x:c r="AO229" s="167" t="n">
        <x:v>1.862</x:v>
      </x:c>
      <x:c r="AP229" s="166" t="n">
        <x:v>0.32442980561554124</x:v>
      </x:c>
      <x:c r="AQ229" s="171" t="n">
        <x:f>IF(AK229="","",IFERROR(F229*AP229/AN229,0))</x:f>
        <x:v>0.3501346533790096</x:v>
      </x:c>
      <x:c r="AR229" s="171" t="n">
        <x:f>IF(AK229="","",F229*ABS(AP229))</x:f>
        <x:v>0.6484493780579258</x:v>
      </x:c>
      <x:c r="AS229" s="165"/>
      <x:c r="AT229" s="172" t="str">
        <x:f>IF(AK229="","",IF(AS229="","",IFERROR(AN229/AS229-1,0)))</x:f>
      </x:c>
      <x:c r="AU229" s="166"/>
      <x:c r="AV229" s="172" t="str">
        <x:f>IF(AK229="","",IF(AU229="","",AU229-AT229*365/AW229))</x:f>
      </x:c>
      <x:c r="AW229" s="164"/>
      <x:c r="AX229" s="173" t="n">
        <x:f>IF(AK229="","",IFERROR(AP229*(AO229/AN229-1-'Parameters'!$C$6*C229/365),0))</x:f>
        <x:v>0.0017451144419905098</x:v>
      </x:c>
      <x:c r="AY229" s="147" t="str">
        <x:v>Matched-maturity Treasury collateral</x:v>
      </x:c>
      <x:c r="AZ229" s="147" t="str">
        <x:v>Treasury</x:v>
      </x:c>
      <x:c r="BA229" s="147" t="str">
        <x:v>Long</x:v>
      </x:c>
      <x:c r="BB229" s="167" t="n">
        <x:v>106.25531860402975</x:v>
      </x:c>
      <x:c r="BC229" s="167" t="n">
        <x:v>106.32230312131958</x:v>
      </x:c>
      <x:c r="BD229" s="166" t="n">
        <x:v>0.6755701943844588</x:v>
      </x:c>
      <x:c r="BE229" s="171" t="n">
        <x:f>IF(AY229="","",IFERROR(F229*BD229/BB229,0))</x:f>
        <x:v>0.01270793937955087</x:v>
      </x:c>
      <x:c r="BF229" s="171" t="n">
        <x:f>IF(AY229="","",F229*ABS(BD229))</x:f>
        <x:v>1.3502861475748738</x:v>
      </x:c>
      <x:c r="BG229" s="165"/>
      <x:c r="BH229" s="172" t="str">
        <x:f>IF(AY229="","",IF(BG229="","",IFERROR(BB229/BG229-1,0)))</x:f>
      </x:c>
      <x:c r="BI229" s="166"/>
      <x:c r="BJ229" s="172" t="str">
        <x:f>IF(AY229="","",IF(BI229="","",BI229-BH229*365/BK229))</x:f>
      </x:c>
      <x:c r="BK229" s="164" t="n">
        <x:v>24.000000049437133</x:v>
      </x:c>
      <x:c r="BL229" s="172" t="n">
        <x:f>IF(AY229="","",IFERROR(BD229*(BC229/BB229-1),0))</x:f>
        <x:v>0.0004258868540489686</x:v>
      </x:c>
      <x:c r="BM229" s="147" t="str">
        <x:v>SI69Z</x:v>
      </x:c>
      <x:c r="BN229" s="147" t="str">
        <x:v>Silver future (regular)</x:v>
      </x:c>
      <x:c r="BO229" s="147" t="str">
        <x:v>Long</x:v>
      </x:c>
      <x:c r="BP229" s="167" t="n">
        <x:v>1.849</x:v>
      </x:c>
      <x:c r="BQ229" s="167" t="n">
        <x:v>1.79</x:v>
      </x:c>
      <x:c r="BR229" s="166" t="n">
        <x:v>0.6755701932711835</x:v>
      </x:c>
      <x:c r="BS229" s="171" t="n">
        <x:f>IF(BM229="","",IFERROR(F229*BR229/BP229,0))</x:f>
        <x:v>0.7302791483773557</x:v>
      </x:c>
      <x:c r="BT229" s="171" t="n">
        <x:f>IF(BM229="","",F229*ABS(BR229))</x:f>
        <x:v>1.3502861453497308</x:v>
      </x:c>
      <x:c r="BU229" s="165" t="n">
        <x:v>1.852</x:v>
      </x:c>
      <x:c r="BV229" s="172" t="n">
        <x:f>IF(BM229="","",IF(BU229="","",IFERROR(BP229/BU229-1,0)))</x:f>
        <x:v>-0.0016198704103672634</x:v>
      </x:c>
      <x:c r="BW229" s="166" t="n">
        <x:v>0.07670000000000002</x:v>
      </x:c>
      <x:c r="BX229" s="172" t="n">
        <x:f>IF(BM229="","",IF(BW229="","",BW229-BV229*365/BY229))</x:f>
        <x:v>0.10133552915766882</x:v>
      </x:c>
      <x:c r="BY229" s="164" t="n">
        <x:v>24</x:v>
      </x:c>
      <x:c r="BZ229" s="172" t="n">
        <x:f>IF(BM229="","",IFERROR(BR229*(BQ229/BP229-1),0))</x:f>
        <x:v>-0.021556863928069093</x:v>
      </x:c>
      <x:c r="CA229" s="147" t="str">
        <x:v>SI70F</x:v>
      </x:c>
      <x:c r="CB229" s="147" t="str">
        <x:v>Silver future (regular)</x:v>
      </x:c>
      <x:c r="CC229" s="147" t="str">
        <x:v>Long</x:v>
      </x:c>
      <x:c r="CD229" s="167" t="n">
        <x:v>1.867</x:v>
      </x:c>
      <x:c r="CE229" s="167" t="n">
        <x:v>1.805</x:v>
      </x:c>
      <x:c r="CF229" s="166" t="n">
        <x:v>1.1132752004217831e-9</x:v>
      </x:c>
      <x:c r="CG229" s="171" t="n">
        <x:f>IF(CA229="","",IFERROR(F229*CF229/CD229,0))</x:f>
        <x:v>1.1918279019223315e-9</x:v>
      </x:c>
      <x:c r="CH229" s="171" t="n">
        <x:f>IF(CA229="","",F229*ABS(CF229))</x:f>
        <x:v>2.225142692888993e-9</x:v>
      </x:c>
      <x:c r="CI229" s="165" t="n">
        <x:v>1.852</x:v>
      </x:c>
      <x:c r="CJ229" s="172" t="n">
        <x:f>IF(CA229="","",IF(CI229="","",IFERROR(CD229/CI229-1,0)))</x:f>
        <x:v>0.008099352051835762</x:v>
      </x:c>
      <x:c r="CK229" s="166" t="n">
        <x:v>0.07670000000000002</x:v>
      </x:c>
      <x:c r="CL229" s="172" t="n">
        <x:f>IF(CA229="","",IF(CK229="","",CK229-CJ229*365/CM229))</x:f>
        <x:v>0.021954379649628666</x:v>
      </x:c>
      <x:c r="CM229" s="164" t="n">
        <x:v>54</x:v>
      </x:c>
      <x:c r="CN229" s="172" t="n">
        <x:f>IF(CA229="","",IFERROR(CF229*(CE229/CD229-1),0))</x:f>
        <x:v>-3.69700387927962e-11</x:v>
      </x:c>
      <x:c r="CO229" s="147"/>
      <x:c r="CP229" s="147"/>
      <x:c r="CQ229" s="147"/>
      <x:c r="CR229" s="167"/>
      <x:c r="CS229" s="167"/>
      <x:c r="CT229" s="166"/>
      <x:c r="CU229" s="171" t="str">
        <x:f>IF(CO229="","",IFERROR(F229*CT229/CR229,0))</x:f>
      </x:c>
      <x:c r="CV229" s="171" t="str">
        <x:f>IF(CO229="","",F229*ABS(CT229))</x:f>
      </x:c>
      <x:c r="CW229" s="165"/>
      <x:c r="CX229" s="172" t="str">
        <x:f>IF(CO229="","",IF(CW229="","",IFERROR(CR229/CW229-1,0)))</x:f>
      </x:c>
      <x:c r="CY229" s="166"/>
      <x:c r="CZ229" s="172" t="str">
        <x:f>IF(CO229="","",IF(CY229="","",CY229-CX229*365/DA229))</x:f>
      </x:c>
      <x:c r="DA229" s="164"/>
      <x:c r="DB229" s="172" t="str">
        <x:f>IF(CO229="","",IFERROR(CT229*(CS229/CR229-1),0))</x:f>
      </x:c>
      <x:c r="DC229" s="147"/>
      <x:c r="DD229" s="147"/>
      <x:c r="DE229" s="147"/>
      <x:c r="DF229" s="167"/>
      <x:c r="DG229" s="167"/>
      <x:c r="DH229" s="166"/>
      <x:c r="DI229" s="171" t="str">
        <x:f>IF(DC229="","",IFERROR(F229*DH229/DF229,0))</x:f>
      </x:c>
      <x:c r="DJ229" s="171" t="str">
        <x:f>IF(DC229="","",F229*ABS(DH229))</x:f>
      </x:c>
      <x:c r="DK229" s="165"/>
      <x:c r="DL229" s="172" t="str">
        <x:f>IF(DC229="","",IF(DK229="","",IFERROR(DF229/DK229-1,0)))</x:f>
      </x:c>
      <x:c r="DM229" s="166"/>
      <x:c r="DN229" s="172" t="str">
        <x:f>IF(DC229="","",IF(DM229="","",DM229-DL229*365/DO229))</x:f>
      </x:c>
      <x:c r="DO229" s="164"/>
      <x:c r="DP229" s="172" t="str">
        <x:f>IF(DC229="","",IFERROR(DH229*(DG229/DF229-1),0))</x:f>
      </x:c>
      <x:c r="DQ229" s="147"/>
      <x:c r="DR229" s="147"/>
      <x:c r="DS229" s="147"/>
      <x:c r="DT229" s="167"/>
      <x:c r="DU229" s="167"/>
      <x:c r="DV229" s="166"/>
      <x:c r="DW229" s="171" t="str">
        <x:f>IF(DQ229="","",IFERROR(F229*DV229/DT229,0))</x:f>
      </x:c>
      <x:c r="DX229" s="171" t="str">
        <x:f>IF(DQ229="","",F229*ABS(DV229))</x:f>
      </x:c>
      <x:c r="DY229" s="165"/>
      <x:c r="DZ229" s="172" t="str">
        <x:f>IF(DQ229="","",IF(DY229="","",IFERROR(DT229/DY229-1,0)))</x:f>
      </x:c>
      <x:c r="EA229" s="166"/>
      <x:c r="EB229" s="172" t="str">
        <x:f>IF(DQ229="","",IF(EA229="","",EA229-DZ229*365/EC229))</x:f>
      </x:c>
      <x:c r="EC229" s="164"/>
      <x:c r="ED229" s="172" t="str">
        <x:f>IF(DQ229="","",IFERROR(DV229*(DU229/DT229-1),0))</x:f>
      </x:c>
      <x:c r="EE229" s="147"/>
      <x:c r="EF229" s="147"/>
      <x:c r="EG229" s="147"/>
      <x:c r="EH229" s="167"/>
      <x:c r="EI229" s="167"/>
      <x:c r="EJ229" s="166"/>
      <x:c r="EK229" s="171" t="str">
        <x:f>IF(EE229="","",IFERROR(F229*EJ229/EH229,0))</x:f>
      </x:c>
      <x:c r="EL229" s="171" t="str">
        <x:f>IF(EE229="","",F229*ABS(EJ229))</x:f>
      </x:c>
      <x:c r="EM229" s="165"/>
      <x:c r="EN229" s="172" t="str">
        <x:f>IF(EE229="","",IF(EM229="","",IFERROR(EH229/EM229-1,0)))</x:f>
      </x:c>
      <x:c r="EO229" s="166"/>
      <x:c r="EP229" s="172" t="str">
        <x:f>IF(EE229="","",IF(EO229="","",EO229-EN229*365/EQ229))</x:f>
      </x:c>
      <x:c r="EQ229" s="164"/>
      <x:c r="ER229" s="172" t="str">
        <x:f>IF(EE229="","",IFERROR(EJ229*(EI229/EH229-1),0))</x:f>
      </x:c>
      <x:c r="ES229" s="147"/>
      <x:c r="ET229" s="147"/>
      <x:c r="EU229" s="147"/>
      <x:c r="EV229" s="167"/>
      <x:c r="EW229" s="167"/>
      <x:c r="EX229" s="166"/>
      <x:c r="EY229" s="171" t="str">
        <x:f>IF(ES229="","",IFERROR(F229*EX229/EV229,0))</x:f>
      </x:c>
      <x:c r="EZ229" s="171" t="str">
        <x:f>IF(ES229="","",F229*ABS(EX229))</x:f>
      </x:c>
      <x:c r="FA229" s="165"/>
      <x:c r="FB229" s="172" t="str">
        <x:f>IF(ES229="","",IF(FA229="","",IFERROR(EV229/FA229-1,0)))</x:f>
      </x:c>
      <x:c r="FC229" s="166"/>
      <x:c r="FD229" s="172" t="str">
        <x:f>IF(ES229="","",IF(FC229="","",FC229-FB229*365/FE229))</x:f>
      </x:c>
      <x:c r="FE229" s="164"/>
      <x:c r="FF229" s="172" t="str">
        <x:f>IF(ES229="","",IFERROR(EX229*(EW229/EV229-1),0))</x:f>
      </x:c>
      <x:c r="FG229" s="147"/>
      <x:c r="FH229" s="147"/>
      <x:c r="FI229" s="147"/>
      <x:c r="FJ229" s="167"/>
      <x:c r="FK229" s="167"/>
      <x:c r="FL229" s="166"/>
      <x:c r="FM229" s="171" t="str">
        <x:f>IF(FG229="","",IFERROR(F229*FL229/FJ229,0))</x:f>
      </x:c>
      <x:c r="FN229" s="171" t="str">
        <x:f>IF(FG229="","",F229*ABS(FL229))</x:f>
      </x:c>
      <x:c r="FO229" s="165"/>
      <x:c r="FP229" s="172" t="str">
        <x:f>IF(FG229="","",IF(FO229="","",IFERROR(FJ229/FO229-1,0)))</x:f>
      </x:c>
      <x:c r="FQ229" s="166"/>
      <x:c r="FR229" s="172" t="str">
        <x:f>IF(FG229="","",IF(FQ229="","",FQ229-FP229*365/FS229))</x:f>
      </x:c>
      <x:c r="FS229" s="164"/>
      <x:c r="FT229" s="172" t="str">
        <x:f>IF(FG229="","",IFERROR(FL229*(FK229/FJ229-1),0))</x:f>
      </x:c>
    </x:row>
    <x:row r="230" ht="18" customHeight="1">
      <x:c r="A230" s="163" t="n">
        <x:v>25545</x:v>
      </x:c>
      <x:c r="B230" s="163" t="n">
        <x:v>25546</x:v>
      </x:c>
      <x:c r="C230" s="170" t="n">
        <x:f>B230-A230</x:f>
        <x:v>1</x:v>
      </x:c>
      <x:c r="D230" s="163" t="n">
        <x:v>25545</x:v>
      </x:c>
      <x:c r="E230" s="147" t="str">
        <x:v>positive</x:v>
      </x:c>
      <x:c r="F230" s="165" t="n">
        <x:v>1.9599883132212312</x:v>
      </x:c>
      <x:c r="G230" s="168" t="n">
        <x:v>-0.027163890717073653</x:v>
      </x:c>
      <x:c r="H230" s="172" t="n">
        <x:f>SUM(AX230,BL230,BZ230,CN230,DB230,DP230,ED230,ER230,FF230,FT230)</x:f>
        <x:v>-0.027163890717073702</x:v>
      </x:c>
      <x:c r="I230" s="174" t="n">
        <x:f>G230-H230</x:f>
        <x:v>4.85722573273506e-17</x:v>
      </x:c>
      <x:c r="J230" s="171" t="n">
        <x:f>F230*(1+H230)</x:f>
        <x:v>1.9067474048741482</x:v>
      </x:c>
      <x:c r="K230" s="169" t="n">
        <x:v>1.9067474048741482</x:v>
      </x:c>
      <x:c r="L230" s="175" t="n">
        <x:f>K230-J230</x:f>
        <x:v>0</x:v>
      </x:c>
      <x:c r="M230" s="167" t="n">
        <x:v>1.862</x:v>
      </x:c>
      <x:c r="N230" s="167" t="n">
        <x:v>1.812</x:v>
      </x:c>
      <x:c r="O230" s="172" t="n">
        <x:f>IFERROR(N230/M230-1,0)</x:f>
        <x:v>-0.02685284640171859</x:v>
      </x:c>
      <x:c r="P230" s="171" t="n">
        <x:f>IFERROR(AD230/AH230,0)</x:f>
        <x:v>2.0610403422594894</x:v>
      </x:c>
      <x:c r="Q230" s="171" t="n">
        <x:f>IFERROR(AE230/AI230,0)</x:f>
        <x:v>2.060381577673058</x:v>
      </x:c>
      <x:c r="R230" s="172" t="n">
        <x:f>IFERROR((Q230-P230)/(P230+S230),0)</x:f>
        <x:v>-0.00031962721588911454</x:v>
      </x:c>
      <x:c r="S230" s="172" t="n">
        <x:f>IFERROR(AF230/AH230,0)</x:f>
        <x:v>0</x:v>
      </x:c>
      <x:c r="T230" s="172" t="n">
        <x:f>IFERROR(AG230/AI230,0)</x:f>
        <x:v>0</x:v>
      </x:c>
      <x:c r="U230" s="172" t="n">
        <x:f>IFERROR((T230-S230)/(P230+S230),0)</x:f>
        <x:v>0</x:v>
      </x:c>
      <x:c r="V230" s="172" t="n">
        <x:f>R230+U230</x:f>
        <x:v>-0.00031962721588911454</x:v>
      </x:c>
      <x:c r="W230" s="172" t="n">
        <x:f>(1+O230)*(1+V230)-1</x:f>
        <x:v>-0.02716389071707359</x:v>
      </x:c>
      <x:c r="X230" s="174" t="n">
        <x:f>G230-W230</x:f>
        <x:v>-6.245004513516506e-17</x:v>
      </x:c>
      <x:c r="Y230" s="172" t="str">
        <x:f>AX230</x:f>
      </x:c>
      <x:c r="Z230" s="172" t="n">
        <x:f>BL230</x:f>
        <x:v>0.00021041095890406147</x:v>
      </x:c>
      <x:c r="AA230" s="172" t="n">
        <x:f>SUM(BZ230,CN230,DB230,DP230,ED230,ER230,FF230,FT230)</x:f>
        <x:v>-0.027374301675977764</x:v>
      </x:c>
      <x:c r="AB230" s="172" t="n">
        <x:f>SUM(Y230:AA230)</x:f>
        <x:v>-0.027163890717073702</x:v>
      </x:c>
      <x:c r="AC230" s="174" t="n">
        <x:f>G230-AB230</x:f>
        <x:v>4.85722573273506e-17</x:v>
      </x:c>
      <x:c r="AD230" s="169" t="n">
        <x:v>1.9599883132212306</x:v>
      </x:c>
      <x:c r="AE230" s="169" t="n">
        <x:v>1.9067474048741475</x:v>
      </x:c>
      <x:c r="AF230" s="169" t="n">
        <x:v>0</x:v>
      </x:c>
      <x:c r="AG230" s="169" t="n">
        <x:v>0</x:v>
      </x:c>
      <x:c r="AH230" s="171" t="n">
        <x:f>M230/$M$3</x:f>
        <x:v>0.9509703779366702</x:v>
      </x:c>
      <x:c r="AI230" s="171" t="n">
        <x:f>N230/$M$3</x:f>
        <x:v>0.9254341164453525</x:v>
      </x:c>
      <x:c r="AJ230" s="170" t="n">
        <x:f>IF(AK230&lt;&gt;"",1,0)+IF(AY230&lt;&gt;"",1,0)+IF(BM230&lt;&gt;"",1,0)+IF(CA230&lt;&gt;"",1,0)+IF(CO230&lt;&gt;"",1,0)+IF(DC230&lt;&gt;"",1,0)+IF(DQ230&lt;&gt;"",1,0)+IF(EE230&lt;&gt;"",1,0)+IF(ES230&lt;&gt;"",1,0)+IF(FG230&lt;&gt;"",1,0)</x:f>
        <x:v>8</x:v>
      </x:c>
      <x:c r="AK230" s="147"/>
      <x:c r="AL230" s="147"/>
      <x:c r="AM230" s="147"/>
      <x:c r="AN230" s="167"/>
      <x:c r="AO230" s="167"/>
      <x:c r="AP230" s="166"/>
      <x:c r="AQ230" s="171" t="str">
        <x:f>IF(AK230="","",IFERROR(F230*AP230/AN230,0))</x:f>
      </x:c>
      <x:c r="AR230" s="171" t="str">
        <x:f>IF(AK230="","",F230*ABS(AP230))</x:f>
      </x:c>
      <x:c r="AS230" s="165"/>
      <x:c r="AT230" s="172" t="str">
        <x:f>IF(AK230="","",IF(AS230="","",IFERROR(AN230/AS230-1,0)))</x:f>
      </x:c>
      <x:c r="AU230" s="166"/>
      <x:c r="AV230" s="172" t="str">
        <x:f>IF(AK230="","",IF(AU230="","",AU230-AT230*365/AW230))</x:f>
      </x:c>
      <x:c r="AW230" s="164"/>
      <x:c r="AX230" s="173" t="str">
        <x:f>IF(AK230="","",IFERROR(AP230*(AO230/AN230-1),0))</x:f>
      </x:c>
      <x:c r="AY230" s="147" t="str">
        <x:v>Matched-maturity Treasury collateral</x:v>
      </x:c>
      <x:c r="AZ230" s="147" t="str">
        <x:v>Treasury</x:v>
      </x:c>
      <x:c r="BA230" s="147" t="str">
        <x:v>Long</x:v>
      </x:c>
      <x:c r="BB230" s="167" t="n">
        <x:v>106.32230312131958</x:v>
      </x:c>
      <x:c r="BC230" s="167" t="n">
        <x:v>106.34467449907223</x:v>
      </x:c>
      <x:c r="BD230" s="166" t="n">
        <x:v>1</x:v>
      </x:c>
      <x:c r="BE230" s="171" t="n">
        <x:f>IF(AY230="","",IFERROR(F230*BD230/BB230,0))</x:f>
        <x:v>0.018434404218885075</x:v>
      </x:c>
      <x:c r="BF230" s="171" t="n">
        <x:f>IF(AY230="","",F230*ABS(BD230))</x:f>
        <x:v>1.9599883132212312</x:v>
      </x:c>
      <x:c r="BG230" s="165"/>
      <x:c r="BH230" s="172" t="str">
        <x:f>IF(AY230="","",IF(BG230="","",IFERROR(BB230/BG230-1,0)))</x:f>
      </x:c>
      <x:c r="BI230" s="166"/>
      <x:c r="BJ230" s="172" t="str">
        <x:f>IF(AY230="","",IF(BI230="","",BI230-BH230*365/BK230))</x:f>
      </x:c>
      <x:c r="BK230" s="164" t="n">
        <x:v>21</x:v>
      </x:c>
      <x:c r="BL230" s="172" t="n">
        <x:f>IF(AY230="","",IFERROR(BD230*(BC230/BB230-1),0))</x:f>
        <x:v>0.00021041095890406147</x:v>
      </x:c>
      <x:c r="BM230" s="147" t="str">
        <x:v>SI69Z</x:v>
      </x:c>
      <x:c r="BN230" s="147" t="str">
        <x:v>Silver future (regular)</x:v>
      </x:c>
      <x:c r="BO230" s="147" t="str">
        <x:v>Long</x:v>
      </x:c>
      <x:c r="BP230" s="167" t="n">
        <x:v>1.79</x:v>
      </x:c>
      <x:c r="BQ230" s="167" t="n">
        <x:v>1.7409999999999999</x:v>
      </x:c>
      <x:c r="BR230" s="166" t="n">
        <x:v>1</x:v>
      </x:c>
      <x:c r="BS230" s="171" t="n">
        <x:f>IF(BM230="","",IFERROR(F230*BR230/BP230,0))</x:f>
        <x:v>1.0949655381124197</x:v>
      </x:c>
      <x:c r="BT230" s="171" t="n">
        <x:f>IF(BM230="","",F230*ABS(BR230))</x:f>
        <x:v>1.9599883132212312</x:v>
      </x:c>
      <x:c r="BU230" s="165" t="n">
        <x:v>1.862</x:v>
      </x:c>
      <x:c r="BV230" s="172" t="n">
        <x:f>IF(BM230="","",IF(BU230="","",IFERROR(BP230/BU230-1,0)))</x:f>
        <x:v>-0.03866809881847477</x:v>
      </x:c>
      <x:c r="BW230" s="166" t="n">
        <x:v>0.0768</x:v>
      </x:c>
      <x:c r="BX230" s="172" t="n">
        <x:f>IF(BM230="","",IF(BW230="","",BW230-BV230*365/BY230))</x:f>
        <x:v>0.748888384225871</x:v>
      </x:c>
      <x:c r="BY230" s="164" t="n">
        <x:v>21</x:v>
      </x:c>
      <x:c r="BZ230" s="172" t="n">
        <x:f>IF(BM230="","",IFERROR(BR230*(BQ230/BP230-1),0))</x:f>
        <x:v>-0.027374301675977764</x:v>
      </x:c>
      <x:c r="CA230" s="147" t="str">
        <x:v>SI70F</x:v>
      </x:c>
      <x:c r="CB230" s="147" t="str">
        <x:v>Silver future (regular)</x:v>
      </x:c>
      <x:c r="CC230" s="147" t="str">
        <x:v>Long</x:v>
      </x:c>
      <x:c r="CD230" s="167" t="n">
        <x:v>1.805</x:v>
      </x:c>
      <x:c r="CE230" s="167" t="n">
        <x:v>1.751</x:v>
      </x:c>
      <x:c r="CF230" s="166" t="n">
        <x:v>2.120447057635896e-20</x:v>
      </x:c>
      <x:c r="CG230" s="171" t="n">
        <x:f>IF(CA230="","",IFERROR(F230*CF230/CD230,0))</x:f>
        <x:v>2.302521579928367e-20</x:v>
      </x:c>
      <x:c r="CH230" s="171" t="n">
        <x:f>IF(CA230="","",F230*ABS(CF230))</x:f>
        <x:v>4.1560514517707025e-20</x:v>
      </x:c>
      <x:c r="CI230" s="165" t="n">
        <x:v>1.862</x:v>
      </x:c>
      <x:c r="CJ230" s="172" t="n">
        <x:f>IF(CA230="","",IF(CI230="","",IFERROR(CD230/CI230-1,0)))</x:f>
        <x:v>-0.030612244897959218</x:v>
      </x:c>
      <x:c r="CK230" s="166" t="n">
        <x:v>0.0768</x:v>
      </x:c>
      <x:c r="CL230" s="172" t="n">
        <x:f>IF(CA230="","",IF(CK230="","",CK230-CJ230*365/CM230))</x:f>
        <x:v>0.2958876350540218</x:v>
      </x:c>
      <x:c r="CM230" s="164" t="n">
        <x:v>51</x:v>
      </x:c>
      <x:c r="CN230" s="172" t="n">
        <x:f>IF(CA230="","",IFERROR(CF230*(CE230/CD230-1),0))</x:f>
        <x:v>-6.343719729215437e-22</x:v>
      </x:c>
      <x:c r="CO230" s="147" t="str">
        <x:v>SI70H</x:v>
      </x:c>
      <x:c r="CP230" s="147" t="str">
        <x:v>Silver future (regular)</x:v>
      </x:c>
      <x:c r="CQ230" s="147" t="str">
        <x:v>Long</x:v>
      </x:c>
      <x:c r="CR230" s="167" t="n">
        <x:v>1.845</x:v>
      </x:c>
      <x:c r="CS230" s="167" t="n">
        <x:v>1.79</x:v>
      </x:c>
      <x:c r="CT230" s="166" t="n">
        <x:v>1.428223500209647e-28</x:v>
      </x:c>
      <x:c r="CU230" s="171" t="n">
        <x:f>IF(CO230="","",IFERROR(F230*CT230/CR230,0))</x:f>
        <x:v>1.5172365144058694e-28</x:v>
      </x:c>
      <x:c r="CV230" s="171" t="n">
        <x:f>IF(CO230="","",F230*ABS(CT230))</x:f>
        <x:v>2.7993013690788287e-28</x:v>
      </x:c>
      <x:c r="CW230" s="165" t="n">
        <x:v>1.862</x:v>
      </x:c>
      <x:c r="CX230" s="172" t="n">
        <x:f>IF(CO230="","",IF(CW230="","",IFERROR(CR230/CW230-1,0)))</x:f>
        <x:v>-0.009129967776584369</x:v>
      </x:c>
      <x:c r="CY230" s="166" t="n">
        <x:v>0.07715604395604396</x:v>
      </x:c>
      <x:c r="CZ230" s="172" t="n">
        <x:f>IF(CO230="","",IF(CY230="","",CY230-CX230*365/DA230))</x:f>
        <x:v>0.10772887183176226</x:v>
      </x:c>
      <x:c r="DA230" s="164" t="n">
        <x:v>109</x:v>
      </x:c>
      <x:c r="DB230" s="172" t="n">
        <x:f>IF(CO230="","",IFERROR(CT230*(CS230/CR230-1),0))</x:f>
        <x:v>-4.257576829893248e-30</x:v>
      </x:c>
      <x:c r="DC230" s="147" t="str">
        <x:v>SI70K</x:v>
      </x:c>
      <x:c r="DD230" s="147" t="str">
        <x:v>Silver future (regular)</x:v>
      </x:c>
      <x:c r="DE230" s="147" t="str">
        <x:v>Long</x:v>
      </x:c>
      <x:c r="DF230" s="167" t="n">
        <x:v>1.8840000000000001</x:v>
      </x:c>
      <x:c r="DG230" s="167" t="n">
        <x:v>1.828</x:v>
      </x:c>
      <x:c r="DH230" s="166" t="n">
        <x:v>5.9940001932177805e-31</x:v>
      </x:c>
      <x:c r="DI230" s="171" t="n">
        <x:f>IF(DC230="","",IFERROR(F230*DH230/DF230,0))</x:f>
        <x:v>6.235759197533254e-31</x:v>
      </x:c>
      <x:c r="DJ230" s="171" t="n">
        <x:f>IF(DC230="","",F230*ABS(DH230))</x:f>
        <x:v>1.1748170328152652e-30</x:v>
      </x:c>
      <x:c r="DK230" s="165" t="n">
        <x:v>1.862</x:v>
      </x:c>
      <x:c r="DL230" s="172" t="n">
        <x:f>IF(DC230="","",IF(DK230="","",IFERROR(DF230/DK230-1,0)))</x:f>
        <x:v>0.011815252416756294</x:v>
      </x:c>
      <x:c r="DM230" s="166" t="n">
        <x:v>0.07836263736263738</x:v>
      </x:c>
      <x:c r="DN230" s="172" t="n">
        <x:f>IF(DC230="","",IF(DM230="","",DM230-DL230*365/DO230))</x:f>
        <x:v>0.052994595409013565</x:v>
      </x:c>
      <x:c r="DO230" s="164" t="n">
        <x:v>170</x:v>
      </x:c>
      <x:c r="DP230" s="172" t="n">
        <x:f>IF(DC230="","",IFERROR(DH230*(DG230/DF230-1),0))</x:f>
        <x:v>-1.7816561083874503e-32</x:v>
      </x:c>
      <x:c r="DQ230" s="147" t="str">
        <x:v>SI70N</x:v>
      </x:c>
      <x:c r="DR230" s="147" t="str">
        <x:v>Silver future (regular)</x:v>
      </x:c>
      <x:c r="DS230" s="147" t="str">
        <x:v>Long</x:v>
      </x:c>
      <x:c r="DT230" s="167" t="n">
        <x:v>1.923</x:v>
      </x:c>
      <x:c r="DU230" s="167" t="n">
        <x:v>1.867</x:v>
      </x:c>
      <x:c r="DV230" s="166" t="n">
        <x:v>8.096297009521219e-33</x:v>
      </x:c>
      <x:c r="DW230" s="171" t="n">
        <x:f>IF(DQ230="","",IFERROR(F230*DV230/DT230,0))</x:f>
        <x:v>8.252026790967027e-33</x:v>
      </x:c>
      <x:c r="DX230" s="171" t="n">
        <x:f>IF(DQ230="","",F230*ABS(DV230))</x:f>
        <x:v>1.5868647519029593e-32</x:v>
      </x:c>
      <x:c r="DY230" s="165" t="n">
        <x:v>1.862</x:v>
      </x:c>
      <x:c r="DZ230" s="172" t="n">
        <x:f>IF(DQ230="","",IF(DY230="","",IFERROR(DT230/DY230-1,0)))</x:f>
        <x:v>0.032760472610096736</x:v>
      </x:c>
      <x:c r="EA230" s="166" t="n">
        <x:v>0.07932459016393444</x:v>
      </x:c>
      <x:c r="EB230" s="172" t="n">
        <x:f>IF(DQ230="","",IF(EA230="","",EA230-DZ230*365/EC230))</x:f>
        <x:v>0.028004536504340836</x:v>
      </x:c>
      <x:c r="EC230" s="164" t="n">
        <x:v>233</x:v>
      </x:c>
      <x:c r="ED230" s="172" t="n">
        <x:f>IF(DQ230="","",IFERROR(DV230*(DU230/DT230-1),0))</x:f>
        <x:v>-2.357735998612525e-34</x:v>
      </x:c>
      <x:c r="EE230" s="147" t="str">
        <x:v>SI70U</x:v>
      </x:c>
      <x:c r="EF230" s="147" t="str">
        <x:v>Silver future (regular)</x:v>
      </x:c>
      <x:c r="EG230" s="147" t="str">
        <x:v>Long</x:v>
      </x:c>
      <x:c r="EH230" s="167" t="n">
        <x:v>1.962</x:v>
      </x:c>
      <x:c r="EI230" s="167" t="n">
        <x:v>1.906</x:v>
      </x:c>
      <x:c r="EJ230" s="166" t="n">
        <x:v>3.7216213318531795e-34</x:v>
      </x:c>
      <x:c r="EK230" s="171" t="n">
        <x:f>IF(EE230="","",IFERROR(F230*EJ230/EH230,0))</x:f>
        <x:v>3.717805462113693e-34</x:v>
      </x:c>
      <x:c r="EL230" s="171" t="n">
        <x:f>IF(EE230="","",F230*ABS(EJ230))</x:f>
        <x:v>7.294334316667065e-34</x:v>
      </x:c>
      <x:c r="EM230" s="165" t="n">
        <x:v>1.862</x:v>
      </x:c>
      <x:c r="EN230" s="172" t="n">
        <x:f>IF(EE230="","",IF(EM230="","",IFERROR(EH230/EM230-1,0)))</x:f>
        <x:v>0.05370569280343718</x:v>
      </x:c>
      <x:c r="EO230" s="166" t="n">
        <x:v>0.08019125683060108</x:v>
      </x:c>
      <x:c r="EP230" s="172" t="n">
        <x:f>IF(EE230="","",IF(EO230="","",EO230-EN230*365/EQ230))</x:f>
        <x:v>0.013515821887558316</x:v>
      </x:c>
      <x:c r="EQ230" s="164" t="n">
        <x:v>294</x:v>
      </x:c>
      <x:c r="ER230" s="172" t="n">
        <x:f>IF(EE230="","",IFERROR(EJ230*(EI230/EH230-1),0))</x:f>
        <x:v>-1.0622364657684913e-35</x:v>
      </x:c>
      <x:c r="ES230" s="147" t="str">
        <x:v>SI70Z</x:v>
      </x:c>
      <x:c r="ET230" s="147" t="str">
        <x:v>Silver future (regular)</x:v>
      </x:c>
      <x:c r="EU230" s="147" t="str">
        <x:v>Long</x:v>
      </x:c>
      <x:c r="EV230" s="167" t="n">
        <x:v>2.016</x:v>
      </x:c>
      <x:c r="EW230" s="167" t="n">
        <x:v>1.96</x:v>
      </x:c>
      <x:c r="EX230" s="166" t="n">
        <x:v>3.122266457318694e-35</x:v>
      </x:c>
      <x:c r="EY230" s="171" t="n">
        <x:f>IF(ES230="","",IFERROR(F230*EX230/EV230,0))</x:f>
        <x:v>3.035518733684175e-35</x:v>
      </x:c>
      <x:c r="EZ230" s="171" t="n">
        <x:f>IF(ES230="","",F230*ABS(EX230))</x:f>
        <x:v>6.119605767107297e-35</x:v>
      </x:c>
      <x:c r="FA230" s="165" t="n">
        <x:v>1.862</x:v>
      </x:c>
      <x:c r="FB230" s="172" t="n">
        <x:f>IF(ES230="","",IF(FA230="","",IFERROR(EV230/FA230-1,0)))</x:f>
        <x:v>0.08270676691729317</x:v>
      </x:c>
      <x:c r="FC230" s="166" t="n">
        <x:v>0.08070520547945206</x:v>
      </x:c>
      <x:c r="FD230" s="172" t="n">
        <x:f>IF(ES230="","",IF(FC230="","",FC230-FB230*365/FE230))</x:f>
        <x:v>0.0024980295084365</x:v>
      </x:c>
      <x:c r="FE230" s="164" t="n">
        <x:v>386</x:v>
      </x:c>
      <x:c r="FF230" s="172" t="n">
        <x:f>IF(ES230="","",IFERROR(EX230*(EW230/EV230-1),0))</x:f>
        <x:v>-8.67296238144082e-37</x:v>
      </x:c>
      <x:c r="FG230" s="147"/>
      <x:c r="FH230" s="147"/>
      <x:c r="FI230" s="147"/>
      <x:c r="FJ230" s="167"/>
      <x:c r="FK230" s="167"/>
      <x:c r="FL230" s="166"/>
      <x:c r="FM230" s="171" t="str">
        <x:f>IF(FG230="","",IFERROR(F230*FL230/FJ230,0))</x:f>
      </x:c>
      <x:c r="FN230" s="171" t="str">
        <x:f>IF(FG230="","",F230*ABS(FL230))</x:f>
      </x:c>
      <x:c r="FO230" s="165"/>
      <x:c r="FP230" s="172" t="str">
        <x:f>IF(FG230="","",IF(FO230="","",IFERROR(FJ230/FO230-1,0)))</x:f>
      </x:c>
      <x:c r="FQ230" s="166"/>
      <x:c r="FR230" s="172" t="str">
        <x:f>IF(FG230="","",IF(FQ230="","",FQ230-FP230*365/FS230))</x:f>
      </x:c>
      <x:c r="FS230" s="164"/>
      <x:c r="FT230" s="172" t="str">
        <x:f>IF(FG230="","",IFERROR(FL230*(FK230/FJ230-1),0))</x:f>
      </x:c>
    </x:row>
    <x:row r="231" ht="18" customHeight="1">
      <x:c r="A231" s="163" t="n">
        <x:v>25546</x:v>
      </x:c>
      <x:c r="B231" s="163" t="n">
        <x:v>25547</x:v>
      </x:c>
      <x:c r="C231" s="170" t="n">
        <x:f>B231-A231</x:f>
        <x:v>1</x:v>
      </x:c>
      <x:c r="D231" s="163" t="n">
        <x:v>25546</x:v>
      </x:c>
      <x:c r="E231" s="147" t="str">
        <x:v>positive</x:v>
      </x:c>
      <x:c r="F231" s="165" t="n">
        <x:v>1.9067474048741482</x:v>
      </x:c>
      <x:c r="G231" s="168" t="n">
        <x:v>-0.0015083530957643698</x:v>
      </x:c>
      <x:c r="H231" s="172" t="n">
        <x:f>SUM(AX231,BL231,BZ231,CN231,DB231,DP231,ED231,ER231,FF231,FT231)</x:f>
        <x:v>-0.0015083530957643587</x:v>
      </x:c>
      <x:c r="I231" s="174" t="n">
        <x:f>G231-H231</x:f>
        <x:v>-1.1058862159352145e-17</x:v>
      </x:c>
      <x:c r="J231" s="171" t="n">
        <x:f>F231*(1+H231)</x:f>
        <x:v>1.9038713565231655</x:v>
      </x:c>
      <x:c r="K231" s="169" t="n">
        <x:v>1.9038713565231655</x:v>
      </x:c>
      <x:c r="L231" s="175" t="n">
        <x:f>K231-J231</x:f>
        <x:v>0</x:v>
      </x:c>
      <x:c r="M231" s="167" t="n">
        <x:v>1.812</x:v>
      </x:c>
      <x:c r="N231" s="167" t="n">
        <x:v>1.758</x:v>
      </x:c>
      <x:c r="O231" s="172" t="n">
        <x:f>IFERROR(N231/M231-1,0)</x:f>
        <x:v>-0.0298013245033113</x:v>
      </x:c>
      <x:c r="P231" s="171" t="n">
        <x:f>IFERROR(AD231/AH231,0)</x:f>
        <x:v>2.060381577673058</x:v>
      </x:c>
      <x:c r="Q231" s="171" t="n">
        <x:f>IFERROR(AE231/AI231,0)</x:f>
        <x:v>2.1204665051606124</x:v>
      </x:c>
      <x:c r="R231" s="172" t="n">
        <x:f>IFERROR((Q231-P231)/(P231+S231),0)</x:f>
        <x:v>0.029162038788666002</x:v>
      </x:c>
      <x:c r="S231" s="172" t="n">
        <x:f>IFERROR(AF231/AH231,0)</x:f>
        <x:v>0</x:v>
      </x:c>
      <x:c r="T231" s="172" t="n">
        <x:f>IFERROR(AG231/AI231,0)</x:f>
        <x:v>0</x:v>
      </x:c>
      <x:c r="U231" s="172" t="n">
        <x:f>IFERROR((T231-S231)/(P231+S231),0)</x:f>
        <x:v>0</x:v>
      </x:c>
      <x:c r="V231" s="172" t="n">
        <x:f>R231+U231</x:f>
        <x:v>0.029162038788666002</x:v>
      </x:c>
      <x:c r="W231" s="172" t="n">
        <x:f>(1+O231)*(1+V231)-1</x:f>
        <x:v>-0.0015083530957644697</x:v>
      </x:c>
      <x:c r="X231" s="174" t="n">
        <x:f>G231-W231</x:f>
        <x:v>9.996344030316351e-17</x:v>
      </x:c>
      <x:c r="Y231" s="172" t="str">
        <x:f>AX231</x:f>
      </x:c>
      <x:c r="Z231" s="172" t="n">
        <x:f>BL231</x:f>
        <x:v>0.00021479452054795622</x:v>
      </x:c>
      <x:c r="AA231" s="172" t="n">
        <x:f>SUM(BZ231,CN231,DB231,DP231,ED231,ER231,FF231,FT231)</x:f>
        <x:v>-0.001723147616312315</x:v>
      </x:c>
      <x:c r="AB231" s="172" t="n">
        <x:f>SUM(Y231:AA231)</x:f>
        <x:v>-0.0015083530957643587</x:v>
      </x:c>
      <x:c r="AC231" s="174" t="n">
        <x:f>G231-AB231</x:f>
        <x:v>-1.1058862159352145e-17</x:v>
      </x:c>
      <x:c r="AD231" s="169" t="n">
        <x:v>1.9067474048741475</x:v>
      </x:c>
      <x:c r="AE231" s="169" t="n">
        <x:v>1.9038713565231649</x:v>
      </x:c>
      <x:c r="AF231" s="169" t="n">
        <x:v>0</x:v>
      </x:c>
      <x:c r="AG231" s="169" t="n">
        <x:v>0</x:v>
      </x:c>
      <x:c r="AH231" s="171" t="n">
        <x:f>M231/$M$3</x:f>
        <x:v>0.9254341164453525</x:v>
      </x:c>
      <x:c r="AI231" s="171" t="n">
        <x:f>N231/$M$3</x:f>
        <x:v>0.8978549540347294</x:v>
      </x:c>
      <x:c r="AJ231" s="170" t="n">
        <x:f>IF(AK231&lt;&gt;"",1,0)+IF(AY231&lt;&gt;"",1,0)+IF(BM231&lt;&gt;"",1,0)+IF(CA231&lt;&gt;"",1,0)+IF(CO231&lt;&gt;"",1,0)+IF(DC231&lt;&gt;"",1,0)+IF(DQ231&lt;&gt;"",1,0)+IF(EE231&lt;&gt;"",1,0)+IF(ES231&lt;&gt;"",1,0)+IF(FG231&lt;&gt;"",1,0)</x:f>
        <x:v>8</x:v>
      </x:c>
      <x:c r="AK231" s="147"/>
      <x:c r="AL231" s="147"/>
      <x:c r="AM231" s="147"/>
      <x:c r="AN231" s="167"/>
      <x:c r="AO231" s="167"/>
      <x:c r="AP231" s="166"/>
      <x:c r="AQ231" s="171" t="str">
        <x:f>IF(AK231="","",IFERROR(F231*AP231/AN231,0))</x:f>
      </x:c>
      <x:c r="AR231" s="171" t="str">
        <x:f>IF(AK231="","",F231*ABS(AP231))</x:f>
      </x:c>
      <x:c r="AS231" s="165"/>
      <x:c r="AT231" s="172" t="str">
        <x:f>IF(AK231="","",IF(AS231="","",IFERROR(AN231/AS231-1,0)))</x:f>
      </x:c>
      <x:c r="AU231" s="166"/>
      <x:c r="AV231" s="172" t="str">
        <x:f>IF(AK231="","",IF(AU231="","",AU231-AT231*365/AW231))</x:f>
      </x:c>
      <x:c r="AW231" s="164"/>
      <x:c r="AX231" s="173" t="str">
        <x:f>IF(AK231="","",IFERROR(AP231*(AO231/AN231-1),0))</x:f>
      </x:c>
      <x:c r="AY231" s="147" t="str">
        <x:v>Matched-maturity Treasury collateral</x:v>
      </x:c>
      <x:c r="AZ231" s="147" t="str">
        <x:v>Treasury</x:v>
      </x:c>
      <x:c r="BA231" s="147" t="str">
        <x:v>Long</x:v>
      </x:c>
      <x:c r="BB231" s="167" t="n">
        <x:v>106.34467449907223</x:v>
      </x:c>
      <x:c r="BC231" s="167" t="n">
        <x:v>106.36751675244409</x:v>
      </x:c>
      <x:c r="BD231" s="166" t="n">
        <x:v>1</x:v>
      </x:c>
      <x:c r="BE231" s="171" t="n">
        <x:f>IF(AY231="","",IFERROR(F231*BD231/BB231,0))</x:f>
        <x:v>0.017929881433703415</x:v>
      </x:c>
      <x:c r="BF231" s="171" t="n">
        <x:f>IF(AY231="","",F231*ABS(BD231))</x:f>
        <x:v>1.9067474048741482</x:v>
      </x:c>
      <x:c r="BG231" s="165"/>
      <x:c r="BH231" s="172" t="str">
        <x:f>IF(AY231="","",IF(BG231="","",IFERROR(BB231/BG231-1,0)))</x:f>
      </x:c>
      <x:c r="BI231" s="166"/>
      <x:c r="BJ231" s="172" t="str">
        <x:f>IF(AY231="","",IF(BI231="","",BI231-BH231*365/BK231))</x:f>
      </x:c>
      <x:c r="BK231" s="164" t="n">
        <x:v>20</x:v>
      </x:c>
      <x:c r="BL231" s="172" t="n">
        <x:f>IF(AY231="","",IFERROR(BD231*(BC231/BB231-1),0))</x:f>
        <x:v>0.00021479452054795622</x:v>
      </x:c>
      <x:c r="BM231" s="147" t="str">
        <x:v>SI69Z</x:v>
      </x:c>
      <x:c r="BN231" s="147" t="str">
        <x:v>Silver future (regular)</x:v>
      </x:c>
      <x:c r="BO231" s="147" t="str">
        <x:v>Long</x:v>
      </x:c>
      <x:c r="BP231" s="167" t="n">
        <x:v>1.7409999999999999</x:v>
      </x:c>
      <x:c r="BQ231" s="167" t="n">
        <x:v>1.7380000000000002</x:v>
      </x:c>
      <x:c r="BR231" s="166" t="n">
        <x:v>1</x:v>
      </x:c>
      <x:c r="BS231" s="171" t="n">
        <x:f>IF(BM231="","",IFERROR(F231*BR231/BP231,0))</x:f>
        <x:v>1.0952024152062885</x:v>
      </x:c>
      <x:c r="BT231" s="171" t="n">
        <x:f>IF(BM231="","",F231*ABS(BR231))</x:f>
        <x:v>1.9067474048741482</x:v>
      </x:c>
      <x:c r="BU231" s="165" t="n">
        <x:v>1.812</x:v>
      </x:c>
      <x:c r="BV231" s="172" t="n">
        <x:f>IF(BM231="","",IF(BU231="","",IFERROR(BP231/BU231-1,0)))</x:f>
        <x:v>-0.03918322295805754</x:v>
      </x:c>
      <x:c r="BW231" s="166" t="n">
        <x:v>0.0784</x:v>
      </x:c>
      <x:c r="BX231" s="172" t="n">
        <x:f>IF(BM231="","",IF(BW231="","",BW231-BV231*365/BY231))</x:f>
        <x:v>0.7934938189845502</x:v>
      </x:c>
      <x:c r="BY231" s="164" t="n">
        <x:v>20</x:v>
      </x:c>
      <x:c r="BZ231" s="172" t="n">
        <x:f>IF(BM231="","",IFERROR(BR231*(BQ231/BP231-1),0))</x:f>
        <x:v>-0.001723147616312315</x:v>
      </x:c>
      <x:c r="CA231" s="147" t="str">
        <x:v>SI70F</x:v>
      </x:c>
      <x:c r="CB231" s="147" t="str">
        <x:v>Silver future (regular)</x:v>
      </x:c>
      <x:c r="CC231" s="147" t="str">
        <x:v>Long</x:v>
      </x:c>
      <x:c r="CD231" s="167" t="n">
        <x:v>1.751</x:v>
      </x:c>
      <x:c r="CE231" s="167" t="n">
        <x:v>1.75</x:v>
      </x:c>
      <x:c r="CF231" s="166" t="n">
        <x:v>2.120447057635896e-20</x:v>
      </x:c>
      <x:c r="CG231" s="171" t="n">
        <x:f>IF(CA231="","",IFERROR(F231*CF231/CD231,0))</x:f>
        <x:v>2.309055924797412e-20</x:v>
      </x:c>
      <x:c r="CH231" s="171" t="n">
        <x:f>IF(CA231="","",F231*ABS(CF231))</x:f>
        <x:v>4.043156924320268e-20</x:v>
      </x:c>
      <x:c r="CI231" s="165" t="n">
        <x:v>1.812</x:v>
      </x:c>
      <x:c r="CJ231" s="172" t="n">
        <x:f>IF(CA231="","",IF(CI231="","",IFERROR(CD231/CI231-1,0)))</x:f>
        <x:v>-0.03366445916114802</x:v>
      </x:c>
      <x:c r="CK231" s="166" t="n">
        <x:v>0.0784</x:v>
      </x:c>
      <x:c r="CL231" s="172" t="n">
        <x:f>IF(CA231="","",IF(CK231="","",CK231-CJ231*365/CM231))</x:f>
        <x:v>0.32415055187638053</x:v>
      </x:c>
      <x:c r="CM231" s="164" t="n">
        <x:v>50</x:v>
      </x:c>
      <x:c r="CN231" s="172" t="n">
        <x:f>IF(CA231="","",IFERROR(CF231*(CE231/CD231-1),0))</x:f>
        <x:v>-1.2109920374846536e-23</x:v>
      </x:c>
      <x:c r="CO231" s="147" t="str">
        <x:v>SI70H</x:v>
      </x:c>
      <x:c r="CP231" s="147" t="str">
        <x:v>Silver future (regular)</x:v>
      </x:c>
      <x:c r="CQ231" s="147" t="str">
        <x:v>Long</x:v>
      </x:c>
      <x:c r="CR231" s="167" t="n">
        <x:v>1.79</x:v>
      </x:c>
      <x:c r="CS231" s="167" t="n">
        <x:v>1.79</x:v>
      </x:c>
      <x:c r="CT231" s="166" t="n">
        <x:v>1.428223500209647e-28</x:v>
      </x:c>
      <x:c r="CU231" s="171" t="n">
        <x:f>IF(CO231="","",IFERROR(F231*CT231/CR231,0))</x:f>
        <x:v>1.5213751131871601e-28</x:v>
      </x:c>
      <x:c r="CV231" s="171" t="n">
        <x:f>IF(CO231="","",F231*ABS(CT231))</x:f>
        <x:v>2.723261452605017e-28</x:v>
      </x:c>
      <x:c r="CW231" s="165" t="n">
        <x:v>1.812</x:v>
      </x:c>
      <x:c r="CX231" s="172" t="n">
        <x:f>IF(CO231="","",IF(CW231="","",IFERROR(CR231/CW231-1,0)))</x:f>
        <x:v>-0.012141280353200945</x:v>
      </x:c>
      <x:c r="CY231" s="166" t="n">
        <x:v>0.07866153846153845</x:v>
      </x:c>
      <x:c r="CZ231" s="172" t="n">
        <x:f>IF(CO231="","",IF(CY231="","",CY231-CX231*365/DA231))</x:f>
        <x:v>0.11969456928485646</x:v>
      </x:c>
      <x:c r="DA231" s="164" t="n">
        <x:v>108</x:v>
      </x:c>
      <x:c r="DB231" s="172" t="n">
        <x:f>IF(CO231="","",IFERROR(CT231*(CS231/CR231-1),0))</x:f>
        <x:v>0</x:v>
      </x:c>
      <x:c r="DC231" s="147" t="str">
        <x:v>SI70K</x:v>
      </x:c>
      <x:c r="DD231" s="147" t="str">
        <x:v>Silver future (regular)</x:v>
      </x:c>
      <x:c r="DE231" s="147" t="str">
        <x:v>Long</x:v>
      </x:c>
      <x:c r="DF231" s="167" t="n">
        <x:v>1.828</x:v>
      </x:c>
      <x:c r="DG231" s="167" t="n">
        <x:v>1.829</x:v>
      </x:c>
      <x:c r="DH231" s="166" t="n">
        <x:v>5.9940001932177805e-31</x:v>
      </x:c>
      <x:c r="DI231" s="171" t="n">
        <x:f>IF(DC231="","",IFERROR(F231*DH231/DF231,0))</x:f>
        <x:v>6.252212425182246e-31</x:v>
      </x:c>
      <x:c r="DJ231" s="171" t="n">
        <x:f>IF(DC231="","",F231*ABS(DH231))</x:f>
        <x:v>1.1429044313233146e-30</x:v>
      </x:c>
      <x:c r="DK231" s="165" t="n">
        <x:v>1.812</x:v>
      </x:c>
      <x:c r="DL231" s="172" t="n">
        <x:f>IF(DC231="","",IF(DK231="","",IFERROR(DF231/DK231-1,0)))</x:f>
        <x:v>0.008830022075055233</x:v>
      </x:c>
      <x:c r="DM231" s="166" t="n">
        <x:v>0.0796</x:v>
      </x:c>
      <x:c r="DN231" s="172" t="n">
        <x:f>IF(DC231="","",IF(DM231="","",DM231-DL231*365/DO231))</x:f>
        <x:v>0.06052924226393397</x:v>
      </x:c>
      <x:c r="DO231" s="164" t="n">
        <x:v>169</x:v>
      </x:c>
      <x:c r="DP231" s="172" t="n">
        <x:f>IF(DC231="","",IFERROR(DH231*(DG231/DF231-1),0))</x:f>
        <x:v>3.2789935411475327e-34</x:v>
      </x:c>
      <x:c r="DQ231" s="147" t="str">
        <x:v>SI70N</x:v>
      </x:c>
      <x:c r="DR231" s="147" t="str">
        <x:v>Silver future (regular)</x:v>
      </x:c>
      <x:c r="DS231" s="147" t="str">
        <x:v>Long</x:v>
      </x:c>
      <x:c r="DT231" s="167" t="n">
        <x:v>1.867</x:v>
      </x:c>
      <x:c r="DU231" s="167" t="n">
        <x:v>1.869</x:v>
      </x:c>
      <x:c r="DV231" s="166" t="n">
        <x:v>8.096297009521219e-33</x:v>
      </x:c>
      <x:c r="DW231" s="171" t="n">
        <x:f>IF(DQ231="","",IFERROR(F231*DV231/DT231,0))</x:f>
        <x:v>8.268662727367386e-33</x:v>
      </x:c>
      <x:c r="DX231" s="171" t="n">
        <x:f>IF(DQ231="","",F231*ABS(DV231))</x:f>
        <x:v>1.543759331199491e-32</x:v>
      </x:c>
      <x:c r="DY231" s="165" t="n">
        <x:v>1.812</x:v>
      </x:c>
      <x:c r="DZ231" s="172" t="n">
        <x:f>IF(DQ231="","",IF(DY231="","",IFERROR(DT231/DY231-1,0)))</x:f>
        <x:v>0.030353200883002085</x:v>
      </x:c>
      <x:c r="EA231" s="166" t="n">
        <x:v>0.0803464480874317</x:v>
      </x:c>
      <x:c r="EB231" s="172" t="n">
        <x:f>IF(DQ231="","",IF(EA231="","",EA231-DZ231*365/EC231))</x:f>
        <x:v>0.03259248980167411</x:v>
      </x:c>
      <x:c r="EC231" s="164" t="n">
        <x:v>232</x:v>
      </x:c>
      <x:c r="ED231" s="172" t="n">
        <x:f>IF(DQ231="","",IFERROR(DV231*(DU231/DT231-1),0))</x:f>
        <x:v>8.673055178919553e-36</x:v>
      </x:c>
      <x:c r="EE231" s="147" t="str">
        <x:v>SI70U</x:v>
      </x:c>
      <x:c r="EF231" s="147" t="str">
        <x:v>Silver future (regular)</x:v>
      </x:c>
      <x:c r="EG231" s="147" t="str">
        <x:v>Long</x:v>
      </x:c>
      <x:c r="EH231" s="167" t="n">
        <x:v>1.906</x:v>
      </x:c>
      <x:c r="EI231" s="167" t="n">
        <x:v>1.909</x:v>
      </x:c>
      <x:c r="EJ231" s="166" t="n">
        <x:v>3.7216213318531795e-34</x:v>
      </x:c>
      <x:c r="EK231" s="171" t="n">
        <x:f>IF(EE231="","",IFERROR(F231*EJ231/EH231,0))</x:f>
        <x:v>3.7230807011727815e-34</x:v>
      </x:c>
      <x:c r="EL231" s="171" t="n">
        <x:f>IF(EE231="","",F231*ABS(EJ231))</x:f>
        <x:v>7.096191816435321e-34</x:v>
      </x:c>
      <x:c r="EM231" s="165" t="n">
        <x:v>1.812</x:v>
      </x:c>
      <x:c r="EN231" s="172" t="n">
        <x:f>IF(EE231="","",IF(EM231="","",IFERROR(EH231/EM231-1,0)))</x:f>
        <x:v>0.05187637969094916</x:v>
      </x:c>
      <x:c r="EO231" s="166" t="n">
        <x:v>0.08101311475409836</x:v>
      </x:c>
      <x:c r="EP231" s="172" t="n">
        <x:f>IF(EE231="","",IF(EO231="","",EO231-EN231*365/EQ231))</x:f>
        <x:v>0.016388955753427914</x:v>
      </x:c>
      <x:c r="EQ231" s="164" t="n">
        <x:v>293</x:v>
      </x:c>
      <x:c r="ER231" s="172" t="n">
        <x:f>IF(EE231="","",IFERROR(EJ231*(EI231/EH231-1),0))</x:f>
        <x:v>5.857746062728487e-37</x:v>
      </x:c>
      <x:c r="ES231" s="147" t="str">
        <x:v>SI70Z</x:v>
      </x:c>
      <x:c r="ET231" s="147" t="str">
        <x:v>Silver future (regular)</x:v>
      </x:c>
      <x:c r="EU231" s="147" t="str">
        <x:v>Long</x:v>
      </x:c>
      <x:c r="EV231" s="167" t="n">
        <x:v>1.96</x:v>
      </x:c>
      <x:c r="EW231" s="167" t="n">
        <x:v>1.964</x:v>
      </x:c>
      <x:c r="EX231" s="166" t="n">
        <x:v>3.122266457318694e-35</x:v>
      </x:c>
      <x:c r="EY231" s="171" t="n">
        <x:f>IF(ES231="","",IFERROR(F231*EX231/EV231,0))</x:f>
        <x:v>3.037435441233684e-35</x:v>
      </x:c>
      <x:c r="EZ231" s="171" t="n">
        <x:f>IF(ES231="","",F231*ABS(EX231))</x:f>
        <x:v>5.95337346481802e-35</x:v>
      </x:c>
      <x:c r="FA231" s="165" t="n">
        <x:v>1.812</x:v>
      </x:c>
      <x:c r="FB231" s="172" t="n">
        <x:f>IF(ES231="","",IF(FA231="","",IFERROR(EV231/FA231-1,0)))</x:f>
        <x:v>0.08167770419426046</x:v>
      </x:c>
      <x:c r="FC231" s="166" t="n">
        <x:v>0.0812958904109589</x:v>
      </x:c>
      <x:c r="FD231" s="172" t="n">
        <x:f>IF(ES231="","",IF(FC231="","",FC231-FB231*365/FE231))</x:f>
        <x:v>0.0038611838371795104</x:v>
      </x:c>
      <x:c r="FE231" s="164" t="n">
        <x:v>385</x:v>
      </x:c>
      <x:c r="FF231" s="172" t="n">
        <x:f>IF(ES231="","",IFERROR(EX231*(EW231/EV231-1),0))</x:f>
        <x:v>6.371972361874962e-38</x:v>
      </x:c>
      <x:c r="FG231" s="147"/>
      <x:c r="FH231" s="147"/>
      <x:c r="FI231" s="147"/>
      <x:c r="FJ231" s="167"/>
      <x:c r="FK231" s="167"/>
      <x:c r="FL231" s="166"/>
      <x:c r="FM231" s="171" t="str">
        <x:f>IF(FG231="","",IFERROR(F231*FL231/FJ231,0))</x:f>
      </x:c>
      <x:c r="FN231" s="171" t="str">
        <x:f>IF(FG231="","",F231*ABS(FL231))</x:f>
      </x:c>
      <x:c r="FO231" s="165"/>
      <x:c r="FP231" s="172" t="str">
        <x:f>IF(FG231="","",IF(FO231="","",IFERROR(FJ231/FO231-1,0)))</x:f>
      </x:c>
      <x:c r="FQ231" s="166"/>
      <x:c r="FR231" s="172" t="str">
        <x:f>IF(FG231="","",IF(FQ231="","",FQ231-FP231*365/FS231))</x:f>
      </x:c>
      <x:c r="FS231" s="164"/>
      <x:c r="FT231" s="172" t="str">
        <x:f>IF(FG231="","",IFERROR(FL231*(FK231/FJ231-1),0))</x:f>
      </x:c>
    </x:row>
    <x:row r="232" ht="18" customHeight="1">
      <x:c r="A232" s="163" t="n">
        <x:v>25547</x:v>
      </x:c>
      <x:c r="B232" s="163" t="n">
        <x:v>25548</x:v>
      </x:c>
      <x:c r="C232" s="170" t="n">
        <x:f>B232-A232</x:f>
        <x:v>1</x:v>
      </x:c>
      <x:c r="D232" s="163" t="n">
        <x:v>25547</x:v>
      </x:c>
      <x:c r="E232" s="147" t="str">
        <x:v>positive</x:v>
      </x:c>
      <x:c r="F232" s="165" t="n">
        <x:v>1.9038713565231655</x:v>
      </x:c>
      <x:c r="G232" s="168" t="n">
        <x:v>0.017477932121632334</x:v>
      </x:c>
      <x:c r="H232" s="172" t="n">
        <x:f>SUM(AX232,BL232,BZ232,CN232,DB232,DP232,ED232,ER232,FF232,FT232)</x:f>
        <x:v>0.01747793212163251</x:v>
      </x:c>
      <x:c r="I232" s="174" t="n">
        <x:f>G232-H232</x:f>
        <x:v>-1.7694179454963432e-16</x:v>
      </x:c>
      <x:c r="J232" s="171" t="n">
        <x:f>F232*(1+H232)</x:f>
        <x:v>1.9371470908607977</x:v>
      </x:c>
      <x:c r="K232" s="169" t="n">
        <x:v>1.9371470908607975</x:v>
      </x:c>
      <x:c r="L232" s="175" t="n">
        <x:f>K232-J232</x:f>
        <x:v>-2.220446049250313e-16</x:v>
      </x:c>
      <x:c r="M232" s="167" t="n">
        <x:v>1.758</x:v>
      </x:c>
      <x:c r="N232" s="167" t="n">
        <x:v>1.767</x:v>
      </x:c>
      <x:c r="O232" s="172" t="n">
        <x:f>IFERROR(N232/M232-1,0)</x:f>
        <x:v>0.005119453924914641</x:v>
      </x:c>
      <x:c r="P232" s="171" t="n">
        <x:f>IFERROR(AD232/AH232,0)</x:f>
        <x:v>2.1204665051606124</x:v>
      </x:c>
      <x:c r="Q232" s="171" t="n">
        <x:f>IFERROR(AE232/AI232,0)</x:f>
        <x:v>2.146538768480725</x:v>
      </x:c>
      <x:c r="R232" s="172" t="n">
        <x:f>IFERROR((Q232-P232)/(P232+S232),0)</x:f>
        <x:v>0.012295531788245653</x:v>
      </x:c>
      <x:c r="S232" s="172" t="n">
        <x:f>IFERROR(AF232/AH232,0)</x:f>
        <x:v>0</x:v>
      </x:c>
      <x:c r="T232" s="172" t="n">
        <x:f>IFERROR(AG232/AI232,0)</x:f>
        <x:v>0</x:v>
      </x:c>
      <x:c r="U232" s="172" t="n">
        <x:f>IFERROR((T232-S232)/(P232+S232),0)</x:f>
        <x:v>0</x:v>
      </x:c>
      <x:c r="V232" s="172" t="n">
        <x:f>R232+U232</x:f>
        <x:v>0.012295531788245653</x:v>
      </x:c>
      <x:c r="W232" s="172" t="n">
        <x:f>(1+O232)*(1+V232)-1</x:f>
        <x:v>0.01747793212163251</x:v>
      </x:c>
      <x:c r="X232" s="174" t="n">
        <x:f>G232-W232</x:f>
        <x:v>-1.7694179454963432e-16</x:v>
      </x:c>
      <x:c r="Y232" s="172" t="str">
        <x:f>AX232</x:f>
      </x:c>
      <x:c r="Z232" s="172" t="n">
        <x:f>BL232</x:f>
        <x:v>0.00021671232876729896</x:v>
      </x:c>
      <x:c r="AA232" s="172" t="n">
        <x:f>SUM(BZ232,CN232,DB232,DP232,ED232,ER232,FF232,FT232)</x:f>
        <x:v>0.017261219792865212</x:v>
      </x:c>
      <x:c r="AB232" s="172" t="n">
        <x:f>SUM(Y232:AA232)</x:f>
        <x:v>0.01747793212163251</x:v>
      </x:c>
      <x:c r="AC232" s="174" t="n">
        <x:f>G232-AB232</x:f>
        <x:v>-1.7694179454963432e-16</x:v>
      </x:c>
      <x:c r="AD232" s="169" t="n">
        <x:v>1.9038713565231649</x:v>
      </x:c>
      <x:c r="AE232" s="169" t="n">
        <x:v>1.9371470908607968</x:v>
      </x:c>
      <x:c r="AF232" s="169" t="n">
        <x:v>0</x:v>
      </x:c>
      <x:c r="AG232" s="169" t="n">
        <x:v>0</x:v>
      </x:c>
      <x:c r="AH232" s="171" t="n">
        <x:f>M232/$M$3</x:f>
        <x:v>0.8978549540347294</x:v>
      </x:c>
      <x:c r="AI232" s="171" t="n">
        <x:f>N232/$M$3</x:f>
        <x:v>0.9024514811031664</x:v>
      </x:c>
      <x:c r="AJ232" s="170" t="n">
        <x:f>IF(AK232&lt;&gt;"",1,0)+IF(AY232&lt;&gt;"",1,0)+IF(BM232&lt;&gt;"",1,0)+IF(CA232&lt;&gt;"",1,0)+IF(CO232&lt;&gt;"",1,0)+IF(DC232&lt;&gt;"",1,0)+IF(DQ232&lt;&gt;"",1,0)+IF(EE232&lt;&gt;"",1,0)+IF(ES232&lt;&gt;"",1,0)+IF(FG232&lt;&gt;"",1,0)</x:f>
        <x:v>4</x:v>
      </x:c>
      <x:c r="AK232" s="147"/>
      <x:c r="AL232" s="147"/>
      <x:c r="AM232" s="147"/>
      <x:c r="AN232" s="167"/>
      <x:c r="AO232" s="167"/>
      <x:c r="AP232" s="166"/>
      <x:c r="AQ232" s="171" t="str">
        <x:f>IF(AK232="","",IFERROR(F232*AP232/AN232,0))</x:f>
      </x:c>
      <x:c r="AR232" s="171" t="str">
        <x:f>IF(AK232="","",F232*ABS(AP232))</x:f>
      </x:c>
      <x:c r="AS232" s="165"/>
      <x:c r="AT232" s="172" t="str">
        <x:f>IF(AK232="","",IF(AS232="","",IFERROR(AN232/AS232-1,0)))</x:f>
      </x:c>
      <x:c r="AU232" s="166"/>
      <x:c r="AV232" s="172" t="str">
        <x:f>IF(AK232="","",IF(AU232="","",AU232-AT232*365/AW232))</x:f>
      </x:c>
      <x:c r="AW232" s="164"/>
      <x:c r="AX232" s="173" t="str">
        <x:f>IF(AK232="","",IFERROR(AP232*(AO232/AN232-1),0))</x:f>
      </x:c>
      <x:c r="AY232" s="147" t="str">
        <x:v>Matched-maturity Treasury collateral</x:v>
      </x:c>
      <x:c r="AZ232" s="147" t="str">
        <x:v>Treasury</x:v>
      </x:c>
      <x:c r="BA232" s="147" t="str">
        <x:v>Long</x:v>
      </x:c>
      <x:c r="BB232" s="167" t="n">
        <x:v>106.36751675244409</x:v>
      </x:c>
      <x:c r="BC232" s="167" t="n">
        <x:v>106.3905679047047</x:v>
      </x:c>
      <x:c r="BD232" s="166" t="n">
        <x:v>1</x:v>
      </x:c>
      <x:c r="BE232" s="171" t="n">
        <x:f>IF(AY232="","",IFERROR(F232*BD232/BB232,0))</x:f>
        <x:v>0.01789899223608056</x:v>
      </x:c>
      <x:c r="BF232" s="171" t="n">
        <x:f>IF(AY232="","",F232*ABS(BD232))</x:f>
        <x:v>1.9038713565231655</x:v>
      </x:c>
      <x:c r="BG232" s="165"/>
      <x:c r="BH232" s="172" t="str">
        <x:f>IF(AY232="","",IF(BG232="","",IFERROR(BB232/BG232-1,0)))</x:f>
      </x:c>
      <x:c r="BI232" s="166"/>
      <x:c r="BJ232" s="172" t="str">
        <x:f>IF(AY232="","",IF(BI232="","",BI232-BH232*365/BK232))</x:f>
      </x:c>
      <x:c r="BK232" s="164" t="n">
        <x:v>19</x:v>
      </x:c>
      <x:c r="BL232" s="172" t="n">
        <x:f>IF(AY232="","",IFERROR(BD232*(BC232/BB232-1),0))</x:f>
        <x:v>0.00021671232876729896</x:v>
      </x:c>
      <x:c r="BM232" s="147" t="str">
        <x:v>SI69Z</x:v>
      </x:c>
      <x:c r="BN232" s="147" t="str">
        <x:v>Silver future (regular)</x:v>
      </x:c>
      <x:c r="BO232" s="147" t="str">
        <x:v>Long</x:v>
      </x:c>
      <x:c r="BP232" s="167" t="n">
        <x:v>1.7380000000000002</x:v>
      </x:c>
      <x:c r="BQ232" s="167" t="n">
        <x:v>1.768</x:v>
      </x:c>
      <x:c r="BR232" s="166" t="n">
        <x:v>1</x:v>
      </x:c>
      <x:c r="BS232" s="171" t="n">
        <x:f>IF(BM232="","",IFERROR(F232*BR232/BP232,0))</x:f>
        <x:v>1.095438064742903</x:v>
      </x:c>
      <x:c r="BT232" s="171" t="n">
        <x:f>IF(BM232="","",F232*ABS(BR232))</x:f>
        <x:v>1.9038713565231655</x:v>
      </x:c>
      <x:c r="BU232" s="165" t="n">
        <x:v>1.758</x:v>
      </x:c>
      <x:c r="BV232" s="172" t="n">
        <x:f>IF(BM232="","",IF(BU232="","",IFERROR(BP232/BU232-1,0)))</x:f>
        <x:v>-0.011376564277588042</x:v>
      </x:c>
      <x:c r="BW232" s="166" t="n">
        <x:v>0.0791</x:v>
      </x:c>
      <x:c r="BX232" s="172" t="n">
        <x:f>IF(BM232="","",IF(BW232="","",BW232-BV232*365/BY232))</x:f>
        <x:v>0.29764978743787557</x:v>
      </x:c>
      <x:c r="BY232" s="164" t="n">
        <x:v>19</x:v>
      </x:c>
      <x:c r="BZ232" s="172" t="n">
        <x:f>IF(BM232="","",IFERROR(BR232*(BQ232/BP232-1),0))</x:f>
        <x:v>0.017261219792865212</x:v>
      </x:c>
      <x:c r="CA232" s="147" t="str">
        <x:v>SI70F</x:v>
      </x:c>
      <x:c r="CB232" s="147" t="str">
        <x:v>Silver future (regular)</x:v>
      </x:c>
      <x:c r="CC232" s="147" t="str">
        <x:v>Long</x:v>
      </x:c>
      <x:c r="CD232" s="167" t="n">
        <x:v>1.75</x:v>
      </x:c>
      <x:c r="CE232" s="167" t="n">
        <x:v>1.78</x:v>
      </x:c>
      <x:c r="CF232" s="166" t="n">
        <x:v>2.120447057635896e-20</x:v>
      </x:c>
      <x:c r="CG232" s="171" t="n">
        <x:f>IF(CA232="","",IFERROR(F232*CF232/CD232,0))</x:f>
        <x:v>2.3068905234610333e-20</x:v>
      </x:c>
      <x:c r="CH232" s="171" t="n">
        <x:f>IF(CA232="","",F232*ABS(CF232))</x:f>
        <x:v>4.0370584160568084e-20</x:v>
      </x:c>
      <x:c r="CI232" s="165" t="n">
        <x:v>1.758</x:v>
      </x:c>
      <x:c r="CJ232" s="172" t="n">
        <x:f>IF(CA232="","",IF(CI232="","",IFERROR(CD232/CI232-1,0)))</x:f>
        <x:v>-0.004550625711035261</x:v>
      </x:c>
      <x:c r="CK232" s="166" t="n">
        <x:v>0.0791</x:v>
      </x:c>
      <x:c r="CL232" s="172" t="n">
        <x:f>IF(CA232="","",IF(CK232="","",CK232-CJ232*365/CM232))</x:f>
        <x:v>0.1129975180515892</x:v>
      </x:c>
      <x:c r="CM232" s="164" t="n">
        <x:v>49</x:v>
      </x:c>
      <x:c r="CN232" s="172" t="n">
        <x:f>IF(CA232="","",IFERROR(CF232*(CE232/CD232-1),0))</x:f>
        <x:v>3.6350520988043895e-22</x:v>
      </x:c>
      <x:c r="CO232" s="147" t="str">
        <x:v>SI70H</x:v>
      </x:c>
      <x:c r="CP232" s="147" t="str">
        <x:v>Silver future (regular)</x:v>
      </x:c>
      <x:c r="CQ232" s="147" t="str">
        <x:v>Long</x:v>
      </x:c>
      <x:c r="CR232" s="167" t="n">
        <x:v>1.79</x:v>
      </x:c>
      <x:c r="CS232" s="167" t="n">
        <x:v>1.82</x:v>
      </x:c>
      <x:c r="CT232" s="166" t="n">
        <x:v>1.428223500209647e-28</x:v>
      </x:c>
      <x:c r="CU232" s="171" t="n">
        <x:f>IF(CO232="","",IFERROR(F232*CT232/CR232,0))</x:f>
        <x:v>1.5190803423253653e-28</x:v>
      </x:c>
      <x:c r="CV232" s="171" t="n">
        <x:f>IF(CO232="","",F232*ABS(CT232))</x:f>
        <x:v>2.719153812762404e-28</x:v>
      </x:c>
      <x:c r="CW232" s="165" t="n">
        <x:v>1.758</x:v>
      </x:c>
      <x:c r="CX232" s="172" t="n">
        <x:f>IF(CO232="","",IF(CW232="","",IFERROR(CR232/CW232-1,0)))</x:f>
        <x:v>0.018202502844141044</x:v>
      </x:c>
      <x:c r="CY232" s="166" t="n">
        <x:v>0.0792934065934066</x:v>
      </x:c>
      <x:c r="CZ232" s="172" t="n">
        <x:f>IF(CO232="","",IF(CY232="","",CY232-CX232*365/DA232))</x:f>
        <x:v>0.01720075670451425</x:v>
      </x:c>
      <x:c r="DA232" s="164" t="n">
        <x:v>107</x:v>
      </x:c>
      <x:c r="DB232" s="172" t="n">
        <x:f>IF(CO232="","",IFERROR(CT232*(CS232/CR232-1),0))</x:f>
        <x:v>2.3936706707424145e-30</x:v>
      </x:c>
      <x:c r="DC232" s="147"/>
      <x:c r="DD232" s="147"/>
      <x:c r="DE232" s="147"/>
      <x:c r="DF232" s="167"/>
      <x:c r="DG232" s="167"/>
      <x:c r="DH232" s="166"/>
      <x:c r="DI232" s="171" t="str">
        <x:f>IF(DC232="","",IFERROR(F232*DH232/DF232,0))</x:f>
      </x:c>
      <x:c r="DJ232" s="171" t="str">
        <x:f>IF(DC232="","",F232*ABS(DH232))</x:f>
      </x:c>
      <x:c r="DK232" s="165"/>
      <x:c r="DL232" s="172" t="str">
        <x:f>IF(DC232="","",IF(DK232="","",IFERROR(DF232/DK232-1,0)))</x:f>
      </x:c>
      <x:c r="DM232" s="166"/>
      <x:c r="DN232" s="172" t="str">
        <x:f>IF(DC232="","",IF(DM232="","",DM232-DL232*365/DO232))</x:f>
      </x:c>
      <x:c r="DO232" s="164"/>
      <x:c r="DP232" s="172" t="str">
        <x:f>IF(DC232="","",IFERROR(DH232*(DG232/DF232-1),0))</x:f>
      </x:c>
      <x:c r="DQ232" s="147"/>
      <x:c r="DR232" s="147"/>
      <x:c r="DS232" s="147"/>
      <x:c r="DT232" s="167"/>
      <x:c r="DU232" s="167"/>
      <x:c r="DV232" s="166"/>
      <x:c r="DW232" s="171" t="str">
        <x:f>IF(DQ232="","",IFERROR(F232*DV232/DT232,0))</x:f>
      </x:c>
      <x:c r="DX232" s="171" t="str">
        <x:f>IF(DQ232="","",F232*ABS(DV232))</x:f>
      </x:c>
      <x:c r="DY232" s="165"/>
      <x:c r="DZ232" s="172" t="str">
        <x:f>IF(DQ232="","",IF(DY232="","",IFERROR(DT232/DY232-1,0)))</x:f>
      </x:c>
      <x:c r="EA232" s="166"/>
      <x:c r="EB232" s="172" t="str">
        <x:f>IF(DQ232="","",IF(EA232="","",EA232-DZ232*365/EC232))</x:f>
      </x:c>
      <x:c r="EC232" s="164"/>
      <x:c r="ED232" s="172" t="str">
        <x:f>IF(DQ232="","",IFERROR(DV232*(DU232/DT232-1),0))</x:f>
      </x:c>
      <x:c r="EE232" s="147"/>
      <x:c r="EF232" s="147"/>
      <x:c r="EG232" s="147"/>
      <x:c r="EH232" s="167"/>
      <x:c r="EI232" s="167"/>
      <x:c r="EJ232" s="166"/>
      <x:c r="EK232" s="171" t="str">
        <x:f>IF(EE232="","",IFERROR(F232*EJ232/EH232,0))</x:f>
      </x:c>
      <x:c r="EL232" s="171" t="str">
        <x:f>IF(EE232="","",F232*ABS(EJ232))</x:f>
      </x:c>
      <x:c r="EM232" s="165"/>
      <x:c r="EN232" s="172" t="str">
        <x:f>IF(EE232="","",IF(EM232="","",IFERROR(EH232/EM232-1,0)))</x:f>
      </x:c>
      <x:c r="EO232" s="166"/>
      <x:c r="EP232" s="172" t="str">
        <x:f>IF(EE232="","",IF(EO232="","",EO232-EN232*365/EQ232))</x:f>
      </x:c>
      <x:c r="EQ232" s="164"/>
      <x:c r="ER232" s="172" t="str">
        <x:f>IF(EE232="","",IFERROR(EJ232*(EI232/EH232-1),0))</x:f>
      </x:c>
      <x:c r="ES232" s="147"/>
      <x:c r="ET232" s="147"/>
      <x:c r="EU232" s="147"/>
      <x:c r="EV232" s="167"/>
      <x:c r="EW232" s="167"/>
      <x:c r="EX232" s="166"/>
      <x:c r="EY232" s="171" t="str">
        <x:f>IF(ES232="","",IFERROR(F232*EX232/EV232,0))</x:f>
      </x:c>
      <x:c r="EZ232" s="171" t="str">
        <x:f>IF(ES232="","",F232*ABS(EX232))</x:f>
      </x:c>
      <x:c r="FA232" s="165"/>
      <x:c r="FB232" s="172" t="str">
        <x:f>IF(ES232="","",IF(FA232="","",IFERROR(EV232/FA232-1,0)))</x:f>
      </x:c>
      <x:c r="FC232" s="166"/>
      <x:c r="FD232" s="172" t="str">
        <x:f>IF(ES232="","",IF(FC232="","",FC232-FB232*365/FE232))</x:f>
      </x:c>
      <x:c r="FE232" s="164"/>
      <x:c r="FF232" s="172" t="str">
        <x:f>IF(ES232="","",IFERROR(EX232*(EW232/EV232-1),0))</x:f>
      </x:c>
      <x:c r="FG232" s="147"/>
      <x:c r="FH232" s="147"/>
      <x:c r="FI232" s="147"/>
      <x:c r="FJ232" s="167"/>
      <x:c r="FK232" s="167"/>
      <x:c r="FL232" s="166"/>
      <x:c r="FM232" s="171" t="str">
        <x:f>IF(FG232="","",IFERROR(F232*FL232/FJ232,0))</x:f>
      </x:c>
      <x:c r="FN232" s="171" t="str">
        <x:f>IF(FG232="","",F232*ABS(FL232))</x:f>
      </x:c>
      <x:c r="FO232" s="165"/>
      <x:c r="FP232" s="172" t="str">
        <x:f>IF(FG232="","",IF(FO232="","",IFERROR(FJ232/FO232-1,0)))</x:f>
      </x:c>
      <x:c r="FQ232" s="166"/>
      <x:c r="FR232" s="172" t="str">
        <x:f>IF(FG232="","",IF(FQ232="","",FQ232-FP232*365/FS232))</x:f>
      </x:c>
      <x:c r="FS232" s="164"/>
      <x:c r="FT232" s="172" t="str">
        <x:f>IF(FG232="","",IFERROR(FL232*(FK232/FJ232-1),0))</x:f>
      </x:c>
    </x:row>
    <x:row r="233" ht="18" customHeight="1">
      <x:c r="A233" s="163" t="n">
        <x:v>25548</x:v>
      </x:c>
      <x:c r="B233" s="163" t="n">
        <x:v>25549</x:v>
      </x:c>
      <x:c r="C233" s="170" t="n">
        <x:f>B233-A233</x:f>
        <x:v>1</x:v>
      </x:c>
      <x:c r="D233" s="163" t="n">
        <x:v>25548</x:v>
      </x:c>
      <x:c r="E233" s="147" t="str">
        <x:v>positive</x:v>
      </x:c>
      <x:c r="F233" s="165" t="n">
        <x:v>1.9371470908607975</x:v>
      </x:c>
      <x:c r="G233" s="168" t="n">
        <x:v>-0.00813035403898632</x:v>
      </x:c>
      <x:c r="H233" s="172" t="n">
        <x:f>SUM(AX233,BL233,BZ233,CN233,DB233,DP233,ED233,ER233,FF233,FT233)</x:f>
        <x:v>-0.008130354038986277</x:v>
      </x:c>
      <x:c r="I233" s="174" t="n">
        <x:f>G233-H233</x:f>
        <x:v>-4.336808689942018e-17</x:v>
      </x:c>
      <x:c r="J233" s="171" t="n">
        <x:f>F233*(1+H233)</x:f>
        <x:v>1.9213973991865068</x:v>
      </x:c>
      <x:c r="K233" s="169" t="n">
        <x:v>1.9213973991865068</x:v>
      </x:c>
      <x:c r="L233" s="175" t="n">
        <x:f>K233-J233</x:f>
        <x:v>0</x:v>
      </x:c>
      <x:c r="M233" s="167" t="n">
        <x:v>1.767</x:v>
      </x:c>
      <x:c r="N233" s="167" t="n">
        <x:v>1.748</x:v>
      </x:c>
      <x:c r="O233" s="172" t="n">
        <x:f>IFERROR(N233/M233-1,0)</x:f>
        <x:v>-0.010752688172043001</x:v>
      </x:c>
      <x:c r="P233" s="171" t="n">
        <x:f>IFERROR(AD233/AH233,0)</x:f>
        <x:v>2.146538768480725</x:v>
      </x:c>
      <x:c r="Q233" s="171" t="n">
        <x:f>IFERROR(AE233/AI233,0)</x:f>
        <x:v>2.152228894512116</x:v>
      </x:c>
      <x:c r="R233" s="172" t="n">
        <x:f>IFERROR((Q233-P233)/(P233+S233),0)</x:f>
        <x:v>0.0026508377649374698</x:v>
      </x:c>
      <x:c r="S233" s="172" t="n">
        <x:f>IFERROR(AF233/AH233,0)</x:f>
        <x:v>0</x:v>
      </x:c>
      <x:c r="T233" s="172" t="n">
        <x:f>IFERROR(AG233/AI233,0)</x:f>
        <x:v>0</x:v>
      </x:c>
      <x:c r="U233" s="172" t="n">
        <x:f>IFERROR((T233-S233)/(P233+S233),0)</x:f>
        <x:v>0</x:v>
      </x:c>
      <x:c r="V233" s="172" t="n">
        <x:f>R233+U233</x:f>
        <x:v>0.0026508377649374698</x:v>
      </x:c>
      <x:c r="W233" s="172" t="n">
        <x:f>(1+O233)*(1+V233)-1</x:f>
        <x:v>-0.008130354038986543</x:v>
      </x:c>
      <x:c r="X233" s="174" t="n">
        <x:f>G233-W233</x:f>
        <x:v>2.220446049250313e-16</x:v>
      </x:c>
      <x:c r="Y233" s="172" t="n">
        <x:f>AX233</x:f>
        <x:v>-0.005951876461217774</x:v>
      </x:c>
      <x:c r="Z233" s="172" t="n">
        <x:f>BL233</x:f>
        <x:v>0.00009609859286770244</x:v>
      </x:c>
      <x:c r="AA233" s="172" t="n">
        <x:f>SUM(BZ233,CN233,DB233,DP233,ED233,ER233,FF233,FT233)</x:f>
        <x:v>-0.0022745761706362048</x:v>
      </x:c>
      <x:c r="AB233" s="172" t="n">
        <x:f>SUM(Y233:AA233)</x:f>
        <x:v>-0.008130354038986277</x:v>
      </x:c>
      <x:c r="AC233" s="174" t="n">
        <x:f>G233-AB233</x:f>
        <x:v>-4.336808689942018e-17</x:v>
      </x:c>
      <x:c r="AD233" s="169" t="n">
        <x:v>1.9371470908607968</x:v>
      </x:c>
      <x:c r="AE233" s="169" t="n">
        <x:v>1.921397399186506</x:v>
      </x:c>
      <x:c r="AF233" s="169" t="n">
        <x:v>0</x:v>
      </x:c>
      <x:c r="AG233" s="169" t="n">
        <x:v>0</x:v>
      </x:c>
      <x:c r="AH233" s="171" t="n">
        <x:f>M233/$M$3</x:f>
        <x:v>0.9024514811031664</x:v>
      </x:c>
      <x:c r="AI233" s="171" t="n">
        <x:f>N233/$M$3</x:f>
        <x:v>0.8927477017364658</x:v>
      </x:c>
      <x:c r="AJ233" s="170" t="n">
        <x:f>IF(AK233&lt;&gt;"",1,0)+IF(AY233&lt;&gt;"",1,0)+IF(BM233&lt;&gt;"",1,0)+IF(CA233&lt;&gt;"",1,0)+IF(CO233&lt;&gt;"",1,0)+IF(DC233&lt;&gt;"",1,0)+IF(DQ233&lt;&gt;"",1,0)+IF(EE233&lt;&gt;"",1,0)+IF(ES233&lt;&gt;"",1,0)+IF(FG233&lt;&gt;"",1,0)</x:f>
        <x:v>4</x:v>
      </x:c>
      <x:c r="AK233" s="147" t="str">
        <x:v>Silver replicating holding (LBMA/SLV proxy)</x:v>
      </x:c>
      <x:c r="AL233" s="147" t="str">
        <x:v>Physical-backed proxy</x:v>
      </x:c>
      <x:c r="AM233" s="147" t="str">
        <x:v>Long</x:v>
      </x:c>
      <x:c r="AN233" s="167" t="n">
        <x:v>1.767</x:v>
      </x:c>
      <x:c r="AO233" s="167" t="n">
        <x:v>1.748</x:v>
      </x:c>
      <x:c r="AP233" s="166" t="n">
        <x:v>0.5531721478127973</x:v>
      </x:c>
      <x:c r="AQ233" s="171" t="n">
        <x:f>IF(AK233="","",IFERROR(F233*AP233/AN233,0))</x:f>
        <x:v>0.606437926927436</x:v>
      </x:c>
      <x:c r="AR233" s="171" t="n">
        <x:f>IF(AK233="","",F233*ABS(AP233))</x:f>
        <x:v>1.0715758168807794</x:v>
      </x:c>
      <x:c r="AS233" s="165"/>
      <x:c r="AT233" s="172" t="str">
        <x:f>IF(AK233="","",IF(AS233="","",IFERROR(AN233/AS233-1,0)))</x:f>
      </x:c>
      <x:c r="AU233" s="166"/>
      <x:c r="AV233" s="172" t="str">
        <x:f>IF(AK233="","",IF(AU233="","",AU233-AT233*365/AW233))</x:f>
      </x:c>
      <x:c r="AW233" s="164"/>
      <x:c r="AX233" s="173" t="n">
        <x:f>IF(AK233="","",IFERROR(AP233*(AO233/AN233-1-'Parameters'!$C$6*C233/365),0))</x:f>
        <x:v>-0.005951876461217774</x:v>
      </x:c>
      <x:c r="AY233" s="147" t="str">
        <x:v>Matched-maturity Treasury collateral</x:v>
      </x:c>
      <x:c r="AZ233" s="147" t="str">
        <x:v>Treasury</x:v>
      </x:c>
      <x:c r="BA233" s="147" t="str">
        <x:v>Long</x:v>
      </x:c>
      <x:c r="BB233" s="167" t="n">
        <x:v>106.3905679047047</x:v>
      </x:c>
      <x:c r="BC233" s="167" t="n">
        <x:v>106.41344916382943</x:v>
      </x:c>
      <x:c r="BD233" s="166" t="n">
        <x:v>0.44682785218720267</x:v>
      </x:c>
      <x:c r="BE233" s="171" t="n">
        <x:f>IF(AY233="","",IFERROR(F233*BD233/BB233,0))</x:f>
        <x:v>0.008135789581979868</x:v>
      </x:c>
      <x:c r="BF233" s="171" t="n">
        <x:f>IF(AY233="","",F233*ABS(BD233))</x:f>
        <x:v>0.8655712739800181</x:v>
      </x:c>
      <x:c r="BG233" s="165"/>
      <x:c r="BH233" s="172" t="str">
        <x:f>IF(AY233="","",IF(BG233="","",IFERROR(BB233/BG233-1,0)))</x:f>
      </x:c>
      <x:c r="BI233" s="166"/>
      <x:c r="BJ233" s="172" t="str">
        <x:f>IF(AY233="","",IF(BI233="","",BI233-BH233*365/BK233))</x:f>
      </x:c>
      <x:c r="BK233" s="164" t="n">
        <x:v>18</x:v>
      </x:c>
      <x:c r="BL233" s="172" t="n">
        <x:f>IF(AY233="","",IFERROR(BD233*(BC233/BB233-1),0))</x:f>
        <x:v>0.00009609859286770244</x:v>
      </x:c>
      <x:c r="BM233" s="147" t="str">
        <x:v>SI69Z</x:v>
      </x:c>
      <x:c r="BN233" s="147" t="str">
        <x:v>Silver future (regular)</x:v>
      </x:c>
      <x:c r="BO233" s="147" t="str">
        <x:v>Long</x:v>
      </x:c>
      <x:c r="BP233" s="167" t="n">
        <x:v>1.768</x:v>
      </x:c>
      <x:c r="BQ233" s="167" t="n">
        <x:v>1.7590000000000001</x:v>
      </x:c>
      <x:c r="BR233" s="166" t="n">
        <x:v>0.44682785218720267</x:v>
      </x:c>
      <x:c r="BS233" s="171" t="n">
        <x:f>IF(BM233="","",IFERROR(F233*BR233/BP233,0))</x:f>
        <x:v>0.4895765124321369</x:v>
      </x:c>
      <x:c r="BT233" s="171" t="n">
        <x:f>IF(BM233="","",F233*ABS(BR233))</x:f>
        <x:v>0.8655712739800181</x:v>
      </x:c>
      <x:c r="BU233" s="165" t="n">
        <x:v>1.767</x:v>
      </x:c>
      <x:c r="BV233" s="172" t="n">
        <x:f>IF(BM233="","",IF(BU233="","",IFERROR(BP233/BU233-1,0)))</x:f>
        <x:v>0.0005659309564234327</x:v>
      </x:c>
      <x:c r="BW233" s="166" t="n">
        <x:v>0.0785</x:v>
      </x:c>
      <x:c r="BX233" s="172" t="n">
        <x:f>IF(BM233="","",IF(BW233="","",BW233-BV233*365/BY233))</x:f>
        <x:v>0.0670241778280804</x:v>
      </x:c>
      <x:c r="BY233" s="164" t="n">
        <x:v>18</x:v>
      </x:c>
      <x:c r="BZ233" s="172" t="n">
        <x:f>IF(BM233="","",IFERROR(BR233*(BQ233/BP233-1),0))</x:f>
        <x:v>-0.0022745761706362048</x:v>
      </x:c>
      <x:c r="CA233" s="147" t="str">
        <x:v>SI70F</x:v>
      </x:c>
      <x:c r="CB233" s="147" t="str">
        <x:v>Silver future (regular)</x:v>
      </x:c>
      <x:c r="CC233" s="147" t="str">
        <x:v>Long</x:v>
      </x:c>
      <x:c r="CD233" s="167" t="n">
        <x:v>1.78</x:v>
      </x:c>
      <x:c r="CE233" s="167" t="n">
        <x:v>1.77</x:v>
      </x:c>
      <x:c r="CF233" s="166" t="n">
        <x:v>9.474748044401209e-21</x:v>
      </x:c>
      <x:c r="CG233" s="171" t="n">
        <x:f>IF(CA233="","",IFERROR(F233*CF233/CD233,0))</x:f>
        <x:v>1.0311225062275747e-20</x:v>
      </x:c>
      <x:c r="CH233" s="171" t="n">
        <x:f>IF(CA233="","",F233*ABS(CF233))</x:f>
        <x:v>1.835398061085083e-20</x:v>
      </x:c>
      <x:c r="CI233" s="165" t="n">
        <x:v>1.767</x:v>
      </x:c>
      <x:c r="CJ233" s="172" t="n">
        <x:f>IF(CA233="","",IF(CI233="","",IFERROR(CD233/CI233-1,0)))</x:f>
        <x:v>0.007357102433503293</x:v>
      </x:c>
      <x:c r="CK233" s="166" t="n">
        <x:v>0.0785</x:v>
      </x:c>
      <x:c r="CL233" s="172" t="n">
        <x:f>IF(CA233="","",IF(CK233="","",CK233-CJ233*365/CM233))</x:f>
        <x:v>0.02255536691190204</x:v>
      </x:c>
      <x:c r="CM233" s="164" t="n">
        <x:v>48</x:v>
      </x:c>
      <x:c r="CN233" s="172" t="n">
        <x:f>IF(CA233="","",IFERROR(CF233*(CE233/CD233-1),0))</x:f>
        <x:v>-5.322892159775973e-23</x:v>
      </x:c>
      <x:c r="CO233" s="147"/>
      <x:c r="CP233" s="147"/>
      <x:c r="CQ233" s="147"/>
      <x:c r="CR233" s="167"/>
      <x:c r="CS233" s="167"/>
      <x:c r="CT233" s="166"/>
      <x:c r="CU233" s="171" t="str">
        <x:f>IF(CO233="","",IFERROR(F233*CT233/CR233,0))</x:f>
      </x:c>
      <x:c r="CV233" s="171" t="str">
        <x:f>IF(CO233="","",F233*ABS(CT233))</x:f>
      </x:c>
      <x:c r="CW233" s="165"/>
      <x:c r="CX233" s="172" t="str">
        <x:f>IF(CO233="","",IF(CW233="","",IFERROR(CR233/CW233-1,0)))</x:f>
      </x:c>
      <x:c r="CY233" s="166"/>
      <x:c r="CZ233" s="172" t="str">
        <x:f>IF(CO233="","",IF(CY233="","",CY233-CX233*365/DA233))</x:f>
      </x:c>
      <x:c r="DA233" s="164"/>
      <x:c r="DB233" s="172" t="str">
        <x:f>IF(CO233="","",IFERROR(CT233*(CS233/CR233-1),0))</x:f>
      </x:c>
      <x:c r="DC233" s="147"/>
      <x:c r="DD233" s="147"/>
      <x:c r="DE233" s="147"/>
      <x:c r="DF233" s="167"/>
      <x:c r="DG233" s="167"/>
      <x:c r="DH233" s="166"/>
      <x:c r="DI233" s="171" t="str">
        <x:f>IF(DC233="","",IFERROR(F233*DH233/DF233,0))</x:f>
      </x:c>
      <x:c r="DJ233" s="171" t="str">
        <x:f>IF(DC233="","",F233*ABS(DH233))</x:f>
      </x:c>
      <x:c r="DK233" s="165"/>
      <x:c r="DL233" s="172" t="str">
        <x:f>IF(DC233="","",IF(DK233="","",IFERROR(DF233/DK233-1,0)))</x:f>
      </x:c>
      <x:c r="DM233" s="166"/>
      <x:c r="DN233" s="172" t="str">
        <x:f>IF(DC233="","",IF(DM233="","",DM233-DL233*365/DO233))</x:f>
      </x:c>
      <x:c r="DO233" s="164"/>
      <x:c r="DP233" s="172" t="str">
        <x:f>IF(DC233="","",IFERROR(DH233*(DG233/DF233-1),0))</x:f>
      </x:c>
      <x:c r="DQ233" s="147"/>
      <x:c r="DR233" s="147"/>
      <x:c r="DS233" s="147"/>
      <x:c r="DT233" s="167"/>
      <x:c r="DU233" s="167"/>
      <x:c r="DV233" s="166"/>
      <x:c r="DW233" s="171" t="str">
        <x:f>IF(DQ233="","",IFERROR(F233*DV233/DT233,0))</x:f>
      </x:c>
      <x:c r="DX233" s="171" t="str">
        <x:f>IF(DQ233="","",F233*ABS(DV233))</x:f>
      </x:c>
      <x:c r="DY233" s="165"/>
      <x:c r="DZ233" s="172" t="str">
        <x:f>IF(DQ233="","",IF(DY233="","",IFERROR(DT233/DY233-1,0)))</x:f>
      </x:c>
      <x:c r="EA233" s="166"/>
      <x:c r="EB233" s="172" t="str">
        <x:f>IF(DQ233="","",IF(EA233="","",EA233-DZ233*365/EC233))</x:f>
      </x:c>
      <x:c r="EC233" s="164"/>
      <x:c r="ED233" s="172" t="str">
        <x:f>IF(DQ233="","",IFERROR(DV233*(DU233/DT233-1),0))</x:f>
      </x:c>
      <x:c r="EE233" s="147"/>
      <x:c r="EF233" s="147"/>
      <x:c r="EG233" s="147"/>
      <x:c r="EH233" s="167"/>
      <x:c r="EI233" s="167"/>
      <x:c r="EJ233" s="166"/>
      <x:c r="EK233" s="171" t="str">
        <x:f>IF(EE233="","",IFERROR(F233*EJ233/EH233,0))</x:f>
      </x:c>
      <x:c r="EL233" s="171" t="str">
        <x:f>IF(EE233="","",F233*ABS(EJ233))</x:f>
      </x:c>
      <x:c r="EM233" s="165"/>
      <x:c r="EN233" s="172" t="str">
        <x:f>IF(EE233="","",IF(EM233="","",IFERROR(EH233/EM233-1,0)))</x:f>
      </x:c>
      <x:c r="EO233" s="166"/>
      <x:c r="EP233" s="172" t="str">
        <x:f>IF(EE233="","",IF(EO233="","",EO233-EN233*365/EQ233))</x:f>
      </x:c>
      <x:c r="EQ233" s="164"/>
      <x:c r="ER233" s="172" t="str">
        <x:f>IF(EE233="","",IFERROR(EJ233*(EI233/EH233-1),0))</x:f>
      </x:c>
      <x:c r="ES233" s="147"/>
      <x:c r="ET233" s="147"/>
      <x:c r="EU233" s="147"/>
      <x:c r="EV233" s="167"/>
      <x:c r="EW233" s="167"/>
      <x:c r="EX233" s="166"/>
      <x:c r="EY233" s="171" t="str">
        <x:f>IF(ES233="","",IFERROR(F233*EX233/EV233,0))</x:f>
      </x:c>
      <x:c r="EZ233" s="171" t="str">
        <x:f>IF(ES233="","",F233*ABS(EX233))</x:f>
      </x:c>
      <x:c r="FA233" s="165"/>
      <x:c r="FB233" s="172" t="str">
        <x:f>IF(ES233="","",IF(FA233="","",IFERROR(EV233/FA233-1,0)))</x:f>
      </x:c>
      <x:c r="FC233" s="166"/>
      <x:c r="FD233" s="172" t="str">
        <x:f>IF(ES233="","",IF(FC233="","",FC233-FB233*365/FE233))</x:f>
      </x:c>
      <x:c r="FE233" s="164"/>
      <x:c r="FF233" s="172" t="str">
        <x:f>IF(ES233="","",IFERROR(EX233*(EW233/EV233-1),0))</x:f>
      </x:c>
      <x:c r="FG233" s="147"/>
      <x:c r="FH233" s="147"/>
      <x:c r="FI233" s="147"/>
      <x:c r="FJ233" s="167"/>
      <x:c r="FK233" s="167"/>
      <x:c r="FL233" s="166"/>
      <x:c r="FM233" s="171" t="str">
        <x:f>IF(FG233="","",IFERROR(F233*FL233/FJ233,0))</x:f>
      </x:c>
      <x:c r="FN233" s="171" t="str">
        <x:f>IF(FG233="","",F233*ABS(FL233))</x:f>
      </x:c>
      <x:c r="FO233" s="165"/>
      <x:c r="FP233" s="172" t="str">
        <x:f>IF(FG233="","",IF(FO233="","",IFERROR(FJ233/FO233-1,0)))</x:f>
      </x:c>
      <x:c r="FQ233" s="166"/>
      <x:c r="FR233" s="172" t="str">
        <x:f>IF(FG233="","",IF(FQ233="","",FQ233-FP233*365/FS233))</x:f>
      </x:c>
      <x:c r="FS233" s="164"/>
      <x:c r="FT233" s="172" t="str">
        <x:f>IF(FG233="","",IFERROR(FL233*(FK233/FJ233-1),0))</x:f>
      </x:c>
    </x:row>
    <x:row r="234" ht="18" customHeight="1">
      <x:c r="A234" s="163" t="n">
        <x:v>25549</x:v>
      </x:c>
      <x:c r="B234" s="163" t="n">
        <x:v>25552</x:v>
      </x:c>
      <x:c r="C234" s="170" t="n">
        <x:f>B234-A234</x:f>
        <x:v>3</x:v>
      </x:c>
      <x:c r="D234" s="163" t="n">
        <x:v>25549</x:v>
      </x:c>
      <x:c r="E234" s="147" t="str">
        <x:v>neutral</x:v>
      </x:c>
      <x:c r="F234" s="165" t="n">
        <x:v>1.9213973991865068</x:v>
      </x:c>
      <x:c r="G234" s="168" t="n">
        <x:v>0.00570027585342156</x:v>
      </x:c>
      <x:c r="H234" s="172" t="n">
        <x:f>SUM(AX234,BL234,BZ234,CN234,DB234,DP234,ED234,ER234,FF234,FT234)</x:f>
        <x:v>0.00570027585342156</x:v>
      </x:c>
      <x:c r="I234" s="174" t="n">
        <x:f>G234-H234</x:f>
        <x:v>0</x:v>
      </x:c>
      <x:c r="J234" s="171" t="n">
        <x:f>F234*(1+H234)</x:f>
        <x:v>1.9323498943859165</x:v>
      </x:c>
      <x:c r="K234" s="169" t="n">
        <x:v>1.9323498943859165</x:v>
      </x:c>
      <x:c r="L234" s="175" t="n">
        <x:f>K234-J234</x:f>
        <x:v>0</x:v>
      </x:c>
      <x:c r="M234" s="167" t="n">
        <x:v>1.748</x:v>
      </x:c>
      <x:c r="N234" s="167" t="n">
        <x:v>1.758</x:v>
      </x:c>
      <x:c r="O234" s="172" t="n">
        <x:f>IFERROR(N234/M234-1,0)</x:f>
        <x:v>0.005720823798627039</x:v>
      </x:c>
      <x:c r="P234" s="171" t="n">
        <x:f>IFERROR(AD234/AH234,0)</x:f>
        <x:v>2.152228894512116</x:v>
      </x:c>
      <x:c r="Q234" s="171" t="n">
        <x:f>IFERROR(AE234/AI234,0)</x:f>
        <x:v>2.1521849221886367</x:v>
      </x:c>
      <x:c r="R234" s="172" t="n">
        <x:f>IFERROR((Q234-P234)/(P234+S234),0)</x:f>
        <x:v>-0.000020431062695713006</x:v>
      </x:c>
      <x:c r="S234" s="172" t="n">
        <x:f>IFERROR(AF234/AH234,0)</x:f>
        <x:v>0</x:v>
      </x:c>
      <x:c r="T234" s="172" t="n">
        <x:f>IFERROR(AG234/AI234,0)</x:f>
        <x:v>0</x:v>
      </x:c>
      <x:c r="U234" s="172" t="n">
        <x:f>IFERROR((T234-S234)/(P234+S234),0)</x:f>
        <x:v>0</x:v>
      </x:c>
      <x:c r="V234" s="172" t="n">
        <x:f>R234+U234</x:f>
        <x:v>-0.000020431062695713006</x:v>
      </x:c>
      <x:c r="W234" s="172" t="n">
        <x:f>(1+O234)*(1+V234)-1</x:f>
        <x:v>0.005700275853421699</x:v>
      </x:c>
      <x:c r="X234" s="174" t="n">
        <x:f>G234-W234</x:f>
        <x:v>-1.3877787807814457e-16</x:v>
      </x:c>
      <x:c r="Y234" s="172" t="n">
        <x:f>AX234</x:f>
        <x:v>0.00570027585342156</x:v>
      </x:c>
      <x:c r="Z234" s="172" t="str">
        <x:f>BL234</x:f>
      </x:c>
      <x:c r="AA234" s="172" t="n">
        <x:f>SUM(BZ234,CN234,DB234,DP234,ED234,ER234,FF234,FT234)</x:f>
        <x:v>0</x:v>
      </x:c>
      <x:c r="AB234" s="172" t="n">
        <x:f>SUM(Y234:AA234)</x:f>
        <x:v>0.00570027585342156</x:v>
      </x:c>
      <x:c r="AC234" s="174" t="n">
        <x:f>G234-AB234</x:f>
        <x:v>0</x:v>
      </x:c>
      <x:c r="AD234" s="169" t="n">
        <x:v>1.921397399186506</x:v>
      </x:c>
      <x:c r="AE234" s="169" t="n">
        <x:v>1.9323498943859159</x:v>
      </x:c>
      <x:c r="AF234" s="169" t="n">
        <x:v>0</x:v>
      </x:c>
      <x:c r="AG234" s="169" t="n">
        <x:v>0</x:v>
      </x:c>
      <x:c r="AH234" s="171" t="n">
        <x:f>M234/$M$3</x:f>
        <x:v>0.8927477017364658</x:v>
      </x:c>
      <x:c r="AI234" s="171" t="n">
        <x:f>N234/$M$3</x:f>
        <x:v>0.8978549540347294</x:v>
      </x:c>
      <x:c r="AJ234" s="170" t="n">
        <x:f>IF(AK234&lt;&gt;"",1,0)+IF(AY234&lt;&gt;"",1,0)+IF(BM234&lt;&gt;"",1,0)+IF(CA234&lt;&gt;"",1,0)+IF(CO234&lt;&gt;"",1,0)+IF(DC234&lt;&gt;"",1,0)+IF(DQ234&lt;&gt;"",1,0)+IF(EE234&lt;&gt;"",1,0)+IF(ES234&lt;&gt;"",1,0)+IF(FG234&lt;&gt;"",1,0)</x:f>
        <x:v>1</x:v>
      </x:c>
      <x:c r="AK234" s="147" t="str">
        <x:v>Silver replicating holding (LBMA/SLV proxy)</x:v>
      </x:c>
      <x:c r="AL234" s="147" t="str">
        <x:v>Physical-backed proxy</x:v>
      </x:c>
      <x:c r="AM234" s="147" t="str">
        <x:v>Long</x:v>
      </x:c>
      <x:c r="AN234" s="167" t="n">
        <x:v>1.748</x:v>
      </x:c>
      <x:c r="AO234" s="167" t="n">
        <x:v>1.758</x:v>
      </x:c>
      <x:c r="AP234" s="166" t="n">
        <x:v>1</x:v>
      </x:c>
      <x:c r="AQ234" s="171" t="n">
        <x:f>IF(AK234="","",IFERROR(F234*AP234/AN234,0))</x:f>
        <x:v>1.0991975967886194</x:v>
      </x:c>
      <x:c r="AR234" s="171" t="n">
        <x:f>IF(AK234="","",F234*ABS(AP234))</x:f>
        <x:v>1.9213973991865068</x:v>
      </x:c>
      <x:c r="AS234" s="165"/>
      <x:c r="AT234" s="172" t="str">
        <x:f>IF(AK234="","",IF(AS234="","",IFERROR(AN234/AS234-1,0)))</x:f>
      </x:c>
      <x:c r="AU234" s="166"/>
      <x:c r="AV234" s="172" t="str">
        <x:f>IF(AK234="","",IF(AU234="","",AU234-AT234*365/AW234))</x:f>
      </x:c>
      <x:c r="AW234" s="164"/>
      <x:c r="AX234" s="173" t="n">
        <x:f>IF(AK234="","",IFERROR(AP234*(AO234/AN234-1-'Parameters'!$C$6*C234/365),0))</x:f>
        <x:v>0.00570027585342156</x:v>
      </x:c>
      <x:c r="AY234" s="147"/>
      <x:c r="AZ234" s="147"/>
      <x:c r="BA234" s="147"/>
      <x:c r="BB234" s="167"/>
      <x:c r="BC234" s="167"/>
      <x:c r="BD234" s="166"/>
      <x:c r="BE234" s="171" t="str">
        <x:f>IF(AY234="","",IFERROR(F234*BD234/BB234,0))</x:f>
      </x:c>
      <x:c r="BF234" s="171" t="str">
        <x:f>IF(AY234="","",F234*ABS(BD234))</x:f>
      </x:c>
      <x:c r="BG234" s="165"/>
      <x:c r="BH234" s="172" t="str">
        <x:f>IF(AY234="","",IF(BG234="","",IFERROR(BB234/BG234-1,0)))</x:f>
      </x:c>
      <x:c r="BI234" s="166"/>
      <x:c r="BJ234" s="172" t="str">
        <x:f>IF(AY234="","",IF(BI234="","",BI234-BH234*365/BK234))</x:f>
      </x:c>
      <x:c r="BK234" s="164"/>
      <x:c r="BL234" s="172" t="str">
        <x:f>IF(AY234="","",IFERROR(BD234*(BC234/BB234-1),0))</x:f>
      </x:c>
      <x:c r="BM234" s="147"/>
      <x:c r="BN234" s="147"/>
      <x:c r="BO234" s="147"/>
      <x:c r="BP234" s="167"/>
      <x:c r="BQ234" s="167"/>
      <x:c r="BR234" s="166"/>
      <x:c r="BS234" s="171" t="str">
        <x:f>IF(BM234="","",IFERROR(F234*BR234/BP234,0))</x:f>
      </x:c>
      <x:c r="BT234" s="171" t="str">
        <x:f>IF(BM234="","",F234*ABS(BR234))</x:f>
      </x:c>
      <x:c r="BU234" s="165"/>
      <x:c r="BV234" s="172" t="str">
        <x:f>IF(BM234="","",IF(BU234="","",IFERROR(BP234/BU234-1,0)))</x:f>
      </x:c>
      <x:c r="BW234" s="166"/>
      <x:c r="BX234" s="172" t="str">
        <x:f>IF(BM234="","",IF(BW234="","",BW234-BV234*365/BY234))</x:f>
      </x:c>
      <x:c r="BY234" s="164"/>
      <x:c r="BZ234" s="172" t="str">
        <x:f>IF(BM234="","",IFERROR(BR234*(BQ234/BP234-1),0))</x:f>
      </x:c>
      <x:c r="CA234" s="147"/>
      <x:c r="CB234" s="147"/>
      <x:c r="CC234" s="147"/>
      <x:c r="CD234" s="167"/>
      <x:c r="CE234" s="167"/>
      <x:c r="CF234" s="166"/>
      <x:c r="CG234" s="171" t="str">
        <x:f>IF(CA234="","",IFERROR(F234*CF234/CD234,0))</x:f>
      </x:c>
      <x:c r="CH234" s="171" t="str">
        <x:f>IF(CA234="","",F234*ABS(CF234))</x:f>
      </x:c>
      <x:c r="CI234" s="165"/>
      <x:c r="CJ234" s="172" t="str">
        <x:f>IF(CA234="","",IF(CI234="","",IFERROR(CD234/CI234-1,0)))</x:f>
      </x:c>
      <x:c r="CK234" s="166"/>
      <x:c r="CL234" s="172" t="str">
        <x:f>IF(CA234="","",IF(CK234="","",CK234-CJ234*365/CM234))</x:f>
      </x:c>
      <x:c r="CM234" s="164"/>
      <x:c r="CN234" s="172" t="str">
        <x:f>IF(CA234="","",IFERROR(CF234*(CE234/CD234-1),0))</x:f>
      </x:c>
      <x:c r="CO234" s="147"/>
      <x:c r="CP234" s="147"/>
      <x:c r="CQ234" s="147"/>
      <x:c r="CR234" s="167"/>
      <x:c r="CS234" s="167"/>
      <x:c r="CT234" s="166"/>
      <x:c r="CU234" s="171" t="str">
        <x:f>IF(CO234="","",IFERROR(F234*CT234/CR234,0))</x:f>
      </x:c>
      <x:c r="CV234" s="171" t="str">
        <x:f>IF(CO234="","",F234*ABS(CT234))</x:f>
      </x:c>
      <x:c r="CW234" s="165"/>
      <x:c r="CX234" s="172" t="str">
        <x:f>IF(CO234="","",IF(CW234="","",IFERROR(CR234/CW234-1,0)))</x:f>
      </x:c>
      <x:c r="CY234" s="166"/>
      <x:c r="CZ234" s="172" t="str">
        <x:f>IF(CO234="","",IF(CY234="","",CY234-CX234*365/DA234))</x:f>
      </x:c>
      <x:c r="DA234" s="164"/>
      <x:c r="DB234" s="172" t="str">
        <x:f>IF(CO234="","",IFERROR(CT234*(CS234/CR234-1),0))</x:f>
      </x:c>
      <x:c r="DC234" s="147"/>
      <x:c r="DD234" s="147"/>
      <x:c r="DE234" s="147"/>
      <x:c r="DF234" s="167"/>
      <x:c r="DG234" s="167"/>
      <x:c r="DH234" s="166"/>
      <x:c r="DI234" s="171" t="str">
        <x:f>IF(DC234="","",IFERROR(F234*DH234/DF234,0))</x:f>
      </x:c>
      <x:c r="DJ234" s="171" t="str">
        <x:f>IF(DC234="","",F234*ABS(DH234))</x:f>
      </x:c>
      <x:c r="DK234" s="165"/>
      <x:c r="DL234" s="172" t="str">
        <x:f>IF(DC234="","",IF(DK234="","",IFERROR(DF234/DK234-1,0)))</x:f>
      </x:c>
      <x:c r="DM234" s="166"/>
      <x:c r="DN234" s="172" t="str">
        <x:f>IF(DC234="","",IF(DM234="","",DM234-DL234*365/DO234))</x:f>
      </x:c>
      <x:c r="DO234" s="164"/>
      <x:c r="DP234" s="172" t="str">
        <x:f>IF(DC234="","",IFERROR(DH234*(DG234/DF234-1),0))</x:f>
      </x:c>
      <x:c r="DQ234" s="147"/>
      <x:c r="DR234" s="147"/>
      <x:c r="DS234" s="147"/>
      <x:c r="DT234" s="167"/>
      <x:c r="DU234" s="167"/>
      <x:c r="DV234" s="166"/>
      <x:c r="DW234" s="171" t="str">
        <x:f>IF(DQ234="","",IFERROR(F234*DV234/DT234,0))</x:f>
      </x:c>
      <x:c r="DX234" s="171" t="str">
        <x:f>IF(DQ234="","",F234*ABS(DV234))</x:f>
      </x:c>
      <x:c r="DY234" s="165"/>
      <x:c r="DZ234" s="172" t="str">
        <x:f>IF(DQ234="","",IF(DY234="","",IFERROR(DT234/DY234-1,0)))</x:f>
      </x:c>
      <x:c r="EA234" s="166"/>
      <x:c r="EB234" s="172" t="str">
        <x:f>IF(DQ234="","",IF(EA234="","",EA234-DZ234*365/EC234))</x:f>
      </x:c>
      <x:c r="EC234" s="164"/>
      <x:c r="ED234" s="172" t="str">
        <x:f>IF(DQ234="","",IFERROR(DV234*(DU234/DT234-1),0))</x:f>
      </x:c>
      <x:c r="EE234" s="147"/>
      <x:c r="EF234" s="147"/>
      <x:c r="EG234" s="147"/>
      <x:c r="EH234" s="167"/>
      <x:c r="EI234" s="167"/>
      <x:c r="EJ234" s="166"/>
      <x:c r="EK234" s="171" t="str">
        <x:f>IF(EE234="","",IFERROR(F234*EJ234/EH234,0))</x:f>
      </x:c>
      <x:c r="EL234" s="171" t="str">
        <x:f>IF(EE234="","",F234*ABS(EJ234))</x:f>
      </x:c>
      <x:c r="EM234" s="165"/>
      <x:c r="EN234" s="172" t="str">
        <x:f>IF(EE234="","",IF(EM234="","",IFERROR(EH234/EM234-1,0)))</x:f>
      </x:c>
      <x:c r="EO234" s="166"/>
      <x:c r="EP234" s="172" t="str">
        <x:f>IF(EE234="","",IF(EO234="","",EO234-EN234*365/EQ234))</x:f>
      </x:c>
      <x:c r="EQ234" s="164"/>
      <x:c r="ER234" s="172" t="str">
        <x:f>IF(EE234="","",IFERROR(EJ234*(EI234/EH234-1),0))</x:f>
      </x:c>
      <x:c r="ES234" s="147"/>
      <x:c r="ET234" s="147"/>
      <x:c r="EU234" s="147"/>
      <x:c r="EV234" s="167"/>
      <x:c r="EW234" s="167"/>
      <x:c r="EX234" s="166"/>
      <x:c r="EY234" s="171" t="str">
        <x:f>IF(ES234="","",IFERROR(F234*EX234/EV234,0))</x:f>
      </x:c>
      <x:c r="EZ234" s="171" t="str">
        <x:f>IF(ES234="","",F234*ABS(EX234))</x:f>
      </x:c>
      <x:c r="FA234" s="165"/>
      <x:c r="FB234" s="172" t="str">
        <x:f>IF(ES234="","",IF(FA234="","",IFERROR(EV234/FA234-1,0)))</x:f>
      </x:c>
      <x:c r="FC234" s="166"/>
      <x:c r="FD234" s="172" t="str">
        <x:f>IF(ES234="","",IF(FC234="","",FC234-FB234*365/FE234))</x:f>
      </x:c>
      <x:c r="FE234" s="164"/>
      <x:c r="FF234" s="172" t="str">
        <x:f>IF(ES234="","",IFERROR(EX234*(EW234/EV234-1),0))</x:f>
      </x:c>
      <x:c r="FG234" s="147"/>
      <x:c r="FH234" s="147"/>
      <x:c r="FI234" s="147"/>
      <x:c r="FJ234" s="167"/>
      <x:c r="FK234" s="167"/>
      <x:c r="FL234" s="166"/>
      <x:c r="FM234" s="171" t="str">
        <x:f>IF(FG234="","",IFERROR(F234*FL234/FJ234,0))</x:f>
      </x:c>
      <x:c r="FN234" s="171" t="str">
        <x:f>IF(FG234="","",F234*ABS(FL234))</x:f>
      </x:c>
      <x:c r="FO234" s="165"/>
      <x:c r="FP234" s="172" t="str">
        <x:f>IF(FG234="","",IF(FO234="","",IFERROR(FJ234/FO234-1,0)))</x:f>
      </x:c>
      <x:c r="FQ234" s="166"/>
      <x:c r="FR234" s="172" t="str">
        <x:f>IF(FG234="","",IF(FQ234="","",FQ234-FP234*365/FS234))</x:f>
      </x:c>
      <x:c r="FS234" s="164"/>
      <x:c r="FT234" s="172" t="str">
        <x:f>IF(FG234="","",IFERROR(FL234*(FK234/FJ234-1),0))</x:f>
      </x:c>
    </x:row>
    <x:row r="235" ht="18" customHeight="1">
      <x:c r="A235" s="163" t="n">
        <x:v>25552</x:v>
      </x:c>
      <x:c r="B235" s="163" t="n">
        <x:v>25553</x:v>
      </x:c>
      <x:c r="C235" s="170" t="n">
        <x:f>B235-A235</x:f>
        <x:v>1</x:v>
      </x:c>
      <x:c r="D235" s="163" t="n">
        <x:v>25552</x:v>
      </x:c>
      <x:c r="E235" s="147" t="str">
        <x:v>positive</x:v>
      </x:c>
      <x:c r="F235" s="165" t="n">
        <x:v>1.9323498943859165</x:v>
      </x:c>
      <x:c r="G235" s="168" t="n">
        <x:v>-0.01748718516905793</x:v>
      </x:c>
      <x:c r="H235" s="172" t="n">
        <x:f>SUM(AX235,BL235,BZ235,CN235,DB235,DP235,ED235,ER235,FF235,FT235)</x:f>
        <x:v>-0.01748718516905811</x:v>
      </x:c>
      <x:c r="I235" s="174" t="n">
        <x:f>G235-H235</x:f>
        <x:v>1.8041124150158794e-16</x:v>
      </x:c>
      <x:c r="J235" s="171" t="n">
        <x:f>F235*(1+H235)</x:f>
        <x:v>1.8985585339713802</x:v>
      </x:c>
      <x:c r="K235" s="169" t="n">
        <x:v>1.8985585339713806</x:v>
      </x:c>
      <x:c r="L235" s="175" t="n">
        <x:f>K235-J235</x:f>
        <x:v>4.440892098500626e-16</x:v>
      </x:c>
      <x:c r="M235" s="167" t="n">
        <x:v>1.758</x:v>
      </x:c>
      <x:c r="N235" s="167" t="n">
        <x:v>1.758</x:v>
      </x:c>
      <x:c r="O235" s="172" t="n">
        <x:f>IFERROR(N235/M235-1,0)</x:f>
        <x:v>0</x:v>
      </x:c>
      <x:c r="P235" s="171" t="n">
        <x:f>IFERROR(AD235/AH235,0)</x:f>
        <x:v>2.1521849221886367</x:v>
      </x:c>
      <x:c r="Q235" s="171" t="n">
        <x:f>IFERROR(AE235/AI235,0)</x:f>
        <x:v>2.1145492659362692</x:v>
      </x:c>
      <x:c r="R235" s="172" t="n">
        <x:f>IFERROR((Q235-P235)/(P235+S235),0)</x:f>
        <x:v>-0.017487185169058023</x:v>
      </x:c>
      <x:c r="S235" s="172" t="n">
        <x:f>IFERROR(AF235/AH235,0)</x:f>
        <x:v>0</x:v>
      </x:c>
      <x:c r="T235" s="172" t="n">
        <x:f>IFERROR(AG235/AI235,0)</x:f>
        <x:v>0</x:v>
      </x:c>
      <x:c r="U235" s="172" t="n">
        <x:f>IFERROR((T235-S235)/(P235+S235),0)</x:f>
        <x:v>0</x:v>
      </x:c>
      <x:c r="V235" s="172" t="n">
        <x:f>R235+U235</x:f>
        <x:v>-0.017487185169058023</x:v>
      </x:c>
      <x:c r="W235" s="172" t="n">
        <x:f>(1+O235)*(1+V235)-1</x:f>
        <x:v>-0.017487185169058006</x:v>
      </x:c>
      <x:c r="X235" s="174" t="n">
        <x:f>G235-W235</x:f>
        <x:v>7.632783294297951e-17</x:v>
      </x:c>
      <x:c r="Y235" s="172" t="str">
        <x:f>AX235</x:f>
      </x:c>
      <x:c r="Z235" s="172" t="n">
        <x:f>BL235</x:f>
        <x:v>0.00021698630136968156</x:v>
      </x:c>
      <x:c r="AA235" s="172" t="n">
        <x:f>SUM(BZ235,CN235,DB235,DP235,ED235,ER235,FF235,FT235)</x:f>
        <x:v>-0.01770417147042779</x:v>
      </x:c>
      <x:c r="AB235" s="172" t="n">
        <x:f>SUM(Y235:AA235)</x:f>
        <x:v>-0.01748718516905811</x:v>
      </x:c>
      <x:c r="AC235" s="174" t="n">
        <x:f>G235-AB235</x:f>
        <x:v>1.8041124150158794e-16</x:v>
      </x:c>
      <x:c r="AD235" s="169" t="n">
        <x:v>1.9323498943859159</x:v>
      </x:c>
      <x:c r="AE235" s="169" t="n">
        <x:v>1.8985585339713797</x:v>
      </x:c>
      <x:c r="AF235" s="169" t="n">
        <x:v>0</x:v>
      </x:c>
      <x:c r="AG235" s="169" t="n">
        <x:v>0</x:v>
      </x:c>
      <x:c r="AH235" s="171" t="n">
        <x:f>M235/$M$3</x:f>
        <x:v>0.8978549540347294</x:v>
      </x:c>
      <x:c r="AI235" s="171" t="n">
        <x:f>N235/$M$3</x:f>
        <x:v>0.8978549540347294</x:v>
      </x:c>
      <x:c r="AJ235" s="170" t="n">
        <x:f>IF(AK235&lt;&gt;"",1,0)+IF(AY235&lt;&gt;"",1,0)+IF(BM235&lt;&gt;"",1,0)+IF(CA235&lt;&gt;"",1,0)+IF(CO235&lt;&gt;"",1,0)+IF(DC235&lt;&gt;"",1,0)+IF(DQ235&lt;&gt;"",1,0)+IF(EE235&lt;&gt;"",1,0)+IF(ES235&lt;&gt;"",1,0)+IF(FG235&lt;&gt;"",1,0)</x:f>
        <x:v>3</x:v>
      </x:c>
      <x:c r="AK235" s="147"/>
      <x:c r="AL235" s="147"/>
      <x:c r="AM235" s="147"/>
      <x:c r="AN235" s="167"/>
      <x:c r="AO235" s="167"/>
      <x:c r="AP235" s="166"/>
      <x:c r="AQ235" s="171" t="str">
        <x:f>IF(AK235="","",IFERROR(F235*AP235/AN235,0))</x:f>
      </x:c>
      <x:c r="AR235" s="171" t="str">
        <x:f>IF(AK235="","",F235*ABS(AP235))</x:f>
      </x:c>
      <x:c r="AS235" s="165"/>
      <x:c r="AT235" s="172" t="str">
        <x:f>IF(AK235="","",IF(AS235="","",IFERROR(AN235/AS235-1,0)))</x:f>
      </x:c>
      <x:c r="AU235" s="166"/>
      <x:c r="AV235" s="172" t="str">
        <x:f>IF(AK235="","",IF(AU235="","",AU235-AT235*365/AW235))</x:f>
      </x:c>
      <x:c r="AW235" s="164"/>
      <x:c r="AX235" s="173" t="str">
        <x:f>IF(AK235="","",IFERROR(AP235*(AO235/AN235-1),0))</x:f>
      </x:c>
      <x:c r="AY235" s="147" t="str">
        <x:v>Matched-maturity Treasury collateral</x:v>
      </x:c>
      <x:c r="AZ235" s="147" t="str">
        <x:v>Treasury</x:v>
      </x:c>
      <x:c r="BA235" s="147" t="str">
        <x:v>Long</x:v>
      </x:c>
      <x:c r="BB235" s="167" t="n">
        <x:v>106.4817578518817</x:v>
      </x:c>
      <x:c r="BC235" s="167" t="n">
        <x:v>106.50486293468133</x:v>
      </x:c>
      <x:c r="BD235" s="166" t="n">
        <x:v>1</x:v>
      </x:c>
      <x:c r="BE235" s="171" t="n">
        <x:f>IF(AY235="","",IFERROR(F235*BD235/BB235,0))</x:f>
        <x:v>0.018147238863898685</x:v>
      </x:c>
      <x:c r="BF235" s="171" t="n">
        <x:f>IF(AY235="","",F235*ABS(BD235))</x:f>
        <x:v>1.9323498943859165</x:v>
      </x:c>
      <x:c r="BG235" s="165"/>
      <x:c r="BH235" s="172" t="str">
        <x:f>IF(AY235="","",IF(BG235="","",IFERROR(BB235/BG235-1,0)))</x:f>
      </x:c>
      <x:c r="BI235" s="166"/>
      <x:c r="BJ235" s="172" t="str">
        <x:f>IF(AY235="","",IF(BI235="","",BI235-BH235*365/BK235))</x:f>
      </x:c>
      <x:c r="BK235" s="164" t="n">
        <x:v>14.000034209722296</x:v>
      </x:c>
      <x:c r="BL235" s="172" t="n">
        <x:f>IF(AY235="","",IFERROR(BD235*(BC235/BB235-1),0))</x:f>
        <x:v>0.00021698630136968156</x:v>
      </x:c>
      <x:c r="BM235" s="147" t="str">
        <x:v>SI69Z</x:v>
      </x:c>
      <x:c r="BN235" s="147" t="str">
        <x:v>Silver future (regular)</x:v>
      </x:c>
      <x:c r="BO235" s="147" t="str">
        <x:v>Long</x:v>
      </x:c>
      <x:c r="BP235" s="167" t="n">
        <x:v>1.751</x:v>
      </x:c>
      <x:c r="BQ235" s="167" t="n">
        <x:v>1.72</x:v>
      </x:c>
      <x:c r="BR235" s="166" t="n">
        <x:v>0.9999988596759235</x:v>
      </x:c>
      <x:c r="BS235" s="171" t="n">
        <x:f>IF(BM235="","",IFERROR(F235*BR235/BP235,0))</x:f>
        <x:v>1.103568070177503</x:v>
      </x:c>
      <x:c r="BT235" s="171" t="n">
        <x:f>IF(BM235="","",F235*ABS(BR235))</x:f>
        <x:v>1.9323476908808077</x:v>
      </x:c>
      <x:c r="BU235" s="165" t="n">
        <x:v>1.758</x:v>
      </x:c>
      <x:c r="BV235" s="172" t="n">
        <x:f>IF(BM235="","",IF(BU235="","",IFERROR(BP235/BU235-1,0)))</x:f>
        <x:v>-0.003981797497155881</x:v>
      </x:c>
      <x:c r="BW235" s="166" t="n">
        <x:v>0.07919999999999999</x:v>
      </x:c>
      <x:c r="BX235" s="172" t="n">
        <x:f>IF(BM235="","",IF(BW235="","",BW235-BV235*365/BY235))</x:f>
        <x:v>0.1830111490329926</x:v>
      </x:c>
      <x:c r="BY235" s="164" t="n">
        <x:v>14</x:v>
      </x:c>
      <x:c r="BZ235" s="172" t="n">
        <x:f>IF(BM235="","",IFERROR(BR235*(BQ235/BP235-1),0))</x:f>
        <x:v>-0.01770414885776905</x:v>
      </x:c>
      <x:c r="CA235" s="147" t="str">
        <x:v>SI70F</x:v>
      </x:c>
      <x:c r="CB235" s="147" t="str">
        <x:v>Silver future (regular)</x:v>
      </x:c>
      <x:c r="CC235" s="147" t="str">
        <x:v>Long</x:v>
      </x:c>
      <x:c r="CD235" s="167" t="n">
        <x:v>1.765</x:v>
      </x:c>
      <x:c r="CE235" s="167" t="n">
        <x:v>1.73</x:v>
      </x:c>
      <x:c r="CF235" s="166" t="n">
        <x:v>0.0000011403240765175687</x:v>
      </x:c>
      <x:c r="CG235" s="171" t="n">
        <x:f>IF(CA235="","",IFERROR(F235*CF235/CD235,0))</x:f>
        <x:v>0.0000012484448208637065</x:v>
      </x:c>
      <x:c r="CH235" s="171" t="n">
        <x:f>IF(CA235="","",F235*ABS(CF235))</x:f>
        <x:v>0.000002203505108824442</x:v>
      </x:c>
      <x:c r="CI235" s="165" t="n">
        <x:v>1.758</x:v>
      </x:c>
      <x:c r="CJ235" s="172" t="n">
        <x:f>IF(CA235="","",IF(CI235="","",IFERROR(CD235/CI235-1,0)))</x:f>
        <x:v>0.003981797497155881</x:v>
      </x:c>
      <x:c r="CK235" s="166" t="n">
        <x:v>0.07919999999999999</x:v>
      </x:c>
      <x:c r="CL235" s="172" t="n">
        <x:f>IF(CA235="","",IF(CK235="","",CK235-CJ235*365/CM235))</x:f>
        <x:v>0.0461691798531387</x:v>
      </x:c>
      <x:c r="CM235" s="164" t="n">
        <x:v>44</x:v>
      </x:c>
      <x:c r="CN235" s="172" t="n">
        <x:f>IF(CA235="","",IFERROR(CF235*(CE235/CD235-1),0))</x:f>
        <x:v>-2.2612658741141483e-8</x:v>
      </x:c>
      <x:c r="CO235" s="147"/>
      <x:c r="CP235" s="147"/>
      <x:c r="CQ235" s="147"/>
      <x:c r="CR235" s="167"/>
      <x:c r="CS235" s="167"/>
      <x:c r="CT235" s="166"/>
      <x:c r="CU235" s="171" t="str">
        <x:f>IF(CO235="","",IFERROR(F235*CT235/CR235,0))</x:f>
      </x:c>
      <x:c r="CV235" s="171" t="str">
        <x:f>IF(CO235="","",F235*ABS(CT235))</x:f>
      </x:c>
      <x:c r="CW235" s="165"/>
      <x:c r="CX235" s="172" t="str">
        <x:f>IF(CO235="","",IF(CW235="","",IFERROR(CR235/CW235-1,0)))</x:f>
      </x:c>
      <x:c r="CY235" s="166"/>
      <x:c r="CZ235" s="172" t="str">
        <x:f>IF(CO235="","",IF(CY235="","",CY235-CX235*365/DA235))</x:f>
      </x:c>
      <x:c r="DA235" s="164"/>
      <x:c r="DB235" s="172" t="str">
        <x:f>IF(CO235="","",IFERROR(CT235*(CS235/CR235-1),0))</x:f>
      </x:c>
      <x:c r="DC235" s="147"/>
      <x:c r="DD235" s="147"/>
      <x:c r="DE235" s="147"/>
      <x:c r="DF235" s="167"/>
      <x:c r="DG235" s="167"/>
      <x:c r="DH235" s="166"/>
      <x:c r="DI235" s="171" t="str">
        <x:f>IF(DC235="","",IFERROR(F235*DH235/DF235,0))</x:f>
      </x:c>
      <x:c r="DJ235" s="171" t="str">
        <x:f>IF(DC235="","",F235*ABS(DH235))</x:f>
      </x:c>
      <x:c r="DK235" s="165"/>
      <x:c r="DL235" s="172" t="str">
        <x:f>IF(DC235="","",IF(DK235="","",IFERROR(DF235/DK235-1,0)))</x:f>
      </x:c>
      <x:c r="DM235" s="166"/>
      <x:c r="DN235" s="172" t="str">
        <x:f>IF(DC235="","",IF(DM235="","",DM235-DL235*365/DO235))</x:f>
      </x:c>
      <x:c r="DO235" s="164"/>
      <x:c r="DP235" s="172" t="str">
        <x:f>IF(DC235="","",IFERROR(DH235*(DG235/DF235-1),0))</x:f>
      </x:c>
      <x:c r="DQ235" s="147"/>
      <x:c r="DR235" s="147"/>
      <x:c r="DS235" s="147"/>
      <x:c r="DT235" s="167"/>
      <x:c r="DU235" s="167"/>
      <x:c r="DV235" s="166"/>
      <x:c r="DW235" s="171" t="str">
        <x:f>IF(DQ235="","",IFERROR(F235*DV235/DT235,0))</x:f>
      </x:c>
      <x:c r="DX235" s="171" t="str">
        <x:f>IF(DQ235="","",F235*ABS(DV235))</x:f>
      </x:c>
      <x:c r="DY235" s="165"/>
      <x:c r="DZ235" s="172" t="str">
        <x:f>IF(DQ235="","",IF(DY235="","",IFERROR(DT235/DY235-1,0)))</x:f>
      </x:c>
      <x:c r="EA235" s="166"/>
      <x:c r="EB235" s="172" t="str">
        <x:f>IF(DQ235="","",IF(EA235="","",EA235-DZ235*365/EC235))</x:f>
      </x:c>
      <x:c r="EC235" s="164"/>
      <x:c r="ED235" s="172" t="str">
        <x:f>IF(DQ235="","",IFERROR(DV235*(DU235/DT235-1),0))</x:f>
      </x:c>
      <x:c r="EE235" s="147"/>
      <x:c r="EF235" s="147"/>
      <x:c r="EG235" s="147"/>
      <x:c r="EH235" s="167"/>
      <x:c r="EI235" s="167"/>
      <x:c r="EJ235" s="166"/>
      <x:c r="EK235" s="171" t="str">
        <x:f>IF(EE235="","",IFERROR(F235*EJ235/EH235,0))</x:f>
      </x:c>
      <x:c r="EL235" s="171" t="str">
        <x:f>IF(EE235="","",F235*ABS(EJ235))</x:f>
      </x:c>
      <x:c r="EM235" s="165"/>
      <x:c r="EN235" s="172" t="str">
        <x:f>IF(EE235="","",IF(EM235="","",IFERROR(EH235/EM235-1,0)))</x:f>
      </x:c>
      <x:c r="EO235" s="166"/>
      <x:c r="EP235" s="172" t="str">
        <x:f>IF(EE235="","",IF(EO235="","",EO235-EN235*365/EQ235))</x:f>
      </x:c>
      <x:c r="EQ235" s="164"/>
      <x:c r="ER235" s="172" t="str">
        <x:f>IF(EE235="","",IFERROR(EJ235*(EI235/EH235-1),0))</x:f>
      </x:c>
      <x:c r="ES235" s="147"/>
      <x:c r="ET235" s="147"/>
      <x:c r="EU235" s="147"/>
      <x:c r="EV235" s="167"/>
      <x:c r="EW235" s="167"/>
      <x:c r="EX235" s="166"/>
      <x:c r="EY235" s="171" t="str">
        <x:f>IF(ES235="","",IFERROR(F235*EX235/EV235,0))</x:f>
      </x:c>
      <x:c r="EZ235" s="171" t="str">
        <x:f>IF(ES235="","",F235*ABS(EX235))</x:f>
      </x:c>
      <x:c r="FA235" s="165"/>
      <x:c r="FB235" s="172" t="str">
        <x:f>IF(ES235="","",IF(FA235="","",IFERROR(EV235/FA235-1,0)))</x:f>
      </x:c>
      <x:c r="FC235" s="166"/>
      <x:c r="FD235" s="172" t="str">
        <x:f>IF(ES235="","",IF(FC235="","",FC235-FB235*365/FE235))</x:f>
      </x:c>
      <x:c r="FE235" s="164"/>
      <x:c r="FF235" s="172" t="str">
        <x:f>IF(ES235="","",IFERROR(EX235*(EW235/EV235-1),0))</x:f>
      </x:c>
      <x:c r="FG235" s="147"/>
      <x:c r="FH235" s="147"/>
      <x:c r="FI235" s="147"/>
      <x:c r="FJ235" s="167"/>
      <x:c r="FK235" s="167"/>
      <x:c r="FL235" s="166"/>
      <x:c r="FM235" s="171" t="str">
        <x:f>IF(FG235="","",IFERROR(F235*FL235/FJ235,0))</x:f>
      </x:c>
      <x:c r="FN235" s="171" t="str">
        <x:f>IF(FG235="","",F235*ABS(FL235))</x:f>
      </x:c>
      <x:c r="FO235" s="165"/>
      <x:c r="FP235" s="172" t="str">
        <x:f>IF(FG235="","",IF(FO235="","",IFERROR(FJ235/FO235-1,0)))</x:f>
      </x:c>
      <x:c r="FQ235" s="166"/>
      <x:c r="FR235" s="172" t="str">
        <x:f>IF(FG235="","",IF(FQ235="","",FQ235-FP235*365/FS235))</x:f>
      </x:c>
      <x:c r="FS235" s="164"/>
      <x:c r="FT235" s="172" t="str">
        <x:f>IF(FG235="","",IFERROR(FL235*(FK235/FJ235-1),0))</x:f>
      </x:c>
    </x:row>
    <x:row r="236" ht="18" customHeight="1">
      <x:c r="A236" s="163" t="n">
        <x:v>25553</x:v>
      </x:c>
      <x:c r="B236" s="163" t="n">
        <x:v>25554</x:v>
      </x:c>
      <x:c r="C236" s="170" t="n">
        <x:f>B236-A236</x:f>
        <x:v>1</x:v>
      </x:c>
      <x:c r="D236" s="163" t="n">
        <x:v>25553</x:v>
      </x:c>
      <x:c r="E236" s="147" t="str">
        <x:v>positive</x:v>
      </x:c>
      <x:c r="F236" s="165" t="n">
        <x:v>1.8985585339713806</x:v>
      </x:c>
      <x:c r="G236" s="168" t="n">
        <x:v>0.006030665817139225</x:v>
      </x:c>
      <x:c r="H236" s="172" t="n">
        <x:f>SUM(AX236,BL236,BZ236,CN236,DB236,DP236,ED236,ER236,FF236,FT236)</x:f>
        <x:v>0.006030665817139402</x:v>
      </x:c>
      <x:c r="I236" s="174" t="n">
        <x:f>G236-H236</x:f>
        <x:v>-1.7694179454963432e-16</x:v>
      </x:c>
      <x:c r="J236" s="171" t="n">
        <x:f>F236*(1+H236)</x:f>
        <x:v>1.9100081060240401</x:v>
      </x:c>
      <x:c r="K236" s="169" t="n">
        <x:v>1.9100081060240397</x:v>
      </x:c>
      <x:c r="L236" s="175" t="n">
        <x:f>K236-J236</x:f>
        <x:v>-4.440892098500626e-16</x:v>
      </x:c>
      <x:c r="M236" s="167" t="n">
        <x:v>1.758</x:v>
      </x:c>
      <x:c r="N236" s="167" t="n">
        <x:v>1.733</x:v>
      </x:c>
      <x:c r="O236" s="172" t="n">
        <x:f>IFERROR(N236/M236-1,0)</x:f>
        <x:v>-0.014220705346985163</x:v>
      </x:c>
      <x:c r="P236" s="171" t="n">
        <x:f>IFERROR(AD236/AH236,0)</x:f>
        <x:v>2.1145492659362692</x:v>
      </x:c>
      <x:c r="Q236" s="171" t="n">
        <x:f>IFERROR(AE236/AI236,0)</x:f>
        <x:v>2.1579895392931725</x:v>
      </x:c>
      <x:c r="R236" s="172" t="n">
        <x:f>IFERROR((Q236-P236)/(P236+S236),0)</x:f>
        <x:v>0.02054351442961959</x:v>
      </x:c>
      <x:c r="S236" s="172" t="n">
        <x:f>IFERROR(AF236/AH236,0)</x:f>
        <x:v>0</x:v>
      </x:c>
      <x:c r="T236" s="172" t="n">
        <x:f>IFERROR(AG236/AI236,0)</x:f>
        <x:v>0</x:v>
      </x:c>
      <x:c r="U236" s="172" t="n">
        <x:f>IFERROR((T236-S236)/(P236+S236),0)</x:f>
        <x:v>0</x:v>
      </x:c>
      <x:c r="V236" s="172" t="n">
        <x:f>R236+U236</x:f>
        <x:v>0.02054351442961959</x:v>
      </x:c>
      <x:c r="W236" s="172" t="n">
        <x:f>(1+O236)*(1+V236)-1</x:f>
        <x:v>0.00603066581713918</x:v>
      </x:c>
      <x:c r="X236" s="174" t="n">
        <x:f>G236-W236</x:f>
        <x:v>4.5102810375396984e-17</x:v>
      </x:c>
      <x:c r="Y236" s="172" t="str">
        <x:f>AX236</x:f>
      </x:c>
      <x:c r="Z236" s="172" t="n">
        <x:f>BL236</x:f>
        <x:v>0.00021671232876729896</x:v>
      </x:c>
      <x:c r="AA236" s="172" t="n">
        <x:f>SUM(BZ236,CN236,DB236,DP236,ED236,ER236,FF236,FT236)</x:f>
        <x:v>0.005813953488372103</x:v>
      </x:c>
      <x:c r="AB236" s="172" t="n">
        <x:f>SUM(Y236:AA236)</x:f>
        <x:v>0.006030665817139402</x:v>
      </x:c>
      <x:c r="AC236" s="174" t="n">
        <x:f>G236-AB236</x:f>
        <x:v>-1.7694179454963432e-16</x:v>
      </x:c>
      <x:c r="AD236" s="169" t="n">
        <x:v>1.8985585339713797</x:v>
      </x:c>
      <x:c r="AE236" s="169" t="n">
        <x:v>1.9100081060240388</x:v>
      </x:c>
      <x:c r="AF236" s="169" t="n">
        <x:v>0</x:v>
      </x:c>
      <x:c r="AG236" s="169" t="n">
        <x:v>0</x:v>
      </x:c>
      <x:c r="AH236" s="171" t="n">
        <x:f>M236/$M$3</x:f>
        <x:v>0.8978549540347294</x:v>
      </x:c>
      <x:c r="AI236" s="171" t="n">
        <x:f>N236/$M$3</x:f>
        <x:v>0.8850868232890705</x:v>
      </x:c>
      <x:c r="AJ236" s="170" t="n">
        <x:f>IF(AK236&lt;&gt;"",1,0)+IF(AY236&lt;&gt;"",1,0)+IF(BM236&lt;&gt;"",1,0)+IF(CA236&lt;&gt;"",1,0)+IF(CO236&lt;&gt;"",1,0)+IF(DC236&lt;&gt;"",1,0)+IF(DQ236&lt;&gt;"",1,0)+IF(EE236&lt;&gt;"",1,0)+IF(ES236&lt;&gt;"",1,0)+IF(FG236&lt;&gt;"",1,0)</x:f>
        <x:v>5</x:v>
      </x:c>
      <x:c r="AK236" s="147"/>
      <x:c r="AL236" s="147"/>
      <x:c r="AM236" s="147"/>
      <x:c r="AN236" s="167"/>
      <x:c r="AO236" s="167"/>
      <x:c r="AP236" s="166"/>
      <x:c r="AQ236" s="171" t="str">
        <x:f>IF(AK236="","",IFERROR(F236*AP236/AN236,0))</x:f>
      </x:c>
      <x:c r="AR236" s="171" t="str">
        <x:f>IF(AK236="","",F236*ABS(AP236))</x:f>
      </x:c>
      <x:c r="AS236" s="165"/>
      <x:c r="AT236" s="172" t="str">
        <x:f>IF(AK236="","",IF(AS236="","",IFERROR(AN236/AS236-1,0)))</x:f>
      </x:c>
      <x:c r="AU236" s="166"/>
      <x:c r="AV236" s="172" t="str">
        <x:f>IF(AK236="","",IF(AU236="","",AU236-AT236*365/AW236))</x:f>
      </x:c>
      <x:c r="AW236" s="164"/>
      <x:c r="AX236" s="173" t="str">
        <x:f>IF(AK236="","",IFERROR(AP236*(AO236/AN236-1),0))</x:f>
      </x:c>
      <x:c r="AY236" s="147" t="str">
        <x:v>Matched-maturity Treasury collateral</x:v>
      </x:c>
      <x:c r="AZ236" s="147" t="str">
        <x:v>Treasury</x:v>
      </x:c>
      <x:c r="BA236" s="147" t="str">
        <x:v>Long</x:v>
      </x:c>
      <x:c r="BB236" s="167" t="n">
        <x:v>106.50486293468133</x:v>
      </x:c>
      <x:c r="BC236" s="167" t="n">
        <x:v>106.52794385155293</x:v>
      </x:c>
      <x:c r="BD236" s="166" t="n">
        <x:v>1</x:v>
      </x:c>
      <x:c r="BE236" s="171" t="n">
        <x:f>IF(AY236="","",IFERROR(F236*BD236/BB236,0))</x:f>
        <x:v>0.017826026733969443</x:v>
      </x:c>
      <x:c r="BF236" s="171" t="n">
        <x:f>IF(AY236="","",F236*ABS(BD236))</x:f>
        <x:v>1.8985585339713806</x:v>
      </x:c>
      <x:c r="BG236" s="165"/>
      <x:c r="BH236" s="172" t="str">
        <x:f>IF(AY236="","",IF(BG236="","",IFERROR(BB236/BG236-1,0)))</x:f>
      </x:c>
      <x:c r="BI236" s="166"/>
      <x:c r="BJ236" s="172" t="str">
        <x:f>IF(AY236="","",IF(BI236="","",BI236-BH236*365/BK236))</x:f>
      </x:c>
      <x:c r="BK236" s="164" t="n">
        <x:v>13</x:v>
      </x:c>
      <x:c r="BL236" s="172" t="n">
        <x:f>IF(AY236="","",IFERROR(BD236*(BC236/BB236-1),0))</x:f>
        <x:v>0.00021671232876729896</x:v>
      </x:c>
      <x:c r="BM236" s="147" t="str">
        <x:v>SI69Z</x:v>
      </x:c>
      <x:c r="BN236" s="147" t="str">
        <x:v>Silver future (regular)</x:v>
      </x:c>
      <x:c r="BO236" s="147" t="str">
        <x:v>Long</x:v>
      </x:c>
      <x:c r="BP236" s="167" t="n">
        <x:v>1.72</x:v>
      </x:c>
      <x:c r="BQ236" s="167" t="n">
        <x:v>1.73</x:v>
      </x:c>
      <x:c r="BR236" s="166" t="n">
        <x:v>1</x:v>
      </x:c>
      <x:c r="BS236" s="171" t="n">
        <x:f>IF(BM236="","",IFERROR(F236*BR236/BP236,0))</x:f>
        <x:v>1.1038131011461516</x:v>
      </x:c>
      <x:c r="BT236" s="171" t="n">
        <x:f>IF(BM236="","",F236*ABS(BR236))</x:f>
        <x:v>1.8985585339713806</x:v>
      </x:c>
      <x:c r="BU236" s="165" t="n">
        <x:v>1.758</x:v>
      </x:c>
      <x:c r="BV236" s="172" t="n">
        <x:f>IF(BM236="","",IF(BU236="","",IFERROR(BP236/BU236-1,0)))</x:f>
        <x:v>-0.021615472127417545</x:v>
      </x:c>
      <x:c r="BW236" s="166" t="n">
        <x:v>0.0791</x:v>
      </x:c>
      <x:c r="BX236" s="172" t="n">
        <x:f>IF(BM236="","",IF(BW236="","",BW236-BV236*365/BY236))</x:f>
        <x:v>0.6859959481928772</x:v>
      </x:c>
      <x:c r="BY236" s="164" t="n">
        <x:v>13</x:v>
      </x:c>
      <x:c r="BZ236" s="172" t="n">
        <x:f>IF(BM236="","",IFERROR(BR236*(BQ236/BP236-1),0))</x:f>
        <x:v>0.005813953488372103</x:v>
      </x:c>
      <x:c r="CA236" s="147" t="str">
        <x:v>SI70F</x:v>
      </x:c>
      <x:c r="CB236" s="147" t="str">
        <x:v>Silver future (regular)</x:v>
      </x:c>
      <x:c r="CC236" s="147" t="str">
        <x:v>Long</x:v>
      </x:c>
      <x:c r="CD236" s="167" t="n">
        <x:v>1.73</x:v>
      </x:c>
      <x:c r="CE236" s="167" t="n">
        <x:v>1.75</x:v>
      </x:c>
      <x:c r="CF236" s="166" t="n">
        <x:v>3.268344656748957e-21</x:v>
      </x:c>
      <x:c r="CG236" s="171" t="n">
        <x:f>IF(CA236="","",IFERROR(F236*CF236/CD236,0))</x:f>
        <x:v>3.586788231231501e-21</x:v>
      </x:c>
      <x:c r="CH236" s="171" t="n">
        <x:f>IF(CA236="","",F236*ABS(CF236))</x:f>
        <x:v>6.2051436400304955e-21</x:v>
      </x:c>
      <x:c r="CI236" s="165" t="n">
        <x:v>1.758</x:v>
      </x:c>
      <x:c r="CJ236" s="172" t="n">
        <x:f>IF(CA236="","",IF(CI236="","",IFERROR(CD236/CI236-1,0)))</x:f>
        <x:v>-0.015927189988623414</x:v>
      </x:c>
      <x:c r="CK236" s="166" t="n">
        <x:v>0.0791</x:v>
      </x:c>
      <x:c r="CL236" s="172" t="n">
        <x:f>IF(CA236="","",IF(CK236="","",CK236-CJ236*365/CM236))</x:f>
        <x:v>0.21429591501971038</x:v>
      </x:c>
      <x:c r="CM236" s="164" t="n">
        <x:v>43</x:v>
      </x:c>
      <x:c r="CN236" s="172" t="n">
        <x:f>IF(CA236="","",IFERROR(CF236*(CE236/CD236-1),0))</x:f>
        <x:v>3.77843312918958e-23</x:v>
      </x:c>
      <x:c r="CO236" s="147" t="str">
        <x:v>SI70H</x:v>
      </x:c>
      <x:c r="CP236" s="147" t="str">
        <x:v>Silver future (regular)</x:v>
      </x:c>
      <x:c r="CQ236" s="147" t="str">
        <x:v>Long</x:v>
      </x:c>
      <x:c r="CR236" s="167" t="n">
        <x:v>1.77</x:v>
      </x:c>
      <x:c r="CS236" s="167" t="n">
        <x:v>1.7919999999999998</x:v>
      </x:c>
      <x:c r="CT236" s="166" t="n">
        <x:v>3.732533048564377e-28</x:v>
      </x:c>
      <x:c r="CU236" s="171" t="n">
        <x:f>IF(CO236="","",IFERROR(F236*CT236/CR236,0))</x:f>
        <x:v>4.0036341653571253e-28</x:v>
      </x:c>
      <x:c r="CV236" s="171" t="n">
        <x:f>IF(CO236="","",F236*ABS(CT236))</x:f>
        <x:v>7.086432472682112e-28</x:v>
      </x:c>
      <x:c r="CW236" s="165" t="n">
        <x:v>1.758</x:v>
      </x:c>
      <x:c r="CX236" s="172" t="n">
        <x:f>IF(CO236="","",IF(CW236="","",IFERROR(CR236/CW236-1,0)))</x:f>
        <x:v>0.006825938566553003</x:v>
      </x:c>
      <x:c r="CY236" s="166" t="n">
        <x:v>0.07911098901098901</x:v>
      </x:c>
      <x:c r="CZ236" s="172" t="n">
        <x:f>IF(CO236="","",IF(CY236="","",CY236-CX236*365/DA236))</x:f>
        <x:v>0.05444299320116875</x:v>
      </x:c>
      <x:c r="DA236" s="164" t="n">
        <x:v>101</x:v>
      </x:c>
      <x:c r="DB236" s="172" t="n">
        <x:f>IF(CO236="","",IFERROR(CT236*(CS236/CR236-1),0))</x:f>
        <x:v>4.639306614034801e-30</x:v>
      </x:c>
      <x:c r="DC236" s="147" t="str">
        <x:v>SI70K</x:v>
      </x:c>
      <x:c r="DD236" s="147" t="str">
        <x:v>Silver future (regular)</x:v>
      </x:c>
      <x:c r="DE236" s="147" t="str">
        <x:v>Long</x:v>
      </x:c>
      <x:c r="DF236" s="167" t="n">
        <x:v>1.8090000000000002</x:v>
      </x:c>
      <x:c r="DG236" s="167" t="n">
        <x:v>1.831</x:v>
      </x:c>
      <x:c r="DH236" s="166" t="n">
        <x:v>3.1569379194559247e-31</x:v>
      </x:c>
      <x:c r="DI236" s="171" t="n">
        <x:f>IF(DC236="","",IFERROR(F236*DH236/DF236,0))</x:f>
        <x:v>3.313229092427253e-31</x:v>
      </x:c>
      <x:c r="DJ236" s="171" t="n">
        <x:f>IF(DC236="","",F236*ABS(DH236))</x:f>
        <x:v>5.993631428200901e-31</x:v>
      </x:c>
      <x:c r="DK236" s="165" t="n">
        <x:v>1.758</x:v>
      </x:c>
      <x:c r="DL236" s="172" t="n">
        <x:f>IF(DC236="","",IF(DK236="","",IFERROR(DF236/DK236-1,0)))</x:f>
        <x:v>0.029010238907849928</x:v>
      </x:c>
      <x:c r="DM236" s="166" t="n">
        <x:v>0.07917802197802198</x:v>
      </x:c>
      <x:c r="DN236" s="172" t="n">
        <x:f>IF(DC236="","",IF(DM236="","",DM236-DL236*365/DO236))</x:f>
        <x:v>0.013815446660952704</x:v>
      </x:c>
      <x:c r="DO236" s="164" t="n">
        <x:v>162</x:v>
      </x:c>
      <x:c r="DP236" s="172" t="n">
        <x:f>IF(DC236="","",IFERROR(DH236*(DG236/DF236-1),0))</x:f>
        <x:v>3.839283263019902e-33</x:v>
      </x:c>
      <x:c r="DQ236" s="147"/>
      <x:c r="DR236" s="147"/>
      <x:c r="DS236" s="147"/>
      <x:c r="DT236" s="167"/>
      <x:c r="DU236" s="167"/>
      <x:c r="DV236" s="166"/>
      <x:c r="DW236" s="171" t="str">
        <x:f>IF(DQ236="","",IFERROR(F236*DV236/DT236,0))</x:f>
      </x:c>
      <x:c r="DX236" s="171" t="str">
        <x:f>IF(DQ236="","",F236*ABS(DV236))</x:f>
      </x:c>
      <x:c r="DY236" s="165"/>
      <x:c r="DZ236" s="172" t="str">
        <x:f>IF(DQ236="","",IF(DY236="","",IFERROR(DT236/DY236-1,0)))</x:f>
      </x:c>
      <x:c r="EA236" s="166"/>
      <x:c r="EB236" s="172" t="str">
        <x:f>IF(DQ236="","",IF(EA236="","",EA236-DZ236*365/EC236))</x:f>
      </x:c>
      <x:c r="EC236" s="164"/>
      <x:c r="ED236" s="172" t="str">
        <x:f>IF(DQ236="","",IFERROR(DV236*(DU236/DT236-1),0))</x:f>
      </x:c>
      <x:c r="EE236" s="147"/>
      <x:c r="EF236" s="147"/>
      <x:c r="EG236" s="147"/>
      <x:c r="EH236" s="167"/>
      <x:c r="EI236" s="167"/>
      <x:c r="EJ236" s="166"/>
      <x:c r="EK236" s="171" t="str">
        <x:f>IF(EE236="","",IFERROR(F236*EJ236/EH236,0))</x:f>
      </x:c>
      <x:c r="EL236" s="171" t="str">
        <x:f>IF(EE236="","",F236*ABS(EJ236))</x:f>
      </x:c>
      <x:c r="EM236" s="165"/>
      <x:c r="EN236" s="172" t="str">
        <x:f>IF(EE236="","",IF(EM236="","",IFERROR(EH236/EM236-1,0)))</x:f>
      </x:c>
      <x:c r="EO236" s="166"/>
      <x:c r="EP236" s="172" t="str">
        <x:f>IF(EE236="","",IF(EO236="","",EO236-EN236*365/EQ236))</x:f>
      </x:c>
      <x:c r="EQ236" s="164"/>
      <x:c r="ER236" s="172" t="str">
        <x:f>IF(EE236="","",IFERROR(EJ236*(EI236/EH236-1),0))</x:f>
      </x:c>
      <x:c r="ES236" s="147"/>
      <x:c r="ET236" s="147"/>
      <x:c r="EU236" s="147"/>
      <x:c r="EV236" s="167"/>
      <x:c r="EW236" s="167"/>
      <x:c r="EX236" s="166"/>
      <x:c r="EY236" s="171" t="str">
        <x:f>IF(ES236="","",IFERROR(F236*EX236/EV236,0))</x:f>
      </x:c>
      <x:c r="EZ236" s="171" t="str">
        <x:f>IF(ES236="","",F236*ABS(EX236))</x:f>
      </x:c>
      <x:c r="FA236" s="165"/>
      <x:c r="FB236" s="172" t="str">
        <x:f>IF(ES236="","",IF(FA236="","",IFERROR(EV236/FA236-1,0)))</x:f>
      </x:c>
      <x:c r="FC236" s="166"/>
      <x:c r="FD236" s="172" t="str">
        <x:f>IF(ES236="","",IF(FC236="","",FC236-FB236*365/FE236))</x:f>
      </x:c>
      <x:c r="FE236" s="164"/>
      <x:c r="FF236" s="172" t="str">
        <x:f>IF(ES236="","",IFERROR(EX236*(EW236/EV236-1),0))</x:f>
      </x:c>
      <x:c r="FG236" s="147"/>
      <x:c r="FH236" s="147"/>
      <x:c r="FI236" s="147"/>
      <x:c r="FJ236" s="167"/>
      <x:c r="FK236" s="167"/>
      <x:c r="FL236" s="166"/>
      <x:c r="FM236" s="171" t="str">
        <x:f>IF(FG236="","",IFERROR(F236*FL236/FJ236,0))</x:f>
      </x:c>
      <x:c r="FN236" s="171" t="str">
        <x:f>IF(FG236="","",F236*ABS(FL236))</x:f>
      </x:c>
      <x:c r="FO236" s="165"/>
      <x:c r="FP236" s="172" t="str">
        <x:f>IF(FG236="","",IF(FO236="","",IFERROR(FJ236/FO236-1,0)))</x:f>
      </x:c>
      <x:c r="FQ236" s="166"/>
      <x:c r="FR236" s="172" t="str">
        <x:f>IF(FG236="","",IF(FQ236="","",FQ236-FP236*365/FS236))</x:f>
      </x:c>
      <x:c r="FS236" s="164"/>
      <x:c r="FT236" s="172" t="str">
        <x:f>IF(FG236="","",IFERROR(FL236*(FK236/FJ236-1),0))</x:f>
      </x:c>
    </x:row>
    <x:row r="237" ht="18" customHeight="1">
      <x:c r="A237" s="163" t="n">
        <x:v>25554</x:v>
      </x:c>
      <x:c r="B237" s="163" t="n">
        <x:v>25555</x:v>
      </x:c>
      <x:c r="C237" s="170" t="n">
        <x:f>B237-A237</x:f>
        <x:v>1</x:v>
      </x:c>
      <x:c r="D237" s="163" t="n">
        <x:v>25554</x:v>
      </x:c>
      <x:c r="E237" s="147" t="str">
        <x:v>positive</x:v>
      </x:c>
      <x:c r="F237" s="165" t="n">
        <x:v>1.9100081060240397</x:v>
      </x:c>
      <x:c r="G237" s="168" t="n">
        <x:v>0.006535590568627261</x:v>
      </x:c>
      <x:c r="H237" s="172" t="n">
        <x:f>SUM(AX237,BL237,BZ237,CN237,DB237,DP237,ED237,ER237,FF237,FT237)</x:f>
        <x:v>0.006535590568627297</x:v>
      </x:c>
      <x:c r="I237" s="174" t="n">
        <x:f>G237-H237</x:f>
        <x:v>-3.642919299551295e-17</x:v>
      </x:c>
      <x:c r="J237" s="171" t="n">
        <x:f>F237*(1+H237)</x:f>
        <x:v>1.9224911369877722</x:v>
      </x:c>
      <x:c r="K237" s="169" t="n">
        <x:v>1.9224911369877722</x:v>
      </x:c>
      <x:c r="L237" s="175" t="n">
        <x:f>K237-J237</x:f>
        <x:v>0</x:v>
      </x:c>
      <x:c r="M237" s="167" t="n">
        <x:v>1.733</x:v>
      </x:c>
      <x:c r="N237" s="167" t="n">
        <x:v>1.722</x:v>
      </x:c>
      <x:c r="O237" s="172" t="n">
        <x:f>IFERROR(N237/M237-1,0)</x:f>
        <x:v>-0.006347374495095259</x:v>
      </x:c>
      <x:c r="P237" s="171" t="n">
        <x:f>IFERROR(AD237/AH237,0)</x:f>
        <x:v>2.1579895392931725</x:v>
      </x:c>
      <x:c r="Q237" s="171" t="n">
        <x:f>IFERROR(AE237/AI237,0)</x:f>
        <x:v>2.185968435669022</x:v>
      </x:c>
      <x:c r="R237" s="172" t="n">
        <x:f>IFERROR((Q237-P237)/(P237+S237),0)</x:f>
        <x:v>0.012965260427079645</x:v>
      </x:c>
      <x:c r="S237" s="172" t="n">
        <x:f>IFERROR(AF237/AH237,0)</x:f>
        <x:v>0</x:v>
      </x:c>
      <x:c r="T237" s="172" t="n">
        <x:f>IFERROR(AG237/AI237,0)</x:f>
        <x:v>0</x:v>
      </x:c>
      <x:c r="U237" s="172" t="n">
        <x:f>IFERROR((T237-S237)/(P237+S237),0)</x:f>
        <x:v>0</x:v>
      </x:c>
      <x:c r="V237" s="172" t="n">
        <x:f>R237+U237</x:f>
        <x:v>0.012965260427079645</x:v>
      </x:c>
      <x:c r="W237" s="172" t="n">
        <x:f>(1+O237)*(1+V237)-1</x:f>
        <x:v>0.006535590568627292</x:v>
      </x:c>
      <x:c r="X237" s="174" t="n">
        <x:f>G237-W237</x:f>
        <x:v>-3.122502256758253e-17</x:v>
      </x:c>
      <x:c r="Y237" s="172" t="n">
        <x:f>AX237</x:f>
        <x:v>-0.0007686765286551724</x:v>
      </x:c>
      <x:c r="Z237" s="172" t="n">
        <x:f>BL237</x:f>
        <x:v>0.0001907372610644687</x:v>
      </x:c>
      <x:c r="AA237" s="172" t="n">
        <x:f>SUM(BZ237,CN237,DB237,DP237,ED237,ER237,FF237,FT237)</x:f>
        <x:v>0.007113529836218001</x:v>
      </x:c>
      <x:c r="AB237" s="172" t="n">
        <x:f>SUM(Y237:AA237)</x:f>
        <x:v>0.006535590568627297</x:v>
      </x:c>
      <x:c r="AC237" s="174" t="n">
        <x:f>G237-AB237</x:f>
        <x:v>-3.642919299551295e-17</x:v>
      </x:c>
      <x:c r="AD237" s="169" t="n">
        <x:v>1.9100081060240388</x:v>
      </x:c>
      <x:c r="AE237" s="169" t="n">
        <x:v>1.922491136987771</x:v>
      </x:c>
      <x:c r="AF237" s="169" t="n">
        <x:v>0</x:v>
      </x:c>
      <x:c r="AG237" s="169" t="n">
        <x:v>0</x:v>
      </x:c>
      <x:c r="AH237" s="171" t="n">
        <x:f>M237/$M$3</x:f>
        <x:v>0.8850868232890705</x:v>
      </x:c>
      <x:c r="AI237" s="171" t="n">
        <x:f>N237/$M$3</x:f>
        <x:v>0.8794688457609806</x:v>
      </x:c>
      <x:c r="AJ237" s="170" t="n">
        <x:f>IF(AK237&lt;&gt;"",1,0)+IF(AY237&lt;&gt;"",1,0)+IF(BM237&lt;&gt;"",1,0)+IF(CA237&lt;&gt;"",1,0)+IF(CO237&lt;&gt;"",1,0)+IF(DC237&lt;&gt;"",1,0)+IF(DQ237&lt;&gt;"",1,0)+IF(EE237&lt;&gt;"",1,0)+IF(ES237&lt;&gt;"",1,0)+IF(FG237&lt;&gt;"",1,0)</x:f>
        <x:v>3</x:v>
      </x:c>
      <x:c r="AK237" s="147" t="str">
        <x:v>Silver replicating holding (LBMA/SLV proxy)</x:v>
      </x:c>
      <x:c r="AL237" s="147" t="str">
        <x:v>Physical-backed proxy</x:v>
      </x:c>
      <x:c r="AM237" s="147" t="str">
        <x:v>Long</x:v>
      </x:c>
      <x:c r="AN237" s="167" t="n">
        <x:v>1.733</x:v>
      </x:c>
      <x:c r="AO237" s="167" t="n">
        <x:v>1.722</x:v>
      </x:c>
      <x:c r="AP237" s="166" t="n">
        <x:v>0.12097095595305497</x:v>
      </x:c>
      <x:c r="AQ237" s="171" t="n">
        <x:f>IF(AK237="","",IFERROR(F237*AP237/AN237,0))</x:f>
        <x:v>0.13332689351633703</x:v>
      </x:c>
      <x:c r="AR237" s="171" t="n">
        <x:f>IF(AK237="","",F237*ABS(AP237))</x:f>
        <x:v>0.23105550646381207</x:v>
      </x:c>
      <x:c r="AS237" s="165"/>
      <x:c r="AT237" s="172" t="str">
        <x:f>IF(AK237="","",IF(AS237="","",IFERROR(AN237/AS237-1,0)))</x:f>
      </x:c>
      <x:c r="AU237" s="166"/>
      <x:c r="AV237" s="172" t="str">
        <x:f>IF(AK237="","",IF(AU237="","",AU237-AT237*365/AW237))</x:f>
      </x:c>
      <x:c r="AW237" s="164"/>
      <x:c r="AX237" s="173" t="n">
        <x:f>IF(AK237="","",IFERROR(AP237*(AO237/AN237-1-'Parameters'!$C$6*C237/365),0))</x:f>
        <x:v>-0.0007686765286551724</x:v>
      </x:c>
      <x:c r="AY237" s="147" t="str">
        <x:v>Matched-maturity Treasury collateral</x:v>
      </x:c>
      <x:c r="AZ237" s="147" t="str">
        <x:v>Treasury</x:v>
      </x:c>
      <x:c r="BA237" s="147" t="str">
        <x:v>Long</x:v>
      </x:c>
      <x:c r="BB237" s="167" t="n">
        <x:v>106.52794385155293</x:v>
      </x:c>
      <x:c r="BC237" s="167" t="n">
        <x:v>106.55105895608182</x:v>
      </x:c>
      <x:c r="BD237" s="166" t="n">
        <x:v>0.8790290440469452</x:v>
      </x:c>
      <x:c r="BE237" s="171" t="n">
        <x:f>IF(AY237="","",IFERROR(F237*BD237/BB237,0))</x:f>
        <x:v>0.015760677798304774</x:v>
      </x:c>
      <x:c r="BF237" s="171" t="n">
        <x:f>IF(AY237="","",F237*ABS(BD237))</x:f>
        <x:v>1.678952599560228</x:v>
      </x:c>
      <x:c r="BG237" s="165"/>
      <x:c r="BH237" s="172" t="str">
        <x:f>IF(AY237="","",IF(BG237="","",IFERROR(BB237/BG237-1,0)))</x:f>
      </x:c>
      <x:c r="BI237" s="166"/>
      <x:c r="BJ237" s="172" t="str">
        <x:f>IF(AY237="","",IF(BI237="","",BI237-BH237*365/BK237))</x:f>
      </x:c>
      <x:c r="BK237" s="164" t="n">
        <x:v>12.000000000000002</x:v>
      </x:c>
      <x:c r="BL237" s="172" t="n">
        <x:f>IF(AY237="","",IFERROR(BD237*(BC237/BB237-1),0))</x:f>
        <x:v>0.0001907372610644687</x:v>
      </x:c>
      <x:c r="BM237" s="147" t="str">
        <x:v>SI69Z</x:v>
      </x:c>
      <x:c r="BN237" s="147" t="str">
        <x:v>Silver future (regular)</x:v>
      </x:c>
      <x:c r="BO237" s="147" t="str">
        <x:v>Long</x:v>
      </x:c>
      <x:c r="BP237" s="167" t="n">
        <x:v>1.73</x:v>
      </x:c>
      <x:c r="BQ237" s="167" t="n">
        <x:v>1.744</x:v>
      </x:c>
      <x:c r="BR237" s="166" t="n">
        <x:v>0.8790290440469452</x:v>
      </x:c>
      <x:c r="BS237" s="171" t="n">
        <x:f>IF(BM237="","",IFERROR(F237*BR237/BP237,0))</x:f>
        <x:v>0.9704928321157387</x:v>
      </x:c>
      <x:c r="BT237" s="171" t="n">
        <x:f>IF(BM237="","",F237*ABS(BR237))</x:f>
        <x:v>1.678952599560228</x:v>
      </x:c>
      <x:c r="BU237" s="165" t="n">
        <x:v>1.733</x:v>
      </x:c>
      <x:c r="BV237" s="172" t="n">
        <x:f>IF(BM237="","",IF(BU237="","",IFERROR(BP237/BU237-1,0)))</x:f>
        <x:v>-0.0017311021350260303</x:v>
      </x:c>
      <x:c r="BW237" s="166" t="n">
        <x:v>0.07919999999999999</x:v>
      </x:c>
      <x:c r="BX237" s="172" t="n">
        <x:f>IF(BM237="","",IF(BW237="","",BW237-BV237*365/BY237))</x:f>
        <x:v>0.13185435660704176</x:v>
      </x:c>
      <x:c r="BY237" s="164" t="n">
        <x:v>12</x:v>
      </x:c>
      <x:c r="BZ237" s="172" t="n">
        <x:f>IF(BM237="","",IFERROR(BR237*(BQ237/BP237-1),0))</x:f>
        <x:v>0.007113529836218001</x:v>
      </x:c>
      <x:c r="CA237" s="147"/>
      <x:c r="CB237" s="147"/>
      <x:c r="CC237" s="147"/>
      <x:c r="CD237" s="167"/>
      <x:c r="CE237" s="167"/>
      <x:c r="CF237" s="166"/>
      <x:c r="CG237" s="171" t="str">
        <x:f>IF(CA237="","",IFERROR(F237*CF237/CD237,0))</x:f>
      </x:c>
      <x:c r="CH237" s="171" t="str">
        <x:f>IF(CA237="","",F237*ABS(CF237))</x:f>
      </x:c>
      <x:c r="CI237" s="165"/>
      <x:c r="CJ237" s="172" t="str">
        <x:f>IF(CA237="","",IF(CI237="","",IFERROR(CD237/CI237-1,0)))</x:f>
      </x:c>
      <x:c r="CK237" s="166"/>
      <x:c r="CL237" s="172" t="str">
        <x:f>IF(CA237="","",IF(CK237="","",CK237-CJ237*365/CM237))</x:f>
      </x:c>
      <x:c r="CM237" s="164"/>
      <x:c r="CN237" s="172" t="str">
        <x:f>IF(CA237="","",IFERROR(CF237*(CE237/CD237-1),0))</x:f>
      </x:c>
      <x:c r="CO237" s="147"/>
      <x:c r="CP237" s="147"/>
      <x:c r="CQ237" s="147"/>
      <x:c r="CR237" s="167"/>
      <x:c r="CS237" s="167"/>
      <x:c r="CT237" s="166"/>
      <x:c r="CU237" s="171" t="str">
        <x:f>IF(CO237="","",IFERROR(F237*CT237/CR237,0))</x:f>
      </x:c>
      <x:c r="CV237" s="171" t="str">
        <x:f>IF(CO237="","",F237*ABS(CT237))</x:f>
      </x:c>
      <x:c r="CW237" s="165"/>
      <x:c r="CX237" s="172" t="str">
        <x:f>IF(CO237="","",IF(CW237="","",IFERROR(CR237/CW237-1,0)))</x:f>
      </x:c>
      <x:c r="CY237" s="166"/>
      <x:c r="CZ237" s="172" t="str">
        <x:f>IF(CO237="","",IF(CY237="","",CY237-CX237*365/DA237))</x:f>
      </x:c>
      <x:c r="DA237" s="164"/>
      <x:c r="DB237" s="172" t="str">
        <x:f>IF(CO237="","",IFERROR(CT237*(CS237/CR237-1),0))</x:f>
      </x:c>
      <x:c r="DC237" s="147"/>
      <x:c r="DD237" s="147"/>
      <x:c r="DE237" s="147"/>
      <x:c r="DF237" s="167"/>
      <x:c r="DG237" s="167"/>
      <x:c r="DH237" s="166"/>
      <x:c r="DI237" s="171" t="str">
        <x:f>IF(DC237="","",IFERROR(F237*DH237/DF237,0))</x:f>
      </x:c>
      <x:c r="DJ237" s="171" t="str">
        <x:f>IF(DC237="","",F237*ABS(DH237))</x:f>
      </x:c>
      <x:c r="DK237" s="165"/>
      <x:c r="DL237" s="172" t="str">
        <x:f>IF(DC237="","",IF(DK237="","",IFERROR(DF237/DK237-1,0)))</x:f>
      </x:c>
      <x:c r="DM237" s="166"/>
      <x:c r="DN237" s="172" t="str">
        <x:f>IF(DC237="","",IF(DM237="","",DM237-DL237*365/DO237))</x:f>
      </x:c>
      <x:c r="DO237" s="164"/>
      <x:c r="DP237" s="172" t="str">
        <x:f>IF(DC237="","",IFERROR(DH237*(DG237/DF237-1),0))</x:f>
      </x:c>
      <x:c r="DQ237" s="147"/>
      <x:c r="DR237" s="147"/>
      <x:c r="DS237" s="147"/>
      <x:c r="DT237" s="167"/>
      <x:c r="DU237" s="167"/>
      <x:c r="DV237" s="166"/>
      <x:c r="DW237" s="171" t="str">
        <x:f>IF(DQ237="","",IFERROR(F237*DV237/DT237,0))</x:f>
      </x:c>
      <x:c r="DX237" s="171" t="str">
        <x:f>IF(DQ237="","",F237*ABS(DV237))</x:f>
      </x:c>
      <x:c r="DY237" s="165"/>
      <x:c r="DZ237" s="172" t="str">
        <x:f>IF(DQ237="","",IF(DY237="","",IFERROR(DT237/DY237-1,0)))</x:f>
      </x:c>
      <x:c r="EA237" s="166"/>
      <x:c r="EB237" s="172" t="str">
        <x:f>IF(DQ237="","",IF(EA237="","",EA237-DZ237*365/EC237))</x:f>
      </x:c>
      <x:c r="EC237" s="164"/>
      <x:c r="ED237" s="172" t="str">
        <x:f>IF(DQ237="","",IFERROR(DV237*(DU237/DT237-1),0))</x:f>
      </x:c>
      <x:c r="EE237" s="147"/>
      <x:c r="EF237" s="147"/>
      <x:c r="EG237" s="147"/>
      <x:c r="EH237" s="167"/>
      <x:c r="EI237" s="167"/>
      <x:c r="EJ237" s="166"/>
      <x:c r="EK237" s="171" t="str">
        <x:f>IF(EE237="","",IFERROR(F237*EJ237/EH237,0))</x:f>
      </x:c>
      <x:c r="EL237" s="171" t="str">
        <x:f>IF(EE237="","",F237*ABS(EJ237))</x:f>
      </x:c>
      <x:c r="EM237" s="165"/>
      <x:c r="EN237" s="172" t="str">
        <x:f>IF(EE237="","",IF(EM237="","",IFERROR(EH237/EM237-1,0)))</x:f>
      </x:c>
      <x:c r="EO237" s="166"/>
      <x:c r="EP237" s="172" t="str">
        <x:f>IF(EE237="","",IF(EO237="","",EO237-EN237*365/EQ237))</x:f>
      </x:c>
      <x:c r="EQ237" s="164"/>
      <x:c r="ER237" s="172" t="str">
        <x:f>IF(EE237="","",IFERROR(EJ237*(EI237/EH237-1),0))</x:f>
      </x:c>
      <x:c r="ES237" s="147"/>
      <x:c r="ET237" s="147"/>
      <x:c r="EU237" s="147"/>
      <x:c r="EV237" s="167"/>
      <x:c r="EW237" s="167"/>
      <x:c r="EX237" s="166"/>
      <x:c r="EY237" s="171" t="str">
        <x:f>IF(ES237="","",IFERROR(F237*EX237/EV237,0))</x:f>
      </x:c>
      <x:c r="EZ237" s="171" t="str">
        <x:f>IF(ES237="","",F237*ABS(EX237))</x:f>
      </x:c>
      <x:c r="FA237" s="165"/>
      <x:c r="FB237" s="172" t="str">
        <x:f>IF(ES237="","",IF(FA237="","",IFERROR(EV237/FA237-1,0)))</x:f>
      </x:c>
      <x:c r="FC237" s="166"/>
      <x:c r="FD237" s="172" t="str">
        <x:f>IF(ES237="","",IF(FC237="","",FC237-FB237*365/FE237))</x:f>
      </x:c>
      <x:c r="FE237" s="164"/>
      <x:c r="FF237" s="172" t="str">
        <x:f>IF(ES237="","",IFERROR(EX237*(EW237/EV237-1),0))</x:f>
      </x:c>
      <x:c r="FG237" s="147"/>
      <x:c r="FH237" s="147"/>
      <x:c r="FI237" s="147"/>
      <x:c r="FJ237" s="167"/>
      <x:c r="FK237" s="167"/>
      <x:c r="FL237" s="166"/>
      <x:c r="FM237" s="171" t="str">
        <x:f>IF(FG237="","",IFERROR(F237*FL237/FJ237,0))</x:f>
      </x:c>
      <x:c r="FN237" s="171" t="str">
        <x:f>IF(FG237="","",F237*ABS(FL237))</x:f>
      </x:c>
      <x:c r="FO237" s="165"/>
      <x:c r="FP237" s="172" t="str">
        <x:f>IF(FG237="","",IF(FO237="","",IFERROR(FJ237/FO237-1,0)))</x:f>
      </x:c>
      <x:c r="FQ237" s="166"/>
      <x:c r="FR237" s="172" t="str">
        <x:f>IF(FG237="","",IF(FQ237="","",FQ237-FP237*365/FS237))</x:f>
      </x:c>
      <x:c r="FS237" s="164"/>
      <x:c r="FT237" s="172" t="str">
        <x:f>IF(FG237="","",IFERROR(FL237*(FK237/FJ237-1),0))</x:f>
      </x:c>
    </x:row>
    <x:row r="238" ht="18" customHeight="1">
      <x:c r="A238" s="163" t="n">
        <x:v>25555</x:v>
      </x:c>
      <x:c r="B238" s="163" t="n">
        <x:v>25556</x:v>
      </x:c>
      <x:c r="C238" s="170" t="n">
        <x:f>B238-A238</x:f>
        <x:v>1</x:v>
      </x:c>
      <x:c r="D238" s="163" t="n">
        <x:v>25555</x:v>
      </x:c>
      <x:c r="E238" s="147" t="str">
        <x:v>neutral</x:v>
      </x:c>
      <x:c r="F238" s="165" t="n">
        <x:v>1.9224911369877722</x:v>
      </x:c>
      <x:c r="G238" s="168" t="n">
        <x:v>0.009284672171574868</x:v>
      </x:c>
      <x:c r="H238" s="172" t="n">
        <x:f>SUM(AX238,BL238,BZ238,CN238,DB238,DP238,ED238,ER238,FF238,FT238)</x:f>
        <x:v>0.009284672171574868</x:v>
      </x:c>
      <x:c r="I238" s="174" t="n">
        <x:f>G238-H238</x:f>
        <x:v>0</x:v>
      </x:c>
      <x:c r="J238" s="171" t="n">
        <x:f>F238*(1+H238)</x:f>
        <x:v>1.940340836947462</x:v>
      </x:c>
      <x:c r="K238" s="169" t="n">
        <x:v>1.940340836947462</x:v>
      </x:c>
      <x:c r="L238" s="175" t="n">
        <x:f>K238-J238</x:f>
        <x:v>0</x:v>
      </x:c>
      <x:c r="M238" s="167" t="n">
        <x:v>1.722</x:v>
      </x:c>
      <x:c r="N238" s="167" t="n">
        <x:v>1.738</x:v>
      </x:c>
      <x:c r="O238" s="172" t="n">
        <x:f>IFERROR(N238/M238-1,0)</x:f>
        <x:v>0.009291521486643362</x:v>
      </x:c>
      <x:c r="P238" s="171" t="n">
        <x:f>IFERROR(AD238/AH238,0)</x:f>
        <x:v>2.185968435669022</x:v>
      </x:c>
      <x:c r="Q238" s="171" t="n">
        <x:f>IFERROR(AE238/AI238,0)</x:f>
        <x:v>2.185953601118025</x:v>
      </x:c>
      <x:c r="R238" s="172" t="n">
        <x:f>IFERROR((Q238-P238)/(P238+S238),0)</x:f>
        <x:v>-0.000006786260384584974</x:v>
      </x:c>
      <x:c r="S238" s="172" t="n">
        <x:f>IFERROR(AF238/AH238,0)</x:f>
        <x:v>0</x:v>
      </x:c>
      <x:c r="T238" s="172" t="n">
        <x:f>IFERROR(AG238/AI238,0)</x:f>
        <x:v>0</x:v>
      </x:c>
      <x:c r="U238" s="172" t="n">
        <x:f>IFERROR((T238-S238)/(P238+S238),0)</x:f>
        <x:v>0</x:v>
      </x:c>
      <x:c r="V238" s="172" t="n">
        <x:f>R238+U238</x:f>
        <x:v>-0.000006786260384584974</x:v>
      </x:c>
      <x:c r="W238" s="172" t="n">
        <x:f>(1+O238)*(1+V238)-1</x:f>
        <x:v>0.00928467217157447</x:v>
      </x:c>
      <x:c r="X238" s="174" t="n">
        <x:f>G238-W238</x:f>
        <x:v>3.972516759986888e-16</x:v>
      </x:c>
      <x:c r="Y238" s="172" t="n">
        <x:f>AX238</x:f>
        <x:v>0.009284672171574868</x:v>
      </x:c>
      <x:c r="Z238" s="172" t="str">
        <x:f>BL238</x:f>
      </x:c>
      <x:c r="AA238" s="172" t="n">
        <x:f>SUM(BZ238,CN238,DB238,DP238,ED238,ER238,FF238,FT238)</x:f>
        <x:v>0</x:v>
      </x:c>
      <x:c r="AB238" s="172" t="n">
        <x:f>SUM(Y238:AA238)</x:f>
        <x:v>0.009284672171574868</x:v>
      </x:c>
      <x:c r="AC238" s="174" t="n">
        <x:f>G238-AB238</x:f>
        <x:v>0</x:v>
      </x:c>
      <x:c r="AD238" s="169" t="n">
        <x:v>1.922491136987771</x:v>
      </x:c>
      <x:c r="AE238" s="169" t="n">
        <x:v>1.9403408369474608</x:v>
      </x:c>
      <x:c r="AF238" s="169" t="n">
        <x:v>0</x:v>
      </x:c>
      <x:c r="AG238" s="169" t="n">
        <x:v>0</x:v>
      </x:c>
      <x:c r="AH238" s="171" t="n">
        <x:f>M238/$M$3</x:f>
        <x:v>0.8794688457609806</x:v>
      </x:c>
      <x:c r="AI238" s="171" t="n">
        <x:f>N238/$M$3</x:f>
        <x:v>0.8876404494382023</x:v>
      </x:c>
      <x:c r="AJ238" s="170" t="n">
        <x:f>IF(AK238&lt;&gt;"",1,0)+IF(AY238&lt;&gt;"",1,0)+IF(BM238&lt;&gt;"",1,0)+IF(CA238&lt;&gt;"",1,0)+IF(CO238&lt;&gt;"",1,0)+IF(DC238&lt;&gt;"",1,0)+IF(DQ238&lt;&gt;"",1,0)+IF(EE238&lt;&gt;"",1,0)+IF(ES238&lt;&gt;"",1,0)+IF(FG238&lt;&gt;"",1,0)</x:f>
        <x:v>1</x:v>
      </x:c>
      <x:c r="AK238" s="147" t="str">
        <x:v>Silver replicating holding (LBMA/SLV proxy)</x:v>
      </x:c>
      <x:c r="AL238" s="147" t="str">
        <x:v>Physical-backed proxy</x:v>
      </x:c>
      <x:c r="AM238" s="147" t="str">
        <x:v>Long</x:v>
      </x:c>
      <x:c r="AN238" s="167" t="n">
        <x:v>1.722</x:v>
      </x:c>
      <x:c r="AO238" s="167" t="n">
        <x:v>1.738</x:v>
      </x:c>
      <x:c r="AP238" s="166" t="n">
        <x:v>1</x:v>
      </x:c>
      <x:c r="AQ238" s="171" t="n">
        <x:f>IF(AK238="","",IFERROR(F238*AP238/AN238,0))</x:f>
        <x:v>1.1164292317002162</x:v>
      </x:c>
      <x:c r="AR238" s="171" t="n">
        <x:f>IF(AK238="","",F238*ABS(AP238))</x:f>
        <x:v>1.9224911369877722</x:v>
      </x:c>
      <x:c r="AS238" s="165"/>
      <x:c r="AT238" s="172" t="str">
        <x:f>IF(AK238="","",IF(AS238="","",IFERROR(AN238/AS238-1,0)))</x:f>
      </x:c>
      <x:c r="AU238" s="166"/>
      <x:c r="AV238" s="172" t="str">
        <x:f>IF(AK238="","",IF(AU238="","",AU238-AT238*365/AW238))</x:f>
      </x:c>
      <x:c r="AW238" s="164"/>
      <x:c r="AX238" s="173" t="n">
        <x:f>IF(AK238="","",IFERROR(AP238*(AO238/AN238-1-'Parameters'!$C$6*C238/365),0))</x:f>
        <x:v>0.009284672171574868</x:v>
      </x:c>
      <x:c r="AY238" s="147"/>
      <x:c r="AZ238" s="147"/>
      <x:c r="BA238" s="147"/>
      <x:c r="BB238" s="167"/>
      <x:c r="BC238" s="167"/>
      <x:c r="BD238" s="166"/>
      <x:c r="BE238" s="171" t="str">
        <x:f>IF(AY238="","",IFERROR(F238*BD238/BB238,0))</x:f>
      </x:c>
      <x:c r="BF238" s="171" t="str">
        <x:f>IF(AY238="","",F238*ABS(BD238))</x:f>
      </x:c>
      <x:c r="BG238" s="165"/>
      <x:c r="BH238" s="172" t="str">
        <x:f>IF(AY238="","",IF(BG238="","",IFERROR(BB238/BG238-1,0)))</x:f>
      </x:c>
      <x:c r="BI238" s="166"/>
      <x:c r="BJ238" s="172" t="str">
        <x:f>IF(AY238="","",IF(BI238="","",BI238-BH238*365/BK238))</x:f>
      </x:c>
      <x:c r="BK238" s="164"/>
      <x:c r="BL238" s="172" t="str">
        <x:f>IF(AY238="","",IFERROR(BD238*(BC238/BB238-1),0))</x:f>
      </x:c>
      <x:c r="BM238" s="147"/>
      <x:c r="BN238" s="147"/>
      <x:c r="BO238" s="147"/>
      <x:c r="BP238" s="167"/>
      <x:c r="BQ238" s="167"/>
      <x:c r="BR238" s="166"/>
      <x:c r="BS238" s="171" t="str">
        <x:f>IF(BM238="","",IFERROR(F238*BR238/BP238,0))</x:f>
      </x:c>
      <x:c r="BT238" s="171" t="str">
        <x:f>IF(BM238="","",F238*ABS(BR238))</x:f>
      </x:c>
      <x:c r="BU238" s="165"/>
      <x:c r="BV238" s="172" t="str">
        <x:f>IF(BM238="","",IF(BU238="","",IFERROR(BP238/BU238-1,0)))</x:f>
      </x:c>
      <x:c r="BW238" s="166"/>
      <x:c r="BX238" s="172" t="str">
        <x:f>IF(BM238="","",IF(BW238="","",BW238-BV238*365/BY238))</x:f>
      </x:c>
      <x:c r="BY238" s="164"/>
      <x:c r="BZ238" s="172" t="str">
        <x:f>IF(BM238="","",IFERROR(BR238*(BQ238/BP238-1),0))</x:f>
      </x:c>
      <x:c r="CA238" s="147"/>
      <x:c r="CB238" s="147"/>
      <x:c r="CC238" s="147"/>
      <x:c r="CD238" s="167"/>
      <x:c r="CE238" s="167"/>
      <x:c r="CF238" s="166"/>
      <x:c r="CG238" s="171" t="str">
        <x:f>IF(CA238="","",IFERROR(F238*CF238/CD238,0))</x:f>
      </x:c>
      <x:c r="CH238" s="171" t="str">
        <x:f>IF(CA238="","",F238*ABS(CF238))</x:f>
      </x:c>
      <x:c r="CI238" s="165"/>
      <x:c r="CJ238" s="172" t="str">
        <x:f>IF(CA238="","",IF(CI238="","",IFERROR(CD238/CI238-1,0)))</x:f>
      </x:c>
      <x:c r="CK238" s="166"/>
      <x:c r="CL238" s="172" t="str">
        <x:f>IF(CA238="","",IF(CK238="","",CK238-CJ238*365/CM238))</x:f>
      </x:c>
      <x:c r="CM238" s="164"/>
      <x:c r="CN238" s="172" t="str">
        <x:f>IF(CA238="","",IFERROR(CF238*(CE238/CD238-1),0))</x:f>
      </x:c>
      <x:c r="CO238" s="147"/>
      <x:c r="CP238" s="147"/>
      <x:c r="CQ238" s="147"/>
      <x:c r="CR238" s="167"/>
      <x:c r="CS238" s="167"/>
      <x:c r="CT238" s="166"/>
      <x:c r="CU238" s="171" t="str">
        <x:f>IF(CO238="","",IFERROR(F238*CT238/CR238,0))</x:f>
      </x:c>
      <x:c r="CV238" s="171" t="str">
        <x:f>IF(CO238="","",F238*ABS(CT238))</x:f>
      </x:c>
      <x:c r="CW238" s="165"/>
      <x:c r="CX238" s="172" t="str">
        <x:f>IF(CO238="","",IF(CW238="","",IFERROR(CR238/CW238-1,0)))</x:f>
      </x:c>
      <x:c r="CY238" s="166"/>
      <x:c r="CZ238" s="172" t="str">
        <x:f>IF(CO238="","",IF(CY238="","",CY238-CX238*365/DA238))</x:f>
      </x:c>
      <x:c r="DA238" s="164"/>
      <x:c r="DB238" s="172" t="str">
        <x:f>IF(CO238="","",IFERROR(CT238*(CS238/CR238-1),0))</x:f>
      </x:c>
      <x:c r="DC238" s="147"/>
      <x:c r="DD238" s="147"/>
      <x:c r="DE238" s="147"/>
      <x:c r="DF238" s="167"/>
      <x:c r="DG238" s="167"/>
      <x:c r="DH238" s="166"/>
      <x:c r="DI238" s="171" t="str">
        <x:f>IF(DC238="","",IFERROR(F238*DH238/DF238,0))</x:f>
      </x:c>
      <x:c r="DJ238" s="171" t="str">
        <x:f>IF(DC238="","",F238*ABS(DH238))</x:f>
      </x:c>
      <x:c r="DK238" s="165"/>
      <x:c r="DL238" s="172" t="str">
        <x:f>IF(DC238="","",IF(DK238="","",IFERROR(DF238/DK238-1,0)))</x:f>
      </x:c>
      <x:c r="DM238" s="166"/>
      <x:c r="DN238" s="172" t="str">
        <x:f>IF(DC238="","",IF(DM238="","",DM238-DL238*365/DO238))</x:f>
      </x:c>
      <x:c r="DO238" s="164"/>
      <x:c r="DP238" s="172" t="str">
        <x:f>IF(DC238="","",IFERROR(DH238*(DG238/DF238-1),0))</x:f>
      </x:c>
      <x:c r="DQ238" s="147"/>
      <x:c r="DR238" s="147"/>
      <x:c r="DS238" s="147"/>
      <x:c r="DT238" s="167"/>
      <x:c r="DU238" s="167"/>
      <x:c r="DV238" s="166"/>
      <x:c r="DW238" s="171" t="str">
        <x:f>IF(DQ238="","",IFERROR(F238*DV238/DT238,0))</x:f>
      </x:c>
      <x:c r="DX238" s="171" t="str">
        <x:f>IF(DQ238="","",F238*ABS(DV238))</x:f>
      </x:c>
      <x:c r="DY238" s="165"/>
      <x:c r="DZ238" s="172" t="str">
        <x:f>IF(DQ238="","",IF(DY238="","",IFERROR(DT238/DY238-1,0)))</x:f>
      </x:c>
      <x:c r="EA238" s="166"/>
      <x:c r="EB238" s="172" t="str">
        <x:f>IF(DQ238="","",IF(EA238="","",EA238-DZ238*365/EC238))</x:f>
      </x:c>
      <x:c r="EC238" s="164"/>
      <x:c r="ED238" s="172" t="str">
        <x:f>IF(DQ238="","",IFERROR(DV238*(DU238/DT238-1),0))</x:f>
      </x:c>
      <x:c r="EE238" s="147"/>
      <x:c r="EF238" s="147"/>
      <x:c r="EG238" s="147"/>
      <x:c r="EH238" s="167"/>
      <x:c r="EI238" s="167"/>
      <x:c r="EJ238" s="166"/>
      <x:c r="EK238" s="171" t="str">
        <x:f>IF(EE238="","",IFERROR(F238*EJ238/EH238,0))</x:f>
      </x:c>
      <x:c r="EL238" s="171" t="str">
        <x:f>IF(EE238="","",F238*ABS(EJ238))</x:f>
      </x:c>
      <x:c r="EM238" s="165"/>
      <x:c r="EN238" s="172" t="str">
        <x:f>IF(EE238="","",IF(EM238="","",IFERROR(EH238/EM238-1,0)))</x:f>
      </x:c>
      <x:c r="EO238" s="166"/>
      <x:c r="EP238" s="172" t="str">
        <x:f>IF(EE238="","",IF(EO238="","",EO238-EN238*365/EQ238))</x:f>
      </x:c>
      <x:c r="EQ238" s="164"/>
      <x:c r="ER238" s="172" t="str">
        <x:f>IF(EE238="","",IFERROR(EJ238*(EI238/EH238-1),0))</x:f>
      </x:c>
      <x:c r="ES238" s="147"/>
      <x:c r="ET238" s="147"/>
      <x:c r="EU238" s="147"/>
      <x:c r="EV238" s="167"/>
      <x:c r="EW238" s="167"/>
      <x:c r="EX238" s="166"/>
      <x:c r="EY238" s="171" t="str">
        <x:f>IF(ES238="","",IFERROR(F238*EX238/EV238,0))</x:f>
      </x:c>
      <x:c r="EZ238" s="171" t="str">
        <x:f>IF(ES238="","",F238*ABS(EX238))</x:f>
      </x:c>
      <x:c r="FA238" s="165"/>
      <x:c r="FB238" s="172" t="str">
        <x:f>IF(ES238="","",IF(FA238="","",IFERROR(EV238/FA238-1,0)))</x:f>
      </x:c>
      <x:c r="FC238" s="166"/>
      <x:c r="FD238" s="172" t="str">
        <x:f>IF(ES238="","",IF(FC238="","",FC238-FB238*365/FE238))</x:f>
      </x:c>
      <x:c r="FE238" s="164"/>
      <x:c r="FF238" s="172" t="str">
        <x:f>IF(ES238="","",IFERROR(EX238*(EW238/EV238-1),0))</x:f>
      </x:c>
      <x:c r="FG238" s="147"/>
      <x:c r="FH238" s="147"/>
      <x:c r="FI238" s="147"/>
      <x:c r="FJ238" s="167"/>
      <x:c r="FK238" s="167"/>
      <x:c r="FL238" s="166"/>
      <x:c r="FM238" s="171" t="str">
        <x:f>IF(FG238="","",IFERROR(F238*FL238/FJ238,0))</x:f>
      </x:c>
      <x:c r="FN238" s="171" t="str">
        <x:f>IF(FG238="","",F238*ABS(FL238))</x:f>
      </x:c>
      <x:c r="FO238" s="165"/>
      <x:c r="FP238" s="172" t="str">
        <x:f>IF(FG238="","",IF(FO238="","",IFERROR(FJ238/FO238-1,0)))</x:f>
      </x:c>
      <x:c r="FQ238" s="166"/>
      <x:c r="FR238" s="172" t="str">
        <x:f>IF(FG238="","",IF(FQ238="","",FQ238-FP238*365/FS238))</x:f>
      </x:c>
      <x:c r="FS238" s="164"/>
      <x:c r="FT238" s="172" t="str">
        <x:f>IF(FG238="","",IFERROR(FL238*(FK238/FJ238-1),0))</x:f>
      </x:c>
    </x:row>
    <x:row r="239" ht="18" customHeight="1">
      <x:c r="A239" s="163" t="n">
        <x:v>25556</x:v>
      </x:c>
      <x:c r="B239" s="163" t="n">
        <x:v>25559</x:v>
      </x:c>
      <x:c r="C239" s="170" t="n">
        <x:f>B239-A239</x:f>
        <x:v>3</x:v>
      </x:c>
      <x:c r="D239" s="163" t="n">
        <x:v>25556</x:v>
      </x:c>
      <x:c r="E239" s="147" t="str">
        <x:v>positive</x:v>
      </x:c>
      <x:c r="F239" s="165" t="n">
        <x:v>1.940340836947462</x:v>
      </x:c>
      <x:c r="G239" s="168" t="n">
        <x:v>0.01028126007937327</x:v>
      </x:c>
      <x:c r="H239" s="172" t="n">
        <x:f>SUM(AX239,BL239,BZ239,CN239,DB239,DP239,ED239,ER239,FF239,FT239)</x:f>
        <x:v>0.010281260079373255</x:v>
      </x:c>
      <x:c r="I239" s="174" t="n">
        <x:f>G239-H239</x:f>
        <x:v>1.5612511283791264e-17</x:v>
      </x:c>
      <x:c r="J239" s="171" t="n">
        <x:f>F239*(1+H239)</x:f>
        <x:v>1.9602899857347478</x:v>
      </x:c>
      <x:c r="K239" s="169" t="n">
        <x:v>1.9602899857347478</x:v>
      </x:c>
      <x:c r="L239" s="175" t="n">
        <x:f>K239-J239</x:f>
        <x:v>0</x:v>
      </x:c>
      <x:c r="M239" s="167" t="n">
        <x:v>1.738</x:v>
      </x:c>
      <x:c r="N239" s="167" t="n">
        <x:v>1.756</x:v>
      </x:c>
      <x:c r="O239" s="172" t="n">
        <x:f>IFERROR(N239/M239-1,0)</x:f>
        <x:v>0.010356731875719172</x:v>
      </x:c>
      <x:c r="P239" s="171" t="n">
        <x:f>IFERROR(AD239/AH239,0)</x:f>
        <x:v>2.185953601118025</x:v>
      </x:c>
      <x:c r="Q239" s="171" t="n">
        <x:f>IFERROR(AE239/AI239,0)</x:f>
        <x:v>2.1857903143898825</x:v>
      </x:c>
      <x:c r="R239" s="172" t="n">
        <x:f>IFERROR((Q239-P239)/(P239+S239),0)</x:f>
        <x:v>-0.00007469816745386685</x:v>
      </x:c>
      <x:c r="S239" s="172" t="n">
        <x:f>IFERROR(AF239/AH239,0)</x:f>
        <x:v>0</x:v>
      </x:c>
      <x:c r="T239" s="172" t="n">
        <x:f>IFERROR(AG239/AI239,0)</x:f>
        <x:v>0</x:v>
      </x:c>
      <x:c r="U239" s="172" t="n">
        <x:f>IFERROR((T239-S239)/(P239+S239),0)</x:f>
        <x:v>0</x:v>
      </x:c>
      <x:c r="V239" s="172" t="n">
        <x:f>R239+U239</x:f>
        <x:v>-0.00007469816745386685</x:v>
      </x:c>
      <x:c r="W239" s="172" t="n">
        <x:f>(1+O239)*(1+V239)-1</x:f>
        <x:v>0.010281260079373356</x:v>
      </x:c>
      <x:c r="X239" s="174" t="n">
        <x:f>G239-W239</x:f>
        <x:v>-8.500145032286355e-17</x:v>
      </x:c>
      <x:c r="Y239" s="172" t="n">
        <x:f>AX239</x:f>
        <x:v>0.009309694213606124</x:v>
      </x:c>
      <x:c r="Z239" s="172" t="n">
        <x:f>BL239</x:f>
        <x:v>0.00006358581206550187</x:v>
      </x:c>
      <x:c r="AA239" s="172" t="n">
        <x:f>SUM(BZ239,CN239,DB239,DP239,ED239,ER239,FF239,FT239)</x:f>
        <x:v>0.0009079800537016283</x:v>
      </x:c>
      <x:c r="AB239" s="172" t="n">
        <x:f>SUM(Y239:AA239)</x:f>
        <x:v>0.010281260079373255</x:v>
      </x:c>
      <x:c r="AC239" s="174" t="n">
        <x:f>G239-AB239</x:f>
        <x:v>1.5612511283791264e-17</x:v>
      </x:c>
      <x:c r="AD239" s="169" t="n">
        <x:v>1.9403408369474608</x:v>
      </x:c>
      <x:c r="AE239" s="169" t="n">
        <x:v>1.9602899857347464</x:v>
      </x:c>
      <x:c r="AF239" s="169" t="n">
        <x:v>0</x:v>
      </x:c>
      <x:c r="AG239" s="169" t="n">
        <x:v>0</x:v>
      </x:c>
      <x:c r="AH239" s="171" t="n">
        <x:f>M239/$M$3</x:f>
        <x:v>0.8876404494382023</x:v>
      </x:c>
      <x:c r="AI239" s="171" t="n">
        <x:f>N239/$M$3</x:f>
        <x:v>0.8968335035750766</x:v>
      </x:c>
      <x:c r="AJ239" s="170" t="n">
        <x:f>IF(AK239&lt;&gt;"",1,0)+IF(AY239&lt;&gt;"",1,0)+IF(BM239&lt;&gt;"",1,0)+IF(CA239&lt;&gt;"",1,0)+IF(CO239&lt;&gt;"",1,0)+IF(DC239&lt;&gt;"",1,0)+IF(DQ239&lt;&gt;"",1,0)+IF(EE239&lt;&gt;"",1,0)+IF(ES239&lt;&gt;"",1,0)+IF(FG239&lt;&gt;"",1,0)</x:f>
        <x:v>3</x:v>
      </x:c>
      <x:c r="AK239" s="147" t="str">
        <x:v>Silver replicating holding (LBMA/SLV proxy)</x:v>
      </x:c>
      <x:c r="AL239" s="147" t="str">
        <x:v>Physical-backed proxy</x:v>
      </x:c>
      <x:c r="AM239" s="147" t="str">
        <x:v>Long</x:v>
      </x:c>
      <x:c r="AN239" s="167" t="n">
        <x:v>1.738</x:v>
      </x:c>
      <x:c r="AO239" s="167" t="n">
        <x:v>1.756</x:v>
      </x:c>
      <x:c r="AP239" s="166" t="n">
        <x:v>0.9006896816263841</x:v>
      </x:c>
      <x:c r="AQ239" s="171" t="n">
        <x:f>IF(AK239="","",IFERROR(F239*AP239/AN239,0))</x:f>
        <x:v>1.0055494652916461</x:v>
      </x:c>
      <x:c r="AR239" s="171" t="n">
        <x:f>IF(AK239="","",F239*ABS(AP239))</x:f>
        <x:v>1.747644970676881</x:v>
      </x:c>
      <x:c r="AS239" s="165"/>
      <x:c r="AT239" s="172" t="str">
        <x:f>IF(AK239="","",IF(AS239="","",IFERROR(AN239/AS239-1,0)))</x:f>
      </x:c>
      <x:c r="AU239" s="166"/>
      <x:c r="AV239" s="172" t="str">
        <x:f>IF(AK239="","",IF(AU239="","",AU239-AT239*365/AW239))</x:f>
      </x:c>
      <x:c r="AW239" s="164"/>
      <x:c r="AX239" s="173" t="n">
        <x:f>IF(AK239="","",IFERROR(AP239*(AO239/AN239-1-'Parameters'!$C$6*C239/365),0))</x:f>
        <x:v>0.009309694213606124</x:v>
      </x:c>
      <x:c r="AY239" s="147" t="str">
        <x:v>Matched-maturity Treasury collateral</x:v>
      </x:c>
      <x:c r="AZ239" s="147" t="str">
        <x:v>Treasury</x:v>
      </x:c>
      <x:c r="BA239" s="147" t="str">
        <x:v>Long</x:v>
      </x:c>
      <x:c r="BB239" s="167" t="n">
        <x:v>106.57406230798794</x:v>
      </x:c>
      <x:c r="BC239" s="167" t="n">
        <x:v>106.64229890623828</x:v>
      </x:c>
      <x:c r="BD239" s="166" t="n">
        <x:v>0.09931031837361586</x:v>
      </x:c>
      <x:c r="BE239" s="171" t="n">
        <x:f>IF(AY239="","",IFERROR(F239*BD239/BB239,0))</x:f>
        <x:v>0.001808093471314903</x:v>
      </x:c>
      <x:c r="BF239" s="171" t="n">
        <x:f>IF(AY239="","",F239*ABS(BD239))</x:f>
        <x:v>0.1926958662705807</x:v>
      </x:c>
      <x:c r="BG239" s="165"/>
      <x:c r="BH239" s="172" t="str">
        <x:f>IF(AY239="","",IF(BG239="","",IFERROR(BB239/BG239-1,0)))</x:f>
      </x:c>
      <x:c r="BI239" s="166"/>
      <x:c r="BJ239" s="172" t="str">
        <x:f>IF(AY239="","",IF(BI239="","",BI239-BH239*365/BK239))</x:f>
      </x:c>
      <x:c r="BK239" s="164" t="n">
        <x:v>40</x:v>
      </x:c>
      <x:c r="BL239" s="172" t="n">
        <x:f>IF(AY239="","",IFERROR(BD239*(BC239/BB239-1),0))</x:f>
        <x:v>0.00006358581206550187</x:v>
      </x:c>
      <x:c r="BM239" s="147" t="str">
        <x:v>SI70F</x:v>
      </x:c>
      <x:c r="BN239" s="147" t="str">
        <x:v>Silver future (regular)</x:v>
      </x:c>
      <x:c r="BO239" s="147" t="str">
        <x:v>Long</x:v>
      </x:c>
      <x:c r="BP239" s="167" t="n">
        <x:v>1.75</x:v>
      </x:c>
      <x:c r="BQ239" s="167" t="n">
        <x:v>1.766</x:v>
      </x:c>
      <x:c r="BR239" s="166" t="n">
        <x:v>0.09931031837361586</x:v>
      </x:c>
      <x:c r="BS239" s="171" t="n">
        <x:f>IF(BM239="","",IFERROR(F239*BR239/BP239,0))</x:f>
        <x:v>0.11011192358318897</x:v>
      </x:c>
      <x:c r="BT239" s="171" t="n">
        <x:f>IF(BM239="","",F239*ABS(BR239))</x:f>
        <x:v>0.1926958662705807</x:v>
      </x:c>
      <x:c r="BU239" s="165" t="n">
        <x:v>1.738</x:v>
      </x:c>
      <x:c r="BV239" s="172" t="n">
        <x:f>IF(BM239="","",IF(BU239="","",IFERROR(BP239/BU239-1,0)))</x:f>
        <x:v>0.0069044879171460405</x:v>
      </x:c>
      <x:c r="BW239" s="166" t="n">
        <x:v>0.0779</x:v>
      </x:c>
      <x:c r="BX239" s="172" t="n">
        <x:f>IF(BM239="","",IF(BW239="","",BW239-BV239*365/BY239))</x:f>
        <x:v>0.014896547756042378</x:v>
      </x:c>
      <x:c r="BY239" s="164" t="n">
        <x:v>40</x:v>
      </x:c>
      <x:c r="BZ239" s="172" t="n">
        <x:f>IF(BM239="","",IFERROR(BR239*(BQ239/BP239-1),0))</x:f>
        <x:v>0.0009079800537016283</x:v>
      </x:c>
      <x:c r="CA239" s="147"/>
      <x:c r="CB239" s="147"/>
      <x:c r="CC239" s="147"/>
      <x:c r="CD239" s="167"/>
      <x:c r="CE239" s="167"/>
      <x:c r="CF239" s="166"/>
      <x:c r="CG239" s="171" t="str">
        <x:f>IF(CA239="","",IFERROR(F239*CF239/CD239,0))</x:f>
      </x:c>
      <x:c r="CH239" s="171" t="str">
        <x:f>IF(CA239="","",F239*ABS(CF239))</x:f>
      </x:c>
      <x:c r="CI239" s="165"/>
      <x:c r="CJ239" s="172" t="str">
        <x:f>IF(CA239="","",IF(CI239="","",IFERROR(CD239/CI239-1,0)))</x:f>
      </x:c>
      <x:c r="CK239" s="166"/>
      <x:c r="CL239" s="172" t="str">
        <x:f>IF(CA239="","",IF(CK239="","",CK239-CJ239*365/CM239))</x:f>
      </x:c>
      <x:c r="CM239" s="164"/>
      <x:c r="CN239" s="172" t="str">
        <x:f>IF(CA239="","",IFERROR(CF239*(CE239/CD239-1),0))</x:f>
      </x:c>
      <x:c r="CO239" s="147"/>
      <x:c r="CP239" s="147"/>
      <x:c r="CQ239" s="147"/>
      <x:c r="CR239" s="167"/>
      <x:c r="CS239" s="167"/>
      <x:c r="CT239" s="166"/>
      <x:c r="CU239" s="171" t="str">
        <x:f>IF(CO239="","",IFERROR(F239*CT239/CR239,0))</x:f>
      </x:c>
      <x:c r="CV239" s="171" t="str">
        <x:f>IF(CO239="","",F239*ABS(CT239))</x:f>
      </x:c>
      <x:c r="CW239" s="165"/>
      <x:c r="CX239" s="172" t="str">
        <x:f>IF(CO239="","",IF(CW239="","",IFERROR(CR239/CW239-1,0)))</x:f>
      </x:c>
      <x:c r="CY239" s="166"/>
      <x:c r="CZ239" s="172" t="str">
        <x:f>IF(CO239="","",IF(CY239="","",CY239-CX239*365/DA239))</x:f>
      </x:c>
      <x:c r="DA239" s="164"/>
      <x:c r="DB239" s="172" t="str">
        <x:f>IF(CO239="","",IFERROR(CT239*(CS239/CR239-1),0))</x:f>
      </x:c>
      <x:c r="DC239" s="147"/>
      <x:c r="DD239" s="147"/>
      <x:c r="DE239" s="147"/>
      <x:c r="DF239" s="167"/>
      <x:c r="DG239" s="167"/>
      <x:c r="DH239" s="166"/>
      <x:c r="DI239" s="171" t="str">
        <x:f>IF(DC239="","",IFERROR(F239*DH239/DF239,0))</x:f>
      </x:c>
      <x:c r="DJ239" s="171" t="str">
        <x:f>IF(DC239="","",F239*ABS(DH239))</x:f>
      </x:c>
      <x:c r="DK239" s="165"/>
      <x:c r="DL239" s="172" t="str">
        <x:f>IF(DC239="","",IF(DK239="","",IFERROR(DF239/DK239-1,0)))</x:f>
      </x:c>
      <x:c r="DM239" s="166"/>
      <x:c r="DN239" s="172" t="str">
        <x:f>IF(DC239="","",IF(DM239="","",DM239-DL239*365/DO239))</x:f>
      </x:c>
      <x:c r="DO239" s="164"/>
      <x:c r="DP239" s="172" t="str">
        <x:f>IF(DC239="","",IFERROR(DH239*(DG239/DF239-1),0))</x:f>
      </x:c>
      <x:c r="DQ239" s="147"/>
      <x:c r="DR239" s="147"/>
      <x:c r="DS239" s="147"/>
      <x:c r="DT239" s="167"/>
      <x:c r="DU239" s="167"/>
      <x:c r="DV239" s="166"/>
      <x:c r="DW239" s="171" t="str">
        <x:f>IF(DQ239="","",IFERROR(F239*DV239/DT239,0))</x:f>
      </x:c>
      <x:c r="DX239" s="171" t="str">
        <x:f>IF(DQ239="","",F239*ABS(DV239))</x:f>
      </x:c>
      <x:c r="DY239" s="165"/>
      <x:c r="DZ239" s="172" t="str">
        <x:f>IF(DQ239="","",IF(DY239="","",IFERROR(DT239/DY239-1,0)))</x:f>
      </x:c>
      <x:c r="EA239" s="166"/>
      <x:c r="EB239" s="172" t="str">
        <x:f>IF(DQ239="","",IF(EA239="","",EA239-DZ239*365/EC239))</x:f>
      </x:c>
      <x:c r="EC239" s="164"/>
      <x:c r="ED239" s="172" t="str">
        <x:f>IF(DQ239="","",IFERROR(DV239*(DU239/DT239-1),0))</x:f>
      </x:c>
      <x:c r="EE239" s="147"/>
      <x:c r="EF239" s="147"/>
      <x:c r="EG239" s="147"/>
      <x:c r="EH239" s="167"/>
      <x:c r="EI239" s="167"/>
      <x:c r="EJ239" s="166"/>
      <x:c r="EK239" s="171" t="str">
        <x:f>IF(EE239="","",IFERROR(F239*EJ239/EH239,0))</x:f>
      </x:c>
      <x:c r="EL239" s="171" t="str">
        <x:f>IF(EE239="","",F239*ABS(EJ239))</x:f>
      </x:c>
      <x:c r="EM239" s="165"/>
      <x:c r="EN239" s="172" t="str">
        <x:f>IF(EE239="","",IF(EM239="","",IFERROR(EH239/EM239-1,0)))</x:f>
      </x:c>
      <x:c r="EO239" s="166"/>
      <x:c r="EP239" s="172" t="str">
        <x:f>IF(EE239="","",IF(EO239="","",EO239-EN239*365/EQ239))</x:f>
      </x:c>
      <x:c r="EQ239" s="164"/>
      <x:c r="ER239" s="172" t="str">
        <x:f>IF(EE239="","",IFERROR(EJ239*(EI239/EH239-1),0))</x:f>
      </x:c>
      <x:c r="ES239" s="147"/>
      <x:c r="ET239" s="147"/>
      <x:c r="EU239" s="147"/>
      <x:c r="EV239" s="167"/>
      <x:c r="EW239" s="167"/>
      <x:c r="EX239" s="166"/>
      <x:c r="EY239" s="171" t="str">
        <x:f>IF(ES239="","",IFERROR(F239*EX239/EV239,0))</x:f>
      </x:c>
      <x:c r="EZ239" s="171" t="str">
        <x:f>IF(ES239="","",F239*ABS(EX239))</x:f>
      </x:c>
      <x:c r="FA239" s="165"/>
      <x:c r="FB239" s="172" t="str">
        <x:f>IF(ES239="","",IF(FA239="","",IFERROR(EV239/FA239-1,0)))</x:f>
      </x:c>
      <x:c r="FC239" s="166"/>
      <x:c r="FD239" s="172" t="str">
        <x:f>IF(ES239="","",IF(FC239="","",FC239-FB239*365/FE239))</x:f>
      </x:c>
      <x:c r="FE239" s="164"/>
      <x:c r="FF239" s="172" t="str">
        <x:f>IF(ES239="","",IFERROR(EX239*(EW239/EV239-1),0))</x:f>
      </x:c>
      <x:c r="FG239" s="147"/>
      <x:c r="FH239" s="147"/>
      <x:c r="FI239" s="147"/>
      <x:c r="FJ239" s="167"/>
      <x:c r="FK239" s="167"/>
      <x:c r="FL239" s="166"/>
      <x:c r="FM239" s="171" t="str">
        <x:f>IF(FG239="","",IFERROR(F239*FL239/FJ239,0))</x:f>
      </x:c>
      <x:c r="FN239" s="171" t="str">
        <x:f>IF(FG239="","",F239*ABS(FL239))</x:f>
      </x:c>
      <x:c r="FO239" s="165"/>
      <x:c r="FP239" s="172" t="str">
        <x:f>IF(FG239="","",IF(FO239="","",IFERROR(FJ239/FO239-1,0)))</x:f>
      </x:c>
      <x:c r="FQ239" s="166"/>
      <x:c r="FR239" s="172" t="str">
        <x:f>IF(FG239="","",IF(FQ239="","",FQ239-FP239*365/FS239))</x:f>
      </x:c>
      <x:c r="FS239" s="164"/>
      <x:c r="FT239" s="172" t="str">
        <x:f>IF(FG239="","",IFERROR(FL239*(FK239/FJ239-1),0))</x:f>
      </x:c>
    </x:row>
    <x:row r="240" ht="18" customHeight="1">
      <x:c r="A240" s="163" t="n">
        <x:v>25559</x:v>
      </x:c>
      <x:c r="B240" s="163" t="n">
        <x:v>25560</x:v>
      </x:c>
      <x:c r="C240" s="170" t="n">
        <x:f>B240-A240</x:f>
        <x:v>1</x:v>
      </x:c>
      <x:c r="D240" s="163" t="n">
        <x:v>25559</x:v>
      </x:c>
      <x:c r="E240" s="147" t="str">
        <x:v>positive</x:v>
      </x:c>
      <x:c r="F240" s="165" t="n">
        <x:v>1.9602899857347478</x:v>
      </x:c>
      <x:c r="G240" s="168" t="n">
        <x:v>0.010517057556764802</x:v>
      </x:c>
      <x:c r="H240" s="172" t="n">
        <x:f>SUM(AX240,BL240,BZ240,CN240,DB240,DP240,ED240,ER240,FF240,FT240)</x:f>
        <x:v>0.010517057556764846</x:v>
      </x:c>
      <x:c r="I240" s="174" t="n">
        <x:f>G240-H240</x:f>
        <x:v>-4.336808689942018e-17</x:v>
      </x:c>
      <x:c r="J240" s="171" t="n">
        <x:f>F240*(1+H240)</x:f>
        <x:v>1.9809064683426698</x:v>
      </x:c>
      <x:c r="K240" s="169" t="n">
        <x:v>1.9809064683426698</x:v>
      </x:c>
      <x:c r="L240" s="175" t="n">
        <x:f>K240-J240</x:f>
        <x:v>0</x:v>
      </x:c>
      <x:c r="M240" s="167" t="n">
        <x:v>1.756</x:v>
      </x:c>
      <x:c r="N240" s="167" t="n">
        <x:v>1.774</x:v>
      </x:c>
      <x:c r="O240" s="172" t="n">
        <x:f>IFERROR(N240/M240-1,0)</x:f>
        <x:v>0.010250569476081939</x:v>
      </x:c>
      <x:c r="P240" s="171" t="n">
        <x:f>IFERROR(AD240/AH240,0)</x:f>
        <x:v>2.1857903143898825</x:v>
      </x:c>
      <x:c r="Q240" s="171" t="n">
        <x:f>IFERROR(AE240/AI240,0)</x:f>
        <x:v>2.186366891214738</x:v>
      </x:c>
      <x:c r="R240" s="172" t="n">
        <x:f>IFERROR((Q240-P240)/(P240+S240),0)</x:f>
        <x:v>0.00026378414299841355</x:v>
      </x:c>
      <x:c r="S240" s="172" t="n">
        <x:f>IFERROR(AF240/AH240,0)</x:f>
        <x:v>0</x:v>
      </x:c>
      <x:c r="T240" s="172" t="n">
        <x:f>IFERROR(AG240/AI240,0)</x:f>
        <x:v>0</x:v>
      </x:c>
      <x:c r="U240" s="172" t="n">
        <x:f>IFERROR((T240-S240)/(P240+S240),0)</x:f>
        <x:v>0</x:v>
      </x:c>
      <x:c r="V240" s="172" t="n">
        <x:f>R240+U240</x:f>
        <x:v>0.00026378414299841355</x:v>
      </x:c>
      <x:c r="W240" s="172" t="n">
        <x:f>(1+O240)*(1+V240)-1</x:f>
        <x:v>0.010517057556764797</x:v>
      </x:c>
      <x:c r="X240" s="174" t="n">
        <x:f>G240-W240</x:f>
        <x:v>5.204170427930421e-18</x:v>
      </x:c>
      <x:c r="Y240" s="172" t="n">
        <x:f>AX240</x:f>
        <x:v>0.008739808594895928</x:v>
      </x:c>
      <x:c r="Z240" s="172" t="n">
        <x:f>BL240</x:f>
        <x:v>0.00003145418828262374</x:v>
      </x:c>
      <x:c r="AA240" s="172" t="n">
        <x:f>SUM(BZ240,CN240,DB240,DP240,ED240,ER240,FF240,FT240)</x:f>
        <x:v>0.0017457947735862937</x:v>
      </x:c>
      <x:c r="AB240" s="172" t="n">
        <x:f>SUM(Y240:AA240)</x:f>
        <x:v>0.010517057556764846</x:v>
      </x:c>
      <x:c r="AC240" s="174" t="n">
        <x:f>G240-AB240</x:f>
        <x:v>-4.336808689942018e-17</x:v>
      </x:c>
      <x:c r="AD240" s="169" t="n">
        <x:v>1.9602899857347464</x:v>
      </x:c>
      <x:c r="AE240" s="169" t="n">
        <x:v>1.9809064683426685</x:v>
      </x:c>
      <x:c r="AF240" s="169" t="n">
        <x:v>0</x:v>
      </x:c>
      <x:c r="AG240" s="169" t="n">
        <x:v>0</x:v>
      </x:c>
      <x:c r="AH240" s="171" t="n">
        <x:f>M240/$M$3</x:f>
        <x:v>0.8968335035750766</x:v>
      </x:c>
      <x:c r="AI240" s="171" t="n">
        <x:f>N240/$M$3</x:f>
        <x:v>0.906026557711951</x:v>
      </x:c>
      <x:c r="AJ240" s="170" t="n">
        <x:f>IF(AK240&lt;&gt;"",1,0)+IF(AY240&lt;&gt;"",1,0)+IF(BM240&lt;&gt;"",1,0)+IF(CA240&lt;&gt;"",1,0)+IF(CO240&lt;&gt;"",1,0)+IF(DC240&lt;&gt;"",1,0)+IF(DQ240&lt;&gt;"",1,0)+IF(EE240&lt;&gt;"",1,0)+IF(ES240&lt;&gt;"",1,0)+IF(FG240&lt;&gt;"",1,0)</x:f>
        <x:v>3</x:v>
      </x:c>
      <x:c r="AK240" s="147" t="str">
        <x:v>Silver replicating holding (LBMA/SLV proxy)</x:v>
      </x:c>
      <x:c r="AL240" s="147" t="str">
        <x:v>Physical-backed proxy</x:v>
      </x:c>
      <x:c r="AM240" s="147" t="str">
        <x:v>Long</x:v>
      </x:c>
      <x:c r="AN240" s="167" t="n">
        <x:v>1.756</x:v>
      </x:c>
      <x:c r="AO240" s="167" t="n">
        <x:v>1.774</x:v>
      </x:c>
      <x:c r="AP240" s="166" t="n">
        <x:v>0.853186972849839</x:v>
      </x:c>
      <x:c r="AQ240" s="171" t="n">
        <x:f>IF(AK240="","",IFERROR(F240*AP240/AN240,0))</x:f>
        <x:v>0.9524452612966307</x:v>
      </x:c>
      <x:c r="AR240" s="171" t="n">
        <x:f>IF(AK240="","",F240*ABS(AP240))</x:f>
        <x:v>1.6724938788368835</x:v>
      </x:c>
      <x:c r="AS240" s="165"/>
      <x:c r="AT240" s="172" t="str">
        <x:f>IF(AK240="","",IF(AS240="","",IFERROR(AN240/AS240-1,0)))</x:f>
      </x:c>
      <x:c r="AU240" s="166"/>
      <x:c r="AV240" s="172" t="str">
        <x:f>IF(AK240="","",IF(AU240="","",AU240-AT240*365/AW240))</x:f>
      </x:c>
      <x:c r="AW240" s="164"/>
      <x:c r="AX240" s="173" t="n">
        <x:f>IF(AK240="","",IFERROR(AP240*(AO240/AN240-1-'Parameters'!$C$6*C240/365),0))</x:f>
        <x:v>0.008739808594895928</x:v>
      </x:c>
      <x:c r="AY240" s="147" t="str">
        <x:v>Matched-maturity Treasury collateral</x:v>
      </x:c>
      <x:c r="AZ240" s="147" t="str">
        <x:v>Treasury</x:v>
      </x:c>
      <x:c r="BA240" s="147" t="str">
        <x:v>Long</x:v>
      </x:c>
      <x:c r="BB240" s="167" t="n">
        <x:v>106.64229890623828</x:v>
      </x:c>
      <x:c r="BC240" s="167" t="n">
        <x:v>106.66514665356561</x:v>
      </x:c>
      <x:c r="BD240" s="166" t="n">
        <x:v>0.1468130271501611</x:v>
      </x:c>
      <x:c r="BE240" s="171" t="n">
        <x:f>IF(AY240="","",IFERROR(F240*BD240/BB240,0))</x:f>
        <x:v>0.002698705015266969</x:v>
      </x:c>
      <x:c r="BF240" s="171" t="n">
        <x:f>IF(AY240="","",F240*ABS(BD240))</x:f>
        <x:v>0.28779610689786445</x:v>
      </x:c>
      <x:c r="BG240" s="165"/>
      <x:c r="BH240" s="172" t="str">
        <x:f>IF(AY240="","",IF(BG240="","",IFERROR(BB240/BG240-1,0)))</x:f>
      </x:c>
      <x:c r="BI240" s="166"/>
      <x:c r="BJ240" s="172" t="str">
        <x:f>IF(AY240="","",IF(BI240="","",BI240-BH240*365/BK240))</x:f>
      </x:c>
      <x:c r="BK240" s="164" t="n">
        <x:v>37</x:v>
      </x:c>
      <x:c r="BL240" s="172" t="n">
        <x:f>IF(AY240="","",IFERROR(BD240*(BC240/BB240-1),0))</x:f>
        <x:v>0.00003145418828262374</x:v>
      </x:c>
      <x:c r="BM240" s="147" t="str">
        <x:v>SI70F</x:v>
      </x:c>
      <x:c r="BN240" s="147" t="str">
        <x:v>Silver future (regular)</x:v>
      </x:c>
      <x:c r="BO240" s="147" t="str">
        <x:v>Long</x:v>
      </x:c>
      <x:c r="BP240" s="167" t="n">
        <x:v>1.766</x:v>
      </x:c>
      <x:c r="BQ240" s="167" t="n">
        <x:v>1.787</x:v>
      </x:c>
      <x:c r="BR240" s="166" t="n">
        <x:v>0.1468130271501611</x:v>
      </x:c>
      <x:c r="BS240" s="171" t="n">
        <x:f>IF(BM240="","",IFERROR(F240*BR240/BP240,0))</x:f>
        <x:v>0.1629649529432981</x:v>
      </x:c>
      <x:c r="BT240" s="171" t="n">
        <x:f>IF(BM240="","",F240*ABS(BR240))</x:f>
        <x:v>0.28779610689786445</x:v>
      </x:c>
      <x:c r="BU240" s="165" t="n">
        <x:v>1.756</x:v>
      </x:c>
      <x:c r="BV240" s="172" t="n">
        <x:f>IF(BM240="","",IF(BU240="","",IFERROR(BP240/BU240-1,0)))</x:f>
        <x:v>0.005694760820045497</x:v>
      </x:c>
      <x:c r="BW240" s="166" t="n">
        <x:v>0.0782</x:v>
      </x:c>
      <x:c r="BX240" s="172" t="n">
        <x:f>IF(BM240="","",IF(BW240="","",BW240-BV240*365/BY240))</x:f>
        <x:v>0.022021954072524164</x:v>
      </x:c>
      <x:c r="BY240" s="164" t="n">
        <x:v>37</x:v>
      </x:c>
      <x:c r="BZ240" s="172" t="n">
        <x:f>IF(BM240="","",IFERROR(BR240*(BQ240/BP240-1),0))</x:f>
        <x:v>0.0017457947735862937</x:v>
      </x:c>
      <x:c r="CA240" s="147"/>
      <x:c r="CB240" s="147"/>
      <x:c r="CC240" s="147"/>
      <x:c r="CD240" s="167"/>
      <x:c r="CE240" s="167"/>
      <x:c r="CF240" s="166"/>
      <x:c r="CG240" s="171" t="str">
        <x:f>IF(CA240="","",IFERROR(F240*CF240/CD240,0))</x:f>
      </x:c>
      <x:c r="CH240" s="171" t="str">
        <x:f>IF(CA240="","",F240*ABS(CF240))</x:f>
      </x:c>
      <x:c r="CI240" s="165"/>
      <x:c r="CJ240" s="172" t="str">
        <x:f>IF(CA240="","",IF(CI240="","",IFERROR(CD240/CI240-1,0)))</x:f>
      </x:c>
      <x:c r="CK240" s="166"/>
      <x:c r="CL240" s="172" t="str">
        <x:f>IF(CA240="","",IF(CK240="","",CK240-CJ240*365/CM240))</x:f>
      </x:c>
      <x:c r="CM240" s="164"/>
      <x:c r="CN240" s="172" t="str">
        <x:f>IF(CA240="","",IFERROR(CF240*(CE240/CD240-1),0))</x:f>
      </x:c>
      <x:c r="CO240" s="147"/>
      <x:c r="CP240" s="147"/>
      <x:c r="CQ240" s="147"/>
      <x:c r="CR240" s="167"/>
      <x:c r="CS240" s="167"/>
      <x:c r="CT240" s="166"/>
      <x:c r="CU240" s="171" t="str">
        <x:f>IF(CO240="","",IFERROR(F240*CT240/CR240,0))</x:f>
      </x:c>
      <x:c r="CV240" s="171" t="str">
        <x:f>IF(CO240="","",F240*ABS(CT240))</x:f>
      </x:c>
      <x:c r="CW240" s="165"/>
      <x:c r="CX240" s="172" t="str">
        <x:f>IF(CO240="","",IF(CW240="","",IFERROR(CR240/CW240-1,0)))</x:f>
      </x:c>
      <x:c r="CY240" s="166"/>
      <x:c r="CZ240" s="172" t="str">
        <x:f>IF(CO240="","",IF(CY240="","",CY240-CX240*365/DA240))</x:f>
      </x:c>
      <x:c r="DA240" s="164"/>
      <x:c r="DB240" s="172" t="str">
        <x:f>IF(CO240="","",IFERROR(CT240*(CS240/CR240-1),0))</x:f>
      </x:c>
      <x:c r="DC240" s="147"/>
      <x:c r="DD240" s="147"/>
      <x:c r="DE240" s="147"/>
      <x:c r="DF240" s="167"/>
      <x:c r="DG240" s="167"/>
      <x:c r="DH240" s="166"/>
      <x:c r="DI240" s="171" t="str">
        <x:f>IF(DC240="","",IFERROR(F240*DH240/DF240,0))</x:f>
      </x:c>
      <x:c r="DJ240" s="171" t="str">
        <x:f>IF(DC240="","",F240*ABS(DH240))</x:f>
      </x:c>
      <x:c r="DK240" s="165"/>
      <x:c r="DL240" s="172" t="str">
        <x:f>IF(DC240="","",IF(DK240="","",IFERROR(DF240/DK240-1,0)))</x:f>
      </x:c>
      <x:c r="DM240" s="166"/>
      <x:c r="DN240" s="172" t="str">
        <x:f>IF(DC240="","",IF(DM240="","",DM240-DL240*365/DO240))</x:f>
      </x:c>
      <x:c r="DO240" s="164"/>
      <x:c r="DP240" s="172" t="str">
        <x:f>IF(DC240="","",IFERROR(DH240*(DG240/DF240-1),0))</x:f>
      </x:c>
      <x:c r="DQ240" s="147"/>
      <x:c r="DR240" s="147"/>
      <x:c r="DS240" s="147"/>
      <x:c r="DT240" s="167"/>
      <x:c r="DU240" s="167"/>
      <x:c r="DV240" s="166"/>
      <x:c r="DW240" s="171" t="str">
        <x:f>IF(DQ240="","",IFERROR(F240*DV240/DT240,0))</x:f>
      </x:c>
      <x:c r="DX240" s="171" t="str">
        <x:f>IF(DQ240="","",F240*ABS(DV240))</x:f>
      </x:c>
      <x:c r="DY240" s="165"/>
      <x:c r="DZ240" s="172" t="str">
        <x:f>IF(DQ240="","",IF(DY240="","",IFERROR(DT240/DY240-1,0)))</x:f>
      </x:c>
      <x:c r="EA240" s="166"/>
      <x:c r="EB240" s="172" t="str">
        <x:f>IF(DQ240="","",IF(EA240="","",EA240-DZ240*365/EC240))</x:f>
      </x:c>
      <x:c r="EC240" s="164"/>
      <x:c r="ED240" s="172" t="str">
        <x:f>IF(DQ240="","",IFERROR(DV240*(DU240/DT240-1),0))</x:f>
      </x:c>
      <x:c r="EE240" s="147"/>
      <x:c r="EF240" s="147"/>
      <x:c r="EG240" s="147"/>
      <x:c r="EH240" s="167"/>
      <x:c r="EI240" s="167"/>
      <x:c r="EJ240" s="166"/>
      <x:c r="EK240" s="171" t="str">
        <x:f>IF(EE240="","",IFERROR(F240*EJ240/EH240,0))</x:f>
      </x:c>
      <x:c r="EL240" s="171" t="str">
        <x:f>IF(EE240="","",F240*ABS(EJ240))</x:f>
      </x:c>
      <x:c r="EM240" s="165"/>
      <x:c r="EN240" s="172" t="str">
        <x:f>IF(EE240="","",IF(EM240="","",IFERROR(EH240/EM240-1,0)))</x:f>
      </x:c>
      <x:c r="EO240" s="166"/>
      <x:c r="EP240" s="172" t="str">
        <x:f>IF(EE240="","",IF(EO240="","",EO240-EN240*365/EQ240))</x:f>
      </x:c>
      <x:c r="EQ240" s="164"/>
      <x:c r="ER240" s="172" t="str">
        <x:f>IF(EE240="","",IFERROR(EJ240*(EI240/EH240-1),0))</x:f>
      </x:c>
      <x:c r="ES240" s="147"/>
      <x:c r="ET240" s="147"/>
      <x:c r="EU240" s="147"/>
      <x:c r="EV240" s="167"/>
      <x:c r="EW240" s="167"/>
      <x:c r="EX240" s="166"/>
      <x:c r="EY240" s="171" t="str">
        <x:f>IF(ES240="","",IFERROR(F240*EX240/EV240,0))</x:f>
      </x:c>
      <x:c r="EZ240" s="171" t="str">
        <x:f>IF(ES240="","",F240*ABS(EX240))</x:f>
      </x:c>
      <x:c r="FA240" s="165"/>
      <x:c r="FB240" s="172" t="str">
        <x:f>IF(ES240="","",IF(FA240="","",IFERROR(EV240/FA240-1,0)))</x:f>
      </x:c>
      <x:c r="FC240" s="166"/>
      <x:c r="FD240" s="172" t="str">
        <x:f>IF(ES240="","",IF(FC240="","",FC240-FB240*365/FE240))</x:f>
      </x:c>
      <x:c r="FE240" s="164"/>
      <x:c r="FF240" s="172" t="str">
        <x:f>IF(ES240="","",IFERROR(EX240*(EW240/EV240-1),0))</x:f>
      </x:c>
      <x:c r="FG240" s="147"/>
      <x:c r="FH240" s="147"/>
      <x:c r="FI240" s="147"/>
      <x:c r="FJ240" s="167"/>
      <x:c r="FK240" s="167"/>
      <x:c r="FL240" s="166"/>
      <x:c r="FM240" s="171" t="str">
        <x:f>IF(FG240="","",IFERROR(F240*FL240/FJ240,0))</x:f>
      </x:c>
      <x:c r="FN240" s="171" t="str">
        <x:f>IF(FG240="","",F240*ABS(FL240))</x:f>
      </x:c>
      <x:c r="FO240" s="165"/>
      <x:c r="FP240" s="172" t="str">
        <x:f>IF(FG240="","",IF(FO240="","",IFERROR(FJ240/FO240-1,0)))</x:f>
      </x:c>
      <x:c r="FQ240" s="166"/>
      <x:c r="FR240" s="172" t="str">
        <x:f>IF(FG240="","",IF(FQ240="","",FQ240-FP240*365/FS240))</x:f>
      </x:c>
      <x:c r="FS240" s="164"/>
      <x:c r="FT240" s="172" t="str">
        <x:f>IF(FG240="","",IFERROR(FL240*(FK240/FJ240-1),0))</x:f>
      </x:c>
    </x:row>
    <x:row r="241" ht="18" customHeight="1">
      <x:c r="A241" s="163" t="n">
        <x:v>25560</x:v>
      </x:c>
      <x:c r="B241" s="163" t="n">
        <x:v>25561</x:v>
      </x:c>
      <x:c r="C241" s="170" t="n">
        <x:f>B241-A241</x:f>
        <x:v>1</x:v>
      </x:c>
      <x:c r="D241" s="163" t="n">
        <x:v>25560</x:v>
      </x:c>
      <x:c r="E241" s="147" t="str">
        <x:v>positive</x:v>
      </x:c>
      <x:c r="F241" s="165" t="n">
        <x:v>1.9809064683426698</x:v>
      </x:c>
      <x:c r="G241" s="168" t="n">
        <x:v>0.014146901648061877</x:v>
      </x:c>
      <x:c r="H241" s="172" t="n">
        <x:f>SUM(AX241,BL241,BZ241,CN241,DB241,DP241,ED241,ER241,FF241,FT241)</x:f>
        <x:v>0.01414690164806188</x:v>
      </x:c>
      <x:c r="I241" s="174" t="n">
        <x:f>G241-H241</x:f>
        <x:v>-3.469446951953614e-18</x:v>
      </x:c>
      <x:c r="J241" s="171" t="n">
        <x:f>F241*(1+H241)</x:f>
        <x:v>2.0089301573243232</x:v>
      </x:c>
      <x:c r="K241" s="169" t="n">
        <x:v>2.0089301573243232</x:v>
      </x:c>
      <x:c r="L241" s="175" t="n">
        <x:f>K241-J241</x:f>
        <x:v>0</x:v>
      </x:c>
      <x:c r="M241" s="167" t="n">
        <x:v>1.774</x:v>
      </x:c>
      <x:c r="N241" s="167" t="n">
        <x:v>1.799</x:v>
      </x:c>
      <x:c r="O241" s="172" t="n">
        <x:f>IFERROR(N241/M241-1,0)</x:f>
        <x:v>0.014092446448703555</x:v>
      </x:c>
      <x:c r="P241" s="171" t="n">
        <x:f>IFERROR(AD241/AH241,0)</x:f>
        <x:v>2.186366891214738</x:v>
      </x:c>
      <x:c r="Q241" s="171" t="n">
        <x:f>IFERROR(AE241/AI241,0)</x:f>
        <x:v>2.1864842957426474</x:v>
      </x:c>
      <x:c r="R241" s="172" t="n">
        <x:f>IFERROR((Q241-P241)/(P241+S241),0)</x:f>
        <x:v>0.0000536984567325228</x:v>
      </x:c>
      <x:c r="S241" s="172" t="n">
        <x:f>IFERROR(AF241/AH241,0)</x:f>
        <x:v>0</x:v>
      </x:c>
      <x:c r="T241" s="172" t="n">
        <x:f>IFERROR(AG241/AI241,0)</x:f>
        <x:v>0</x:v>
      </x:c>
      <x:c r="U241" s="172" t="n">
        <x:f>IFERROR((T241-S241)/(P241+S241),0)</x:f>
        <x:v>0</x:v>
      </x:c>
      <x:c r="V241" s="172" t="n">
        <x:f>R241+U241</x:f>
        <x:v>0.0000536984567325228</x:v>
      </x:c>
      <x:c r="W241" s="172" t="n">
        <x:f>(1+O241)*(1+V241)-1</x:f>
        <x:v>0.014146901648061982</x:v>
      </x:c>
      <x:c r="X241" s="174" t="n">
        <x:f>G241-W241</x:f>
        <x:v>-1.0581813203458523e-16</x:v>
      </x:c>
      <x:c r="Y241" s="172" t="n">
        <x:f>AX241</x:f>
        <x:v>0.01371923162853221</x:v>
      </x:c>
      <x:c r="Z241" s="172" t="n">
        <x:f>BL241</x:f>
        <x:v>0.000005572540095193245</x:v>
      </x:c>
      <x:c r="AA241" s="172" t="n">
        <x:f>SUM(BZ241,CN241,DB241,DP241,ED241,ER241,FF241,FT241)</x:f>
        <x:v>0.00042209747943447706</x:v>
      </x:c>
      <x:c r="AB241" s="172" t="n">
        <x:f>SUM(Y241:AA241)</x:f>
        <x:v>0.01414690164806188</x:v>
      </x:c>
      <x:c r="AC241" s="174" t="n">
        <x:f>G241-AB241</x:f>
        <x:v>-3.469446951953614e-18</x:v>
      </x:c>
      <x:c r="AD241" s="169" t="n">
        <x:v>1.9809064683426685</x:v>
      </x:c>
      <x:c r="AE241" s="169" t="n">
        <x:v>2.008930157324322</x:v>
      </x:c>
      <x:c r="AF241" s="169" t="n">
        <x:v>0</x:v>
      </x:c>
      <x:c r="AG241" s="169" t="n">
        <x:v>0</x:v>
      </x:c>
      <x:c r="AH241" s="171" t="n">
        <x:f>M241/$M$3</x:f>
        <x:v>0.906026557711951</x:v>
      </x:c>
      <x:c r="AI241" s="171" t="n">
        <x:f>N241/$M$3</x:f>
        <x:v>0.9187946884576098</x:v>
      </x:c>
      <x:c r="AJ241" s="170" t="n">
        <x:f>IF(AK241&lt;&gt;"",1,0)+IF(AY241&lt;&gt;"",1,0)+IF(BM241&lt;&gt;"",1,0)+IF(CA241&lt;&gt;"",1,0)+IF(CO241&lt;&gt;"",1,0)+IF(DC241&lt;&gt;"",1,0)+IF(DQ241&lt;&gt;"",1,0)+IF(EE241&lt;&gt;"",1,0)+IF(ES241&lt;&gt;"",1,0)+IF(FG241&lt;&gt;"",1,0)</x:f>
        <x:v>3</x:v>
      </x:c>
      <x:c r="AK241" s="147" t="str">
        <x:v>Silver replicating holding (LBMA/SLV proxy)</x:v>
      </x:c>
      <x:c r="AL241" s="147" t="str">
        <x:v>Physical-backed proxy</x:v>
      </x:c>
      <x:c r="AM241" s="147" t="str">
        <x:v>Long</x:v>
      </x:c>
      <x:c r="AN241" s="167" t="n">
        <x:v>1.774</x:v>
      </x:c>
      <x:c r="AO241" s="167" t="n">
        <x:v>1.799</x:v>
      </x:c>
      <x:c r="AP241" s="166" t="n">
        <x:v>0.9739900622155375</x:v>
      </x:c>
      <x:c r="AQ241" s="171" t="n">
        <x:f>IF(AK241="","",IFERROR(F241*AP241/AN241,0))</x:f>
        <x:v>1.0875891850869435</x:v>
      </x:c>
      <x:c r="AR241" s="171" t="n">
        <x:f>IF(AK241="","",F241*ABS(AP241))</x:f>
        <x:v>1.9293832143442378</x:v>
      </x:c>
      <x:c r="AS241" s="165"/>
      <x:c r="AT241" s="172" t="str">
        <x:f>IF(AK241="","",IF(AS241="","",IFERROR(AN241/AS241-1,0)))</x:f>
      </x:c>
      <x:c r="AU241" s="166"/>
      <x:c r="AV241" s="172" t="str">
        <x:f>IF(AK241="","",IF(AU241="","",AU241-AT241*365/AW241))</x:f>
      </x:c>
      <x:c r="AW241" s="164"/>
      <x:c r="AX241" s="173" t="n">
        <x:f>IF(AK241="","",IFERROR(AP241*(AO241/AN241-1-'Parameters'!$C$6*C241/365),0))</x:f>
        <x:v>0.01371923162853221</x:v>
      </x:c>
      <x:c r="AY241" s="147" t="str">
        <x:v>Matched-maturity Treasury collateral</x:v>
      </x:c>
      <x:c r="AZ241" s="147" t="str">
        <x:v>Treasury</x:v>
      </x:c>
      <x:c r="BA241" s="147" t="str">
        <x:v>Long</x:v>
      </x:c>
      <x:c r="BB241" s="167" t="n">
        <x:v>106.66514665356561</x:v>
      </x:c>
      <x:c r="BC241" s="167" t="n">
        <x:v>106.68799929594455</x:v>
      </x:c>
      <x:c r="BD241" s="166" t="n">
        <x:v>0.02600993778446257</x:v>
      </x:c>
      <x:c r="BE241" s="171" t="n">
        <x:f>IF(AY241="","",IFERROR(F241*BD241/BB241,0))</x:f>
        <x:v>0.0004830373895774323</x:v>
      </x:c>
      <x:c r="BF241" s="171" t="n">
        <x:f>IF(AY241="","",F241*ABS(BD241))</x:f>
        <x:v>0.05152325399843232</x:v>
      </x:c>
      <x:c r="BG241" s="165"/>
      <x:c r="BH241" s="172" t="str">
        <x:f>IF(AY241="","",IF(BG241="","",IFERROR(BB241/BG241-1,0)))</x:f>
      </x:c>
      <x:c r="BI241" s="166"/>
      <x:c r="BJ241" s="172" t="str">
        <x:f>IF(AY241="","",IF(BI241="","",BI241-BH241*365/BK241))</x:f>
      </x:c>
      <x:c r="BK241" s="164" t="n">
        <x:v>36</x:v>
      </x:c>
      <x:c r="BL241" s="172" t="n">
        <x:f>IF(AY241="","",IFERROR(BD241*(BC241/BB241-1),0))</x:f>
        <x:v>0.000005572540095193245</x:v>
      </x:c>
      <x:c r="BM241" s="147" t="str">
        <x:v>SI70F</x:v>
      </x:c>
      <x:c r="BN241" s="147" t="str">
        <x:v>Silver future (regular)</x:v>
      </x:c>
      <x:c r="BO241" s="147" t="str">
        <x:v>Long</x:v>
      </x:c>
      <x:c r="BP241" s="167" t="n">
        <x:v>1.787</x:v>
      </x:c>
      <x:c r="BQ241" s="167" t="n">
        <x:v>1.8159999999999998</x:v>
      </x:c>
      <x:c r="BR241" s="166" t="n">
        <x:v>0.02600993778446257</x:v>
      </x:c>
      <x:c r="BS241" s="171" t="n">
        <x:f>IF(BM241="","",IFERROR(F241*BR241/BP241,0))</x:f>
        <x:v>0.02883226300975508</x:v>
      </x:c>
      <x:c r="BT241" s="171" t="n">
        <x:f>IF(BM241="","",F241*ABS(BR241))</x:f>
        <x:v>0.05152325399843232</x:v>
      </x:c>
      <x:c r="BU241" s="165" t="n">
        <x:v>1.774</x:v>
      </x:c>
      <x:c r="BV241" s="172" t="n">
        <x:f>IF(BM241="","",IF(BU241="","",IFERROR(BP241/BU241-1,0)))</x:f>
        <x:v>0.00732807215332576</x:v>
      </x:c>
      <x:c r="BW241" s="166" t="n">
        <x:v>0.0782</x:v>
      </x:c>
      <x:c r="BX241" s="172" t="n">
        <x:f>IF(BM241="","",IF(BW241="","",BW241-BV241*365/BY241))</x:f>
        <x:v>0.0039014906676693856</x:v>
      </x:c>
      <x:c r="BY241" s="164" t="n">
        <x:v>36</x:v>
      </x:c>
      <x:c r="BZ241" s="172" t="n">
        <x:f>IF(BM241="","",IFERROR(BR241*(BQ241/BP241-1),0))</x:f>
        <x:v>0.00042209747943447706</x:v>
      </x:c>
      <x:c r="CA241" s="147"/>
      <x:c r="CB241" s="147"/>
      <x:c r="CC241" s="147"/>
      <x:c r="CD241" s="167"/>
      <x:c r="CE241" s="167"/>
      <x:c r="CF241" s="166"/>
      <x:c r="CG241" s="171" t="str">
        <x:f>IF(CA241="","",IFERROR(F241*CF241/CD241,0))</x:f>
      </x:c>
      <x:c r="CH241" s="171" t="str">
        <x:f>IF(CA241="","",F241*ABS(CF241))</x:f>
      </x:c>
      <x:c r="CI241" s="165"/>
      <x:c r="CJ241" s="172" t="str">
        <x:f>IF(CA241="","",IF(CI241="","",IFERROR(CD241/CI241-1,0)))</x:f>
      </x:c>
      <x:c r="CK241" s="166"/>
      <x:c r="CL241" s="172" t="str">
        <x:f>IF(CA241="","",IF(CK241="","",CK241-CJ241*365/CM241))</x:f>
      </x:c>
      <x:c r="CM241" s="164"/>
      <x:c r="CN241" s="172" t="str">
        <x:f>IF(CA241="","",IFERROR(CF241*(CE241/CD241-1),0))</x:f>
      </x:c>
      <x:c r="CO241" s="147"/>
      <x:c r="CP241" s="147"/>
      <x:c r="CQ241" s="147"/>
      <x:c r="CR241" s="167"/>
      <x:c r="CS241" s="167"/>
      <x:c r="CT241" s="166"/>
      <x:c r="CU241" s="171" t="str">
        <x:f>IF(CO241="","",IFERROR(F241*CT241/CR241,0))</x:f>
      </x:c>
      <x:c r="CV241" s="171" t="str">
        <x:f>IF(CO241="","",F241*ABS(CT241))</x:f>
      </x:c>
      <x:c r="CW241" s="165"/>
      <x:c r="CX241" s="172" t="str">
        <x:f>IF(CO241="","",IF(CW241="","",IFERROR(CR241/CW241-1,0)))</x:f>
      </x:c>
      <x:c r="CY241" s="166"/>
      <x:c r="CZ241" s="172" t="str">
        <x:f>IF(CO241="","",IF(CY241="","",CY241-CX241*365/DA241))</x:f>
      </x:c>
      <x:c r="DA241" s="164"/>
      <x:c r="DB241" s="172" t="str">
        <x:f>IF(CO241="","",IFERROR(CT241*(CS241/CR241-1),0))</x:f>
      </x:c>
      <x:c r="DC241" s="147"/>
      <x:c r="DD241" s="147"/>
      <x:c r="DE241" s="147"/>
      <x:c r="DF241" s="167"/>
      <x:c r="DG241" s="167"/>
      <x:c r="DH241" s="166"/>
      <x:c r="DI241" s="171" t="str">
        <x:f>IF(DC241="","",IFERROR(F241*DH241/DF241,0))</x:f>
      </x:c>
      <x:c r="DJ241" s="171" t="str">
        <x:f>IF(DC241="","",F241*ABS(DH241))</x:f>
      </x:c>
      <x:c r="DK241" s="165"/>
      <x:c r="DL241" s="172" t="str">
        <x:f>IF(DC241="","",IF(DK241="","",IFERROR(DF241/DK241-1,0)))</x:f>
      </x:c>
      <x:c r="DM241" s="166"/>
      <x:c r="DN241" s="172" t="str">
        <x:f>IF(DC241="","",IF(DM241="","",DM241-DL241*365/DO241))</x:f>
      </x:c>
      <x:c r="DO241" s="164"/>
      <x:c r="DP241" s="172" t="str">
        <x:f>IF(DC241="","",IFERROR(DH241*(DG241/DF241-1),0))</x:f>
      </x:c>
      <x:c r="DQ241" s="147"/>
      <x:c r="DR241" s="147"/>
      <x:c r="DS241" s="147"/>
      <x:c r="DT241" s="167"/>
      <x:c r="DU241" s="167"/>
      <x:c r="DV241" s="166"/>
      <x:c r="DW241" s="171" t="str">
        <x:f>IF(DQ241="","",IFERROR(F241*DV241/DT241,0))</x:f>
      </x:c>
      <x:c r="DX241" s="171" t="str">
        <x:f>IF(DQ241="","",F241*ABS(DV241))</x:f>
      </x:c>
      <x:c r="DY241" s="165"/>
      <x:c r="DZ241" s="172" t="str">
        <x:f>IF(DQ241="","",IF(DY241="","",IFERROR(DT241/DY241-1,0)))</x:f>
      </x:c>
      <x:c r="EA241" s="166"/>
      <x:c r="EB241" s="172" t="str">
        <x:f>IF(DQ241="","",IF(EA241="","",EA241-DZ241*365/EC241))</x:f>
      </x:c>
      <x:c r="EC241" s="164"/>
      <x:c r="ED241" s="172" t="str">
        <x:f>IF(DQ241="","",IFERROR(DV241*(DU241/DT241-1),0))</x:f>
      </x:c>
      <x:c r="EE241" s="147"/>
      <x:c r="EF241" s="147"/>
      <x:c r="EG241" s="147"/>
      <x:c r="EH241" s="167"/>
      <x:c r="EI241" s="167"/>
      <x:c r="EJ241" s="166"/>
      <x:c r="EK241" s="171" t="str">
        <x:f>IF(EE241="","",IFERROR(F241*EJ241/EH241,0))</x:f>
      </x:c>
      <x:c r="EL241" s="171" t="str">
        <x:f>IF(EE241="","",F241*ABS(EJ241))</x:f>
      </x:c>
      <x:c r="EM241" s="165"/>
      <x:c r="EN241" s="172" t="str">
        <x:f>IF(EE241="","",IF(EM241="","",IFERROR(EH241/EM241-1,0)))</x:f>
      </x:c>
      <x:c r="EO241" s="166"/>
      <x:c r="EP241" s="172" t="str">
        <x:f>IF(EE241="","",IF(EO241="","",EO241-EN241*365/EQ241))</x:f>
      </x:c>
      <x:c r="EQ241" s="164"/>
      <x:c r="ER241" s="172" t="str">
        <x:f>IF(EE241="","",IFERROR(EJ241*(EI241/EH241-1),0))</x:f>
      </x:c>
      <x:c r="ES241" s="147"/>
      <x:c r="ET241" s="147"/>
      <x:c r="EU241" s="147"/>
      <x:c r="EV241" s="167"/>
      <x:c r="EW241" s="167"/>
      <x:c r="EX241" s="166"/>
      <x:c r="EY241" s="171" t="str">
        <x:f>IF(ES241="","",IFERROR(F241*EX241/EV241,0))</x:f>
      </x:c>
      <x:c r="EZ241" s="171" t="str">
        <x:f>IF(ES241="","",F241*ABS(EX241))</x:f>
      </x:c>
      <x:c r="FA241" s="165"/>
      <x:c r="FB241" s="172" t="str">
        <x:f>IF(ES241="","",IF(FA241="","",IFERROR(EV241/FA241-1,0)))</x:f>
      </x:c>
      <x:c r="FC241" s="166"/>
      <x:c r="FD241" s="172" t="str">
        <x:f>IF(ES241="","",IF(FC241="","",FC241-FB241*365/FE241))</x:f>
      </x:c>
      <x:c r="FE241" s="164"/>
      <x:c r="FF241" s="172" t="str">
        <x:f>IF(ES241="","",IFERROR(EX241*(EW241/EV241-1),0))</x:f>
      </x:c>
      <x:c r="FG241" s="147"/>
      <x:c r="FH241" s="147"/>
      <x:c r="FI241" s="147"/>
      <x:c r="FJ241" s="167"/>
      <x:c r="FK241" s="167"/>
      <x:c r="FL241" s="166"/>
      <x:c r="FM241" s="171" t="str">
        <x:f>IF(FG241="","",IFERROR(F241*FL241/FJ241,0))</x:f>
      </x:c>
      <x:c r="FN241" s="171" t="str">
        <x:f>IF(FG241="","",F241*ABS(FL241))</x:f>
      </x:c>
      <x:c r="FO241" s="165"/>
      <x:c r="FP241" s="172" t="str">
        <x:f>IF(FG241="","",IF(FO241="","",IFERROR(FJ241/FO241-1,0)))</x:f>
      </x:c>
      <x:c r="FQ241" s="166"/>
      <x:c r="FR241" s="172" t="str">
        <x:f>IF(FG241="","",IF(FQ241="","",FQ241-FP241*365/FS241))</x:f>
      </x:c>
      <x:c r="FS241" s="164"/>
      <x:c r="FT241" s="172" t="str">
        <x:f>IF(FG241="","",IFERROR(FL241*(FK241/FJ241-1),0))</x:f>
      </x:c>
    </x:row>
    <x:row r="242" ht="18" customHeight="1">
      <x:c r="A242" s="163" t="n">
        <x:v>25561</x:v>
      </x:c>
      <x:c r="B242" s="163" t="n">
        <x:v>25566</x:v>
      </x:c>
      <x:c r="C242" s="170" t="n">
        <x:f>B242-A242</x:f>
        <x:v>5</x:v>
      </x:c>
      <x:c r="D242" s="163" t="n">
        <x:v>25561</x:v>
      </x:c>
      <x:c r="E242" s="147" t="str">
        <x:v>neutral</x:v>
      </x:c>
      <x:c r="F242" s="165" t="n">
        <x:v>2.0089301573243232</x:v>
      </x:c>
      <x:c r="G242" s="168" t="n">
        <x:v>0.013862362652006233</x:v>
      </x:c>
      <x:c r="H242" s="172" t="n">
        <x:f>SUM(AX242,BL242,BZ242,CN242,DB242,DP242,ED242,ER242,FF242,FT242)</x:f>
        <x:v>0.013862362652006233</x:v>
      </x:c>
      <x:c r="I242" s="174" t="n">
        <x:f>G242-H242</x:f>
        <x:v>0</x:v>
      </x:c>
      <x:c r="J242" s="171" t="n">
        <x:f>F242*(1+H242)</x:f>
        <x:v>2.036778675707705</x:v>
      </x:c>
      <x:c r="K242" s="169" t="n">
        <x:v>2.036778675707705</x:v>
      </x:c>
      <x:c r="L242" s="175" t="n">
        <x:f>K242-J242</x:f>
        <x:v>0</x:v>
      </x:c>
      <x:c r="M242" s="167" t="n">
        <x:v>1.799</x:v>
      </x:c>
      <x:c r="N242" s="167" t="n">
        <x:v>1.824</x:v>
      </x:c>
      <x:c r="O242" s="172" t="n">
        <x:f>IFERROR(N242/M242-1,0)</x:f>
        <x:v>0.0138966092273487</x:v>
      </x:c>
      <x:c r="P242" s="171" t="n">
        <x:f>IFERROR(AD242/AH242,0)</x:f>
        <x:v>2.1864842957426474</x:v>
      </x:c>
      <x:c r="Q242" s="171" t="n">
        <x:f>IFERROR(AE242/AI242,0)</x:f>
        <x:v>2.186410442453774</x:v>
      </x:c>
      <x:c r="R242" s="172" t="n">
        <x:f>IFERROR((Q242-P242)/(P242+S242),0)</x:f>
        <x:v>-0.000033777186974142995</x:v>
      </x:c>
      <x:c r="S242" s="172" t="n">
        <x:f>IFERROR(AF242/AH242,0)</x:f>
        <x:v>0</x:v>
      </x:c>
      <x:c r="T242" s="172" t="n">
        <x:f>IFERROR(AG242/AI242,0)</x:f>
        <x:v>0</x:v>
      </x:c>
      <x:c r="U242" s="172" t="n">
        <x:f>IFERROR((T242-S242)/(P242+S242),0)</x:f>
        <x:v>0</x:v>
      </x:c>
      <x:c r="V242" s="172" t="n">
        <x:f>R242+U242</x:f>
        <x:v>-0.000033777186974142995</x:v>
      </x:c>
      <x:c r="W242" s="172" t="n">
        <x:f>(1+O242)*(1+V242)-1</x:f>
        <x:v>0.013862362652006244</x:v>
      </x:c>
      <x:c r="X242" s="174" t="n">
        <x:f>G242-W242</x:f>
        <x:v>-1.0408340855860843e-17</x:v>
      </x:c>
      <x:c r="Y242" s="172" t="n">
        <x:f>AX242</x:f>
        <x:v>0.013862362652006233</x:v>
      </x:c>
      <x:c r="Z242" s="172" t="str">
        <x:f>BL242</x:f>
      </x:c>
      <x:c r="AA242" s="172" t="n">
        <x:f>SUM(BZ242,CN242,DB242,DP242,ED242,ER242,FF242,FT242)</x:f>
        <x:v>0</x:v>
      </x:c>
      <x:c r="AB242" s="172" t="n">
        <x:f>SUM(Y242:AA242)</x:f>
        <x:v>0.013862362652006233</x:v>
      </x:c>
      <x:c r="AC242" s="174" t="n">
        <x:f>G242-AB242</x:f>
        <x:v>0</x:v>
      </x:c>
      <x:c r="AD242" s="169" t="n">
        <x:v>2.008930157324322</x:v>
      </x:c>
      <x:c r="AE242" s="169" t="n">
        <x:v>2.0367786757077035</x:v>
      </x:c>
      <x:c r="AF242" s="169" t="n">
        <x:v>0</x:v>
      </x:c>
      <x:c r="AG242" s="169" t="n">
        <x:v>0</x:v>
      </x:c>
      <x:c r="AH242" s="171" t="n">
        <x:f>M242/$M$3</x:f>
        <x:v>0.9187946884576098</x:v>
      </x:c>
      <x:c r="AI242" s="171" t="n">
        <x:f>N242/$M$3</x:f>
        <x:v>0.9315628192032687</x:v>
      </x:c>
      <x:c r="AJ242" s="170" t="n">
        <x:f>IF(AK242&lt;&gt;"",1,0)+IF(AY242&lt;&gt;"",1,0)+IF(BM242&lt;&gt;"",1,0)+IF(CA242&lt;&gt;"",1,0)+IF(CO242&lt;&gt;"",1,0)+IF(DC242&lt;&gt;"",1,0)+IF(DQ242&lt;&gt;"",1,0)+IF(EE242&lt;&gt;"",1,0)+IF(ES242&lt;&gt;"",1,0)+IF(FG242&lt;&gt;"",1,0)</x:f>
        <x:v>1</x:v>
      </x:c>
      <x:c r="AK242" s="147" t="str">
        <x:v>Silver replicating holding (LBMA/SLV proxy)</x:v>
      </x:c>
      <x:c r="AL242" s="147" t="str">
        <x:v>Physical-backed proxy</x:v>
      </x:c>
      <x:c r="AM242" s="147" t="str">
        <x:v>Long</x:v>
      </x:c>
      <x:c r="AN242" s="167" t="n">
        <x:v>1.799</x:v>
      </x:c>
      <x:c r="AO242" s="167" t="n">
        <x:v>1.824</x:v>
      </x:c>
      <x:c r="AP242" s="166" t="n">
        <x:v>1</x:v>
      </x:c>
      <x:c r="AQ242" s="171" t="n">
        <x:f>IF(AK242="","",IFERROR(F242*AP242/AN242,0))</x:f>
        <x:v>1.1166926944548767</x:v>
      </x:c>
      <x:c r="AR242" s="171" t="n">
        <x:f>IF(AK242="","",F242*ABS(AP242))</x:f>
        <x:v>2.0089301573243232</x:v>
      </x:c>
      <x:c r="AS242" s="165"/>
      <x:c r="AT242" s="172" t="str">
        <x:f>IF(AK242="","",IF(AS242="","",IFERROR(AN242/AS242-1,0)))</x:f>
      </x:c>
      <x:c r="AU242" s="166"/>
      <x:c r="AV242" s="172" t="str">
        <x:f>IF(AK242="","",IF(AU242="","",AU242-AT242*365/AW242))</x:f>
      </x:c>
      <x:c r="AW242" s="164"/>
      <x:c r="AX242" s="173" t="n">
        <x:f>IF(AK242="","",IFERROR(AP242*(AO242/AN242-1-'Parameters'!$C$6*C242/365),0))</x:f>
        <x:v>0.013862362652006233</x:v>
      </x:c>
      <x:c r="AY242" s="147"/>
      <x:c r="AZ242" s="147"/>
      <x:c r="BA242" s="147"/>
      <x:c r="BB242" s="167"/>
      <x:c r="BC242" s="167"/>
      <x:c r="BD242" s="166"/>
      <x:c r="BE242" s="171" t="str">
        <x:f>IF(AY242="","",IFERROR(F242*BD242/BB242,0))</x:f>
      </x:c>
      <x:c r="BF242" s="171" t="str">
        <x:f>IF(AY242="","",F242*ABS(BD242))</x:f>
      </x:c>
      <x:c r="BG242" s="165"/>
      <x:c r="BH242" s="172" t="str">
        <x:f>IF(AY242="","",IF(BG242="","",IFERROR(BB242/BG242-1,0)))</x:f>
      </x:c>
      <x:c r="BI242" s="166"/>
      <x:c r="BJ242" s="172" t="str">
        <x:f>IF(AY242="","",IF(BI242="","",BI242-BH242*365/BK242))</x:f>
      </x:c>
      <x:c r="BK242" s="164"/>
      <x:c r="BL242" s="172" t="str">
        <x:f>IF(AY242="","",IFERROR(BD242*(BC242/BB242-1),0))</x:f>
      </x:c>
      <x:c r="BM242" s="147"/>
      <x:c r="BN242" s="147"/>
      <x:c r="BO242" s="147"/>
      <x:c r="BP242" s="167"/>
      <x:c r="BQ242" s="167"/>
      <x:c r="BR242" s="166"/>
      <x:c r="BS242" s="171" t="str">
        <x:f>IF(BM242="","",IFERROR(F242*BR242/BP242,0))</x:f>
      </x:c>
      <x:c r="BT242" s="171" t="str">
        <x:f>IF(BM242="","",F242*ABS(BR242))</x:f>
      </x:c>
      <x:c r="BU242" s="165"/>
      <x:c r="BV242" s="172" t="str">
        <x:f>IF(BM242="","",IF(BU242="","",IFERROR(BP242/BU242-1,0)))</x:f>
      </x:c>
      <x:c r="BW242" s="166"/>
      <x:c r="BX242" s="172" t="str">
        <x:f>IF(BM242="","",IF(BW242="","",BW242-BV242*365/BY242))</x:f>
      </x:c>
      <x:c r="BY242" s="164"/>
      <x:c r="BZ242" s="172" t="str">
        <x:f>IF(BM242="","",IFERROR(BR242*(BQ242/BP242-1),0))</x:f>
      </x:c>
      <x:c r="CA242" s="147"/>
      <x:c r="CB242" s="147"/>
      <x:c r="CC242" s="147"/>
      <x:c r="CD242" s="167"/>
      <x:c r="CE242" s="167"/>
      <x:c r="CF242" s="166"/>
      <x:c r="CG242" s="171" t="str">
        <x:f>IF(CA242="","",IFERROR(F242*CF242/CD242,0))</x:f>
      </x:c>
      <x:c r="CH242" s="171" t="str">
        <x:f>IF(CA242="","",F242*ABS(CF242))</x:f>
      </x:c>
      <x:c r="CI242" s="165"/>
      <x:c r="CJ242" s="172" t="str">
        <x:f>IF(CA242="","",IF(CI242="","",IFERROR(CD242/CI242-1,0)))</x:f>
      </x:c>
      <x:c r="CK242" s="166"/>
      <x:c r="CL242" s="172" t="str">
        <x:f>IF(CA242="","",IF(CK242="","",CK242-CJ242*365/CM242))</x:f>
      </x:c>
      <x:c r="CM242" s="164"/>
      <x:c r="CN242" s="172" t="str">
        <x:f>IF(CA242="","",IFERROR(CF242*(CE242/CD242-1),0))</x:f>
      </x:c>
      <x:c r="CO242" s="147"/>
      <x:c r="CP242" s="147"/>
      <x:c r="CQ242" s="147"/>
      <x:c r="CR242" s="167"/>
      <x:c r="CS242" s="167"/>
      <x:c r="CT242" s="166"/>
      <x:c r="CU242" s="171" t="str">
        <x:f>IF(CO242="","",IFERROR(F242*CT242/CR242,0))</x:f>
      </x:c>
      <x:c r="CV242" s="171" t="str">
        <x:f>IF(CO242="","",F242*ABS(CT242))</x:f>
      </x:c>
      <x:c r="CW242" s="165"/>
      <x:c r="CX242" s="172" t="str">
        <x:f>IF(CO242="","",IF(CW242="","",IFERROR(CR242/CW242-1,0)))</x:f>
      </x:c>
      <x:c r="CY242" s="166"/>
      <x:c r="CZ242" s="172" t="str">
        <x:f>IF(CO242="","",IF(CY242="","",CY242-CX242*365/DA242))</x:f>
      </x:c>
      <x:c r="DA242" s="164"/>
      <x:c r="DB242" s="172" t="str">
        <x:f>IF(CO242="","",IFERROR(CT242*(CS242/CR242-1),0))</x:f>
      </x:c>
      <x:c r="DC242" s="147"/>
      <x:c r="DD242" s="147"/>
      <x:c r="DE242" s="147"/>
      <x:c r="DF242" s="167"/>
      <x:c r="DG242" s="167"/>
      <x:c r="DH242" s="166"/>
      <x:c r="DI242" s="171" t="str">
        <x:f>IF(DC242="","",IFERROR(F242*DH242/DF242,0))</x:f>
      </x:c>
      <x:c r="DJ242" s="171" t="str">
        <x:f>IF(DC242="","",F242*ABS(DH242))</x:f>
      </x:c>
      <x:c r="DK242" s="165"/>
      <x:c r="DL242" s="172" t="str">
        <x:f>IF(DC242="","",IF(DK242="","",IFERROR(DF242/DK242-1,0)))</x:f>
      </x:c>
      <x:c r="DM242" s="166"/>
      <x:c r="DN242" s="172" t="str">
        <x:f>IF(DC242="","",IF(DM242="","",DM242-DL242*365/DO242))</x:f>
      </x:c>
      <x:c r="DO242" s="164"/>
      <x:c r="DP242" s="172" t="str">
        <x:f>IF(DC242="","",IFERROR(DH242*(DG242/DF242-1),0))</x:f>
      </x:c>
      <x:c r="DQ242" s="147"/>
      <x:c r="DR242" s="147"/>
      <x:c r="DS242" s="147"/>
      <x:c r="DT242" s="167"/>
      <x:c r="DU242" s="167"/>
      <x:c r="DV242" s="166"/>
      <x:c r="DW242" s="171" t="str">
        <x:f>IF(DQ242="","",IFERROR(F242*DV242/DT242,0))</x:f>
      </x:c>
      <x:c r="DX242" s="171" t="str">
        <x:f>IF(DQ242="","",F242*ABS(DV242))</x:f>
      </x:c>
      <x:c r="DY242" s="165"/>
      <x:c r="DZ242" s="172" t="str">
        <x:f>IF(DQ242="","",IF(DY242="","",IFERROR(DT242/DY242-1,0)))</x:f>
      </x:c>
      <x:c r="EA242" s="166"/>
      <x:c r="EB242" s="172" t="str">
        <x:f>IF(DQ242="","",IF(EA242="","",EA242-DZ242*365/EC242))</x:f>
      </x:c>
      <x:c r="EC242" s="164"/>
      <x:c r="ED242" s="172" t="str">
        <x:f>IF(DQ242="","",IFERROR(DV242*(DU242/DT242-1),0))</x:f>
      </x:c>
      <x:c r="EE242" s="147"/>
      <x:c r="EF242" s="147"/>
      <x:c r="EG242" s="147"/>
      <x:c r="EH242" s="167"/>
      <x:c r="EI242" s="167"/>
      <x:c r="EJ242" s="166"/>
      <x:c r="EK242" s="171" t="str">
        <x:f>IF(EE242="","",IFERROR(F242*EJ242/EH242,0))</x:f>
      </x:c>
      <x:c r="EL242" s="171" t="str">
        <x:f>IF(EE242="","",F242*ABS(EJ242))</x:f>
      </x:c>
      <x:c r="EM242" s="165"/>
      <x:c r="EN242" s="172" t="str">
        <x:f>IF(EE242="","",IF(EM242="","",IFERROR(EH242/EM242-1,0)))</x:f>
      </x:c>
      <x:c r="EO242" s="166"/>
      <x:c r="EP242" s="172" t="str">
        <x:f>IF(EE242="","",IF(EO242="","",EO242-EN242*365/EQ242))</x:f>
      </x:c>
      <x:c r="EQ242" s="164"/>
      <x:c r="ER242" s="172" t="str">
        <x:f>IF(EE242="","",IFERROR(EJ242*(EI242/EH242-1),0))</x:f>
      </x:c>
      <x:c r="ES242" s="147"/>
      <x:c r="ET242" s="147"/>
      <x:c r="EU242" s="147"/>
      <x:c r="EV242" s="167"/>
      <x:c r="EW242" s="167"/>
      <x:c r="EX242" s="166"/>
      <x:c r="EY242" s="171" t="str">
        <x:f>IF(ES242="","",IFERROR(F242*EX242/EV242,0))</x:f>
      </x:c>
      <x:c r="EZ242" s="171" t="str">
        <x:f>IF(ES242="","",F242*ABS(EX242))</x:f>
      </x:c>
      <x:c r="FA242" s="165"/>
      <x:c r="FB242" s="172" t="str">
        <x:f>IF(ES242="","",IF(FA242="","",IFERROR(EV242/FA242-1,0)))</x:f>
      </x:c>
      <x:c r="FC242" s="166"/>
      <x:c r="FD242" s="172" t="str">
        <x:f>IF(ES242="","",IF(FC242="","",FC242-FB242*365/FE242))</x:f>
      </x:c>
      <x:c r="FE242" s="164"/>
      <x:c r="FF242" s="172" t="str">
        <x:f>IF(ES242="","",IFERROR(EX242*(EW242/EV242-1),0))</x:f>
      </x:c>
      <x:c r="FG242" s="147"/>
      <x:c r="FH242" s="147"/>
      <x:c r="FI242" s="147"/>
      <x:c r="FJ242" s="167"/>
      <x:c r="FK242" s="167"/>
      <x:c r="FL242" s="166"/>
      <x:c r="FM242" s="171" t="str">
        <x:f>IF(FG242="","",IFERROR(F242*FL242/FJ242,0))</x:f>
      </x:c>
      <x:c r="FN242" s="171" t="str">
        <x:f>IF(FG242="","",F242*ABS(FL242))</x:f>
      </x:c>
      <x:c r="FO242" s="165"/>
      <x:c r="FP242" s="172" t="str">
        <x:f>IF(FG242="","",IF(FO242="","",IFERROR(FJ242/FO242-1,0)))</x:f>
      </x:c>
      <x:c r="FQ242" s="166"/>
      <x:c r="FR242" s="172" t="str">
        <x:f>IF(FG242="","",IF(FQ242="","",FQ242-FP242*365/FS242))</x:f>
      </x:c>
      <x:c r="FS242" s="164"/>
      <x:c r="FT242" s="172" t="str">
        <x:f>IF(FG242="","",IFERROR(FL242*(FK242/FJ242-1),0))</x:f>
      </x:c>
    </x:row>
    <x:row r="243" ht="18" customHeight="1">
      <x:c r="A243" s="163" t="n">
        <x:v>25566</x:v>
      </x:c>
      <x:c r="B243" s="163" t="n">
        <x:v>25567</x:v>
      </x:c>
      <x:c r="C243" s="170" t="n">
        <x:f>B243-A243</x:f>
        <x:v>1</x:v>
      </x:c>
      <x:c r="D243" s="163" t="n">
        <x:v>25566</x:v>
      </x:c>
      <x:c r="E243" s="147" t="str">
        <x:v>positive</x:v>
      </x:c>
      <x:c r="F243" s="165" t="n">
        <x:v>2.036778675707705</x:v>
      </x:c>
      <x:c r="G243" s="168" t="n">
        <x:v>-0.005365222315756247</x:v>
      </x:c>
      <x:c r="H243" s="172" t="n">
        <x:f>SUM(AX243,BL243,BZ243,CN243,DB243,DP243,ED243,ER243,FF243,FT243)</x:f>
        <x:v>-0.005365222315755926</x:v>
      </x:c>
      <x:c r="I243" s="174" t="n">
        <x:f>G243-H243</x:f>
        <x:v>-3.209238430557093e-16</x:v>
      </x:c>
      <x:c r="J243" s="171" t="n">
        <x:f>F243*(1+H243)</x:f>
        <x:v>2.025850905304542</x:v>
      </x:c>
      <x:c r="K243" s="169" t="n">
        <x:v>2.0258509053045417</x:v>
      </x:c>
      <x:c r="L243" s="175" t="n">
        <x:f>K243-J243</x:f>
        <x:v>-4.440892098500626e-16</x:v>
      </x:c>
      <x:c r="M243" s="167" t="n">
        <x:v>1.824</x:v>
      </x:c>
      <x:c r="N243" s="167" t="n">
        <x:v>1.8</x:v>
      </x:c>
      <x:c r="O243" s="172" t="n">
        <x:f>IFERROR(N243/M243-1,0)</x:f>
        <x:v>-0.013157894736842146</x:v>
      </x:c>
      <x:c r="P243" s="171" t="n">
        <x:f>IFERROR(AD243/AH243,0)</x:f>
        <x:v>2.186410442453774</x:v>
      </x:c>
      <x:c r="Q243" s="171" t="n">
        <x:f>IFERROR(AE243/AI243,0)</x:f>
        <x:v>2.2036755958812715</x:v>
      </x:c>
      <x:c r="R243" s="172" t="n">
        <x:f>IFERROR((Q243-P243)/(P243+S243),0)</x:f>
        <x:v>0.007896574720033375</x:v>
      </x:c>
      <x:c r="S243" s="172" t="n">
        <x:f>IFERROR(AF243/AH243,0)</x:f>
        <x:v>0</x:v>
      </x:c>
      <x:c r="T243" s="172" t="n">
        <x:f>IFERROR(AG243/AI243,0)</x:f>
        <x:v>0</x:v>
      </x:c>
      <x:c r="U243" s="172" t="n">
        <x:f>IFERROR((T243-S243)/(P243+S243),0)</x:f>
        <x:v>0</x:v>
      </x:c>
      <x:c r="V243" s="172" t="n">
        <x:f>R243+U243</x:f>
        <x:v>0.007896574720033375</x:v>
      </x:c>
      <x:c r="W243" s="172" t="n">
        <x:f>(1+O243)*(1+V243)-1</x:f>
        <x:v>-0.005365222315756535</x:v>
      </x:c>
      <x:c r="X243" s="174" t="n">
        <x:f>G243-W243</x:f>
        <x:v>2.8796409701215e-16</x:v>
      </x:c>
      <x:c r="Y243" s="172" t="str">
        <x:f>AX243</x:f>
      </x:c>
      <x:c r="Z243" s="172" t="n">
        <x:f>BL243</x:f>
        <x:v>0.0002213698630140204</x:v>
      </x:c>
      <x:c r="AA243" s="172" t="n">
        <x:f>SUM(BZ243,CN243,DB243,DP243,ED243,ER243,FF243,FT243)</x:f>
        <x:v>-0.005586592178769946</x:v>
      </x:c>
      <x:c r="AB243" s="172" t="n">
        <x:f>SUM(Y243:AA243)</x:f>
        <x:v>-0.005365222315755926</x:v>
      </x:c>
      <x:c r="AC243" s="174" t="n">
        <x:f>G243-AB243</x:f>
        <x:v>-3.209238430557093e-16</x:v>
      </x:c>
      <x:c r="AD243" s="169" t="n">
        <x:v>2.0367786757077035</x:v>
      </x:c>
      <x:c r="AE243" s="169" t="n">
        <x:v>2.02585090530454</x:v>
      </x:c>
      <x:c r="AF243" s="169" t="n">
        <x:v>0</x:v>
      </x:c>
      <x:c r="AG243" s="169" t="n">
        <x:v>0</x:v>
      </x:c>
      <x:c r="AH243" s="171" t="n">
        <x:f>M243/$M$3</x:f>
        <x:v>0.9315628192032687</x:v>
      </x:c>
      <x:c r="AI243" s="171" t="n">
        <x:f>N243/$M$3</x:f>
        <x:v>0.9193054136874362</x:v>
      </x:c>
      <x:c r="AJ243" s="170" t="n">
        <x:f>IF(AK243&lt;&gt;"",1,0)+IF(AY243&lt;&gt;"",1,0)+IF(BM243&lt;&gt;"",1,0)+IF(CA243&lt;&gt;"",1,0)+IF(CO243&lt;&gt;"",1,0)+IF(DC243&lt;&gt;"",1,0)+IF(DQ243&lt;&gt;"",1,0)+IF(EE243&lt;&gt;"",1,0)+IF(ES243&lt;&gt;"",1,0)+IF(FG243&lt;&gt;"",1,0)</x:f>
        <x:v>4</x:v>
      </x:c>
      <x:c r="AK243" s="147"/>
      <x:c r="AL243" s="147"/>
      <x:c r="AM243" s="147"/>
      <x:c r="AN243" s="167"/>
      <x:c r="AO243" s="167"/>
      <x:c r="AP243" s="166"/>
      <x:c r="AQ243" s="171" t="str">
        <x:f>IF(AK243="","",IFERROR(F243*AP243/AN243,0))</x:f>
      </x:c>
      <x:c r="AR243" s="171" t="str">
        <x:f>IF(AK243="","",F243*ABS(AP243))</x:f>
      </x:c>
      <x:c r="AS243" s="165"/>
      <x:c r="AT243" s="172" t="str">
        <x:f>IF(AK243="","",IF(AS243="","",IFERROR(AN243/AS243-1,0)))</x:f>
      </x:c>
      <x:c r="AU243" s="166"/>
      <x:c r="AV243" s="172" t="str">
        <x:f>IF(AK243="","",IF(AU243="","",AU243-AT243*365/AW243))</x:f>
      </x:c>
      <x:c r="AW243" s="164"/>
      <x:c r="AX243" s="173" t="str">
        <x:f>IF(AK243="","",IFERROR(AP243*(AO243/AN243-1),0))</x:f>
      </x:c>
      <x:c r="AY243" s="147" t="str">
        <x:v>Matched-maturity Treasury collateral</x:v>
      </x:c>
      <x:c r="AZ243" s="147" t="str">
        <x:v>Treasury</x:v>
      </x:c>
      <x:c r="BA243" s="147" t="str">
        <x:v>Long</x:v>
      </x:c>
      <x:c r="BB243" s="167" t="n">
        <x:v>106.80272543217374</x:v>
      </x:c>
      <x:c r="BC243" s="167" t="n">
        <x:v>106.82636833687218</x:v>
      </x:c>
      <x:c r="BD243" s="166" t="n">
        <x:v>1</x:v>
      </x:c>
      <x:c r="BE243" s="171" t="n">
        <x:f>IF(AY243="","",IFERROR(F243*BD243/BB243,0))</x:f>
        <x:v>0.019070474723055487</x:v>
      </x:c>
      <x:c r="BF243" s="171" t="n">
        <x:f>IF(AY243="","",F243*ABS(BD243))</x:f>
        <x:v>2.036778675707705</x:v>
      </x:c>
      <x:c r="BG243" s="165"/>
      <x:c r="BH243" s="172" t="str">
        <x:f>IF(AY243="","",IF(BG243="","",IFERROR(BB243/BG243-1,0)))</x:f>
      </x:c>
      <x:c r="BI243" s="166"/>
      <x:c r="BJ243" s="172" t="str">
        <x:f>IF(AY243="","",IF(BI243="","",BI243-BH243*365/BK243))</x:f>
      </x:c>
      <x:c r="BK243" s="164" t="n">
        <x:v>30.000000000427022</x:v>
      </x:c>
      <x:c r="BL243" s="172" t="n">
        <x:f>IF(AY243="","",IFERROR(BD243*(BC243/BB243-1),0))</x:f>
        <x:v>0.0002213698630140204</x:v>
      </x:c>
      <x:c r="BM243" s="147" t="str">
        <x:v>SI70F</x:v>
      </x:c>
      <x:c r="BN243" s="147" t="str">
        <x:v>Silver future (regular)</x:v>
      </x:c>
      <x:c r="BO243" s="147" t="str">
        <x:v>Long</x:v>
      </x:c>
      <x:c r="BP243" s="167" t="n">
        <x:v>1.79</x:v>
      </x:c>
      <x:c r="BQ243" s="167" t="n">
        <x:v>1.78</x:v>
      </x:c>
      <x:c r="BR243" s="166" t="n">
        <x:v>0.9999999999926399</x:v>
      </x:c>
      <x:c r="BS243" s="171" t="n">
        <x:f>IF(BM243="","",IFERROR(F243*BR243/BP243,0))</x:f>
        <x:v>1.1378651819512366</x:v>
      </x:c>
      <x:c r="BT243" s="171" t="n">
        <x:f>IF(BM243="","",F243*ABS(BR243))</x:f>
        <x:v>2.0367786756927138</x:v>
      </x:c>
      <x:c r="BU243" s="165" t="n">
        <x:v>1.824</x:v>
      </x:c>
      <x:c r="BV243" s="172" t="n">
        <x:f>IF(BM243="","",IF(BU243="","",IFERROR(BP243/BU243-1,0)))</x:f>
        <x:v>-0.018640350877192957</x:v>
      </x:c>
      <x:c r="BW243" s="166" t="n">
        <x:v>0.0808</x:v>
      </x:c>
      <x:c r="BX243" s="172" t="n">
        <x:f>IF(BM243="","",IF(BW243="","",BW243-BV243*365/BY243))</x:f>
        <x:v>0.30759093567251433</x:v>
      </x:c>
      <x:c r="BY243" s="164" t="n">
        <x:v>30</x:v>
      </x:c>
      <x:c r="BZ243" s="172" t="n">
        <x:f>IF(BM243="","",IFERROR(BR243*(BQ243/BP243-1),0))</x:f>
        <x:v>-0.005586592178729881</x:v>
      </x:c>
      <x:c r="CA243" s="147" t="str">
        <x:v>SI70H</x:v>
      </x:c>
      <x:c r="CB243" s="147" t="str">
        <x:v>Silver future (regular)</x:v>
      </x:c>
      <x:c r="CC243" s="147" t="str">
        <x:v>Long</x:v>
      </x:c>
      <x:c r="CD243" s="167" t="n">
        <x:v>1.837</x:v>
      </x:c>
      <x:c r="CE243" s="167" t="n">
        <x:v>1.827</x:v>
      </x:c>
      <x:c r="CF243" s="166" t="n">
        <x:v>7.357809583713562e-12</x:v>
      </x:c>
      <x:c r="CG243" s="171" t="n">
        <x:f>IF(CA243="","",IFERROR(F243*CF243/CD243,0))</x:f>
        <x:v>8.157991105076522e-12</x:v>
      </x:c>
      <x:c r="CH243" s="171" t="n">
        <x:f>IF(CA243="","",F243*ABS(CF243))</x:f>
        <x:v>1.498622966002557e-11</x:v>
      </x:c>
      <x:c r="CI243" s="165" t="n">
        <x:v>1.824</x:v>
      </x:c>
      <x:c r="CJ243" s="172" t="n">
        <x:f>IF(CA243="","",IF(CI243="","",IFERROR(CD243/CI243-1,0)))</x:f>
        <x:v>0.007127192982456121</x:v>
      </x:c>
      <x:c r="CK243" s="166" t="n">
        <x:v>0.0808</x:v>
      </x:c>
      <x:c r="CL243" s="172" t="n">
        <x:f>IF(CA243="","",IF(CK243="","",CK243-CJ243*365/CM243))</x:f>
        <x:v>0.05123834728867631</x:v>
      </x:c>
      <x:c r="CM243" s="164" t="n">
        <x:v>88</x:v>
      </x:c>
      <x:c r="CN243" s="172" t="n">
        <x:f>IF(CA243="","",IFERROR(CF243*(CE243/CD243-1),0))</x:f>
        <x:v>-4.005340002021575e-14</x:v>
      </x:c>
      <x:c r="CO243" s="147" t="str">
        <x:v>SI70K</x:v>
      </x:c>
      <x:c r="CP243" s="147" t="str">
        <x:v>Silver future (regular)</x:v>
      </x:c>
      <x:c r="CQ243" s="147" t="str">
        <x:v>Long</x:v>
      </x:c>
      <x:c r="CR243" s="167" t="n">
        <x:v>1.879</x:v>
      </x:c>
      <x:c r="CS243" s="167" t="n">
        <x:v>1.869</x:v>
      </x:c>
      <x:c r="CT243" s="166" t="n">
        <x:v>2.279624250510953e-15</x:v>
      </x:c>
      <x:c r="CU243" s="171" t="n">
        <x:f>IF(CO243="","",IFERROR(F243*CT243/CR243,0))</x:f>
        <x:v>2.471043141068051e-15</x:v>
      </x:c>
      <x:c r="CV243" s="171" t="n">
        <x:f>IF(CO243="","",F243*ABS(CT243))</x:f>
        <x:v>4.643090062066868e-15</x:v>
      </x:c>
      <x:c r="CW243" s="165" t="n">
        <x:v>1.824</x:v>
      </x:c>
      <x:c r="CX243" s="172" t="n">
        <x:f>IF(CO243="","",IF(CW243="","",IFERROR(CR243/CW243-1,0)))</x:f>
        <x:v>0.030153508771929793</x:v>
      </x:c>
      <x:c r="CY243" s="166" t="n">
        <x:v>0.08086373626373627</x:v>
      </x:c>
      <x:c r="CZ243" s="172" t="n">
        <x:f>IF(CO243="","",IF(CY243="","",CY243-CX243*365/DA243))</x:f>
        <x:v>0.0069977583996129605</x:v>
      </x:c>
      <x:c r="DA243" s="164" t="n">
        <x:v>149</x:v>
      </x:c>
      <x:c r="DB243" s="172" t="n">
        <x:f>IF(CO243="","",IFERROR(CT243*(CS243/CR243-1),0))</x:f>
        <x:v>-1.213211415918551e-17</x:v>
      </x:c>
      <x:c r="DC243" s="147"/>
      <x:c r="DD243" s="147"/>
      <x:c r="DE243" s="147"/>
      <x:c r="DF243" s="167"/>
      <x:c r="DG243" s="167"/>
      <x:c r="DH243" s="166"/>
      <x:c r="DI243" s="171" t="str">
        <x:f>IF(DC243="","",IFERROR(F243*DH243/DF243,0))</x:f>
      </x:c>
      <x:c r="DJ243" s="171" t="str">
        <x:f>IF(DC243="","",F243*ABS(DH243))</x:f>
      </x:c>
      <x:c r="DK243" s="165"/>
      <x:c r="DL243" s="172" t="str">
        <x:f>IF(DC243="","",IF(DK243="","",IFERROR(DF243/DK243-1,0)))</x:f>
      </x:c>
      <x:c r="DM243" s="166"/>
      <x:c r="DN243" s="172" t="str">
        <x:f>IF(DC243="","",IF(DM243="","",DM243-DL243*365/DO243))</x:f>
      </x:c>
      <x:c r="DO243" s="164"/>
      <x:c r="DP243" s="172" t="str">
        <x:f>IF(DC243="","",IFERROR(DH243*(DG243/DF243-1),0))</x:f>
      </x:c>
      <x:c r="DQ243" s="147"/>
      <x:c r="DR243" s="147"/>
      <x:c r="DS243" s="147"/>
      <x:c r="DT243" s="167"/>
      <x:c r="DU243" s="167"/>
      <x:c r="DV243" s="166"/>
      <x:c r="DW243" s="171" t="str">
        <x:f>IF(DQ243="","",IFERROR(F243*DV243/DT243,0))</x:f>
      </x:c>
      <x:c r="DX243" s="171" t="str">
        <x:f>IF(DQ243="","",F243*ABS(DV243))</x:f>
      </x:c>
      <x:c r="DY243" s="165"/>
      <x:c r="DZ243" s="172" t="str">
        <x:f>IF(DQ243="","",IF(DY243="","",IFERROR(DT243/DY243-1,0)))</x:f>
      </x:c>
      <x:c r="EA243" s="166"/>
      <x:c r="EB243" s="172" t="str">
        <x:f>IF(DQ243="","",IF(EA243="","",EA243-DZ243*365/EC243))</x:f>
      </x:c>
      <x:c r="EC243" s="164"/>
      <x:c r="ED243" s="172" t="str">
        <x:f>IF(DQ243="","",IFERROR(DV243*(DU243/DT243-1),0))</x:f>
      </x:c>
      <x:c r="EE243" s="147"/>
      <x:c r="EF243" s="147"/>
      <x:c r="EG243" s="147"/>
      <x:c r="EH243" s="167"/>
      <x:c r="EI243" s="167"/>
      <x:c r="EJ243" s="166"/>
      <x:c r="EK243" s="171" t="str">
        <x:f>IF(EE243="","",IFERROR(F243*EJ243/EH243,0))</x:f>
      </x:c>
      <x:c r="EL243" s="171" t="str">
        <x:f>IF(EE243="","",F243*ABS(EJ243))</x:f>
      </x:c>
      <x:c r="EM243" s="165"/>
      <x:c r="EN243" s="172" t="str">
        <x:f>IF(EE243="","",IF(EM243="","",IFERROR(EH243/EM243-1,0)))</x:f>
      </x:c>
      <x:c r="EO243" s="166"/>
      <x:c r="EP243" s="172" t="str">
        <x:f>IF(EE243="","",IF(EO243="","",EO243-EN243*365/EQ243))</x:f>
      </x:c>
      <x:c r="EQ243" s="164"/>
      <x:c r="ER243" s="172" t="str">
        <x:f>IF(EE243="","",IFERROR(EJ243*(EI243/EH243-1),0))</x:f>
      </x:c>
      <x:c r="ES243" s="147"/>
      <x:c r="ET243" s="147"/>
      <x:c r="EU243" s="147"/>
      <x:c r="EV243" s="167"/>
      <x:c r="EW243" s="167"/>
      <x:c r="EX243" s="166"/>
      <x:c r="EY243" s="171" t="str">
        <x:f>IF(ES243="","",IFERROR(F243*EX243/EV243,0))</x:f>
      </x:c>
      <x:c r="EZ243" s="171" t="str">
        <x:f>IF(ES243="","",F243*ABS(EX243))</x:f>
      </x:c>
      <x:c r="FA243" s="165"/>
      <x:c r="FB243" s="172" t="str">
        <x:f>IF(ES243="","",IF(FA243="","",IFERROR(EV243/FA243-1,0)))</x:f>
      </x:c>
      <x:c r="FC243" s="166"/>
      <x:c r="FD243" s="172" t="str">
        <x:f>IF(ES243="","",IF(FC243="","",FC243-FB243*365/FE243))</x:f>
      </x:c>
      <x:c r="FE243" s="164"/>
      <x:c r="FF243" s="172" t="str">
        <x:f>IF(ES243="","",IFERROR(EX243*(EW243/EV243-1),0))</x:f>
      </x:c>
      <x:c r="FG243" s="147"/>
      <x:c r="FH243" s="147"/>
      <x:c r="FI243" s="147"/>
      <x:c r="FJ243" s="167"/>
      <x:c r="FK243" s="167"/>
      <x:c r="FL243" s="166"/>
      <x:c r="FM243" s="171" t="str">
        <x:f>IF(FG243="","",IFERROR(F243*FL243/FJ243,0))</x:f>
      </x:c>
      <x:c r="FN243" s="171" t="str">
        <x:f>IF(FG243="","",F243*ABS(FL243))</x:f>
      </x:c>
      <x:c r="FO243" s="165"/>
      <x:c r="FP243" s="172" t="str">
        <x:f>IF(FG243="","",IF(FO243="","",IFERROR(FJ243/FO243-1,0)))</x:f>
      </x:c>
      <x:c r="FQ243" s="166"/>
      <x:c r="FR243" s="172" t="str">
        <x:f>IF(FG243="","",IF(FQ243="","",FQ243-FP243*365/FS243))</x:f>
      </x:c>
      <x:c r="FS243" s="164"/>
      <x:c r="FT243" s="172" t="str">
        <x:f>IF(FG243="","",IFERROR(FL243*(FK243/FJ243-1),0))</x:f>
      </x:c>
    </x:row>
    <x:row r="244" ht="18" customHeight="1">
      <x:c r="A244" s="163" t="n">
        <x:v>25567</x:v>
      </x:c>
      <x:c r="B244" s="163" t="n">
        <x:v>25568</x:v>
      </x:c>
      <x:c r="C244" s="170" t="n">
        <x:f>B244-A244</x:f>
        <x:v>1</x:v>
      </x:c>
      <x:c r="D244" s="163" t="n">
        <x:v>25567</x:v>
      </x:c>
      <x:c r="E244" s="147" t="str">
        <x:v>positive</x:v>
      </x:c>
      <x:c r="F244" s="165" t="n">
        <x:v>2.0258509053045417</x:v>
      </x:c>
      <x:c r="G244" s="168" t="n">
        <x:v>0.008647514237334654</x:v>
      </x:c>
      <x:c r="H244" s="172" t="n">
        <x:f>SUM(AX244,BL244,BZ244,CN244,DB244,DP244,ED244,ER244,FF244,FT244)</x:f>
        <x:v>0.008647514237334715</x:v>
      </x:c>
      <x:c r="I244" s="174" t="n">
        <x:f>G244-H244</x:f>
        <x:v>-6.071532165918825e-17</x:v>
      </x:c>
      <x:c r="J244" s="171" t="n">
        <x:f>F244*(1+H244)</x:f>
        <x:v>2.04336947985088</x:v>
      </x:c>
      <x:c r="K244" s="169" t="n">
        <x:v>2.0433694798508797</x:v>
      </x:c>
      <x:c r="L244" s="175" t="n">
        <x:f>K244-J244</x:f>
        <x:v>-4.440892098500626e-16</x:v>
      </x:c>
      <x:c r="M244" s="167" t="n">
        <x:v>1.8</x:v>
      </x:c>
      <x:c r="N244" s="167" t="n">
        <x:v>1.791</x:v>
      </x:c>
      <x:c r="O244" s="172" t="n">
        <x:f>IFERROR(N244/M244-1,0)</x:f>
        <x:v>-0.0050000000000001155</x:v>
      </x:c>
      <x:c r="P244" s="171" t="n">
        <x:f>IFERROR(AD244/AH244,0)</x:f>
        <x:v>2.2036755958812715</x:v>
      </x:c>
      <x:c r="Q244" s="171" t="n">
        <x:f>IFERROR(AE244/AI244,0)</x:f>
        <x:v>2.2339014190664543</x:v>
      </x:c>
      <x:c r="R244" s="172" t="n">
        <x:f>IFERROR((Q244-P244)/(P244+S244),0)</x:f>
        <x:v>0.013716094710889264</x:v>
      </x:c>
      <x:c r="S244" s="172" t="n">
        <x:f>IFERROR(AF244/AH244,0)</x:f>
        <x:v>0</x:v>
      </x:c>
      <x:c r="T244" s="172" t="n">
        <x:f>IFERROR(AG244/AI244,0)</x:f>
        <x:v>0</x:v>
      </x:c>
      <x:c r="U244" s="172" t="n">
        <x:f>IFERROR((T244-S244)/(P244+S244),0)</x:f>
        <x:v>0</x:v>
      </x:c>
      <x:c r="V244" s="172" t="n">
        <x:f>R244+U244</x:f>
        <x:v>0.013716094710889264</x:v>
      </x:c>
      <x:c r="W244" s="172" t="n">
        <x:f>(1+O244)*(1+V244)-1</x:f>
        <x:v>0.008647514237334564</x:v>
      </x:c>
      <x:c r="X244" s="174" t="n">
        <x:f>G244-W244</x:f>
        <x:v>9.020562075079397e-17</x:v>
      </x:c>
      <x:c r="Y244" s="172" t="n">
        <x:f>AX244</x:f>
        <x:v>0</x:v>
      </x:c>
      <x:c r="Z244" s="172" t="n">
        <x:f>BL244</x:f>
        <x:v>0.00022054794520554033</x:v>
      </x:c>
      <x:c r="AA244" s="172" t="n">
        <x:f>SUM(BZ244,CN244,DB244,DP244,ED244,ER244,FF244,FT244)</x:f>
        <x:v>0.008426966292129174</x:v>
      </x:c>
      <x:c r="AB244" s="172" t="n">
        <x:f>SUM(Y244:AA244)</x:f>
        <x:v>0.008647514237334715</x:v>
      </x:c>
      <x:c r="AC244" s="174" t="n">
        <x:f>G244-AB244</x:f>
        <x:v>-6.071532165918825e-17</x:v>
      </x:c>
      <x:c r="AD244" s="169" t="n">
        <x:v>2.02585090530454</x:v>
      </x:c>
      <x:c r="AE244" s="169" t="n">
        <x:v>2.0433694798508784</x:v>
      </x:c>
      <x:c r="AF244" s="169" t="n">
        <x:v>0</x:v>
      </x:c>
      <x:c r="AG244" s="169" t="n">
        <x:v>0</x:v>
      </x:c>
      <x:c r="AH244" s="171" t="n">
        <x:f>M244/$M$3</x:f>
        <x:v>0.9193054136874362</x:v>
      </x:c>
      <x:c r="AI244" s="171" t="n">
        <x:f>N244/$M$3</x:f>
        <x:v>0.914708886618999</x:v>
      </x:c>
      <x:c r="AJ244" s="170" t="n">
        <x:f>IF(AK244&lt;&gt;"",1,0)+IF(AY244&lt;&gt;"",1,0)+IF(BM244&lt;&gt;"",1,0)+IF(CA244&lt;&gt;"",1,0)+IF(CO244&lt;&gt;"",1,0)+IF(DC244&lt;&gt;"",1,0)+IF(DQ244&lt;&gt;"",1,0)+IF(EE244&lt;&gt;"",1,0)+IF(ES244&lt;&gt;"",1,0)+IF(FG244&lt;&gt;"",1,0)</x:f>
        <x:v>3</x:v>
      </x:c>
      <x:c r="AK244" s="147"/>
      <x:c r="AL244" s="147"/>
      <x:c r="AM244" s="147"/>
      <x:c r="AN244" s="167"/>
      <x:c r="AO244" s="167"/>
      <x:c r="AP244" s="166"/>
      <x:c r="AQ244" s="171" t="str">
        <x:f>IF(AK244="","",IFERROR(F244*AP244/AN244,0))</x:f>
      </x:c>
      <x:c r="AR244" s="171" t="str">
        <x:f>IF(AK244="","",F244*ABS(AP244))</x:f>
      </x:c>
      <x:c r="AS244" s="165"/>
      <x:c r="AT244" s="172" t="str">
        <x:f>IF(AK244="","",IF(AS244="","",IFERROR(AN244/AS244-1,0)))</x:f>
      </x:c>
      <x:c r="AU244" s="166"/>
      <x:c r="AV244" s="172" t="str">
        <x:f>IF(AK244="","",IF(AU244="","",AU244-AT244*365/AW244))</x:f>
      </x:c>
      <x:c r="AW244" s="164"/>
      <x:c r="AX244" s="173" t="str">
        <x:f>IF(AK244="","",IFERROR(AP244*(AO244/AN244-1),0))</x:f>
      </x:c>
      <x:c r="AY244" s="147" t="str">
        <x:v>Matched-maturity Treasury collateral</x:v>
      </x:c>
      <x:c r="AZ244" s="147" t="str">
        <x:v>Treasury</x:v>
      </x:c>
      <x:c r="BA244" s="147" t="str">
        <x:v>Long</x:v>
      </x:c>
      <x:c r="BB244" s="167" t="n">
        <x:v>106.82636833687218</x:v>
      </x:c>
      <x:c r="BC244" s="167" t="n">
        <x:v>106.84992867290264</x:v>
      </x:c>
      <x:c r="BD244" s="166" t="n">
        <x:v>1</x:v>
      </x:c>
      <x:c r="BE244" s="171" t="n">
        <x:f>IF(AY244="","",IFERROR(F244*BD244/BB244,0))</x:f>
        <x:v>0.01896395933741856</x:v>
      </x:c>
      <x:c r="BF244" s="171" t="n">
        <x:f>IF(AY244="","",F244*ABS(BD244))</x:f>
        <x:v>2.0258509053045417</x:v>
      </x:c>
      <x:c r="BG244" s="165"/>
      <x:c r="BH244" s="172" t="str">
        <x:f>IF(AY244="","",IF(BG244="","",IFERROR(BB244/BG244-1,0)))</x:f>
      </x:c>
      <x:c r="BI244" s="166"/>
      <x:c r="BJ244" s="172" t="str">
        <x:f>IF(AY244="","",IF(BI244="","",BI244-BH244*365/BK244))</x:f>
      </x:c>
      <x:c r="BK244" s="164" t="n">
        <x:v>29.000000000426752</x:v>
      </x:c>
      <x:c r="BL244" s="172" t="n">
        <x:f>IF(AY244="","",IFERROR(BD244*(BC244/BB244-1),0))</x:f>
        <x:v>0.00022054794520554033</x:v>
      </x:c>
      <x:c r="BM244" s="147" t="str">
        <x:v>SI70F</x:v>
      </x:c>
      <x:c r="BN244" s="147" t="str">
        <x:v>Silver future (regular)</x:v>
      </x:c>
      <x:c r="BO244" s="147" t="str">
        <x:v>Long</x:v>
      </x:c>
      <x:c r="BP244" s="167" t="n">
        <x:v>1.78</x:v>
      </x:c>
      <x:c r="BQ244" s="167" t="n">
        <x:v>1.795</x:v>
      </x:c>
      <x:c r="BR244" s="166" t="n">
        <x:v>0.9999999999926422</x:v>
      </x:c>
      <x:c r="BS244" s="171" t="n">
        <x:f>IF(BM244="","",IFERROR(F244*BR244/BP244,0))</x:f>
        <x:v>1.1381184861177729</x:v>
      </x:c>
      <x:c r="BT244" s="171" t="n">
        <x:f>IF(BM244="","",F244*ABS(BR244))</x:f>
        <x:v>2.025850905289636</x:v>
      </x:c>
      <x:c r="BU244" s="165" t="n">
        <x:v>1.8</x:v>
      </x:c>
      <x:c r="BV244" s="172" t="n">
        <x:f>IF(BM244="","",IF(BU244="","",IFERROR(BP244/BU244-1,0)))</x:f>
        <x:v>-0.011111111111111072</x:v>
      </x:c>
      <x:c r="BW244" s="166" t="n">
        <x:v>0.0805</x:v>
      </x:c>
      <x:c r="BX244" s="172" t="n">
        <x:f>IF(BM244="","",IF(BW244="","",BW244-BV244*365/BY244))</x:f>
        <x:v>0.2203467432950187</x:v>
      </x:c>
      <x:c r="BY244" s="164" t="n">
        <x:v>29</x:v>
      </x:c>
      <x:c r="BZ244" s="172" t="n">
        <x:f>IF(BM244="","",IFERROR(BR244*(BQ244/BP244-1),0))</x:f>
        <x:v>0.008426966292072792</x:v>
      </x:c>
      <x:c r="CA244" s="147" t="str">
        <x:v>SI70H</x:v>
      </x:c>
      <x:c r="CB244" s="147" t="str">
        <x:v>Silver future (regular)</x:v>
      </x:c>
      <x:c r="CC244" s="147" t="str">
        <x:v>Long</x:v>
      </x:c>
      <x:c r="CD244" s="167" t="n">
        <x:v>1.827</x:v>
      </x:c>
      <x:c r="CE244" s="167" t="n">
        <x:v>1.841</x:v>
      </x:c>
      <x:c r="CF244" s="166" t="n">
        <x:v>7.35780958371358e-12</x:v>
      </x:c>
      <x:c r="CG244" s="171" t="n">
        <x:f>IF(CA244="","",IFERROR(F244*CF244/CD244,0))</x:f>
        <x:v>8.158634486165622e-12</x:v>
      </x:c>
      <x:c r="CH244" s="171" t="n">
        <x:f>IF(CA244="","",F244*ABS(CF244))</x:f>
        <x:v>1.490582520622459e-11</x:v>
      </x:c>
      <x:c r="CI244" s="165" t="n">
        <x:v>1.8</x:v>
      </x:c>
      <x:c r="CJ244" s="172" t="n">
        <x:f>IF(CA244="","",IF(CI244="","",IFERROR(CD244/CI244-1,0)))</x:f>
        <x:v>0.014999999999999902</x:v>
      </x:c>
      <x:c r="CK244" s="166" t="n">
        <x:v>0.0805</x:v>
      </x:c>
      <x:c r="CL244" s="172" t="n">
        <x:f>IF(CA244="","",IF(CK244="","",CK244-CJ244*365/CM244))</x:f>
        <x:v>0.017568965517241797</x:v>
      </x:c>
      <x:c r="CM244" s="164" t="n">
        <x:v>87</x:v>
      </x:c>
      <x:c r="CN244" s="172" t="n">
        <x:f>IF(CA244="","",IFERROR(CF244*(CE244/CD244-1),0))</x:f>
        <x:v>5.6381682633821006e-14</x:v>
      </x:c>
      <x:c r="CO244" s="147"/>
      <x:c r="CP244" s="147"/>
      <x:c r="CQ244" s="147"/>
      <x:c r="CR244" s="167"/>
      <x:c r="CS244" s="167"/>
      <x:c r="CT244" s="166"/>
      <x:c r="CU244" s="171" t="str">
        <x:f>IF(CO244="","",IFERROR(F244*CT244/CR244,0))</x:f>
      </x:c>
      <x:c r="CV244" s="171" t="str">
        <x:f>IF(CO244="","",F244*ABS(CT244))</x:f>
      </x:c>
      <x:c r="CW244" s="165"/>
      <x:c r="CX244" s="172" t="str">
        <x:f>IF(CO244="","",IF(CW244="","",IFERROR(CR244/CW244-1,0)))</x:f>
      </x:c>
      <x:c r="CY244" s="166"/>
      <x:c r="CZ244" s="172" t="str">
        <x:f>IF(CO244="","",IF(CY244="","",CY244-CX244*365/DA244))</x:f>
      </x:c>
      <x:c r="DA244" s="164"/>
      <x:c r="DB244" s="172" t="str">
        <x:f>IF(CO244="","",IFERROR(CT244*(CS244/CR244-1),0))</x:f>
      </x:c>
      <x:c r="DC244" s="147"/>
      <x:c r="DD244" s="147"/>
      <x:c r="DE244" s="147"/>
      <x:c r="DF244" s="167"/>
      <x:c r="DG244" s="167"/>
      <x:c r="DH244" s="166"/>
      <x:c r="DI244" s="171" t="str">
        <x:f>IF(DC244="","",IFERROR(F244*DH244/DF244,0))</x:f>
      </x:c>
      <x:c r="DJ244" s="171" t="str">
        <x:f>IF(DC244="","",F244*ABS(DH244))</x:f>
      </x:c>
      <x:c r="DK244" s="165"/>
      <x:c r="DL244" s="172" t="str">
        <x:f>IF(DC244="","",IF(DK244="","",IFERROR(DF244/DK244-1,0)))</x:f>
      </x:c>
      <x:c r="DM244" s="166"/>
      <x:c r="DN244" s="172" t="str">
        <x:f>IF(DC244="","",IF(DM244="","",DM244-DL244*365/DO244))</x:f>
      </x:c>
      <x:c r="DO244" s="164"/>
      <x:c r="DP244" s="172" t="str">
        <x:f>IF(DC244="","",IFERROR(DH244*(DG244/DF244-1),0))</x:f>
      </x:c>
      <x:c r="DQ244" s="147"/>
      <x:c r="DR244" s="147"/>
      <x:c r="DS244" s="147"/>
      <x:c r="DT244" s="167"/>
      <x:c r="DU244" s="167"/>
      <x:c r="DV244" s="166"/>
      <x:c r="DW244" s="171" t="str">
        <x:f>IF(DQ244="","",IFERROR(F244*DV244/DT244,0))</x:f>
      </x:c>
      <x:c r="DX244" s="171" t="str">
        <x:f>IF(DQ244="","",F244*ABS(DV244))</x:f>
      </x:c>
      <x:c r="DY244" s="165"/>
      <x:c r="DZ244" s="172" t="str">
        <x:f>IF(DQ244="","",IF(DY244="","",IFERROR(DT244/DY244-1,0)))</x:f>
      </x:c>
      <x:c r="EA244" s="166"/>
      <x:c r="EB244" s="172" t="str">
        <x:f>IF(DQ244="","",IF(EA244="","",EA244-DZ244*365/EC244))</x:f>
      </x:c>
      <x:c r="EC244" s="164"/>
      <x:c r="ED244" s="172" t="str">
        <x:f>IF(DQ244="","",IFERROR(DV244*(DU244/DT244-1),0))</x:f>
      </x:c>
      <x:c r="EE244" s="147"/>
      <x:c r="EF244" s="147"/>
      <x:c r="EG244" s="147"/>
      <x:c r="EH244" s="167"/>
      <x:c r="EI244" s="167"/>
      <x:c r="EJ244" s="166"/>
      <x:c r="EK244" s="171" t="str">
        <x:f>IF(EE244="","",IFERROR(F244*EJ244/EH244,0))</x:f>
      </x:c>
      <x:c r="EL244" s="171" t="str">
        <x:f>IF(EE244="","",F244*ABS(EJ244))</x:f>
      </x:c>
      <x:c r="EM244" s="165"/>
      <x:c r="EN244" s="172" t="str">
        <x:f>IF(EE244="","",IF(EM244="","",IFERROR(EH244/EM244-1,0)))</x:f>
      </x:c>
      <x:c r="EO244" s="166"/>
      <x:c r="EP244" s="172" t="str">
        <x:f>IF(EE244="","",IF(EO244="","",EO244-EN244*365/EQ244))</x:f>
      </x:c>
      <x:c r="EQ244" s="164"/>
      <x:c r="ER244" s="172" t="str">
        <x:f>IF(EE244="","",IFERROR(EJ244*(EI244/EH244-1),0))</x:f>
      </x:c>
      <x:c r="ES244" s="147"/>
      <x:c r="ET244" s="147"/>
      <x:c r="EU244" s="147"/>
      <x:c r="EV244" s="167"/>
      <x:c r="EW244" s="167"/>
      <x:c r="EX244" s="166"/>
      <x:c r="EY244" s="171" t="str">
        <x:f>IF(ES244="","",IFERROR(F244*EX244/EV244,0))</x:f>
      </x:c>
      <x:c r="EZ244" s="171" t="str">
        <x:f>IF(ES244="","",F244*ABS(EX244))</x:f>
      </x:c>
      <x:c r="FA244" s="165"/>
      <x:c r="FB244" s="172" t="str">
        <x:f>IF(ES244="","",IF(FA244="","",IFERROR(EV244/FA244-1,0)))</x:f>
      </x:c>
      <x:c r="FC244" s="166"/>
      <x:c r="FD244" s="172" t="str">
        <x:f>IF(ES244="","",IF(FC244="","",FC244-FB244*365/FE244))</x:f>
      </x:c>
      <x:c r="FE244" s="164"/>
      <x:c r="FF244" s="172" t="str">
        <x:f>IF(ES244="","",IFERROR(EX244*(EW244/EV244-1),0))</x:f>
      </x:c>
      <x:c r="FG244" s="147"/>
      <x:c r="FH244" s="147"/>
      <x:c r="FI244" s="147"/>
      <x:c r="FJ244" s="167"/>
      <x:c r="FK244" s="167"/>
      <x:c r="FL244" s="166"/>
      <x:c r="FM244" s="171" t="str">
        <x:f>IF(FG244="","",IFERROR(F244*FL244/FJ244,0))</x:f>
      </x:c>
      <x:c r="FN244" s="171" t="str">
        <x:f>IF(FG244="","",F244*ABS(FL244))</x:f>
      </x:c>
      <x:c r="FO244" s="165"/>
      <x:c r="FP244" s="172" t="str">
        <x:f>IF(FG244="","",IF(FO244="","",IFERROR(FJ244/FO244-1,0)))</x:f>
      </x:c>
      <x:c r="FQ244" s="166"/>
      <x:c r="FR244" s="172" t="str">
        <x:f>IF(FG244="","",IF(FQ244="","",FQ244-FP244*365/FS244))</x:f>
      </x:c>
      <x:c r="FS244" s="164"/>
      <x:c r="FT244" s="172" t="str">
        <x:f>IF(FG244="","",IFERROR(FL244*(FK244/FJ244-1),0))</x:f>
      </x:c>
    </x:row>
  </x:sheetData>
  <x:mergeCells>
    <x:mergeCell ref="A1:L1"/>
    <x:mergeCell ref="M1:AC1"/>
    <x:mergeCell ref="AD1:AJ1"/>
    <x:mergeCell ref="AK1:AX1"/>
    <x:mergeCell ref="AY1:BL1"/>
    <x:mergeCell ref="BM1:BZ1"/>
    <x:mergeCell ref="CA1:CN1"/>
    <x:mergeCell ref="CO1:DB1"/>
    <x:mergeCell ref="DC1:DP1"/>
    <x:mergeCell ref="DQ1:ED1"/>
    <x:mergeCell ref="EE1:ER1"/>
    <x:mergeCell ref="ES1:FF1"/>
    <x:mergeCell ref="FG1:FT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65" hidden="0" customWidth="1"/>
  </x:cols>
  <x:sheetData>
    <x:row r="1">
      <x:c r="A1" s="2" t="str">
        <x:v>Model checks</x:v>
      </x:c>
      <x:c r="B1" s="2"/>
      <x:c r="C1" s="2"/>
      <x:c r="D1" s="2"/>
      <x:c r="E1" s="2"/>
      <x:c r="F1" s="2"/>
      <x:c r="G1" s="2"/>
    </x:row>
    <x:row r="3">
      <x:c r="A3" s="6" t="str">
        <x:v>Check</x:v>
      </x:c>
      <x:c r="B3" s="6" t="str">
        <x:v>Actual</x:v>
      </x:c>
      <x:c r="C3" s="6" t="str">
        <x:v>Expected</x:v>
      </x:c>
      <x:c r="D3" s="6" t="str">
        <x:v>Difference</x:v>
      </x:c>
      <x:c r="E3" s="6" t="str">
        <x:v>Tolerance</x:v>
      </x:c>
      <x:c r="F3" s="6" t="str">
        <x:v>Status</x:v>
      </x:c>
      <x:c r="G3" s="6" t="str">
        <x:v>Notes</x:v>
      </x:c>
    </x:row>
    <x:row r="4">
      <x:c r="A4" s="21" t="str">
        <x:v>1969 holding intervals</x:v>
      </x:c>
      <x:c r="B4" s="186" t="n">
        <x:f>COUNTA('Daily Holdings'!$B$3:$B$244)</x:f>
        <x:v>242</x:v>
      </x:c>
      <x:c r="C4" s="186" t="n">
        <x:v>242</x:v>
      </x:c>
      <x:c r="D4" s="186" t="n">
        <x:f>B4-C4</x:f>
        <x:v>0</x:v>
      </x:c>
      <x:c r="E4" s="186" t="n">
        <x:v>0</x:v>
      </x:c>
      <x:c r="F4" s="183" t="str">
        <x:f>IF(ABS(D4)&lt;=E4,"OK","REVIEW")</x:f>
        <x:v>OK</x:v>
      </x:c>
      <x:c r="G4" s="38" t="str">
        <x:v>One row per executed holding interval ending in 1969.</x:v>
      </x:c>
    </x:row>
    <x:row r="5">
      <x:c r="A5" s="24" t="str">
        <x:v>Maximum simultaneous active holdings</x:v>
      </x:c>
      <x:c r="B5" s="187" t="n">
        <x:f>MAX('Daily Holdings'!$AJ$3:$AJ$244)</x:f>
        <x:v>9</x:v>
      </x:c>
      <x:c r="C5" s="187" t="n">
        <x:v>9</x:v>
      </x:c>
      <x:c r="D5" s="187" t="n">
        <x:f>B5-C5</x:f>
        <x:v>0</x:v>
      </x:c>
      <x:c r="E5" s="187" t="n">
        <x:v>0</x:v>
      </x:c>
      <x:c r="F5" s="184" t="str">
        <x:f>IF(ABS(D5)&lt;=E5,"OK","REVIEW")</x:f>
        <x:v>OK</x:v>
      </x:c>
      <x:c r="G5" s="39" t="str">
        <x:v>Maximum count of non-zero fund, Treasury, and futures holdings in one interval.</x:v>
      </x:c>
    </x:row>
    <x:row r="6">
      <x:c r="A6" s="24" t="str">
        <x:v>Reserved holding groups</x:v>
      </x:c>
      <x:c r="B6" s="187" t="n">
        <x:f>COLUMNS('Daily Holdings'!$AK$2:FT$2)/14</x:f>
        <x:v>10</x:v>
      </x:c>
      <x:c r="C6" s="187" t="n">
        <x:v>10</x:v>
      </x:c>
      <x:c r="D6" s="187" t="n">
        <x:f>B6-C6</x:f>
        <x:v>0</x:v>
      </x:c>
      <x:c r="E6" s="187" t="n">
        <x:v>0</x:v>
      </x:c>
      <x:c r="F6" s="184" t="str">
        <x:f>IF(ABS(D6)&lt;=E6,"OK","REVIEW")</x:f>
        <x:v>OK</x:v>
      </x:c>
      <x:c r="G6" s="39" t="str">
        <x:v>Workbook reserves 10 holding groups: fund, Treasury, and 8 futures.</x:v>
      </x:c>
    </x:row>
    <x:row r="7">
      <x:c r="A7" s="24" t="str">
        <x:v>Maximum holdings-return difference</x:v>
      </x:c>
      <x:c r="B7" s="188" t="n">
        <x:f>MAX(MAX('Daily Holdings'!$I$3:$I$244),-MIN('Daily Holdings'!$I$3:$I$244))</x:f>
        <x:v>3.2526065174565133e-16</x:v>
      </x:c>
      <x:c r="C7" s="188" t="n">
        <x:v>0</x:v>
      </x:c>
      <x:c r="D7" s="188" t="n">
        <x:f>B7-C7</x:f>
        <x:v>3.2526065174565133e-16</x:v>
      </x:c>
      <x:c r="E7" s="188" t="n">
        <x:v>1e-10</x:v>
      </x:c>
      <x:c r="F7" s="184" t="str">
        <x:f>IF(ABS(D7)&lt;=E7,"OK","REVIEW")</x:f>
        <x:v>OK</x:v>
      </x:c>
      <x:c r="G7" s="39" t="str">
        <x:v>Source total return less the sum of all holding contributions.</x:v>
      </x:c>
    </x:row>
    <x:row r="8">
      <x:c r="A8" s="24" t="str">
        <x:v>Maximum NAV difference</x:v>
      </x:c>
      <x:c r="B8" s="188" t="n">
        <x:f>MAX(MAX('Daily Holdings'!$L$3:$L$244),-MIN('Daily Holdings'!$L$3:$L$244))</x:f>
        <x:v>4.440892098500626e-16</x:v>
      </x:c>
      <x:c r="C8" s="188" t="n">
        <x:v>0</x:v>
      </x:c>
      <x:c r="D8" s="188" t="n">
        <x:f>B8-C8</x:f>
        <x:v>4.440892098500626e-16</x:v>
      </x:c>
      <x:c r="E8" s="188" t="n">
        <x:v>1e-10</x:v>
      </x:c>
      <x:c r="F8" s="184" t="str">
        <x:f>IF(ABS(D8)&lt;=E8,"OK","REVIEW")</x:f>
        <x:v>OK</x:v>
      </x:c>
      <x:c r="G8" s="39" t="str">
        <x:v>Engine ending NAV less formula-derived ending NAV.</x:v>
      </x:c>
    </x:row>
    <x:row r="9">
      <x:c r="A9" s="24" t="str">
        <x:v>Maximum underlying/book return difference</x:v>
      </x:c>
      <x:c r="B9" s="188" t="n">
        <x:f>MAX(MAX('Daily Holdings'!$X$3:$X$244),-MIN('Daily Holdings'!$X$3:$X$244))</x:f>
        <x:v>3.972516759986888e-16</x:v>
      </x:c>
      <x:c r="C9" s="188" t="n">
        <x:v>0</x:v>
      </x:c>
      <x:c r="D9" s="188" t="n">
        <x:f>B9-C9</x:f>
        <x:v>3.972516759986888e-16</x:v>
      </x:c>
      <x:c r="E9" s="188" t="n">
        <x:v>1e-10</x:v>
      </x:c>
      <x:c r="F9" s="184" t="str">
        <x:f>IF(ABS(D9)&lt;=E9,"OK","REVIEW")</x:f>
        <x:v>OK</x:v>
      </x:c>
      <x:c r="G9" s="39" t="str">
        <x:v>Source return less price × underlying-book reconstruction.</x:v>
      </x:c>
    </x:row>
    <x:row r="10">
      <x:c r="A10" s="24" t="str">
        <x:v>Maximum detailed-contribution difference</x:v>
      </x:c>
      <x:c r="B10" s="188" t="n">
        <x:f>MAX(MAX('Daily Holdings'!$AC$3:$AC$244),-MIN('Daily Holdings'!$AC$3:$AC$244))</x:f>
        <x:v>3.2526065174565133e-16</x:v>
      </x:c>
      <x:c r="C10" s="188" t="n">
        <x:v>0</x:v>
      </x:c>
      <x:c r="D10" s="188" t="n">
        <x:f>B10-C10</x:f>
        <x:v>3.2526065174565133e-16</x:v>
      </x:c>
      <x:c r="E10" s="188" t="n">
        <x:v>1e-10</x:v>
      </x:c>
      <x:c r="F10" s="184" t="str">
        <x:f>IF(ABS(D10)&lt;=E10,"OK","REVIEW")</x:f>
        <x:v>OK</x:v>
      </x:c>
      <x:c r="G10" s="39" t="str">
        <x:v>Source return less replicating + Treasury + futures contributions.</x:v>
      </x:c>
    </x:row>
    <x:row r="11">
      <x:c r="A11" s="24" t="str">
        <x:v>Missing futures intervals</x:v>
      </x:c>
      <x:c r="B11" s="187" t="n">
        <x:v>0</x:v>
      </x:c>
      <x:c r="C11" s="187" t="n">
        <x:v>0</x:v>
      </x:c>
      <x:c r="D11" s="187" t="n">
        <x:f>B11-C11</x:f>
        <x:v>0</x:v>
      </x:c>
      <x:c r="E11" s="187" t="n">
        <x:v>0</x:v>
      </x:c>
      <x:c r="F11" s="184" t="str">
        <x:f>IF(ABS(D11)&lt;=E11,"OK","REVIEW")</x:f>
        <x:v>OK</x:v>
      </x:c>
      <x:c r="G11" s="39" t="str">
        <x:v>A required missing futures quote causes the engine to skip the interval.</x:v>
      </x:c>
    </x:row>
    <x:row r="12">
      <x:c r="A12" s="28" t="str">
        <x:v>Engine attribution reconciliation</x:v>
      </x:c>
      <x:c r="B12" s="189" t="n">
        <x:v>4.440892098500626e-18</x:v>
      </x:c>
      <x:c r="C12" s="189" t="n">
        <x:v>0</x:v>
      </x:c>
      <x:c r="D12" s="189" t="n">
        <x:f>B12-C12</x:f>
        <x:v>4.440892098500626e-18</x:v>
      </x:c>
      <x:c r="E12" s="189" t="n">
        <x:v>1e-10</x:v>
      </x:c>
      <x:c r="F12" s="185" t="str">
        <x:f>IF(ABS(D12)&lt;=E12,"OK","REVIEW")</x:f>
        <x:v>OK</x:v>
      </x:c>
      <x:c r="G12" s="40" t="str">
        <x:v>Exact engine component attribution before workbook reconstruction.</x:v>
      </x:c>
    </x:row>
    <x:row r="14">
      <x:c r="A14" s="178" t="str">
        <x:v>Overall model status</x:v>
      </x:c>
      <x:c r="B14" s="179" t="str">
        <x:f>IF(AND(F4="OK",F5="OK",F6="OK",F7="OK",F8="OK",F9="OK",F10="OK",F11="OK",F12="OK"),"OK","REVIEW")</x:f>
        <x:v>OK</x:v>
      </x:c>
    </x:row>
  </x:sheetData>
  <x:mergeCells>
    <x:mergeCell ref="A1:G1"/>
  </x:mergeCells>
  <x:pageMargins left="0.7" right="0.7" top="0.75" bottom="0.75" header="0.3" footer="0.3"/>
</x:worksheet>
</file>